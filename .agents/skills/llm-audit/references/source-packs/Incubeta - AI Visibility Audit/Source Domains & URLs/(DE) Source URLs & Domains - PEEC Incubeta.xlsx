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Copy of URLs YouTube" sheetId="5" r:id="rId9"/>
    <sheet state="visible" name="URLs Instagram" sheetId="6" r:id="rId10"/>
    <sheet state="visible" name="URLs Sortlist" sheetId="7" r:id="rId11"/>
    <sheet state="visible" name="URLs Clutch.co" sheetId="8" r:id="rId12"/>
    <sheet state="visible" name="URLs Semrush" sheetId="9" r:id="rId13"/>
    <sheet state="visible" name="URLs Directive Consulting" sheetId="10" r:id="rId14"/>
    <sheet state="visible" name="URLs Design Rush" sheetId="11" r:id="rId15"/>
    <sheet state="hidden" name="URLs TripAdvisor" sheetId="12" r:id="rId16"/>
    <sheet state="visible" name="URLs Reddit" sheetId="13" r:id="rId17"/>
    <sheet state="visible" name="URLs Quora" sheetId="14" r:id="rId18"/>
    <sheet state="visible" name="URLs Medium" sheetId="15" r:id="rId19"/>
    <sheet state="visible" name="URLs Directories" sheetId="16" r:id="rId20"/>
    <sheet state="visible" name="URLs Facebook" sheetId="17" r:id="rId21"/>
    <sheet state="visible" name="URLs LinkedIn" sheetId="18" r:id="rId22"/>
    <sheet state="visible" name="URLs Wikipedia" sheetId="19" r:id="rId23"/>
    <sheet state="visible" name="Types Alternative" sheetId="20" r:id="rId24"/>
    <sheet state="visible" name="Types Article" sheetId="21" r:id="rId25"/>
    <sheet state="visible" name="Types Category" sheetId="22" r:id="rId26"/>
    <sheet state="visible" name="Types Comparison" sheetId="23" r:id="rId27"/>
    <sheet state="visible" name="Types Discussion" sheetId="24" r:id="rId28"/>
    <sheet state="visible" name="Types Homepage" sheetId="25" r:id="rId29"/>
    <sheet state="visible" name="Types How-to guide" sheetId="26" r:id="rId30"/>
    <sheet state="visible" name="Types Listicle" sheetId="27" r:id="rId31"/>
    <sheet state="visible" name="Types Other" sheetId="28" r:id="rId32"/>
    <sheet state="visible" name="Types Product page" sheetId="29" r:id="rId33"/>
    <sheet state="visible" name="Types Profile" sheetId="30" r:id="rId34"/>
  </sheets>
  <definedNames>
    <definedName hidden="1" localSheetId="0" name="_xlnm._FilterDatabase">'PEEC - Domains'!$A$1:$Z$996</definedName>
    <definedName hidden="1" localSheetId="1" name="_xlnm._FilterDatabase">'PEEC - URLs - All'!$A$1:$Z$2073</definedName>
    <definedName hidden="1" localSheetId="2" name="_xlnm._FilterDatabase">'Title Contains Besttop'!$A$1:$Z$801</definedName>
    <definedName hidden="1" localSheetId="3" name="_xlnm._FilterDatabase">'URLs YouTube'!$A$1:$Z$802</definedName>
    <definedName hidden="1" localSheetId="4" name="_xlnm._FilterDatabase">'Copy of URLs YouTube'!$A$1:$Z$802</definedName>
    <definedName hidden="1" localSheetId="5" name="_xlnm._FilterDatabase">'URLs Instagram'!$A$1:$Z$802</definedName>
    <definedName hidden="1" localSheetId="6" name="_xlnm._FilterDatabase">'URLs Sortlist'!$A$1:$Z$802</definedName>
    <definedName hidden="1" localSheetId="7" name="_xlnm._FilterDatabase">'URLs Clutch.co'!$A$1:$Z$802</definedName>
    <definedName hidden="1" localSheetId="8" name="_xlnm._FilterDatabase">'URLs Semrush'!$A$1:$Z$802</definedName>
    <definedName hidden="1" localSheetId="9" name="_xlnm._FilterDatabase">'URLs Directive Consulting'!$A$1:$Z$802</definedName>
    <definedName hidden="1" localSheetId="10" name="_xlnm._FilterDatabase">'URLs Design Rush'!$A$1:$Z$802</definedName>
    <definedName hidden="1" localSheetId="11" name="_xlnm._FilterDatabase">'URLs TripAdvisor'!$A$1:$Z$802</definedName>
    <definedName hidden="1" localSheetId="12" name="_xlnm._FilterDatabase">'URLs Reddit'!$A$1:$Z$802</definedName>
    <definedName hidden="1" localSheetId="13" name="_xlnm._FilterDatabase">'URLs Quora'!$A$1:$Z$802</definedName>
    <definedName hidden="1" localSheetId="14" name="_xlnm._FilterDatabase">'URLs Medium'!$A$1:$Z$802</definedName>
    <definedName hidden="1" localSheetId="15" name="_xlnm._FilterDatabase">'URLs Directories'!$A$1:$Z$802</definedName>
    <definedName hidden="1" localSheetId="16" name="_xlnm._FilterDatabase">'URLs Facebook'!$A$1:$Z$802</definedName>
    <definedName hidden="1" localSheetId="17" name="_xlnm._FilterDatabase">'URLs LinkedIn'!$A$1:$Z$802</definedName>
    <definedName hidden="1" localSheetId="18" name="_xlnm._FilterDatabase">'URLs Wikipedia'!$A$1:$Z$802</definedName>
    <definedName hidden="1" localSheetId="19" name="_xlnm._FilterDatabase">'Types Alternative'!$A$1:$Z$802</definedName>
    <definedName hidden="1" localSheetId="20" name="_xlnm._FilterDatabase">'Types Article'!$A$1:$Z$802</definedName>
    <definedName hidden="1" localSheetId="21" name="_xlnm._FilterDatabase">'Types Category'!$A$1:$Z$802</definedName>
    <definedName hidden="1" localSheetId="22" name="_xlnm._FilterDatabase">'Types Comparison'!$A$1:$Z$802</definedName>
    <definedName hidden="1" localSheetId="23" name="_xlnm._FilterDatabase">'Types Discussion'!$A$1:$Z$802</definedName>
    <definedName hidden="1" localSheetId="24" name="_xlnm._FilterDatabase">'Types Homepage'!$A$1:$Z$802</definedName>
    <definedName hidden="1" localSheetId="25" name="_xlnm._FilterDatabase">'Types How-to guide'!$A$1:$Z$802</definedName>
    <definedName hidden="1" localSheetId="26" name="_xlnm._FilterDatabase">'Types Listicle'!$A$1:$Z$802</definedName>
    <definedName hidden="1" localSheetId="27" name="_xlnm._FilterDatabase">'Types Other'!$A$1:$Z$802</definedName>
    <definedName hidden="1" localSheetId="28" name="_xlnm._FilterDatabase">'Types Product page'!$A$1:$Z$802</definedName>
    <definedName hidden="1" localSheetId="29" name="_xlnm._FilterDatabase">'Types Profile'!$A$1:$Z$802</definedName>
  </definedNames>
  <calcPr/>
</workbook>
</file>

<file path=xl/sharedStrings.xml><?xml version="1.0" encoding="utf-8"?>
<sst xmlns="http://schemas.openxmlformats.org/spreadsheetml/2006/main" count="13650" uniqueCount="5091">
  <si>
    <t>url</t>
  </si>
  <si>
    <t>domain</t>
  </si>
  <si>
    <t>title</t>
  </si>
  <si>
    <t>url_classification</t>
  </si>
  <si>
    <t>type</t>
  </si>
  <si>
    <t>domain_classification</t>
  </si>
  <si>
    <t>mentions</t>
  </si>
  <si>
    <t>mentioned</t>
  </si>
  <si>
    <t>retrievals</t>
  </si>
  <si>
    <t>retrievals_delta</t>
  </si>
  <si>
    <t>retrieved</t>
  </si>
  <si>
    <t>retrieved_percentage</t>
  </si>
  <si>
    <t>retrieval_rate</t>
  </si>
  <si>
    <t>citation_rate</t>
  </si>
  <si>
    <t>citation_rate_delta</t>
  </si>
  <si>
    <t>https://clutch.co/de/agencies/digital-marketing</t>
  </si>
  <si>
    <t>sortlist.com</t>
  </si>
  <si>
    <t>Corporate</t>
  </si>
  <si>
    <t>Top Digital Marketing Agencies in Germany - Jul 2026 Rankings | Clutch.co</t>
  </si>
  <si>
    <t>lehof, Mediacharge, MONSOON, Northbeam, Triple Whale, Dreamdata, Measured, Momentum, PANORAMA3000, ZweiDigital GmbH, KlickPiloten, Customlytics, Pilot, Kantar, Pulse Advertising, Loyamo, Digital Masters GmbH, Baseplus DIGITAL MEDIA GmbH, Medialabel</t>
  </si>
  <si>
    <t>clutch.co</t>
  </si>
  <si>
    <t>Mediacharge, MONSOON, WebFX, KlientBoost, SmartSites, Power Digital, Momentum, REPLUG, LNQP GmbH, Claneo, PANORAMA3000, PwC, Admiral Media, Seeders, Phiture, GroupM, eMinded GmbH, WeLikeWeb GmbH, Huge, morefire, DREIKON, Digitalyze, Löwenstark, HY.AM STUDIOS, Peak Ace, HECHT INS GEFECHT, DEPT, Think11, Medialabel, KlickPiloten, Smarketer, Haus, Measured, Mediaplus Group, Publicis Media, Scholz &amp; Friends, Pulse Advertising, Disruptive Advertising, The Boutique Agency, Aufgesang, Single Grain, GrowthSpree, inBeat, Merkle, Customlytics</t>
  </si>
  <si>
    <t>CATEGORY_PAGE</t>
  </si>
  <si>
    <t>semrush.com</t>
  </si>
  <si>
    <t>CORPORATE</t>
  </si>
  <si>
    <t>Category Page</t>
  </si>
  <si>
    <t>MONSOON, Mediacharge, REPLUG, Claneo, Huge, Phiture, PANORAMA3000, Seeders, Admiral Media, HECHT INS GEFECHT</t>
  </si>
  <si>
    <t>KlickPiloten, Mediaplus Performance, Baseplus DIGITAL MEDIA GmbH, morefire, HECHT INS GEFECHT, Mediacharge, MONSOON, Huge, 42DIGITAL</t>
  </si>
  <si>
    <t>https://www.bakedwith.com/en/blog/the-best-geo-agencies-in-germany-an-overview</t>
  </si>
  <si>
    <t>influencer-hero.com</t>
  </si>
  <si>
    <t>Brandtech, Mawave, Serviceplan Group, Globalist, McKinsey &amp; Company, Medialabel, MONSOON, Social Media Pirates, Pilot, Momentum, Jung von Matt, Scholz &amp; Friends, Mediacharge, KlickPiloten, Loyamo, Smarketer, Social Media One, PANORAMA3000, WPP, DDB Germany, Admiral Media, DREIKON, Haus</t>
  </si>
  <si>
    <t>The best GEO agencies in Germany: an overview</t>
  </si>
  <si>
    <t>bakedwith.com</t>
  </si>
  <si>
    <t>dreikon.de</t>
  </si>
  <si>
    <t>LISTICLE</t>
  </si>
  <si>
    <t>Listicle</t>
  </si>
  <si>
    <t>Radyant, Claneo, HECHT INS GEFECHT, Suchhelden, Aufgesang, DREIKON, Löwenstark, TRYSEO</t>
  </si>
  <si>
    <t>Competitor</t>
  </si>
  <si>
    <t>morefire, DREIKON, TRYSEO, Measured, eMinded GmbH, Mawave, Loyamo, Suchhelden, Bloofusion Germany GmbH</t>
  </si>
  <si>
    <t>https://vitasoft.co/best/geo-agency-germany/</t>
  </si>
  <si>
    <t>Best GEO &amp;amp; AEO Agencies in Germany (2026) — Ranked</t>
  </si>
  <si>
    <t>feedbax.ai</t>
  </si>
  <si>
    <t>vitasoft.co</t>
  </si>
  <si>
    <t>REFERENCE</t>
  </si>
  <si>
    <t>UGC</t>
  </si>
  <si>
    <t>Mediacharge, morefire, KlickPiloten, DREIKON, ZweiDigital GmbH, Suchhelden, PANORAMA3000, Smarketer, HECHT INS GEFECHT, Measured, Peak Ace, Loyamo</t>
  </si>
  <si>
    <t>Peak Ace, Digital Delight, Claneo</t>
  </si>
  <si>
    <t>https://agencies.semrush.com/list/germany/</t>
  </si>
  <si>
    <t>designrush.com</t>
  </si>
  <si>
    <t>Best Digital Marketing Agencies in Germany 2026 | Semrush</t>
  </si>
  <si>
    <t>MONSOON, Admiral Media, REPLUG, Phiture, Huge, Monks, Ruler Analytics, KlientBoost, SmartSites, NoGood, Wpromote, Disruptive Advertising, PwC, DEPT, Power Digital, EY, Single Grain, WebFX, Jellyfish, Capgemini, PANORAMA3000, Pulse Advertising</t>
  </si>
  <si>
    <t>PROFILE</t>
  </si>
  <si>
    <t>Profile</t>
  </si>
  <si>
    <t>HECHT INS GEFECHT, Baseplus DIGITAL MEDIA GmbH, morefire, Mediaplus Performance, MONSOON, Mediacharge, KlickPiloten</t>
  </si>
  <si>
    <t>techbehemoths.com</t>
  </si>
  <si>
    <t>https://clutch.co/de/agencies</t>
  </si>
  <si>
    <t>Reference</t>
  </si>
  <si>
    <t>Huge, KlickPiloten, Admiral Media, Pilot, Peak Ace</t>
  </si>
  <si>
    <t>Top Advertising Agencies in Germany - Jul 2026 Rankings \| Clutch.co</t>
  </si>
  <si>
    <t>MONSOON, Phiture, PANORAMA3000, Seeders, Mediacharge, Digitalyze, morefire, Scholz &amp; Friends, Haus</t>
  </si>
  <si>
    <t>https://www.influencer-hero.com/blogs/top-digital-advertising-agencies-in-germany</t>
  </si>
  <si>
    <t>Claneo, DREIKON, HECHT INS GEFECHT, Aufgesang, TRYSEO, Suchhelden, Löwenstark, Radyant</t>
  </si>
  <si>
    <t>Top 10 Digital Advertising Agencies in Germany</t>
  </si>
  <si>
    <t>Claneo, Peak Ace, Digital Delight, Power Digital, WebFX, Disruptive Advertising</t>
  </si>
  <si>
    <t>Serviceplan Group, Medialabel, Scholz &amp; Friends, Globalist, Jung von Matt, Mawave, Momentum</t>
  </si>
  <si>
    <t>https://www.sortlist.com/s/marketing/germany-de</t>
  </si>
  <si>
    <t>sortlist.de</t>
  </si>
  <si>
    <t>The 10 Best Marketing Agencies in Germany - 2026 Reviews</t>
  </si>
  <si>
    <t>KlickPiloten, Pilot, Mediacharge, Loyamo, Baseplus DIGITAL MEDIA GmbH, MONSOON, lehof, Customlytics, morefire, PANORAMA3000, Digital Masters GmbH, eMinded GmbH, Medialabel, WeLikeWeb GmbH, Northbeam, Triple Whale, Dreamdata, Peak Ace, Haus, Think11</t>
  </si>
  <si>
    <t>goodfirms.co</t>
  </si>
  <si>
    <t>MONSOON, lehof</t>
  </si>
  <si>
    <t>https://www.designrush.com/agency/digital-marketing/de</t>
  </si>
  <si>
    <t>Momentum, Mediacharge, HECHT INS GEFECHT, WebFX, Aufgesang, Smarketer, Publicis Groupe, Scholz &amp; Friends, REPLUG, Dentsu, Merkle</t>
  </si>
  <si>
    <t>ibusiness.de</t>
  </si>
  <si>
    <t>Top Digital Marketing Agencies in Germany | 2026</t>
  </si>
  <si>
    <t>Editorial</t>
  </si>
  <si>
    <t>morefire, Artefact, DREIKON, The Boutique Agency, Aufgesang, iProspect, 42DIGITAL, eMinded GmbH, Smarketer, e-dialog, Peak Ace, PANORAMA3000, Digital Masters GmbH, Serviceplan Group, Omnicom Media Group, Think11, Omnicom</t>
  </si>
  <si>
    <t>MONSOON, REPLUG, Admiral Media, Phiture</t>
  </si>
  <si>
    <t>https://www.influencer-hero.com/blogs/top-digital-marketing-agencies-in-germany</t>
  </si>
  <si>
    <t>lengreo.com</t>
  </si>
  <si>
    <t>Top 10 Digital Marketing Agencies in Germany</t>
  </si>
  <si>
    <t>Serviceplan Group, Mawave, Globalist, Brandtech, McKinsey &amp; Company, Medialabel</t>
  </si>
  <si>
    <t>Suchhelden, Measured, Seeders, Baseplus DIGITAL MEDIA GmbH, Claneo, KlickPiloten, Aufgesang, Omnius, TRYSEO, Löwenstark, morefire, SmartSites, Smarketer, Momentum, PwC, Boston Consulting Group, McKinsey &amp; Company, BCG, Mawave, Medialabel, Social Media Pirates, Pilot, MONSOON, PANORAMA3000, Loyamo</t>
  </si>
  <si>
    <t>https://www.sortlist.com/s/performance-marketing/germany-de</t>
  </si>
  <si>
    <t>reddit.com</t>
  </si>
  <si>
    <t>The 10 Best Performance Marketing Agencies in Germany - 2026 Reviews</t>
  </si>
  <si>
    <t>MONSOON, lehof, Triple Whale, Northbeam, Dreamdata, Mediacharge</t>
  </si>
  <si>
    <t>Huge, Claneo, morefire, KlickPiloten, Radyant, LifeSight, Dreamdata, Peak Ace, Smarketer, Omnius, Single Grain, iPullRank, Siege Media, Mediacharge, MONSOON, Aufgesang, PwC, REPLUG, Measured, NoGood, Dentsu, WPP, Omnicom, Omniscient Digital, Haus, Recast</t>
  </si>
  <si>
    <t>https://www.influencer-hero.com/blogs/top-10-creative-agencies-in-germany</t>
  </si>
  <si>
    <t>omr.com</t>
  </si>
  <si>
    <t>Top 10 Creative Agencies in Germany</t>
  </si>
  <si>
    <t>Other</t>
  </si>
  <si>
    <t>FELD M, Smarketer, Jung von Matt, KlickPiloten, Löwenstark, Claneo, HECHT INS GEFECHT, TRYSEO, Suchhelden, Kosch Klink Performance, morefire, DREIKON, Pilot, The Boutique Agency, e-dialog</t>
  </si>
  <si>
    <t>Jung von Matt, DDB Germany, Admiral Media, Mawave, Momentum, WPP</t>
  </si>
  <si>
    <t>radyant.io</t>
  </si>
  <si>
    <t>https://www.ibusiness.de/performance-ranking/</t>
  </si>
  <si>
    <t>Claneo, DREIKON, Suchhelden, Radyant, Kosch Klink Performance, Omniscient Digital, Peak Ace, Omnius</t>
  </si>
  <si>
    <t>Das Ranking der gr��ten deutschen Performance-Marketing-Agenturen</t>
  </si>
  <si>
    <t>sourceforge.net</t>
  </si>
  <si>
    <t>EDITORIAL</t>
  </si>
  <si>
    <t>iProspect, Smarketer, e-dialog, morefire, Artefact, The Boutique Agency, 42DIGITAL, DREIKON, Aufgesang, eMinded GmbH</t>
  </si>
  <si>
    <t>Tinuiti, Recast, Nielsen, Dentsu, GroupM, LifeSight, Measured, Triple Whale, Haus, Sellforte, Analytic Partners, Rockerbox</t>
  </si>
  <si>
    <t>https://www.radyant.io/comparison/6-best-geo-agencies-in-germany</t>
  </si>
  <si>
    <t>hikemytraffic.com</t>
  </si>
  <si>
    <t>6 best GEO agencies in Germany · Radyant</t>
  </si>
  <si>
    <t>HikeMyTraffic</t>
  </si>
  <si>
    <t>themanifest.com</t>
  </si>
  <si>
    <t>COMPETITOR</t>
  </si>
  <si>
    <t>Radyant, Claneo, Kosch Klink Performance, Suchhelden, DREIKON</t>
  </si>
  <si>
    <t>https://www.dreikon.de/en/news/online-marketing-knowledge/10-best-seo-and-geo-agencies-2026/#:~:text=The%20agency%20has%20been%20recognised,KG%20(M%C3%BCnster)</t>
  </si>
  <si>
    <t>Mediacharge, MONSOON, Claneo, HECHT INS GEFECHT, Admiral Media, REPLUG, Seeders, Phiture, HY.AM STUDIOS, GroupM, morefire, Digitalyze, Scholz &amp; Friends, PANORAMA3000, KlickPiloten, Pulse Advertising, DREIKON, Medialabel, WeLikeWeb GmbH</t>
  </si>
  <si>
    <t>ensun.io</t>
  </si>
  <si>
    <t>The 15 best SEO and GEO agencies in 2026</t>
  </si>
  <si>
    <t>Kantar, Customlytics</t>
  </si>
  <si>
    <t>performanceliebe.de</t>
  </si>
  <si>
    <t>DREIKON, TRYSEO, morefire, eMinded GmbH, Measured</t>
  </si>
  <si>
    <t>https://www.sortlist.com/s/artificial-intelligence/germany-de#:~:text=Adastra%20achieved%20Elite%20Partner%20Status,Worked%20in%20Retail%20(%2B10)</t>
  </si>
  <si>
    <t>The 10 Best Artificial Intelligence Agencies in Germany - 2026 Reviews</t>
  </si>
  <si>
    <t>performanceLiebe</t>
  </si>
  <si>
    <t>Momentum</t>
  </si>
  <si>
    <t>cometly.com</t>
  </si>
  <si>
    <t>https://agencies.semrush.com/list/ai-optimization/germany/</t>
  </si>
  <si>
    <t>Cometly, Momentum, Northbeam, Making Science, Incubeta, Artefact, Jellyfish, Convertiv, Haus, Rockerbox, Recast, Measured, LifeSight, Triple Whale, Ruler Analytics, Dreamdata</t>
  </si>
  <si>
    <t>Best AI Search Optimization Agencies in Germany 2026 | Semrush</t>
  </si>
  <si>
    <t>digitalagencynetwork.com</t>
  </si>
  <si>
    <t>HECHT INS GEFECHT, morefire, Mediaplus Performance</t>
  </si>
  <si>
    <t>https://www.sortlist.com/s/display-advertising/germany-de</t>
  </si>
  <si>
    <t>MONSOON, PANORAMA3000, HY.AM STUDIOS, Capgemini, AKQA, NoGood, Boston Consulting Group, SmartSites, Momentum, Measured, Haus, DEPT</t>
  </si>
  <si>
    <t>xmethod.de</t>
  </si>
  <si>
    <t>The 10 Best Display Advertising Agencies in Germany - 2026 Reviews</t>
  </si>
  <si>
    <t>MONSOON, Triple Whale, Northbeam, Dreamdata, Mediacharge, PANORAMA3000</t>
  </si>
  <si>
    <t>https://www.influencer-hero.com/blogs/top-advertising-agencies-in-germany</t>
  </si>
  <si>
    <t>Xmethod, Pilot, Seiten-Werk</t>
  </si>
  <si>
    <t>youtube.com</t>
  </si>
  <si>
    <t>Top 10 Advertising Agencies in Germany</t>
  </si>
  <si>
    <t>Pilot, Mawave, MONSOON, Globalist, Social Media Pirates, Medialabel</t>
  </si>
  <si>
    <t>Claneo, HikeMyTraffic, Huge, Brainlabs, EY, LifeSight, Recast, Pilot, Haus</t>
  </si>
  <si>
    <t>https://www.goodfirms.co/directory/country/top-digital-marketing-companies/de</t>
  </si>
  <si>
    <t>google.com</t>
  </si>
  <si>
    <t>New Engen, Merkle, Wpromote</t>
  </si>
  <si>
    <t>Top 10+ Digital Marketing Agencies in Germany - 2026 Reviews | Goodfirms</t>
  </si>
  <si>
    <t>radigitalworld.com</t>
  </si>
  <si>
    <t>WebFX, Mediacharge, HECHT INS GEFECHT, Momentum</t>
  </si>
  <si>
    <t>Jung von Matt, DEPT, Think11, MONSOON, Claneo, morefire, Serviceplan Group, eMinded GmbH</t>
  </si>
  <si>
    <t>https://techbehemoths.com/companies/marketing-analytics/germany</t>
  </si>
  <si>
    <t>feld-m.de</t>
  </si>
  <si>
    <t>FELD M</t>
  </si>
  <si>
    <t>Top 20+ Marketing analytics Companies in Germany (2026) - TechBehemoths</t>
  </si>
  <si>
    <t>measured.com</t>
  </si>
  <si>
    <t>Haus, Analytic Partners, Rockerbox, Recast, Measured, Neustar, Kantar, WPP, Nielsen</t>
  </si>
  <si>
    <t>KlickPiloten, Huge</t>
  </si>
  <si>
    <t>sellforte.com</t>
  </si>
  <si>
    <t>https://klickpiloten.de/en/agency/company</t>
  </si>
  <si>
    <t>Huge, Sellforte, Measured, Haus, Boston Consulting Group, Recast, Pilot, Analytic Partners, Northbeam, Triple Whale</t>
  </si>
  <si>
    <t>Online Marketing Agency Stuttgart, Hamburg &amp;amp; Berlin | KlickPiloten</t>
  </si>
  <si>
    <t>ziya.de</t>
  </si>
  <si>
    <t>klickpiloten.de</t>
  </si>
  <si>
    <t>Measured</t>
  </si>
  <si>
    <t>KlickPiloten</t>
  </si>
  <si>
    <t>https://creatif.agency/the-best-branding-agencies-in-germany/#:~:text=Another%20standout%20agency%20based%20in,Deutsche%20Post%20reinvent%20their%20identities.</t>
  </si>
  <si>
    <t>the-boutique-agency.de</t>
  </si>
  <si>
    <t>The best branding agencies in Germany ranked</t>
  </si>
  <si>
    <t>creatif.agency</t>
  </si>
  <si>
    <t>The Boutique Agency, BCG</t>
  </si>
  <si>
    <t>MetaDesign</t>
  </si>
  <si>
    <t>https://www.sortlist.com/i/digital-marketing/germany-de</t>
  </si>
  <si>
    <t>MetaDesign, DEPT</t>
  </si>
  <si>
    <t>seeders.com</t>
  </si>
  <si>
    <t>The 10 Best Digital Marketing Agencies in Germany - 2026 Reviews</t>
  </si>
  <si>
    <t>PANORAMA3000, MONSOON</t>
  </si>
  <si>
    <t>Dentsu, Croud, Peak Ace, Brainlabs, DEPT, iProspect, Seeders, Claneo, Huge, morefire, Omnius, Suchhelden, Löwenstark</t>
  </si>
  <si>
    <t>https://www.ziya.de/en/locations/deutschland</t>
  </si>
  <si>
    <t>oski.site</t>
  </si>
  <si>
    <t>MONSOON, Artefact, Kantar, b.telligent, Nielsen, Momentum, PwC, statworx, MaibornWolff, Capgemini, Opinosis Analytics</t>
  </si>
  <si>
    <t>AI Agency for Germany – Innovation Despite Bureaucracy</t>
  </si>
  <si>
    <t>awisee.com</t>
  </si>
  <si>
    <t>OTHER</t>
  </si>
  <si>
    <t>KlickPiloten, morefire</t>
  </si>
  <si>
    <t>https://www.sortlist.com/s/marketing-analytics/germany-de</t>
  </si>
  <si>
    <t>mediacharge.com</t>
  </si>
  <si>
    <t>Mediacharge</t>
  </si>
  <si>
    <t>The 10 Best Marketing Analytics Companies in Germany - 2026 Reviews</t>
  </si>
  <si>
    <t>onetoone.de</t>
  </si>
  <si>
    <t>morefire, Artefact, DREIKON, Aufgesang, iProspect, The Boutique Agency, eMinded GmbH, Pilot, 42DIGITAL, e-dialog, Smarketer, Peak Ace, Serviceplan Group, Publicis Groupe</t>
  </si>
  <si>
    <t>lehof, MONSOON, Measured</t>
  </si>
  <si>
    <t>https://www.influencer-hero.com/blogs/top-social-media-agencies-in-germany</t>
  </si>
  <si>
    <t>42digital.de</t>
  </si>
  <si>
    <t>42DIGITAL</t>
  </si>
  <si>
    <t>Top 10 Social Media Agencies in Germany</t>
  </si>
  <si>
    <t>withgoogle.com</t>
  </si>
  <si>
    <t>Medialabel, Social Media One, Mawave, PANORAMA3000, Social Media Pirates, WPP</t>
  </si>
  <si>
    <t>https://www.performanceliebe.de/aeo-agency-germany/</t>
  </si>
  <si>
    <t>Acadia</t>
  </si>
  <si>
    <t>linkedin.com</t>
  </si>
  <si>
    <t>AEO Agency Germany | performanceLiebe</t>
  </si>
  <si>
    <t>Disruptive Advertising, WebFX, SmartSites, Epsilon, Huge, Dentsu, Merkle, Omnicom Media Group, Jellyfish, Measured, Omnicom, Mawave, Serviceplan Group, REPLUG, Momentum, Jung von Matt, Scholz &amp; Friends, R/GA, Ogilvy, DDB Germany, BBDO Germany, Brandtech, Monks, DEPT, Recast, Adswerve, s360, INCRMNTAL, Haus, Mediaplus Group, Analytic Partners, Northbeam, Triple Whale, HY.AM STUDIOS, The Boutique Agency, Loyamo, eMinded GmbH, Smarketer, Pilot, OMD, WPP, Publicis Groupe</t>
  </si>
  <si>
    <t>PRODUCT_PAGE</t>
  </si>
  <si>
    <t>magiclibrary.co</t>
  </si>
  <si>
    <t>Product Page</t>
  </si>
  <si>
    <t>https://clutch.co/de/agencies/social-media-marketing</t>
  </si>
  <si>
    <t>Omnius, Radyant, MONSOON, morefire, Loyamo</t>
  </si>
  <si>
    <t>Top Social Media Marketing Companies in Germany - Jul 2026 Rankings \| Clutch.co</t>
  </si>
  <si>
    <t>slashdot.org</t>
  </si>
  <si>
    <t>MONSOON, Mediacharge, PwC, PANORAMA3000, HY.AM STUDIOS, Digitalyze, KlickPiloten, Pulse Advertising, DREIKON</t>
  </si>
  <si>
    <t>https://www.measured.com/faq/best-incrementality-testing-companies-software-for-marketing-2026/</t>
  </si>
  <si>
    <t>Measured, Triple Whale, Cometly, Haus, Sellforte, Analytic Partners, Rockerbox, Recast, LifeSight</t>
  </si>
  <si>
    <t>Best Incrementality Testing Companies &amp;amp; Software for Marketing (2026)</t>
  </si>
  <si>
    <t>aeo-copilot.com</t>
  </si>
  <si>
    <t>geoagenturen.de</t>
  </si>
  <si>
    <t>Measured, Neustar, Rockerbox, Haus, Recast, Analytic Partners</t>
  </si>
  <si>
    <t>https://www.radigitalworld.com/2026/03/best-performance-marketing-companies-in.html</t>
  </si>
  <si>
    <t>Engine Native, Aufgesang, OMD, Pilot</t>
  </si>
  <si>
    <t>Best Performance Marketing Companies in Germany</t>
  </si>
  <si>
    <t>segmentstream.com</t>
  </si>
  <si>
    <t>Rockerbox, SegmentStream, Measured, LifeSight, Haus, Recast, INCRMNTAL, Momentum, Sellforte, Northbeam, Triple Whale, Ruler Analytics, Dreamdata, Cometly</t>
  </si>
  <si>
    <t>aeovision.ai</t>
  </si>
  <si>
    <t>MONSOON, eMinded GmbH, morefire, Think11, Serviceplan Group, Claneo</t>
  </si>
  <si>
    <t>https://www.reddit.com/r/branding/comments/1s5trnk/top_10_best_international_seo_agency_in_germany/</t>
  </si>
  <si>
    <t>Claneo, NoGood, Directive Consulting, Single Grain, Omnius, Wpromote, Omniscient Digital, iPullRank, Siege Media, Radyant, Seeders, Darkroom</t>
  </si>
  <si>
    <t>Top 10 Best International SEO Agency in Germany (2026 Guide)</t>
  </si>
  <si>
    <t>neuhandeln.de</t>
  </si>
  <si>
    <t>morefire, Peak Ace, Aufgesang, iProspect, The Boutique Agency, eMinded GmbH, 42DIGITAL, e-dialog, Smarketer, KlickPiloten, Merkle, DREIKON, PANORAMA3000, Digital Masters GmbH, Pilot, Artefact</t>
  </si>
  <si>
    <t>DISCUSSION</t>
  </si>
  <si>
    <t>Discussion</t>
  </si>
  <si>
    <t>zendikt.com</t>
  </si>
  <si>
    <t>Claneo, Radyant, KlickPiloten, morefire</t>
  </si>
  <si>
    <t>https://www.sortlist.com/i/social-media/germany-de</t>
  </si>
  <si>
    <t>Measured, Ruler Analytics, Dreamdata, Deloitte Digital, PwC, Mindshare</t>
  </si>
  <si>
    <t>more-fire.com</t>
  </si>
  <si>
    <t>The 10 Best Social Media Agencies in Germany - 2026 Reviews</t>
  </si>
  <si>
    <t>morefire</t>
  </si>
  <si>
    <t>lehof, Momentum, PANORAMA3000</t>
  </si>
  <si>
    <t>edisonmoment.com</t>
  </si>
  <si>
    <t>https://www.sortlist.com/s/paid-media/germany-de</t>
  </si>
  <si>
    <t>The 10 Best Paid Media Agencies in Germany - 2026 Reviews</t>
  </si>
  <si>
    <t>Triple Whale, Northbeam, Dreamdata, MONSOON, lehof, Mediacharge, PANORAMA3000</t>
  </si>
  <si>
    <t>thegrowthsyndicate.com</t>
  </si>
  <si>
    <t>https://www.the-boutique-agency.de/en</t>
  </si>
  <si>
    <t>PPC and Digital Marketing Agency in Munich, Germany • The Boutique Agency</t>
  </si>
  <si>
    <t>Huge, Dentsu, Croud, Incubeta, Merkle, Brainlabs, Publicis Groupe, WPP, GroupM, s360, iProspect, Measured, Omnicom, Mindshare, Brandtech, Artefact, DEPT, Jellyfish, Phiture</t>
  </si>
  <si>
    <t>HOMEPAGE</t>
  </si>
  <si>
    <t>Homepage</t>
  </si>
  <si>
    <t>agenturtipp.de</t>
  </si>
  <si>
    <t>https://www.xmethod.de/en/blog/best-ai-agencies</t>
  </si>
  <si>
    <t>Mediacharge, ZweiDigital GmbH, Jellyfish, Smarketer, morefire, DREIKON, Haus, Aufgesang, Suchhelden</t>
  </si>
  <si>
    <t>Best AI Development &amp;amp; Automation Companies 2026 in Germany</t>
  </si>
  <si>
    <t>feedbax.de</t>
  </si>
  <si>
    <t>Mediacharge, KlickPiloten, DREIKON, PANORAMA3000, Suchhelden, Smarketer</t>
  </si>
  <si>
    <t>Xmethod, Seiten-Werk, Pilot</t>
  </si>
  <si>
    <t>northquery.com</t>
  </si>
  <si>
    <t>https://clutch.co/de/agencies/creative</t>
  </si>
  <si>
    <t>Dentsu, Peak Ace, iProspect, Siege Media</t>
  </si>
  <si>
    <t>Top Creative Agencies in Germany - Jul 2026 Rankings \| Clutch.co</t>
  </si>
  <si>
    <t>maibornwolff.de</t>
  </si>
  <si>
    <t>PANORAMA3000, Digitalyze, morefire, Haus</t>
  </si>
  <si>
    <t>https://www.dreikon.de/en/news/social-media/the-10-best-agencies-in-germany-2026/</t>
  </si>
  <si>
    <t>MaibornWolff, Pilot</t>
  </si>
  <si>
    <t>omnius.so</t>
  </si>
  <si>
    <t>Ranking of the 10 best social media agencies in Germany</t>
  </si>
  <si>
    <t>DREIKON, Loyamo, Mawave</t>
  </si>
  <si>
    <t>Omnius, Single Grain, Omniscient Digital, iPullRank, morefire, TRYSEO</t>
  </si>
  <si>
    <t>https://www.sortlist.com/i/s/creative/germany-de</t>
  </si>
  <si>
    <t>greenbook.org</t>
  </si>
  <si>
    <t>The 10 Best Creative Agencies in Germany - 2026 Reviews</t>
  </si>
  <si>
    <t>Accenture Song, Kantar, Mindshare</t>
  </si>
  <si>
    <t>PANORAMA3000, Measured</t>
  </si>
  <si>
    <t>performance-marketing-agency-berlin.com</t>
  </si>
  <si>
    <t>https://www.sortlist.com/s/ai-marketing/germany-de</t>
  </si>
  <si>
    <t>MONSOON, KlickPiloten, Digital Masters GmbH, lehof, Customlytics</t>
  </si>
  <si>
    <t>The 10 Best AI Marketing Companies in Germany - 2026 Reviews</t>
  </si>
  <si>
    <t>geoagentur.de</t>
  </si>
  <si>
    <t>https://clutch.co/de/consulting/ai</t>
  </si>
  <si>
    <t>Top AI Consultants in Germany - Jul 2026 Rankings \| Clutch.co</t>
  </si>
  <si>
    <t>Claneo, Aufgesang</t>
  </si>
  <si>
    <t>nevolearn.com</t>
  </si>
  <si>
    <t>https://www.42digital.de/en/google-marketing-platform-partner-42digital/</t>
  </si>
  <si>
    <t>morefire, Artefact, Haus, Scholz &amp; Friends</t>
  </si>
  <si>
    <t>bvdw.org</t>
  </si>
  <si>
    <t>Google Marketing Platform Partner | 42DIGITAL</t>
  </si>
  <si>
    <t>Institutional</t>
  </si>
  <si>
    <t>Accenture Song, Deloitte Digital, Jung von Matt, Monks, Publicis Groupe, Serviceplan Group, Omnicom Media Group, DEPT, Ogilvy, DDB Germany, Scholz &amp; Friends, MetaDesign, Omnicom, OMD, AKQA, Publicis Media, Havas Media, EY, Merkle, DREIKON, PANORAMA3000, Pilot</t>
  </si>
  <si>
    <t>e-dialog.group</t>
  </si>
  <si>
    <t>e-dialog, Pilot, Measured</t>
  </si>
  <si>
    <t>artefact.com</t>
  </si>
  <si>
    <t>https://hikemytraffic.com/ai-digital-marketing-agencies-in-germany/</t>
  </si>
  <si>
    <t>Artefact</t>
  </si>
  <si>
    <t>enterprisemarketingportal.google</t>
  </si>
  <si>
    <t>15 Best AI Digital Marketing Agencies in Germany (2026)</t>
  </si>
  <si>
    <t>PMG, Tinuiti, Adswerve, Making Science, Incubeta, Merkle, Brainlabs, Wpromote, Monks, DEPT, Jellyfish, OMD, Mindshare</t>
  </si>
  <si>
    <t>opinosis-analytics.com</t>
  </si>
  <si>
    <t>Opinosis Analytics</t>
  </si>
  <si>
    <t>https://www.influencer-hero.com/blogs/top-pay-per-click-agencies-in-germany</t>
  </si>
  <si>
    <t>zyppy.com</t>
  </si>
  <si>
    <t>HECHT INS GEFECHT</t>
  </si>
  <si>
    <t>Top 10 Pay-Per-Click Agencies in Germany</t>
  </si>
  <si>
    <t>haus.io</t>
  </si>
  <si>
    <t>Globalist, Social Media One, MONSOON, Mediacharge, Smarketer, KlickPiloten, Loyamo</t>
  </si>
  <si>
    <t>Haus, Measured, Momentum</t>
  </si>
  <si>
    <t>https://agencies.semrush.com/list/smm/germany/</t>
  </si>
  <si>
    <t>triplewhale.com</t>
  </si>
  <si>
    <t>Best Social Media Marketing Agencies in Germany 2026 | Semrush</t>
  </si>
  <si>
    <t>Baseplus DIGITAL MEDIA GmbH, morefire, Mediaplus Performance, MONSOON, KlickPiloten</t>
  </si>
  <si>
    <t>https://www.feld-m.de/service/marketing-measurement/</t>
  </si>
  <si>
    <t>Triple Whale, Haus, Measured, INCRMNTAL</t>
  </si>
  <si>
    <t>agencyvista.com</t>
  </si>
  <si>
    <t>Marketing Measurement | FELD M</t>
  </si>
  <si>
    <t>https://www.cometly.com/post/best-marketing-attribution-agencies-in-europe</t>
  </si>
  <si>
    <t>Dentsu, Deloitte Digital, GroupM, Jellyfish, iProspect, OMD, Croud, Adswerve, Making Science, Artefact, Merkle, Brainlabs, Ogilvy, DEPT, AKQA, e-dialog</t>
  </si>
  <si>
    <t>silicon.de</t>
  </si>
  <si>
    <t>Best Marketing Attribution Agencies In Europe 2026</t>
  </si>
  <si>
    <t>Claneo, DREIKON, Omnius, Aufgesang, iPullRank, WebFX, Suchhelden</t>
  </si>
  <si>
    <t>Cometly, Incubeta, Artefact, Convertiv, Jellyfish, Making Science</t>
  </si>
  <si>
    <t>btelligent.com</t>
  </si>
  <si>
    <t>https://www.designrush.com/agency/creative-agencies/de</t>
  </si>
  <si>
    <t>b.telligent, EY, Pilot, Huge</t>
  </si>
  <si>
    <t>Top Creative Agencies in Germany | 2026</t>
  </si>
  <si>
    <t>thatware.co</t>
  </si>
  <si>
    <t>REPLUG, EY</t>
  </si>
  <si>
    <t>https://sourceforge.net/software/incrementality-testing/germany/</t>
  </si>
  <si>
    <t>Claneo, Peak Ace, KlickPiloten</t>
  </si>
  <si>
    <t>Best Incrementality Testing Tools in Germany of 2026 - Reviews &amp;amp; Comparison</t>
  </si>
  <si>
    <t>gartner.com</t>
  </si>
  <si>
    <t>Haus, Recast, SegmentStream, Measured, LifeSight, INCRMNTAL, Triple Whale, Dreamdata, Northbeam, Ruler Analytics</t>
  </si>
  <si>
    <t>Measured, LifeSight, Sellforte, Rockerbox, Recast, Haus, Analytic Partners</t>
  </si>
  <si>
    <t>https://agencies.semrush.com/list/advertising/germany/</t>
  </si>
  <si>
    <t>superbcompanies.com</t>
  </si>
  <si>
    <t>Best Advertising Agencies in Germany 2026 | Semrush</t>
  </si>
  <si>
    <t>KlickPiloten, DEPT, Mediacharge, HECHT INS GEFECHT, The Boutique Agency</t>
  </si>
  <si>
    <t>Baseplus DIGITAL MEDIA GmbH, morefire, Mediaplus Performance, MONSOON, Mediacharge, KlickPiloten, Huge</t>
  </si>
  <si>
    <t>https://www.geoagenturen.de/</t>
  </si>
  <si>
    <t>loudface.co</t>
  </si>
  <si>
    <t>NoGood, Omnius, Omniscient Digital, iPullRank, Siege Media, Measured</t>
  </si>
  <si>
    <t>oneclub.org</t>
  </si>
  <si>
    <t>GEO-Agentur für Sichtbarkeit in ChatGPT, Perplexity &amp;amp; Google AI | Engine Native</t>
  </si>
  <si>
    <t>Jung von Matt, Ogilvy, Havas Media, Dentsu, Accenture Song, Monks, Media.Monks, Mediaplus Group, MetaDesign, OMD, Serviceplan Group, WPP, Scholz &amp; Friends</t>
  </si>
  <si>
    <t>statworx.com</t>
  </si>
  <si>
    <t>Engine Native</t>
  </si>
  <si>
    <t>statworx, Pilot</t>
  </si>
  <si>
    <t>https://www.magiclibrary.co/blog/best-b2b-saas-marketing-agencies-in-germany</t>
  </si>
  <si>
    <t>techradar.com</t>
  </si>
  <si>
    <t>Huge</t>
  </si>
  <si>
    <t>barefoot-performance.com</t>
  </si>
  <si>
    <t>12 best B2B SaaS marketing agencies in Germany for 2026</t>
  </si>
  <si>
    <t>experics.de</t>
  </si>
  <si>
    <t>Radyant, Omnius</t>
  </si>
  <si>
    <t>https://aeovision.ai/articles/best-aeo-geo-agencies-2026/</t>
  </si>
  <si>
    <t>Claneo, DREIKON, Aufgesang, DEPT, Suchhelden, Radyant, Kosch Klink Performance</t>
  </si>
  <si>
    <t>tech-now.io</t>
  </si>
  <si>
    <t>Best 60+ AEO/GEO Agencies in 2026 (US, Europe &amp;amp; Asia Directory) | AEO Vision</t>
  </si>
  <si>
    <t>morefire, HECHT INS GEFECHT, Capgemini</t>
  </si>
  <si>
    <t>adbeacon.com</t>
  </si>
  <si>
    <t>Rockerbox, Triple Whale, Ruler Analytics, Dreamdata, Northbeam, Cometly</t>
  </si>
  <si>
    <t>hyam.de</t>
  </si>
  <si>
    <t>iPullRank, Siege Media, Omniscient Digital, NoGood, Directive Consulting, Single Grain, Darkroom, Wpromote, Omnius, Seeders, Claneo, Radyant</t>
  </si>
  <si>
    <t>Huge, HY.AM STUDIOS</t>
  </si>
  <si>
    <t>https://clutch.co/de/agencies/market-research</t>
  </si>
  <si>
    <t>aisuperior.com</t>
  </si>
  <si>
    <t>MaibornWolff</t>
  </si>
  <si>
    <t>marketing-companies-in-germany.com</t>
  </si>
  <si>
    <t>Top Market Research Companies in Germany - Jul 2026 Rankings | Clutch.co</t>
  </si>
  <si>
    <t>LNQP GmbH, Merkle</t>
  </si>
  <si>
    <t>Labelium, MONSOON, Digital Masters GmbH, Loyamo, lehof, Mediacharge, eMinded GmbH, Measured</t>
  </si>
  <si>
    <t>https://www.goodfirms.co/advertising-companies/creative/germany</t>
  </si>
  <si>
    <t>scaled2c.com</t>
  </si>
  <si>
    <t>wmtips.com</t>
  </si>
  <si>
    <t>Top Creative Agencies in Germany - 2026 Reviews | Goodfirms</t>
  </si>
  <si>
    <t>Mediacharge, Scholz &amp; Friends, Publicis Groupe</t>
  </si>
  <si>
    <t>house-of-communication.com</t>
  </si>
  <si>
    <t>https://sourceforge.net/software/marketing-attribution/germany/</t>
  </si>
  <si>
    <t>Serviceplan Group, Momentum, Haus, Mediaplus Group, Mediaplus Performance</t>
  </si>
  <si>
    <t>hubspot.com</t>
  </si>
  <si>
    <t>Radyant</t>
  </si>
  <si>
    <t>Best Marketing Attribution Software in Germany of 2026 - Reviews &amp;amp; Comparison</t>
  </si>
  <si>
    <t>s360digital.com</t>
  </si>
  <si>
    <t>Triple Whale, Measured</t>
  </si>
  <si>
    <t>https://digitalagencynetwork.com/agencies/berlin/</t>
  </si>
  <si>
    <t>s360, Measured</t>
  </si>
  <si>
    <t>ayrank.com</t>
  </si>
  <si>
    <t>Claneo, KlickPiloten, Radyant</t>
  </si>
  <si>
    <t>digiscorp.com</t>
  </si>
  <si>
    <t>Top Digital Marketing Agencies in Berlin, Germany (2026)</t>
  </si>
  <si>
    <t>appliedAI, Measured, Pilot</t>
  </si>
  <si>
    <t>indeedseo.com</t>
  </si>
  <si>
    <t>ninjapromo.io</t>
  </si>
  <si>
    <t>Pilot</t>
  </si>
  <si>
    <t>MONSOON, PANORAMA3000, HY.AM STUDIOS</t>
  </si>
  <si>
    <t>https://feedbax.ai/performance-marketing/germany</t>
  </si>
  <si>
    <t>openpr.com</t>
  </si>
  <si>
    <t>DREIKON</t>
  </si>
  <si>
    <t>Top 20 Performance Marketing Agencies in Germany - 2026 Reviews</t>
  </si>
  <si>
    <t>thedrum.com</t>
  </si>
  <si>
    <t>WPP, Omnicom, Kantar, BCG, Ogilvy, Measured, Huge, Serviceplan Group</t>
  </si>
  <si>
    <t>PANORAMA3000, KlickPiloten, Mediacharge, Smarketer, DREIKON, Suchhelden</t>
  </si>
  <si>
    <t>icoda.io</t>
  </si>
  <si>
    <t>https://hikemytraffic.com/ai-digital-marketing-services-in-germany/</t>
  </si>
  <si>
    <t>Claneo, Omnius, Single Grain, Aufgesang, TRYSEO, Brainlabs, Tinuiti, Jellyfish, Directive Consulting, Wpromote</t>
  </si>
  <si>
    <t>werbeagentur.de</t>
  </si>
  <si>
    <t>Top 10 AI Digital Marketing Services in Germany (2026)</t>
  </si>
  <si>
    <t>https://www.sortlist.de/s/bezahlte-media/deutschland-de</t>
  </si>
  <si>
    <t>Artefact, Mawave, Aufgesang, ZweiDigital GmbH, Digital Masters GmbH, Customlytics, eMinded GmbH, Löwenstark, Loyamo, Smarketer, Social Media Pirates, morefire, PANORAMA3000, Seiten-Werk, Baseplus DIGITAL MEDIA GmbH</t>
  </si>
  <si>
    <t>dynamicsupport.de</t>
  </si>
  <si>
    <t>Unsere 10 Besten Bezahlte Media Agenturen in Deutschland - 2026 Bewertungen</t>
  </si>
  <si>
    <t>advisori.de</t>
  </si>
  <si>
    <t>Pilot, Momentum</t>
  </si>
  <si>
    <t>HOW_TO_GUIDE</t>
  </si>
  <si>
    <t>How-To Guide</t>
  </si>
  <si>
    <t>beste-geo-agentur.de</t>
  </si>
  <si>
    <t>lehof, MONSOON, KlickPiloten, Mediacharge</t>
  </si>
  <si>
    <t>https://techbehemoths.com/companies/google-marketing-platform/germany</t>
  </si>
  <si>
    <t>digipims.com</t>
  </si>
  <si>
    <t>HikeMyTraffic, Nielsen</t>
  </si>
  <si>
    <t>Top 20+ Google Marketing Platform Companies in Germany (2026) - TechBehemoths</t>
  </si>
  <si>
    <t>digital-marketing-agencies.de</t>
  </si>
  <si>
    <t>Peak Ace, Huge</t>
  </si>
  <si>
    <t>https://www.xmethod.de/en/blog/besten-ki-agenturen</t>
  </si>
  <si>
    <t>icreativez.com</t>
  </si>
  <si>
    <t>Top AI Agencies 2026 in Germany – Services &amp;amp; Costs</t>
  </si>
  <si>
    <t>Haus</t>
  </si>
  <si>
    <t>keyperformance.de</t>
  </si>
  <si>
    <t>https://www.zendikt.com/top-10-marketing-analytics-software/germany</t>
  </si>
  <si>
    <t>pinemarsh.com</t>
  </si>
  <si>
    <t>roover.de</t>
  </si>
  <si>
    <t>Top 10 Marketing Analytics Software in Germany for 2026</t>
  </si>
  <si>
    <t>aeoagency.org</t>
  </si>
  <si>
    <t>Ruler Analytics, Measured, Dreamdata</t>
  </si>
  <si>
    <t>https://www.dreikon.de/en/news/online-marketing-knowledge/best-online-marketing-agency-in-germany/</t>
  </si>
  <si>
    <t>conplore.com</t>
  </si>
  <si>
    <t>Best online marketing agency in Germany</t>
  </si>
  <si>
    <t>Claneo, Peak Ace, Aufgesang</t>
  </si>
  <si>
    <t>https://techbehemoths.com/companies/media-planning-buying/germany</t>
  </si>
  <si>
    <t>hockeystack.com</t>
  </si>
  <si>
    <t>Rockerbox, Northbeam, Triple Whale, Ruler Analytics, Dreamdata</t>
  </si>
  <si>
    <t>Top 20+ Media Planning &amp;amp; Buying Agencies in Germany (2026) - TechBehemoths</t>
  </si>
  <si>
    <t>itprofiles.com</t>
  </si>
  <si>
    <t>Admiral Media, Pilot, Huge</t>
  </si>
  <si>
    <t>https://agencies.semrush.com/list/display-advertising/germany/small-business/</t>
  </si>
  <si>
    <t>Mediacharge, MONSOON, Jung von Matt, Serviceplan Group, REPLUG, Measured, Phiture</t>
  </si>
  <si>
    <t>lifesight.io</t>
  </si>
  <si>
    <t>Haus, Northbeam, Measured, LifeSight, Recast, Sellforte, Rockerbox</t>
  </si>
  <si>
    <t>Best Display Ads Agencies for Small Business in Germany 2026 | Semrush</t>
  </si>
  <si>
    <t>mobian.studio</t>
  </si>
  <si>
    <t>Artefact, b.telligent</t>
  </si>
  <si>
    <t>Baseplus DIGITAL MEDIA GmbH, Mediaplus Performance, MONSOON, KlickPiloten</t>
  </si>
  <si>
    <t>online-digitalx.de</t>
  </si>
  <si>
    <t>https://www.cometly.com/post/marketing-incrementality-testing-tools</t>
  </si>
  <si>
    <t>getrecast.com</t>
  </si>
  <si>
    <t>9 Best Marketing Incrementality Testing Tools 2026</t>
  </si>
  <si>
    <t>Cometly, Measured, Rockerbox, Northbeam, LifeSight, Haus, Recast</t>
  </si>
  <si>
    <t>Recast</t>
  </si>
  <si>
    <t>https://www.feld-m.de/en/service/marketing-measurement/</t>
  </si>
  <si>
    <t>liftlab.com</t>
  </si>
  <si>
    <t>Marketing Measurement &amp;amp; Media Mix Modeling for Actionable Insights | FELD M</t>
  </si>
  <si>
    <t>hopmann.com</t>
  </si>
  <si>
    <t>https://hikemytraffic.com/ai-seo-agencies-in-germany/</t>
  </si>
  <si>
    <t>Hopmann Marketing Analytics GmbH, Huge, Pilot</t>
  </si>
  <si>
    <t>adc.de</t>
  </si>
  <si>
    <t>Publicis Groupe, Ogilvy, Scholz &amp; Friends, MetaDesign, Momentum, Accenture Song, Jung von Matt, Haus</t>
  </si>
  <si>
    <t>Top 11 AI SEO Agencies in Germany</t>
  </si>
  <si>
    <t>google.de</t>
  </si>
  <si>
    <t>https://lengreo.com/best-llm-seo-agencies-in-germany/</t>
  </si>
  <si>
    <t>deptagency.com</t>
  </si>
  <si>
    <t>DEPT</t>
  </si>
  <si>
    <t>Top 9 German Companies for LLM SEO (2026)</t>
  </si>
  <si>
    <t>ecommercegermany.com</t>
  </si>
  <si>
    <t>TRYSEO, Omnius, Löwenstark</t>
  </si>
  <si>
    <t>Admiral Media, Huge</t>
  </si>
  <si>
    <t>https://northquery.com/best-aeo-agency/europe</t>
  </si>
  <si>
    <t>arxiv.org</t>
  </si>
  <si>
    <t>Best AEO Agency in Europe 2026: I Ranked 8 That Actually Deliver | Northquery</t>
  </si>
  <si>
    <t>founderpal.ai</t>
  </si>
  <si>
    <t>Peak Ace, iProspect, Dentsu, Siege Media</t>
  </si>
  <si>
    <t>Jung von Matt, Serviceplan Group, DEPT, Scholz &amp; Friends, Pilot</t>
  </si>
  <si>
    <t>https://agencies.semrush.com/list/market-analysis/germany/</t>
  </si>
  <si>
    <t>gaper.io</t>
  </si>
  <si>
    <t>NoGood</t>
  </si>
  <si>
    <t>Best Market Research Companies in Germany 2026 | Semrush</t>
  </si>
  <si>
    <t>invademarketing.com</t>
  </si>
  <si>
    <t>Baseplus DIGITAL MEDIA GmbH, Mediaplus Performance, KlickPiloten</t>
  </si>
  <si>
    <t>https://www.agenturtipp.de/performance-marketing-agenturen/</t>
  </si>
  <si>
    <t>nuundigital.com</t>
  </si>
  <si>
    <t>Top Performance-Marketing-Agenturen (2026) im Vergleich ↗️</t>
  </si>
  <si>
    <t>orm-tech.com</t>
  </si>
  <si>
    <t>ZweiDigital GmbH, Smarketer, Mediacharge, Jellyfish</t>
  </si>
  <si>
    <t>https://digitalagencynetwork.com/agencies/berlin/ai-marketing/</t>
  </si>
  <si>
    <t>Dreamdata</t>
  </si>
  <si>
    <t>rankshift.ai</t>
  </si>
  <si>
    <t>Top AI Marketing Agencies in Berlin (2026)</t>
  </si>
  <si>
    <t>Omnius, WebFX, iPullRank</t>
  </si>
  <si>
    <t>https://greenbook.org/market-research-companies/germany</t>
  </si>
  <si>
    <t>thebestagency.de</t>
  </si>
  <si>
    <t>Top Marketing Research Firms in Germany — Greenbook</t>
  </si>
  <si>
    <t>Accenture Song, Mawave, Jung von Matt, Publicis Groupe, Serviceplan Group, Aufgesang, Omnicom Media Group, Ogilvy, Scholz &amp; Friends, Omnicom, Mindshare, Publicis Media, Havas Media</t>
  </si>
  <si>
    <t>topgeoagencies.com</t>
  </si>
  <si>
    <t>Mindshare, Accenture Song, Kantar</t>
  </si>
  <si>
    <t>https://www.neuhandeln.de/performance-ranking/performance_2024</t>
  </si>
  <si>
    <t>iPullRank, Siege Media</t>
  </si>
  <si>
    <t>upliftgtm.com</t>
  </si>
  <si>
    <t>Das Ranking der gr��ten deutschsprachigen Performance-Marketing-Agenturen</t>
  </si>
  <si>
    <t>NoGood, Single Grain, Omniscient Digital, Siege Media, Measured</t>
  </si>
  <si>
    <t>omt.de</t>
  </si>
  <si>
    <t>KlickPiloten, Haus, eMinded GmbH, Suchhelden, Analytic Partners, Dreamdata, Nielsen, Neustar</t>
  </si>
  <si>
    <t>iProspect, Smarketer, Peak Ace, e-dialog, morefire, The Boutique Agency, 42DIGITAL, Aufgesang, eMinded GmbH</t>
  </si>
  <si>
    <t>s-f.family</t>
  </si>
  <si>
    <t>WPP, Scholz &amp; Friends</t>
  </si>
  <si>
    <t>https://seeders.com/blog/8-best-seo-agencies-in-germany-2026-ranked/</t>
  </si>
  <si>
    <t>businessinsider.com</t>
  </si>
  <si>
    <t>8 best SEO agencies in Germany [2026 ranked] | Seeders</t>
  </si>
  <si>
    <t>PwC, McKinsey &amp; Company, Measured, EY, BCG, Boston Consulting Group, Huge, appliedAI, WPP</t>
  </si>
  <si>
    <t>aijourn.com</t>
  </si>
  <si>
    <t>Seeders, Claneo, Omnius, Suchhelden, morefire, Huge</t>
  </si>
  <si>
    <t>https://www.thegrowthsyndicate.com/agencies/best-b2b-performance-marketing-agencies-europe</t>
  </si>
  <si>
    <t>brandcrock.com</t>
  </si>
  <si>
    <t>bynd.consulting</t>
  </si>
  <si>
    <t>Omnicom Media Group, Measured</t>
  </si>
  <si>
    <t>The 12 Best B2B Performance Marketing Agencies in Europe</t>
  </si>
  <si>
    <t>ekipa.ai</t>
  </si>
  <si>
    <t>factors.ai</t>
  </si>
  <si>
    <t>Brainlabs, WPP, GroupM, s360, Incubeta, Croud, iProspect, Measured, Huge, Mindshare, Publicis Groupe, Omnicom, Dentsu, Merkle</t>
  </si>
  <si>
    <t>https://clutch.co/de/agencies/business-services-industry</t>
  </si>
  <si>
    <t>Rockerbox, Measured, Dreamdata</t>
  </si>
  <si>
    <t>Top Advertising Agencies for B2B in Germany - Jul 2026 Rankings | Clutch.co</t>
  </si>
  <si>
    <t>intentcliq.com</t>
  </si>
  <si>
    <t>MONSOON, Mediacharge, Digitalyze, morefire, WeLikeWeb GmbH</t>
  </si>
  <si>
    <t>https://clutch.co/de/agencies/ppc/advertising-industry</t>
  </si>
  <si>
    <t>Mediacharge, Smarketer</t>
  </si>
  <si>
    <t>kideconsult.de</t>
  </si>
  <si>
    <t>Top PPC Agencies for Ad Agencies in Germany - Jul 2026 Rankings \| Clutch.co</t>
  </si>
  <si>
    <t>Mediacharge, Seeders, Medialabel</t>
  </si>
  <si>
    <t>promoguy.nl</t>
  </si>
  <si>
    <t>https://www.ibusiness.de/performance-ranking/performance_2025</t>
  </si>
  <si>
    <t>Haus, Measured, LifeSight</t>
  </si>
  <si>
    <t>thedigitalelevator.com</t>
  </si>
  <si>
    <t>Omnius, Directive Consulting, iPullRank, Siege Media</t>
  </si>
  <si>
    <t>https://nevolearn.com/blog/social-media-marketing-agencies-germany</t>
  </si>
  <si>
    <t>ultragrowthmedia.com</t>
  </si>
  <si>
    <t>Top 5 Social Media Marketing Agencies in Germany | Guide 2025 | NevoLearn</t>
  </si>
  <si>
    <t>Mediacharge, Jung von Matt, Serviceplan Group</t>
  </si>
  <si>
    <t>wikipedia.org</t>
  </si>
  <si>
    <t>Artefact, morefire, Haus, Scholz &amp; Friends</t>
  </si>
  <si>
    <t>Omnicom Media Group, Omnicom, BBDO Germany, Jung von Matt, Serviceplan Group, Haus, Mediaplus Group, Momentum, WPP, Scholz &amp; Friends, Pilot, OMD</t>
  </si>
  <si>
    <t>https://oski.site/blog/sales-and-marketing-analytics-companies-germany/</t>
  </si>
  <si>
    <t>ratter-consulting.com</t>
  </si>
  <si>
    <t>Best 14 Sales and Marketing Analytics Companies in Germany</t>
  </si>
  <si>
    <t>b.telligent, Kantar, Nielsen, MONSOON, Artefact</t>
  </si>
  <si>
    <t>https://partnersdirectory.withgoogle.com/</t>
  </si>
  <si>
    <t>kom.de</t>
  </si>
  <si>
    <t>Jung von Matt, Accenture Song, Publicis Groupe, Serviceplan Group, Ogilvy, Scholz &amp; Friends, MetaDesign</t>
  </si>
  <si>
    <t>admiral.media</t>
  </si>
  <si>
    <t>Admiral Media, Measured, Pilot</t>
  </si>
  <si>
    <t>Google Partners Directory - Find a Partner for Business Growth</t>
  </si>
  <si>
    <t>architecturaldigest.com</t>
  </si>
  <si>
    <t>boostit.de</t>
  </si>
  <si>
    <t>https://sellforte.com/</t>
  </si>
  <si>
    <t>Claneo, DREIKON, Suchhelden</t>
  </si>
  <si>
    <t>crispycontent.de</t>
  </si>
  <si>
    <t>MMM, Incrementality Testing &amp;amp; Attribution | Sellforte</t>
  </si>
  <si>
    <t>dejaoffice.com</t>
  </si>
  <si>
    <t>Sellforte, Huge, Measured</t>
  </si>
  <si>
    <t>Huge, NoGood, Single Grain, Omniscient Digital, Siege Media, iPullRank</t>
  </si>
  <si>
    <t>https://clutch.co/de/agencies/media-buying</t>
  </si>
  <si>
    <t>eichen.ai</t>
  </si>
  <si>
    <t>Nielsen</t>
  </si>
  <si>
    <t>Top Media Buying Agencies in Germany - Jul 2026 Rankings \| Clutch.co</t>
  </si>
  <si>
    <t>hmz.technology</t>
  </si>
  <si>
    <t>REPLUG, Phiture, Measured, Haus, GroupM, Publicis Media, Mediaplus Group</t>
  </si>
  <si>
    <t>minuttia.com</t>
  </si>
  <si>
    <t>https://lengreo.com/germany-berlin-aeo-geo-llmo-companies/</t>
  </si>
  <si>
    <t>Huge, Omnius, Measured, Seeders, TRYSEO, NoGood, Single Grain, Siege Media, iPullRank</t>
  </si>
  <si>
    <t>pwc.de</t>
  </si>
  <si>
    <t>Top 10 Berlin’s Companies in AEO, GEO, and LLMO (2026)</t>
  </si>
  <si>
    <t>PwC, Pilot</t>
  </si>
  <si>
    <t>Claneo, KlickPiloten</t>
  </si>
  <si>
    <t>websenor.com</t>
  </si>
  <si>
    <t>https://sellforte.com/blog/best-incrementality-testing-tools</t>
  </si>
  <si>
    <t>statworx</t>
  </si>
  <si>
    <t>Best Incrementality Testing Tools in 2026: In-depth Vendor Comparison</t>
  </si>
  <si>
    <t>aeodirectory.com</t>
  </si>
  <si>
    <t>COMPARISON</t>
  </si>
  <si>
    <t>Comparison</t>
  </si>
  <si>
    <t>Sellforte, Measured, Haus, Recast, Pilot, Boston Consulting Group</t>
  </si>
  <si>
    <t>https://techbehemoths.com/companies/digital-marketing/germany</t>
  </si>
  <si>
    <t>Top 20+ Digital Marketing Agencies in Germany (2026) - TechBehemoths</t>
  </si>
  <si>
    <t>https://www.youtube.com/watch?v=00C1PZt8bLw&amp;vl=de&amp;t=116</t>
  </si>
  <si>
    <t>Die 5 besten GEO-Agenturen in Deutschland 2026 (Liste)</t>
  </si>
  <si>
    <t>Claneo</t>
  </si>
  <si>
    <t>https://aeo-copilot.com/partners/agencies/germany/munich</t>
  </si>
  <si>
    <t>Best AEO Agencies in Munich, Germany — AI Visibility Experts | AEO Copilot</t>
  </si>
  <si>
    <t>trkkn.com</t>
  </si>
  <si>
    <t>https://awisee.com/blog/digital-marketing-agencies-germany/</t>
  </si>
  <si>
    <t>appliedai.de</t>
  </si>
  <si>
    <t>Top 4 Digital Marketing Agencies Germany In 2025 (Reviews)</t>
  </si>
  <si>
    <t>Measured, Pilot, appliedAI</t>
  </si>
  <si>
    <t>meedia.de</t>
  </si>
  <si>
    <t>https://clutch.co/de/agencies/ppc/display</t>
  </si>
  <si>
    <t>Jung von Matt, Serviceplan Group, Haus, Scholz &amp; Friends, Accenture Song, Ogilvy, Omnicom, Dentsu, WPP, GroupM, Omnicom Media Group, OMD, Pilot, Mindshare, Publicis Media, Havas Media, Mediaplus Group</t>
  </si>
  <si>
    <t>neurank.de</t>
  </si>
  <si>
    <t>Top Display Advertising Services in Germany - Jul 2026 Rankings \| Clutch.co</t>
  </si>
  <si>
    <t>Seeders, GroupM, Aufgesang</t>
  </si>
  <si>
    <t>https://www.geoagenturen.de/directory</t>
  </si>
  <si>
    <t>alphaapexgroup.com</t>
  </si>
  <si>
    <t>GEO Agentur finden: 100+ Anbieter im Vergleich [2026] | Engine Native</t>
  </si>
  <si>
    <t>Artefact, Ogilvy, McKinsey &amp; Company, Pilot</t>
  </si>
  <si>
    <t>bbdo.de</t>
  </si>
  <si>
    <t>https://www.maibornwolff.de/en/ai-consulting/</t>
  </si>
  <si>
    <t>Omnicom, BBDO Germany</t>
  </si>
  <si>
    <t>convios.com</t>
  </si>
  <si>
    <t>AI consulting for companies from MaibornWolff</t>
  </si>
  <si>
    <t>deducive.com</t>
  </si>
  <si>
    <t>https://mediacharge.com/performance-marketing-agency-germany</t>
  </si>
  <si>
    <t>gaasly.com</t>
  </si>
  <si>
    <t>German Performance Marketing Agency | DACH Agency</t>
  </si>
  <si>
    <t>gtm8020.com</t>
  </si>
  <si>
    <t>https://www.opinosis-analytics.com/ai-consulting-in-germany/</t>
  </si>
  <si>
    <t>Momentum, Omniscient Digital, Siege Media</t>
  </si>
  <si>
    <t>naointelligence.com</t>
  </si>
  <si>
    <t>AI Consulting Company in Germany | AI Agents | Machine Learning Consulting</t>
  </si>
  <si>
    <t>risexventuress.com</t>
  </si>
  <si>
    <t>https://www.radyant.io/comparison/the-7-best-ai-search-optimization-agencies-in-europe</t>
  </si>
  <si>
    <t>scability.de</t>
  </si>
  <si>
    <t>The 7 best AI Search Optimization agencies in Europe · Radyant</t>
  </si>
  <si>
    <t>Radyant, Omnius, Peak Ace</t>
  </si>
  <si>
    <t>smarketer.de</t>
  </si>
  <si>
    <t>https://seeders.com/blog/top-10-generative-engine-optimization-geo-agencies-in-europe/</t>
  </si>
  <si>
    <t>Smarketer</t>
  </si>
  <si>
    <t>10 Best European GEO Agencies | Seeders</t>
  </si>
  <si>
    <t>topdevelopers.co</t>
  </si>
  <si>
    <t>Seeders, iProspect, Dentsu, Brainlabs, DEPT, Croud, Peak Ace</t>
  </si>
  <si>
    <t>https://zyppy.com/companies/c/generative-ai-seo/germany/</t>
  </si>
  <si>
    <t>ziuma.com</t>
  </si>
  <si>
    <t>Top Generative AI Search Companies in Germany - July 2026</t>
  </si>
  <si>
    <t>directiveconsulting.com</t>
  </si>
  <si>
    <t>https://agencies.semrush.com/list/analytics-data-science/germany/</t>
  </si>
  <si>
    <t>PMG, Croud, Momentum, Tinuiti, Monks, Merkle, Wpromote, Directive Consulting, Jellyfish, iProspect, Measured, Refine Labs, Media.Monks, KlientBoost, AKQA, R/GA, Dentsu, Brainlabs, Disruptive Advertising, DEPT, WebFX, NoGood, Omniscient Digital, Single Grain, inBeat, Common Thread Collective, Pilot, Darkroom, Power Digital</t>
  </si>
  <si>
    <t>aio.com.ai</t>
  </si>
  <si>
    <t>Best Data Analytics Services in Germany 2026 | Semrush</t>
  </si>
  <si>
    <t>HECHT INS GEFECHT, Baseplus DIGITAL MEDIA GmbH, morefire, Mediaplus Performance, KlickPiloten</t>
  </si>
  <si>
    <t>Measured, Pilot</t>
  </si>
  <si>
    <t>https://clutch.co/de/consulting/ai/strategy</t>
  </si>
  <si>
    <t>wuv.de</t>
  </si>
  <si>
    <t>Top AI Strategy Companies in Germany - Jul 2026 Rankings \| Clutch.co</t>
  </si>
  <si>
    <t>Jung von Matt, Serviceplan Group, Accenture Song, Publicis Groupe, Omnicom, Scholz &amp; Friends, Ogilvy</t>
  </si>
  <si>
    <t>zipdo.co</t>
  </si>
  <si>
    <t>https://www.more-fire.com/en/implementation/display-advertising/</t>
  </si>
  <si>
    <t>Publicis Groupe, WPP, PwC, Capgemini, Dentsu, Merkle, EY, Pilot, Publicis Media, Wpromote, Northbeam, Kantar, Nielsen</t>
  </si>
  <si>
    <t>Display Advertising Agency From Cologne, Germany | morefire</t>
  </si>
  <si>
    <t>campaigngermany.de</t>
  </si>
  <si>
    <t>Accenture Song, Jung von Matt, Serviceplan Group, Ogilvy, Mawave, DDB Germany, Publicis Groupe, DEPT, Scholz &amp; Friends, Havas Media, Pilot, OMD, BBDO Germany, Mediaplus Group</t>
  </si>
  <si>
    <t>https://omr.com/de/reviews/service-category/performance-marketing-agenturen</t>
  </si>
  <si>
    <t>daviesmeyer.com</t>
  </si>
  <si>
    <t>Top Performance Marketing Agenturen in Deutschland, Österreich und Schweiz</t>
  </si>
  <si>
    <t>Recast, Northbeam, Triple Whale</t>
  </si>
  <si>
    <t>monks.com</t>
  </si>
  <si>
    <t>KlickPiloten, Löwenstark, Smarketer, Jung von Matt</t>
  </si>
  <si>
    <t>https://omr.com/en/reviews/service-category/geo-agenturen</t>
  </si>
  <si>
    <t>Monks, Momentum</t>
  </si>
  <si>
    <t>aeoagencyservices.com</t>
  </si>
  <si>
    <t>op GEO Agencies in Germany, Austria &amp;amp; Switzerland</t>
  </si>
  <si>
    <t>Claneo, HECHT INS GEFECHT, TRYSEO, Suchhelden, Kosch Klink Performance, Löwenstark</t>
  </si>
  <si>
    <t>https://performance-marketing-agency-berlin.com/marketing-analytics/berlin</t>
  </si>
  <si>
    <t>NoGood, Omnius, HECHT INS GEFECHT, Seeders</t>
  </si>
  <si>
    <t>callboxinc.com</t>
  </si>
  <si>
    <t>Directive Consulting, Omniscient Digital, DEPT, Siege Media, iPullRank</t>
  </si>
  <si>
    <t>echomotion.ai</t>
  </si>
  <si>
    <t>The best Marketing Analytics Companies in Berlin</t>
  </si>
  <si>
    <t>flypix.ai</t>
  </si>
  <si>
    <t>foundry.berlin</t>
  </si>
  <si>
    <t>MONSOON, KlickPiloten, lehof, Digital Masters GmbH</t>
  </si>
  <si>
    <t>inbeat.agency</t>
  </si>
  <si>
    <t>inBeat, Measured, Nielsen, Hawke Media, Tinuiti, Bark London, Darkroom, Artefact, WebFX</t>
  </si>
  <si>
    <t>https://www.sortlist.com/s/digital-advertising/germany-de</t>
  </si>
  <si>
    <t>madx.digital</t>
  </si>
  <si>
    <t>NoGood, Omnius, Single Grain, iPullRank, Siege Media</t>
  </si>
  <si>
    <t>online-marketing-guy.com</t>
  </si>
  <si>
    <t>The 10 Best Digital Advertising Agencies in Germany - 2026 Reviews</t>
  </si>
  <si>
    <t>MONSOON, Triple Whale, Northbeam, Dreamdata, Momentum, Mediacharge</t>
  </si>
  <si>
    <t>Dentsu, Jung von Matt, Scholz &amp; Friends, Omnicom</t>
  </si>
  <si>
    <t>https://www.sortlist.com/s/media-planning/germany-de</t>
  </si>
  <si>
    <t>red-dot.org</t>
  </si>
  <si>
    <t>AKQA, Accenture Song, MetaDesign, Scholz &amp; Friends, Serviceplan Group, Jung von Matt</t>
  </si>
  <si>
    <t>The 10 Best Media Agencies in Germany - 2026 Reviews</t>
  </si>
  <si>
    <t>reuters.com</t>
  </si>
  <si>
    <t>lehof, Momentum, Triple Whale, Northbeam, Dreamdata, Kantar</t>
  </si>
  <si>
    <t>https://www.sortlist.de/s/marketing-analytik/deutschland-de</t>
  </si>
  <si>
    <t>Publicis Groupe, WPP, Epsilon, Omnicom, GroupM, Ogilvy</t>
  </si>
  <si>
    <t>sentinus-consulting.de</t>
  </si>
  <si>
    <t>Marketing-Analytik Agenturen Deutschland vergleichen</t>
  </si>
  <si>
    <t>lehof, MONSOON</t>
  </si>
  <si>
    <t>https://support.google.com/analytics/answer/7237700?hl=en</t>
  </si>
  <si>
    <t>Haus, BCG, Boston Consulting Group</t>
  </si>
  <si>
    <t>seo-kueche.de</t>
  </si>
  <si>
    <t>Google Marketing Platform Partners - Analytics Help</t>
  </si>
  <si>
    <t>Claneo, DREIKON, eMinded GmbH, Bloofusion Germany GmbH</t>
  </si>
  <si>
    <t>clicksgeek.com</t>
  </si>
  <si>
    <t>https://themanifest.com/de/social-media/agencies</t>
  </si>
  <si>
    <t>Momentum, Measured, Rockerbox, Northbeam, Triple Whale, Ruler Analytics</t>
  </si>
  <si>
    <t>The Best Social Media Marketing Companies in Germany - Jun 2026 \| The Manifest</t>
  </si>
  <si>
    <t>acid21.com</t>
  </si>
  <si>
    <t>MONSOON, Mediacharge, HY.AM STUDIOS, PANORAMA3000, DREIKON</t>
  </si>
  <si>
    <t>https://www.triplewhale.com/blog/best-incrementality-testing-tools</t>
  </si>
  <si>
    <t>pr-journal.de</t>
  </si>
  <si>
    <t>Jung von Matt, WPP, GroupM, Ogilvy, Scholz &amp; Friends, MetaDesign, Loyamo, Mindshare, OMD, Havas Media, Serviceplan Group, Pilot</t>
  </si>
  <si>
    <t>The Best Incrementality Testing Tools for Marketers in 2026 | Triple Whale</t>
  </si>
  <si>
    <t>csw.agency</t>
  </si>
  <si>
    <t>Seeders, Baseplus DIGITAL MEDIA GmbH</t>
  </si>
  <si>
    <t>seoworks.com</t>
  </si>
  <si>
    <t>https://clutch.co/de/agencies/digital</t>
  </si>
  <si>
    <t>Brainlabs, WebFX, HikeMyTraffic, Jellyfish, Siege Media, Measured, SmartSites, Omnius, Omniscient Digital, Pilot</t>
  </si>
  <si>
    <t>webtonic.io</t>
  </si>
  <si>
    <t>Top Full-Service Digital Agencies in Germany - Jul 2026 Rankings \| Clutch.co</t>
  </si>
  <si>
    <t>HY.AM STUDIOS, Huge, Digitalyze, DREIKON, morefire, Löwenstark</t>
  </si>
  <si>
    <t>Tinuiti, Accenture Song, Wpromote, Superside, WPP, Hawke Media, AKQA, R/GA, Incubeta, NoGood, Disruptive Advertising, Single Grain, Directive Consulting, Jellyfish, KlientBoost, SmartSites, Power Digital, Croud, Brainlabs</t>
  </si>
  <si>
    <t>https://ensun.io/search/multi-touch-attribution/germany</t>
  </si>
  <si>
    <t>absatzwirtschaft.de</t>
  </si>
  <si>
    <t>Top 100 Multi-Touch Attribution Companies in Germany (2026) \| ensun</t>
  </si>
  <si>
    <t>Dentsu, Accenture Song, Publicis Groupe, Serviceplan Group, Ogilvy, Scholz &amp; Friends, OMD, AKQA</t>
  </si>
  <si>
    <t>adbaker.de</t>
  </si>
  <si>
    <t>https://feedbax.ai/digital-marketing/germany#:~:text=from%20on...-,Read%20More,100%25%20relevance%20%E2%9C%93%20Inform%20now</t>
  </si>
  <si>
    <t>applabx.com</t>
  </si>
  <si>
    <t>Top 20 Digital Marketing Agencies in Germany - 2026 Reviews</t>
  </si>
  <si>
    <t>Mediacharge, MONSOON, Claneo, Serviceplan Group, HECHT INS GEFECHT, Digital Masters GmbH, Measured</t>
  </si>
  <si>
    <t>beomniscient.com</t>
  </si>
  <si>
    <t>https://www.omnius.so/blog/best-answer-engine-optimization-agencies</t>
  </si>
  <si>
    <t>NoGood, Disruptive Advertising, Omniscient Digital, Momentum, Superside, Single Grain, Directive Consulting, Pilot, Measured, Daydream</t>
  </si>
  <si>
    <t>16 Best Answer Engine Optimization (AEO) Agencies in 2026</t>
  </si>
  <si>
    <t>comcepta.de</t>
  </si>
  <si>
    <t>easy-m.de</t>
  </si>
  <si>
    <t>Omnius, Omniscient Digital, iPullRank, Single Grain</t>
  </si>
  <si>
    <t>https://www.performanceliebe.de/geo-agency-germany/</t>
  </si>
  <si>
    <t>f6s.com</t>
  </si>
  <si>
    <t>firstpagesage.com</t>
  </si>
  <si>
    <t>Omniscient Digital, iPullRank</t>
  </si>
  <si>
    <t>GEO Agency Germany | performanceLiebe</t>
  </si>
  <si>
    <t>gemprogrammers.com</t>
  </si>
  <si>
    <t>https://slashdot.org/software/incrementality-testing/in-germany/</t>
  </si>
  <si>
    <t>Dentsu, WPP, Omnicom</t>
  </si>
  <si>
    <t>gerlach.media</t>
  </si>
  <si>
    <t>Claneo, DREIKON, Aufgesang, Löwenstark</t>
  </si>
  <si>
    <t>gwa.de</t>
  </si>
  <si>
    <t>Top Incrementality Testing Tools in Germany in 2026</t>
  </si>
  <si>
    <t>WPP, Scholz &amp; Friends, Momentum, Jung von Matt</t>
  </si>
  <si>
    <t>influencermarketinghub.com</t>
  </si>
  <si>
    <t>Tinuiti, WebFX, Convertiv, KlientBoost, Dentsu, Momentum, Wpromote, McKinsey &amp; Company, Mindshare, SmartSites, Single Grain</t>
  </si>
  <si>
    <t>https://www.btelligent.com/en/news-posts/btelligent-brandeins-2026-best-consultancies-germany</t>
  </si>
  <si>
    <t>magier.com</t>
  </si>
  <si>
    <t>Huge, Momentum, Accenture Song, Superside, WPP, Ogilvy, Omnicom, AKQA, R/GA, NoGood, Omnius, Single Grain, Omniscient Digital, Radyant, Siege Media, iPullRank, SmartSites</t>
  </si>
  <si>
    <t>b.telligent among Germany’s top Data &amp;amp; AI consultancies 2026</t>
  </si>
  <si>
    <t>nogood.io</t>
  </si>
  <si>
    <t>NoGood, Omniscient Digital, iPullRank, Huge, Monks, Wpromote, Disruptive Advertising, Directive Consulting, inBeat, Measured, Media.Monks, Power Digital, Single Grain</t>
  </si>
  <si>
    <t>omnicommediagroup.de</t>
  </si>
  <si>
    <t>ARTICLE</t>
  </si>
  <si>
    <t>Article</t>
  </si>
  <si>
    <t>b.telligent, Pilot, EY</t>
  </si>
  <si>
    <t>Omnicom Media Group, Omnicom, OMD</t>
  </si>
  <si>
    <t>https://enterprisemarketingportal.google/work-with-partners</t>
  </si>
  <si>
    <t>onlinemarketingagenturde.de</t>
  </si>
  <si>
    <t>DEPT, Bloofusion Germany GmbH, Pilot</t>
  </si>
  <si>
    <t>passion4it.de</t>
  </si>
  <si>
    <t>Work with Partners</t>
  </si>
  <si>
    <t>phable.io</t>
  </si>
  <si>
    <t>https://www.experics.de/vergleich/geo-agenturen</t>
  </si>
  <si>
    <t>Serviceplan Group, AKQA, R/GA</t>
  </si>
  <si>
    <t>seranking.com</t>
  </si>
  <si>
    <t>Haus, DEPT</t>
  </si>
  <si>
    <t>Beste GEO-Agenturen Deutschland 2026 — Großer Vergleich</t>
  </si>
  <si>
    <t>statista.com</t>
  </si>
  <si>
    <t>Dentsu, Publicis Groupe, WPP, Omnicom, Mindshare, Publicis Media, Havas Media, Ogilvy, Scholz &amp; Friends, MetaDesign, OMD</t>
  </si>
  <si>
    <t>Claneo, Aufgesang, DEPT, Radyant, Suchhelden, Kosch Klink Performance, DREIKON</t>
  </si>
  <si>
    <t>threebestrated.de</t>
  </si>
  <si>
    <t>https://feedbax.ai/advertising/germany</t>
  </si>
  <si>
    <t>eMinded GmbH, ZweiDigital GmbH</t>
  </si>
  <si>
    <t>Top 20 Advertising Agencies in Germany - 2026 Reviews</t>
  </si>
  <si>
    <t>Smarketer, DREIKON</t>
  </si>
  <si>
    <t>unfuture.de</t>
  </si>
  <si>
    <t>https://feedbax.ai/geo-agencies/germany</t>
  </si>
  <si>
    <t>Top 20 GEO Agencies in Germany - 2026 Reviews</t>
  </si>
  <si>
    <t>DREIKON, HECHT INS GEFECHT</t>
  </si>
  <si>
    <t>https://www.gartner.com/reviews/market/incrementality-measurement-platforms</t>
  </si>
  <si>
    <t>superside.com</t>
  </si>
  <si>
    <t>Best Incrementality Measurement Platforms Reviews 2026 \| Gartner Peer Insights</t>
  </si>
  <si>
    <t>Accenture Song, Superside, Ogilvy, Deloitte Digital, Publicis Groupe, WPP, GroupM, Momentum, Pilot, Huge, Brandtech, NoGood, PwC, Jellyfish</t>
  </si>
  <si>
    <t>Haus, SegmentStream, Measured, INCRMNTAL, LifeSight, Recast</t>
  </si>
  <si>
    <t>https://www.haus.io/experiments</t>
  </si>
  <si>
    <t>incubeta.com</t>
  </si>
  <si>
    <t>Haus Incrementality Experiments | Incrementality Testing for Paid Marketing</t>
  </si>
  <si>
    <t>You</t>
  </si>
  <si>
    <t>Incubeta</t>
  </si>
  <si>
    <t>Haus, Measured</t>
  </si>
  <si>
    <t>https://lengreo.com/germany-aeo-geo-llmo-companies/</t>
  </si>
  <si>
    <t>mmaglobal.com</t>
  </si>
  <si>
    <t>Top 13 Germany AEO GEO LLMO Companies (2026)</t>
  </si>
  <si>
    <t>Aufgesang</t>
  </si>
  <si>
    <t>Scholz &amp; Friends, Dentsu, WPP, Omnicom Media Group, GroupM, Omnicom, Mindshare, OMD</t>
  </si>
  <si>
    <t>https://lengreo.com/top-google-ads-agencies-in-germany/</t>
  </si>
  <si>
    <t>deloitte.com</t>
  </si>
  <si>
    <t>10 Best Google Ads Experts Helping Businesses Thrive in Germany (2026)</t>
  </si>
  <si>
    <t>SmartSites, Smarketer, morefire</t>
  </si>
  <si>
    <t>https://www.loudface.co/blog/best-aeo-agencies-2026</t>
  </si>
  <si>
    <t>Best AEO &amp;amp; AI Search Agencies in 2026 (Ranked) | LoudFace</t>
  </si>
  <si>
    <t>Deloitte Digital</t>
  </si>
  <si>
    <t>warc.com</t>
  </si>
  <si>
    <t>iPullRank, NoGood, Omniscient Digital, Siege Media, Omnius, Measured</t>
  </si>
  <si>
    <t>https://www.sortlist.de/s/ai-marketing/deutschland-de</t>
  </si>
  <si>
    <t>Ogilvy, WPP, Omnicom</t>
  </si>
  <si>
    <t>Unsere 10 Besten AI Marketing Agenturen in Deutschland - 2026 Bewertungen</t>
  </si>
  <si>
    <t>mawave.com</t>
  </si>
  <si>
    <t>https://www.statworx.com/en/data-science-and-ai-consulting</t>
  </si>
  <si>
    <t>Mawave</t>
  </si>
  <si>
    <t>AI Consulting for Your Company | statworx</t>
  </si>
  <si>
    <t>mindmelt.de</t>
  </si>
  <si>
    <t>https://www.techradar.com/pro/aeo-vs-seo-whats-the-difference-and-do-you-need-both</t>
  </si>
  <si>
    <t>superspring.de</t>
  </si>
  <si>
    <t>AEO vs SEO: What's the difference &amp;amp; do you need both? | TechRadar</t>
  </si>
  <si>
    <t>https://www.adbeacon.com/19-best-marketing-attribution-software-solutions-in-2026/</t>
  </si>
  <si>
    <t>ai-value-consulting.de</t>
  </si>
  <si>
    <t>19 Best Marketing Attribution Software Solutions in 2026 | AdBeacon</t>
  </si>
  <si>
    <t>Ruler Analytics, Dreamdata, Triple Whale, Rockerbox</t>
  </si>
  <si>
    <t>answermaniac.ai</t>
  </si>
  <si>
    <t>https://www.adbeacon.com/7-best-marketing-attribution-tools-compared-2026/</t>
  </si>
  <si>
    <t>7 Best Marketing Attribution Tools Compared (2026) | AdBeacon</t>
  </si>
  <si>
    <t>Omnius, Measured, Seeders</t>
  </si>
  <si>
    <t>Cometly, Triple Whale, Northbeam, Rockerbox, Ruler Analytics</t>
  </si>
  <si>
    <t>archibo.de</t>
  </si>
  <si>
    <t>https://agencies.semrush.com/list/display-advertising/germany/</t>
  </si>
  <si>
    <t>bimodal.io</t>
  </si>
  <si>
    <t>Best Display Ads Agencies in Germany 2026 | Semrush</t>
  </si>
  <si>
    <t>https://agencyvista.com/lists/google-marketing-platform-sales-partners/</t>
  </si>
  <si>
    <t>claneo.com</t>
  </si>
  <si>
    <t>Claneo, Nielsen</t>
  </si>
  <si>
    <t>Google Marketing Platform Sales Partners. May 2025 Reviews. | Agency Vista</t>
  </si>
  <si>
    <t>contextstudios.ai</t>
  </si>
  <si>
    <t>AKQA, Brainlabs, Artefact, e-dialog, Merkle, Jellyfish, Adswerve, Deloitte Digital, Dentsu, Croud, Making Science, Ogilvy, iProspect, DEPT</t>
  </si>
  <si>
    <t>Momentum, Peak Ace, Xmethod, b.telligent, Suchhelden</t>
  </si>
  <si>
    <t>https://aisuperior.com/ai-consulting-companies-in-germany/</t>
  </si>
  <si>
    <t>decisionfoundry.com</t>
  </si>
  <si>
    <t>15 Best AI Consulting Companies in Germany (2026)</t>
  </si>
  <si>
    <t>dripagency.de</t>
  </si>
  <si>
    <t>https://edisonmoment.com/agency/best/performance-marketing-agency-berlin</t>
  </si>
  <si>
    <t>Performance Marketing Agency in Berlin | Edison Moment</t>
  </si>
  <si>
    <t>evergreen.media</t>
  </si>
  <si>
    <t>Momentum, MaibornWolff, Measured, Claneo, Peak Ace, Aufgesang</t>
  </si>
  <si>
    <t>fusepointinsights.com</t>
  </si>
  <si>
    <t>https://geoagentur.de/</t>
  </si>
  <si>
    <t>Power Digital</t>
  </si>
  <si>
    <t>GEO Agentur 2026 | #1 auf KI-Plattformen | Gratis Beratung</t>
  </si>
  <si>
    <t>geo-agentur.pro</t>
  </si>
  <si>
    <t>Claneo, Haus, Aufgesang, Suchhelden, Löwenstark</t>
  </si>
  <si>
    <t>https://omr.com/en/reviews/service-category/performance-marketing-agenturen/berlin</t>
  </si>
  <si>
    <t>growthmanager.ai</t>
  </si>
  <si>
    <t>Performance Marketing Agencies Compared | OMR Reviews</t>
  </si>
  <si>
    <t>Momentum, McKinsey &amp; Company, Claneo, Peak Ace, Publicis Groupe</t>
  </si>
  <si>
    <t>KlickPiloten, Löwenstark, Smarketer</t>
  </si>
  <si>
    <t>https://oski.site/blog/ai-consulting-companies-germany/</t>
  </si>
  <si>
    <t>housesofgrowth.com</t>
  </si>
  <si>
    <t>Top AI Consulting Companies in Germany 2026</t>
  </si>
  <si>
    <t>Opinosis Analytics, MaibornWolff, statworx, Capgemini, PwC, Momentum</t>
  </si>
  <si>
    <t>NoGood, Wpromote, Superside, Single Grain, Omniscient Digital, Power Digital, Peak Ace, Omnius</t>
  </si>
  <si>
    <t>https://segmentstream.com/blog/articles/top-10-incrementality-testing-tools</t>
  </si>
  <si>
    <t>jadasquad.com</t>
  </si>
  <si>
    <t>10 Best Incrementality Testing Tools (2026) — SegmentStream</t>
  </si>
  <si>
    <t>Momentum, MaibornWolff, appliedAI</t>
  </si>
  <si>
    <t>linea-analytics.com</t>
  </si>
  <si>
    <t>SegmentStream, Measured, Haus, LifeSight, Rockerbox, Recast, INCRMNTAL</t>
  </si>
  <si>
    <t>https://www.silicon.de/41722409/geo-agentur-vergleich-empfehlungen-beste-15-geo-agenturen-2026</t>
  </si>
  <si>
    <t>Ebiquity</t>
  </si>
  <si>
    <t>GEO Agentur Vergleich: TOP 15 GEO-Agenturen 2026 - silicon.de</t>
  </si>
  <si>
    <t>mediaroi.io</t>
  </si>
  <si>
    <t>Aufgesang, Claneo, Suchhelden, iPullRank, WebFX, Omnius, DREIKON</t>
  </si>
  <si>
    <t>https://slashdot.org/software/marketing-attribution/in-germany/</t>
  </si>
  <si>
    <t>Top Marketing Attribution Software in Germany in 2026</t>
  </si>
  <si>
    <t>Triple Whale, Cometly, Measured</t>
  </si>
  <si>
    <t>https://www.sortlist.de/s/display-werbung/deutschland-de</t>
  </si>
  <si>
    <t>revolutions.de</t>
  </si>
  <si>
    <t>Unsere 10 Besten Display Anzeigen Agenturen in Deutschland - 2026 Bewertungen</t>
  </si>
  <si>
    <t>MONSOON, Triple Whale, Northbeam, Dreamdata, KlickPiloten, Mediacharge</t>
  </si>
  <si>
    <t>https://superbcompanies.com/categories/creative-agencies-in-germany/</t>
  </si>
  <si>
    <t>ruleranalytics.com</t>
  </si>
  <si>
    <t>Top 50 Creative Agencies in Germany - Jul 2026 | Ranking | SuperbCompanies</t>
  </si>
  <si>
    <t>Ruler Analytics</t>
  </si>
  <si>
    <t>DEPT, KlickPiloten</t>
  </si>
  <si>
    <t>scopicstudios.com</t>
  </si>
  <si>
    <t>https://themanifest.com/de/creative/agencies</t>
  </si>
  <si>
    <t>The Best Creative Companies in Germany - Jul 2026 | The Manifest</t>
  </si>
  <si>
    <t>NoGood, Epsilon, Measured</t>
  </si>
  <si>
    <t>PANORAMA3000, Digitalyze, morefire</t>
  </si>
  <si>
    <t>suchhelden.de</t>
  </si>
  <si>
    <t>https://agencies.semrush.com/list/display-advertising/ecommerce/germany/small-business/</t>
  </si>
  <si>
    <t>Best Ecommerce Display Ads Agencies for Small Business in Germany 2026 | Semrush</t>
  </si>
  <si>
    <t>Labelium, morefire, Peak Ace, Jung von Matt, Suchhelden, The Boutique Agency, Smarketer, Claneo, Omnius, WebFX, Aufgesang, iPullRank</t>
  </si>
  <si>
    <t>Baseplus DIGITAL MEDIA GmbH, Mediaplus Performance, MONSOON</t>
  </si>
  <si>
    <t>https://www.ayrank.com/blog/top-geo-agencies-berlin</t>
  </si>
  <si>
    <t>supermetrics.com</t>
  </si>
  <si>
    <t>suxeedo.de</t>
  </si>
  <si>
    <t>Claneo, Radyant, KlickPiloten</t>
  </si>
  <si>
    <t>https://clutch.co/de/agencies/branding</t>
  </si>
  <si>
    <t>theverge.com</t>
  </si>
  <si>
    <t>Top Branding Agencies in Germany - Jul 2026 Rankings \| Clutch.co</t>
  </si>
  <si>
    <t>PANORAMA3000, HY.AM STUDIOS</t>
  </si>
  <si>
    <t>Huge, Publicis Groupe, Recast, Omnicom</t>
  </si>
  <si>
    <t>https://clutch.co/de/agencies/ppc</t>
  </si>
  <si>
    <t>think11.de</t>
  </si>
  <si>
    <t>Top PPC Agencies in Germany - Jul 2026 Rankings \| Clutch.co</t>
  </si>
  <si>
    <t>Think11</t>
  </si>
  <si>
    <t>Mediacharge, MONSOON, REPLUG, Seeders, KlickPiloten, Smarketer, eMinded GmbH, Peak Ace, Think11</t>
  </si>
  <si>
    <t>getklar.com</t>
  </si>
  <si>
    <t>https://digiscorp.com/top-ai-consulting-companies-in-berlin/</t>
  </si>
  <si>
    <t>Top AI Consulting Companies in Berlin</t>
  </si>
  <si>
    <t>attributy.de</t>
  </si>
  <si>
    <t>crystalinfoway.com</t>
  </si>
  <si>
    <t>https://ensun.io/search/ai-marketing/germany</t>
  </si>
  <si>
    <t>Mediacharge, MONSOON, Löwenstark</t>
  </si>
  <si>
    <t>Top 100 AI Marketing Companies in Germany (2026) \| ensun</t>
  </si>
  <si>
    <t>ebiquity.com</t>
  </si>
  <si>
    <t>https://feedbax.de/performance-marketing-agentur/deutschland</t>
  </si>
  <si>
    <t>incrmntal.com</t>
  </si>
  <si>
    <t>Die 20 besten Performance Marketing Agenturen in Deutschland 🥇 2026 Ranking</t>
  </si>
  <si>
    <t>Measured, INCRMNTAL</t>
  </si>
  <si>
    <t>adspecialist.de</t>
  </si>
  <si>
    <t>anyleads.com</t>
  </si>
  <si>
    <t>https://geoagentur.de/ratgeber/beste-geo-agentur/</t>
  </si>
  <si>
    <t>NoGood, Siege Media</t>
  </si>
  <si>
    <t>Die besten GEO-Agenturen 2026 (und wie du sie findest)</t>
  </si>
  <si>
    <t>bconic.com</t>
  </si>
  <si>
    <t>Aufgesang, Claneo</t>
  </si>
  <si>
    <t>https://hikemytraffic.com/ai-digital-marketing-companies-in-germany/</t>
  </si>
  <si>
    <t>Best AI Digital Marketing Companies in Germany (2026)</t>
  </si>
  <si>
    <t>datafirstsolutions.de</t>
  </si>
  <si>
    <t>https://indeedseo.com/directories/ai-marketing-agencies-germany/</t>
  </si>
  <si>
    <t>Top 10 AI Marketing Agencies in Germany for 2026</t>
  </si>
  <si>
    <t>fieldtrip.agency</t>
  </si>
  <si>
    <t>Momentum, inBeat, Dentsu, Omnicom, Nielsen, R/GA, MONSOON, Wpromote, Brainlabs, Disruptive Advertising, Power Digital</t>
  </si>
  <si>
    <t>kiwop.com</t>
  </si>
  <si>
    <t>https://www.influencer-hero.com/ar/blogs/top-10-creative-agencies-in-germany</t>
  </si>
  <si>
    <t>Rockerbox, Northbeam, LifeSight, Measured</t>
  </si>
  <si>
    <t>madebyevoke.com</t>
  </si>
  <si>
    <t>أفضل 10 وكالات إبداعية في ألمانيا</t>
  </si>
  <si>
    <t>Jung von Matt, DDB Germany, Admiral Media, Mawave, WPP</t>
  </si>
  <si>
    <t>https://www.openpr.com/news/4378626/these-are-the-top-10-seo-geo-agencies-in-germany</t>
  </si>
  <si>
    <t>Jung von Matt, Serviceplan Group, Ogilvy, Scholz &amp; Friends, BBDO Germany</t>
  </si>
  <si>
    <t>timospecht.de</t>
  </si>
  <si>
    <t>These are the top 10 SEO + GEO agencies in Germany</t>
  </si>
  <si>
    <t>usercentrics.com</t>
  </si>
  <si>
    <t>https://s360digital.com/capabilities/data/incrementality-testing/</t>
  </si>
  <si>
    <t>Jung von Matt, b.telligent, Huge, Pilot, DEPT, e-dialog, KlickPiloten, FELD M, Peak Ace, Baseplus DIGITAL MEDIA GmbH</t>
  </si>
  <si>
    <t>Prove marketing impact with Incrementality Testing | s360</t>
  </si>
  <si>
    <t>adcountable.com</t>
  </si>
  <si>
    <t>https://www.scaled2c.com/services/germany/measurement-attribution-berlin</t>
  </si>
  <si>
    <t>adstrat.de</t>
  </si>
  <si>
    <t>appfillip.com</t>
  </si>
  <si>
    <t>Unknown</t>
  </si>
  <si>
    <t>https://www.sortlist.com/s/attribution-marketing/berlin-de</t>
  </si>
  <si>
    <t>The 10 Best Attribution Marketing Agencies in Berlin - 2026 Reviews</t>
  </si>
  <si>
    <t>Triple Whale, Northbeam, Dreamdata, Customlytics</t>
  </si>
  <si>
    <t>axios.com</t>
  </si>
  <si>
    <t>https://www.sortlist.com/s/attribution-marketing/germany-de</t>
  </si>
  <si>
    <t>Publicis Groupe, WPP, GroupM, Epsilon, Omnicom, Mindshare</t>
  </si>
  <si>
    <t>The 10 Best Attribution Marketing Agencies in Germany - 2026 Reviews</t>
  </si>
  <si>
    <t>beyond-media.de</t>
  </si>
  <si>
    <t>https://tech-now.io/en/blogs/top-10-best-e-commerce-seo-agencies-in-germany/</t>
  </si>
  <si>
    <t>Top 10 Best E-Commerce SEO Agencies in Germany (2026) - TechNow</t>
  </si>
  <si>
    <t>cornerstonecontent.com</t>
  </si>
  <si>
    <t>HECHT INS GEFECHT, morefire</t>
  </si>
  <si>
    <t>https://themanifest.com/de/digital-marketing/agencies</t>
  </si>
  <si>
    <t>Single Grain, Omniscient Digital</t>
  </si>
  <si>
    <t>dtile-marketing.de</t>
  </si>
  <si>
    <t>The Best Digital Marketing Companies in Germany - Jul 2026 | The Manifest</t>
  </si>
  <si>
    <t>DEPT, Pilot, Smarketer</t>
  </si>
  <si>
    <t>MONSOON, Admiral Media, Phiture, REPLUG, Mediacharge, HECHT INS GEFECHT, Claneo, HY.AM STUDIOS, Seeders</t>
  </si>
  <si>
    <t>https://www.wmtips.com/technologies/marketing-attribution/country/de/</t>
  </si>
  <si>
    <t>funnel.io</t>
  </si>
  <si>
    <t>Bot check</t>
  </si>
  <si>
    <t>geoagency.net</t>
  </si>
  <si>
    <t>https://agencies.semrush.com/list/machine-learning-and-ai/germany/</t>
  </si>
  <si>
    <t>geosphaira.com</t>
  </si>
  <si>
    <t>Best Machine Learning and AI Services in Germany 2026 | Semrush</t>
  </si>
  <si>
    <t>humandeluxe.com</t>
  </si>
  <si>
    <t>HECHT INS GEFECHT, Baseplus DIGITAL MEDIA GmbH, morefire, Mediaplus Performance</t>
  </si>
  <si>
    <t>https://awisee.com/blog/social-media-agencies-germany/</t>
  </si>
  <si>
    <t>langdock.com</t>
  </si>
  <si>
    <t>The 4 Best Social Media Agencies in Germany</t>
  </si>
  <si>
    <t>https://www.beste-geo-agentur.de/</t>
  </si>
  <si>
    <t>Momentum, statworx, Measured, Pilot</t>
  </si>
  <si>
    <t>leapbuzz.com</t>
  </si>
  <si>
    <t>Beste GEO Agentur Deutschlands \| Generative Engine Optimization \| famefact</t>
  </si>
  <si>
    <t>m1-project.com</t>
  </si>
  <si>
    <t>https://clutch.co/de/agencies/conversion-optimization</t>
  </si>
  <si>
    <t>Top Conversion Rate Optimization Services in Germany - Jul 2026 Rankings \| Clutch.co</t>
  </si>
  <si>
    <t>mammoth.io</t>
  </si>
  <si>
    <t>REPLUG, morefire, The Boutique Agency, Peak Ace</t>
  </si>
  <si>
    <t>Northbeam, Triple Whale, Ruler Analytics</t>
  </si>
  <si>
    <t>https://clutch.co/de/consulting/ai/deployment</t>
  </si>
  <si>
    <t>marketinglens.com</t>
  </si>
  <si>
    <t>Peak Ace, s360, Brainlabs, DEPT, Jellyfish</t>
  </si>
  <si>
    <t>Top Artificial Intelligence as a Service Companies in Germany - Jul 2026 Rankings \| Clutch.co</t>
  </si>
  <si>
    <t>merkle.com</t>
  </si>
  <si>
    <t>https://www.digipims.com/social-media-marketing-agencies-in-germany/</t>
  </si>
  <si>
    <t>Dentsu, Merkle</t>
  </si>
  <si>
    <t>online-werbung-deutschland.de</t>
  </si>
  <si>
    <t>Top 10 Social Media Marketing Agencies in Germany (Updated 2026)</t>
  </si>
  <si>
    <t>Mediacharge, MONSOON, KlickPiloten, Digital Masters GmbH, lehof</t>
  </si>
  <si>
    <t>prima-consulting.de</t>
  </si>
  <si>
    <t>INSTITUTIONAL</t>
  </si>
  <si>
    <t>procloser.ai</t>
  </si>
  <si>
    <t>https://digital-marketing-agencies.de/</t>
  </si>
  <si>
    <t>Momentum, WebFX, Omnius, Directive Consulting, Single Grain, Omniscient Digital, KlientBoost, Siege Media, SmartSites</t>
  </si>
  <si>
    <t>rankeffect.de</t>
  </si>
  <si>
    <t>sem-deutschland.de</t>
  </si>
  <si>
    <t>Top 10 Digital Marketing Agencies in DACH (2026) — Germany, Austria &amp;amp; Switzerland</t>
  </si>
  <si>
    <t>Aufgesang, MaibornWolff</t>
  </si>
  <si>
    <t>topseobrands.com</t>
  </si>
  <si>
    <t>tripledart.com</t>
  </si>
  <si>
    <t>https://edisonmoment.com/agency/best/performance-marketing-agency-germany</t>
  </si>
  <si>
    <t>NoGood, Omnius, WebFX, Siege Media, iPullRank</t>
  </si>
  <si>
    <t>visionone.co.uk</t>
  </si>
  <si>
    <t>Kantar</t>
  </si>
  <si>
    <t>Performance Marketing Agency in Germany | Edison Moment</t>
  </si>
  <si>
    <t>weber-media.com</t>
  </si>
  <si>
    <t>ycp.com</t>
  </si>
  <si>
    <t>https://feedbax.ai/advertising</t>
  </si>
  <si>
    <t>horizont.net</t>
  </si>
  <si>
    <t>Top 20 Advertising Agencies - 2026 Reviews</t>
  </si>
  <si>
    <t>WPP, Jung von Matt, Scholz &amp; Friends, Publicis Groupe, DDB Germany, BBDO Germany, Omnicom</t>
  </si>
  <si>
    <t>makingscience.de</t>
  </si>
  <si>
    <t>https://icoda.io/ai/best-ai-seo-agency-germany/</t>
  </si>
  <si>
    <t>Best AI SEO Agency in Germany: Top 10 Providers for 2026</t>
  </si>
  <si>
    <t>Making Science</t>
  </si>
  <si>
    <t>mystrika.com</t>
  </si>
  <si>
    <t>Omnius, TRYSEO, Aufgesang, Claneo, Single Grain</t>
  </si>
  <si>
    <t>https://www.influencer-hero.com/blogs/top-facebook-advertising-agencies-in-germany</t>
  </si>
  <si>
    <t>Mediacharge, morefire, KlickPiloten, Mediaplus Performance, HECHT INS GEFECHT, Baseplus DIGITAL MEDIA GmbH, Mediaplus Group</t>
  </si>
  <si>
    <t>scalixai.com</t>
  </si>
  <si>
    <t>NoGood, Wpromote, Single Grain, Omniscient Digital, Refine Labs, Common Thread Collective, Darkroom</t>
  </si>
  <si>
    <t>Top 10 Facebook Advertising Agencies in Germany</t>
  </si>
  <si>
    <t>MONSOON, DREIKON, Social Media One, Globalist, Mawave</t>
  </si>
  <si>
    <t>wpp.com</t>
  </si>
  <si>
    <t>https://keyperformance.de/en/google-ads-agency</t>
  </si>
  <si>
    <t>Ogilvy, WPP, AKQA, Scholz &amp; Friends</t>
  </si>
  <si>
    <t>10seos.com</t>
  </si>
  <si>
    <t>Google Ads Agency Germany | keyperformance</t>
  </si>
  <si>
    <t>adspyder.io</t>
  </si>
  <si>
    <t>https://lengreo.com/de/ai-marketing-consulting-companies/</t>
  </si>
  <si>
    <t>Dentsu, Accenture Song, WPP, Merkle, Serviceplan Group, Publicis Groupe, PwC, Ogilvy, Omnicom, iProspect, Epsilon, Measured, OMD, Havas Media, R/GA</t>
  </si>
  <si>
    <t>Die 16 besten Beratungsunternehmen für KI-Marketing (2026)</t>
  </si>
  <si>
    <t>McKinsey &amp; Company, PwC, Boston Consulting Group, BCG, Momentum</t>
  </si>
  <si>
    <t>https://ninjapromo.io/top-digital-marketing-agencies-in-germany</t>
  </si>
  <si>
    <t>adzine.de</t>
  </si>
  <si>
    <t>Analytic Partners</t>
  </si>
  <si>
    <t>Ninja Promo – Digital Marketing Company with Subscription-Based Model</t>
  </si>
  <si>
    <t>agenturjobs.de</t>
  </si>
  <si>
    <t>https://www.onetoone.de/performance-ranking/performance_2024</t>
  </si>
  <si>
    <t>Claneo, Jung von Matt, Serviceplan Group, Publicis Groupe, eMinded GmbH, Scholz &amp; Friends</t>
  </si>
  <si>
    <t>ai-heroes.co</t>
  </si>
  <si>
    <t>Performance-Agentur-Ranking</t>
  </si>
  <si>
    <t>NoGood, Omnius, Single Grain, Radyant, Measured</t>
  </si>
  <si>
    <t>aimers.io</t>
  </si>
  <si>
    <t>https://pinemarsh.com/</t>
  </si>
  <si>
    <t>Directive Consulting, Omnius</t>
  </si>
  <si>
    <t>appsflyer.com</t>
  </si>
  <si>
    <t>Pinemarsh — Independent Marketing Measurement</t>
  </si>
  <si>
    <t>aufgesang.de</t>
  </si>
  <si>
    <t>https://www.radigitalworld.com/2025/06/top-10-digital-marketing-agencies-in.html</t>
  </si>
  <si>
    <t>Top 10 Digital Marketing Agencies in Germany to Watch</t>
  </si>
  <si>
    <t>ayautomate.com</t>
  </si>
  <si>
    <t>Jung von Matt, DEPT, Think11</t>
  </si>
  <si>
    <t>https://roover.de/en/</t>
  </si>
  <si>
    <t>Pilot, Mindshare</t>
  </si>
  <si>
    <t>Roover Consulting: AI consulting for your company</t>
  </si>
  <si>
    <t>baselinemix.com</t>
  </si>
  <si>
    <t>https://www.sortlist.com/s/performance-marketing/berlin-de</t>
  </si>
  <si>
    <t>betteranswer.ai</t>
  </si>
  <si>
    <t>The 10 Best Performance Marketing Agencies in Berlin - 2026 Reviews</t>
  </si>
  <si>
    <t>lehof, MONSOON, Triple Whale, Northbeam, Dreamdata, KlickPiloten, PANORAMA3000, Pilot</t>
  </si>
  <si>
    <t>bonanza-studios.com</t>
  </si>
  <si>
    <t>https://www.advisori.de/services/digital-transformation/ki-kuenstliche-intelligenz/ki-beratung</t>
  </si>
  <si>
    <t>MetaDesign, Measured, lehof, HY.AM STUDIOS</t>
  </si>
  <si>
    <t>AI Strategy Consulting for Enterprises | ADVISORI</t>
  </si>
  <si>
    <t>businessofapps.com</t>
  </si>
  <si>
    <t>Incubeta, Measured, Huge</t>
  </si>
  <si>
    <t>https://agencies.semrush.com/list/display-advertising/berlin/small-business/</t>
  </si>
  <si>
    <t>cabinco.com</t>
  </si>
  <si>
    <t>Best Display Ads Agencies for Small Business in Berlin 2026 | Semrush</t>
  </si>
  <si>
    <t>MONSOON, KlickPiloten, Baseplus DIGITAL MEDIA GmbH, Mediaplus Performance</t>
  </si>
  <si>
    <t>https://barefoot-performance.com/markets/performance-marketing-agency-germany</t>
  </si>
  <si>
    <t>PwC, McKinsey &amp; Company, EY, BCG</t>
  </si>
  <si>
    <t>cassandra.app</t>
  </si>
  <si>
    <t>Performance Marketing Agency Germany | Google, Meta &amp;amp; ChatGPT Ads | Barefoot</t>
  </si>
  <si>
    <t>cieden.com</t>
  </si>
  <si>
    <t>https://www.bvdw.org/rankings/kreativranking-rankings/</t>
  </si>
  <si>
    <t>Die größten, besten und kreativsten Digital-Agenturen - Bundesverband Digitale Wirtschaft (BVDW) e.V.</t>
  </si>
  <si>
    <t>BCG, Boston Consulting Group</t>
  </si>
  <si>
    <t>cmmodels.com</t>
  </si>
  <si>
    <t>Serviceplan Group, Publicis Groupe, Accenture Song, Ogilvy, Scholz &amp; Friends, OMD, AKQA, Jung von Matt, MetaDesign, Publicis Media, Monks, Deloitte Digital, Havas Media, Omnicom, Omnicom Media Group, DEPT, DDB Germany</t>
  </si>
  <si>
    <t>https://conplore.com/geo-agenturen-in-der-dach-region-2026-wer-hilft-marken-in-der-ki-suche-sichtbar-zu-werden/</t>
  </si>
  <si>
    <t>GEO-Agenturen in der DACH-Region 2026: Wer hilft Marken, in der KI-Suche sichtbar zu werden? | Conplore Wirtschaftsmagazin</t>
  </si>
  <si>
    <t>Social Media One</t>
  </si>
  <si>
    <t>com.de</t>
  </si>
  <si>
    <t>Aufgesang, Claneo, Peak Ace</t>
  </si>
  <si>
    <t>consult.tv</t>
  </si>
  <si>
    <t>https://dynamicsupport.de/en/</t>
  </si>
  <si>
    <t>Dynamic Support AG — AI Consulting for SMEs | Agentic AI, RAG Systems, EU AI Act Compliance</t>
  </si>
  <si>
    <t>dacgroup.com</t>
  </si>
  <si>
    <t>https://ensun.io/search/marketing-analytics/germany</t>
  </si>
  <si>
    <t>dall-int.com</t>
  </si>
  <si>
    <t>Top 100 Marketing Analytics Companies in Germany (2026) \| ensun</t>
  </si>
  <si>
    <t>Huge, Peak Ace</t>
  </si>
  <si>
    <t>dataciders.com</t>
  </si>
  <si>
    <t>https://www.google.com/ads/publisher/partners/find-a-partner/</t>
  </si>
  <si>
    <t>dcberlin.com</t>
  </si>
  <si>
    <t>Find a Publishing Partner \| Certified Publishing Partner – Google</t>
  </si>
  <si>
    <t>https://www.hockeystack.com/blog-posts/best-marketing-attribution-software</t>
  </si>
  <si>
    <t>e-laborat.de</t>
  </si>
  <si>
    <t>19 Best Marketing Attribution Software Solutions Reviewed for 2026</t>
  </si>
  <si>
    <t>Ruler Analytics, Dreamdata, Triple Whale, Rockerbox, Northbeam</t>
  </si>
  <si>
    <t>easeium.com</t>
  </si>
  <si>
    <t>https://www.icreativez.com/marketing-companies-by-country/distinguished-digital-marketing-firms-germany-2026.html</t>
  </si>
  <si>
    <t>10 Distinguished Digital Marketing Firms in Germany | Authority List 2026</t>
  </si>
  <si>
    <t>edgeangel.co</t>
  </si>
  <si>
    <t>eology.de</t>
  </si>
  <si>
    <t>https://itprofiles.com/services/advertising-marketing/germany</t>
  </si>
  <si>
    <t>In the Spotlight - Highest-Rated Marketing Agencies in Germany for Jul 2026 | ITProfiles</t>
  </si>
  <si>
    <t>europeanbusinessreview.com</t>
  </si>
  <si>
    <t>MONSOON, REPLUG, Phiture, Mediacharge, Measured, Jung von Matt, Serviceplan Group</t>
  </si>
  <si>
    <t>https://mediacharge.com/digital-marketing-agency-germany</t>
  </si>
  <si>
    <t>Momentum, Directive Consulting, Omniscient Digital, Siege Media</t>
  </si>
  <si>
    <t>German Digital Marketing Agency | DACH Agency</t>
  </si>
  <si>
    <t>exactag.com</t>
  </si>
  <si>
    <t>https://mobian.studio/ai-consulting-companies-germany/</t>
  </si>
  <si>
    <t>Top AI Consulting Firms in Germany 2025 Guide</t>
  </si>
  <si>
    <t>experian.com</t>
  </si>
  <si>
    <t>https://www.sortlist.com/i/advertising/germany-de</t>
  </si>
  <si>
    <t>The 10 Best Advertising Agencies in Germany - 2026 Reviews</t>
  </si>
  <si>
    <t>forrester.com</t>
  </si>
  <si>
    <t>MONSOON</t>
  </si>
  <si>
    <t>https://www.sortlist.de/s/performance-marketing/deutschland-de</t>
  </si>
  <si>
    <t>friendventure.de</t>
  </si>
  <si>
    <t>Performance Marketing Agentur - Unsere 100+ Besten Marketing Agenturen in Deutschland - 2026 Bewertungen</t>
  </si>
  <si>
    <t>KlickPiloten, MONSOON, lehof, Triple Whale, Northbeam, Dreamdata, Mediacharge</t>
  </si>
  <si>
    <t>https://www.youtube.com/watch?v=iUNdeZPBkbk</t>
  </si>
  <si>
    <t>15 Best AI Digital Marketing Agencies in Germany (2026) | You NEED These AI Agencies!</t>
  </si>
  <si>
    <t>ft.com</t>
  </si>
  <si>
    <t>https://aeoagency.org/best-aeo-agencies/</t>
  </si>
  <si>
    <t>Best AEO Agencies 2025-2026</t>
  </si>
  <si>
    <t>gaim-solutions.com</t>
  </si>
  <si>
    <t>https://agencies.semrush.com/de/list/display-advertising/germany/</t>
  </si>
  <si>
    <t>gen-optima.com</t>
  </si>
  <si>
    <t>Omniscient Digital, Single Grain, iPullRank, Siege Media, Pilot, WebFX, Measured</t>
  </si>
  <si>
    <t>Beste Display-Werbung-Agenturen für , Germany 2026 | Semrush</t>
  </si>
  <si>
    <t>geoagentur-hamburg.de</t>
  </si>
  <si>
    <t>https://agencies.semrush.com/list/ai-optimization/germany/mid-business/</t>
  </si>
  <si>
    <t>Best AI Search Optimization Agencies for Mid Business in Germany 2026 | Semrush</t>
  </si>
  <si>
    <t>grabarz-group.de</t>
  </si>
  <si>
    <t>https://clutch.co/de/consulting/ai?page=1</t>
  </si>
  <si>
    <t>gravima.de</t>
  </si>
  <si>
    <t>Page 2 - Top AI Consultants in Germany - Jul 2026 Rankings \| Clutch.co</t>
  </si>
  <si>
    <t>growthmarketingpro.com</t>
  </si>
  <si>
    <t>https://www.dreikon.de/en/news/online-marketing-knowledge/top-10-google-ads-agencies/</t>
  </si>
  <si>
    <t>The 10 best Google Ads agencies 2026</t>
  </si>
  <si>
    <t>NoGood, Single Grain, WebFX, Siege Media, iPullRank</t>
  </si>
  <si>
    <t>DREIKON, Suchhelden, Bloofusion Germany GmbH, eMinded GmbH</t>
  </si>
  <si>
    <t>https://www.dreikon.de/en/services/seo-agency/geo/</t>
  </si>
  <si>
    <t>heydigital.co</t>
  </si>
  <si>
    <t>NoGood, Single Grain, Measured, Refine Labs, KlientBoost, Directive Consulting, Omniscient Digital, Siege Media</t>
  </si>
  <si>
    <t>GEO Agency | for more visibility in AI</t>
  </si>
  <si>
    <t>hurra.com</t>
  </si>
  <si>
    <t>DREIKON, Measured</t>
  </si>
  <si>
    <t>https://founderpal.ai/best-marketing-agencies/germany</t>
  </si>
  <si>
    <t>incremental.com</t>
  </si>
  <si>
    <t>10 Best Marketing Agencies in Germany \[2026 Updated\]</t>
  </si>
  <si>
    <t>instagram.com</t>
  </si>
  <si>
    <t>Jung von Matt, Serviceplan Group, Scholz &amp; Friends, Pilot, DEPT</t>
  </si>
  <si>
    <t>intellectyx.com</t>
  </si>
  <si>
    <t>https://gaper.io/best-aeo-agencies</t>
  </si>
  <si>
    <t>PwC, Capgemini, McKinsey &amp; Company, EY, BCG, Boston Consulting Group, Pilot, appliedAI</t>
  </si>
  <si>
    <t>Best AEO Agencies in 2026: Answer Engine Optimization Shortlist · Gaper</t>
  </si>
  <si>
    <t>itpro.com</t>
  </si>
  <si>
    <t>https://www.google.com/intl/en_GB/ads/publisher/partners/find-a-partner/</t>
  </si>
  <si>
    <t>kambria.de</t>
  </si>
  <si>
    <t>Find a Publishing Partner</t>
  </si>
  <si>
    <t>b.telligent</t>
  </si>
  <si>
    <t>https://www.google.de/intl/de/ads/publisher/partners/find-a-partner/</t>
  </si>
  <si>
    <t>lbbonline.com</t>
  </si>
  <si>
    <t>Publisher-Partner finden</t>
  </si>
  <si>
    <t>Mediaplus Group, Serviceplan Group</t>
  </si>
  <si>
    <t>marketing-boerse.de</t>
  </si>
  <si>
    <t>https://www.haus.io/use-cases/incrementality</t>
  </si>
  <si>
    <t>Dentsu, Accenture Song, Jung von Matt, Ogilvy, Publicis Groupe, Scholz &amp; Friends</t>
  </si>
  <si>
    <t>marketingattribution.com</t>
  </si>
  <si>
    <t>Haus Incrementality Testing</t>
  </si>
  <si>
    <t>Haus, Momentum</t>
  </si>
  <si>
    <t>marketingexpertshub.com</t>
  </si>
  <si>
    <t>https://www.house-of-communication.com/de/de/brands/serviceplan.html</t>
  </si>
  <si>
    <t>NoGood, iPullRank</t>
  </si>
  <si>
    <t>mercurymediatechnology.com</t>
  </si>
  <si>
    <t>Serviceplan</t>
  </si>
  <si>
    <t>metaflow.life</t>
  </si>
  <si>
    <t>iPullRank, Mindshare</t>
  </si>
  <si>
    <t>mir.de</t>
  </si>
  <si>
    <t>munro.agency</t>
  </si>
  <si>
    <t>Serviceplan Group, Momentum, Haus</t>
  </si>
  <si>
    <t>inBeat, Power Digital, Artefact, Merkle, Analytic Partners, PwC, BCG, Capgemini, Boston Consulting Group, Measured</t>
  </si>
  <si>
    <t>https://www.ibusiness.de/performance-ranking/performance_2022.html</t>
  </si>
  <si>
    <t>mutabor.de</t>
  </si>
  <si>
    <t>nealschaffer.com</t>
  </si>
  <si>
    <t>Smarketer, iProspect, Artefact, e-dialog, morefire, The Boutique Agency, 42DIGITAL, Aufgesang, Digital Masters GmbH, PANORAMA3000</t>
  </si>
  <si>
    <t>Measured, appliedAI, Pilot, WebFX, SmartSites, Power Digital</t>
  </si>
  <si>
    <t>https://www.ibusiness.de/performance-ranking/performance_2024.html?sub=2</t>
  </si>
  <si>
    <t>omexa-strategy.com</t>
  </si>
  <si>
    <t>iProspect, e-dialog, 42DIGITAL, Aufgesang</t>
  </si>
  <si>
    <t>omnicommedia.com</t>
  </si>
  <si>
    <t>https://www.ibusiness.de/performance-ranking/performance_2025.html?sub=11</t>
  </si>
  <si>
    <t>omsag.de</t>
  </si>
  <si>
    <t>morefire, 42DIGITAL, Aufgesang</t>
  </si>
  <si>
    <t>https://www.influencer-hero.com/fr/blogs/top-10-creative-agencies-in-germany</t>
  </si>
  <si>
    <t>oneday.agency</t>
  </si>
  <si>
    <t>onelittleweb.com</t>
  </si>
  <si>
    <t>Top 10 agences créatives en Allemagne</t>
  </si>
  <si>
    <t>https://www.influencer-hero.com/it/blogs/top-10-creative-agencies-in-germany</t>
  </si>
  <si>
    <t>MONSOON, DEPT, Disruptive Advertising, WebFX, SmartSites</t>
  </si>
  <si>
    <t>onely.com</t>
  </si>
  <si>
    <t>Top 10 Agenzie Creative in Germania</t>
  </si>
  <si>
    <t>https://www.influencer-hero.com/it/blogs/top-facebook-advertising-agencies-in-germany</t>
  </si>
  <si>
    <t>Directive Consulting, Omniscient Digital, Siege Media, Single Grain, Disruptive Advertising, WebFX, KlientBoost, SmartSites, Power Digital</t>
  </si>
  <si>
    <t>I top 10 agenzie pubblicitarie Facebook in Germania</t>
  </si>
  <si>
    <t>open.partners</t>
  </si>
  <si>
    <t>https://lengreo.com/germany-dusseldorf-aeo-geo-llmo-companies/</t>
  </si>
  <si>
    <t>optimisemedia.com</t>
  </si>
  <si>
    <t>Top AEO, GEO &amp;amp; LLMO Companies in Düsseldorf, Germany</t>
  </si>
  <si>
    <t>Seeders, Baseplus DIGITAL MEDIA GmbH, Measured, Suchhelden</t>
  </si>
  <si>
    <t>https://www.marketing-companies-in-germany.com/google-ads</t>
  </si>
  <si>
    <t>optis.digital</t>
  </si>
  <si>
    <t>NoGood, Single Grain, Siege Media</t>
  </si>
  <si>
    <t>origami.chat</t>
  </si>
  <si>
    <t>Northbeam, Cometly</t>
  </si>
  <si>
    <t>The best Google Ads Agencies</t>
  </si>
  <si>
    <t>outsourceaccelerator.com</t>
  </si>
  <si>
    <t>MONSOON, Mediacharge, Measured, eMinded GmbH</t>
  </si>
  <si>
    <t>https://www.nuundigital.com/services/data-analytics/marketing-analytics-attribution</t>
  </si>
  <si>
    <t>Serviceplan Group, GroupM, Mindshare</t>
  </si>
  <si>
    <t>partnerundsoehne.de</t>
  </si>
  <si>
    <t>NUUN Digital | Revenue-accountable partner</t>
  </si>
  <si>
    <t>https://www.oneclub.org/awards/adcawards/-archive/agency/2024/38/all/all/276</t>
  </si>
  <si>
    <t>Momentum, Measured, Triple Whale</t>
  </si>
  <si>
    <t>performance-marketing-agenturen-deutschland.de</t>
  </si>
  <si>
    <t>ADC Awards | Agency Rankings | 2024 | Advertising | Germany</t>
  </si>
  <si>
    <t>Ogilvy, Havas Media, Jung von Matt</t>
  </si>
  <si>
    <t>https://www.online-digitalx.de/en/display-advertising/</t>
  </si>
  <si>
    <t>Display Advertising from Germany, Frankfurt - Online Digital X</t>
  </si>
  <si>
    <t>https://orm-tech.com/blog/best-marketing-attribution-software/</t>
  </si>
  <si>
    <t>presenc.ai</t>
  </si>
  <si>
    <t>9 Best Marketing Attribution Software for B2B (2026) | ORM</t>
  </si>
  <si>
    <t>programmatic-agentur.de</t>
  </si>
  <si>
    <t>https://www.rankshift.ai/blog/best-geo-agencies/</t>
  </si>
  <si>
    <t>20 Best GEO Agencies in 2026 for Generative Engine Optimization</t>
  </si>
  <si>
    <t>Mediacharge, MONSOON, KlickPiloten, Digital Masters GmbH</t>
  </si>
  <si>
    <t>pta.de</t>
  </si>
  <si>
    <t>iPullRank, Omnius, WebFX</t>
  </si>
  <si>
    <t>https://www.sortlist.com/marketing-analytics</t>
  </si>
  <si>
    <t>rocketium.ai</t>
  </si>
  <si>
    <t>The 100 Best Marketing Analytics Companies - 2026 Reviews</t>
  </si>
  <si>
    <t>Superside, Pilot</t>
  </si>
  <si>
    <t>https://www.sortlist.com/paid-media</t>
  </si>
  <si>
    <t>rsmus.com</t>
  </si>
  <si>
    <t>The 100 Best Paid Media Agencies - 2026 Reviews</t>
  </si>
  <si>
    <t>lehof, Measured, MONSOON, Triple Whale, Northbeam, Dreamdata</t>
  </si>
  <si>
    <t>https://sourceforge.net/software/marketing-attribution/germany/?page=4</t>
  </si>
  <si>
    <t>ruess-group.com</t>
  </si>
  <si>
    <t>Page 4 | Best Marketing Attribution Software in Germany of 2026 - Reviews &amp;amp; Comparison</t>
  </si>
  <si>
    <t>Rockerbox, Nielsen, Recast, Tinuiti</t>
  </si>
  <si>
    <t>Momentum, Measured</t>
  </si>
  <si>
    <t>https://topgeoagencies.com/</t>
  </si>
  <si>
    <t>rzlt.io</t>
  </si>
  <si>
    <t>The GEO 250 — Best Generative Engine Optimization (GEO) Agencies | TopGEOAgencies.com</t>
  </si>
  <si>
    <t>NoGood, Monks, Wpromote, Superside, HikeMyTraffic, Jellyfish</t>
  </si>
  <si>
    <t>schalk-and-friends.de</t>
  </si>
  <si>
    <t>Siege Media, iPullRank</t>
  </si>
  <si>
    <t>https://aeo-copilot.com/partners/agencies/germany</t>
  </si>
  <si>
    <t>Best AEO Agencies in Germany — AI Visibility Experts | AEO Copilot</t>
  </si>
  <si>
    <t>scholze-consulting.de</t>
  </si>
  <si>
    <t>https://agencies.semrush.com/list/ai-optimization/germany/small-business/</t>
  </si>
  <si>
    <t>silverspoonagency.com</t>
  </si>
  <si>
    <t>Best AI Search Optimization Agencies for Small Business in Germany 2026 | Semrush</t>
  </si>
  <si>
    <t>HECHT INS GEFECHT, Mediaplus Performance</t>
  </si>
  <si>
    <t>https://aijourn.com/top-ai-driven-amazon-marketing-agencies-in-germany-2026/</t>
  </si>
  <si>
    <t>sineos.de</t>
  </si>
  <si>
    <t>Top AI-Driven Amazon Marketing Agencies in Germany (2026) | The AI Journal</t>
  </si>
  <si>
    <t>social-media-agency-germany.com</t>
  </si>
  <si>
    <t>https://www.bakedwith.com/blog/die-besten-geo-agenturen-in-deutschland-ein-uberblick</t>
  </si>
  <si>
    <t>Die besten GEO-Agenturen in Deutschland: ein Überblick</t>
  </si>
  <si>
    <t>MONSOON, PANORAMA3000, Digital Masters GmbH, lehof</t>
  </si>
  <si>
    <t>https://www.brandcrock.com/ai-services/</t>
  </si>
  <si>
    <t>Best AI &amp; Automation Agency in Germany</t>
  </si>
  <si>
    <t>stellaheystella.com</t>
  </si>
  <si>
    <t>https://bynd.consulting/en/capabilities-en/success-measurement-en/</t>
  </si>
  <si>
    <t>Dentsu, BCG, LifeSight</t>
  </si>
  <si>
    <t>bynd GmbH</t>
  </si>
  <si>
    <t>suchmeisterei.de</t>
  </si>
  <si>
    <t>Measured, Omnicom Media Group</t>
  </si>
  <si>
    <t>https://www.ekipa.ai/ekipa-labs/end-to-end-ai-consulting-companies</t>
  </si>
  <si>
    <t>Top End-to-End AI Consulting Companies in Germany</t>
  </si>
  <si>
    <t>Haus, Scholz &amp; Friends</t>
  </si>
  <si>
    <t>thebusinessrover.com</t>
  </si>
  <si>
    <t>https://enterprisemarketingportal.google/find-a-partner</t>
  </si>
  <si>
    <t>NoGood, Wpromote, Single Grain, Omniscient Digital, Refine Labs, PMG, New Engen, Tinuiti, Brainlabs, Disruptive Advertising, Directive Consulting, Measured, Common Thread Collective, Hawke Media, Darkroom, Power Digital</t>
  </si>
  <si>
    <t>thekeenfolks.com</t>
  </si>
  <si>
    <t>Find a Partner Gallery</t>
  </si>
  <si>
    <t>Making Science, Jellyfish, Incubeta, Brainlabs, Monks, Adswerve, Merkle, DEPT, Wpromote, PMG, Mindshare, OMD, Tinuiti</t>
  </si>
  <si>
    <t>https://www.factors.ai/blog/multi-touch-attribution-tools-platforms-software-guide</t>
  </si>
  <si>
    <t>Croud, Tinuiti, Disruptive Advertising, DEPT, WebFX</t>
  </si>
  <si>
    <t>Multi-Touch Attribution Tools &amp;amp; Platforms for B2B Marketers</t>
  </si>
  <si>
    <t>tofuhq.com</t>
  </si>
  <si>
    <t>Dreamdata, Rockerbox, Measured</t>
  </si>
  <si>
    <t>https://feedbax.de/ki/deutschland</t>
  </si>
  <si>
    <t>upmore.com</t>
  </si>
  <si>
    <t>Die 20 besten KI Agenturen in Deutschland 🥇 2026 Ranking</t>
  </si>
  <si>
    <t>https://getrecast.com/experimentation/</t>
  </si>
  <si>
    <t>varify.io</t>
  </si>
  <si>
    <t>Experimentation - Recast</t>
  </si>
  <si>
    <t>wamdigital.com</t>
  </si>
  <si>
    <t>https://www.goodfirms.co/directory/country/top-digital-marketing-companies/market-research/germany</t>
  </si>
  <si>
    <t>Superside, DEPT</t>
  </si>
  <si>
    <t>Market Research Companies in Germany - 2026 Reviews | Goodfirms</t>
  </si>
  <si>
    <t>weareqry.com</t>
  </si>
  <si>
    <t>Mediacharge, REPLUG, Momentum</t>
  </si>
  <si>
    <t>https://www.hyam.de/en/social-media-agency</t>
  </si>
  <si>
    <t>Tinuiti, Wpromote, Single Grain, WebFX, Omnicom, Power Digital, NoGood, Measured, Hawke Media</t>
  </si>
  <si>
    <t>webnique.de</t>
  </si>
  <si>
    <t>The social media agency in Berlin –&amp;nbsp;HY.AM&amp;nbsp;STUDIOS</t>
  </si>
  <si>
    <t>HY.AM STUDIOS, Huge</t>
  </si>
  <si>
    <t>werankle.com</t>
  </si>
  <si>
    <t>https://www.ibusiness.de/performance-ranking/performance_2022</t>
  </si>
  <si>
    <t>worldmetrics.org</t>
  </si>
  <si>
    <t>https://www.ibusiness.de/performance-ranking/performance_2025.html?sub=30</t>
  </si>
  <si>
    <t>Dentsu, Merkle, Publicis Groupe, Kantar, WPP, iProspect, EY, Momentum, PwC, Capgemini, Pilot, appliedAI</t>
  </si>
  <si>
    <t>Smarketer, iProspect, DREIKON, Artefact</t>
  </si>
  <si>
    <t>wpseoai.com</t>
  </si>
  <si>
    <t>https://www.influencer-hero.com/de/blogs/top-10-creative-agencies-in-germany</t>
  </si>
  <si>
    <t>Top 10 Creative Agenturen in Deutschland</t>
  </si>
  <si>
    <t>wsj.com</t>
  </si>
  <si>
    <t>https://www.influencer-hero.com/fr/blogs/top-facebook-advertising-agencies-in-germany</t>
  </si>
  <si>
    <t>Momentum, Publicis Groupe</t>
  </si>
  <si>
    <t>zeotap.com</t>
  </si>
  <si>
    <t>Top 10 agences de publicité Facebook en Allemagne</t>
  </si>
  <si>
    <t>PwC, Omnicom Media Group, Omnicom</t>
  </si>
  <si>
    <t>https://intentcliq.com/google-ads-agencies-in-germany/</t>
  </si>
  <si>
    <t>zupo.co</t>
  </si>
  <si>
    <t>Top 20 Professional Google Ads Agencies in Germany 2024</t>
  </si>
  <si>
    <t>elementor.com</t>
  </si>
  <si>
    <t>Huge, Momentum, Tinuiti, Wpromote, Common Thread Collective, Hawke Media</t>
  </si>
  <si>
    <t>https://invademarketing.com/best-data-driven-marketing-agencies-in-europe/</t>
  </si>
  <si>
    <t>jonas-rashedi.de</t>
  </si>
  <si>
    <t>Haus, Pilot, Capgemini</t>
  </si>
  <si>
    <t>Best Data-Driven Marketing Agencies in Europe 2026</t>
  </si>
  <si>
    <t>vertriebspilot.ai</t>
  </si>
  <si>
    <t>https://kideconsult.de/</t>
  </si>
  <si>
    <t>batten-company.com</t>
  </si>
  <si>
    <t>KIDE CONSULT – Ihr Unternehmen. AI Ready.</t>
  </si>
  <si>
    <t>Omnicom, BCG</t>
  </si>
  <si>
    <t>digitalagenten.com</t>
  </si>
  <si>
    <t>https://liftlab.com/platform/incrementality-testing-engine/</t>
  </si>
  <si>
    <t>globaldev.tech</t>
  </si>
  <si>
    <t>growffic.com</t>
  </si>
  <si>
    <t>Incrementality Testing &amp;amp; GEO Experimentation Platform | LiftLab</t>
  </si>
  <si>
    <t>Omniscient Digital, Siege Media</t>
  </si>
  <si>
    <t>https://omr.com/de/reviews/service-category/geo-agenturen</t>
  </si>
  <si>
    <t>iqueem.com</t>
  </si>
  <si>
    <t>Top GEO Agenturen in Deutschland, Österreich &amp;amp; der Schweiz</t>
  </si>
  <si>
    <t>https://www.onetoone.de/performance-ranking/performance_2025.html?sub=11</t>
  </si>
  <si>
    <t>mingma.io</t>
  </si>
  <si>
    <t>pixelmojo.io</t>
  </si>
  <si>
    <t>https://promoguy.nl/blog/2026/02/12/incrementality-testing-for-marketing-promotion/</t>
  </si>
  <si>
    <t>Incrementality Testing For Marketing &amp;amp; Promotion - Promoguy Digital Marketing Agency</t>
  </si>
  <si>
    <t>NoGood, Directive Consulting, iPullRank, WebFX, Measured, Siege Media</t>
  </si>
  <si>
    <t>zweidigital.de</t>
  </si>
  <si>
    <t>LifeSight, Haus, Measured</t>
  </si>
  <si>
    <t>https://seeders.com/blog/top-10-digital-pr-agencies-germany/</t>
  </si>
  <si>
    <t>ZweiDigital GmbH</t>
  </si>
  <si>
    <t>2pointagency.com</t>
  </si>
  <si>
    <t>Top 10 digital PR agencies in Germany | Seeders</t>
  </si>
  <si>
    <t>Seeders, Claneo</t>
  </si>
  <si>
    <t>https://www.semrush.com/agencies/list/display-advertising/ecommerce/germany/</t>
  </si>
  <si>
    <t>aargroup.co.uk</t>
  </si>
  <si>
    <t>Best Ecommerce Display Ads Agencies in Germany 2026 \| Semrush</t>
  </si>
  <si>
    <t>Baseplus DIGITAL MEDIA GmbH, morefire, Mediaplus Performance, MONSOON</t>
  </si>
  <si>
    <t>adcologne.de</t>
  </si>
  <si>
    <t>https://www.silicon.de/41722409/geo-agentur-vergleich-empfehlungen-beste-15-geo-agenturen-2026/amp</t>
  </si>
  <si>
    <t>adito.de</t>
  </si>
  <si>
    <t>https://www.sortlist.com/display-advertising</t>
  </si>
  <si>
    <t>adjust.com</t>
  </si>
  <si>
    <t>The 100 Best Display Advertising Agencies - 2026 Reviews</t>
  </si>
  <si>
    <t>https://www.sortlist.com/s/marketing-automation/germany-de</t>
  </si>
  <si>
    <t>adoptify.ai</t>
  </si>
  <si>
    <t>The 10 Best Marketing Automation Agencies in Germany - 2026 Reviews</t>
  </si>
  <si>
    <t>Momentum, PwC, Measured, EY, BCG, Pilot</t>
  </si>
  <si>
    <t>MONSOON, Measured</t>
  </si>
  <si>
    <t>adpoint.de</t>
  </si>
  <si>
    <t>https://sourceforge.net/software/marketing-attribution/germany/?page=2</t>
  </si>
  <si>
    <t>adseed.de</t>
  </si>
  <si>
    <t>Page 2 | Best Marketing Attribution Software in Germany of 2026 - Reviews &amp;amp; Comparison</t>
  </si>
  <si>
    <t>LifeSight, GroupM, Dentsu</t>
  </si>
  <si>
    <t>https://thatware.co/top-10-aeo-companies-in-germany/</t>
  </si>
  <si>
    <t>adsofbrands.net</t>
  </si>
  <si>
    <t>Top 10 AEO Companies in Germany | 10 Best Germany AEO Firms</t>
  </si>
  <si>
    <t>Claneo, Peak Ace</t>
  </si>
  <si>
    <t>Jung von Matt</t>
  </si>
  <si>
    <t>https://thedigitalelevator.com/blog/best-generative-engine-optimization-geo-agencies/</t>
  </si>
  <si>
    <t>adstellar.ai</t>
  </si>
  <si>
    <t>Cometly</t>
  </si>
  <si>
    <t>The 12 Best Generative Engine Optimization (GEO) Agencies of 2026 | Digital Elevator</t>
  </si>
  <si>
    <t>adswerve.com</t>
  </si>
  <si>
    <t>Adswerve</t>
  </si>
  <si>
    <t>Omnius, Directive Consulting, Siege Media, iPullRank</t>
  </si>
  <si>
    <t>advanced-television.com</t>
  </si>
  <si>
    <t>https://ultragrowthmedia.com/best-b2b-marketing-agencies-germany/</t>
  </si>
  <si>
    <t>INCRMNTAL</t>
  </si>
  <si>
    <t>10 Best B2B Marketing Agencies in Germany (Top-Rated)</t>
  </si>
  <si>
    <t>advertace.de</t>
  </si>
  <si>
    <t>Serviceplan Group, Jung von Matt, Mediacharge</t>
  </si>
  <si>
    <t>https://www.adc.de/2025/12/09/adc-kreativranking-2025/</t>
  </si>
  <si>
    <t>ADC Kreativranking 2025 | Art Directors Club für Deutschland – ADC</t>
  </si>
  <si>
    <t>advertal.de</t>
  </si>
  <si>
    <t>Scholz &amp; Friends, Publicis Groupe, MetaDesign, Ogilvy</t>
  </si>
  <si>
    <t>Rockerbox, Nielsen, Ruler Analytics</t>
  </si>
  <si>
    <t>https://admiral.media/app-marketing-agency-munich/</t>
  </si>
  <si>
    <t>aeo-collective.com</t>
  </si>
  <si>
    <t>App Marketing Agency Munich | Admiral Media Germany - Ad...</t>
  </si>
  <si>
    <t>Single Grain</t>
  </si>
  <si>
    <t>https://www.architecturaldigest.com/story/is-your-business-ready-for-the-ai-overview-era</t>
  </si>
  <si>
    <t>aeoera.com</t>
  </si>
  <si>
    <t>Is Your Business Ready for the AI Overview Era? | Architectural Digest</t>
  </si>
  <si>
    <t>agenciesformarketing.com</t>
  </si>
  <si>
    <t>https://boostit.de/en/geo-agentur-vergleich-2026</t>
  </si>
  <si>
    <t>GEO Agency Comparison 2026: Providers for AI Visibility</t>
  </si>
  <si>
    <t>Mawave, Medialabel, Social Media Pirates, Globalist, Pilot, MONSOON</t>
  </si>
  <si>
    <t>agencylist.com</t>
  </si>
  <si>
    <t>https://clutch.co/de/agencies/ppc/advertising-industry?page=2</t>
  </si>
  <si>
    <t>KlickPiloten, MetaDesign, HY.AM STUDIOS</t>
  </si>
  <si>
    <t>Page 2 - Top PPC Agencies for Ad Agencies in Germany - Jul 2026 Rankings \| Clutch.co</t>
  </si>
  <si>
    <t>aiadvantageagency.com</t>
  </si>
  <si>
    <t>Mediacharge, Medialabel</t>
  </si>
  <si>
    <t>https://www.crispycontent.de/en/ai/</t>
  </si>
  <si>
    <t>Northbeam, Triple Whale</t>
  </si>
  <si>
    <t>AI Solutions for Marketing &amp;amp; Content | Crispy Content®</t>
  </si>
  <si>
    <t>aidolsgroup.com</t>
  </si>
  <si>
    <t>appliedAI</t>
  </si>
  <si>
    <t>https://www.dejaoffice.com/blog/2026/06/15/9-best-aeo-agencies-helping-brands-win-in-the-age-of-ai/</t>
  </si>
  <si>
    <t>aimonk.com</t>
  </si>
  <si>
    <t>9 Best AEO Agencies Helping Brands Win in the Age of AI - DejaOffice Blog</t>
  </si>
  <si>
    <t>airankvision.com</t>
  </si>
  <si>
    <t>NoGood, Omniscient Digital, Huge, Single Grain, Siege Media, iPullRank</t>
  </si>
  <si>
    <t>https://www.designrush.com/agency/social-media-marketing/de</t>
  </si>
  <si>
    <t>akqa.com</t>
  </si>
  <si>
    <t>AKQA</t>
  </si>
  <si>
    <t>Top Social Media Marketing Agencies in Germany | 2026</t>
  </si>
  <si>
    <t>alicelabs.ai</t>
  </si>
  <si>
    <t>MONSOON, REPLUG, Pulse Advertising, PANORAMA3000</t>
  </si>
  <si>
    <t>https://ecommercegermany.com/blog/ai-companies-in-germany/</t>
  </si>
  <si>
    <t>AI companies in Germany: 34 names to watch in 2026</t>
  </si>
  <si>
    <t>Admiral Media</t>
  </si>
  <si>
    <t>https://www.eichen.ai/</t>
  </si>
  <si>
    <t>Eichen — The Calibration Authority for Marketing Measurement</t>
  </si>
  <si>
    <t>PwC, Capgemini, EY, BCG, Pilot</t>
  </si>
  <si>
    <t>https://feedbax.ai/creative-agencies/germany</t>
  </si>
  <si>
    <t>amplework.com</t>
  </si>
  <si>
    <t>Top 20 Creative Agencies in Germany - 2026 Reviews</t>
  </si>
  <si>
    <t>PANORAMA3000, Mediacharge, Smarketer, KlickPiloten, DREIKON</t>
  </si>
  <si>
    <t>https://www.hmz.technology/germany/ai-consulting</t>
  </si>
  <si>
    <t>amplitude.com</t>
  </si>
  <si>
    <t>https://www.ibusiness.de/performance-ranking/performance_2023.html?sub=2</t>
  </si>
  <si>
    <t>amworldgroup.com</t>
  </si>
  <si>
    <t>Serviceplan Group, e-dialog, 42DIGITAL</t>
  </si>
  <si>
    <t>https://lifesight.io/blog/best-incrementality-testing-tools/</t>
  </si>
  <si>
    <t>analyticaa.com</t>
  </si>
  <si>
    <t>6 Best Incrementality Testing Tools in 2025 [UPDATED] - Lifesight</t>
  </si>
  <si>
    <t>analyticpartners.com</t>
  </si>
  <si>
    <t>LifeSight, Haus, Measured, Recast, Northbeam, Triple Whale</t>
  </si>
  <si>
    <t>https://omr.com/en/reviews/service-category/performance-marketing-agenturen</t>
  </si>
  <si>
    <t>and-marketing.com</t>
  </si>
  <si>
    <t>https://www.onetoone.de/performance-ranking/performance_2024.html?sub=2</t>
  </si>
  <si>
    <t>arboro.de</t>
  </si>
  <si>
    <t>https://www.onetoone.de/performance-ranking/performance_2024.html?sub=5</t>
  </si>
  <si>
    <t>arcintermedia.com</t>
  </si>
  <si>
    <t>aschendorff-next.de</t>
  </si>
  <si>
    <t>https://www.ratter-consulting.com/</t>
  </si>
  <si>
    <t>AI Strategy Consulting Germany BAFA | Alexander Ratter</t>
  </si>
  <si>
    <t>attnagency.com</t>
  </si>
  <si>
    <t>https://www.reddit.com/r/Superframeworks/comments/1twfxf1/10_best_ai_seo_geoaeo_agencies_for_2026_no/</t>
  </si>
  <si>
    <t>audigent.com</t>
  </si>
  <si>
    <t>10 Best AI SEO (GEO/AEO) Agencies for 2026: No Self-Ranking, Verified by Clutch Reviews and Real AI-Citation Proof</t>
  </si>
  <si>
    <t>Single Grain, NoGood, iPullRank</t>
  </si>
  <si>
    <t>aurelai.de</t>
  </si>
  <si>
    <t>https://www.sortlist.com/i/web-analytics/germany-de</t>
  </si>
  <si>
    <t>The 10 Best Web Analytics Agencies in Germany - 2026 Reviews</t>
  </si>
  <si>
    <t>avaus.com</t>
  </si>
  <si>
    <t>KlickPiloten, Baseplus DIGITAL MEDIA GmbH</t>
  </si>
  <si>
    <t>https://www.sortlist.com/s/international-marketing/germany-de</t>
  </si>
  <si>
    <t>axelwin.com</t>
  </si>
  <si>
    <t>The 10 Best International Marketing Agencies in Germany - 2026 Reviews</t>
  </si>
  <si>
    <t>https://www.sortlist.com/s/marketing-analytics/frankfurt-he-de</t>
  </si>
  <si>
    <t>back9.co.nz</t>
  </si>
  <si>
    <t>backhouse.com</t>
  </si>
  <si>
    <t>Digital Masters GmbH, lehof, MONSOON, Measured</t>
  </si>
  <si>
    <t>https://www.sortlist.com/s/sm-analytics/germany-de</t>
  </si>
  <si>
    <t>berlin.de</t>
  </si>
  <si>
    <t>The 10 Best SM Analytics Consultants in Germany - 2026 Reviews</t>
  </si>
  <si>
    <t>PANORAMA3000, Momentum, ZweiDigital GmbH</t>
  </si>
  <si>
    <t>Jung von Matt, Ogilvy, Scholz &amp; Friends</t>
  </si>
  <si>
    <t>https://support.google.com/analytics/answer/7237700?hl=de</t>
  </si>
  <si>
    <t>best-brands-global.com</t>
  </si>
  <si>
    <t>EY</t>
  </si>
  <si>
    <t>best-social-media-agency.com</t>
  </si>
  <si>
    <t>https://www.thedrum.com/news/serviceplan-reclaims-emea-agency-top-spot-in-2026-world-creative-rankings</t>
  </si>
  <si>
    <t>Serviceplan reclaims EMEA agency top spot in 2026 World Creative Rankings | The Drum</t>
  </si>
  <si>
    <t>bestadsontv.com</t>
  </si>
  <si>
    <t>Omnicom, WPP</t>
  </si>
  <si>
    <t>https://www.upliftgtm.com/blog/best-aeo-agencies</t>
  </si>
  <si>
    <t>bestaiagencyforcompanies.com</t>
  </si>
  <si>
    <t>Best AEO Agencies 2026: Top 12 Answer Engine Optimization Firms</t>
  </si>
  <si>
    <t>Omniscient Digital, Single Grain, NoGood, Siege Media, Measured</t>
  </si>
  <si>
    <t>https://websenor.com/top-10-ai-agencies-in-germany/</t>
  </si>
  <si>
    <t>biloba-it.de</t>
  </si>
  <si>
    <t>Top 10 AI Agencies in Germany - WebSenor</t>
  </si>
  <si>
    <t>blackravenmedia.com</t>
  </si>
  <si>
    <t>https://www.youtube.com/watch?v=4L7On3IGqKQ</t>
  </si>
  <si>
    <t>blockbirds.de</t>
  </si>
  <si>
    <t>What Are the Best Generative Engine Optimization (GEO) Agencies in Germany?</t>
  </si>
  <si>
    <t>Pilot, Accenture Song, DEPT, Jung von Matt, Scholz &amp; Friends</t>
  </si>
  <si>
    <t>Huge, Brainlabs</t>
  </si>
  <si>
    <t>bluealpha.ai</t>
  </si>
  <si>
    <t>https://aeo-copilot.com/partners/agencies/germany/berlin</t>
  </si>
  <si>
    <t>Best AEO Agencies in Berlin, Germany — AI Visibility Experts | AEO Copilot</t>
  </si>
  <si>
    <t>blueconic.com</t>
  </si>
  <si>
    <t>https://aeo-copilot.com/partners/agencies/germany/frankfurt</t>
  </si>
  <si>
    <t>blueduckagency.com</t>
  </si>
  <si>
    <t>Best AEO Agencies in Frankfurt, Germany — AI Visibility Experts | AEO Copilot</t>
  </si>
  <si>
    <t>https://www.aeodirectory.com/aeo/search/?country=Germany&amp;order_by=industry_sector&amp;page=162</t>
  </si>
  <si>
    <t>blueshepherd.de</t>
  </si>
  <si>
    <t>brainlab.com</t>
  </si>
  <si>
    <t>https://www.aeodirectory.com/aeo/search/?country=Germany&amp;order_by=registered_country_name&amp;page=33</t>
  </si>
  <si>
    <t>brainlabsdigital.com</t>
  </si>
  <si>
    <t>https://agencies.semrush.com/list/display-advertising/germany/mid-business/</t>
  </si>
  <si>
    <t>Best Display Ads Agencies for Mid Business in Germany 2026 | Semrush</t>
  </si>
  <si>
    <t>Brainlabs, Measured</t>
  </si>
  <si>
    <t>https://agencies.semrush.com/list/seo/germany/</t>
  </si>
  <si>
    <t>brandigochina.com</t>
  </si>
  <si>
    <t>Best SEO Companies in Germany 2026 | Semrush</t>
  </si>
  <si>
    <t>https://www.alphaapexgroup.com/blog/top-ai-consulting-firms</t>
  </si>
  <si>
    <t>brentonway.com</t>
  </si>
  <si>
    <t>Top AI Consulting Firms for Business Transformation in 2026 — Alpha Apex Group - Consulting &amp;amp; Executive Search Firm</t>
  </si>
  <si>
    <t>Huge, NoGood, Single Grain, SmartSites</t>
  </si>
  <si>
    <t>Pilot, Artefact, Ogilvy, McKinsey &amp; Company</t>
  </si>
  <si>
    <t>bundb.de</t>
  </si>
  <si>
    <t>https://www.appliedai.de/en/</t>
  </si>
  <si>
    <t>AI Consulting for Business: Strategy &amp;amp; Execution | appliedAI</t>
  </si>
  <si>
    <t>businesswire.com</t>
  </si>
  <si>
    <t>appliedAI, Pilot, Measured</t>
  </si>
  <si>
    <t>https://awisee.com/pt/blog/digital-marketing-agencies-germany/</t>
  </si>
  <si>
    <t>PwC, INCRMNTAL</t>
  </si>
  <si>
    <t>c-n-t-a.com</t>
  </si>
  <si>
    <t>https://clutch.co/de/consulting/ai/strategy?page=1</t>
  </si>
  <si>
    <t>calvarius.com</t>
  </si>
  <si>
    <t>Page 2 - Top AI Strategy Companies in Germany - Jul 2026 Rankings \| Clutch.co</t>
  </si>
  <si>
    <t>https://www.convios.com/en/services/ai-strategy-readiness</t>
  </si>
  <si>
    <t>campaignme.com</t>
  </si>
  <si>
    <t>Publicis Groupe</t>
  </si>
  <si>
    <t>cigen.io</t>
  </si>
  <si>
    <t>https://www.deducive.com/</t>
  </si>
  <si>
    <t>Deducive - Decision-Grade Marketing Measurement</t>
  </si>
  <si>
    <t>cl-y.com</t>
  </si>
  <si>
    <t>https://ecosystem.hubspot.com/de/marketplace/solutions/marketing-services/germany</t>
  </si>
  <si>
    <t>clarista.io</t>
  </si>
  <si>
    <t>Die 107 besten Agenturen und Dienstanbieter für Marketing-Services in Deutschland | HubSpot</t>
  </si>
  <si>
    <t>clickdo.co.uk</t>
  </si>
  <si>
    <t>https://ensun.io/search/display-advertising/germany</t>
  </si>
  <si>
    <t>codewave.com</t>
  </si>
  <si>
    <t>Top 100 Display Advertising Companies in Germany (2026) \| ensun</t>
  </si>
  <si>
    <t>https://feedbax.ai/geo-agencies/dach</t>
  </si>
  <si>
    <t>Top 20 GEO Agencies in DACH - 2026 Reviews</t>
  </si>
  <si>
    <t>coefficient.io</t>
  </si>
  <si>
    <t>https://feedbax.ai/google-ads/western-europe</t>
  </si>
  <si>
    <t>Top 20 Google Ads Agencies in Western Europe - 2026 Reviews</t>
  </si>
  <si>
    <t>coinbound.io</t>
  </si>
  <si>
    <t>Mediacharge, Smarketer, DREIKON, Suchhelden</t>
  </si>
  <si>
    <t>https://www.gaasly.com/countries/digital-marketing-agency-in-germany/google-ads-agency-germany</t>
  </si>
  <si>
    <t>Momentum, NoGood, Single Grain</t>
  </si>
  <si>
    <t>consultancy.eu</t>
  </si>
  <si>
    <t>appliedAI, Smarketer, Croud, Artefact, Jellyfish, Merkle, Making Science, Labelium, iProspect</t>
  </si>
  <si>
    <t>consulting.de</t>
  </si>
  <si>
    <t>https://www.goodfirms.co/directory/country/top-digital-marketing-companies/advertising-ppc/germany</t>
  </si>
  <si>
    <t>BCG</t>
  </si>
  <si>
    <t>converlytics.com</t>
  </si>
  <si>
    <t>Top PPC Agencies in Germany - 2026 Reviews | Goodfirms</t>
  </si>
  <si>
    <t>WebFX, Mediacharge, Smarketer, Aufgesang</t>
  </si>
  <si>
    <t>https://www.gtm8020.com/blog/best-aeo-agencies</t>
  </si>
  <si>
    <t>coolnerdsmarketing.com</t>
  </si>
  <si>
    <t>Best AEO Agencies - 2026 — GTM 8020</t>
  </si>
  <si>
    <t>Dentsu, Momentum</t>
  </si>
  <si>
    <t>createscale.com</t>
  </si>
  <si>
    <t>Siege Media, Omniscient Digital, Momentum</t>
  </si>
  <si>
    <t>https://www.ibusiness.de/performance-ranking/performance_2023.html?sub=5</t>
  </si>
  <si>
    <t>creative-city-berlin.de</t>
  </si>
  <si>
    <t>Serviceplan Group, morefire, 42DIGITAL, Aufgesang</t>
  </si>
  <si>
    <t>https://www.kom.de/analyse/das-sind-die-erfolgreichsten-kreativagenturen/</t>
  </si>
  <si>
    <t>creditreform.de</t>
  </si>
  <si>
    <t>Das sind die erfolgreichsten Kreativagenturen</t>
  </si>
  <si>
    <t>criterionglobal.com</t>
  </si>
  <si>
    <t>Serviceplan Group, Scholz &amp; Friends, Publicis Groupe, MetaDesign, Ogilvy, Accenture Song</t>
  </si>
  <si>
    <t>https://www.loudface.co/blog/best-aeo-agencies-b2b-saas-2026</t>
  </si>
  <si>
    <t>crunchbase.com</t>
  </si>
  <si>
    <t>Best AEO &amp;amp; GEO Agencies for B2B SaaS in 2026 | LoudFace</t>
  </si>
  <si>
    <t>Omnius, Siege Media, NoGood</t>
  </si>
  <si>
    <t>https://naointelligence.com/en</t>
  </si>
  <si>
    <t>Haus, INCRMNTAL</t>
  </si>
  <si>
    <t>customlytics.com</t>
  </si>
  <si>
    <t>Nao Intelligence — AI consulting for the German Mittelstand</t>
  </si>
  <si>
    <t>Customlytics</t>
  </si>
  <si>
    <t>cybay.de</t>
  </si>
  <si>
    <t>https://partnersdirectory.withgoogle.com/intl/en-GB/</t>
  </si>
  <si>
    <t>darkroomagency.com</t>
  </si>
  <si>
    <t>Google Partners directory – Find a Partner for business growth</t>
  </si>
  <si>
    <t>Tinuiti, Wpromote, Disruptive Advertising, WebFX, Common Thread Collective, Measured, Pilot, Darkroom, Power Digital</t>
  </si>
  <si>
    <t>dataally.ai</t>
  </si>
  <si>
    <t>https://www.reddit.com/r/Topagencies/comments/1sv50o9/top_ppc_services_agencies_in_germany_ppc_cost/</t>
  </si>
  <si>
    <t>Disruptive Advertising, WebFX, inBeat, Pilot, KlientBoost, Darkroom</t>
  </si>
  <si>
    <t>Top PPC Services Agencies in Germany – PPC Cost, Pricing, Packages &amp;amp; Best PPC Companies (2026 Guide)</t>
  </si>
  <si>
    <t>databox.com</t>
  </si>
  <si>
    <t>Smarketer, Peak Ace, Claneo</t>
  </si>
  <si>
    <t>https://www.risexventuress.com/ai-marketing-agency-location/germany</t>
  </si>
  <si>
    <t>datalion.com</t>
  </si>
  <si>
    <t>AI Marketing Agency in Germany | RiseX Venturess</t>
  </si>
  <si>
    <t>https://www.s-f.family/</t>
  </si>
  <si>
    <t>datalogue.de</t>
  </si>
  <si>
    <t>Scholz &amp;amp; Friends</t>
  </si>
  <si>
    <t>Scholz &amp; Friends, WPP</t>
  </si>
  <si>
    <t>davidms.co.uk</t>
  </si>
  <si>
    <t>https://www.scability.de/</t>
  </si>
  <si>
    <t>Scability ( ͡° ͜ʖ ͡°) Online Marketing Agentur Coburg</t>
  </si>
  <si>
    <t>deichweb.de</t>
  </si>
  <si>
    <t>https://www.sortlist.de/s/bezahlte-media/deutschland-de?page=2</t>
  </si>
  <si>
    <t>dejanmarketing.com</t>
  </si>
  <si>
    <t>Unsere 10 Besten Bezahlte Media Agenturen in Deutschland - 2026 Bewertungen – Seite 2</t>
  </si>
  <si>
    <t>Digital Masters GmbH, lehof, MONSOON, PANORAMA3000, eMinded GmbH, Loyamo, Medialabel, morefire, WeLikeWeb GmbH</t>
  </si>
  <si>
    <t>https://www.topdevelopers.co/directory/digital-marketing-agencies-in-germany</t>
  </si>
  <si>
    <t>Huge, Aufgesang, iPullRank, appliedAI, Kosch Klink Performance</t>
  </si>
  <si>
    <t>detecon.com</t>
  </si>
  <si>
    <t>Top 10+ Digital Marketing Agencies in Germany - July 2026 Reviews | Topdevelopers.co</t>
  </si>
  <si>
    <t>digitalapplied.com</t>
  </si>
  <si>
    <t>https://ziuma.com/Thread-Best-AI-Digital-Marketing-Agency-in-Germany-and-Beyond</t>
  </si>
  <si>
    <t>Best AI Digital Marketing Agency in Germany and Beyond</t>
  </si>
  <si>
    <t>PwC</t>
  </si>
  <si>
    <t>digitalinsight.de</t>
  </si>
  <si>
    <t>https://www.42digital.de/google-marketing-platform/</t>
  </si>
  <si>
    <t>digitalmarketingsupermarket.com</t>
  </si>
  <si>
    <t>https://agencies.semrush.com/list/ai-optimization/germany/enterprise-business/</t>
  </si>
  <si>
    <t>Best AI Search Optimization Agencies for Enterprise Business in Germany 2026 | Semrush</t>
  </si>
  <si>
    <t>Superside, Single Grain, Pilot, DEPT, SmartSites, NoGood</t>
  </si>
  <si>
    <t>https://aio.com.ai/blog/13498-best-seo-company-in-germany-ai-optimized-aio-guide</t>
  </si>
  <si>
    <t>digitalrhetoric.in</t>
  </si>
  <si>
    <t>Best SEO Company In Germany: A Visionary AI-Driven Guide To Unified AIO Optimization \| Semalt AI Blog</t>
  </si>
  <si>
    <t>displayce.com</t>
  </si>
  <si>
    <t>https://www.artefact.com/offers/marketing-data-driven/marketing-analytics/#:~:text=Predictive%20Modeling%20%26%20Data%20Science%20%E2%80%93%20Utilize,development%20and%20ongoing%20strategic%20insights.</t>
  </si>
  <si>
    <t>Jellyfish</t>
  </si>
  <si>
    <t>Our Marketing Analytics Services - Artefact</t>
  </si>
  <si>
    <t>dotsource.com</t>
  </si>
  <si>
    <t>https://bbdo.de/about/</t>
  </si>
  <si>
    <t>dtgv.de</t>
  </si>
  <si>
    <t>About Us - BBDO GERMANY</t>
  </si>
  <si>
    <t>Peak Ace, Merkle, OMD, Mindshare, Pilot, e-dialog</t>
  </si>
  <si>
    <t>dwao.in</t>
  </si>
  <si>
    <t>https://www.callboxinc.com/growth-hacking/best-aeo-agencies/</t>
  </si>
  <si>
    <t>e-dynamics.de</t>
  </si>
  <si>
    <t>8 Top AEO Agencies in 2026 for Lead Generation</t>
  </si>
  <si>
    <t>easyinsights.ai</t>
  </si>
  <si>
    <t>DEPT, iPullRank, Omniscient Digital, Directive Consulting, Siege Media</t>
  </si>
  <si>
    <t>https://clutch.co/de/agencies?page=6</t>
  </si>
  <si>
    <t>ecimediamanagement.com</t>
  </si>
  <si>
    <t>Page 6 - Top Advertising Agencies in Germany - Jul 2026 Rankings \| Clutch.co</t>
  </si>
  <si>
    <t>MONSOON, Phiture, PANORAMA3000, Seeders, Mediacharge, Digitalyze, morefire, Scholz &amp; Friends</t>
  </si>
  <si>
    <t>https://de.linkedin.com/company/jung-von-matt</t>
  </si>
  <si>
    <t>Jung von Matt | LinkedIn</t>
  </si>
  <si>
    <t>ecommercefastlane.com</t>
  </si>
  <si>
    <t>Jung von Matt, Momentum, R/GA, Scholz &amp; Friends, Serviceplan Group</t>
  </si>
  <si>
    <t>https://e-dialog.group/en/google-sales-partner/google-marketing-platform/#:~:text=Licenses%20for%20the%20Google%20Marketing,Start</t>
  </si>
  <si>
    <t>econworks.de</t>
  </si>
  <si>
    <t>Google Marketing Platform Licenses \| e-dialog</t>
  </si>
  <si>
    <t>e-dialog</t>
  </si>
  <si>
    <t>ecowiseagency.com</t>
  </si>
  <si>
    <t>https://edisonmoment.com/agency/best/digital-marketing-agency-germany</t>
  </si>
  <si>
    <t>eliya.io</t>
  </si>
  <si>
    <t>Digital Marketing Agency in Germany | Edison Moment</t>
  </si>
  <si>
    <t>https://ensun.io/search/market-intelligence/germany#:~:text=Market%20Logic's%20Insights%20Engagement%20platform,Core%20business</t>
  </si>
  <si>
    <t>emarketer.com</t>
  </si>
  <si>
    <t>Top 100 Market Intelligence Companies in Germany (2026) \| ensun</t>
  </si>
  <si>
    <t>Publicis Groupe, WPP, Omnicom</t>
  </si>
  <si>
    <t>https://feedbax.ai/creative-agencies</t>
  </si>
  <si>
    <t>entrans.ai</t>
  </si>
  <si>
    <t>Huge, PwC</t>
  </si>
  <si>
    <t>Top 20 Creative Agencies - 2026 Reviews</t>
  </si>
  <si>
    <t>esomar.org</t>
  </si>
  <si>
    <t>PANORAMA3000, DREIKON, Mediacharge, Smarketer, KlickPiloten, ZweiDigital GmbH, Measured</t>
  </si>
  <si>
    <t>https://flypix.ai/geospatial-companies-in-germany/</t>
  </si>
  <si>
    <t>esparkinfo.com</t>
  </si>
  <si>
    <t>8 Best Geospatial Companies in Germany (2026)</t>
  </si>
  <si>
    <t>PwC, Capgemini, McKinsey &amp; Company, EY, Pilot</t>
  </si>
  <si>
    <t>etracker.com</t>
  </si>
  <si>
    <t>https://www.foundry.berlin/</t>
  </si>
  <si>
    <t>euro-security.de</t>
  </si>
  <si>
    <t>FOUNDRY / Creative Agency in Berlin, Zürich and New York</t>
  </si>
  <si>
    <t>https://hikemytraffic.com/ai-social-media-marketing-agencies-in-germany/</t>
  </si>
  <si>
    <t>evolved.marketing</t>
  </si>
  <si>
    <t>ewrdigital.com</t>
  </si>
  <si>
    <t>10 Best AI Social Media Marketing Agencies in Germany (2026)</t>
  </si>
  <si>
    <t>https://www.house-of-communication.com/de/de.html</t>
  </si>
  <si>
    <t>Single Grain, WebFX, Siege Media, iPullRank</t>
  </si>
  <si>
    <t>existenzgruender-jungunternehmer.de</t>
  </si>
  <si>
    <t>DE | House of Communication</t>
  </si>
  <si>
    <t>Serviceplan Group</t>
  </si>
  <si>
    <t>https://www.influencer-hero.com/jp/blogs/top-digital-marketing-agencies-in-germany</t>
  </si>
  <si>
    <t>ドイツのトップ10デジタルマーケティング代理店</t>
  </si>
  <si>
    <t>Serviceplan Group, Mawave, Globalist, McKinsey &amp; Company, Medialabel</t>
  </si>
  <si>
    <t>expatrio.com</t>
  </si>
  <si>
    <t>https://www.madx.digital/learn/geo-aeo-agencies</t>
  </si>
  <si>
    <t>14 Great GEO &amp;amp; AEO Agencies in 2026 | MADX Digital</t>
  </si>
  <si>
    <t>facebook.com</t>
  </si>
  <si>
    <t>NoGood, iPullRank, Omnius, Siege Media, Single Grain</t>
  </si>
  <si>
    <t>https://www.measured.com/faq/best-incrementality-testing-companies-software-for-marketing-2025/</t>
  </si>
  <si>
    <t>Best Incrementality Testing Companies &amp; Software for Marketing (2026)</t>
  </si>
  <si>
    <t>factorygruppe.com</t>
  </si>
  <si>
    <t>https://www.measured.com/incremental-lift-tests/</t>
  </si>
  <si>
    <t>Measured: Incrementality Testing</t>
  </si>
  <si>
    <t>featuredcustomers.com</t>
  </si>
  <si>
    <t>https://minuttia.com/best-geo-agencies/</t>
  </si>
  <si>
    <t>10 Best Generative Engine Optimization (GEO) Agencies 2026</t>
  </si>
  <si>
    <t>fibbler.co</t>
  </si>
  <si>
    <t>Seeders, Omnius, Huge, Measured</t>
  </si>
  <si>
    <t>SegmentStream, Ruler Analytics, Cometly, Dreamdata</t>
  </si>
  <si>
    <t>https://www.more-fire.com/en/implementation/google-ads/</t>
  </si>
  <si>
    <t>fifty-five.com</t>
  </si>
  <si>
    <t>Google Ads - Your Certified German Partner Agency | morefire</t>
  </si>
  <si>
    <t>finance-seo.de</t>
  </si>
  <si>
    <t>https://neurank.de/ki-seo-agentur/</t>
  </si>
  <si>
    <t>KI-SEO Agentur NeuRank — GEO, LLMO &amp;amp; AI-Search | Deutschland</t>
  </si>
  <si>
    <t>Claneo, DREIKON, Aufgesang, TRYSEO, Löwenstark, Suchhelden</t>
  </si>
  <si>
    <t>firststars.ai</t>
  </si>
  <si>
    <t>https://www.onetoone.de/performance-ranking/performance_2024.html</t>
  </si>
  <si>
    <t>flyingvgroup.com</t>
  </si>
  <si>
    <t>NoGood, Monks, Single Grain, inBeat, Media.Monks, SmartSites</t>
  </si>
  <si>
    <t>https://www.onetoone.de/performance-ranking/performance_2025.html</t>
  </si>
  <si>
    <t>fortismedia.com</t>
  </si>
  <si>
    <t>found.co.uk</t>
  </si>
  <si>
    <t>https://online-marketing-guy.com/en/global-german-digital-marketing-agencies/</t>
  </si>
  <si>
    <t>founderoperator.com</t>
  </si>
  <si>
    <t>The 6 Most Global German Digital Marketing Agencies - Online Marketing Guy</t>
  </si>
  <si>
    <t>foundersworkshop.com</t>
  </si>
  <si>
    <t>Jung von Matt, Dentsu, Scholz &amp; Friends, Omnicom</t>
  </si>
  <si>
    <t>https://sentinus-consulting.de/</t>
  </si>
  <si>
    <t>frac.tl</t>
  </si>
  <si>
    <t>Sentinus | KI-Consulting, Coaching &amp;amp; Projekt-Support für Unternehmen</t>
  </si>
  <si>
    <t>frontieraiconsulting.com</t>
  </si>
  <si>
    <t>Boston Consulting Group, BCG, Haus</t>
  </si>
  <si>
    <t>https://www.seo-kueche.de/die-10-besten-geo-seo-agenturen-aus-deutschland-im-vergleich-ranking-2026/</t>
  </si>
  <si>
    <t>futuresupply.io</t>
  </si>
  <si>
    <t>Die besten GEO- &amp;amp; SEO-Agenturen in Deutschland 2026</t>
  </si>
  <si>
    <t>Ogilvy, AKQA</t>
  </si>
  <si>
    <t>DREIKON, Claneo, Bloofusion Germany GmbH, eMinded GmbH</t>
  </si>
  <si>
    <t>gemfind.com</t>
  </si>
  <si>
    <t>https://support.google.com/tagmanager/answer/7237700?hl=de</t>
  </si>
  <si>
    <t>DEPT, Monks</t>
  </si>
  <si>
    <t>genedge.co</t>
  </si>
  <si>
    <t>https://themanifest.com/de/advertising/agencies#:~:text=They%20offer%20Advertising%2C%20Branding%2C%20Event,is%20based%20in%20K%C3%B6ln%2C%20Germany.</t>
  </si>
  <si>
    <t>geo-spezialisten.de</t>
  </si>
  <si>
    <t>The Best Advertising Companies in Germany - Jul 2026 | The Manifest</t>
  </si>
  <si>
    <t>MONSOON, Phiture, PANORAMA3000, morefire, Digitalyze, Scholz &amp; Friends</t>
  </si>
  <si>
    <t>https://www.ziya.de/en/ai-agency</t>
  </si>
  <si>
    <t>geolign.com</t>
  </si>
  <si>
    <t>AI Agency - Innovative AI Solutions Made in Germany :: Ziya</t>
  </si>
  <si>
    <t>https://www.absatzwirtschaft.de/bvdw-kreativranking-2025-serviceplan-dominiert-die-deutsche-digitalkreation-mit-grossem-abstand-280339/</t>
  </si>
  <si>
    <t>gerlach-customs.com</t>
  </si>
  <si>
    <t>BVDW-Kreativranking 2025: Serviceplan dominiert Digitalkreation - absatzwirtschaft</t>
  </si>
  <si>
    <t>get-ryze.ai</t>
  </si>
  <si>
    <t>Momentum, Triple Whale</t>
  </si>
  <si>
    <t>Publicis Groupe, Accenture Song, Ogilvy, Scholz &amp; Friends, OMD, AKQA, Serviceplan Group, Dentsu</t>
  </si>
  <si>
    <t>getapexanalytics.com</t>
  </si>
  <si>
    <t>https://acid21.com/en/AI-Agency-Berlin/#:~:text=AI%20Agency%20Berlin%20%7C%20ACID21,from%20the%20idea%20to%20implementation.</t>
  </si>
  <si>
    <t>AI Agency Berlin | ACID21</t>
  </si>
  <si>
    <t>https://www.adbaker.de/</t>
  </si>
  <si>
    <t>getdigitalresults.com</t>
  </si>
  <si>
    <t>Agentur für Social Performance Advertising | ADBAKER</t>
  </si>
  <si>
    <t>https://agencies.semrush.com/list/information-technology/germany/</t>
  </si>
  <si>
    <t>gigawattgroup.com</t>
  </si>
  <si>
    <t>Best IT Digital Marketing Agencies in Germany 2026 | Semrush</t>
  </si>
  <si>
    <t>https://agencies.semrush.com/list/programmatic-advertising/germany/</t>
  </si>
  <si>
    <t>Best Programmatic Advertising Agencies in Germany 2026 | Semrush</t>
  </si>
  <si>
    <t>glassdoor.com</t>
  </si>
  <si>
    <t>morefire, Mediaplus Performance, KlickPiloten</t>
  </si>
  <si>
    <t>https://blog.applabx.com/top-10-best-digital-marketing-agencies-in-germany-in-2026/</t>
  </si>
  <si>
    <t>Top 10 Best Digital Marketing Agencies in Germany in 2026</t>
  </si>
  <si>
    <t>glassix.com</t>
  </si>
  <si>
    <t>Serviceplan Group, MONSOON, Mediacharge, Claneo, HECHT INS GEFECHT, Digital Masters GmbH, Measured</t>
  </si>
  <si>
    <t>https://www.bvdw.org/news-und-publikationen/bvdw-kreativranking-2025/</t>
  </si>
  <si>
    <t>BVDW Kreativranking 2025: Serviceplan bleibt Spitzenreiter</t>
  </si>
  <si>
    <t>Single Grain, Directive Consulting, Omniscient Digital, Siege Media</t>
  </si>
  <si>
    <t>Ogilvy, Scholz &amp; Friends</t>
  </si>
  <si>
    <t>glassroom.ca</t>
  </si>
  <si>
    <t>https://campaigngermany.de/news/beitrag/2502-bvdw-ranking-2025-das-sind-die-kreativsten-digitalagenturen-deutschlands.html</t>
  </si>
  <si>
    <t>BVDW-Ranking 2025: Das sind die kreativsten Digitalagenturen Deutschlands</t>
  </si>
  <si>
    <t>globalists.de</t>
  </si>
  <si>
    <t>Serviceplan Group, Accenture Song, Jung von Matt, Ogilvy</t>
  </si>
  <si>
    <t>https://clutch.co/agencies/ppc/display</t>
  </si>
  <si>
    <t>Top Display Advertising Agencies - Jul 2026 Rankings | Clutch.co</t>
  </si>
  <si>
    <t>Globalist</t>
  </si>
  <si>
    <t>https://clutch.co/de/agencies/programmatic</t>
  </si>
  <si>
    <t>globalmediainsight.com</t>
  </si>
  <si>
    <t>Top Programmatic Advertising Companies in Germany - Jul 2026 Rankings | Clutch.co</t>
  </si>
  <si>
    <t>Phiture, PANORAMA3000, morefire, WeLikeWeb GmbH</t>
  </si>
  <si>
    <t>https://clutch.co/de/consulting/ai/maturation</t>
  </si>
  <si>
    <t>gofishdigital.com</t>
  </si>
  <si>
    <t>Top AI Maturation Services in Germany - Jul 2026 Rankings | Clutch.co</t>
  </si>
  <si>
    <t>https://clutch.co/de/developers/artificial-intelligence</t>
  </si>
  <si>
    <t>Omniscient Digital, Single Grain, iPullRank, Siege Media, EY</t>
  </si>
  <si>
    <t>Top Artificial Intelligence Companies in Germany - Jul 2026 Rankings | Clutch.co</t>
  </si>
  <si>
    <t>goldorange.com</t>
  </si>
  <si>
    <t>https://clutch.co/de/developers/artificial-intelligence/generative</t>
  </si>
  <si>
    <t>Top Generative AI Companies in Germany - Jul 2026 Rankings \| Clutch.co</t>
  </si>
  <si>
    <t>Admiral Media, Aufgesang</t>
  </si>
  <si>
    <t>https://www.comcepta.de/ki-reifegrad</t>
  </si>
  <si>
    <t>growth-hacking-agentur.de</t>
  </si>
  <si>
    <t>https://de.wikipedia.org/wiki/Serviceplan_Group</t>
  </si>
  <si>
    <t>WeLikeWeb GmbH</t>
  </si>
  <si>
    <t>Serviceplan Group – Wikipedia</t>
  </si>
  <si>
    <t>growth-rocket.com</t>
  </si>
  <si>
    <t>Serviceplan Group, Mediaplus Group, Haus, Jung von Matt</t>
  </si>
  <si>
    <t>https://www.designrush.com/agency/ai-companies/de</t>
  </si>
  <si>
    <t>Top AI Companies in Germany | 2026</t>
  </si>
  <si>
    <t>https://e-dialog.group/en/strategies/performance-marketing-agency/</t>
  </si>
  <si>
    <t>growthcurve.co</t>
  </si>
  <si>
    <t>Performance Marketing Agency in the DACH Region \| e-dialog</t>
  </si>
  <si>
    <t>e-dialog, Measured</t>
  </si>
  <si>
    <t>https://e-dialog.group/google-sales-partner/google-marketing-platform/</t>
  </si>
  <si>
    <t>Google Marketing Platform Lizenzen \| e-dialog</t>
  </si>
  <si>
    <t>growthspreeofficial.com</t>
  </si>
  <si>
    <t>https://easy-m.de/</t>
  </si>
  <si>
    <t>Enterprise-Plattform für Marketing Attribution &amp;amp; Tracking | easy Marketing</t>
  </si>
  <si>
    <t>GrowthSpree, Measured</t>
  </si>
  <si>
    <t>https://firstpagesage.com/seo-blog/the-top-answer-engine-optimization-aeo-companies/</t>
  </si>
  <si>
    <t>handelsblatt.com</t>
  </si>
  <si>
    <t>The Top Answer Engine Optimization (AEO) Companies of 2026 – First Page Sage</t>
  </si>
  <si>
    <t>iPullRank, Omniscient Digital</t>
  </si>
  <si>
    <t>https://gemprogrammers.com/best-digital-marketing-agency-germany/</t>
  </si>
  <si>
    <t>Suchhelden</t>
  </si>
  <si>
    <t>hatchly.co.uk</t>
  </si>
  <si>
    <t>Best Digital Marketing Agency Germany 2026: Right Fit Guide</t>
  </si>
  <si>
    <t>WPP, Omnicom, Dentsu</t>
  </si>
  <si>
    <t>https://gerlach.media/ratgeber/top-geo-agenturen-in-deutschland/</t>
  </si>
  <si>
    <t>GEO Agenturen Vergleich 2026: Beste Anbieter für B2B</t>
  </si>
  <si>
    <t>havstrategy.com</t>
  </si>
  <si>
    <t>Aufgesang, Claneo, DREIKON, Löwenstark</t>
  </si>
  <si>
    <t>https://www.google.com/partners/</t>
  </si>
  <si>
    <t>https://www.hyam.de/en/branding-agency#:~:text=As%20a%20Berlin%2Dbased%20branding,lifestyle%2C%20technology%20and%20art%20sectors.</t>
  </si>
  <si>
    <t>hawkemedia.com</t>
  </si>
  <si>
    <t>The branding agency for modern brands –&amp;nbsp;HY.AM&amp;nbsp;STUDIOS</t>
  </si>
  <si>
    <t>HY.AM STUDIOS</t>
  </si>
  <si>
    <t>https://liftlab.com/solutions/incrementality-testing/</t>
  </si>
  <si>
    <t>New Engen, Tinuiti, NoGood, Monks, Merkle, Wpromote, Disruptive Advertising, Ogilvy, WebFX, Siege Media, Measured, Hawke Media, KlientBoost, SmartSites, R/GA, Power Digital</t>
  </si>
  <si>
    <t>Incrementality Testing &amp;amp; MMM Calibration | LiftLab</t>
  </si>
  <si>
    <t>hawksem.com</t>
  </si>
  <si>
    <t>https://marketingplatform.google.com/about/partners/find-a-partner?category=206&amp;geo=Deutschland&amp;q=&amp;region=EU</t>
  </si>
  <si>
    <t>Tinuiti, Merkle, Wpromote</t>
  </si>
  <si>
    <t>https://marketingplatform.google.com/about/partners/?hl=de</t>
  </si>
  <si>
    <t>heeet.io</t>
  </si>
  <si>
    <t>Meet Your New Marketing Partner - Google Marketing Platform Partners</t>
  </si>
  <si>
    <t>Northbeam, Triple Whale, Ruler Analytics, Cometly, Dreamdata</t>
  </si>
  <si>
    <t>https://www.onlinemarketingagenturde.de/beste-performance-marketing-agenturen-in-deutschland/</t>
  </si>
  <si>
    <t>helder.design</t>
  </si>
  <si>
    <t>Ogilvy, WPP, MetaDesign, Omnicom, Jung von Matt, Serviceplan Group, Scholz &amp; Friends</t>
  </si>
  <si>
    <t>Beste Performance-Marketing-Agenturen in Deutschland 2026</t>
  </si>
  <si>
    <t>herohunt.ai</t>
  </si>
  <si>
    <t>https://partnersdirectory.withgoogle.com/intl/de/</t>
  </si>
  <si>
    <t>higoodie.com</t>
  </si>
  <si>
    <t>Measured, NoGood</t>
  </si>
  <si>
    <t>Google Partner-Verzeichnis – Unternehmenswachstum mit dem richtigen Partner beschleunigen</t>
  </si>
  <si>
    <t>himalayas.app</t>
  </si>
  <si>
    <t>https://passion4it.de/en/ai/</t>
  </si>
  <si>
    <t>hirefrontenddeveloperindia.com</t>
  </si>
  <si>
    <t>AI consulting | passion4it</t>
  </si>
  <si>
    <t>https://www.phable.io/top-creative-agencies/ty64guv22ftctcjddgh9avb7ywb85q</t>
  </si>
  <si>
    <t>Top Creative Agencies in Europe | Leaders in Branding, Content Creation &amp;amp; Digital Innovation — Branding And Content Marketing For Technology</t>
  </si>
  <si>
    <t>hoerndlein-consulting.de</t>
  </si>
  <si>
    <t>AKQA, Serviceplan Group, R/GA</t>
  </si>
  <si>
    <t>https://segmentstream.com/blog/articles/top-enterprise-marketing-analytics-and-attribution-platforms</t>
  </si>
  <si>
    <t>10 Best Enterprise Marketing Analytics &amp;amp; Attribution Platforms in 2026 — SegmentStream</t>
  </si>
  <si>
    <t>hourlydeveloper.io</t>
  </si>
  <si>
    <t>SegmentStream, Measured, Rockerbox, LifeSight</t>
  </si>
  <si>
    <t>https://www.smarketer.de/google-partner/</t>
  </si>
  <si>
    <t>Zertifizierungen und Auszeichnungen | Smarketer</t>
  </si>
  <si>
    <t>appliedAI, Pilot</t>
  </si>
  <si>
    <t>https://www.sortlist.com/s/artificial-intelligence/munich-by-de</t>
  </si>
  <si>
    <t>humanise.world</t>
  </si>
  <si>
    <t>hustlermarketing.com</t>
  </si>
  <si>
    <t>The 10 Best Artificial Intelligence Agencies in Munich - 2026 Reviews</t>
  </si>
  <si>
    <t>Momentum, Pilot</t>
  </si>
  <si>
    <t>https://www.sortlist.de/s/attributionsmarketing/deutschland-de</t>
  </si>
  <si>
    <t>Attributionsmarketing Agentur Deutschland vergleichen</t>
  </si>
  <si>
    <t>iconagility.com</t>
  </si>
  <si>
    <t>https://www.sortlist.de/s/kunstliche-intelligenz/deutschland-de</t>
  </si>
  <si>
    <t>Unsere 10 Besten Künstliche Intelligenz Agenturen in Deutschland - 2026 Bewertungen</t>
  </si>
  <si>
    <t>idhlagency.com</t>
  </si>
  <si>
    <t>https://www.sortlist.de/web-analytics/deutschland-de</t>
  </si>
  <si>
    <t>IDHL</t>
  </si>
  <si>
    <t>Unsere 10 Besten Webanalytics Agenturen in Deutschland - 2026 Bewertungen</t>
  </si>
  <si>
    <t>impressiondigital.com</t>
  </si>
  <si>
    <t>https://sourceforge.net/software/ai-marketing/germany/</t>
  </si>
  <si>
    <t>Best AI Marketing Tools in Germany of 2026 - Reviews &amp;amp; Comparison</t>
  </si>
  <si>
    <t>imrg.org</t>
  </si>
  <si>
    <t>https://thebestagency.de/news/serviceplan-stuermt-an-die-spitze-des-rankings-von-the-best-agency/?media_link=1</t>
  </si>
  <si>
    <t>Measured, Huge</t>
  </si>
  <si>
    <t>inbeat.co</t>
  </si>
  <si>
    <t>THE BEST AGENCY Ranking: Serviceplan stürmt an die Spitze</t>
  </si>
  <si>
    <t>Momentum, Tinuiti, Bark London, Mediacharge, Single Grain, inBeat</t>
  </si>
  <si>
    <t>Publicis Groupe, Ogilvy, Accenture Song, Scholz &amp; Friends, Jung von Matt</t>
  </si>
  <si>
    <t>infomotion.de</t>
  </si>
  <si>
    <t>https://thebestagency.de/the-best-agency-ranking/</t>
  </si>
  <si>
    <t>THE BEST AGENCY Ranking - ein Überblick</t>
  </si>
  <si>
    <t>Publicis Groupe, Publicis Media, Ogilvy, Accenture Song, Scholz &amp; Friends, Omnicom, Omnicom Media Group, Jung von Matt, Havas Media, Mawave, Aufgesang, Mindshare, Serviceplan Group</t>
  </si>
  <si>
    <t>https://www.youtube.com/watch?v=yqAWlB2swWU</t>
  </si>
  <si>
    <t>insightwert.de</t>
  </si>
  <si>
    <t>AI SEO Guide 2026: In ChatGPT gefunden werden (GEO, AEO, LLMO)</t>
  </si>
  <si>
    <t>https://agencies.semrush.com/list/analytics-data-science/business-professional-services/germany/</t>
  </si>
  <si>
    <t>instantwaves.de</t>
  </si>
  <si>
    <t>Best B2B Services Data Analytics Services in Germany 2026 | Semrush</t>
  </si>
  <si>
    <t>https://agencies.semrush.com/list/analytics-data-science/germany/small-business/</t>
  </si>
  <si>
    <t>Best Data Analytics Services for Small Business in Germany 2026 | Semrush</t>
  </si>
  <si>
    <t>HECHT INS GEFECHT, Baseplus DIGITAL MEDIA GmbH, Mediaplus Performance, KlickPiloten</t>
  </si>
  <si>
    <t>intentradar.com</t>
  </si>
  <si>
    <t>https://agencies.semrush.com/list/ppc/germany/</t>
  </si>
  <si>
    <t>Best PPC Agencies in Germany 2026 | Semrush</t>
  </si>
  <si>
    <t>morefire, Mediaplus Performance, MONSOON, Mediacharge, KlickPiloten</t>
  </si>
  <si>
    <t>https://www.ai-value-consulting.de/</t>
  </si>
  <si>
    <t>invictus-lead-generation.de</t>
  </si>
  <si>
    <t>AI Value Consulting - AI Readiness Audit &amp;amp; AI Value Discovery</t>
  </si>
  <si>
    <t>https://www.answermaniac.ai/best-geo-agencies</t>
  </si>
  <si>
    <t>11 Best Generative Engine Optimization (GEO) Agencies [2026] | AnswerManiac</t>
  </si>
  <si>
    <t>iopex.com</t>
  </si>
  <si>
    <t>Omnius, Seeders, Measured</t>
  </si>
  <si>
    <t>https://www.archibo.de/ai-transformation</t>
  </si>
  <si>
    <t>jaeckert-odaniel.com</t>
  </si>
  <si>
    <t>jampp.com</t>
  </si>
  <si>
    <t>https://www.artefact.com/offers/marketing-data-driven/measurements-mroi-insights/</t>
  </si>
  <si>
    <t>Our Measurements (MROI) &amp;amp; Insights Services - Artefact</t>
  </si>
  <si>
    <t>jobgether.com</t>
  </si>
  <si>
    <t>https://arxiv.org/abs/2509.08919</t>
  </si>
  <si>
    <t>[2509.08919] Generative Engine Optimization: How to Dominate AI Search</t>
  </si>
  <si>
    <t>Peak Ace, McKinsey &amp; Company</t>
  </si>
  <si>
    <t>jvm.com</t>
  </si>
  <si>
    <t>https://barefoot-performance.com/locations/berlin/performance-marketing</t>
  </si>
  <si>
    <t>karlmission.com</t>
  </si>
  <si>
    <t>Performance Marketing Agency Berlin | PPC | Barefoot</t>
  </si>
  <si>
    <t>https://www.bimodal.io/</t>
  </si>
  <si>
    <t>Marketing Science Platform. Experiment, validate, and optimise your marketing with Bimodal</t>
  </si>
  <si>
    <t>kentucky.com</t>
  </si>
  <si>
    <t>https://business.google.com/de/support/become-a-partner/</t>
  </si>
  <si>
    <t>WebFX, Measured</t>
  </si>
  <si>
    <t>Google Partners-Programm: Partnerunternehmen werden – Google Ads</t>
  </si>
  <si>
    <t>keyweo.com</t>
  </si>
  <si>
    <t>New Engen, Merkle</t>
  </si>
  <si>
    <t>https://business.google.com/en-all/support/become-a-partner/</t>
  </si>
  <si>
    <t>Google Partners Programme: Become a Partner – Google Ads</t>
  </si>
  <si>
    <t>Claneo, morefire, Peak Ace, DREIKON, Aufgesang</t>
  </si>
  <si>
    <t>https://business.google.com/in/think/marketing-strategies/incrementality-testing/</t>
  </si>
  <si>
    <t>ki-projexx.de</t>
  </si>
  <si>
    <t>kingfluencers.com</t>
  </si>
  <si>
    <t>Use incrementality testing for effective marketing measurement</t>
  </si>
  <si>
    <t>Digitalyze, Admiral Media, MONSOON, KlickPiloten</t>
  </si>
  <si>
    <t>klickkonzept.de</t>
  </si>
  <si>
    <t>https://clutch.co/de/agencies/social-media-marketing/influencer</t>
  </si>
  <si>
    <t>Top Influencer Advertising Agencies in Germany - Jul 2026 Rankings \| Clutch.co</t>
  </si>
  <si>
    <t>Labelium</t>
  </si>
  <si>
    <t>MONSOON, PANORAMA3000, HY.AM STUDIOS, KlickPiloten, Medialabel, GroupM</t>
  </si>
  <si>
    <t>kloos.agency</t>
  </si>
  <si>
    <t>https://clutch.co/de/seo-firms</t>
  </si>
  <si>
    <t>kochava.com</t>
  </si>
  <si>
    <t>Top SEO Companies in Germany - Jul 2026 Rankings \| Clutch.co</t>
  </si>
  <si>
    <t>MONSOON, Mediacharge, Claneo, Seeders, HECHT INS GEFECHT, KlickPiloten</t>
  </si>
  <si>
    <t>https://www.contextstudios.ai/blog/best-ai-agencies-berlin-2026-the-ultimate-comparison</t>
  </si>
  <si>
    <t>Kantar, Measured, Pilot</t>
  </si>
  <si>
    <t>kretschel-consulting.de</t>
  </si>
  <si>
    <t>Best AI Agencies Berlin 2026: The Ultimate Comparison | Context Studios Blog</t>
  </si>
  <si>
    <t>Momentum, Suchhelden, b.telligent, Peak Ace, Xmethod</t>
  </si>
  <si>
    <t>https://csw.agency/en/the-best-geo-agencies-duesseldorf/</t>
  </si>
  <si>
    <t>The ten best GEO agencies in Düsseldorf » CSW.AGENCY</t>
  </si>
  <si>
    <t>krick.com</t>
  </si>
  <si>
    <t>https://daviesmeyer.com/glossary/incrementality-testing</t>
  </si>
  <si>
    <t>kunalkankaria.com</t>
  </si>
  <si>
    <t>https://de.linkedin.com/company/mawave-marketing</t>
  </si>
  <si>
    <t>Mawave | LinkedIn</t>
  </si>
  <si>
    <t>labtrix.de</t>
  </si>
  <si>
    <t>Mawave, Serviceplan Group</t>
  </si>
  <si>
    <t>https://de.statista.com/statistik/daten/studie/168621/umfrage/top-30-kommunikationsagenturen-in-deutschland/</t>
  </si>
  <si>
    <t>Top-30-Kommunikationsagenturen in Deutschland 2025\| Statista</t>
  </si>
  <si>
    <t>leansummits.com</t>
  </si>
  <si>
    <t>leewayhertz.com</t>
  </si>
  <si>
    <t>Ogilvy, OMD, Havas Media, MetaDesign, Publicis Media, Scholz &amp; Friends, Publicis Groupe</t>
  </si>
  <si>
    <t>https://de.wikipedia.org/wiki/Jung_von_Matt</t>
  </si>
  <si>
    <t>Jung von Matt – Wikipedia</t>
  </si>
  <si>
    <t>leonar.app</t>
  </si>
  <si>
    <t>Jung von Matt, Momentum</t>
  </si>
  <si>
    <t>liveramp.com</t>
  </si>
  <si>
    <t>https://de.wikipedia.org/wiki/Scholz_%26_Friends</t>
  </si>
  <si>
    <t>Scholz &amp;amp; Friends – Wikipedia</t>
  </si>
  <si>
    <t>localperformance.com</t>
  </si>
  <si>
    <t>Scholz &amp; Friends, WPP, Jung von Matt</t>
  </si>
  <si>
    <t>https://www.decisionfoundry.com/marketing-measurement-analytics-services/</t>
  </si>
  <si>
    <t>Marketing Measurement Analytics Services</t>
  </si>
  <si>
    <t>lunarailab.com</t>
  </si>
  <si>
    <t>https://www.deptagency.com/de-dach/loesungen/ai-transformation/future-of-work-beratung/</t>
  </si>
  <si>
    <t>lyfemarketing.com</t>
  </si>
  <si>
    <t>Enterprise AI Readiness Beratung - DEPT®</t>
  </si>
  <si>
    <t>Tinuiti, Brainlabs, Wpromote, Publicis Groupe, Disruptive Advertising, WPP, Omnicom, Power Digital</t>
  </si>
  <si>
    <t>https://www.designrush.com/agency/digital-marketing/artificial-intelligence</t>
  </si>
  <si>
    <t>m-m-m.de</t>
  </si>
  <si>
    <t>Top AI Marketing Companies in 2026</t>
  </si>
  <si>
    <t>Single Grain, Jellyfish, SmartSites, Huge, Disruptive Advertising, PwC, WebFX, Capgemini</t>
  </si>
  <si>
    <t>madgicx.com</t>
  </si>
  <si>
    <t>https://ecosystem.hubspot.com/marketplace/solutions/paid-advertising/germany?eco_language=en&amp;eco_agency_tier=diamond</t>
  </si>
  <si>
    <t>Triple Whale</t>
  </si>
  <si>
    <t>makingscience.com</t>
  </si>
  <si>
    <t>https://ecosystem.hubspot.com/marketplace/solutions/paid-advertising/media-publishing/germany?limit=15</t>
  </si>
  <si>
    <t>manyreach.com</t>
  </si>
  <si>
    <t>https://feedbax.ai/geo-agencies</t>
  </si>
  <si>
    <t>marketerhire.com</t>
  </si>
  <si>
    <t>Top 20 GEO Agencies - 2026 Reviews</t>
  </si>
  <si>
    <t>marketinganalyticssummit.de</t>
  </si>
  <si>
    <t>https://feedbax.ai/performance-marketing/berlin</t>
  </si>
  <si>
    <t>Top 20 Performance Marketing Agencies in Berlin - 2026 Reviews</t>
  </si>
  <si>
    <t>PANORAMA3000, KlickPiloten, Mediacharge, Smarketer</t>
  </si>
  <si>
    <t>https://fusepointinsights.com/service/incrementality-experiments/</t>
  </si>
  <si>
    <t>marketingattributionsoftware.com</t>
  </si>
  <si>
    <t>Incrementality Experiments for Marketing Measurement | fusepoint</t>
  </si>
  <si>
    <t>Huge, Rockerbox, Northbeam, Triple Whale, Cometly, Dreamdata</t>
  </si>
  <si>
    <t>markt-kom.com</t>
  </si>
  <si>
    <t>https://geo-agentur.pro/magazin/geo-ai-search/ai-search-seo-agenturen-deutschland</t>
  </si>
  <si>
    <t>Accenture Song, Jung von Matt, Publicis Groupe, Ogilvy, Scholz &amp; Friends, Publicis Media</t>
  </si>
  <si>
    <t>matchpointmedia.de</t>
  </si>
  <si>
    <t>AI Search SEO &amp;amp; GEO-Agenturen 2026 | GEO Agentur</t>
  </si>
  <si>
    <t>Aufgesang, Claneo, Löwenstark, Suchhelden, Haus</t>
  </si>
  <si>
    <t>https://www.geoagenturen.de/directory?location=Berlin</t>
  </si>
  <si>
    <t>media-marketing.com</t>
  </si>
  <si>
    <t>mediagroupww.com</t>
  </si>
  <si>
    <t>medianug.com</t>
  </si>
  <si>
    <t>https://getrecast.com/</t>
  </si>
  <si>
    <t>Tinuiti, Wpromote, Disruptive Advertising, Directive Consulting, WebFX, KlientBoost, Power Digital</t>
  </si>
  <si>
    <t>Planning &amp;amp; Analysis Infrastructure - Recast</t>
  </si>
  <si>
    <t>metehan.ai</t>
  </si>
  <si>
    <t>https://getrecast.com/recast-llm-information/</t>
  </si>
  <si>
    <t>Peak Ace, Monks, DEPT, iPullRank, Radyant</t>
  </si>
  <si>
    <t>microsoft.com</t>
  </si>
  <si>
    <t>About Recast | Company Overview, Platforms &amp;amp; Methodology - Recast</t>
  </si>
  <si>
    <t>https://www.gwa.de/agentur/scholz-friends-rec6exos7k6ou0wlx/</t>
  </si>
  <si>
    <t>mintcopywritingstudios.com</t>
  </si>
  <si>
    <t>Scholz &amp;amp; Friends - GWA</t>
  </si>
  <si>
    <t>Huge, NoGood, Omniscient Digital, Single Grain, WebFX, Siege Media, Measured, Pilot</t>
  </si>
  <si>
    <t>https://www.hopmann.com/en/marketing-analytics/marketing-science/mmm/</t>
  </si>
  <si>
    <t>mintzoro.com</t>
  </si>
  <si>
    <t>Professional Marketing Mix Modeling (MMM) - Hopmann Marketing Analytics</t>
  </si>
  <si>
    <t>mkt-sci.com</t>
  </si>
  <si>
    <t>Pilot, Hopmann Marketing Analytics GmbH</t>
  </si>
  <si>
    <t>mmm-consulting.de</t>
  </si>
  <si>
    <t>https://www.ibusiness.de/performance-ranking/performance_2023</t>
  </si>
  <si>
    <t>modall.ca</t>
  </si>
  <si>
    <t>modo25.com</t>
  </si>
  <si>
    <t>Serviceplan Group, Smarketer, iProspect, e-dialog, morefire, The Boutique Agency, 42DIGITAL, Aufgesang</t>
  </si>
  <si>
    <t>https://icoda.io/de/ai/best-ai-seo-agency-germany/</t>
  </si>
  <si>
    <t>most2414.com</t>
  </si>
  <si>
    <t>Beste AI SEO Agentur in Deutschland: Top 10 Anbieter für 2026</t>
  </si>
  <si>
    <t>Omnius, TRYSEO, Aufgesang, Claneo</t>
  </si>
  <si>
    <t>https://www.influencer-hero.com/fr/blogs/top-pay-per-click-agencies-in-germany</t>
  </si>
  <si>
    <t>multishoring.com</t>
  </si>
  <si>
    <t>Top 10 Agences Pay-Per-Click en Allemagne</t>
  </si>
  <si>
    <t>https://www.influencer-hero.com/kr/blogs/top-pay-per-click-agencies-in-germany</t>
  </si>
  <si>
    <t>nakoa.digital</t>
  </si>
  <si>
    <t>nativz.io</t>
  </si>
  <si>
    <t>독일의 상위 10개 클릭당 지불(PPC) 에이전시</t>
  </si>
  <si>
    <t>nepa.com</t>
  </si>
  <si>
    <t>https://www.jadasquad.com/blog/top-ai-agent-development-companies-in-munich</t>
  </si>
  <si>
    <t>Top AI Agent Development Companies in Munich Germany (2026) | The JADA Squad</t>
  </si>
  <si>
    <t>Dentsu, BCG, GroupM</t>
  </si>
  <si>
    <t>networkgain.com</t>
  </si>
  <si>
    <t>MaibornWolff, Momentum, appliedAI</t>
  </si>
  <si>
    <t>https://lengreo.com/best-meta-ads-agencies-in-germany/</t>
  </si>
  <si>
    <t>newage.agency</t>
  </si>
  <si>
    <t>Top 15 Meta Ads Companies to Partner with in Germany (2026)</t>
  </si>
  <si>
    <t>nielsen.com</t>
  </si>
  <si>
    <t>MONSOON, PANORAMA3000, Pilot, Medialabel, Mawave, Social Media Pirates, Claneo, Loyamo</t>
  </si>
  <si>
    <t>https://linea-analytics.com/</t>
  </si>
  <si>
    <t>Linea Analytics — True Marketing Impact Measurement (Always-on MMM)</t>
  </si>
  <si>
    <t>nikaconsulting.co.nz</t>
  </si>
  <si>
    <t>https://www.marketing-companies-in-germany.com/data-driven-marketing</t>
  </si>
  <si>
    <t>Digital Masters GmbH, lehof, MONSOON, Labelium, Loyamo</t>
  </si>
  <si>
    <t>https://mediacharge.com/#:~:text=Our%20holistically%20minded%20team%20not,most%20sustainable%20long%2Dterm%20success.</t>
  </si>
  <si>
    <t>nion-answers.com</t>
  </si>
  <si>
    <t>https://www.mediaroi.io/en</t>
  </si>
  <si>
    <t>iPullRank, NoGood</t>
  </si>
  <si>
    <t>mediaROI — The AI for Marketing Measurement</t>
  </si>
  <si>
    <t>northdata.com</t>
  </si>
  <si>
    <t>WPP, AKQA</t>
  </si>
  <si>
    <t>https://meedia.de/news/beitrag/19725-das-sind-die-15-groessten-mediaagenturen-in-deutschland.html</t>
  </si>
  <si>
    <t>novusvistatech.com</t>
  </si>
  <si>
    <t>Das sind die 15 größten Mediaagenturen in Deutschland</t>
  </si>
  <si>
    <t>WPP, Dentsu, OMD, Omnicom, Mediaplus Group, Pilot, Publicis Media, Mindshare, Havas Media, GroupM, Omnicom Media Group</t>
  </si>
  <si>
    <t>nutshell.com</t>
  </si>
  <si>
    <t>https://mmaglobal.com/smarties/business-impact-index?category=Agency+Network&amp;region=Germany&amp;year=2024</t>
  </si>
  <si>
    <t>WebFX, Siege Media</t>
  </si>
  <si>
    <t>oakpool.xyz</t>
  </si>
  <si>
    <t>NoGood, Omnius, iPullRank</t>
  </si>
  <si>
    <t>Overview | MMA / Marketing + Media Alliance</t>
  </si>
  <si>
    <t>ombera.de</t>
  </si>
  <si>
    <t>Capgemini</t>
  </si>
  <si>
    <t>omnibound.ai</t>
  </si>
  <si>
    <t>Omnicom, Mindshare, WPP, OMD, Dentsu, GroupM, Omnicom Media Group</t>
  </si>
  <si>
    <t>https://www.monks.com/google-partnership#:~:text=Our%20partnership%20with%20Google%20extends,in%20media%20and%20data%20analysis.</t>
  </si>
  <si>
    <t>Deloitte Digital, Measured, BCG</t>
  </si>
  <si>
    <t>omnicomprecisionmarketing.de</t>
  </si>
  <si>
    <t>Google-Certified Partner Agency | GMP, Google Cloud, and Media</t>
  </si>
  <si>
    <t>Omnicom</t>
  </si>
  <si>
    <t>onehundred.digital</t>
  </si>
  <si>
    <t>openassistantgpt.io</t>
  </si>
  <si>
    <t>Monks</t>
  </si>
  <si>
    <t>https://omr.com/de/reviews/service/smarketer-group</t>
  </si>
  <si>
    <t>weDiscover</t>
  </si>
  <si>
    <t>Smarketer Group Infos &amp;amp; Leistungen | OMR Reviews</t>
  </si>
  <si>
    <t>opnrs.com</t>
  </si>
  <si>
    <t>https://performance-marketing-agency-berlin.com/attribution-marketing/berlin</t>
  </si>
  <si>
    <t>The best Attribution Marketing Agencies in Berlin</t>
  </si>
  <si>
    <t>https://www.reddit.com/r/agency/comments/1ok212i/performance_marketing_incrementality/</t>
  </si>
  <si>
    <t>orangemarketing.com</t>
  </si>
  <si>
    <t>Performance Marketing Incrementality</t>
  </si>
  <si>
    <t>Haus, Measured, Recast</t>
  </si>
  <si>
    <t>https://www.reuters.com/business/publicis-raises-growth-target-ai-driven-marketing-demand-stays-strong-2026-07-16/</t>
  </si>
  <si>
    <t>osmos.ai</t>
  </si>
  <si>
    <t>Publicis raises growth target as AI-driven marketing demand stays strong \| Reuters</t>
  </si>
  <si>
    <t>outreachz.com</t>
  </si>
  <si>
    <t>https://revolutions.de/die-5-besten-ai-agenturen-fur-den-deutschen-mittelstand-2026/</t>
  </si>
  <si>
    <t>Huge, NoGood, Single Grain, Hawke Media</t>
  </si>
  <si>
    <t>outrightcrm.com</t>
  </si>
  <si>
    <t>Die 5 besten AI-Agenturen für den deutschen Mittelstand (2026) - Revolutions</t>
  </si>
  <si>
    <t>Huge, Merkle, Wpromote, Disruptive Advertising, Directive Consulting, Jellyfish, Pilot, KlientBoost, SmartSites, Power Digital</t>
  </si>
  <si>
    <t>p3adaptive.com</t>
  </si>
  <si>
    <t>McKinsey &amp; Company, EY, BCG</t>
  </si>
  <si>
    <t>https://www.ruleranalytics.com/</t>
  </si>
  <si>
    <t>panorama-consulting.com</t>
  </si>
  <si>
    <t>Unified Marketing Measurement, Attribution &amp;amp; AI | Ruler Analytics</t>
  </si>
  <si>
    <t>paramark.com</t>
  </si>
  <si>
    <t>Huge, Haus, Recast</t>
  </si>
  <si>
    <t>https://segmentstream.com/blog/articles/incrmntal-alternatives</t>
  </si>
  <si>
    <t>partnerpage.io</t>
  </si>
  <si>
    <t>INCRMNTAL Competitors &amp;amp; Alternatives (2026) — SegmentStream</t>
  </si>
  <si>
    <t>ALTERNATIVE</t>
  </si>
  <si>
    <t>Alternative</t>
  </si>
  <si>
    <t>peakace.agency</t>
  </si>
  <si>
    <t>SegmentStream, INCRMNTAL, Measured, Haus, LifeSight, Recast</t>
  </si>
  <si>
    <t>Peak Ace</t>
  </si>
  <si>
    <t>https://seranking.com/agencies/location/germany/</t>
  </si>
  <si>
    <t>phdmedia.com</t>
  </si>
  <si>
    <t>40+ Best SEO Agencies in Germany: Screened and Scored</t>
  </si>
  <si>
    <t>pikaseo.com</t>
  </si>
  <si>
    <t>DEPT, Haus</t>
  </si>
  <si>
    <t>https://www.sortlist.com/de/performance-marketing</t>
  </si>
  <si>
    <t>Measured, Siege Media, iPullRank, Single Grain, WebFX, Pilot, Directive Consulting, NoGood, Omniscient Digital</t>
  </si>
  <si>
    <t>pilot.de</t>
  </si>
  <si>
    <t>Unsere 100 Besten Performance Marketing Agenturen - 2026 Bewertungen</t>
  </si>
  <si>
    <t>KlickPiloten, MONSOON, Triple Whale, Northbeam, Dreamdata, Mediacharge</t>
  </si>
  <si>
    <t>https://www.sortlist.com/s/b2b-marketing/germany-de</t>
  </si>
  <si>
    <t>platypusseo.com</t>
  </si>
  <si>
    <t>The 10 Best B2B Marketing Agencies in Germany - 2026 Reviews</t>
  </si>
  <si>
    <t>https://www.sortlist.com/s/google-ads/germany-de</t>
  </si>
  <si>
    <t>pndigital.co.uk</t>
  </si>
  <si>
    <t>The 10 Best Google Ads Agencies in Germany - 2026 Reviews</t>
  </si>
  <si>
    <t>MONSOON, Triple Whale, Northbeam, Dreamdata</t>
  </si>
  <si>
    <t>https://www.sortlist.com/s/marketing-analytics/berlin-de</t>
  </si>
  <si>
    <t>prescientai.com</t>
  </si>
  <si>
    <t>The 10 Best Marketing Analytics Companies in Berlin - 2026 Reviews</t>
  </si>
  <si>
    <t>MONSOON, Triple Whale, Northbeam, Dreamdata, KlickPiloten, lehof</t>
  </si>
  <si>
    <t>https://www.sortlist.de/s/ai-marketing/baden-wuerttemberg-bw-de</t>
  </si>
  <si>
    <t>product-marketing-agentur.de</t>
  </si>
  <si>
    <t>AI Marketing Agentur Baden-Württemberg | Vergleich</t>
  </si>
  <si>
    <t>https://www.sortlist.de/s/ai-marketing/muenchen-by-de</t>
  </si>
  <si>
    <t>MONSOON, KlickPiloten, Digital Masters GmbH, lehof</t>
  </si>
  <si>
    <t>projecter.de</t>
  </si>
  <si>
    <t>Unsere 10 Besten AI Marketing Agenturen in München - 2026 Bewertungen</t>
  </si>
  <si>
    <t>https://www.sortlist.de/s/google-analytics/deutschland-de</t>
  </si>
  <si>
    <t>promodo.com</t>
  </si>
  <si>
    <t>Unsere 10 Besten Google Analytics Beratung Agenturen in Deutschland - 2026 Bewertungen</t>
  </si>
  <si>
    <t>Directive Consulting, Siege Media, Measured</t>
  </si>
  <si>
    <t>Mediacharge, Loyamo</t>
  </si>
  <si>
    <t>publicisgroupeuk.com</t>
  </si>
  <si>
    <t>https://www.sortlist.de/s/programmatic-advertising/deutschland-de</t>
  </si>
  <si>
    <t>Unsere 10 Besten Programmatic Advertising Agenturen in Deutschland - 2026 Bewertungen</t>
  </si>
  <si>
    <t>publicisproduction.com</t>
  </si>
  <si>
    <t>lehof, MONSOON, Triple Whale, Northbeam, Dreamdata, KlickPiloten</t>
  </si>
  <si>
    <t>https://supermetrics.com/blog/incrementality-testing</t>
  </si>
  <si>
    <t>Incrementality Testing – The Only Guide You Need</t>
  </si>
  <si>
    <t>qoulomb.com</t>
  </si>
  <si>
    <t>Siege Media</t>
  </si>
  <si>
    <t>quoleady.com</t>
  </si>
  <si>
    <t>https://support.google.com/tagmanager/answer/7237700?hl=en-GB</t>
  </si>
  <si>
    <t>Momentum, NoGood, Disruptive Advertising, Darkroom, SmartSites</t>
  </si>
  <si>
    <t>quora.com</t>
  </si>
  <si>
    <t>Google Marketing Platform Partners - Tag Manager Help</t>
  </si>
  <si>
    <t>Ogilvy, Huge, AKQA, Jung von Matt, Scholz &amp; Friends</t>
  </si>
  <si>
    <t>raas.gmbh</t>
  </si>
  <si>
    <t>https://thatware.co/top-10-geo-companies-in-germany/</t>
  </si>
  <si>
    <t>rajeshjain.com</t>
  </si>
  <si>
    <t>Top GEO Listing Companies in Germany (AI Era)</t>
  </si>
  <si>
    <t>Ogilvy, WPP, Huge, AKQA, Dentsu, Epsilon, Accenture Song, Omnicom, Deloitte Digital, Publicis Groupe, R/GA, PwC, GroupM</t>
  </si>
  <si>
    <t>rankscale.ai</t>
  </si>
  <si>
    <t>https://www.the-boutique-agency.de/en/search-ads-360#:~:text=Search%20Ads%20360%20agency%20in%20Munich%2C%20Germany%20%E2%80%A2%20The%20Boutique%20Agency</t>
  </si>
  <si>
    <t>rapp.com</t>
  </si>
  <si>
    <t>Search Ads 360 agency in Munich, Germany • The Boutique Agency</t>
  </si>
  <si>
    <t>The Boutique Agency</t>
  </si>
  <si>
    <t>repindia.com</t>
  </si>
  <si>
    <t>https://think11.de/unternehmen/zertifikate/</t>
  </si>
  <si>
    <t>reply.com</t>
  </si>
  <si>
    <t>Zertifikate: Google, HubSpot &amp;amp; Partnerschaften | Think11</t>
  </si>
  <si>
    <t>resultfirst.com</t>
  </si>
  <si>
    <t>revenuezen.com</t>
  </si>
  <si>
    <t>https://threebestrated.de/advertising-agencies-in-munich</t>
  </si>
  <si>
    <t>iPullRank, Huge, WebFX, Omniscient Digital</t>
  </si>
  <si>
    <t>rheinwunder.com</t>
  </si>
  <si>
    <t>3 Best Advertising Agencies in Munich - Expert Recommendations</t>
  </si>
  <si>
    <t>Croud</t>
  </si>
  <si>
    <t>eMinded GmbH</t>
  </si>
  <si>
    <t>riseup.agency</t>
  </si>
  <si>
    <t>https://www.trkkn.com/company/</t>
  </si>
  <si>
    <t>rit.de</t>
  </si>
  <si>
    <t>TRKKN - Certified Google partner and reseller</t>
  </si>
  <si>
    <t>rubixe.com</t>
  </si>
  <si>
    <t>ryte.com</t>
  </si>
  <si>
    <t>https://www.unfuture.de/en/</t>
  </si>
  <si>
    <t>Peak Ace, Jung von Matt, WPP, DEPT, Kosch Klink Performance</t>
  </si>
  <si>
    <t>s-pro.io</t>
  </si>
  <si>
    <t>Unfuture — AI transformation for the German mid-market</t>
  </si>
  <si>
    <t>Croud, Momentum, PwC</t>
  </si>
  <si>
    <t>https://www.warc.com/en/data-benchmarks/rankings-creative-100-overview</t>
  </si>
  <si>
    <t>sageitinc.com</t>
  </si>
  <si>
    <t>Creative 100 Overview</t>
  </si>
  <si>
    <t>https://www.werbeagentur.de/de/scoring/performance-marketing</t>
  </si>
  <si>
    <t>261 Top Agenturen für Performance Marketing. Hier vergleichen</t>
  </si>
  <si>
    <t>saint-elmos.com</t>
  </si>
  <si>
    <t>Artefact, Digital Masters GmbH, Customlytics, Löwenstark, Aufgesang, Mawave, Loyamo, Social Media Pirates, Smarketer, eMinded GmbH, ZweiDigital GmbH</t>
  </si>
  <si>
    <t>https://www.werbeagentur.de/en/scoring/ab-testing</t>
  </si>
  <si>
    <t>29 Top Agenturen für AB Testing. Hier vergleichen</t>
  </si>
  <si>
    <t>Jung von Matt, Serviceplan Group, GroupM, Mindshare, BBDO Germany, Scholz &amp; Friends, OMD, Mediaplus Group</t>
  </si>
  <si>
    <t>morefire, Digital Masters GmbH</t>
  </si>
  <si>
    <t>https://www.werbeagentur.de/en/scoring/performance-marketing</t>
  </si>
  <si>
    <t>salestube.tech</t>
  </si>
  <si>
    <t>260 Top Agenturen für Performance Marketing. Hier vergleichen</t>
  </si>
  <si>
    <t>https://www.youtube.com/watch?v=7pP2AGlSn50</t>
  </si>
  <si>
    <t>sanmiguel.io</t>
  </si>
  <si>
    <t>What Are the Best Generative Engine Optimization GEO Agencies in Gelsenkirchen?</t>
  </si>
  <si>
    <t>https://www.youtube.com/watch?v=JmDHPizWIOA</t>
  </si>
  <si>
    <t>What Are the Best Generative Engine Optimization (GEO) Agencies in Germany</t>
  </si>
  <si>
    <t>MetaDesign, Omnicom, Publicis Groupe, Jung von Matt</t>
  </si>
  <si>
    <t>https://www.zendikt.com/top-10-marketing-attribution-software/germany</t>
  </si>
  <si>
    <t>saphirsolution.de</t>
  </si>
  <si>
    <t>Top 10 Marketing Attribution Software in Germany for 2026</t>
  </si>
  <si>
    <t>https://www.adc.de/2022/12/16/serviceplan-auf-platz-1-des-adc-kreativrankings/</t>
  </si>
  <si>
    <t>SERVICEPLAN auf Platz 1 des ADC Kreativrankings | Art Directors Club für Deutschland – ADC</t>
  </si>
  <si>
    <t>Jung von Matt, Publicis Groupe, MetaDesign, Scholz &amp; Friends, Accenture Song, Haus</t>
  </si>
  <si>
    <t>https://www.adcountable.com/</t>
  </si>
  <si>
    <t>scaleandcompany.com</t>
  </si>
  <si>
    <t>scalecom.de</t>
  </si>
  <si>
    <t>https://www.adspecialist.de/en/channel-data-driven-marketing-agentur/</t>
  </si>
  <si>
    <t>Data-Driven Marketing Agency - Influencer Growth - Ad Specialist</t>
  </si>
  <si>
    <t>scalefox.de</t>
  </si>
  <si>
    <t>https://www.adstrat.de/</t>
  </si>
  <si>
    <t>AdStrat - SEA &amp;amp; Paid Social: Performance Marketing Agentur</t>
  </si>
  <si>
    <t>https://aeoagencyservices.com/Blog-Page/european-aeo-agency-landscape-answer-engine-optimization-providers-across-eu</t>
  </si>
  <si>
    <t>scandiweb.com</t>
  </si>
  <si>
    <t>European AEO Agency Landscape: 29 Answer Engine Optimization Providers Across EU - Web Of Picasso</t>
  </si>
  <si>
    <t>NoGood, HECHT INS GEFECHT, Omnius, Seeders</t>
  </si>
  <si>
    <t>https://aeoagencyservices.com/aeo-agency-europe</t>
  </si>
  <si>
    <t>Best AEO Agency Europe | Leading Answer Engine Optimization Services</t>
  </si>
  <si>
    <t>sdbj.com</t>
  </si>
  <si>
    <t>https://agencies.semrush.com/de/list/display-advertising/ecommerce/germany/</t>
  </si>
  <si>
    <t>Beste Display-Werbung-Agenturen für E-Commerce , Germany 2026 | Semrush</t>
  </si>
  <si>
    <t>search.agency</t>
  </si>
  <si>
    <t>https://agencies.semrush.com/list/ai-optimization/hamburg/</t>
  </si>
  <si>
    <t>searchbloom.com</t>
  </si>
  <si>
    <t>Best AI Search Optimization Agencies in Hamburg 2026 | Semrush</t>
  </si>
  <si>
    <t>Tinuiti, Omniscient Digital, Single Grain, iPullRank, Siege Media</t>
  </si>
  <si>
    <t>searchperts.de</t>
  </si>
  <si>
    <t>https://agencies.semrush.com/list/content-marketing/business-professional-services/germany/</t>
  </si>
  <si>
    <t>secureleap.tech</t>
  </si>
  <si>
    <t>Best B2B Services Content Marketing Agencies in Germany 2026 | Semrush</t>
  </si>
  <si>
    <t>sei.com</t>
  </si>
  <si>
    <t>HECHT INS GEFECHT, Baseplus DIGITAL MEDIA GmbH, Mediaplus Performance</t>
  </si>
  <si>
    <t>https://agencies.semrush.com/list/display-advertising/arts-entertainment/germany/</t>
  </si>
  <si>
    <t>selectedfirms.co</t>
  </si>
  <si>
    <t>Best Media &amp;amp; Entertainment Display Ads Agencies in Germany 2026 | Semrush</t>
  </si>
  <si>
    <t>https://agencies.semrush.com/list/display-advertising/ecommerce/germany/mid-business/</t>
  </si>
  <si>
    <t>semnexus.com</t>
  </si>
  <si>
    <t>Best Ecommerce Display Ads Agencies for Mid Business in Germany 2026 | Semrush</t>
  </si>
  <si>
    <t>https://agencies.semrush.com/list/display-advertising/germany/enterprise-business/</t>
  </si>
  <si>
    <t>Brainlabs, Directive Consulting, WebFX, Siege Media</t>
  </si>
  <si>
    <t>seo-marketing.koeln</t>
  </si>
  <si>
    <t>Best Display Ads Agencies for Enterprise Business in Germany 2026 | Semrush</t>
  </si>
  <si>
    <t>seodeutschland.de</t>
  </si>
  <si>
    <t>https://agencies.semrush.com/list/llm-optimization/germany/</t>
  </si>
  <si>
    <t>Best LLM optimization Agencies in Germany 2026 | Semrush</t>
  </si>
  <si>
    <t>https://anyleads.com/geo-agencies-ai-search-visibility</t>
  </si>
  <si>
    <t>seodiscovery.com</t>
  </si>
  <si>
    <t>10 GEO Agencies for AI Search Visibility in 2026 - Anyleads</t>
  </si>
  <si>
    <t>Siege Media, NoGood</t>
  </si>
  <si>
    <t>https://appfillip.com/advanced-paid-marketing/in/germany</t>
  </si>
  <si>
    <t>seosupport.de</t>
  </si>
  <si>
    <t>https://www.artefact.com/offers/marketing-data-driven/gmp-certified-reseller/#:~:text=Our%20comprehensive%20GMP%20Playbook%20is,experts%20are%20all%20GMP%20certified.</t>
  </si>
  <si>
    <t>We are a GMP Certified Reseller - Artefact</t>
  </si>
  <si>
    <t>https://arxiv.org/abs/2604.07585</t>
  </si>
  <si>
    <t>seybold.de</t>
  </si>
  <si>
    <t>[2604.07585] Don't Measure Once: Measuring Visibility in AI Search (GEO)</t>
  </si>
  <si>
    <t>shifu-marketing.com</t>
  </si>
  <si>
    <t>https://attributy.de/about</t>
  </si>
  <si>
    <t>About Attributy | Marketing Attribution Company</t>
  </si>
  <si>
    <t>siegemedia.com</t>
  </si>
  <si>
    <t>https://awisee.com/blog/social-media-marketing-agencies-germany/</t>
  </si>
  <si>
    <t>Single Grain, McKinsey &amp; Company, Siege Media, Power Digital</t>
  </si>
  <si>
    <t>signalandkairos.com</t>
  </si>
  <si>
    <t>Best 4 Social Media Marketing Agencies Germany (Reviews)</t>
  </si>
  <si>
    <t>https://awisee.com/us/blog/digital-marketing-agencies-germany/</t>
  </si>
  <si>
    <t>Northbeam, Rockerbox</t>
  </si>
  <si>
    <t>simpli.fi</t>
  </si>
  <si>
    <t>https://bconic.com/</t>
  </si>
  <si>
    <t>singlegrain.com</t>
  </si>
  <si>
    <t>Bconic: Independent Marketing Measurement Platform</t>
  </si>
  <si>
    <t>Superside, Single Grain, Pilot</t>
  </si>
  <si>
    <t>sixpathsconsulting.com</t>
  </si>
  <si>
    <t>https://beomniscient.com/blog/best-ai-marketing-agencies/</t>
  </si>
  <si>
    <t>skai.io</t>
  </si>
  <si>
    <t>The 5 Best AI Marketing Agencies For B2B (2026 Update) - Omniscient Digital</t>
  </si>
  <si>
    <t>Omniscient Digital, NoGood, Daydream, Single Grain, Measured</t>
  </si>
  <si>
    <t>https://www.beyond-media.de/agentur/google-premier-partner/</t>
  </si>
  <si>
    <t>smarketer.co.uk</t>
  </si>
  <si>
    <t>Google Premier Partner Agentur ★ Top 3% weltweit | Beyond Media</t>
  </si>
  <si>
    <t>smartly.io</t>
  </si>
  <si>
    <t>https://www.businessinsider.com/mckinsey-bcg-and-deloitte-competition-small-boutique-specialized-ai-2025-4</t>
  </si>
  <si>
    <t>snk.de</t>
  </si>
  <si>
    <t>McKinsey, BCG, and Deloitte's New Competition Is Fast and Driven by AI - Business Insider</t>
  </si>
  <si>
    <t>soar.sh</t>
  </si>
  <si>
    <t>BCG, McKinsey &amp; Company, Boston Consulting Group, PwC, EY</t>
  </si>
  <si>
    <t>socialsamurai.de</t>
  </si>
  <si>
    <t>https://www.claneo.com/en/</t>
  </si>
  <si>
    <t>Content Marketing Agency with Focus on Search Experience | Claneo</t>
  </si>
  <si>
    <t>Ogilvy, DDB Germany, Accenture Song, DEPT, Jung von Matt, Serviceplan Group, Scholz &amp; Friends</t>
  </si>
  <si>
    <t>soenkesproll.de</t>
  </si>
  <si>
    <t>https://clutch.co/de/agencies/demand-generation-marketing</t>
  </si>
  <si>
    <t>Top Demand Generation Agencies in Germany - Jul 2026 Rankings \| Clutch.co</t>
  </si>
  <si>
    <t>softwareadvice.com</t>
  </si>
  <si>
    <t>https://clutch.co/de/seo-firms/international</t>
  </si>
  <si>
    <t>Measured, Dreamdata</t>
  </si>
  <si>
    <t>Top International SEO Agencies in Germany - Jul 2026 Rankings | Clutch.co</t>
  </si>
  <si>
    <t>spacedealer.de</t>
  </si>
  <si>
    <t>MONSOON, Claneo, morefire, WeLikeWeb GmbH, Peak Ace, eMinded GmbH</t>
  </si>
  <si>
    <t>https://cornerstonecontent.com/best-answer-engine-optimization-aeo-agencies/</t>
  </si>
  <si>
    <t>spaceo.ai</t>
  </si>
  <si>
    <t>10 Best Answer Engine Optimization (AEO) Agencies (2026) - Cornerstone Content</t>
  </si>
  <si>
    <t>Omniscient Digital, Single Grain</t>
  </si>
  <si>
    <t>https://www.crystalinfoway.com/blogs/view/top-10-digital-marketing-companies-in-germany#:~:text=MONSOON%20is%20a%20performance%2Ddriven,KPIs%20and%20transparent%20reporting%20systems.</t>
  </si>
  <si>
    <t>spie.ch</t>
  </si>
  <si>
    <t>Top 10 Digital Marketing Companies in Germany</t>
  </si>
  <si>
    <t>spotify.com</t>
  </si>
  <si>
    <t>stackadapt.com</t>
  </si>
  <si>
    <t>MONSOON, Mediacharge, Löwenstark</t>
  </si>
  <si>
    <t>https://www.datafirstsolutions.de/</t>
  </si>
  <si>
    <t>stamp.productions</t>
  </si>
  <si>
    <t>stape.io</t>
  </si>
  <si>
    <t>steinbeis-ifem.de</t>
  </si>
  <si>
    <t>Attribution + Affiliate-Tracking für DACH | DataFirst</t>
  </si>
  <si>
    <t>strativera.com</t>
  </si>
  <si>
    <t>WebFX</t>
  </si>
  <si>
    <t>https://datenbanken.pr-journal.de/pr-agenturrankings/kreativ-ranking/kreativranking-2025</t>
  </si>
  <si>
    <t>striped-giraffe.com</t>
  </si>
  <si>
    <t>Kreativranking 2025</t>
  </si>
  <si>
    <t>studiocherie.net</t>
  </si>
  <si>
    <t>Jung von Matt, Scholz &amp; Friends, MetaDesign, OMD, WPP, Havas Media, Mindshare, Ogilvy, GroupM, Loyamo</t>
  </si>
  <si>
    <t>https://de.linkedin.com/company/the-boutique-agency-de</t>
  </si>
  <si>
    <t>studiohawk.com.au</t>
  </si>
  <si>
    <t>The Boutique Agency | LinkedIn</t>
  </si>
  <si>
    <t>submerge.digital</t>
  </si>
  <si>
    <t>The Boutique Agency, eMinded GmbH, Serviceplan Group, Smarketer, Loyamo</t>
  </si>
  <si>
    <t>https://www.deloitte.com/de/de/services/consulting/services/ki-transformation.html</t>
  </si>
  <si>
    <t>swcpartnership.com</t>
  </si>
  <si>
    <t>syncgtm.com</t>
  </si>
  <si>
    <t>KI-Transformation holistisch gestalten | Deloitte Deutschland</t>
  </si>
  <si>
    <t>takevalue.de</t>
  </si>
  <si>
    <t>tdwi-konferenz.de</t>
  </si>
  <si>
    <t>https://www.deptagency.com/de-dach/partner/google-marketing-platform/</t>
  </si>
  <si>
    <t>FELD M, Pilot</t>
  </si>
  <si>
    <t>teamai.com</t>
  </si>
  <si>
    <t>tech.us</t>
  </si>
  <si>
    <t>GMP Agentur Partner - Google Premier Partner - DEPT®</t>
  </si>
  <si>
    <t>techaheadcorp.com</t>
  </si>
  <si>
    <t>https://www.dreikon.de/aktuell/online-marketing-wissen/die-10-besten-seo-und-geo-agenturen-2026/</t>
  </si>
  <si>
    <t>technologyarch.com</t>
  </si>
  <si>
    <t>Die 15 besten SEO- und GEO-Agenturen 2026</t>
  </si>
  <si>
    <t>DREIKON, TRYSEO, morefire, eMinded GmbH</t>
  </si>
  <si>
    <t>techradiant.co</t>
  </si>
  <si>
    <t>https://dripagency.de/markets/germany</t>
  </si>
  <si>
    <t>Directive Consulting</t>
  </si>
  <si>
    <t>terratern.com</t>
  </si>
  <si>
    <t>CRO &amp;amp; A/B Testing Agency for German E-Commerce | DRIP Agency</t>
  </si>
  <si>
    <t>theadfirm.net</t>
  </si>
  <si>
    <t>Huge, Measured</t>
  </si>
  <si>
    <t>thecxlead.com</t>
  </si>
  <si>
    <t>Brandtech, PwC, Pilot</t>
  </si>
  <si>
    <t>thecypress.de</t>
  </si>
  <si>
    <t>https://dtile-marketing.de/performance-marketing/</t>
  </si>
  <si>
    <t>themacgroups.com</t>
  </si>
  <si>
    <t>WPP, Dentsu, Omnicom, Publicis Groupe</t>
  </si>
  <si>
    <t>thenavsoft.com</t>
  </si>
  <si>
    <t>Performance Marketing 2026: Erklärt + Top-10 DE &amp;amp; Top-20 DACH</t>
  </si>
  <si>
    <t>therankmasters.com</t>
  </si>
  <si>
    <t>Pilot, Smarketer, DEPT</t>
  </si>
  <si>
    <t>https://dynamicsupport.de/it/</t>
  </si>
  <si>
    <t>NoGood, Omniscient Digital, iPullRank</t>
  </si>
  <si>
    <t>thesocialshepherd.com</t>
  </si>
  <si>
    <t>Dynamic Support AG — Consulenza IA per PMI | Agentic AI, Sistemi RAG, Conformità EU AI Act</t>
  </si>
  <si>
    <t>https://e-dialog.group/en/google-sales-partner/campaign-manager-360/</t>
  </si>
  <si>
    <t>Dentsu, inBeat</t>
  </si>
  <si>
    <t>thetechfounders.co.uk</t>
  </si>
  <si>
    <t>Campaign Manager 360: Tracking &amp;amp; Reporting | e-dialog</t>
  </si>
  <si>
    <t>https://echomotion.ai/</t>
  </si>
  <si>
    <t>Echomotion — KI-Transformation für den Mittelstand | Made in Germany</t>
  </si>
  <si>
    <t>thinkwithalec.com</t>
  </si>
  <si>
    <t>https://echomotion.ai/?lang=en</t>
  </si>
  <si>
    <t>thinkwithgoogle.com</t>
  </si>
  <si>
    <t>thjnk.de</t>
  </si>
  <si>
    <t>https://ecosystem.hubspot.com/marketplace/solutions/paid-advertising/ecommerce/germany</t>
  </si>
  <si>
    <t>Ogilvy</t>
  </si>
  <si>
    <t>thoughtworks.com</t>
  </si>
  <si>
    <t>tms-outsource.com</t>
  </si>
  <si>
    <t>https://www.feld-m.de/en/blog/google-meridian-triangulation-future-marketing-measurement/</t>
  </si>
  <si>
    <t>todaymade.com</t>
  </si>
  <si>
    <t>Google Meridian, Triangulation &amp;amp; the Future of Marketing Measurement | FELD M</t>
  </si>
  <si>
    <t>Huge, Dentsu, Momentum, Accenture Song, Jung von Matt, WPP, Monks, Superside, Publicis Groupe, Ogilvy, Omnicom, Scholz &amp; Friends, Media.Monks, AKQA</t>
  </si>
  <si>
    <t>https://www.geoagency.net/</t>
  </si>
  <si>
    <t>toolradar.com</t>
  </si>
  <si>
    <t>Rockerbox, Northbeam, Triple Whale, Cometly, Dreamdata</t>
  </si>
  <si>
    <t>topinteractiveagencies.com</t>
  </si>
  <si>
    <t>Generative Engine Optimization (GEO) and Answer Engine Optimization (AEO) Services - GEO Agency</t>
  </si>
  <si>
    <t>Huge, Serviceplan Group, Monks</t>
  </si>
  <si>
    <t>touchstoneresearch.com</t>
  </si>
  <si>
    <t>https://geosphaira.com/</t>
  </si>
  <si>
    <t>Geosphaira - Die #1 GEO SEO Agentur für ChatGPT &amp; Perplexity \| KI-Optimierung</t>
  </si>
  <si>
    <t>towa-digital.com</t>
  </si>
  <si>
    <t>https://getklar.com/</t>
  </si>
  <si>
    <t>tppc.agency</t>
  </si>
  <si>
    <t>tracify.ai</t>
  </si>
  <si>
    <t>Home | Klar</t>
  </si>
  <si>
    <t>tradefest.io</t>
  </si>
  <si>
    <t>traqer.ai</t>
  </si>
  <si>
    <t>https://www.google.com/partners/?hl=de</t>
  </si>
  <si>
    <t>treirealestate.com</t>
  </si>
  <si>
    <t>trendkraft.io</t>
  </si>
  <si>
    <t>trinitybps.com</t>
  </si>
  <si>
    <t>https://www.hopmann.com/de/marketing-analytics/marketing-science/mmm/</t>
  </si>
  <si>
    <t>tripuls.de</t>
  </si>
  <si>
    <t>trkkn.pt</t>
  </si>
  <si>
    <t>tryseo.de</t>
  </si>
  <si>
    <t>MMM: Präzise Marketing Mix Modelling Lösungen von Hopmann</t>
  </si>
  <si>
    <t>DREIKON, McKinsey &amp; Company, performanceLiebe, TRYSEO</t>
  </si>
  <si>
    <t>tsa-bildung.de</t>
  </si>
  <si>
    <t>https://www.hopmann.com/de/unternehmen/</t>
  </si>
  <si>
    <t>unbound-media.de</t>
  </si>
  <si>
    <t>unfoldmart.com</t>
  </si>
  <si>
    <t>Hopmann Marketing Analytics Beratung München</t>
  </si>
  <si>
    <t>Hopmann Marketing Analytics GmbH</t>
  </si>
  <si>
    <t>Scholz &amp; Friends, MetaDesign</t>
  </si>
  <si>
    <t>upgrow.io</t>
  </si>
  <si>
    <t>https://www.hopmann.com/en/</t>
  </si>
  <si>
    <t>uptech.team</t>
  </si>
  <si>
    <t>Hopmann Marketing Analytics: Consulting with Quality - Hopmann Marketing Analytics</t>
  </si>
  <si>
    <t>upwork.com</t>
  </si>
  <si>
    <t>Huge, Hopmann Marketing Analytics GmbH</t>
  </si>
  <si>
    <t>https://www.housesofgrowth.com/post/aeo-agencies-in-europe</t>
  </si>
  <si>
    <t>valtech.com</t>
  </si>
  <si>
    <t>10 Best Answer Engine Optimization (AEO) Agencies in Europe [2026]</t>
  </si>
  <si>
    <t>venngage.com</t>
  </si>
  <si>
    <t>Peak Ace, Omnius</t>
  </si>
  <si>
    <t>ventum-consulting.com</t>
  </si>
  <si>
    <t>https://www.ibusiness.de/performance-ranking/performance_2023.html</t>
  </si>
  <si>
    <t>verdtek.com</t>
  </si>
  <si>
    <t>https://www.ibusiness.de/performance-ranking/performance_2024.html</t>
  </si>
  <si>
    <t>vibebranding.com</t>
  </si>
  <si>
    <t>videofactory.agency</t>
  </si>
  <si>
    <t>https://www.incrmntal.com/</t>
  </si>
  <si>
    <t>viston.tech</t>
  </si>
  <si>
    <t>PwC, Capgemini</t>
  </si>
  <si>
    <t>warroominc.com</t>
  </si>
  <si>
    <t>AI-Powered Incremental Marketing &amp;amp; Measurement | INCRMNTAL</t>
  </si>
  <si>
    <t>weareaudiences.com</t>
  </si>
  <si>
    <t>INCRMNTAL, Measured</t>
  </si>
  <si>
    <t>wearecatalyst.co.uk</t>
  </si>
  <si>
    <t>https://www.kiwop.com/de/marketing-attribution</t>
  </si>
  <si>
    <t>Marketing-Attribution &amp;amp; MMM | Echten ROI messen | Kiwop</t>
  </si>
  <si>
    <t>wearetenet.com</t>
  </si>
  <si>
    <t>Rockerbox, Northbeam, LifeSight</t>
  </si>
  <si>
    <t>webfx.com</t>
  </si>
  <si>
    <t>https://www.kom.de/public-relations/kreativranking-jung-von-matt-vor-msl-und-serviceplan/</t>
  </si>
  <si>
    <t>webguruz.in</t>
  </si>
  <si>
    <t>Kreativranking: Jung von Matt vor MSL und Serviceplan - Agenturen | KOM - Magazin für Kommunikation</t>
  </si>
  <si>
    <t>webmetic.de</t>
  </si>
  <si>
    <t>https://leapbuzz.com/services/performance-marketing/</t>
  </si>
  <si>
    <t>Performance marketing agency | leapbuzz</t>
  </si>
  <si>
    <t>weframetech.com</t>
  </si>
  <si>
    <t>https://liftlab.com/</t>
  </si>
  <si>
    <t>wellows.com</t>
  </si>
  <si>
    <t>NoGood, Omnius, WebFX, iPullRank, Measured</t>
  </si>
  <si>
    <t>Agile MMM &amp;amp; Incrementality Testing Built for Growth Leaders | LiftLab</t>
  </si>
  <si>
    <t>wested.org</t>
  </si>
  <si>
    <t>https://www.m1-project.com/blog/10-best-ai-marketing-agencies-in-depth-comparison</t>
  </si>
  <si>
    <t>westlakepartners.de</t>
  </si>
  <si>
    <t>westoperators.com</t>
  </si>
  <si>
    <t>10 Best AI Marketing Agencies: In-Depth Comparison | M1-Project</t>
  </si>
  <si>
    <t>Single Grain, Omniscient Digital, iPullRank, Siege Media</t>
  </si>
  <si>
    <t>wetracked.io</t>
  </si>
  <si>
    <t>Triple Whale, Cometly, Ruler Analytics</t>
  </si>
  <si>
    <t>weventure.de</t>
  </si>
  <si>
    <t>wifitalents.com</t>
  </si>
  <si>
    <t>https://www.magiclibrary.co/blog/best-linkedin-ads-agency-in-germany</t>
  </si>
  <si>
    <t>Momentum, PwC, Capgemini, Pilot, appliedAI</t>
  </si>
  <si>
    <t>woodmark.de</t>
  </si>
  <si>
    <t>The Best LinkedIn Ads Agency in Germany: 11 Picks for B2B (2026)</t>
  </si>
  <si>
    <t>workmagic.io</t>
  </si>
  <si>
    <t>Loyamo, morefire, MONSOON</t>
  </si>
  <si>
    <t>https://www.maibornwolff.de/en/ai-readiness-check/</t>
  </si>
  <si>
    <t>xcelacore.com</t>
  </si>
  <si>
    <t>PwC, EY, BCG, Pilot, Opinosis Analytics</t>
  </si>
  <si>
    <t>xmanmobi.com</t>
  </si>
  <si>
    <t>wie-findet-man-die-beste-agentur-für-ki-suche.de</t>
  </si>
  <si>
    <t>yahoo.com</t>
  </si>
  <si>
    <t>yesoptimist.com</t>
  </si>
  <si>
    <t>AI Readiness Check - Is your company ready for AI?</t>
  </si>
  <si>
    <t>Omniscient Digital, iPullRank, Siege Media, Measured</t>
  </si>
  <si>
    <t>yotpo.com</t>
  </si>
  <si>
    <t>https://mammoth.io/blog/marketing-attribution-software/</t>
  </si>
  <si>
    <t>youfinddigital.com</t>
  </si>
  <si>
    <t>15 Best Marketing Attribution Software Tools [Curated List] | Mammoth Analytics</t>
  </si>
  <si>
    <t>Omnius, iPullRank, Omniscient Digital, WebFX, Siege Media</t>
  </si>
  <si>
    <t>zemith.com</t>
  </si>
  <si>
    <t>Triple Whale, Northbeam, Ruler Analytics</t>
  </si>
  <si>
    <t>Huge, Capgemini</t>
  </si>
  <si>
    <t>https://marketinglens.com/top-10/top-10-ppc-agencies-in-europe/</t>
  </si>
  <si>
    <t>zetaglobal.com</t>
  </si>
  <si>
    <t>zoominfo.com</t>
  </si>
  <si>
    <t>Top 10 PPC Agencies in Europe</t>
  </si>
  <si>
    <t>Peak Ace, Brainlabs, s360, DEPT, Jellyfish</t>
  </si>
  <si>
    <t>https://marketingplatform.google.com/about/partners/?authuser=1</t>
  </si>
  <si>
    <t>https://meedia.de/news/beitrag/20776-serviceplan-dominiert-das-ranking-der-top-50-kreativagenturen-in-deutschland.html</t>
  </si>
  <si>
    <t>Serviceplan dominiert das Ranking der Top 50 Kreativagenturen in Deutschland</t>
  </si>
  <si>
    <t>Serviceplan Group, Jung von Matt, Scholz &amp; Friends, Haus</t>
  </si>
  <si>
    <t>https://www.mindmelt.de/en/ai-products/</t>
  </si>
  <si>
    <t>AI Marketing Agency Frankfurt – Smarter Campaigns with AI | mindmelt</t>
  </si>
  <si>
    <t>https://mmaglobal.com/smarties/business-impact-index?category=Creative+Agency&amp;region=Germany&amp;year=2025</t>
  </si>
  <si>
    <t>Scholz &amp; Friends</t>
  </si>
  <si>
    <t>https://omnicommediagroup.de/#:~:text=TRKKN%20ist%20einer%20der%20f%C3%BChrenden,und%20Data%20%26%20Tech%20Strategy%20hinweg.</t>
  </si>
  <si>
    <t>Germany - Omnicom Media</t>
  </si>
  <si>
    <t>https://www.omnius.so/blog/german-seo-agencies</t>
  </si>
  <si>
    <t>16 Best SEO Agencies in Germany to Work With in 2026</t>
  </si>
  <si>
    <t>Omnius, TRYSEO, morefire</t>
  </si>
  <si>
    <t>https://www.omnius.so/geo-agency</t>
  </si>
  <si>
    <t>Generative Engine Optimization (GEO) Agency &amp;amp; Services</t>
  </si>
  <si>
    <t>Omnius</t>
  </si>
  <si>
    <t>https://omr.com/en/reviews/service-category/performance-marketing-agenturen/frankfurt-am-main-82cbde3b-e695-4572-b23f-a50592fba3d4</t>
  </si>
  <si>
    <t>https://www.omt.de/agentur-finden/google-agentur/</t>
  </si>
  <si>
    <t>Der OMT-Agenturfinder: Finde die passende Google Agentur</t>
  </si>
  <si>
    <t>https://www.omt.de/agentur-finden/ki-agentur/</t>
  </si>
  <si>
    <t>Der OMT-Agenturfinder: Finde die passende KI Agentur</t>
  </si>
  <si>
    <t>KlickPiloten, eMinded GmbH, Haus</t>
  </si>
  <si>
    <t>https://www.omt.de/online-marketing-tools/google-marketing-platform/agenturen/</t>
  </si>
  <si>
    <t>Du suchst die richtige Google Marketing Platform-Agentur? | OMT</t>
  </si>
  <si>
    <t>https://www.oneclub.org/awards/adcawards/-archive/agency/2024/38/all/2/208</t>
  </si>
  <si>
    <t>ADC Awards | Agency Rankings | 2024 | Advertising | Europe</t>
  </si>
  <si>
    <t>Ogilvy, Dentsu, Havas Media, Jung von Matt</t>
  </si>
  <si>
    <t>https://www.online-werbung-deutschland.de/bezahlte-media</t>
  </si>
  <si>
    <t>Die besten Bezahlte Media Agenturen</t>
  </si>
  <si>
    <t>MONSOON, Digital Masters GmbH, KlickPiloten, lehof, Mediacharge</t>
  </si>
  <si>
    <t>https://www.performanceliebe.de/aeo-agentur/</t>
  </si>
  <si>
    <t>AEO Agentur 2026: Answer Engine Optimization | performanceLiebe</t>
  </si>
  <si>
    <t>https://www.prima-consulting.de/en</t>
  </si>
  <si>
    <t>https://procloser.ai/blog/best-aeo-agencies-2026/</t>
  </si>
  <si>
    <t>Best Answer Engine Optimization (AEO) Agencies 2026 | ProCloser.ai</t>
  </si>
  <si>
    <t>Siege Media, Omniscient Digital, Single Grain, WebFX, Omnius, SmartSites, KlientBoost, Directive Consulting, Momentum</t>
  </si>
  <si>
    <t>https://www.pwc.de/de/starke-allianzen/pwc-und-die-google-marketing-platform-mit-smarten-tools-zum-digitalen-erfolg.html</t>
  </si>
  <si>
    <t>PwC &amp;amp; die Google Marketing Platform: Mit smarten Tools zum digitalen Erfolg</t>
  </si>
  <si>
    <t>https://www.reddit.com/r/GenEngineOptimization/comments/1qab4rt/what_are_the_top_geo_agencies_and_what_softwares/</t>
  </si>
  <si>
    <t>What are the top GEO Agencies and what softwares are they using?</t>
  </si>
  <si>
    <t>https://www.reddit.com/r/adtech/comments/1u5mwrq/measurement_source_of_truth/</t>
  </si>
  <si>
    <t>Measurement source of truth</t>
  </si>
  <si>
    <t>LifeSight, Dreamdata</t>
  </si>
  <si>
    <t>https://www.reddit.com/r/programmatic/comments/1nzh99f</t>
  </si>
  <si>
    <t>Looking for reliable German publishers for programmatic display — any recommendations?</t>
  </si>
  <si>
    <t>https://s360digital.com/news/s360-enters-dach-through-a-strategic-minority-investment-in-dreifive/</t>
  </si>
  <si>
    <t>s360 enters DACH through a strategic minority investment in dreifive</t>
  </si>
  <si>
    <t>s360</t>
  </si>
  <si>
    <t>https://sellforte.com/support/sellforte-experiments-geo-lift</t>
  </si>
  <si>
    <t>Sellforte Experiments: Geo Lift</t>
  </si>
  <si>
    <t>Sellforte</t>
  </si>
  <si>
    <t>https://www.sem-deutschland.de/seo-glossar/generative-engine-optimierung-agentur-llmo-agentur/</t>
  </si>
  <si>
    <t>Beste GEO-Agentur für Generative Engine Optimierung für 2026</t>
  </si>
  <si>
    <t>https://www.semrush.com/agencies/list/display-advertising/germany/</t>
  </si>
  <si>
    <t>Best Display Ads Agencies in Germany 2026 \| Semrush</t>
  </si>
  <si>
    <t>https://www.seoworks.com/lists/best-aeo-answer-engine-optimisation-agencies/</t>
  </si>
  <si>
    <t>20 Best Answer Engine Optimisation (AEO) Agencies (2026) | The SEO Works</t>
  </si>
  <si>
    <t>Measured, HikeMyTraffic, Jellyfish, Siege Media, Brainlabs, WebFX, SmartSites</t>
  </si>
  <si>
    <t>https://www.sortlist.com/i/s/creative/berlin-de</t>
  </si>
  <si>
    <t>The 10 Best Creative Agencies in Berlin - 2026 Reviews</t>
  </si>
  <si>
    <t>PANORAMA3000, Momentum</t>
  </si>
  <si>
    <t>https://www.sortlist.com/s/data-driven-marketing/germany-de</t>
  </si>
  <si>
    <t>The 10 Best Data Driven Marketing Agencies in Germany - 2026 Reviews</t>
  </si>
  <si>
    <t>https://www.sortlist.com/s/display-advertising/munich-by-de</t>
  </si>
  <si>
    <t>The 10 Best Display Advertising Agencies in Munich - 2026 Reviews</t>
  </si>
  <si>
    <t>Mediacharge, Triple Whale, Northbeam, Dreamdata, MONSOON, Loyamo</t>
  </si>
  <si>
    <t>https://www.sortlist.com/s/programmatic-advertising/germany-de</t>
  </si>
  <si>
    <t>The 10 Best Programmatic Advertising Companies in Germany - 2026 Reviews</t>
  </si>
  <si>
    <t>https://www.sortlist.de/s/ai-marketing/berlin-de</t>
  </si>
  <si>
    <t>Unsere 10 Besten AI Marketing Agenturen in Berlin - 2026 Bewertungen</t>
  </si>
  <si>
    <t>https://www.sortlist.de/s/big-data-analytics/deutschland-de</t>
  </si>
  <si>
    <t>Big Data Analytics Agenturen in Deutschland vergleichen</t>
  </si>
  <si>
    <t>https://www.sortlist.de/s/big-data-marketing/deutschland-de</t>
  </si>
  <si>
    <t>Unsere 10 Besten Big Data Marketing Agenturen in Deutschland - 2026 Bewertungen</t>
  </si>
  <si>
    <t>KlickPiloten, morefire, Pilot</t>
  </si>
  <si>
    <t>https://www.sortlist.de/s/instagram-werbung/deutschland-de</t>
  </si>
  <si>
    <t>Unsere 10 Besten Instagram Werbung Agenturen in Deutschland - 2026 Bewertungen</t>
  </si>
  <si>
    <t>KlickPiloten, PANORAMA3000, MONSOON, lehof, Triple Whale, Northbeam, Dreamdata</t>
  </si>
  <si>
    <t>https://sourceforge.net/software/answer-engine-optimization-aeo/germany/</t>
  </si>
  <si>
    <t>Best Answer Engine Optimization (AEO) Software in Germany of 2026 - Reviews &amp;amp; Comparison</t>
  </si>
  <si>
    <t>https://superspring.de/</t>
  </si>
  <si>
    <t>superspring Marketing Consulting</t>
  </si>
  <si>
    <t>https://suxeedo.de/en/services/geo-agency/</t>
  </si>
  <si>
    <t>Your GEO Agency for AI Visibility</t>
  </si>
  <si>
    <t>https://thatware.co/top-10-llm-seo-companies-in-germany/</t>
  </si>
  <si>
    <t>Top LLM SEO Companies in Germany for AI Optimization</t>
  </si>
  <si>
    <t>https://themanifest.com/de/digital/agencies</t>
  </si>
  <si>
    <t>Top-Rated Full Service Digital &amp;amp; 360° Online Agencies for eCommerce, Healthcare, FinTech in Germany, Berlin, Munich | Vetted &amp;amp; Reviewed July 2026 | The Manifest</t>
  </si>
  <si>
    <t>HY.AM STUDIOS, DREIKON, Digitalyze, morefire</t>
  </si>
  <si>
    <t>https://themanifest.com/de/programmatic/agencies</t>
  </si>
  <si>
    <t>The Best Programmatic Advertising Companies in Germany - Jul 2026 | The Manifest</t>
  </si>
  <si>
    <t>https://toolbox.humandeluxe.com/best-design-studios/#:~:text=2020,local%20supermarket%20chain%20%C2%ABteGut%C2%BB.</t>
  </si>
  <si>
    <t>Best Brand Agencies and Studios in Berlin</t>
  </si>
  <si>
    <t>https://www.topseobrands.com/de/best-display-advertising-firms-in-germany</t>
  </si>
  <si>
    <t>Best Display Advertising Firms in Germany | Top SEO Brands</t>
  </si>
  <si>
    <t>https://visionone.co.uk/news/the-best-international-research-agencies/</t>
  </si>
  <si>
    <t>Best International Research Agencies By Vision One</t>
  </si>
  <si>
    <t>https://www.weber-media.com/en/ai-seo-agentur</t>
  </si>
  <si>
    <t>AI SEO Agency | AI Search Optimization (GEO) for ChatGPT &amp;amp; Google | Weber Media</t>
  </si>
  <si>
    <t>https://ycp.com/lp/germany-digital-marketing-consulting</t>
  </si>
  <si>
    <t>Germany Digital Marketing Consulting | YCP Group</t>
  </si>
  <si>
    <t>https://www.youtube.com/watch?v=00C1PZt8bLw&amp;vl=en</t>
  </si>
  <si>
    <t>Best GEO agencies in Germany</t>
  </si>
  <si>
    <t>https://zipdo.co/service/marketing-attribution/</t>
  </si>
  <si>
    <t>Top 10 Best Marketing Attribution Services | Top Picks 2026</t>
  </si>
  <si>
    <t>Northbeam, Merkle, Wpromote, PwC</t>
  </si>
  <si>
    <t>https://www.ziya.de/en/locations/berlin</t>
  </si>
  <si>
    <t>AI Agency for Berlin – Innovative Solutions for Your Digital Future</t>
  </si>
  <si>
    <t>https://www.10seos.com/de/display-advertising-companies-in-germany?page=3</t>
  </si>
  <si>
    <t>Top 10 Display Advertising Companies For Best Services-Germany | July 2026</t>
  </si>
  <si>
    <t>https://www.adc.de/2024/12/05/adc-kreativranking-2024-serviceplan-auf-dem-ersten-platz/</t>
  </si>
  <si>
    <t>ADC Kreativranking 2024 – SERVICEPLAN auf dem ersten Platz | Art Directors Club für Deutschland – ADC</t>
  </si>
  <si>
    <t>Jung von Matt, Momentum, Accenture Song, Ogilvy, Scholz &amp; Friends</t>
  </si>
  <si>
    <t>https://adspyder.io/blog/top-25-global-ad-agencies/</t>
  </si>
  <si>
    <t>Top 25 Global Ad Agencies in July 2026 | Ranking &amp;amp; Revenue</t>
  </si>
  <si>
    <t>Omnicom, Publicis Groupe, WPP, Ogilvy, Accenture Song, Dentsu, Epsilon, Merkle, PwC, iProspect, OMD, R/GA, Serviceplan Group, Havas Media, Measured</t>
  </si>
  <si>
    <t>https://agencies.semrush.com/list/analytics-data-science/germany/enterprise-business/</t>
  </si>
  <si>
    <t>Best Data Analytics Services for Enterprise Business in Germany 2026 | Semrush</t>
  </si>
  <si>
    <t>https://agencies.semrush.com/list/analytics-data-science/germany/mid-business/</t>
  </si>
  <si>
    <t>Best Data Analytics Services for Mid Business in Germany 2026 | Semrush</t>
  </si>
  <si>
    <t>https://agencies.semrush.com/list/data-visualization/germany/#:~:text=morefire,Healthcare%20%26%20Hospital%2C%20Ecommerce%20%2B3</t>
  </si>
  <si>
    <t>Best Data Visualization Services in Germany 2026 | Semrush</t>
  </si>
  <si>
    <t>https://agencies.semrush.com/list/display-advertising/dusseldorf/</t>
  </si>
  <si>
    <t>Best Display Ads Agencies in Dusseldorf 2026 | Semrush</t>
  </si>
  <si>
    <t>https://agencies.semrush.com/list/marketing-strategy/germany/#:~:text=Mediaplus%20Performance%20GmbH%20%26%20Co%20KG,%2C%20programmatic%2C%20and%20conversion%20optimization.</t>
  </si>
  <si>
    <t>Best Marketing Advice Companies in Germany 2026 | Semrush</t>
  </si>
  <si>
    <t>HECHT INS GEFECHT, Baseplus DIGITAL MEDIA GmbH, morefire, Mediaplus Performance, Mediacharge, KlickPiloten</t>
  </si>
  <si>
    <t>https://agencyvista.com/lists/google-marketing-platform-sales-partners/page/2/</t>
  </si>
  <si>
    <t>iProspect, GroupM, OMD, Dentsu, Jellyfish, Deloitte Digital</t>
  </si>
  <si>
    <t>https://agenturjobs.de/beste-marketing-agenturen-deutschland-2026/</t>
  </si>
  <si>
    <t>Beste Marketing Agenturen Deutschland: Top Rankings</t>
  </si>
  <si>
    <t>Claneo, eMinded GmbH, Serviceplan Group, Jung von Matt, Publicis Groupe, Scholz &amp; Friends</t>
  </si>
  <si>
    <t>https://www.ai-heroes.co/en-us/blog/best-ai-search-agencies-2026</t>
  </si>
  <si>
    <t>Best AI Search Agencies 2026 (GEO and AEO) Compared | AI Heroes</t>
  </si>
  <si>
    <t>NoGood, Omnius, Radyant, Single Grain, Measured</t>
  </si>
  <si>
    <t>https://aio.com.ai/blog/13944-best-seo-companies-in-germany-ai-optimized</t>
  </si>
  <si>
    <t>https://aoy.campaigngermany.de/shortlist/</t>
  </si>
  <si>
    <t>Shortlist | Agency of the Year Awards | Campaign Germany</t>
  </si>
  <si>
    <t>DEPT, Accenture Song, Jung von Matt, Mawave, Serviceplan Group, Mediaplus Group, Publicis Groupe, Pilot, BBDO Germany, DDB Germany, OMD, Havas Media, Scholz &amp; Friends</t>
  </si>
  <si>
    <t>https://www.appsflyer.com/de/products/measurement/incrementality/</t>
  </si>
  <si>
    <t>Incrementality-Messlösung | AppsFlyer</t>
  </si>
  <si>
    <t>https://www.artefact.com/offers/cx-consumer-experience-digital/media-certifications/</t>
  </si>
  <si>
    <t>Media Certifications - MarTech Partners - Artefact</t>
  </si>
  <si>
    <t>https://attributy.de/</t>
  </si>
  <si>
    <t>Marketing Attribution Software for ROI | Attributy</t>
  </si>
  <si>
    <t>https://www.aufgesang.de/</t>
  </si>
  <si>
    <t>Die Online-Marketing-Agentur aus Hannover für das KI-Zeitalter</t>
  </si>
  <si>
    <t>https://www.axios.com/2025/01/07/new-groupm-ceo-unveils-5-year-plan</t>
  </si>
  <si>
    <t>New GroupM CEO Brian Lesser 5-year plan</t>
  </si>
  <si>
    <t>GroupM, Omnicom, WPP, Epsilon, Publicis Groupe, Mindshare</t>
  </si>
  <si>
    <t>https://www.ayautomate.com/blog/best-ai-automation-agencies</t>
  </si>
  <si>
    <t>7 Best AI Automation Agencies (2026 Ranked)</t>
  </si>
  <si>
    <t>https://www.baselinemix.com/</t>
  </si>
  <si>
    <t>https://betteranswer.ai/blogs/best-aeo-agencies</t>
  </si>
  <si>
    <t>Best AEO Agencies</t>
  </si>
  <si>
    <t>https://www.bonanza-studios.com/blog/10-best-branding-agencies-in-berlin-to-look-for-in-2025</t>
  </si>
  <si>
    <t>10 Best Branding Agencies in Berlin to Look for in 2025</t>
  </si>
  <si>
    <t>MetaDesign, Measured, HY.AM STUDIOS, lehof</t>
  </si>
  <si>
    <t>https://business.google.com/uk/think/measurement/incrementality-testing/</t>
  </si>
  <si>
    <t>https://business.google.com/us/think/measurement/incrementality-testing/</t>
  </si>
  <si>
    <t>https://www.businessinsider.com/ai-consulting-mckinsey-pwc-deloitte-bcg-kpmg-accenture-ey-ibm-2026-5</t>
  </si>
  <si>
    <t>How AI Is Upending the Consulting Industry - Business Insider</t>
  </si>
  <si>
    <t>PwC, BCG, EY, Measured, Boston Consulting Group, McKinsey &amp; Company</t>
  </si>
  <si>
    <t>https://www.businessinsider.com/ai-search-reshapes-seo-fueling-geo-gold-rush-2025-11</t>
  </si>
  <si>
    <t>AI Search Reshapes SEO, Fueling GEO Gold Rush - Business Insider</t>
  </si>
  <si>
    <t>Huge, appliedAI, Measured, WPP</t>
  </si>
  <si>
    <t>https://www.bvdw.org/rankings/internetagentur-ranking-2025/</t>
  </si>
  <si>
    <t>Merkle, Pilot, DREIKON, PANORAMA3000</t>
  </si>
  <si>
    <t>https://cabinco.com/best-ai-consulting-firms/</t>
  </si>
  <si>
    <t>Best AI Consulting Firms 2026: Giants vs Boutiques</t>
  </si>
  <si>
    <t>McKinsey &amp; Company, BCG, PwC, EY</t>
  </si>
  <si>
    <t>https://www.capterra.com.de/directory/31081/marketing-attribution/software</t>
  </si>
  <si>
    <t>Marketing Attribution Software Preisvergleich &amp; Top Anbieter - Capterra Deutschland 2026</t>
  </si>
  <si>
    <t>https://career.trkkn.com/jobs/8025042-client-partner-f-m-d-google-marketing-cloud</t>
  </si>
  <si>
    <t>Client Partner (f/m/d) – Google Marketing &amp;amp; Cloud - Trakken GmbH</t>
  </si>
  <si>
    <t>https://www.cassandra.app/prices</t>
  </si>
  <si>
    <t>https://cieden.com/ai-strategy-consulting</t>
  </si>
  <si>
    <t>AI strategy consulting | Cieden</t>
  </si>
  <si>
    <t>Boston Consulting Group, BCG</t>
  </si>
  <si>
    <t>https://clicksgeek.com/best-roi-digital-marketing-agencies/</t>
  </si>
  <si>
    <t>Best ROI Digital Marketing Agencies: Expert Guide 2026</t>
  </si>
  <si>
    <t>https://clicksgeek.com/best-roi-focused-marketing-agencies/</t>
  </si>
  <si>
    <t>Best ROI Focused Marketing Agencies: 2026 Guide &amp;amp; Tips</t>
  </si>
  <si>
    <t>https://clutch.co/de/agencies/digital-marketing/ecommerce-industry/berlin</t>
  </si>
  <si>
    <t>Top Digital Marketing Agencies for E-Commerce Businesses in Berlin - Jul 2026 Rankings | Clutch.co</t>
  </si>
  <si>
    <t>MONSOON, Mediacharge, REPLUG, Claneo, Admiral Media, HY.AM STUDIOS, Peak Ace, Medialabel</t>
  </si>
  <si>
    <t>https://clutch.co/de/agencies/digital-marketing/munich</t>
  </si>
  <si>
    <t>Top Digital Marketing Agencies in Munich - Jul 2026 Rankings \| Clutch.co</t>
  </si>
  <si>
    <t>MONSOON, Mediacharge, eMinded GmbH, GroupM, WeLikeWeb GmbH</t>
  </si>
  <si>
    <t>https://clutch.co/de/agencies/social-media-marketing/tik-tok</t>
  </si>
  <si>
    <t>Top TikTok Advertising Agencies in Germany - Jul 2026 Rankings | Clutch.co</t>
  </si>
  <si>
    <t>MONSOON, HY.AM STUDIOS, Pulse Advertising, Medialabel</t>
  </si>
  <si>
    <t>https://clutch.co/de/it-services/analytics</t>
  </si>
  <si>
    <t>Top Big Data Analytics Companies in Germany - Jul 2026 Rankings \| Clutch.co</t>
  </si>
  <si>
    <t>https://cmmodels.com/10-fashion-advertising-agencies-in-germany/</t>
  </si>
  <si>
    <t>10+ fashion advertising agencies in Germany – CM Models</t>
  </si>
  <si>
    <t>https://www.cometly.com/post/marketing-attribution-tools-for-agencies</t>
  </si>
  <si>
    <t>Best Marketing Attribution Tools For Agencies 2026</t>
  </si>
  <si>
    <t>https://www.comparisonshoppingpartners.withgoogle.com/find_a_partner/</t>
  </si>
  <si>
    <t>https://www.consult.tv/measuring-what-matters-a-c-suite-guide-to-incrementality-testing-in-programmatic-advertising/</t>
  </si>
  <si>
    <t>Measuring What Matters: A C-Suite Guide to Incrementality Testing in Programmatic Advertising</t>
  </si>
  <si>
    <t>https://www.dall-int.com/family/peak-ace-ag/#:~:text=We%20deliver%20data%2Ddriven%2C%20full,agency%20headquartered%20in%20Berlin%2C%20Germany.</t>
  </si>
  <si>
    <t>Peak Ace AG - Dall</t>
  </si>
  <si>
    <t>https://dataciders.com/en/</t>
  </si>
  <si>
    <t>AI Transformation with Impact for Businesses | Dataciders</t>
  </si>
  <si>
    <t>https://datenbanken.pr-journal.de/pr-agenturrankings/kreativ-ranking.html</t>
  </si>
  <si>
    <t>Rankings / PR Journal</t>
  </si>
  <si>
    <t>https://dcberlin.com/en/ai-innovation/</t>
  </si>
  <si>
    <t>AI services for marketing, communication and sales</t>
  </si>
  <si>
    <t>https://de.linkedin.com/company/bbdo-holding-germany</t>
  </si>
  <si>
    <t>BBDO Germany | LinkedIn</t>
  </si>
  <si>
    <t>BBDO Germany, Huge, Omnicom, DDB Germany, Scholz &amp; Friends, Jung von Matt, Serviceplan Group, Ogilvy</t>
  </si>
  <si>
    <t>https://de.linkedin.com/company/trkkn</t>
  </si>
  <si>
    <t>TRKKN \| LinkedIn</t>
  </si>
  <si>
    <t>Omnicom, Omnicom Media Group, Huge, Measured, Dentsu, Jellyfish, Merkle</t>
  </si>
  <si>
    <t>https://de.wikipedia.org/wiki/BBDO</t>
  </si>
  <si>
    <t>BBDO – Wikipedia</t>
  </si>
  <si>
    <t>BBDO Germany, Omnicom, Omnicom Media Group</t>
  </si>
  <si>
    <t>https://www.deloitte.com/de/de/what-we-do/capabilities/ki-beratung.html</t>
  </si>
  <si>
    <t>KI-Beratung &amp;amp; KI-Transformation | Deloitte Deutschland</t>
  </si>
  <si>
    <t>https://digitalagencynetwork.com/agencies/berlin/creative/</t>
  </si>
  <si>
    <t>Top Creative Agencies in Berlin (2026)</t>
  </si>
  <si>
    <t>https://digitalagencynetwork.com/agencies/berlin/geo/</t>
  </si>
  <si>
    <t>Top GEO Agencies in Berlin for Generative Engine Optimization (2026)</t>
  </si>
  <si>
    <t>https://digitalagencynetwork.com/agencies/usa/ai-marketing/</t>
  </si>
  <si>
    <t>Top AI Marketing Agencies in USA (2026)</t>
  </si>
  <si>
    <t>NoGood, SmartSites, Boston Consulting Group</t>
  </si>
  <si>
    <t>https://directiveconsulting.com/blog/25-best-advertising-agencies-built-for-media-momentum/</t>
  </si>
  <si>
    <t>25 Best Advertising Agencies For B2B - Directive</t>
  </si>
  <si>
    <t>Directive Consulting, Momentum, Refine Labs, Tinuiti, PMG, Jellyfish, Wpromote, KlientBoost, Merkle, iProspect, Croud, R/GA, Media.Monks, Monks, AKQA, Measured</t>
  </si>
  <si>
    <t>https://directiveconsulting.com/blog/top-performance-marketing-agencies/</t>
  </si>
  <si>
    <t>18 Best Performance Marketing Agencies For B2B - Directive</t>
  </si>
  <si>
    <t>Directive Consulting, NoGood, Common Thread Collective, Wpromote, Darkroom, inBeat, Single Grain, Omniscient Digital, Measured, Pilot</t>
  </si>
  <si>
    <t>https://e-dialog.group/en/about-us/</t>
  </si>
  <si>
    <t>Data-driven digital agency in DACH | e-dialog</t>
  </si>
  <si>
    <t>https://e-dialog.group/en/google-sales-partner/</t>
  </si>
  <si>
    <t>Google Sales Partner: Licences &amp;amp; MarTech | e-dialog</t>
  </si>
  <si>
    <t>https://www.e-laborat.de/</t>
  </si>
  <si>
    <t>KI-Transformation &amp;amp; Softwareentwicklung Berlin | e-laborat</t>
  </si>
  <si>
    <t>https://easeium.com/en/index.html</t>
  </si>
  <si>
    <t>Visible in Google and AI | Easeium</t>
  </si>
  <si>
    <t>https://ebiquity.com/</t>
  </si>
  <si>
    <t>Ebiquity - The Independent Authority in Marketing Effectiveness</t>
  </si>
  <si>
    <t>https://ecosystem.hubspot.com/marketplace/solutions/paid-advertising/germany</t>
  </si>
  <si>
    <t>https://edgeangel.co/en/marketing-activation/advanced-media-measurement</t>
  </si>
  <si>
    <t>Advanced Media Measurement - EdgeAngel</t>
  </si>
  <si>
    <t>https://www.eology.de/presse/google-premier-partner-2025</t>
  </si>
  <si>
    <t>eology erneut unter den Top 3 % - Google Premier Partner 2025</t>
  </si>
  <si>
    <t>https://www.europeanbusinessreview.com/top-10-b2b-aeo-geo-companies-that-help-generate-leads-from-ai-search/</t>
  </si>
  <si>
    <t>Top B2B AEO/GEO Companies for AI Search Leads - The European Business Review</t>
  </si>
  <si>
    <t>Omniscient Digital, Siege Media, Directive Consulting, Momentum</t>
  </si>
  <si>
    <t>https://www.evergreen.media/ratgeber/beste-geo-agentur/</t>
  </si>
  <si>
    <t>Beste GEO-Agenturen 2026 für Unternehmen ab 10 Mio. €</t>
  </si>
  <si>
    <t>Claneo, Aufgesang, Peak Ace</t>
  </si>
  <si>
    <t>https://exactag.com/company/our-journey/</t>
  </si>
  <si>
    <t>From cookie switch to MTA, DDA and MMM \| Exactag</t>
  </si>
  <si>
    <t>https://www.f6s.com/companies/advertising/germany/co</t>
  </si>
  <si>
    <t>66 Top Advertising Companies in Germany · March 2026 | F6S</t>
  </si>
  <si>
    <t>https://www.f6s.com/companies/market-research/germany/co</t>
  </si>
  <si>
    <t>https://feedbax.ai/google-ads/berlin</t>
  </si>
  <si>
    <t>Top 20 Google Ads Agencies in Berlin - 2026 Reviews</t>
  </si>
  <si>
    <t>Mediacharge, Smarketer, Peak Ace</t>
  </si>
  <si>
    <t>https://feedbax.ai/performance-marketing</t>
  </si>
  <si>
    <t>Top 20 Performance Marketing Agencies - 2026 Reviews</t>
  </si>
  <si>
    <t>PANORAMA3000, KlickPiloten, HECHT INS GEFECHT, DREIKON, morefire, Loyamo, Mediacharge, Smarketer, Suchhelden</t>
  </si>
  <si>
    <t>https://www.fieldtrip.agency/post/overcoming-creative-production-challenges-for-large-brand</t>
  </si>
  <si>
    <t>Overcoming Challenges in Creative Production for Large-Scale Brands</t>
  </si>
  <si>
    <t>inBeat, Momentum</t>
  </si>
  <si>
    <t>https://www.friendventure.de/en/generative-engine-optimization-agency/</t>
  </si>
  <si>
    <t>LLMO &amp;amp; GEO Agentur für mehr KI-Sichtbarkeit</t>
  </si>
  <si>
    <t>https://www.ft.com/content/ac672f97-a603-4c56-afa3-4a5273d45674</t>
  </si>
  <si>
    <t>Subscribe to read</t>
  </si>
  <si>
    <t>https://funnel.io/adtriba</t>
  </si>
  <si>
    <t>Adtriba - Now part of Funnel</t>
  </si>
  <si>
    <t>https://gaim-solutions.com/en/blog-system/top-ai-agencies-munich-2026-faq-guide</t>
  </si>
  <si>
    <t>Top AI Agencies Munich 2026: FAQ Guide</t>
  </si>
  <si>
    <t>https://www.geoagentur-hamburg.de/</t>
  </si>
  <si>
    <t>GEO Agentur Hamburg: Kennt ChatGPT Ihr Unternehmen? (Kostenloser Check)</t>
  </si>
  <si>
    <t>https://www.geoagenturen.de/blog/geo-agenturen-2026-ai-readiness-llmo-im-vergleich</t>
  </si>
  <si>
    <t>GEO-Agenturen 2026: AI Readiness &amp; LLMO im Vergleich</t>
  </si>
  <si>
    <t>Engine Native, Aufgesang, Pilot, OMD</t>
  </si>
  <si>
    <t>https://www.geoagenturen.de/blog/service-portfolio-vergleich-zwischen-geo-agenturen</t>
  </si>
  <si>
    <t>GEO Agenturen Deutschland 2026: 100+ Experten im Vergleich | Engine Native</t>
  </si>
  <si>
    <t>https://www.google.de/intl/de/ads/publisher/partners/work-with-a-partner/</t>
  </si>
  <si>
    <t>Mit einem Partner zusammenarbeiten | Zertifizierter Publisher-Partner – Google</t>
  </si>
  <si>
    <t>https://www.google.de/intl/en/ads/publisher/partners/find-a-partner/</t>
  </si>
  <si>
    <t>https://grabarz-group.de/en/</t>
  </si>
  <si>
    <t>Grabarz &amp; Partner \| Creating emotional impact.</t>
  </si>
  <si>
    <t>https://www.gravima.de/en/ai-consulting-marketing-agency</t>
  </si>
  <si>
    <t>Innovative AI Consulting and Solutions for Businesses | gravima</t>
  </si>
  <si>
    <t>https://growthmanager.ai/best-geo-agency</t>
  </si>
  <si>
    <t>Best GEO agencies in 2026, reviewed and ranked</t>
  </si>
  <si>
    <t>https://www.growthmarketingpro.com/best-aeo-marketing-agencies/</t>
  </si>
  <si>
    <t>13 Best AEO marketing agencies | GMP</t>
  </si>
  <si>
    <t>Single Grain, NoGood, WebFX, Siege Media, iPullRank</t>
  </si>
  <si>
    <t>https://www.house-of-communication.com/sv/en/brands/serviceplan.html</t>
  </si>
  <si>
    <t>https://www.hurra.com/de</t>
  </si>
  <si>
    <t>Messbar mehr Marketing-Performance | hurra.com™</t>
  </si>
  <si>
    <t>https://www.ibusiness.de/performance-ranking/performance_2024.html?sub=4</t>
  </si>
  <si>
    <t>Smarketer, Peak Ace, iProspect, e-dialog, The Boutique Agency, morefire, 42DIGITAL, eMinded GmbH, Aufgesang</t>
  </si>
  <si>
    <t>https://www.ibusiness.de/performance-ranking/performance_2025.html?sub=1</t>
  </si>
  <si>
    <t>https://inbeat.agency/blog/top-marketing-measurement-and-analytics-companies#:~:text=Artefact%3A%20Artefact%20blends%20AI%20and,streams%20into%20a%20unified%20dashboard.</t>
  </si>
  <si>
    <t>Top 15 Marketing Measurement and Analytics Firms Unlocking ROI Clarity in 2026 - inBeat Agency</t>
  </si>
  <si>
    <t>inBeat, Nielsen, Artefact, Measured, WebFX</t>
  </si>
  <si>
    <t>https://inbeat.agency/blog/top-media-buying-agencies</t>
  </si>
  <si>
    <t>14 Media Buying Agencies That Actually Stretch a Budget - inBeat Agency</t>
  </si>
  <si>
    <t>inBeat, Nielsen, Hawke Media, Measured</t>
  </si>
  <si>
    <t>https://www.incremental.com/</t>
  </si>
  <si>
    <t>Incremental | Causal Intelligence for Commerce Media</t>
  </si>
  <si>
    <t>https://www.influencer-hero.com/blogs/top-social-media-agencies-in-munich</t>
  </si>
  <si>
    <t>Top 10 Social Media Agencies in Munich</t>
  </si>
  <si>
    <t>Social Media One, Social Media Pirates, Mawave, Jung von Matt</t>
  </si>
  <si>
    <t>https://influencermarketinghub.com/ai-marketing-agencies/</t>
  </si>
  <si>
    <t>Best AI Marketing Agencies For 2026</t>
  </si>
  <si>
    <t>SmartSites, McKinsey &amp; Company, Momentum, Mindshare, Wpromote, Dentsu</t>
  </si>
  <si>
    <t>https://www.itpro.com/business/business-strategy/ai-projects-are-stalling-at-mid-market-firms-google-cloud-and-accenture-want-to-solve-that</t>
  </si>
  <si>
    <t>AI projects are stalling at mid-market firms – Google Cloud and Accenture want to solve that | IT Pro</t>
  </si>
  <si>
    <t>https://www.kambria.de/en</t>
  </si>
  <si>
    <t>Kambria</t>
  </si>
  <si>
    <t>https://klickpiloten.de/kompetenzen/ai-driven-marketing</t>
  </si>
  <si>
    <t>AI driven Marketing Agentur plus KI Consulting | KlickPiloten</t>
  </si>
  <si>
    <t>https://langdock.com/partners/directory</t>
  </si>
  <si>
    <t>Partner Directory | Langdock</t>
  </si>
  <si>
    <t>Pilot, statworx, Momentum, Measured</t>
  </si>
  <si>
    <t>https://lifesight.io/</t>
  </si>
  <si>
    <t>Lifesight | Agentic Unified Marketing Measurement</t>
  </si>
  <si>
    <t>LifeSight, Measured, Northbeam, Haus, Recast, Triple Whale</t>
  </si>
  <si>
    <t>https://www.linkedin.com/posts/landwehr_most-seo-agencies-are-now-geo-agencies-activity-7440030279630680064-yR88</t>
  </si>
  <si>
    <t>Most SEO agencies are now GEO agencies. iBusiness recently published a list of the top 100 SEO agencies in Germany. The ranking included - self-reported - focus areas. ➡️ 84% of SEO agencies now… | Malte Landwehr | 28 comments</t>
  </si>
  <si>
    <t>https://madebyevoke.com/blog/top-branding-agencies-berlin#:~:text=Specialisation%3A%20Integrated%20brand%20strategy%2C%20creative,communications%20for%20German%20market%20leaders.</t>
  </si>
  <si>
    <t>Top 10 Branding Agencies in Berlin, Germany (2026) — Ranked | Evoke Studio</t>
  </si>
  <si>
    <t>Jung von Matt, Scholz &amp; Friends, Serviceplan Group, BBDO Germany, Ogilvy</t>
  </si>
  <si>
    <t>https://www.magier.com/blog/top-aeo-agencies</t>
  </si>
  <si>
    <t>Top 12 AEO Agencies in 2026: How to Find the Right Fit for Your Brand</t>
  </si>
  <si>
    <t>Radyant, iPullRank, Siege Media, Omnius, Omniscient Digital, SmartSites, Single Grain, NoGood</t>
  </si>
  <si>
    <t>https://www.magier.com/de/blog/besten-aeo-agenturen</t>
  </si>
  <si>
    <t>Die 12 besten AEO-Agenturen im Jahr 2026: So findest du die richtige für deine Brand</t>
  </si>
  <si>
    <t>https://www.makingscience.de/digital-solutions/google-marketing-platform/</t>
  </si>
  <si>
    <t>Google Marketing Platform - Making Science</t>
  </si>
  <si>
    <t>https://www.marketingattribution.com/</t>
  </si>
  <si>
    <t>Know What Works | Marketing Attribution</t>
  </si>
  <si>
    <t>https://marketingexpertshub.com/de/seo/best-aeo-agencies/</t>
  </si>
  <si>
    <t>12 Best Answer Engine Optimization (AEO) Agencies in 2026 - Marketing Experts Hub</t>
  </si>
  <si>
    <t>https://marketingplatform.google.com/about/partners/find-a-partner</t>
  </si>
  <si>
    <t>https://www.mawave.com/about</t>
  </si>
  <si>
    <t>About | Mawave</t>
  </si>
  <si>
    <t>https://www.mawave.com/kontakt</t>
  </si>
  <si>
    <t>Kontakt | Mawave</t>
  </si>
  <si>
    <t>https://www.measured.com/incrementality-testing/</t>
  </si>
  <si>
    <t>https://www.merkle.com/de/about-us/partnerships/google.html</t>
  </si>
  <si>
    <t>Merkle und Google: Expertise in der Google Marketing Platform (GMP) und der Google Cloud Platform (GCP) | Merkle</t>
  </si>
  <si>
    <t>Merkle, Dentsu</t>
  </si>
  <si>
    <t>https://metaflow.life/blog/best-aeo-agencies-2026</t>
  </si>
  <si>
    <t>https://www.mir.de/en/top10</t>
  </si>
  <si>
    <t>TOP 10 most creative digital agencies in Germany - Internetagentur Köln, Digitalagentur, Python/Django/CMS - MIR MEDIA</t>
  </si>
  <si>
    <t>https://www.monks.com/de/google-marketing-platform-partnerschaft</t>
  </si>
  <si>
    <t>Google Marketing Platform | Partnerships | Monks</t>
  </si>
  <si>
    <t>https://www.mutabor.de/en/about/</t>
  </si>
  <si>
    <t>MUTABOR | About – Kreative Exzellenz seit 1998</t>
  </si>
  <si>
    <t>https://mystrika.com/directory/agencies/best/paid-advertising-ppc-in-country-germany</t>
  </si>
  <si>
    <t>Best Paid Advertising Ppc Agencies in Germany - Directory - Mystrika | Stop Cold Emailing. Start Conversations</t>
  </si>
  <si>
    <t>Baseplus DIGITAL MEDIA GmbH, HECHT INS GEFECHT, KlickPiloten, Mediacharge, Mediaplus Performance, Mediaplus Group, morefire</t>
  </si>
  <si>
    <t>https://www.neuhandeln.de/performance-ranking/performance_2025</t>
  </si>
  <si>
    <t>https://neurank.de/geo-optimierung-agentur/</t>
  </si>
  <si>
    <t>Generative Engine Optimization Agentur (GEO) — ChatGPT &amp;amp; Perplexity | NeuRank</t>
  </si>
  <si>
    <t>https://nogood.io/blog/ai-marketing-agency/</t>
  </si>
  <si>
    <t>Top 5 AI Marketing Agencies for Growth in 2026 | NoGood</t>
  </si>
  <si>
    <t>NoGood, Single Grain, inBeat</t>
  </si>
  <si>
    <t>https://nogood.io/blog/best-answer-engine-optimization-agencies/</t>
  </si>
  <si>
    <t>Best Answer Engine Optimization (AEO) Agencies 2026 | NoGood</t>
  </si>
  <si>
    <t>NoGood, iPullRank, Omniscient Digital</t>
  </si>
  <si>
    <t>https://omexa-strategy.com/</t>
  </si>
  <si>
    <t>Omexa Strategy – Work Smarter with AI</t>
  </si>
  <si>
    <t>https://omnicommedia.com/germany/agency/trkkn/</t>
  </si>
  <si>
    <t>https://omnicommediagroup.de/news/germany/pressemitteilungen/nachster-meilenstein-trkkn-erhalt-google-cloud-spezialisierung-in-marketing-analytics/</t>
  </si>
  <si>
    <t>Nächster Meilenstein: TRKKN erhält Google-Cloud-Spezialisierung in Marketing Analytics - Omnicom Media</t>
  </si>
  <si>
    <t>Omnicom Media Group, Omnicom</t>
  </si>
  <si>
    <t>https://omr.com/de/reviews/service-category/data-analytics-beratung</t>
  </si>
  <si>
    <t>Data Analytics Beratung | Strategien, Vorteile &amp;amp; Anbieter im Vergleich</t>
  </si>
  <si>
    <t>Smarketer, FELD M</t>
  </si>
  <si>
    <t>https://omr.com/en/reviews/service-category/google-ads-agencies</t>
  </si>
  <si>
    <t>Google Ads Agencies Compared | OMR Reviews</t>
  </si>
  <si>
    <t>Löwenstark, Smarketer, Jung von Matt, DREIKON</t>
  </si>
  <si>
    <t>https://omr.com/en/reviews/service-category/performance-marketing-agenturen/2</t>
  </si>
  <si>
    <t>Performance Marketing Agencies Compared | OMR Reviews (Page 2)</t>
  </si>
  <si>
    <t>KlickPiloten, The Boutique Agency, e-dialog</t>
  </si>
  <si>
    <t>https://www.omsag.de/online-marketing-solutions-ag/google-premier-partner/</t>
  </si>
  <si>
    <t>Offizieller Google-Premier-Partner mit 5 Spezialisierungen - OMSAG</t>
  </si>
  <si>
    <t>https://www.omt.de/online-marketing-tools/marketing-attribution-software/</t>
  </si>
  <si>
    <t>Marketing Attribution Software – 27 Anbieter im Vergleich</t>
  </si>
  <si>
    <t>Analytic Partners, Dreamdata, Neustar, Nielsen</t>
  </si>
  <si>
    <t>https://www.oneclub.org/press/-adc100-rankings</t>
  </si>
  <si>
    <t>DDB Group Germany is World’s Top-Ranked Agency In ADC 100th Annual Awards Global Creative Rankings | The One Club</t>
  </si>
  <si>
    <t>Media.Monks, Ogilvy, Dentsu</t>
  </si>
  <si>
    <t>https://oneday.agency/advertise-in-germany#:~:text=Shelby,German%20market%20starts%20with%20us.%E2%80%9D</t>
  </si>
  <si>
    <t>Advertise in Germany &gt; Billboard advertising in Germany - One Day</t>
  </si>
  <si>
    <t>https://onelittleweb.com/top-agencies/top-performance-marketing-agencies/</t>
  </si>
  <si>
    <t>Top Performance Marketing Agencies 2026 – Ranked &amp;amp; Reviewed</t>
  </si>
  <si>
    <t>WebFX, SmartSites, Disruptive Advertising, DEPT, MONSOON</t>
  </si>
  <si>
    <t>https://www.onetoone.de/performance-ranking/</t>
  </si>
  <si>
    <t>https://open.partners/open-partners-insights/uk-marketing-agencies-that-work-with-google/</t>
  </si>
  <si>
    <t>10 UK marketing agencies that work with Google | Open Partners</t>
  </si>
  <si>
    <t>https://optimisemedia.com/agency-services/</t>
  </si>
  <si>
    <t>Full-Service Media Agency | Optimise Media</t>
  </si>
  <si>
    <t>https://optis.digital/answer-engine-optimization-agencies/</t>
  </si>
  <si>
    <t>Top10 Answer Engine Optimization Agencies | AEO Experts</t>
  </si>
  <si>
    <t>https://www.outsourceaccelerator.com/guide/top-advertising-agencies-in-europe/</t>
  </si>
  <si>
    <t>Top 15 advertising agencies in Europe | Outsource Accelerator</t>
  </si>
  <si>
    <t>Mindshare, Serviceplan Group, GroupM</t>
  </si>
  <si>
    <t>https://partnermarketinghub.withgoogle.com/</t>
  </si>
  <si>
    <t>Home - Partner Marketing Hub</t>
  </si>
  <si>
    <t>https://partnerundsoehne.de/en/magazine/inkrementelle-attribution/</t>
  </si>
  <si>
    <t>Incremental attribution: How to measure the true impact of meta ads</t>
  </si>
  <si>
    <t>Momentum, Triple Whale, Measured</t>
  </si>
  <si>
    <t>https://www.performance-marketing-agenturen-deutschland.de/performance-marketing-agenturen</t>
  </si>
  <si>
    <t>Die besten Performance Marketing Agenturen</t>
  </si>
  <si>
    <t>MONSOON, Mediacharge, Digital Masters GmbH, lehof, KlickPiloten</t>
  </si>
  <si>
    <t>https://presenc.ai/compare/measured-vs-haus-vs-statsig</t>
  </si>
  <si>
    <t>Measured vs Haus vs Statsig: Lift Testing Vendors | Presenc AI</t>
  </si>
  <si>
    <t>Measured, Haus</t>
  </si>
  <si>
    <t>https://programmatic-agentur.de/display-anzeigen</t>
  </si>
  <si>
    <t>Die besten Display Anzeigen Agenturen</t>
  </si>
  <si>
    <t>MONSOON, Digital Masters GmbH, KlickPiloten, Mediacharge</t>
  </si>
  <si>
    <t>https://www.pta.de/leistungen/kuenstliche-intelligenz/</t>
  </si>
  <si>
    <t>KI-Dienstleister für Unternehmen – In 3 Monaten AI-ready</t>
  </si>
  <si>
    <t>https://www.pwc.de/de/starke-allianzen/pwc-und-google.html</t>
  </si>
  <si>
    <t>Starke Partnerschaft: PwC und Google Cloud</t>
  </si>
  <si>
    <t>https://www.pwc.de/en/data-and-ai.html#:~:text=Data%20%26%20AI%20Consulting%20%7C%20PwC,Leader%20in%20AI%20Consulting%20Services</t>
  </si>
  <si>
    <t>Data &amp;amp; AI Consulting | PwC</t>
  </si>
  <si>
    <t>https://www.rankeffect.de/en/online-marketing-agency/seo-agency/link-building</t>
  </si>
  <si>
    <t>Link Building Services | Boost Your Brand Awareness</t>
  </si>
  <si>
    <t>https://www.red-dot.org/magazine/accenture-song-is-red-dot-agency-of-the-year-2025</t>
  </si>
  <si>
    <t>Accenture Song is Red Dot: Agency of the Year 2025</t>
  </si>
  <si>
    <t>Accenture Song, MetaDesign, Scholz &amp; Friends</t>
  </si>
  <si>
    <t>https://www.reddit.com/r/GermanCompanies/comments/1rfxt68/top_10_ai_agencies_in_germany_2026/</t>
  </si>
  <si>
    <t>https://www.reddit.com/r/PPC/comments/1tkc7rr/which_ppc_agencies_are_actually_considered_the/</t>
  </si>
  <si>
    <t>Which PPC agencies are actually considered the best right now?</t>
  </si>
  <si>
    <t>Dentsu, Measured, WPP, Omnicom</t>
  </si>
  <si>
    <t>https://www.reddit.com/r/aeo/comments/1twcbr2/best_aeo_agency_guide_what_to_look_for_in_an/</t>
  </si>
  <si>
    <t>Best AEO Agency Guide What to Look for in an Answer Engine Partner?</t>
  </si>
  <si>
    <t>https://rocketium.ai/academy/all/ai-tools-scaling-creative-production</t>
  </si>
  <si>
    <t>Top 6 AI tools for scaling creative production in 2026</t>
  </si>
  <si>
    <t>Pilot, Superside</t>
  </si>
  <si>
    <t>https://rsmus.com/services/digital-transformation/ai-readiness-assessment.html</t>
  </si>
  <si>
    <t>AI readiness assessment | RSM US</t>
  </si>
  <si>
    <t>https://ruess-group.com/en/marketing-agency-munich/</t>
  </si>
  <si>
    <t>Marketing Agency Munich | B2B, Consulting &amp;amp; Full Service</t>
  </si>
  <si>
    <t>Measured, Momentum</t>
  </si>
  <si>
    <t>https://www.rzlt.io/blog/best-ai-marketing-agencies-in-2026-the-definitive-guide-by-specialty</t>
  </si>
  <si>
    <t>Best AI Marketing Agencies in 2026: The Definitive Guide</t>
  </si>
  <si>
    <t>HikeMyTraffic, Monks, NoGood, Superside, Wpromote, Jellyfish</t>
  </si>
  <si>
    <t>https://www.s-f.family/en</t>
  </si>
  <si>
    <t>https://scalixai.com/blog/best-performance-marketing-agencies#:~:text=revenue%20growth%22%20claims.-,The%2015%20Best%20Performance%20Marketing%20Agencies%20for%202026,performance%20marketing%20for%20a%20reason.</t>
  </si>
  <si>
    <t>The Best Performance Marketing Agencies for 2026 | ScalixAI</t>
  </si>
  <si>
    <t>Refine Labs, NoGood, Single Grain, Wpromote, Omniscient Digital, Darkroom, Common Thread Collective</t>
  </si>
  <si>
    <t>https://www.scholze-consulting.de/</t>
  </si>
  <si>
    <t>Scholze Consulting | Praxisnahe KI Beratung für Unternehmen</t>
  </si>
  <si>
    <t>https://scopicstudios.com/blog/best-incrementality-testing-tools-2026/</t>
  </si>
  <si>
    <t>8 Best Incrementality Testing Tools for Measurement</t>
  </si>
  <si>
    <t>https://seeders.com/seo-germany/</t>
  </si>
  <si>
    <t>SEO Agency Germany | Seeders</t>
  </si>
  <si>
    <t>Seeders</t>
  </si>
  <si>
    <t>https://segmentstream.com/blog/articles/best-attribution-tools</t>
  </si>
  <si>
    <t>10 Best Marketing Attribution Tools &amp;amp; Platforms (2026) — SegmentStream</t>
  </si>
  <si>
    <t>SegmentStream, Triple Whale, Northbeam, Dreamdata, Measured, Rockerbox, Ruler Analytics</t>
  </si>
  <si>
    <t>https://segmentstream.com/blog/articles/measured-com-alternatives</t>
  </si>
  <si>
    <t>9 Best Measured Alternatives &amp;amp; Competitors for Incrementality Testing in 2026 — SegmentStream</t>
  </si>
  <si>
    <t>SegmentStream, Measured, Haus, LifeSight, INCRMNTAL, Recast, Momentum, Sellforte</t>
  </si>
  <si>
    <t>https://segmentstream.com/blog/articles/top-haus-io-alternatives-for-geo-lift-incrementality-testing</t>
  </si>
  <si>
    <t>5 Best Haus.io Alternatives (2026) — SegmentStream</t>
  </si>
  <si>
    <t>SegmentStream, Haus, Measured, INCRMNTAL, Recast</t>
  </si>
  <si>
    <t>https://sellforte.com/about</t>
  </si>
  <si>
    <t>About Sellforte | Enterprise MMM for Ecommerce, DTC &amp;amp; Retail</t>
  </si>
  <si>
    <t>Sellforte, Analytic Partners, Recast, Triple Whale, Northbeam</t>
  </si>
  <si>
    <t>https://www.seoworks.com/lists/top-b2b-geo-and-aeo-agencies/</t>
  </si>
  <si>
    <t>Top 20 B2B GEO and AEO Agencies (2026) | The SEO Works</t>
  </si>
  <si>
    <t>Omnius, WebFX</t>
  </si>
  <si>
    <t>https://silverspoonagency.com/best-performance-marketing-agencies/</t>
  </si>
  <si>
    <t>7 Best Performance marketing agencies to Drive ROI in 2026</t>
  </si>
  <si>
    <t>https://www.sineos.de/en/services/social-media-marketing-smm</t>
  </si>
  <si>
    <t>Social media marketing agency from Germany | SINEOS GmbH</t>
  </si>
  <si>
    <t>https://www.smarketer.de/</t>
  </si>
  <si>
    <t>Smarketer | Google Ads vom Marktführer</t>
  </si>
  <si>
    <t>https://social-media-agency-germany.com/social-media-growth-agencies</t>
  </si>
  <si>
    <t>The best Social Media Growth Agencies</t>
  </si>
  <si>
    <t>PANORAMA3000, lehof, MONSOON, Digital Masters GmbH</t>
  </si>
  <si>
    <t>https://www.sortlist.com/i/s/growth-marketing/germany-de</t>
  </si>
  <si>
    <t>The 10 Best Growth Marketing Agencies in Germany - 2026 Reviews</t>
  </si>
  <si>
    <t>Triple Whale, Northbeam, Dreamdata, MONSOON, Measured</t>
  </si>
  <si>
    <t>https://www.sortlist.com/performance-marketing</t>
  </si>
  <si>
    <t>The 100 Best Performance Marketing Agencies - 2026 Reviews</t>
  </si>
  <si>
    <t>MONSOON, Triple Whale, Northbeam, Dreamdata, Measured</t>
  </si>
  <si>
    <t>https://www.sortlist.com/s/b2b-digital-marketing/germany-de</t>
  </si>
  <si>
    <t>The 10 Best B2B Digital Marketing Agencies in Germany - 2026 Reviews</t>
  </si>
  <si>
    <t>https://www.sortlist.com/s/brand-creation/germany-de</t>
  </si>
  <si>
    <t>The 10 Best Brand Creation Agencies in Germany - 2026 Reviews</t>
  </si>
  <si>
    <t>https://www.sortlist.com/s/creative-design/germany-de</t>
  </si>
  <si>
    <t>The 10 Best Creative Design Agencies in Germany - 2026 Reviews</t>
  </si>
  <si>
    <t>https://www.sortlist.com/s/online-marketing/germany-de</t>
  </si>
  <si>
    <t>The 10 Best Online Marketing Agencies in Germany - 2026 Reviews</t>
  </si>
  <si>
    <t>MONSOON, PANORAMA3000</t>
  </si>
  <si>
    <t>https://www.sortlist.com/s/tiktok-advertising/germany-de</t>
  </si>
  <si>
    <t>The 10 Best TikTok Advertising Agencies in Germany - 2026 Reviews</t>
  </si>
  <si>
    <t>Triple Whale, Northbeam, Dreamdata, PANORAMA3000, MONSOON, Measured, lehof, Loyamo</t>
  </si>
  <si>
    <t>https://www.sortlist.de/s/ai-marketing/bremen-hb-de</t>
  </si>
  <si>
    <t>AI Marketing Agenturen Bremen vergleichen</t>
  </si>
  <si>
    <t>https://www.sortlist.de/s/ai-marketing/hamburg-de</t>
  </si>
  <si>
    <t>Unsere 10 Besten AI Marketing Agenturen in Hamburg - 2026 Bewertungen</t>
  </si>
  <si>
    <t>https://www.sortlist.de/s/display-werbung/duesseldorf-de</t>
  </si>
  <si>
    <t>Unsere 10 Besten Display Anzeigen Agenturen in Düsseldorf - 2026 Bewertungen</t>
  </si>
  <si>
    <t>MONSOON, Triple Whale, Northbeam, Dreamdata, Mediacharge</t>
  </si>
  <si>
    <t>https://sourceforge.net/software/marketing-analytics/germany/</t>
  </si>
  <si>
    <t>Best Marketing Analytics Software in Germany of 2026 - Reviews &amp;amp; Comparison</t>
  </si>
  <si>
    <t>https://www.stellaheystella.com/blog/how-to-integrate-geo-testing-into-your-marketing-strategy-a-step-by-step-guide</t>
  </si>
  <si>
    <t>Geo-Testing in Marketing: How to Measure True Incrementality (2026 Guide) | Stella</t>
  </si>
  <si>
    <t>Dentsu, LifeSight, BCG</t>
  </si>
  <si>
    <t>https://www.suchhelden.de/beste-google-ads-agenturen-deutschlands.php</t>
  </si>
  <si>
    <t>Beste Google-Ads-Agenturen Deutschland 2026 – TOP 15</t>
  </si>
  <si>
    <t>Suchhelden, Smarketer, Peak Ace, morefire, Jung von Matt, The Boutique Agency, Labelium</t>
  </si>
  <si>
    <t>https://www.suchmeisterei.de/daten-ki-agentur-berlin/ai-readiness/</t>
  </si>
  <si>
    <t>AI Readiness im Marketing | SUCHMEISTEREI</t>
  </si>
  <si>
    <t>https://www.superside.com/blog/creative-agencies</t>
  </si>
  <si>
    <t>14 Best Creative Agencies That Make Brands Stand Out in 2026</t>
  </si>
  <si>
    <t>Superside, Huge, Ogilvy</t>
  </si>
  <si>
    <t>https://www.superside.com/blog/creative-content-agencies</t>
  </si>
  <si>
    <t>10 Creative Content Agencies Making Brands Shine in 2026</t>
  </si>
  <si>
    <t>Superside</t>
  </si>
  <si>
    <t>https://superspring.de/en/</t>
  </si>
  <si>
    <t>https://www.the-boutique-agency.de/en/ppc-agency</t>
  </si>
  <si>
    <t>PPC Agency in Munich, Germany • The Boutique Agency</t>
  </si>
  <si>
    <t>https://www.thedrum.com/news/measure-what-matters-where-maths-meets-magic-modern-marketing</t>
  </si>
  <si>
    <t>Measure what matters: where maths meets magic in modern marketing \| The Drum</t>
  </si>
  <si>
    <t>BCG, Kantar</t>
  </si>
  <si>
    <t>https://www.thedrum.com/news/serviceplan-ceo-breaking-out-bavaria-and-climbing-the-world-creative-rankings</t>
  </si>
  <si>
    <t>Serviceplan CEO on breaking out of Bavaria and climbing the World Creative Rankings \| The Drum</t>
  </si>
  <si>
    <t>Serviceplan Group, Huge, Measured, Omnicom</t>
  </si>
  <si>
    <t>https://www.thegrowthsyndicate.com/agencies/best-digital-marketing-agencies-europe</t>
  </si>
  <si>
    <t>The 11 Best B2B Digital Marketing Agencies in Europe</t>
  </si>
  <si>
    <t>DEPT, Artefact, Jellyfish, Measured, Brandtech, WPP, Mindshare, Phiture, Publicis Groupe, Omnicom, Dentsu</t>
  </si>
  <si>
    <t>https://themanifest.com/de/big-data/companies#:~:text=e%2Ddynamics%20GmbH</t>
  </si>
  <si>
    <t>The Best BI and Big Data Companies in Germany - Jul 2026 | The Manifest</t>
  </si>
  <si>
    <t>https://themanifest.com/de/media-buying/agencies</t>
  </si>
  <si>
    <t>The Best Media Planning and Buying Companies in Germany - Jun 2026 \| The Manifest</t>
  </si>
  <si>
    <t>Phiture, REPLUG, GroupM</t>
  </si>
  <si>
    <t>https://www.theverge.com/podcast/959792/digitas-ceo-amy-lanzi-cannes-ad-industry-marketing-ai-creators</t>
  </si>
  <si>
    <t>AI won’t save advertising, says Digitas’ Amy Lanzi | The Verge</t>
  </si>
  <si>
    <t>Publicis Groupe, Huge, Omnicom, Recast</t>
  </si>
  <si>
    <t>https://www.theverge.com/tech/900302/ai-seo-industry-google-search-chatgpt-gemini-marketing</t>
  </si>
  <si>
    <t>Can AI responses be influenced? The SEO industry is trying | The Verge</t>
  </si>
  <si>
    <t>Huge, Recast</t>
  </si>
  <si>
    <t>https://www.timospecht.de/geo-agentur/</t>
  </si>
  <si>
    <t>GEO Agentur - Sichtbarkeit mit AIO in LLM's (KI-SEO*NEU)</t>
  </si>
  <si>
    <t>https://www.tofuhq.com/post/best-ai-agents-for-marketing</t>
  </si>
  <si>
    <t>The 7 Best AI Agents for Marketing in 2026</t>
  </si>
  <si>
    <t>https://www.trkkn.com/</t>
  </si>
  <si>
    <t>Analytics, Cloud &amp;amp; Marketing technology for digital transformation | TRKKN</t>
  </si>
  <si>
    <t>https://www.upliftgtm.com/blog/best-geo-agencies</t>
  </si>
  <si>
    <t>Best GEO Agencies 2026: Top 12 Generative Engine Optimization Firms</t>
  </si>
  <si>
    <t>Omniscient Digital, Single Grain, NoGood, Siege Media</t>
  </si>
  <si>
    <t>https://upmore.com/blog/who-are-google-partners-how-to-become-a-google-certified-partner</t>
  </si>
  <si>
    <t>Who are Google partners? How to become a Google Certified Partner? - Up&amp;amp;More ®</t>
  </si>
  <si>
    <t>https://wamdigital.com/blog/top-5-creative-and-web-development-agencies-for-scalable-production-in-2026#:~:text=Superside%20is%20known%20for%20its,wide%20range%20of%20creative%20assets.</t>
  </si>
  <si>
    <t>Top Creative &amp;amp; Web Development Agencies for Scalable Production in 2026</t>
  </si>
  <si>
    <t>https://www.warc.com/en/rankings/creative-100</t>
  </si>
  <si>
    <t>https://www.webnique.de/en/webdesign-services/tracking-data-analytics</t>
  </si>
  <si>
    <t>Web Analytics Agency + Web Tracking \| Munich Germany</t>
  </si>
  <si>
    <t>https://www.webtonic.io/blog/best-performance-marketing-agencies#:~:text=About%3A%20Hawke%20Media%20pioneered%20the,email%20marketing%2C%20and%20conversion%20optimization.</t>
  </si>
  <si>
    <t>The 26 Best Performance Marketing Agencies for 2026</t>
  </si>
  <si>
    <t>Tinuiti, Hawke Media, NoGood, Disruptive Advertising, Power Digital, Wpromote, Directive Consulting, SmartSites, KlientBoost, Single Grain, Jellyfish, Incubeta</t>
  </si>
  <si>
    <t>https://www.webtonic.io/blog/top-creative-performance-agencies</t>
  </si>
  <si>
    <t>37 Top Creative Performance Agencies for 2026</t>
  </si>
  <si>
    <t>Tinuiti, Wpromote, WPP, Hawke Media, AKQA, R/GA, Accenture Song, Superside</t>
  </si>
  <si>
    <t>https://www.werankle.com/en</t>
  </si>
  <si>
    <t>WeRankle — GEO Agency | Generative Engine Optimization</t>
  </si>
  <si>
    <t>https://www.werbeagentur.de/en/scoring/programmatic-advertising</t>
  </si>
  <si>
    <t>28 Top Agenturen für Programmatic Advertising. Hier vergleichen</t>
  </si>
  <si>
    <t>Artefact, Digital Masters GmbH, Löwenstark</t>
  </si>
  <si>
    <t>https://wpseoai.com/blog/best-geo-llm-agency-in-hamburg-with-geo-llm-optimization-technology/</t>
  </si>
  <si>
    <t>Best GEO/LLM agency in Hamburg with GEO/LLM optimization technology</t>
  </si>
  <si>
    <t>https://www.wuv.de/Themen/Agentur/BVDW-Kreativranking-Welche-Agenturen-2024-Massstaebe-setzten</t>
  </si>
  <si>
    <t>BVDW Kreativranking: Welche Agenturen 2024 Maßstäbe setzten | W&amp;amp;V</t>
  </si>
  <si>
    <t>Jung von Matt, Publicis Groupe, Accenture Song</t>
  </si>
  <si>
    <t>https://www.wuv.deamp.wuv.de/Themen/Agentur/Das-sind-Deutschlands-meistausgezeichnete-Agenturen</t>
  </si>
  <si>
    <t>Kreativranking 2024: Deutschlands meistausgezeichnete Agenturen \| W&amp;V</t>
  </si>
  <si>
    <t>Jung von Matt, Serviceplan Group</t>
  </si>
  <si>
    <t>https://zipdo.co/service/attribution/</t>
  </si>
  <si>
    <t>Top 10 Best Attribution Services (2026 Expert Review)</t>
  </si>
  <si>
    <t>Kantar, Nielsen, PwC, Capgemini, Merkle, WPP, Publicis Media, Publicis Groupe</t>
  </si>
  <si>
    <t>https://zupo.co/best-aeo-agencies/</t>
  </si>
  <si>
    <t>Best Answer Engine Optimization (AEO) Agencies in 2026</t>
  </si>
  <si>
    <t>Mindshare, iPullRank</t>
  </si>
  <si>
    <t>https://www.2pointagency.com/glossary/data-activation-and-first-party-data-strategy-a-comprehensive-guide-for-businesses/</t>
  </si>
  <si>
    <t>Data Activation and First-Party Data Strategy: A Comprehensive Guide for Businesses - 2POINT Agency - Best Digital Marketing Agency</t>
  </si>
  <si>
    <t>https://aargroup.co.uk/services-for-marketers/platform-readiness/genai-readiness-assessment/</t>
  </si>
  <si>
    <t>Generative AI Readiness Assessment Consulting | AAR</t>
  </si>
  <si>
    <t>https://www.adc.de/2023/12/04/serviceplan-bleibt-auf-platz-1-des-adc-kreativrankings/</t>
  </si>
  <si>
    <t>SERVICEPLAN bleibt auf Platz 1 des ADC Kreativrankings | Art Directors Club für Deutschland – ADC</t>
  </si>
  <si>
    <t>Publicis Groupe, Ogilvy, MetaDesign, Accenture Song, Haus</t>
  </si>
  <si>
    <t>https://www.adcologne.de/</t>
  </si>
  <si>
    <t>adcologne – Performance Marketing Agentur aus Köln</t>
  </si>
  <si>
    <t>https://www.adito.de/knowhow/blog/performance-marketing</t>
  </si>
  <si>
    <t>Was ist Performance Marketing? | ADITO Blog</t>
  </si>
  <si>
    <t>https://www.adjust.com/solutions/incrementality/</t>
  </si>
  <si>
    <t>Incrementality marketing and measurement \| Adjust</t>
  </si>
  <si>
    <t>https://www.adoptify.ai/blogs/top-enterprise-ai-adoption-consulting-firms-2026-comparison/</t>
  </si>
  <si>
    <t>Top Enterprise AI Adoption Consulting Firms: 2026 Comparison - Adoptify AI | Adoptify AI</t>
  </si>
  <si>
    <t>Pilot, Measured, BCG, PwC, EY, Momentum</t>
  </si>
  <si>
    <t>https://adoption.microsoft.com/en-us/ai-readiness-wizard/</t>
  </si>
  <si>
    <t>AI Readiness Wizard – Microsoft Adoption</t>
  </si>
  <si>
    <t>https://adpoint.de/google-ads-agentur/#:~:text=Strategieberatung-,Kontakt,Google%20Ads%20Premier%20Partner%20Agentur</t>
  </si>
  <si>
    <t>Google Ads Agentur 2026 ✅ Google Premier Partner | AdPoint GmbH</t>
  </si>
  <si>
    <t>https://ads.google.com/intl/us-EN/home/partners/work-with-a-partner/</t>
  </si>
  <si>
    <t>https://www.adseed.de/google-premium-partner/</t>
  </si>
  <si>
    <t>Google Premium Partner | adseed GmbH</t>
  </si>
  <si>
    <t>https://adsofbrands.net/en/agencies/jung-von-matt/33/about</t>
  </si>
  <si>
    <t>Jung von Matt - adsofbrands.net</t>
  </si>
  <si>
    <t>https://www.adspecialist.de/channel-data-driven-marketing-agentur/</t>
  </si>
  <si>
    <t>Data Driven Marketing Agentur - Influencer Growth - Ad Specialist</t>
  </si>
  <si>
    <t>https://www.adstellar.ai/blog/media-buying-automation-tools</t>
  </si>
  <si>
    <t>Top 9 Media Buying Automation Tools: 2026… | AdStellar</t>
  </si>
  <si>
    <t>https://adswerve.com/partners/google</t>
  </si>
  <si>
    <t>Google Marketing and Cloud Platforms - Adswerve</t>
  </si>
  <si>
    <t>https://www.advanced-television.com/2026/03/17/smartly-acquires-incrmntal-measurement-platform/</t>
  </si>
  <si>
    <t>Smartly set to acquire Incrmntal | Advanced Television</t>
  </si>
  <si>
    <t>https://www.advertace.de/tiktok-ads-agentur</t>
  </si>
  <si>
    <t>TikTok Ads Agentur | TikTok Partner - advertace</t>
  </si>
  <si>
    <t>https://www.advertal.de/wissen/marketing-attribution-software-dach-vergleich</t>
  </si>
  <si>
    <t>Marketing Attribution Software: 9 Tools für den DACH-Markt im Vergleich</t>
  </si>
  <si>
    <t>Ruler Analytics, Rockerbox, Nielsen</t>
  </si>
  <si>
    <t>https://www.advisori.de/services/digital-transformation/ki-kuenstliche-intelligenz</t>
  </si>
  <si>
    <t>Artificial Intelligence for Enterprises: AI Solutions &amp;amp; Services | ADVISORI</t>
  </si>
  <si>
    <t>https://www.adzine.de/techfinder/marketing/</t>
  </si>
  <si>
    <t>MARKETING - TECHNOLOGIE / TECH FINDER</t>
  </si>
  <si>
    <t>https://www.adzine.de/techfinder/marketing/attribution/</t>
  </si>
  <si>
    <t>MARKETING - ATTRIBUTION - TECHNOLOGIE / TECH FINDER</t>
  </si>
  <si>
    <t>https://aeo-collective.com/blog/top-10-aeo-geo-aio-marketing-agencies-in-april-2026/</t>
  </si>
  <si>
    <t>Top AEO Agencies for Boosting AI Search Visibility in 2026</t>
  </si>
  <si>
    <t>https://aeo-copilot.com/partners/agencies/germany/hamburg</t>
  </si>
  <si>
    <t>Best AEO Agencies in Hamburg, Germany — AI Visibility Experts | AEO Copilot</t>
  </si>
  <si>
    <t>https://aeoagency.org/de/</t>
  </si>
  <si>
    <t>Home - AEO Agency® – The Global Leader in Answer Engine Optimization</t>
  </si>
  <si>
    <t>https://www.aeoera.com/</t>
  </si>
  <si>
    <t>AEO / AIO Agency</t>
  </si>
  <si>
    <t>https://agencies.semrush.com/baseplus-digital-media-gmbh/</t>
  </si>
  <si>
    <t>baseplus® | Semrush Agency Partner</t>
  </si>
  <si>
    <t>Baseplus DIGITAL MEDIA GmbH</t>
  </si>
  <si>
    <t>https://agencies.semrush.com/de/hecht-ins-gefecht/</t>
  </si>
  <si>
    <t>HECHT INS GEFECHT | Semrush-Agenturpartner</t>
  </si>
  <si>
    <t>https://agencies.semrush.com/de/list/ai-optimization/germany/</t>
  </si>
  <si>
    <t>Beste Optimierung für die KI-Suche-Agenturen für , Germany 2026 | Semrush</t>
  </si>
  <si>
    <t>https://agencies.semrush.com/list/ai-optimization/wuppertal/</t>
  </si>
  <si>
    <t>Best AI Search Optimization Agencies in Wuppertal 2026 | Semrush</t>
  </si>
  <si>
    <t>https://agencies.semrush.com/list/analytics-data-science/business-professional-services/germany/enterprise-business/</t>
  </si>
  <si>
    <t>Best B2B Services Data Analytics Services for Enterprise Business in Germany 2026 | Semrush</t>
  </si>
  <si>
    <t>https://agencies.semrush.com/list/analytics-data-science/ecommerce/germany/</t>
  </si>
  <si>
    <t>Best Ecommerce Data Analytics Services in Germany 2026 | Semrush</t>
  </si>
  <si>
    <t>https://agencies.semrush.com/list/business-professional-services/germany/</t>
  </si>
  <si>
    <t>Best B2B Services Digital Marketing Agencies in Germany 2026 | Semrush</t>
  </si>
  <si>
    <t>HECHT INS GEFECHT, Baseplus DIGITAL MEDIA GmbH, morefire, Mediaplus Performance, Mediacharge</t>
  </si>
  <si>
    <t>https://agencies.semrush.com/list/display-advertising/north-rhine-westphalia/</t>
  </si>
  <si>
    <t>Best Display Ads Agencies in North Rhine-Westphalia 2026 | Semrush</t>
  </si>
  <si>
    <t>https://agencies.semrush.com/list/facebook-advertising/germany/</t>
  </si>
  <si>
    <t>Best Facebook Advertising Agencies in Germany 2026 | Semrush</t>
  </si>
  <si>
    <t>https://agencies.semrush.com/list/llm-optimization/germany/mid-business/</t>
  </si>
  <si>
    <t>Best LLM optimization Agencies for Mid Business in Germany 2026 | Semrush</t>
  </si>
  <si>
    <t>https://agencies.semrush.com/list/los-angeles/</t>
  </si>
  <si>
    <t>Best Digital Marketing Agencies in Los Angeles 2026 | Semrush</t>
  </si>
  <si>
    <t>https://agencies.semrush.com/list/machine-learning-and-ai/germany/enterprise-business/</t>
  </si>
  <si>
    <t>Best Machine Learning and AI Services for Enterprise Business in Germany 2026 | Semrush</t>
  </si>
  <si>
    <t>https://agencies.semrush.com/list/machine-learning-and-ai/germany/mid-business/</t>
  </si>
  <si>
    <t>Best Machine Learning and AI Services for Mid Business in Germany 2026 | Semrush</t>
  </si>
  <si>
    <t>https://agencies.semrush.com/list/machine-learning-and-ai/germany/small-business/</t>
  </si>
  <si>
    <t>Best Machine Learning and AI Services for Small Business in Germany 2026 | Semrush</t>
  </si>
  <si>
    <t>https://agencies.semrush.com/list/ppc/munich/</t>
  </si>
  <si>
    <t>Best PPC Agencies in Munich 2026 | Semrush</t>
  </si>
  <si>
    <t>Mediaplus Performance, Mediacharge, morefire, MONSOON, KlickPiloten</t>
  </si>
  <si>
    <t>https://agencies.semrush.com/list/programmatic-advertising/germany/mid-business/</t>
  </si>
  <si>
    <t>Best Programmatic Advertising Agencies for Mid Business in Germany 2026 | Semrush</t>
  </si>
  <si>
    <t>https://www.agenciesformarketing.com/post/navigating-the-landscape-your-guide-to-top-marketing-agencies-in-germany-for-2025</t>
  </si>
  <si>
    <t>Navigating the Landscape: Your Guide to Top Marketing Agencies in Germany for 2025</t>
  </si>
  <si>
    <t>Pilot, Mawave, Medialabel, Globalist, Social Media Pirates, MONSOON</t>
  </si>
  <si>
    <t>https://agency.geolign.com/</t>
  </si>
  <si>
    <t>https://agencylist.com/services/analytics-reporting/de/</t>
  </si>
  <si>
    <t>Top DATA Agencies in Germany</t>
  </si>
  <si>
    <t>https://agencyvista.com/agency/eprofessional-gmbh/marketing-agency-hamburg-de</t>
  </si>
  <si>
    <t>EPROFESSIONAL GmbH. Agency Vista</t>
  </si>
  <si>
    <t>https://www.agenturtipp.de/agentur/smarketer-gmbh-google-ads-agentur/</t>
  </si>
  <si>
    <t>Smarketer GmbH | Google Ads … - Erfahrungen &amp;amp; Bewertungen</t>
  </si>
  <si>
    <t>Smarketer, Haus</t>
  </si>
  <si>
    <t>https://www.agenturtipp.de/werbeagenturen/</t>
  </si>
  <si>
    <t>Top Werbeagenturen (2026) im Vergleich ↗️</t>
  </si>
  <si>
    <t>Suchhelden, Aufgesang, DREIKON, Haus, morefire</t>
  </si>
  <si>
    <t>https://ai-solutions.daviesmeyer.com/de/blog/marketing-measurement-2026-guide</t>
  </si>
  <si>
    <t>Marketing Measurement 2026: Der Pillar-Guide für moderne Attribution | Davies Meyer Blog</t>
  </si>
  <si>
    <t>Northbeam, Triple Whale, Recast</t>
  </si>
  <si>
    <t>https://ai-solutions.daviesmeyer.com/en/blog/marketing-measurement-2026-guide</t>
  </si>
  <si>
    <t>Marketing Measurement 2026: The Pillar Guide to Modern Attribution | Davies Meyer Blog</t>
  </si>
  <si>
    <t>https://aiadvantageagency.com/first-party-data-strategy/</t>
  </si>
  <si>
    <t>First-Party Data Strategy for AI Advertising in 2026</t>
  </si>
  <si>
    <t>Triple Whale, Northbeam</t>
  </si>
  <si>
    <t>https://aidolsgroup.com/en/ai-consulting/berlin/</t>
  </si>
  <si>
    <t>AI Consultants Berlin: 40% ROI, EU AI Act + BDSG-Ready | AIDOLS</t>
  </si>
  <si>
    <t>https://aimers.io/blog/top-10-llm-optimization-agencies</t>
  </si>
  <si>
    <t>Top 10 LLM Optimization Agencies in 2026 - Aimers Blog</t>
  </si>
  <si>
    <t>https://aimers.io/blog/top-11-saas-content-marketing-agencies</t>
  </si>
  <si>
    <t>Top 11 SaaS Content Marketing Agencies in 2026 - Aimers Blog</t>
  </si>
  <si>
    <t>https://aimonk.com/top-genai-development-services/</t>
  </si>
  <si>
    <t>Top 7 GenAI Development Services in 2025 | AI Monk</t>
  </si>
  <si>
    <t>https://airankvision.com/consulting/germany</t>
  </si>
  <si>
    <t>https://www.akqa.com/studios/berlin/</t>
  </si>
  <si>
    <t>Berlin - AKQA</t>
  </si>
  <si>
    <t>https://alicelabs.ai/en/enterprise-ai-consulting</t>
  </si>
  <si>
    <t>Enterprise AI Consulting &amp;amp; Implementation in Europe | Alice Labs</t>
  </si>
  <si>
    <t>BCG, Capgemini, EY, PwC, Pilot</t>
  </si>
  <si>
    <t>https://www.amplework.com/blog/top-ai-agent-development-companies/</t>
  </si>
  <si>
    <t>AI Agent Development Companies You Must Know in 2025!</t>
  </si>
  <si>
    <t>https://amplitude.com/explore/experiment/incrementality-testing</t>
  </si>
  <si>
    <t>What Is Incrementality Testing for Modern Marketers</t>
  </si>
  <si>
    <t>https://amworldgroup.com/best/ai-marketing-agencies</t>
  </si>
  <si>
    <t>Best AI Marketing Agencies 2026 | Top 8 Reviewed | AMW®</t>
  </si>
  <si>
    <t>https://analyticpartners.com/</t>
  </si>
  <si>
    <t>Marketing Measurement &amp;amp; Commercial Analytics | Analytic Partners</t>
  </si>
  <si>
    <t>https://www.and-marketing.com/future-of-ai-in-marketing-analytics/</t>
  </si>
  <si>
    <t>The Future of Marketing Analytics: AI-Driven Insights</t>
  </si>
  <si>
    <t>https://www.arboro.de/partner/google</t>
  </si>
  <si>
    <t>Google Premier Partner Agentur | SEA &amp;amp; Google Ads Wachstum mit arboro</t>
  </si>
  <si>
    <t>https://www.arcintermedia.com/knowledge-base/seo-and-organic-reach/what-are-the-top-answer-engine-optimization-aeo-agencies/</t>
  </si>
  <si>
    <t>TOP Answer Engine Optimization (AEO) Agencies</t>
  </si>
  <si>
    <t>https://www.artefact.com/</t>
  </si>
  <si>
    <t>Artefact is a global data and AI consulting company</t>
  </si>
  <si>
    <t>https://www.artefact.com/de/</t>
  </si>
  <si>
    <t>https://www.artefact.com/de/offers/cx-consumer-experience-digital/media-certifications/</t>
  </si>
  <si>
    <t>https://www.artefact.com/de/offers/marketing-data-driven/gmp-certified-reseller/</t>
  </si>
  <si>
    <t>https://www.artefact.com/de/offers/marketing-data-driven/measurements-mroi-insights/</t>
  </si>
  <si>
    <t>https://www.artefact.com/de/offers/marketing-data-driven/media-services-and-certifications/</t>
  </si>
  <si>
    <t>Our Media services: SEO, SEA, Paid, Retail Media... - Artefact</t>
  </si>
  <si>
    <t>https://www.artefact.com/news/unified-global-brand-experience-metapeople-germany-rebrands-to-artefact/</t>
  </si>
  <si>
    <t>Unified global brand experience: metapeople Germany rebrands to Artefact - Artefact</t>
  </si>
  <si>
    <t>https://arxiv.org/abs/2403.14674</t>
  </si>
  <si>
    <t>[2403.14674] Packaging Up Media Mix Modeling: An Introduction to Robyn's Open-Source Approach</t>
  </si>
  <si>
    <t>https://arxiv.org/abs/2604.16369</t>
  </si>
  <si>
    <t>[2604.16369] Why AI Readiness Is an Organizational Learning Problem, Not a Technology Purchase</t>
  </si>
  <si>
    <t>https://arxiv.org/abs/2606.16878</t>
  </si>
  <si>
    <t>[2606.16878] Integrated Marketing Attribution: A Bayesian Framework for Privacy-Safe Granular Measurement Anchored in MMM</t>
  </si>
  <si>
    <t>https://www.aschendorff-next.de/en/portfolio.php</t>
  </si>
  <si>
    <t>Our Investment Portfolio | Aschendorff NEXT GmbH &amp;amp; Co. KG | Portfolio</t>
  </si>
  <si>
    <t>https://www.attnagency.com/blog/first-party-data-activation-cdp-ad-platform-strategy</t>
  </si>
  <si>
    <t>First-Party Data Activation: From CDP to Ad Platform Profitability | ATTN Agency</t>
  </si>
  <si>
    <t>https://audigent.com/</t>
  </si>
  <si>
    <t>Audigent | The Leading Data Activation, Curation and Identity Platform</t>
  </si>
  <si>
    <t>https://www.aurelai.de/</t>
  </si>
  <si>
    <t>Aurel AI – KI-Beratung für den Mittelstand</t>
  </si>
  <si>
    <t>https://www.avaus.com/blog/how-media-agencies-can-utilize-first-party-data-to-drive-better-results/</t>
  </si>
  <si>
    <t>How media agencies can utilize first-party data to drive better results - Avaus</t>
  </si>
  <si>
    <t>https://awisee.com/blog/marketing-agencies-europe/</t>
  </si>
  <si>
    <t>The Best 5 Marketing Agencies Europe Guide (2025 Reviews)</t>
  </si>
  <si>
    <t>https://awisee.com/hu/blog/digital-marketing-agencies-germany/</t>
  </si>
  <si>
    <t>https://www.axelwin.com/aboutus</t>
  </si>
  <si>
    <t>About Axelwin | Shopify, eCommerce &amp;amp; Digital Marketing Agency Hamburg</t>
  </si>
  <si>
    <t>https://www.axios.com/2026/07/16/geo-communications-marketing-strategy</t>
  </si>
  <si>
    <t>GEO and AI: How brands are shifting their strategies</t>
  </si>
  <si>
    <t>https://www.back9.co.nz/how-to-find-a-certified-google-partner/</t>
  </si>
  <si>
    <t>Certified Google Partner: How to find the best one for you - Back9 Digital</t>
  </si>
  <si>
    <t>https://www.backhouse.com/</t>
  </si>
  <si>
    <t>Backhouse // Embedded production company for brands, agencies, and studios</t>
  </si>
  <si>
    <t>https://www.batten-company.com/en/about-us/</t>
  </si>
  <si>
    <t>About us - Batten &amp;amp; Company – die führende strategische Unternehmensberatung</t>
  </si>
  <si>
    <t>https://www.batten-company.com/en/about-us/awards/</t>
  </si>
  <si>
    <t>Awards - Batten &amp;amp; Company – die führende strategische Unternehmensberatung</t>
  </si>
  <si>
    <t>https://bbdo.de/</t>
  </si>
  <si>
    <t>Home - BBDO GERMANY</t>
  </si>
  <si>
    <t>https://beomniscient.com/blog/growth-marketing-agency/</t>
  </si>
  <si>
    <t>The 16 Best Growth Marketing Agencies in 2026 - Omniscient Digital</t>
  </si>
  <si>
    <t>Omniscient Digital, Single Grain, Disruptive Advertising, NoGood, Directive Consulting, Superside, Pilot, Momentum</t>
  </si>
  <si>
    <t>https://beomniscient.com/blog/marketing-agencies/</t>
  </si>
  <si>
    <t>The 6 Best Marketing Agencies in 2026 - Omniscient Digital</t>
  </si>
  <si>
    <t>Omniscient Digital, Disruptive Advertising, NoGood</t>
  </si>
  <si>
    <t>https://www.berlin.de/sen/web/en/economics-and-technology/branches/creative-industries-and-communication/advertising/artikel.447824.en.php</t>
  </si>
  <si>
    <t>Advertising - Berlin.de</t>
  </si>
  <si>
    <t>Scholz &amp; Friends, Ogilvy, Jung von Matt</t>
  </si>
  <si>
    <t>https://www.best-brands-global.com/content/dam/best-brands-global/de/image-library/2026/BEST_BRANDS_2026_Booklet_Studie_EN.pdf.coredownload.pdf</t>
  </si>
  <si>
    <t>https://www.best-social-media-agency.com/</t>
  </si>
  <si>
    <t>https://www.bestadsontv.com/rankings.php?category=All&amp;country=Germany&amp;period=2025&amp;role=agency</t>
  </si>
  <si>
    <t>https://www.bestaiagencyforcompanies.com/rankings</t>
  </si>
  <si>
    <t>https://www.biloba-it.de/en/online-marketing/web-analytics/</t>
  </si>
  <si>
    <t>Your agency for web analytics &amp;amp; tracking - Biloba IT</t>
  </si>
  <si>
    <t>https://www.blackravenmedia.com/1st-party-data/</t>
  </si>
  <si>
    <t>Lead Generation Agency - Black Raven</t>
  </si>
  <si>
    <t>https://blockbirds.de/blog/die-besten-marketing-agenturen-deutschlands/</t>
  </si>
  <si>
    <t>Die besten Marketing Agenturen Deutschlands | BlockBirds</t>
  </si>
  <si>
    <t>Jung von Matt, Accenture Song, Scholz &amp; Friends, DEPT, Pilot</t>
  </si>
  <si>
    <t>https://bluealpha.ai/articles/why-your-marketing-agency-needs-mmm-and-incrementality-testing</t>
  </si>
  <si>
    <t>Why Your Marketing Agency Needs MMM and Incrementality Testing | BlueAlpha</t>
  </si>
  <si>
    <t>https://www.blueconic.com/resources/best-cdps</t>
  </si>
  <si>
    <t>The 5 Best CDPs of 2026</t>
  </si>
  <si>
    <t>https://www.blueduckagency.com/blog/incrementality</t>
  </si>
  <si>
    <t>How to Add Incrementality Testing to Your Marketing Campaigns | Blue Duck Agency</t>
  </si>
  <si>
    <t>https://blueshepherd.de/</t>
  </si>
  <si>
    <t>AI Marketing Agentur Hamburg | SEO, SEA &amp;amp; LLM-Optimierung</t>
  </si>
  <si>
    <t>https://www.brainlab.com/de/jobs-karriere/locations/</t>
  </si>
  <si>
    <t>Standorte | Brainlab</t>
  </si>
  <si>
    <t>https://www.brainlabsdigital.com/</t>
  </si>
  <si>
    <t>Brainlabs</t>
  </si>
  <si>
    <t>https://www.brandigochina.com/the-best-marketing-agencies-in-china--2026</t>
  </si>
  <si>
    <t>Best Marketing Agencies in China 2026</t>
  </si>
  <si>
    <t>https://brentonway.com/blog/ai-marketing-agencies</t>
  </si>
  <si>
    <t>Top AI Marketing Agencies: An AI Market Company Comparison | Brenton Way</t>
  </si>
  <si>
    <t>Huge, Single Grain, NoGood, SmartSites</t>
  </si>
  <si>
    <t>https://www.btelligent.com/en/news-posts/btelligent-again-best-ai-consultancy</t>
  </si>
  <si>
    <t>b.telligent Again in First Place Among AI Consultancies</t>
  </si>
  <si>
    <t>b.telligent, Huge, Pilot, EY</t>
  </si>
  <si>
    <t>https://bundb.de/ai-marketing/</t>
  </si>
  <si>
    <t>AI Marketing | B&amp;amp;B.</t>
  </si>
  <si>
    <t>https://business.google.com/de/think/measurement/ai-driven-data-management/</t>
  </si>
  <si>
    <t>https://business.google.com/en-all/support/work-with-a-partner/</t>
  </si>
  <si>
    <t>Work with a Google Partner for a Successful Campaign – Google Ads</t>
  </si>
  <si>
    <t>New Engen, Wpromote</t>
  </si>
  <si>
    <t>https://www.businessinsider.com/ai-adoption-strategies-companies-2026-7</t>
  </si>
  <si>
    <t>Adopting AI Is Easy. Using AI Effectively Is Hard. - Business Insider</t>
  </si>
  <si>
    <t>Boston Consulting Group, BCG, McKinsey &amp; Company, PwC</t>
  </si>
  <si>
    <t>https://www.businessinsider.com/ai-questions-consulting-firms-are-answering-for-clients-2024-6</t>
  </si>
  <si>
    <t>Here's What BCG, Bain, and Deloitte Are Telling Their Clients About AI - Business Insider</t>
  </si>
  <si>
    <t>BCG, PwC, McKinsey &amp; Company, Boston Consulting Group, Huge</t>
  </si>
  <si>
    <t>https://www.businessinsider.com/consulting-ai-mckinsey-bcg-deloitte-pwc-kpmg-chatbots-ai-tools-2025-4</t>
  </si>
  <si>
    <t>How AI Is Transforming Consulting at McKinsey, BCG, and Deloitte - Business Insider</t>
  </si>
  <si>
    <t>BCG, PwC, McKinsey &amp; Company, Boston Consulting Group, EY</t>
  </si>
  <si>
    <t>https://www.businessofapps.com/marketplace/ai-marketing/</t>
  </si>
  <si>
    <t>Top AI Marketing Companies (2026) - Business of Apps</t>
  </si>
  <si>
    <t>https://www.businessofapps.com/marketplace/performance-marketing/</t>
  </si>
  <si>
    <t>Top Performance Marketing Agencies (2026) - Business of Apps</t>
  </si>
  <si>
    <t>Measured, Incubeta</t>
  </si>
  <si>
    <t>https://www.businesswire.com/news/home/20260316251472/de</t>
  </si>
  <si>
    <t>Smartly unterzeichnet Absichtserklärung zur Übernahme von INCRMNTAL</t>
  </si>
  <si>
    <t>INCRMNTAL, PwC</t>
  </si>
  <si>
    <t>https://www.bvdw.org/news-und-publikationen/deep-dive-retail-mediaagenturen/</t>
  </si>
  <si>
    <t>Mediaagenturen im Retail-Media-Ökosystem</t>
  </si>
  <si>
    <t>https://www.bvdw.org/news-und-publikationen/internetagentur-ranking-2026-plannet-verteidigt-spitzenposition/</t>
  </si>
  <si>
    <t>Internetagentur-Ranking 2026: Plan.Net verteidigt Spitzenposition</t>
  </si>
  <si>
    <t>https://www.bvdw.org/wp-content/uploads/2025/03/BVDW_Studie_Kreativranking_Auswertung_2024-1.pdf?highlight=12+agenturen</t>
  </si>
  <si>
    <t>EY, OMD</t>
  </si>
  <si>
    <t>https://www.bvdw.org/wp-content/uploads/2026/03/BVDW-Kreativranking-2025.pdf</t>
  </si>
  <si>
    <t>https://c-n-t-a.com/ai-lead-generation-triple-your-lead-quality-expert-tips/</t>
  </si>
  <si>
    <t>AI Lead Generation: Triple Your Lead Quality (Expert Tips) - c-n-t-a.com</t>
  </si>
  <si>
    <t>https://calvarius.com/leistungen/performance-marketing/social-media-werbung</t>
  </si>
  <si>
    <t>Social Media Werbung — Paid Social für Performance — Calvarius</t>
  </si>
  <si>
    <t>https://campaignme.com/publicis-groupes-performics-secures-gmp-partner-reseller-status/</t>
  </si>
  <si>
    <t>Publicis Groupe's Performics secures GMP partner, reseller status - Campaign Middle East</t>
  </si>
  <si>
    <t>https://www.cigen.io/services/ai-adoption-strategy-consulting</t>
  </si>
  <si>
    <t>AI Strategy Consulting &amp;amp; Adoption Roadmap Services</t>
  </si>
  <si>
    <t>https://www.cl-y.com/</t>
  </si>
  <si>
    <t>CLY Boutique Event Agency and Celebrity Booking in Berlin</t>
  </si>
  <si>
    <t>https://www.claneo.com/en/contact/</t>
  </si>
  <si>
    <t>Get in touch with us | Claneo</t>
  </si>
  <si>
    <t>https://www.clarista.io/blog/top-ai-solution-providers-2026</t>
  </si>
  <si>
    <t>Top AI Solution Providers in 2026: 12 Companies Reviewed | Clarista</t>
  </si>
  <si>
    <t>https://www.clickdo.co.uk/german-business-uk-digital-marketing/</t>
  </si>
  <si>
    <t>How German Businesses Can Expand into the UK Market with Digital Marketing &amp;amp; SEO</t>
  </si>
  <si>
    <t>https://clicksgeek.com/best-digital-marketing-agency-for-roi/</t>
  </si>
  <si>
    <t>Best Digital Marketing Agency For ROI: 7 Strategies</t>
  </si>
  <si>
    <t>https://clicksgeek.com/best-marketing-agency-for-roi/</t>
  </si>
  <si>
    <t>Best Marketing Agency For ROI: 7 Proven Strategies</t>
  </si>
  <si>
    <t>https://clicksgeek.com/best-paid-advertising-platforms-for-businesses/</t>
  </si>
  <si>
    <t>Best Paid Advertising Platforms For Businesses 2026</t>
  </si>
  <si>
    <t>https://clicksgeek.com/best-roi-focused-marketing-agency/</t>
  </si>
  <si>
    <t>Best ROI Focused Marketing Agency: 7 Proven Strategies</t>
  </si>
  <si>
    <t>https://clicksgeek.com/best-roi-marketing-agencies/</t>
  </si>
  <si>
    <t>Best ROI Marketing Agencies: 7 Proven Strategies 2026</t>
  </si>
  <si>
    <t>https://clicksgeek.com/marketing-attribution-tracking-services/</t>
  </si>
  <si>
    <t>9 Best Marketing Attribution Tracking Services 2026</t>
  </si>
  <si>
    <t>Measured, Triple Whale, Northbeam, Ruler Analytics, Rockerbox</t>
  </si>
  <si>
    <t>https://clutch.co/agencies</t>
  </si>
  <si>
    <t>Top Advertising Agencies &amp;amp; Marketing Companies - Jul 2026 Rankings | Clutch.co</t>
  </si>
  <si>
    <t>Power Digital, SmartSites, WebFX, KlientBoost, Mediacharge, MONSOON</t>
  </si>
  <si>
    <t>https://clutch.co/agencies/experiential?page=9</t>
  </si>
  <si>
    <t>Page 9 - Top Experiential Marketing Agencies - Jul 2026 Rankings \| Clutch.co</t>
  </si>
  <si>
    <t>https://clutch.co/agencies/media-buying</t>
  </si>
  <si>
    <t>Top Media Buying &amp;amp; Planning Agencies - Jul 2026 Rankings | Clutch.co</t>
  </si>
  <si>
    <t>Momentum, REPLUG</t>
  </si>
  <si>
    <t>https://clutch.co/agencies/performance-marketing</t>
  </si>
  <si>
    <t>Top Performance Marketing Agencies - Jul 2026 Rankings | Clutch.co</t>
  </si>
  <si>
    <t>Disruptive Advertising, Momentum, REPLUG</t>
  </si>
  <si>
    <t>https://clutch.co/agencies/performance-marketing%3Fpage%3D0</t>
  </si>
  <si>
    <t>Top Performance Marketing Agencies - Jul 2026 Rankings \| Clutch.co</t>
  </si>
  <si>
    <t>https://clutch.co/agencies/ppc</t>
  </si>
  <si>
    <t>Top PPC Agencies - Jul 2026 Rankings | Clutch.co</t>
  </si>
  <si>
    <t>Disruptive Advertising, KlientBoost, Single Grain, SmartSites, Mediacharge</t>
  </si>
  <si>
    <t>https://clutch.co/de/agencies/app-marketing</t>
  </si>
  <si>
    <t>Top Mobile Marketing Agencies in Germany - Jul 2026 Rankings | Clutch.co</t>
  </si>
  <si>
    <t>REPLUG, MONSOON, Phiture, Admiral Media, Customlytics, GroupM</t>
  </si>
  <si>
    <t>https://clutch.co/de/agencies/digital-marketing?page=3</t>
  </si>
  <si>
    <t>Page 3 - Top Digital Marketing Agencies in Germany - Jul 2026 Rankings \| Clutch.co</t>
  </si>
  <si>
    <t>MONSOON, Mediacharge, REPLUG, Claneo, Peak Ace, morefire, Think11, eMinded GmbH, GroupM, Löwenstark, Medialabel, DEPT, Admiral Media, Phiture, HECHT INS GEFECHT, HY.AM STUDIOS</t>
  </si>
  <si>
    <t>https://clutch.co/de/agencies/market-research/berlin</t>
  </si>
  <si>
    <t>Top Market Research Companies in Berlin - Jul 2026 Rankings | Clutch.co</t>
  </si>
  <si>
    <t>LNQP GmbH</t>
  </si>
  <si>
    <t>https://clutch.co/de/agencies/ppc/berlin</t>
  </si>
  <si>
    <t>Top PPC Agencies in Berlin - Jul 2026 Rankings | Clutch.co</t>
  </si>
  <si>
    <t>Mediacharge, MONSOON, REPLUG, Smarketer, Peak Ace, Medialabel</t>
  </si>
  <si>
    <t>https://clutch.co/de/agencies/ppc/google-adwords</t>
  </si>
  <si>
    <t>Top Adwords PPC Agencies in Germany - Jul 2026 Rankings \| Clutch.co</t>
  </si>
  <si>
    <t>Mediacharge, MONSOON, Seeders, KlickPiloten, Smarketer, eMinded GmbH, Peak Ace</t>
  </si>
  <si>
    <t>https://clutch.co/de/agencies/social-media-marketing/berlin</t>
  </si>
  <si>
    <t>Top Social Media Marketing Agencies in Berlin - Jul 2026 Rankings \| Clutch.co</t>
  </si>
  <si>
    <t>MONSOON, Mediacharge, PANORAMA3000, PwC, HY.AM STUDIOS, Huge, Pulse Advertising, Medialabel</t>
  </si>
  <si>
    <t>https://clutch.co/de/agencies/social-media-marketing/influencer/tiktok</t>
  </si>
  <si>
    <t>Top TikTok Influencer Marketing Agencies in Germany - Jul 2026 Rankings \| Clutch.co</t>
  </si>
  <si>
    <t>PANORAMA3000, Pulse Advertising, Medialabel, Haus, Mediaplus Group</t>
  </si>
  <si>
    <t>https://clutch.co/de/agencies/social-media-marketing?page=3</t>
  </si>
  <si>
    <t>Page 3 - Top Social Media Marketing Companies in Germany - Jul 2026 Rankings \| Clutch.co</t>
  </si>
  <si>
    <t>MONSOON, Mediacharge, Haus, HY.AM STUDIOS, PANORAMA3000, Digitalyze, KlickPiloten</t>
  </si>
  <si>
    <t>https://clutch.co/de/it-services/master-data-management-consulting</t>
  </si>
  <si>
    <t>Top MDM Consultants in Germany - Jul 2026 Rankings \| Clutch.co</t>
  </si>
  <si>
    <t>https://codewave.com/feeds/service/ai-adoption-readiness-consulting-enterprises</t>
  </si>
  <si>
    <t>AI Readiness and Adoption Consulting for Enterprises – 400+ Businesses</t>
  </si>
  <si>
    <t>Pilot, Measured</t>
  </si>
  <si>
    <t>https://coefficient.io/marketing-analytics-tools</t>
  </si>
  <si>
    <t>Top 10 Marketing Analytics Tools and Software for 2026</t>
  </si>
  <si>
    <t>https://coinbound.io/top-ai-marketing-agencies/</t>
  </si>
  <si>
    <t>The Best AI Marketing Agencies for 2026: 5 Top Choices</t>
  </si>
  <si>
    <t>NoGood, Single Grain, Momentum</t>
  </si>
  <si>
    <t>https://www.cometly.com/post/ad-campaign-performance-analysis-methods</t>
  </si>
  <si>
    <t>Ad Campaign Performance Analysis Methods: 7 Proven Tips</t>
  </si>
  <si>
    <t>Cometly, Measured</t>
  </si>
  <si>
    <t>https://www.cometly.com/post/agency-marketing-attribution-tools</t>
  </si>
  <si>
    <t>Top Agency Marketing Attribution Tools for 2026 Tips</t>
  </si>
  <si>
    <t>Cometly, Triple Whale, Northbeam, Rockerbox, Ruler Analytics, Dreamdata</t>
  </si>
  <si>
    <t>https://www.cometly.com/post/ai-powered-ad-optimization-platform</t>
  </si>
  <si>
    <t>9 Best AI Powered Ad Optimization Platforms 2026 Guide</t>
  </si>
  <si>
    <t>https://www.cometly.com/post/ai-powered-marketing-analytics-tools</t>
  </si>
  <si>
    <t>9 Best AI Powered Marketing Analytics Tools for 2026</t>
  </si>
  <si>
    <t>Cometly, Northbeam</t>
  </si>
  <si>
    <t>https://www.cometly.com/post/how-to-calculate-marketing-attribution</t>
  </si>
  <si>
    <t>How To Calculate Marketing Attribution: 2026 Guide</t>
  </si>
  <si>
    <t>https://www.cometly.com/post/incrementality-testing-for-paid-advertising</t>
  </si>
  <si>
    <t>Incrementality Testing For Paid Advertising Guide 2026</t>
  </si>
  <si>
    <t>https://www.cometly.com/post/marketing-attribution-companies</t>
  </si>
  <si>
    <t>11 Best Marketing Attribution Companies to Track ROI</t>
  </si>
  <si>
    <t>https://www.cometly.com/post/marketing-attribution-platform-for-agencies</t>
  </si>
  <si>
    <t>Best Marketing Attribution Platform For Agencies 2026</t>
  </si>
  <si>
    <t>Cometly, Triple Whale, Rockerbox, Northbeam, Ruler Analytics</t>
  </si>
  <si>
    <t>https://www.cometly.com/post/media-buying-optimization-tool</t>
  </si>
  <si>
    <t>Best Media Buying Optimization Tool for Ad Teams 2026</t>
  </si>
  <si>
    <t>Cometly, Momentum, Northbeam</t>
  </si>
  <si>
    <t>https://www.cometly.com/post/multi-touch-attribution-vs-marketing-mix-modeling</t>
  </si>
  <si>
    <t>Multi Touch Attribution Vs Marketing Mix Modeling Guide</t>
  </si>
  <si>
    <t>https://www.consultancy.eu/news/7008/googles-top-emea-premier-partner-digital-marketing-consultancies</t>
  </si>
  <si>
    <t>Google’s top EMEA premier partner digital marketing consultancies</t>
  </si>
  <si>
    <t>Merkle, Croud, Labelium, Making Science, iProspect, Smarketer, Jellyfish, appliedAI, Artefact</t>
  </si>
  <si>
    <t>https://www.consulting.de/unternehmensberatungen/unternehmensberatungen-in-deutschland/unternehmensliste/c/kuenstliche-intelligenz/</t>
  </si>
  <si>
    <t>Unternehmensberatungen zum Thema Künstliche Intelligenz - Marktforschungsinstitute | CONSULTING.de</t>
  </si>
  <si>
    <t>https://converlytics.com/leistungen/data-driven-marketing/</t>
  </si>
  <si>
    <t>Data Driven Marketing - converlytics</t>
  </si>
  <si>
    <t>https://coolnerdsmarketing.com/top-creative-agencies-us/</t>
  </si>
  <si>
    <t>Top 15 Creative Agencies in the U.S. (2026)</t>
  </si>
  <si>
    <t>https://createscale.com/production</t>
  </si>
  <si>
    <t>https://creatif.agency/the-best-web-design-agencies-in-berlin-in-2026/</t>
  </si>
  <si>
    <t>The best web design agencies in Berlin in 2026</t>
  </si>
  <si>
    <t>https://www.creative-city-berlin.de/de/network/member/ddb_tribal_group_gmbh_2/</t>
  </si>
  <si>
    <t>DDB Berlin GmbH - Creative City Berlin</t>
  </si>
  <si>
    <t>https://criterionglobal.com/expertise/international-media-planning-and-buying-agency</t>
  </si>
  <si>
    <t>International Media Planning &amp;amp; Buying Agency | Criterion Global</t>
  </si>
  <si>
    <t>https://www.crunchbase.com/organization/incrmntal</t>
  </si>
  <si>
    <t>INCRMNTAL - Crunchbase Company Profile &amp; Funding</t>
  </si>
  <si>
    <t>INCRMNTAL, Haus</t>
  </si>
  <si>
    <t>https://csw.agency/en/advertising-agency-duesseldorf/</t>
  </si>
  <si>
    <t>Advertising agency Düsseldorf » CSW.AGENCY e.K.</t>
  </si>
  <si>
    <t>https://csw.agency/en/seo-agency-duesseldorf/</t>
  </si>
  <si>
    <t>SEO Agency Düsseldorf - Modern &amp;amp; innovative SEO 2026 🥇</t>
  </si>
  <si>
    <t>https://customlytics.com/team/</t>
  </si>
  <si>
    <t>Customlytics Team - Marketing Consultants, Designers, Data Engineers</t>
  </si>
  <si>
    <t>https://cybay.de/ki-transformation</t>
  </si>
  <si>
    <t>KI-Transformation &amp;amp; KI-Integration | Cybay</t>
  </si>
  <si>
    <t>https://www.dacgroup.com/de/einblicke/blog/strategy/der-marketing-trendbericht-2026-26-massnahmen-die-performance-neu-definieren/</t>
  </si>
  <si>
    <t>Der Marketing-Trendbericht 2026: 26 Maßnahmen, die Performance neu definieren | DAC</t>
  </si>
  <si>
    <t>https://www.darkroomagency.com/observatory/best-performance-marketing-agencies-in-2026</t>
  </si>
  <si>
    <t>Best Performance Marketing Agencies for Ecommerce in 2026</t>
  </si>
  <si>
    <t>Darkroom, Tinuiti, Wpromote, Power Digital, Common Thread Collective, Disruptive Advertising, WebFX, Measured, Pilot</t>
  </si>
  <si>
    <t>https://www.dataally.ai/blog/top-paid-media-agencies</t>
  </si>
  <si>
    <t>Top 15 Paid Media Agencies in 2026</t>
  </si>
  <si>
    <t>inBeat, Darkroom, KlientBoost, Disruptive Advertising, WebFX, Pilot</t>
  </si>
  <si>
    <t>https://databox.com/marketing-agency-directories</t>
  </si>
  <si>
    <t>23 Can’t-Miss Marketing Agency Directories for 2025 | Databox</t>
  </si>
  <si>
    <t>https://www.datafirstsolutions.de/agency</t>
  </si>
  <si>
    <t>Affiliate-Programm-Steuerung und Beratung | DataFirst Agency</t>
  </si>
  <si>
    <t>https://datalion.com/en/marketing-data-solutions/</t>
  </si>
  <si>
    <t>Marketing Data &amp;amp; Analytics – every channel in one dashboard | DataLion</t>
  </si>
  <si>
    <t>https://www.datalogue.de/about-datalogue/en/about-us/</t>
  </si>
  <si>
    <t>Your data experts for more growth | DATALOGUE</t>
  </si>
  <si>
    <t>https://datenbanken.pr-journal.de/pr-agenturrankings/pfeffers-pr-ranking.html?layout=detail&amp;type=201&amp;view=ranking</t>
  </si>
  <si>
    <t>https://davidms.co.uk/ai-seo-agency-westminster</t>
  </si>
  <si>
    <t>AI SEO Agency Westminster | AI Overview Optimisation</t>
  </si>
  <si>
    <t>https://daviesmeyer.com/en/solutions/ai-readiness-workshop</t>
  </si>
  <si>
    <t>https://de.finance.yahoo.com/nachrichten/bias-recruiting-ki-beratungsunternehmen-statworx-070000538.html</t>
  </si>
  <si>
    <t>Bias im Recruiting: KI-Beratungsunternehmen statworx warnt vor Diskriminierung durch KI</t>
  </si>
  <si>
    <t>https://de.linkedin.com/company/ddb-germany</t>
  </si>
  <si>
    <t>DDB Germany | LinkedIn</t>
  </si>
  <si>
    <t>DDB Germany, BBDO Germany, Omnicom, Huge, Scholz &amp; Friends, Jung von Matt, Serviceplan Group</t>
  </si>
  <si>
    <t>https://de.linkedin.com/company/deptagency</t>
  </si>
  <si>
    <t>DEPT® | LinkedIn</t>
  </si>
  <si>
    <t>DEPT, Huge, Recast, Monks, Dentsu, Ogilvy, Brandtech</t>
  </si>
  <si>
    <t>https://de.linkedin.com/company/hyamstudios</t>
  </si>
  <si>
    <t>HY.AM STUDIOS | LinkedIn</t>
  </si>
  <si>
    <t>https://de.linkedin.com/company/scholz-&amp;-friends</t>
  </si>
  <si>
    <t>Scholz &amp;amp; Friends | LinkedIn</t>
  </si>
  <si>
    <t>Scholz &amp; Friends, Huge, Jung von Matt, Serviceplan Group</t>
  </si>
  <si>
    <t>https://de.linkedin.com/company/serviceplan-group</t>
  </si>
  <si>
    <t>Serviceplan Group | LinkedIn</t>
  </si>
  <si>
    <t>Serviceplan Group, Haus, Mediaplus Group, Jung von Matt, Scholz &amp; Friends</t>
  </si>
  <si>
    <t>https://de.linkedin.com/in/jorngrunert</t>
  </si>
  <si>
    <t>https://de.ryte.com/partner/hire-a-ryte-partner/</t>
  </si>
  <si>
    <t>Die Ryte Partner-Programme</t>
  </si>
  <si>
    <t>DEPT, Jung von Matt, Peak Ace, Kosch Klink Performance, WPP</t>
  </si>
  <si>
    <t>https://de.wikipedia.org/wiki/DDB_%28Deutschland%29</t>
  </si>
  <si>
    <t>DDB (Deutschland) – Wikipedia</t>
  </si>
  <si>
    <t>https://de.wikipedia.org/wiki/Pilot_Group</t>
  </si>
  <si>
    <t>Pilot Group – Wikipedia</t>
  </si>
  <si>
    <t>Pilot, OMD</t>
  </si>
  <si>
    <t>https://deichweb.de/en/empfehlungen/</t>
  </si>
  <si>
    <t>Empfehlungen</t>
  </si>
  <si>
    <t>https://dejanmarketing.com/best-ai-seo-agencies/</t>
  </si>
  <si>
    <t>Best AI SEO agencies to watch out for in 2026</t>
  </si>
  <si>
    <t>Kosch Klink Performance, iPullRank, Huge, Aufgesang, appliedAI</t>
  </si>
  <si>
    <t>https://www.deloitte.com/us/en/services/consulting/services/generative-ai-readiness-and-adoption.html</t>
  </si>
  <si>
    <t>GenAI Readiness and Adoption | Deloitte US</t>
  </si>
  <si>
    <t>https://www.deptagency.com/de-dach/</t>
  </si>
  <si>
    <t>DEPT® | Growth Invention | Tech &amp;amp; Marketing</t>
  </si>
  <si>
    <t>https://www.deptagency.com/insight/embracing-creative-automation-for-scaling-asset-creation/</t>
  </si>
  <si>
    <t>Embracing creative automation for scaling asset creation - DEPT®</t>
  </si>
  <si>
    <t>https://www.deptagency.com/insight/leading-german-digital-agencies-unite-to-form-dept/</t>
  </si>
  <si>
    <t>Leading German digital agencies unite to form Dept - DEPT®</t>
  </si>
  <si>
    <t>https://www.deptagency.com/partner/google-marketing-platform/</t>
  </si>
  <si>
    <t>GMP Agency Partner - Google Premier Partner - DEPT®</t>
  </si>
  <si>
    <t>https://www.designrush.com/agency/digital-marketing/analytics</t>
  </si>
  <si>
    <t>Top Marketing Analytics Agencies in 2026</t>
  </si>
  <si>
    <t>SmartSites, Huge, KlientBoost, Monks, Ruler Analytics</t>
  </si>
  <si>
    <t>https://www.designrush.com/agency/digital-marketing/performance-marketing-agencies</t>
  </si>
  <si>
    <t>Top Performance Marketing Agencies in 2026</t>
  </si>
  <si>
    <t>Wpromote, NoGood, Power Digital, Huge, SmartSites, Disruptive Advertising, PwC, REPLUG, KlientBoost, DEPT</t>
  </si>
  <si>
    <t>https://www.detecon.com/en/ai-readiness-assessment</t>
  </si>
  <si>
    <t>AI Readiness Assessment | Build Your AI Strategy | Detecon</t>
  </si>
  <si>
    <t>https://digitalagencynetwork.com/agencies/berlin/social-media-marketing/</t>
  </si>
  <si>
    <t>Best Social Media Marketing Agencies in Berlin | Digital Agency Network</t>
  </si>
  <si>
    <t>MONSOON, Momentum, Measured, PANORAMA3000, HY.AM STUDIOS</t>
  </si>
  <si>
    <t>https://digitalagencynetwork.com/agencies/europe/ai-marketing/</t>
  </si>
  <si>
    <t>Top AI Marketing Agencies in Europe (2026)</t>
  </si>
  <si>
    <t>AKQA, Haus, DEPT</t>
  </si>
  <si>
    <t>https://digitalagencynetwork.com/agencies/europe/geo/</t>
  </si>
  <si>
    <t>Top GEO Agencies in Europe for Generative Engine Optimization (2026)</t>
  </si>
  <si>
    <t>AKQA, Capgemini</t>
  </si>
  <si>
    <t>https://digitalagenten.com/en/web-analysis/</t>
  </si>
  <si>
    <t>Google Analytics Agency Berlin 🥇 Web Analytics Consulting</t>
  </si>
  <si>
    <t>https://www.digitalapplied.com/blog/first-party-data-activation-2026-server-side-tracking-playbook</t>
  </si>
  <si>
    <t>First-Party Data Activation: 2026 Server-Side Playbook</t>
  </si>
  <si>
    <t>https://www.digitalinsight.de/</t>
  </si>
  <si>
    <t>Agentur für SEO &amp;amp; Analytics - Gewinner German Web Award ?</t>
  </si>
  <si>
    <t>https://digitalmarketingsupermarket.com/blog/best-ai-marketing-agencies/</t>
  </si>
  <si>
    <t>Best AI Marketing Agencies: The Definitive 2025 Guide to Finding Your Perfect Partner - Digital Marketing Supermarket</t>
  </si>
  <si>
    <t>SmartSites, Superside, Single Grain, DEPT, Pilot, NoGood</t>
  </si>
  <si>
    <t>https://digitalrhetoric.in/which-digital-marketing-agency-offers-the-best-roi-for-small-businesses/</t>
  </si>
  <si>
    <t>Digital Marketing Agencies with Highest ROI for Small SMEs</t>
  </si>
  <si>
    <t>https://directiveconsulting.com/blog/25-best-paid-media-agencies-that-turn-ad-spend-into-revenue/</t>
  </si>
  <si>
    <t>25 Best Paid Media Agencies For B2B - Directive</t>
  </si>
  <si>
    <t>Directive Consulting, Jellyfish, Brainlabs, DEPT, Wpromote, Merkle, WebFX, KlientBoost, Disruptive Advertising, Dentsu</t>
  </si>
  <si>
    <t>https://directiveconsulting.com/blog/best-marketing-data-agency/</t>
  </si>
  <si>
    <t>18 Best Marketing Data Agencies for B2B - Directive</t>
  </si>
  <si>
    <t>Directive Consulting, KlientBoost, Brainlabs, Power Digital, Measured</t>
  </si>
  <si>
    <t>https://directiveconsulting.com/blog/creative-strategy-agency/</t>
  </si>
  <si>
    <t>17 Best Creative Strategy Agencies For B2B - Directive</t>
  </si>
  <si>
    <t>Directive Consulting, Merkle, Dentsu, Momentum, Measured</t>
  </si>
  <si>
    <t>https://directiveconsulting.com/uk/blog/25-best-advertising-agencies-built-for-media-momentum/</t>
  </si>
  <si>
    <t>https://directory.esomar.org/search/*?from=9</t>
  </si>
  <si>
    <t>https://www.displayce.com/data-measure/</t>
  </si>
  <si>
    <t>Displayce’s Data Partners ✨ Enrich Your DOOH Campaigns</t>
  </si>
  <si>
    <t>https://www.dotsource.com/data-driven-marketing/</t>
  </si>
  <si>
    <t>Data-Driven Marketing – Data-Based Success | dotSource</t>
  </si>
  <si>
    <t>https://www.dreikon.de/leistungen/seo-agentur/geo/</t>
  </si>
  <si>
    <t>GEO Agentur | für mehr Sichtbarkeit in der KI</t>
  </si>
  <si>
    <t>https://dripagency.de/de/services/ab-testing-agentur</t>
  </si>
  <si>
    <t>A/B Testing Agentur für E-Commerce | DRIP Agency</t>
  </si>
  <si>
    <t>https://www.dtgv.de/awards/deutscher-b2b-award-2025/kommunikation-werbung/</t>
  </si>
  <si>
    <t>Kommunikation &amp;amp; Werbung - DtGV</t>
  </si>
  <si>
    <t>Merkle, Mindshare, OMD, Pilot, Peak Ace, e-dialog</t>
  </si>
  <si>
    <t>https://dwao.in/blog/best-gcp-partner</t>
  </si>
  <si>
    <t>Best GCP Partner – Top Picks &amp;amp; Selection Guide | DWAO</t>
  </si>
  <si>
    <t>https://e-dialog.group/en/#:~:text=Measurable%20Success-,in%20Marketing,for%20real%20Agentic%20performance%20marketing.</t>
  </si>
  <si>
    <t>Measurable success in digital marketing | e-dialog</t>
  </si>
  <si>
    <t>https://e-dialog.group/en/analytics/google-analytics/</t>
  </si>
  <si>
    <t>Google Analytics Agency: GA4 &amp; Server-Side \| e-dialog</t>
  </si>
  <si>
    <t>https://e-dialog.group/en/campaigning/google-ads/</t>
  </si>
  <si>
    <t>Google Ads Agency for Greater Success \| e-dialog</t>
  </si>
  <si>
    <t>https://e-dialog.group/en/google-sales-partner/google-analytics-360/</t>
  </si>
  <si>
    <t>Google Analytics 360 for Enterprises \| e-dialog</t>
  </si>
  <si>
    <t>https://e-dialog.group/en/google-sales-partner/google-display-video-360/</t>
  </si>
  <si>
    <t>Google Display &amp;amp; Video 360 Agency | e-dialog</t>
  </si>
  <si>
    <t>e-dialog, Pilot</t>
  </si>
  <si>
    <t>https://e-dialog.group/en/google-sales-partner/search-ads-360/</t>
  </si>
  <si>
    <t>SA360: More Performance for Google Ads \| e-dialog</t>
  </si>
  <si>
    <t>https://e-dialog.group/en/technologies/</t>
  </si>
  <si>
    <t>Marketing Technologies &amp;amp; Google Licenses | e-dialog</t>
  </si>
  <si>
    <t>https://www.e-dynamics.de/homepage/</t>
  </si>
  <si>
    <t>Your specialist for Digital Analytics &amp;amp; Web Intelligence - e-dynamics</t>
  </si>
  <si>
    <t>https://easyinsights.ai/blog/first-party-data-activation-platforms/</t>
  </si>
  <si>
    <t>First-Party Data Activation Platforms</t>
  </si>
  <si>
    <t>https://ebiquity.com/solutions/grow/testmatch/</t>
  </si>
  <si>
    <t>TestMatch - Ebiquity</t>
  </si>
  <si>
    <t>https://ecimediamanagement.com/media-performance-consulting</t>
  </si>
  <si>
    <t>Media performance consulting for better ROI | ECI Media Management</t>
  </si>
  <si>
    <t>https://ecom-unity.partnerpage.io/mawave-marketing</t>
  </si>
  <si>
    <t>Mawave Marketing - eCom Unity Agency Directory</t>
  </si>
  <si>
    <t>https://ecommercefastlane.com/best-geo-agencies-dach-region-expert-guide/</t>
  </si>
  <si>
    <t>Best GEO Agencies In The DACH Region 2026: Expert Guide | Ecommerce Fastlane</t>
  </si>
  <si>
    <t>https://ecommercegermany.com/blog/top-29-german-saas-companies-in-2021/</t>
  </si>
  <si>
    <t>Top 29 German SaaS Companies in 2023 - E-commerce Germany News</t>
  </si>
  <si>
    <t>https://ecommercegermany.com/blog/top-ecommerce-startups-in-dach/</t>
  </si>
  <si>
    <t>Top 30 E-Commerce Startups in the DACH Region - E-commerce Germany News</t>
  </si>
  <si>
    <t>https://www.econworks.de/</t>
  </si>
  <si>
    <t>econworks — Media Analytics, Strategic Pricing &amp;amp; Data-Centric AI Solutions</t>
  </si>
  <si>
    <t>https://ecosystem.hubspot.com/marketplace/solutions/saphirsolution</t>
  </si>
  <si>
    <t>SaphirSolution GmbH Agency Services &amp; Qualifications | HubSpot</t>
  </si>
  <si>
    <t>https://ecosystem.hubspot.com/marketplace/solutions/social-media/germany</t>
  </si>
  <si>
    <t>https://www.ecowiseagency.com/</t>
  </si>
  <si>
    <t>EcoWise Agency – AI Branding &amp; Performance Marketing</t>
  </si>
  <si>
    <t>https://elementor.com/blog/best-seo-geo-agencies/#:~:text=Agencies%20like%20Majdra%2C%20which%20provide,for%20all%20future%20search%20success.</t>
  </si>
  <si>
    <t>15 Best SEO &amp;amp; GEO Agencies In 2026</t>
  </si>
  <si>
    <t>Wpromote, Tinuiti, Hawke Media, Huge, Common Thread Collective, Momentum</t>
  </si>
  <si>
    <t>https://www.eliya.io/</t>
  </si>
  <si>
    <t>ELIYA Advanced Data Science AI Solutions for Business and Marketing</t>
  </si>
  <si>
    <t>https://www.emarketer.com/content/faq-on-ai-media-buying--platform-tools--agency-strategy--how-win-2026</t>
  </si>
  <si>
    <t>FAQ on AI media buying: Platform tools, agency strategy, and how to win in 2026</t>
  </si>
  <si>
    <t>Publicis Groupe, Omnicom, WPP</t>
  </si>
  <si>
    <t>https://en.analyticaa.com/</t>
  </si>
  <si>
    <t>AnalyticaA - Your Digital Marketing Agency in Munich</t>
  </si>
  <si>
    <t>https://en.wikipedia.org/wiki/Serviceplan_Group</t>
  </si>
  <si>
    <t>Serviceplan Group - Wikipedia</t>
  </si>
  <si>
    <t>Serviceplan Group, Jung von Matt, Mediaplus Group</t>
  </si>
  <si>
    <t>https://ensun.io/search/ab-testing/germany</t>
  </si>
  <si>
    <t>Top 100 A/B Testing Companies in Germany (2026) \| ensun</t>
  </si>
  <si>
    <t>https://ensun.io/search/data-analytics/germany</t>
  </si>
  <si>
    <t>Top 100 Data Analytics Companies in Germany (2026) \| ensun</t>
  </si>
  <si>
    <t>https://ensun.io/search/web-analytics/germany</t>
  </si>
  <si>
    <t>Top 100 Web Analytics Companies in Germany (2026) \| ensun</t>
  </si>
  <si>
    <t>https://enterprise.google.com/marketing-platform/partners/</t>
  </si>
  <si>
    <t>https://enterprisemarketingportal.google/find-a-partner/trkkngermany%2528trakken%2529-de?certificationsFilters=Tag%20Manager</t>
  </si>
  <si>
    <t>https://www.entrans.ai/blog/top-ai-development-companies</t>
  </si>
  <si>
    <t>11 Top AI Development Companies in 2026</t>
  </si>
  <si>
    <t>PwC, Huge</t>
  </si>
  <si>
    <t>https://www.esparkinfo.com/cloud/top-companies</t>
  </si>
  <si>
    <t>Top 50 Cloud Consulting Companies - 2026 Rankings</t>
  </si>
  <si>
    <t>Capgemini, PwC, McKinsey &amp; Company, EY, Pilot</t>
  </si>
  <si>
    <t>https://www.etracker.com/</t>
  </si>
  <si>
    <t>etracker | Die Google Analytics-Alternative 'Made in Germany'</t>
  </si>
  <si>
    <t>https://euro-security.de/en/germany-establishes-centre-of-excellence-for-ai-security/</t>
  </si>
  <si>
    <t>Germany establishes centre of excellence for AI security | EURO SECURITY</t>
  </si>
  <si>
    <t>https://www.evergreen.media/en/</t>
  </si>
  <si>
    <t>Evergreen Media® - Build digital market leadership in the AI era</t>
  </si>
  <si>
    <t>Momentum, MaibornWolff</t>
  </si>
  <si>
    <t>https://www.evergreen.media/en/guide/answer-engine-optimization/</t>
  </si>
  <si>
    <t>Answer Engine Optimization (AEO): AI visibility in 2026</t>
  </si>
  <si>
    <t>https://evolved.marketing/conversion-management-hub/ai-agents/</t>
  </si>
  <si>
    <t>AI Agents for Business Growth: Automate &amp;amp; Engage | Evolved Marketing</t>
  </si>
  <si>
    <t>https://www.ewrdigital.com/blog/best-ai-seo-aeo-agencies-2026</t>
  </si>
  <si>
    <t>The Best AI SEO &amp;amp; AEO Agencies in 2026 | EWR Digital</t>
  </si>
  <si>
    <t>iPullRank, Single Grain, Siege Media, WebFX</t>
  </si>
  <si>
    <t>https://www.existenzgruender-jungunternehmer.de/p/gruendung/besten-geo-experten-finden.html</t>
  </si>
  <si>
    <t>Das sind die besten GEO, GAIO, LLLMO Experten in Deutschland</t>
  </si>
  <si>
    <t>https://www.expatrio.com/about-germany/study-marketing-in-germany</t>
  </si>
  <si>
    <t>Study Marketing in Germany</t>
  </si>
  <si>
    <t>https://www.experian.com/blogs/marketing-forward/first-party-data-activation-2026/</t>
  </si>
  <si>
    <t>How activation drives first-party value | Experian Marketing</t>
  </si>
  <si>
    <t>https://www.experian.com/business/solutions/marketing-solutions/marketing-measurement-tools</t>
  </si>
  <si>
    <t>Marketing measurement and attribution solutions | Experian</t>
  </si>
  <si>
    <t>https://www.f6s.com/software/category/first-party-data-activation</t>
  </si>
  <si>
    <t>Best First-Party Data Activation Software • March 2026 \| F6S</t>
  </si>
  <si>
    <t>https://www.facebook.com/incrmntal/</t>
  </si>
  <si>
    <t>https://www.factorygruppe.com/</t>
  </si>
  <si>
    <t>FACTORY — The leading independent service provider for marketing asset production in the DACH region</t>
  </si>
  <si>
    <t>https://www.featuredcustomers.com/software/first-party-data-solutions</t>
  </si>
  <si>
    <t>Best First-Party Data Solutions 2026 - Reviews, Case Studies &amp;amp; Videos</t>
  </si>
  <si>
    <t>https://feedbax.ai/ai/germany</t>
  </si>
  <si>
    <t>Top 20 AI Development Companies in Germany - 2026 Reviews</t>
  </si>
  <si>
    <t>https://feedbax.ai/conversion-optimization</t>
  </si>
  <si>
    <t>Top 20 Conversion Rate Optimization Agencies - 2026 Reviews</t>
  </si>
  <si>
    <t>KlickPiloten, Mediacharge, DREIKON, Suchhelden, ZweiDigital GmbH, morefire</t>
  </si>
  <si>
    <t>https://feedbax.ai/google-ads</t>
  </si>
  <si>
    <t>Top 20 Google Ads Agencies - 2026 Reviews</t>
  </si>
  <si>
    <t>Loyamo, Smarketer, Mediacharge, DREIKON, Suchhelden</t>
  </si>
  <si>
    <t>https://feedbax.ai/google-ads/dach</t>
  </si>
  <si>
    <t>Top 20 Google Ads Agencies in DACH - 2026 Reviews</t>
  </si>
  <si>
    <t>https://feedbax.ai/performance-marketing/dach</t>
  </si>
  <si>
    <t>Top 20 Performance Marketing Agencies in DACH - 2026 Reviews</t>
  </si>
  <si>
    <t>https://feedbax.ai/performance-marketing/frankfurt</t>
  </si>
  <si>
    <t>Top 20 Performance Marketing Agencies in Frankfurt - 2026 Reviews</t>
  </si>
  <si>
    <t>PANORAMA3000, KlickPiloten, Mediacharge, ZweiDigital GmbH</t>
  </si>
  <si>
    <t>https://www.feld-m.de/en/events/data-gap-marketing-measurement-event/</t>
  </si>
  <si>
    <t>Event: First-party data &amp;amp; marketing measurement in a privacy-first world | FELD M</t>
  </si>
  <si>
    <t>https://www.feld-m.de/kontakt/</t>
  </si>
  <si>
    <t>Kontakt | FELD M</t>
  </si>
  <si>
    <t>https://www.fibbler.co/blog/b2b-marketing-attribution-software</t>
  </si>
  <si>
    <t>15 Best B2B Marketing Attribution Software for 2026 | Fibbler | Fibbler</t>
  </si>
  <si>
    <t>Dreamdata, Ruler Analytics, SegmentStream, Cometly</t>
  </si>
  <si>
    <t>https://www.fieldtrip.agency/post/best-creative-agencies-for-global-brands</t>
  </si>
  <si>
    <t>Top 14 Creative Agencies Powering Global Branding This Year</t>
  </si>
  <si>
    <t>inBeat, Dentsu, R/GA, Omnicom, Nielsen</t>
  </si>
  <si>
    <t>https://www.fieldtrip.agency/post/best-digital-marketing-agencies-for-large-companies</t>
  </si>
  <si>
    <t>The Ultimate List: 15 Elite Digital Marketing Agencies for Large Companies in 2025</t>
  </si>
  <si>
    <t>Momentum, inBeat, MONSOON, Power Digital, Disruptive Advertising, Wpromote, Brainlabs</t>
  </si>
  <si>
    <t>https://www.fifty-five.com/</t>
  </si>
  <si>
    <t>Discover fifty-five, the data company</t>
  </si>
  <si>
    <t>https://finance-seo.de/ratgeber/beste-geo-agenturen</t>
  </si>
  <si>
    <t>Die 12 besten GEO-Agenturen 2026 im Überblick - Dirk Veit</t>
  </si>
  <si>
    <t>Aufgesang, Claneo, TRYSEO, DREIKON, Löwenstark, Suchhelden</t>
  </si>
  <si>
    <t>https://firmeneintrag.creditreform.de/80331/2151366579/INCUBETA_GERMANY_GMBH</t>
  </si>
  <si>
    <t>https://www.firststars.ai/</t>
  </si>
  <si>
    <t>AI-Werbeagentur Berlin | FIRST STARS AI</t>
  </si>
  <si>
    <t>https://www.flyingvgroup.com/ai-marketing-agency/</t>
  </si>
  <si>
    <t>Best 18 AI Marketing Agencies in 2026 | Top AI-Powered Marketing Firms Ranked</t>
  </si>
  <si>
    <t>SmartSites, NoGood, Single Grain, inBeat, Media.Monks, Monks</t>
  </si>
  <si>
    <t>https://www.forrester.com/blogs/picking-an-agency-to-maximize-the-value-of-your-first-party-data/</t>
  </si>
  <si>
    <t>Picking An Agency To Maximize The Value Of Your First-Party Data</t>
  </si>
  <si>
    <t>https://www.forrester.com/report/the-forrester-wave-tm-marketing-measurement-and-optimization-services-q1-2026/RES190293</t>
  </si>
  <si>
    <t>The Forrester Wave™: Marketing Measurement And Optimization Services, Q1 2026 | Forrester</t>
  </si>
  <si>
    <t>https://www.fortismedia.com/en/articles/roi-marketing-agency/</t>
  </si>
  <si>
    <t>Articles - Fortis Media</t>
  </si>
  <si>
    <t>https://www.found.co.uk/services/seo/ai-seo/</t>
  </si>
  <si>
    <t>​AI SEO Agency \| Smart AI Search Services London, UK \| Found</t>
  </si>
  <si>
    <t>https://founderoperator.com/marketing/top-ai-marketing-agencies-germany-amazon-success</t>
  </si>
  <si>
    <t>https://foundersworkshop.com/feeds/service/ai-adoption-readiness-consulting-enterprises</t>
  </si>
  <si>
    <t>AI Adoption &amp;amp; Readiness Consulting for Enterprises – Since 2008</t>
  </si>
  <si>
    <t>https://www.frac.tl/digital-pr-agencies/</t>
  </si>
  <si>
    <t>9 Top Digital PR Agencies for Earned Media &amp;amp; Links | Fractl</t>
  </si>
  <si>
    <t>https://www.frontieraiconsulting.com/</t>
  </si>
  <si>
    <t>Frontier AI Consulting Microsoft 365 &amp;amp; AI Transformation | Helping SMBs adopt Microsoft 365, Copilot, and AI securely with strategy, training, and compliance.</t>
  </si>
  <si>
    <t>https://funnel.io/legal/adtriba/service-description</t>
  </si>
  <si>
    <t>Adtriba - Leistungsbeschreibung/ Auftragsverarbeitung</t>
  </si>
  <si>
    <t>https://www.futuresupply.io/</t>
  </si>
  <si>
    <t>Scale Creative Production Without Hiring | FutureSupply</t>
  </si>
  <si>
    <t>https://www.gartner.com/reviews/market/b2b-multitouch-attribution-tools</t>
  </si>
  <si>
    <t>Best B2B Multitouch Attribution Tools Reviews 2026 \| Gartner Peer Insights</t>
  </si>
  <si>
    <t>Dreamdata, Triple Whale, Northbeam, Ruler Analytics, SegmentStream</t>
  </si>
  <si>
    <t>https://gemfind.com/blogs/digital-marketing/google-marketing-partner</t>
  </si>
  <si>
    <t>Your Guide to Google Marketing Partners: Finding the Right Fit</t>
  </si>
  <si>
    <t>Monks, DEPT</t>
  </si>
  <si>
    <t>https://www.gen-optima.com/geo/top-7-generative-engine-optimization-service-providers-ranked/</t>
  </si>
  <si>
    <t>Top 7 Generative Engine Optimization Service Providers Ranked (Q2 2026 Update) - GenOptima</t>
  </si>
  <si>
    <t>iPullRank, Siege Media, WebFX, Omniscient Digital, Measured</t>
  </si>
  <si>
    <t>https://www.gen-optima.com/geo/top-generative-ai-search-engine-optimization-agencies-2026/</t>
  </si>
  <si>
    <t>Top AI Search Optimization Agencies in 2026 (Q1 2026 Update)</t>
  </si>
  <si>
    <t>iPullRank, Siege Media, Omniscient Digital, Single Grain, Pilot</t>
  </si>
  <si>
    <t>https://genedge.co/newsletter</t>
  </si>
  <si>
    <t>Newsletter | GenEdge | GenEdge</t>
  </si>
  <si>
    <t>https://geo-spezialisten.de/</t>
  </si>
  <si>
    <t>Geo Agentur mit KI-SEO – lokal sichtbar, digital stark</t>
  </si>
  <si>
    <t>https://www.geoagenturen.de/berlin</t>
  </si>
  <si>
    <t>GEO Agentur Berlin 2026: 45+ Anbieter mit Bewertungen</t>
  </si>
  <si>
    <t>https://gerlach-customs.com/customs-consultancy/</t>
  </si>
  <si>
    <t>Customs Consulting Europe | Gerlach</t>
  </si>
  <si>
    <t>https://www.get-ryze.ai/blog/how-agencies-scale-ad-creative-production</t>
  </si>
  <si>
    <t>How Advertising Agencies Scale Ad Creative Production</t>
  </si>
  <si>
    <t>https://www.getapexanalytics.com/</t>
  </si>
  <si>
    <t>Apex Analytics: Marketing Attribution &amp;amp; Incrementality Measurement</t>
  </si>
  <si>
    <t>https://getdigitalresults.com/digital-advertising/display-ads/</t>
  </si>
  <si>
    <t>Display Advertising Agency | Digital Display Advertising</t>
  </si>
  <si>
    <t>https://getklar.com/features/unified-marketing-measurement</t>
  </si>
  <si>
    <t>Klar's Unified Measurement Engine | One Single Source of Marketing Truth.</t>
  </si>
  <si>
    <t>https://getklar.com/partner-program</t>
  </si>
  <si>
    <t>Partner Program | Klar</t>
  </si>
  <si>
    <t>https://getklar.com/try-klar</t>
  </si>
  <si>
    <t>Book a demo</t>
  </si>
  <si>
    <t>https://gigawattgroup.com/insights/best-geo-agencies-in-2026-who-actually-drives-ai-visibility-and-citations/</t>
  </si>
  <si>
    <t>Best GEO Agencies in 2026: Who Actually Drives AI Visibility and Citations - Gigawatt Group</t>
  </si>
  <si>
    <t>https://www.glassdoor.com/Overview/Working-at-Jung-von-Matt-EI_IE473243.11,24.htm</t>
  </si>
  <si>
    <t>Working at Jung von Matt \| Glassdoor</t>
  </si>
  <si>
    <t>https://www.glassix.com/article/best-seo-geo-aeo-agencies-saas</t>
  </si>
  <si>
    <t>18 Best SEO, GEO &amp;amp; AEO Agencies for SaaS Companies in 2026</t>
  </si>
  <si>
    <t>Siege Media, Single Grain, Directive Consulting, Omniscient Digital</t>
  </si>
  <si>
    <t>https://www.glassroom.ca/article/first-party-data-activation</t>
  </si>
  <si>
    <t>Three Truths About First-Party Data Activation | Glassroom</t>
  </si>
  <si>
    <t>https://globaldev.tech/case-studies/recruiting-ai-avatar</t>
  </si>
  <si>
    <t>AI avatar interviewing platform for recruiters</t>
  </si>
  <si>
    <t>https://globaldev.tech/services/ai-development-services</t>
  </si>
  <si>
    <t>AI consulting &amp;amp; development | Globaldev AI Lab</t>
  </si>
  <si>
    <t>https://www.globalists.de/leistungen/sea-agentur</t>
  </si>
  <si>
    <t>SEA Agentur | Google Ads mit datengetriebener Performance</t>
  </si>
  <si>
    <t>https://www.globalmediainsight.com/attribution-modeling/</t>
  </si>
  <si>
    <t>Custom Attribution Modelling and Channel grouping reports | GMI</t>
  </si>
  <si>
    <t>https://gofishdigital.com/blog/generative-engine-optimization-agencies/</t>
  </si>
  <si>
    <t>8 Generative Engine Optimization (GEO) Agencies &amp;amp; Thought Leaders - Go Fish Digital</t>
  </si>
  <si>
    <t>iPullRank, Omniscient Digital, Single Grain, EY, Siege Media</t>
  </si>
  <si>
    <t>https://www.goldorange.com/</t>
  </si>
  <si>
    <t>Marketing und Vertrieb auf Autopilot mit der Agentur goldorange</t>
  </si>
  <si>
    <t>https://www.goodfirms.co/directory/city/top-digital-marketing-companies/hamburg</t>
  </si>
  <si>
    <t>Top Digital Marketing Agencies in Hamburg - 2026 Reviews | Goodfirms</t>
  </si>
  <si>
    <t>Scholz &amp; Friends, Merkle, Dentsu</t>
  </si>
  <si>
    <t>https://www.google.com/searchviewer/10?svid=CAwSGxIZCgNwdnESEkNnc3ZaeTh4ZEdONGFIUTBZdxgK</t>
  </si>
  <si>
    <t>https://www.google.com/searchviewer/10?svid=CAwSGxIZCgNwdnESEkNnc3ZaeTh4ZEhRNFlqaDVjZxgK</t>
  </si>
  <si>
    <t>https://www.google.com/searchviewer/10?svid=CAwSGxIZCgNwdnESEkNnc3ZaeTh4ZGpac05tczFiURgK</t>
  </si>
  <si>
    <t>https://www.google.com/searchviewer/10?svid=CAwSHBIaCgNwdnESE0Nnd3ZaeTh4Y0hSNE9Xc3lOMkkYCg</t>
  </si>
  <si>
    <t>https://www.google.com/searchviewer/10?svid=CAwSHBIaCgNwdnESE0Nnd3ZaeTh4YUcwMWJYTjVjREkYCg</t>
  </si>
  <si>
    <t>https://www.google.com/searchviewer/10?svid=CAwSHRIbCgNwdnESFENnMHZaeTh4TVdJMmFIWm9Nemw1GAo</t>
  </si>
  <si>
    <t>https://www.google.com/searchviewer/10?svid=CAwSHRIbCgNwdnESFENnMHZaeTh4TVdOc2N6WjRkSGhqGAo</t>
  </si>
  <si>
    <t>https://growffic.com/blog/generative-engine-optimization-agencies/#:~:text=Siege%20Media%20is%20a%20well,likely%20to%20trust%20and%20reference.</t>
  </si>
  <si>
    <t>10 Best Generative Engine Optimization (GEO) Agencies (2026)</t>
  </si>
  <si>
    <t>Siege Media, Omniscient Digital</t>
  </si>
  <si>
    <t>https://growth-hacking-agentur.de/ai-marketing-agenturen</t>
  </si>
  <si>
    <t>Die besten AI Marketing Agenturen</t>
  </si>
  <si>
    <t>https://www.growth-rocket.com/blog/what-high-performing-agencies-do-differently-with-first-party-data-strategy/</t>
  </si>
  <si>
    <t>What High-Performing Agencies Do Differently With First-Party Data Strategy - Growth Rocket</t>
  </si>
  <si>
    <t>https://growthcurve.co/agency/digital-marketing-agency/best-new-york-digital-agency</t>
  </si>
  <si>
    <t>Best New York Digital Agency | Growthcurve</t>
  </si>
  <si>
    <t>https://growthmanager.ai/best-aeo-agency/in/munich</t>
  </si>
  <si>
    <t>Best AEO agencies in Munich (2026, reviewed)</t>
  </si>
  <si>
    <t>https://growthmanager.ai/best-ai-seo-agency/in/berlin</t>
  </si>
  <si>
    <t>Best AI SEO agencies in Berlin (2026, reviewed)</t>
  </si>
  <si>
    <t>Claneo, Peak Ace, McKinsey &amp; Company, Publicis Groupe</t>
  </si>
  <si>
    <t>https://www.growthspreeofficial.com/blogs/top-6-ai-powered-b2b-saas-marketing-agencies-in-the-united-states-2026</t>
  </si>
  <si>
    <t>Top 6 AI-Powered B2B SaaS Marketing Agencies USA 2026</t>
  </si>
  <si>
    <t>https://www.gwa.de/agentur/jung-von-matt-recdoadq0ys6eetsm/</t>
  </si>
  <si>
    <t>Jung von Matt - GWA</t>
  </si>
  <si>
    <t>https://www.handelsblatt.com/adv/firmen/beste-geo-agentur.html</t>
  </si>
  <si>
    <t>Beste GEO-Agentur: das neue Online-Marketing</t>
  </si>
  <si>
    <t>https://www.hatchly.co.uk/design-services/creative-production</t>
  </si>
  <si>
    <t>Creative Production Services for In-House Teams | Hatchly</t>
  </si>
  <si>
    <t>https://www.haus.io/article/incrementality-testing-frameworks-for-health-brands</t>
  </si>
  <si>
    <t>Incrementality testing frameworks for health brands | Haus</t>
  </si>
  <si>
    <t>https://haus.io/blog/choosing-the-best-incrementality-testing-tool</t>
  </si>
  <si>
    <t>Incrementality Testing: How to Choose the Best Tool</t>
  </si>
  <si>
    <t>https://www.havstrategy.com/best-google-ads-marketing-agency/</t>
  </si>
  <si>
    <t>Google Ads Marketing Agency | D2C Ecommerce Brands</t>
  </si>
  <si>
    <t>https://hawkemedia.com/insights/top-performance-marketing-agencies/</t>
  </si>
  <si>
    <t>Top 25 Performance Marketing Agencies In The U.S. 2026 | Hawke Media</t>
  </si>
  <si>
    <t>Hawke Media, Tinuiti, Wpromote, Power Digital, WebFX, KlientBoost, Measured, Disruptive Advertising, New Engen, SmartSites, NoGood, R/GA, Ogilvy, Monks, Merkle, Siege Media</t>
  </si>
  <si>
    <t>https://hawksem.com/blog/performance-marketing-agency-list/</t>
  </si>
  <si>
    <t>Top 10 Performance Marketing Agencies in 2026</t>
  </si>
  <si>
    <t>https://www.heeet.io/blog/15-best-multi-touch-marketing-attribution-platforms-in-2026-compared-in-depth</t>
  </si>
  <si>
    <t>15 Best Marketing Attribution Software in 2026 - Reviewed &amp;amp; Ranked</t>
  </si>
  <si>
    <t>Dreamdata, Ruler Analytics, Triple Whale, Cometly, Northbeam</t>
  </si>
  <si>
    <t>https://helder.design/design-agentur/</t>
  </si>
  <si>
    <t>Die besten Design-Agenturen in DACH für KMU | Helder</t>
  </si>
  <si>
    <t>MetaDesign, Serviceplan Group, Jung von Matt, Scholz &amp; Friends, WPP, Ogilvy, Omnicom</t>
  </si>
  <si>
    <t>https://www.herohunt.ai/recruitment-agency-countries/germany/</t>
  </si>
  <si>
    <t>The best recruitment agencies in Germany</t>
  </si>
  <si>
    <t>https://www.heydigital.co/blog/best-saas-performance-marketing-agencies</t>
  </si>
  <si>
    <t>13 Best SaaS Performance Marketing Agencies | Hey Digital</t>
  </si>
  <si>
    <t>Refine Labs, NoGood, Single Grain, KlientBoost, Measured</t>
  </si>
  <si>
    <t>https://www.heydigital.co/blog/saas-marketing-agencies</t>
  </si>
  <si>
    <t>The 16 Best SaaS Marketing Agencies in 2026 | Hey Digital</t>
  </si>
  <si>
    <t>Directive Consulting, NoGood, Single Grain, Omniscient Digital, Siege Media, Refine Labs</t>
  </si>
  <si>
    <t>https://higoodie.com/blog/ai-search-visibility-services/</t>
  </si>
  <si>
    <t>AI Search Visibility Services &amp;amp; Top Providers | Goodie</t>
  </si>
  <si>
    <t>https://hikemytraffic.com/ppc-agencies-in-germany/</t>
  </si>
  <si>
    <t>10 Best PPC Agencies in Germany (2026)</t>
  </si>
  <si>
    <t>https://himalayas.app/companies/peak-ace-ag#:~:text=Peak%20Ace%20AG%20is%20an,25%20languages%20for%20global%20brands.</t>
  </si>
  <si>
    <t>https://www.hirefrontenddeveloperindia.com/best-ai-powered-frontend-development-companies-italy</t>
  </si>
  <si>
    <t>Best AI-Powered FrontEnd Development Companies in Italy</t>
  </si>
  <si>
    <t>https://hoerndlein-consulting.de/en/</t>
  </si>
  <si>
    <t>Dr. Dominik Hörndlein - AI Strategy &amp;amp; Implementation Consulting in Munich</t>
  </si>
  <si>
    <t>https://www.hopmann.com/en/company/</t>
  </si>
  <si>
    <t>Company - Hopmann Marketing Analytics</t>
  </si>
  <si>
    <t>https://www.hopmann.com/en/marketing-analytics/marketing-efficiency/</t>
  </si>
  <si>
    <t>Marketing Efficiency - Hopmann Marketing Analytics</t>
  </si>
  <si>
    <t>https://www.horizont.net/agenturen/nachrichten/30-jahre-horizont-kreativranking-das-sind-die-kreativsten-deutschen-werbeagenturen-aller-zeiten-216796</t>
  </si>
  <si>
    <t>30 Jahre HORIZONT-Kreativranking: Das sind die kreativsten deutschen Werbeagenturen aller Zeiten - HORIZONT</t>
  </si>
  <si>
    <t>Jung von Matt, Publicis Groupe</t>
  </si>
  <si>
    <t>https://www.horizont.net/agenturen/nachrichten/35-Jahre-Scholz--Friends-Die-wichtigsten-Kampagnen-aus-dreieinhalb-Jahrzehnten-141409</t>
  </si>
  <si>
    <t>35 Jahre Scholz &amp;amp; Friends: Die wichtigsten Kampagnen aus dreieinhalb Jahrzehnten - HORIZONT</t>
  </si>
  <si>
    <t>Scholz &amp; Friends, Jung von Matt, WPP</t>
  </si>
  <si>
    <t>https://www.horizont.net/agenturen/nachrichten/horizont-kreativranking-2025-das-sind-die-30-kreativsten-agenturen-deutschlands-232906</t>
  </si>
  <si>
    <t>HORIZONT Kreativranking 2025: Das sind die 30 kreativsten Agenturen Deutschlands - HORIZONT</t>
  </si>
  <si>
    <t>https://www.horizont.net/agenturen/nachrichten/neuer-spitzenreiter-das-sind-die-30-kreativsten-agenturen-deutschlands-196436</t>
  </si>
  <si>
    <t>Neuer Spitzenreiter: Das sind die 30 kreativsten Agenturen Deutschlands - HORIZONT</t>
  </si>
  <si>
    <t>BBDO Germany, Omnicom, DDB Germany, Jung von Matt, Scholz &amp; Friends</t>
  </si>
  <si>
    <t>https://hourlydeveloper.io/blog/best-ai-powered-machine-learning-development-firms-in-germany</t>
  </si>
  <si>
    <t>Best AI-Powered Machine Learning Development Firms in Germany</t>
  </si>
  <si>
    <t>https://www.house-of-communication.com/de/de/newsroom/2025/07/serviceplan-group-2024-2025-fiscal-year.html</t>
  </si>
  <si>
    <t>Serviceplan Group | Serviceplan Group 2024 / 2025 fiscal year</t>
  </si>
  <si>
    <t>Serviceplan Group, Momentum, Mediaplus Group, Mediaplus Performance</t>
  </si>
  <si>
    <t>https://www.house-of-communication.com/de/en.html</t>
  </si>
  <si>
    <t>EN | House of Communication</t>
  </si>
  <si>
    <t>https://www.house-of-communication.com/de/en/brands/mediaplus/landingpages/awards.html#:~:text=Serviceplan%20Group%20was%20named%20Independent,experts%20at%2025%20locations%20worldwide.</t>
  </si>
  <si>
    <t>Awards</t>
  </si>
  <si>
    <t>https://www.house-of-communication.com/de/en/brands/mediaplus/landingpages/media-agency-of-the-year.html</t>
  </si>
  <si>
    <t>Media agency of the year 2026</t>
  </si>
  <si>
    <t>Serviceplan Group, Mediaplus Group, Momentum</t>
  </si>
  <si>
    <t>https://www.house-of-communication.com/de/en/brands/mediaplus/our-expertise.html</t>
  </si>
  <si>
    <t>Our Expertise | Mediaplus</t>
  </si>
  <si>
    <t>https://www.house-of-communication.com/de/en/brands/serviceplan.html</t>
  </si>
  <si>
    <t>Serviceplan Group, Momentum</t>
  </si>
  <si>
    <t>https://www.house-of-communication.com/es/en/brands/serviceplan.html</t>
  </si>
  <si>
    <t>https://www.house-of-communication.com/int/en/brands/mediaplus/our-expertise.html</t>
  </si>
  <si>
    <t>https://www.house-of-communication.com/sv/en/brands/mediaplus/landingpages/media-agency-of-the-year.html</t>
  </si>
  <si>
    <t>https://www.housesofgrowth.com/post/ai-digital-marketing-agencies</t>
  </si>
  <si>
    <t>10 Best AI Digital Marketing Agencies (2026)</t>
  </si>
  <si>
    <t>NoGood, Single Grain, Power Digital, Wpromote, Omniscient Digital, Superside</t>
  </si>
  <si>
    <t>https://humanise.world/blog/first-party-data-activation</t>
  </si>
  <si>
    <t>Three Truths About First-Party Data Activation | Humanise</t>
  </si>
  <si>
    <t>https://www.hustlermarketing.com/best-email-marketing-agencies-2026-comparison-guide/</t>
  </si>
  <si>
    <t>Best Email Marketing Agencies in 2026 (Reviewed &amp;amp; Ranked)</t>
  </si>
  <si>
    <t>https://www.hyam.de/kreativagentur</t>
  </si>
  <si>
    <t>Kreativagentur Berlin | Social-First für Fashion &amp;amp; Beauty | HY.AM</t>
  </si>
  <si>
    <t>https://www.ibusiness.de/aktuell/db/446658jg.html</t>
  </si>
  <si>
    <t>Mehr Auto, weniger B2B: Das Ranking der gr��ten Performance-Agenturen 2025</t>
  </si>
  <si>
    <t>morefire, Artefact, e-dialog, iProspect, Peak Ace, Smarketer</t>
  </si>
  <si>
    <t>https://www.ibusiness.de/branche/db/235291SUR.html</t>
  </si>
  <si>
    <t>Internetagentur-Ranking 2026: Schere im Agenturmarkt geht weiter auseinander</t>
  </si>
  <si>
    <t>https://www.ibusiness.de/performance-ranking/performance_2020.html</t>
  </si>
  <si>
    <t>iProspect, Artefact, Omnicom, Omnicom Media Group, e-dialog, morefire, Aufgesang, Think11</t>
  </si>
  <si>
    <t>https://www.ibusiness.de/performance-ranking/performance_2024</t>
  </si>
  <si>
    <t>https://www.ibusiness.de/performance-ranking/performance_2024.html?sub=5</t>
  </si>
  <si>
    <t>https://www.ibusiness.de/performance-ranking/performance_2025.html?sub=12</t>
  </si>
  <si>
    <t>https://www.ibusiness.de/performance-ranking/performance_2025.html?sub=13</t>
  </si>
  <si>
    <t>morefire, eMinded GmbH, DREIKON, Aufgesang</t>
  </si>
  <si>
    <t>https://www.ibusiness.de/performance-ranking/performance_2025.html?sub=27</t>
  </si>
  <si>
    <t>https://www.ibusiness.de/performance-ranking/performance_2025.html?sub=28</t>
  </si>
  <si>
    <t>https://icoda.io/de/ai/best-ai-digital-marketing-agencies/</t>
  </si>
  <si>
    <t>Top 10 KI-Agenturen für digitales Marketing [2026]</t>
  </si>
  <si>
    <t>Wpromote, Brainlabs, Tinuiti, Directive Consulting, Jellyfish, Single Grain</t>
  </si>
  <si>
    <t>https://icoda.io/de/ai/best-ai-marketing-agencies/</t>
  </si>
  <si>
    <t>Die 14 besten KI-Marketing-Agenturen für ROI-Wachstum</t>
  </si>
  <si>
    <t>https://www.iconagility.com/services/ai</t>
  </si>
  <si>
    <t>AI Adoption &amp;amp; Integration Consulting for Enterprise Organizations | ICON Agility Services</t>
  </si>
  <si>
    <t>https://www.icreativez.com/global-leaders/15-performance-ad-agencies-scalable-growth-2026.html</t>
  </si>
  <si>
    <t>15 Elite Performance-Driven Ad Agencies | Scalable Growth 2026</t>
  </si>
  <si>
    <t>https://www.idhlagency.com/digital-marketing/measurement-attribution</t>
  </si>
  <si>
    <t>Marketing Attribution Services | Marketing Attribution Agency | IDHL</t>
  </si>
  <si>
    <t>https://www.impressiondigital.com/media-solutions/google-marketing-platform/</t>
  </si>
  <si>
    <t>Google Marketing Platform | Media Solutions</t>
  </si>
  <si>
    <t>https://www.imrg.org/blog/why-incrementality-testing-is-essential-for-multi-channel-retailers/</t>
  </si>
  <si>
    <t>Why incrementality testing is essential for multi-channel retailers - IMRG</t>
  </si>
  <si>
    <t>https://inbeat.agency/blog/incrementality-testing</t>
  </si>
  <si>
    <t>Incrementality Testing: Calculations, Examples, and More for 2025 - inBeat Agency</t>
  </si>
  <si>
    <t>inBeat, Nielsen, Measured</t>
  </si>
  <si>
    <t>https://inbeat.agency/blog/top-performance-creative-agencies</t>
  </si>
  <si>
    <t>Performance Creative Agencies: 15 Worth a First Call (2026) - inBeat Agency</t>
  </si>
  <si>
    <t>inBeat, Nielsen, Tinuiti, Darkroom, Bark London</t>
  </si>
  <si>
    <t>https://www.inbeat.co/articles/top-performance-marketing-agencies/</t>
  </si>
  <si>
    <t>Top 30 Performance Marketing Agencies for 2026 and Beyond</t>
  </si>
  <si>
    <t>inBeat, Momentum, Tinuiti, Bark London, Single Grain, Mediacharge</t>
  </si>
  <si>
    <t>https://www.incrmntal.com/autonomous</t>
  </si>
  <si>
    <t>Autonomous Marketing Measurement | Incrmntal</t>
  </si>
  <si>
    <t>https://www.incrmntal.com/resources/incrementality-software</t>
  </si>
  <si>
    <t>Best Software for Measuring Incrementality Impact</t>
  </si>
  <si>
    <t>https://incubeta.com/</t>
  </si>
  <si>
    <t>Outperform Marketing With Incubeta Marketing Solutions</t>
  </si>
  <si>
    <t>OWN</t>
  </si>
  <si>
    <t>https://incubeta.com/capabilities/marketing-intelligence/</t>
  </si>
  <si>
    <t>Marketing Intelligence | Incubeta</t>
  </si>
  <si>
    <t>https://incubeta.com/de/about-us/</t>
  </si>
  <si>
    <t>über Uns | Incubeta</t>
  </si>
  <si>
    <t>https://incubeta.com/de/find-us/berlin-germany/</t>
  </si>
  <si>
    <t>Berlin, DE | Incubeta</t>
  </si>
  <si>
    <t>https://incubeta.com/find-us/munich-germany/</t>
  </si>
  <si>
    <t>Munich, DE | Incubeta</t>
  </si>
  <si>
    <t>https://incubeta.com/news-and-resources/incubeta-dach-gcp-certification/</t>
  </si>
  <si>
    <t>Incubeta DACH Achieves Google Cloud Partner Certification | Incubeta</t>
  </si>
  <si>
    <t>https://incubeta.com/our-work/delivering-incrementality-for-superdrug/</t>
  </si>
  <si>
    <t>Delivering Incrementality With Machine Learning | Incubeta</t>
  </si>
  <si>
    <t>https://www.influencer-hero.com/de/blogs/top-digital-marketing-agencies-in-germany</t>
  </si>
  <si>
    <t>Top 10 Digital-Marketing-Agenturen in Deutschland</t>
  </si>
  <si>
    <t>Serviceplan Group, Mawave, Globalist, Haus, Brandtech, McKinsey &amp; Company, Medialabel</t>
  </si>
  <si>
    <t>https://www.influencer-hero.com/fr/blogs/top-advertising-agencies-in-germany</t>
  </si>
  <si>
    <t>Top 10 Agences Publicitaires en Allemagne</t>
  </si>
  <si>
    <t>https://influencermarketinghub.com/de/google-ads-agenturen/</t>
  </si>
  <si>
    <t>23 der besten Google-Ads-Agenturen für 2025</t>
  </si>
  <si>
    <t>Single Grain, SmartSites, KlientBoost, WebFX</t>
  </si>
  <si>
    <t>https://influencermarketinghub.com/de/ki-marketing-agenturen/</t>
  </si>
  <si>
    <t>Die 9 besten KI-Marketing-Agenturen für 2025</t>
  </si>
  <si>
    <t>SmartSites</t>
  </si>
  <si>
    <t>https://influencermarketinghub.com/de/social-media-marketing-agenturen/</t>
  </si>
  <si>
    <t>Top 48 Social Media Marketing Agenturen (Aktualisiert)</t>
  </si>
  <si>
    <t>KlientBoost, WebFX, Tinuiti, Convertiv</t>
  </si>
  <si>
    <t>https://www.infomotion.de/ai-data-performance/ai-data-science/ai-strategie/ai-readiness</t>
  </si>
  <si>
    <t>AI Readiness | INFOMOTION</t>
  </si>
  <si>
    <t>https://insightwert.de/en/services/</t>
  </si>
  <si>
    <t>Services — Tracking, Customer Intelligence &amp;amp; Consulting | Insight Wert</t>
  </si>
  <si>
    <t>https://www.instagram.com/serviceplan/</t>
  </si>
  <si>
    <t>Serviceplan Group (@serviceplan) • Instagram photos and videos</t>
  </si>
  <si>
    <t>https://www.instagram.com/thjnk/</t>
  </si>
  <si>
    <t>https://instantwaves.de/</t>
  </si>
  <si>
    <t>A creative production agency - Instant Waves Media</t>
  </si>
  <si>
    <t>https://www.intellectyx.com/ai-agent-development-companies-in-usa/</t>
  </si>
  <si>
    <t>Top AI Agent Development Companies in USA (2026)</t>
  </si>
  <si>
    <t>https://www.intellectyx.com/list-of-20-leading-ai-consulting-firms-providing-comprehensive-services/</t>
  </si>
  <si>
    <t>List of 20 Leading AI Consulting Firms</t>
  </si>
  <si>
    <t>Pilot, appliedAI, EY, McKinsey &amp; Company, PwC, Capgemini, Boston Consulting Group, BCG</t>
  </si>
  <si>
    <t>https://www.intentradar.com/</t>
  </si>
  <si>
    <t>IntentRadar | Largest GEO AEO Directory</t>
  </si>
  <si>
    <t>https://invademarketing.com/best-rated-media-planning-agencies-in-performance-marketing/</t>
  </si>
  <si>
    <t>Best Rated Media Planning Agencies in Performance Marketing</t>
  </si>
  <si>
    <t>https://www.invictus-lead-generation.de/en/leistungen/geo/</t>
  </si>
  <si>
    <t>Generative Engine Optimisation (GEO) | AI SEO Agency</t>
  </si>
  <si>
    <t>https://www.iopex.com/solutions/marketingops</t>
  </si>
  <si>
    <t>AI-Driven Marketing Operations for Revenue Growth | iOPEX</t>
  </si>
  <si>
    <t>https://www.iqueem.com/en/blog.html</t>
  </si>
  <si>
    <t>Blog - IQUEEM - Digital Marketing Agency, Google Premier Partner, Yandex Partner, Social Media Agency</t>
  </si>
  <si>
    <t>https://www.iqueem.com/en/blog/iqueem-munich.html</t>
  </si>
  <si>
    <t>IQUEEM is honoured to have participated in ATG Hotels’ General Evaluation Meeting - IQUEEM, DIGITAL | PERFORMANCE MARKETING AGENCY</t>
  </si>
  <si>
    <t>https://www.jaeckert-odaniel.com/en/geo-case-study-46-7-ai-visibility-in-7-days/</t>
  </si>
  <si>
    <t>GEO Case Study: 46.7% AI Visibility in 7 Days</t>
  </si>
  <si>
    <t>https://www.jampp.com/blog/incrementality-q-a-with-growth-marketers-in-berlin</t>
  </si>
  <si>
    <t>Jampp | Incrementality Q&amp;amp;A with growth marketers in Berlin 🇩🇪</t>
  </si>
  <si>
    <t>https://jobgether.com/offer/69fd12bcf77bd3019866ce3a-sea-manager---german-speaking-m-w-d</t>
  </si>
  <si>
    <t>SEA Manager - German speaking (m/w/d) at Peak Ace AG</t>
  </si>
  <si>
    <t>https://www.jonas-rashedi.de/blog/customer-data-platform-experten-deutschland-2026.html</t>
  </si>
  <si>
    <t>Customer-Data-Platform-Experten Deutschland 2026 — Praktiker-Liste</t>
  </si>
  <si>
    <t>Pilot, Capgemini</t>
  </si>
  <si>
    <t>https://www.jonas-rashedi.de/vergleich/customer-data-platform/</t>
  </si>
  <si>
    <t>Customer Data Platforms im Vergleich 2026 — DACH und EU | MDIBTY</t>
  </si>
  <si>
    <t>Pilot, Haus</t>
  </si>
  <si>
    <t>https://www.jonas-rashedi.de/wissen/cdp/anbieter-vergleich/</t>
  </si>
  <si>
    <t>CDP Anbieter Vergleich 2026: Tealium, Bloomreach, Segment, Adobe</t>
  </si>
  <si>
    <t>https://www.jvm.com/</t>
  </si>
  <si>
    <t>https://www.karlmission.com/services/geo</t>
  </si>
  <si>
    <t>Generative Engine Optimization (GEO) | AI SEO Agency</t>
  </si>
  <si>
    <t>https://www.kentucky.com/news/business/article316219281.html</t>
  </si>
  <si>
    <t>How to choose a GEO agency: Red flags, questions and considerations \| Lexington Herald Leader</t>
  </si>
  <si>
    <t>https://www.keyweo.com/de/seo/faq/beste-agenturen-deutschland/</t>
  </si>
  <si>
    <t>Die 10 besten SEO-Agenturen in Deutschland (2026) - Keyweo</t>
  </si>
  <si>
    <t>Aufgesang, Claneo, Peak Ace, morefire, DREIKON</t>
  </si>
  <si>
    <t>https://www.ki-projexx.de/</t>
  </si>
  <si>
    <t>KI-ProjexX - KI-Beratung Hamburg, Nordheide &amp;amp; Lüneburger Heide | AI Marketing &amp;amp; Kommunikation</t>
  </si>
  <si>
    <t>https://www.kingfluencers.com/en/blog/top-50-social-media-agenturen-in-europa-in-2025</t>
  </si>
  <si>
    <t>The Top 50+ Social Media Agencies in Europe in 2025 | Kingfluencers</t>
  </si>
  <si>
    <t>MONSOON, Admiral Media, KlickPiloten, Digitalyze</t>
  </si>
  <si>
    <t>https://www.kiwop.com/en/marketing-attribution</t>
  </si>
  <si>
    <t>Marketing Attribution &amp;amp; MMM | Measure True ROI | Kiwop</t>
  </si>
  <si>
    <t>https://www.klickkonzept.de/leistungen/digital-analytics</t>
  </si>
  <si>
    <t>Digital Analytics aus Frankfurt | KlickKonzept</t>
  </si>
  <si>
    <t>https://klickpiloten.de/leistungen/analytics</t>
  </si>
  <si>
    <t>Webanalytics &amp;amp; Dashboards - Beratung und Integration - KlickPiloten</t>
  </si>
  <si>
    <t>https://kloos.agency/ppc-google-ads/</t>
  </si>
  <si>
    <t>Google Ads Agency - SEM, Search Engine Advertising in Europe | .kloos</t>
  </si>
  <si>
    <t>https://www.kochava.com/de/</t>
  </si>
  <si>
    <t>Kochava | Omnichannel measurement for advertisers and publishers</t>
  </si>
  <si>
    <t>Kantar, Pilot, Measured</t>
  </si>
  <si>
    <t>https://kretschel-consulting.de/</t>
  </si>
  <si>
    <t>KI-Transformation für den Mittelstand | Kretschel Consulting</t>
  </si>
  <si>
    <t>https://www.krick.com/unternehmen/news/auch-2026-krickcom-ist-erneut-google-premier-partner</t>
  </si>
  <si>
    <t>Auch 2026: krick.com ist erneut Google Premier Partner | krick.com</t>
  </si>
  <si>
    <t>https://kunalkankaria.com/best-ai-consultant-germany/</t>
  </si>
  <si>
    <t>Best AI Consultant In Germany Kunal Kankaria</t>
  </si>
  <si>
    <t>https://labtrix.de/ai-seo/ai-search-optimierung</t>
  </si>
  <si>
    <t>AI Search Optimierung (AIO &amp;amp; GEO) | LABTRIX | LABTRIX</t>
  </si>
  <si>
    <t>https://langdock.com/de/partners/directory</t>
  </si>
  <si>
    <t>https://lbbonline.com/companies/Mediaplus-Group/about</t>
  </si>
  <si>
    <t>Mediaplus Group</t>
  </si>
  <si>
    <t>https://lbbonline.com/companies/serviceplan/about</t>
  </si>
  <si>
    <t>https://www.leansummits.com/how-marketing-teams-are-using-ai-agents-to-automate-campaign-management</t>
  </si>
  <si>
    <t>How Marketing Teams Are Using AI Agents to Automate Campaign Management in 2026</t>
  </si>
  <si>
    <t>https://www.leewayhertz.com/top-enterprise-ai-development-companies/</t>
  </si>
  <si>
    <t>Top Enterprise AI Development Companies 2026</t>
  </si>
  <si>
    <t>https://lengreo.com/de/top-google-ads-agencies-in-germany/</t>
  </si>
  <si>
    <t>Die 10 besten Google Ads-Experten, die Unternehmen in Deutschland zum Erfolg verhelfen (2026)</t>
  </si>
  <si>
    <t>https://lengreo.com/germany-leipzig-aeo-geo-llmo-companies/</t>
  </si>
  <si>
    <t>Top AEO, GEO &amp;amp; LLMO Firms in Leipzig, Germany</t>
  </si>
  <si>
    <t>Löwenstark, Suchhelden</t>
  </si>
  <si>
    <t>https://www.leonar.app/blog/gem-alternatives/</t>
  </si>
  <si>
    <t>5 of the Top GEM alternatives for recruiters | Leonar</t>
  </si>
  <si>
    <t>https://lifesight.io/blog/marketing-mix-modeling-software/</t>
  </si>
  <si>
    <t>Best Marketing Mix Modeling Software Tools in 2026 [UPDATED]</t>
  </si>
  <si>
    <t>LifeSight, Measured, Sellforte, Recast, Rockerbox, Northbeam, Haus</t>
  </si>
  <si>
    <t>https://www.linkedin.com/company/crealytics-gmbh</t>
  </si>
  <si>
    <t>Crealytics | LinkedIn</t>
  </si>
  <si>
    <t>Measured, Dentsu, Jellyfish, WPP</t>
  </si>
  <si>
    <t>https://www.linkedin.com/company/thjnk</t>
  </si>
  <si>
    <t>thjnk | LinkedIn</t>
  </si>
  <si>
    <t>OMD, Ogilvy, Scholz &amp; Friends, Jung von Matt, Serviceplan Group</t>
  </si>
  <si>
    <t>https://www.linkedin.com/posts/incrmntal_incrementality-martech-measurement-activity-7458138781590683648-ubwV</t>
  </si>
  <si>
    <t>INCRMNTAL acquired by Smartly, closes marketing loop | INCRMNTAL posted on the topic | LinkedIn</t>
  </si>
  <si>
    <t>INCRMNTAL, Huge, Momentum</t>
  </si>
  <si>
    <t>https://www.linkedin.com/posts/karthik-banda-b8bb53246_digitalmarketing-marketingagencies-advertising-activity-7404477675702083584-oyVa</t>
  </si>
  <si>
    <t>The Big 4 Agencies in Digital Marketing | Karthik Banda</t>
  </si>
  <si>
    <t>WPP, Omnicom, Publicis Groupe</t>
  </si>
  <si>
    <t>https://www.linkedin.com/posts/s360digital_s360-is-the-first-partner-in-northern-europe-activity-7447540211539931137-Y8GK</t>
  </si>
  <si>
    <t>s360 is the first partner in Northern Europe to achieve Google’s Test &amp;amp; Experiments Certification 🙌 What does that actually mean for our clients? It means better answers to one of the biggest… | s360</t>
  </si>
  <si>
    <t>s360, Adswerve, Huge</t>
  </si>
  <si>
    <t>https://www.linkedin.com/posts/trkkn_were-proud-to-announce-that-trkkn-has-activity-7396834763552018432-MyUH</t>
  </si>
  <si>
    <t>We’re proud to announce 🔊 that TRKKN has become Google’s first certified Test &amp;amp; Experiment (T&amp;amp;E) Partner in the DACH region ⭐, as part of Google’s new pilot certification program for media… | TRKKN</t>
  </si>
  <si>
    <t>https://www.linkedin.com/pulse/deconstructing-common-solutions-first-party-data-pierre-cholet-booce</t>
  </si>
  <si>
    <t>Deconstructing common solutions for first-party data activation</t>
  </si>
  <si>
    <t>Epsilon</t>
  </si>
  <si>
    <t>https://www.linkedin.com/pulse/google-ads-marketing-companies-farhan-ali-tbtwf</t>
  </si>
  <si>
    <t>Top 10 Google Ads Marketing Companies in the World in 2025</t>
  </si>
  <si>
    <t>SmartSites, Disruptive Advertising, WebFX</t>
  </si>
  <si>
    <t>https://www.linkedin.com/pulse/top-15-performance-marketing-companies-clutch-global-spring-kbaae</t>
  </si>
  <si>
    <t>Top 15 Performance Marketing Companies: Clutch Global Spring 2026</t>
  </si>
  <si>
    <t>REPLUG</t>
  </si>
  <si>
    <t>https://www.linkedin.com/pulse/what-sales-branding-value-adding-awareness-phase-your-daniel-opler</t>
  </si>
  <si>
    <t>What is the sales and branding value of adding an awareness phase (branding phase) to your existing consideration and purchase phase?</t>
  </si>
  <si>
    <t>https://www.linkedin.com/top-content/marketing/digital-advertising-metrics/incrementality-testing-in-ads/</t>
  </si>
  <si>
    <t>Incrementality Testing in Ads</t>
  </si>
  <si>
    <t>Triple Whale, Northbeam, Analytic Partners</t>
  </si>
  <si>
    <t>https://liveramp.com/blog/first-party-data-strategy</t>
  </si>
  <si>
    <t>8 Steps to Create a First-Party Data Strategy | LiveRamp</t>
  </si>
  <si>
    <t>https://www.localperformance.com/2026/02/25/wir-sind-stolzer-google-premier-partner-2026/</t>
  </si>
  <si>
    <t>Wir sind stolzer Google Premier Partner 2026 – LocalPerformance – Ihre Full Service Performance Marketing Agentur</t>
  </si>
  <si>
    <t>https://lunarailab.com/blog/2026/03/04/top-5-ai-agent-adoption-agencies-in-2026/</t>
  </si>
  <si>
    <t>Top 5 AI Agent Adoption Agencies in 2026 - Lunar AI Lab</t>
  </si>
  <si>
    <t>https://www.lyfemarketing.com/blog/top-performance-marketing-agencies-us/</t>
  </si>
  <si>
    <t>Top 36 Performance Marketing Agencies In The US 2026</t>
  </si>
  <si>
    <t>Tinuiti, Power Digital, Wpromote, Disruptive Advertising, Brainlabs, WPP, Omnicom, Publicis Groupe</t>
  </si>
  <si>
    <t>https://www.m-m-m.de/</t>
  </si>
  <si>
    <t>multi-media-management GmbH - m-m-m.de</t>
  </si>
  <si>
    <t>https://madebyevoke.com/blog/top-web-design-agencies-berlin#:~:text=Jung%20von%20Matt%20is%20one,for%20major%20German%20consumer%20brands.</t>
  </si>
  <si>
    <t>Top 10 Web Design Agencies in Berlin, Germany (2027) — Ranked | Evoke Studio</t>
  </si>
  <si>
    <t>Jung von Matt, Scholz &amp; Friends</t>
  </si>
  <si>
    <t>https://madgicx.com/blog/ai-powered-marketing-tools-performance-ads</t>
  </si>
  <si>
    <t>Top AI-Powered Marketing Platforms for Performance Ads</t>
  </si>
  <si>
    <t>https://www.magier.com/blog/best-creative-agency#:~:text=The%2015%20best%20creative%20agencies%20(2026),for%20a%20fixed%20monthly%20fee.</t>
  </si>
  <si>
    <t>15 Best Creative Agencies for Branding, Ads, and UX (2026)</t>
  </si>
  <si>
    <t>R/GA, AKQA, Ogilvy, WPP, Omnicom, Accenture Song, Momentum, Huge, Superside</t>
  </si>
  <si>
    <t>https://www.makingscience.com/</t>
  </si>
  <si>
    <t>Digital Marketing and Data Consultancy - Making Science</t>
  </si>
  <si>
    <t>https://www.makingscience.de/</t>
  </si>
  <si>
    <t>Digital Marketing, Data and Technology Consultant - Making Science</t>
  </si>
  <si>
    <t>https://www.manyreach.com/agency/top-10-cold-email-lead-generation-agencies</t>
  </si>
  <si>
    <t>Manyreach New Copy</t>
  </si>
  <si>
    <t>https://marketerhire.com/blog/ai-content-marketing-tools</t>
  </si>
  <si>
    <t>Top AI Content Marketing Tools in 2025</t>
  </si>
  <si>
    <t>https://www.marketing-boerse.de/news/details/2513-bvdw-kreativranking-2024-neue-gewinner-grosse-verlierer/200049</t>
  </si>
  <si>
    <t>Die 30 kreativsten Agenturen</t>
  </si>
  <si>
    <t>Jung von Matt, Publicis Groupe, Accenture Song, Ogilvy, Scholz &amp; Friends, Dentsu</t>
  </si>
  <si>
    <t>https://www.marketing-boerse.de/news/details/2611-bvdw-kreativranking-2025-serviceplan-bleibt-spitzenreiter/204252</t>
  </si>
  <si>
    <t>Ogilvy, Scholz &amp; Friends, Dentsu, Jung von Matt</t>
  </si>
  <si>
    <t>https://marketinganalyticssummit.de/programm/2025/</t>
  </si>
  <si>
    <t>Agenda 2025 - Marketing Analytics Summit Berlin</t>
  </si>
  <si>
    <t>https://www.marketingattributionsoftware.com/</t>
  </si>
  <si>
    <t>Best Marketing Attribution Software 2026 — Full Comparison of 18 Tools</t>
  </si>
  <si>
    <t>Triple Whale, Northbeam, Dreamdata, Rockerbox, Cometly, Huge</t>
  </si>
  <si>
    <t>https://marketingplatform.google.com/intl/de/about/</t>
  </si>
  <si>
    <t>Google Marketing Platform – Werbung und Analysen in einer Lösung</t>
  </si>
  <si>
    <t>https://www.markt-kom.com/en/dexat/adc-kreativranking-das-sind-deutschlands-top-agenturen/</t>
  </si>
  <si>
    <t>ADC Kreativranking: Das sind Deutschlands Top-Agenturen - m&amp;amp;k</t>
  </si>
  <si>
    <t>Jung von Matt, Accenture Song, Ogilvy, Scholz &amp; Friends, Publicis Media, Publicis Groupe</t>
  </si>
  <si>
    <t>https://www.matchpointmedia.de/</t>
  </si>
  <si>
    <t>Matchpoint Media | Performance Marketing Agentur aus Nürnberg</t>
  </si>
  <si>
    <t>https://www.mawave.com/</t>
  </si>
  <si>
    <t>Social Media Lead Agentur für Consumer Brands | Mawave</t>
  </si>
  <si>
    <t>https://www.measured.com/</t>
  </si>
  <si>
    <t>Measured | Media Effectiveness Platform</t>
  </si>
  <si>
    <t>https://www.measured.com/faq/top-11-best-media-mix-modeling-companies-software-for-2026/</t>
  </si>
  <si>
    <t>Top 11 Best Media Mix Modeling Companies &amp;amp; Software for 2026 | Measured®</t>
  </si>
  <si>
    <t>Measured, Nielsen, Analytic Partners, Kantar, Neustar, WPP, Recast, Haus, Rockerbox</t>
  </si>
  <si>
    <t>https://www.measured.com/faq/what-are-the-pros-and-cons-of-incrementality-testing-versus-mmm-or-mta/</t>
  </si>
  <si>
    <t>What is Incrementality testing vs MMM vs MTA?</t>
  </si>
  <si>
    <t>https://www.media-marketing.com/en/news/the-global-and-regional-creative-rankings-of-the-one-club-for-2025-have-been-announced/</t>
  </si>
  <si>
    <t>The global and regional creative rankings of The One Club for 2025 have been announced</t>
  </si>
  <si>
    <t>https://mediagroupww.com/de/</t>
  </si>
  <si>
    <t>Internationale Marketing-Agentur - MediaGroup Worldwide</t>
  </si>
  <si>
    <t>https://www.medianug.com/blog/10-paid-media-agencies-to-elevate-your-marketing-strategy-in-2026</t>
  </si>
  <si>
    <t>10 Paid Media Agencies to Elevate Your Marketing Strategy in 2026</t>
  </si>
  <si>
    <t>Directive Consulting, Power Digital, Wpromote, Tinuiti, KlientBoost, Disruptive Advertising, WebFX</t>
  </si>
  <si>
    <t>https://meedia.de/news/beitrag/18957-bvdw-ranking-das-sind-die-kreativsten-agenturen-kampagnen-und-marken.html</t>
  </si>
  <si>
    <t>BVDW-Ranking: Das sind die kreativsten Agenturen, Kampagnen und Marken</t>
  </si>
  <si>
    <t>Jung von Matt, Accenture Song, Omnicom, Scholz &amp; Friends, Ogilvy</t>
  </si>
  <si>
    <t>https://www.mercurymediatechnology.com/de/marketing-measurement-mmm/</t>
  </si>
  <si>
    <t>Marketing Measurement &amp;amp; MMM für Unternehmen | MMT</t>
  </si>
  <si>
    <t>https://www.mercurymediatechnology.com/en/marketing-measurement-mmm/</t>
  </si>
  <si>
    <t>Marketing Measurement &amp;amp; MMM for Enterprises | MMT</t>
  </si>
  <si>
    <t>https://www.merkle.com/en/about-us/partnerships/google.html</t>
  </si>
  <si>
    <t>Merkle &amp;amp; Google Partnership - GMP &amp;amp; GCP Expertise | Merkle</t>
  </si>
  <si>
    <t>https://metehan.ai/articles/best-aeo-geo-agencies/</t>
  </si>
  <si>
    <t>Best AEO &amp;amp; GEO Agencies in 2026: 30 Agencies Compared | metehan.ai</t>
  </si>
  <si>
    <t>iPullRank, Radyant, DEPT, Monks, Peak Ace</t>
  </si>
  <si>
    <t>https://www.mindmelt.de/en/projects/it-consulting/</t>
  </si>
  <si>
    <t>Marketing Agency for Tech Companies | mindmelt</t>
  </si>
  <si>
    <t>https://www.mindmelt.de/en/services/web-design/generative-engine-optimisation/</t>
  </si>
  <si>
    <t>Generative Engine Optimization (GEO) für KI-Suche &amp;amp; AI Overviews | mindmelt</t>
  </si>
  <si>
    <t>https://mingma.io/compare/ai-automation-agencies/</t>
  </si>
  <si>
    <t>Best AI Automation Agencies for Mid-Market Companies [2026 Comparison] | Mingma</t>
  </si>
  <si>
    <t>https://mingma.io/journal/best-ai-automation-agencies-mid-market/</t>
  </si>
  <si>
    <t>Best AI Automation Agencies for Mid-Market Companies 2026 | Honest Comparison</t>
  </si>
  <si>
    <t>https://www.mintcopywritingstudios.com/blog/ai-search-optimization-geo-agencies</t>
  </si>
  <si>
    <t>Top Generative Engine Optimization (GEO) Agencies in 2026: 10+ AI Search Specialists Compared | Mint Studios</t>
  </si>
  <si>
    <t>NoGood, WebFX, Siege Media, Omniscient Digital, Single Grain, Huge, Pilot, Measured</t>
  </si>
  <si>
    <t>https://www.mintzoro.com/ai-marketing-agency-in-germany/</t>
  </si>
  <si>
    <t>Best AI Marketing, Agents &amp;amp; Automation Agency in Germany | Mintzoro</t>
  </si>
  <si>
    <t>https://minuttia.com/best-aeo-agencies/</t>
  </si>
  <si>
    <t>10 Best Answer Engine Optimization (AEO) Agencies in July, 2026</t>
  </si>
  <si>
    <t>Single Grain, Siege Media, iPullRank, NoGood</t>
  </si>
  <si>
    <t>https://minuttia.com/best-llmo-agencies/</t>
  </si>
  <si>
    <t>10 Large Language Model Optimization (LLMO) Agencies in 2026</t>
  </si>
  <si>
    <t>TRYSEO</t>
  </si>
  <si>
    <t>https://www.mkt-sci.com/</t>
  </si>
  <si>
    <t>https://www.mmm-consulting.de/</t>
  </si>
  <si>
    <t>MMM Consulting GmbH</t>
  </si>
  <si>
    <t>https://modall.ca/blog/top-ai-software-development-integration-agencies</t>
  </si>
  <si>
    <t>Top AI Software Development &amp;amp; Integration Agencies in 2026 - Modall</t>
  </si>
  <si>
    <t>https://modo25.com/services/data-science/mmm-attribution/</t>
  </si>
  <si>
    <t>Marketing Mix Modelling (MMM) | Modo25</t>
  </si>
  <si>
    <t>https://www.monks.com/partners/google-marketing-platform</t>
  </si>
  <si>
    <t>https://www.more-fire.com/en/</t>
  </si>
  <si>
    <t>Online-Marketing-Agentur aus Köln | morefire</t>
  </si>
  <si>
    <t>https://www.more-fire.com/en/seo-agency/</t>
  </si>
  <si>
    <t>SEO agency from Cologne for more traffic | morefire</t>
  </si>
  <si>
    <t>https://most2414.com/insights-ai-agents/</t>
  </si>
  <si>
    <t>AI Agents in Marketing | MOST 2414</t>
  </si>
  <si>
    <t>https://multishoring.com/services/google-bi-and-bigquery-consulting/</t>
  </si>
  <si>
    <t>Google BI Solutions and BigQuery Services</t>
  </si>
  <si>
    <t>https://www.munro.agency/top-10-paid-media-agencies/</t>
  </si>
  <si>
    <t>Top 10 Paid Media Agencies for 2026</t>
  </si>
  <si>
    <t>inBeat, Power Digital</t>
  </si>
  <si>
    <t>https://www.munro.agency/top-marketing-data-science-agencies/</t>
  </si>
  <si>
    <t>Top 17 Marketing Data Science Agencies</t>
  </si>
  <si>
    <t>Measured, Artefact, BCG, Boston Consulting Group, PwC, Capgemini, Merkle, Analytic Partners</t>
  </si>
  <si>
    <t>https://www.nakoa.digital/ergebnisse/partner/incubeta/</t>
  </si>
  <si>
    <t>Incubeta | Nakoa.Digital</t>
  </si>
  <si>
    <t>https://nativz.io/best-ai-seo-tools-2025-top-10-platforms-for-aeo-chatgpt-llm-visibility/</t>
  </si>
  <si>
    <t>Best AI SEO Tools 2025 – Top 10 Platforms for AEO, ChatGPT &amp;amp; LLM</t>
  </si>
  <si>
    <t>https://nealschaffer.com/ai-marketing-agency/</t>
  </si>
  <si>
    <t>15 Best AI Marketing Agencies Helping Brands Grow in 2026</t>
  </si>
  <si>
    <t>Pilot, Measured, appliedAI</t>
  </si>
  <si>
    <t>https://nealschaffer.com/digital-marketing-agencies/</t>
  </si>
  <si>
    <t>15 Best Digital Marketing Agencies That Deliver Results in 2026</t>
  </si>
  <si>
    <t>WebFX, SmartSites, Power Digital</t>
  </si>
  <si>
    <t>https://nepa.com/ready-to-move-beyond-network-agencies/</t>
  </si>
  <si>
    <t>Ready to move beyond network agencies? - Nepa</t>
  </si>
  <si>
    <t>BCG, GroupM, Dentsu</t>
  </si>
  <si>
    <t>https://www.networkgain.com/services/enterprise-ai-readiness-adoption/</t>
  </si>
  <si>
    <t>Enterprise AI: Readiness and Adoption | NetworkGain Consulting</t>
  </si>
  <si>
    <t>https://www.neuhandeln.de/internetagentur-ranking/ranking_2025.html</t>
  </si>
  <si>
    <t>Das Ranking gr��ten deutschen Internetagenturen</t>
  </si>
  <si>
    <t>Pilot, Merkle, KlickPiloten, Digital Masters GmbH, DREIKON, PANORAMA3000</t>
  </si>
  <si>
    <t>https://www.neuhandeln.de/performance-ranking/performance_2021</t>
  </si>
  <si>
    <t>Smarketer, iProspect, morefire, e-dialog, 42DIGITAL, Aufgesang, PANORAMA3000</t>
  </si>
  <si>
    <t>https://www.neuhandeln.de/performance-ranking/performance_2022.html</t>
  </si>
  <si>
    <t>https://www.neuhandeln.de/performance-ranking/performance_2024.html?sub=18</t>
  </si>
  <si>
    <t>https://newage.agency/en/our-services/google-marketing-platform-partner/</t>
  </si>
  <si>
    <t>Google Marketing Platform - access, training, optimisation</t>
  </si>
  <si>
    <t>https://www.nielsen.com/about-us/locations/germany/</t>
  </si>
  <si>
    <t>Germany | Nielsen</t>
  </si>
  <si>
    <t>https://www.nikaconsulting.co.nz/advertising-agencies-auckland/</t>
  </si>
  <si>
    <t>7 Best Advertising Agencies Auckland Offers in 2025 » Award-Winning Creative Digital Marketing Agency NZ</t>
  </si>
  <si>
    <t>https://ninjapromo.io/best-ai-marketing-agencies</t>
  </si>
  <si>
    <t>Top 8 AI Marketing Agencies for AI-Driven Digital Campaigns in 2026</t>
  </si>
  <si>
    <t>https://www.nion-answers.com/</t>
  </si>
  <si>
    <t>The AEO Agency - NION Answers</t>
  </si>
  <si>
    <t>https://nogood.io/blog/performance-marketing-agencies/</t>
  </si>
  <si>
    <t>Top Performance Marketing Agencies in 2026 | NoGood</t>
  </si>
  <si>
    <t>NoGood, inBeat, Disruptive Advertising, Wpromote, Power Digital, Monks, Media.Monks, Measured, Directive Consulting, Huge</t>
  </si>
  <si>
    <t>https://www.northdata.com/AKQA%20GmbH,%20Berlin/Amtsgericht%20Charlottenburg%20%28Berlin%29%20HRB%20125754%20B</t>
  </si>
  <si>
    <t>AKQA GmbH, Berlin, Germany, District Court of Charlottenburg (Berlin) HRB 125754 B: Network, Financial information</t>
  </si>
  <si>
    <t>AKQA, WPP</t>
  </si>
  <si>
    <t>https://www.novusvistatech.com/blog/digital-transformation-companies.html</t>
  </si>
  <si>
    <t>Top 10 Digital Transformation Companies in the World in 2026</t>
  </si>
  <si>
    <t>https://www.nutshell.com/blog/top-geo-agencies</t>
  </si>
  <si>
    <t>The 10 Top GEO Agencies of 2026 (Reviewed)</t>
  </si>
  <si>
    <t>https://oakpool.xyz/drift/top-10-geo-aeo-ai-search-agencies/</t>
  </si>
  <si>
    <t>Top 10 GEO Agencies for AI Search in 2026</t>
  </si>
  <si>
    <t>iPullRank, NoGood, Omnius</t>
  </si>
  <si>
    <t>https://www.ombera.de/</t>
  </si>
  <si>
    <t>ombera – KI-Sichtbarkeit &amp;amp; GEO-Beratung für den Mittelstand</t>
  </si>
  <si>
    <t>https://www.omnibound.ai/blog/first-party-data-statistics</t>
  </si>
  <si>
    <t>First-Party Data Statistics (2026): 52+ Data Points on Adoption, ROI, Privacy Drivers, and the CDP Transition</t>
  </si>
  <si>
    <t>BCG, Measured, Deloitte Digital</t>
  </si>
  <si>
    <t>https://omnicomprecisionmarketing.de/en/home/</t>
  </si>
  <si>
    <t>OMNICOM Precision Marketing | Home</t>
  </si>
  <si>
    <t>https://omr.com/de/reviews/service-category/google-ads-agencies</t>
  </si>
  <si>
    <t>Top Google Ads Agenturen in Deutschland, Österreich und Schweiz</t>
  </si>
  <si>
    <t>Jung von Matt, Smarketer, Löwenstark, WeLikeWeb GmbH, DREIKON, morefire</t>
  </si>
  <si>
    <t>https://omr.com/de/reviews/service-category/performance-marketing-agenturen/berlin</t>
  </si>
  <si>
    <t>https://omr.com/de/reviews/service/projecter</t>
  </si>
  <si>
    <t>Projecter Infos &amp;amp; Leistungen | OMR Reviews</t>
  </si>
  <si>
    <t>https://www.omt.de/agentur-finden/google-ads-agentur/</t>
  </si>
  <si>
    <t>Der OMT-Agenturfinder: Finde die passende Google Ads Agentur</t>
  </si>
  <si>
    <t>KlickPiloten, eMinded GmbH</t>
  </si>
  <si>
    <t>https://www.omt.de/agentur-finden/programmatic-advertising-agentur/</t>
  </si>
  <si>
    <t>Der OMT-Agenturfinder: Finde die passende Programmatic Advertising Agentur</t>
  </si>
  <si>
    <t>Suchhelden, Haus</t>
  </si>
  <si>
    <t>https://www.oneclub.org/awards/adceurope/-archive/agency/2024/247/all/all/276</t>
  </si>
  <si>
    <t>ADC Europe | Agency Rankings | 2024 | Brand Experience | Germany</t>
  </si>
  <si>
    <t>Jung von Matt, Mediaplus Group, MetaDesign, OMD</t>
  </si>
  <si>
    <t>https://www.oneclub.org/awards/adceurope/-archive/agency/2024/251/all/all/276</t>
  </si>
  <si>
    <t>ADC Europe | Agency Rankings | 2024 | Interactive &amp;amp; Mobile | Germany</t>
  </si>
  <si>
    <t>Jung von Matt, Mediaplus Group, Monks, Media.Monks, Accenture Song</t>
  </si>
  <si>
    <t>https://www.oneclub.org/awards/rankings/-archive/agency/2025/all/all/2/276</t>
  </si>
  <si>
    <t>Agency Rankings | 2025 | Europe | Germany</t>
  </si>
  <si>
    <t>https://www.oneclub.org/awards/rankings/-archive/independantagency/2024/all/2/276</t>
  </si>
  <si>
    <t>https://www.oneclub.org/press/-adce2024-rankings</t>
  </si>
  <si>
    <t>Art Directors Club of Europe Announces 2024 ADCE Creative Rankings | The One Club</t>
  </si>
  <si>
    <t>Scholz &amp; Friends, Jung von Matt, Mediaplus Group, WPP, Serviceplan Group</t>
  </si>
  <si>
    <t>https://www.oneclub.org/press/-toc-2025-global-rankings</t>
  </si>
  <si>
    <t>The One Club’s 2025 Global Creative Rankings Crown FCB for Third Straight Year | The One Club</t>
  </si>
  <si>
    <t>Ogilvy, Jung von Matt, Serviceplan Group</t>
  </si>
  <si>
    <t>https://www.onehundred.digital/en/geo-generative-engine-optimization-agency-from-berlin-visibility-in-ai-systems/</t>
  </si>
  <si>
    <t>GEO | Generative Engine Optimization Agency from Berlin – Visibility in AI Systems | onehundred.digital |&amp;nbsp;Online Marketing</t>
  </si>
  <si>
    <t>https://www.onely.com/blog/best-b2b-seo-agencies/</t>
  </si>
  <si>
    <t>Top 10 Best B2B SEO Agencies in 2026 - Onely</t>
  </si>
  <si>
    <t>Directive Consulting, Siege Media, Omniscient Digital</t>
  </si>
  <si>
    <t>https://www.onely.com/blog/best-digital-marketing-agencies/</t>
  </si>
  <si>
    <t>Top 16 Digital Marketing Agencies in 2026: Evaluated by AI Search Readiness, Technical Depth, and Measurable Visibility Impact - Onely</t>
  </si>
  <si>
    <t>Directive Consulting, Siege Media, Power Digital, Disruptive Advertising, Single Grain, WebFX, SmartSites, KlientBoost</t>
  </si>
  <si>
    <t>https://www.onetoone.de/artikel/db/235291SUR.html</t>
  </si>
  <si>
    <t>Serviceplan Group, Publicis Groupe</t>
  </si>
  <si>
    <t>https://www.onetoone.de/performance-ranking/performance_2023</t>
  </si>
  <si>
    <t>Serviceplan Group, Smarketer, iProspect, e-dialog, morefire, The Boutique Agency, 42DIGITAL, Aufgesang, Pilot</t>
  </si>
  <si>
    <t>https://www.online-digitalx.de/en/searchengineoptimization/</t>
  </si>
  <si>
    <t>SEO Agency Germany - Online Digital X</t>
  </si>
  <si>
    <t>https://open.spotify.com/show/2KwD77vAcC9acv5NhCHnAF</t>
  </si>
  <si>
    <t>Marketing Pioneers | Podcast on Spotify</t>
  </si>
  <si>
    <t>https://www.openassistantgpt.io/blogs/aeo-geo-llm-ranking-tool-enterprise</t>
  </si>
  <si>
    <t>Top 10 AEO, GEO and LLM Ranking tool for your enterprise</t>
  </si>
  <si>
    <t>https://www.opnrs.com/</t>
  </si>
  <si>
    <t>opnrs • Communications, Experiences, Strategies</t>
  </si>
  <si>
    <t>https://www.orangemarketing.com/aeo-answer-engine-optimization-service</t>
  </si>
  <si>
    <t>Answer Engine Optimization (AEO) Services | Orange Marketing</t>
  </si>
  <si>
    <t>https://origami.chat/blog/best-ai-marketing-analytics-tools</t>
  </si>
  <si>
    <t>Best AI Marketing Analytics Tools in 2026: 12 Platforms Reviewed</t>
  </si>
  <si>
    <t>https://origami.chat/blog/d2c-brands-germany-shopify-ads-prospecting-guide-2026</t>
  </si>
  <si>
    <t>D2C Brands Germany Shopify Ads: Prospecting Guide 2026</t>
  </si>
  <si>
    <t>https://oski.site/blog/analytics-strategy-consulting-companies-germany/#:~:text=Get%20Expert%20Consultation,more%20structured%20data%2Ddriven%20operations.</t>
  </si>
  <si>
    <t>Best 14 Analytics Strategy Consulting Firms in Germany</t>
  </si>
  <si>
    <t>https://www.osmos.ai/blog/first-party-data-in-retail-media-the-complete-targeting-guide</t>
  </si>
  <si>
    <t>First-Party Shopper Data in Retail Media: 2026 Playbook</t>
  </si>
  <si>
    <t>https://outreachz.com/blog/best-ai-marketing-agencies-2026/</t>
  </si>
  <si>
    <t>Best AI Marketing Agencies (2026): 10 Top Picks for Brands That Want Smarter Growth</t>
  </si>
  <si>
    <t>NoGood, Single Grain, Hawke Media, Huge</t>
  </si>
  <si>
    <t>https://www.outrightcrm.com/blog/roi-focused-digital-marketing-agencies/</t>
  </si>
  <si>
    <t>15 Best ROI-Focused Digital Marketing Firms in 2026 | OutrightCRM</t>
  </si>
  <si>
    <t>Disruptive Advertising, KlientBoost, SmartSites, Power Digital, Wpromote, Directive Consulting, Jellyfish, Merkle, Huge, Pilot</t>
  </si>
  <si>
    <t>https://p3adaptive.com/the-10-best-ai-consulting-companies-for-enterprise-in-2026/</t>
  </si>
  <si>
    <t>10 Best AI Consulting Companies for Enterprise in 2026'</t>
  </si>
  <si>
    <t>https://www.panorama-consulting.com/services/ai-readiness-and-enablement-service-offering/</t>
  </si>
  <si>
    <t>AI Readiness &amp;amp; Integration Service | Generatiive AI Consulting</t>
  </si>
  <si>
    <t>https://paramark.com/incrementality-testing</t>
  </si>
  <si>
    <t>Bridge Gaps with Incrementality Testing: Experimentation with Paramark</t>
  </si>
  <si>
    <t>https://partnersdirectory.withgoogle.com/?_gl=1*1tz1h94*_ga*MTQ1NTE5OTU1NC4xNzQ3MTI3Mjk4*_ga_BXYLHC2HPB*czE3NDgzNDMwODckbzEkZzEkdDE3NDgzNDQ1MDgkajU0JGwwJGgwJGRDSkJuSnJEdU9naGhxWFM4MnVXYzJiQ3NUVnNSQ2tpMWZR&amp;authuser=0&amp;premier=true&amp;subid=uk-en-awhp-g-aw-m-par-w-hero-bgc%21o2</t>
  </si>
  <si>
    <t>https://partnersdirectory.withgoogle.com/?authuser=0&amp;gad_source=1&amp;gclsrc=aw.ds&amp;premier=true&amp;subid=gb-en-ha-aw-sk-c-bau%21o3%7ECj0KCQjw99e4BhDiARIsAISE7P_AKK8sUW0wxb3wRcAycqgV_kOr1CAvwurP2Zh74h49W64Fdq6R2BkaAhBkEALw_wcB%7E169785216468%7Ekwd-6084504794%7E19691765913%7E698238993598</t>
  </si>
  <si>
    <t>https://peakace.agency/en/digital-strategy/</t>
  </si>
  <si>
    <t>Integrated Digital Strategy consulting | Peak Ace</t>
  </si>
  <si>
    <t>https://www.performanceliebe.de/ai-mentions-agency-germany/</t>
  </si>
  <si>
    <t>AI Mentions Agency Germany | performanceLiebe</t>
  </si>
  <si>
    <t>https://www.performanceliebe.de/generative-engine-optimization/</t>
  </si>
  <si>
    <t>Generative Engine Optimization (GEO) 2026 | performanceLiebe</t>
  </si>
  <si>
    <t>https://www.performanceliebe.de/geo-optimierung/</t>
  </si>
  <si>
    <t>GEO Optimierung 2026: Generative Engine Optimization</t>
  </si>
  <si>
    <t>https://www.phdmedia.com/germany/services/measurement-and-reporting/</t>
  </si>
  <si>
    <t>Measurement and Reporting - PHD Media Germany</t>
  </si>
  <si>
    <t>https://pikaseo.com/articles/best-ai-seo-agencies</t>
  </si>
  <si>
    <t>10 Best AI SEO Agencies (GEO &amp;amp; AEO) in 2026 | PikaSEO</t>
  </si>
  <si>
    <t>iPullRank, Single Grain, NoGood, Omniscient Digital, Siege Media, WebFX, Directive Consulting, Measured, Pilot</t>
  </si>
  <si>
    <t>https://www.pilot.de/leistungen/programmatic-advertising/</t>
  </si>
  <si>
    <t>Programmatic Advertising | pilot Agenturgruppe</t>
  </si>
  <si>
    <t>https://pipeline.zoominfo.com/sales/intent-data-platform</t>
  </si>
  <si>
    <t>Best Intent Data Platforms in 2026: Identify In-Market B2B Accounts Fast</t>
  </si>
  <si>
    <t>https://www.pixelmojo.io/best-ai-visibility-agencies#:~:text=Why%20Pixelmojo%20is%20different,systems%20(Vector%2C%20Hive).</t>
  </si>
  <si>
    <t>Best AI Visibility Agencies in 2026 | GEO and AEO Agencies Compared</t>
  </si>
  <si>
    <t>WebFX, iPullRank, NoGood, Siege Media, Directive Consulting, Measured</t>
  </si>
  <si>
    <t>https://platypusseo.com/blog/best-european-seo-agencies/</t>
  </si>
  <si>
    <t>10 Best European SEO Agencies in 2026</t>
  </si>
  <si>
    <t>https://pndigital.co.uk/semrush-agency-partner/</t>
  </si>
  <si>
    <t>SEMrush Agency Partner London</t>
  </si>
  <si>
    <t>https://www.pr-journal.de/nachrichten/agenturen/33037-agenturen-zeigen-breites-leistungsspektrum-ihrer-pr-arbeiten.html</t>
  </si>
  <si>
    <t>PR-Journal – Ranking zeigt breites PR-Leistungsspektrum</t>
  </si>
  <si>
    <t>Pilot, Jung von Matt, Scholz &amp; Friends, Serviceplan Group</t>
  </si>
  <si>
    <t>https://prescientai.com/blog/incrementality-testing-guide</t>
  </si>
  <si>
    <t>Incrementality testing: the complete guide</t>
  </si>
  <si>
    <t>https://product-marketing-agentur.de/performance-marketing</t>
  </si>
  <si>
    <t>MONSOON, Digital Masters GmbH, lehof, KlickPiloten</t>
  </si>
  <si>
    <t>https://www.projecter.de/</t>
  </si>
  <si>
    <t>Projecter: Online Marketing Agentur aus Leipzig</t>
  </si>
  <si>
    <t>https://www.promodo.com/blog/best-geo-agencies</t>
  </si>
  <si>
    <t>Top GEO Agencies in 2026: Get Your Brand Cited by AI Search</t>
  </si>
  <si>
    <t>https://proove.dacgroup.com/services/measurement-optimization/incrementality/</t>
  </si>
  <si>
    <t>Incrementality Testing | Proove by DAC</t>
  </si>
  <si>
    <t>https://www.publicisgroupeuk.com/what-we-do/production/</t>
  </si>
  <si>
    <t>Production - Publicis Groupe</t>
  </si>
  <si>
    <t>https://publicisproduction.com/</t>
  </si>
  <si>
    <t>Home - WE ARE PUBLICIS PRODUCTION</t>
  </si>
  <si>
    <t>https://www.pwc.de/en/customer-transformation/marketing-advisory/customer-data-platforms-cdp-consulting-services.html</t>
  </si>
  <si>
    <t>Customer Data Platform (CDP) - PwC</t>
  </si>
  <si>
    <t>https://qoulomb.com/best-answer-engine-optimization-agencies/</t>
  </si>
  <si>
    <t>Best Answer Engine Optimization \[AEO\] Agencies</t>
  </si>
  <si>
    <t>https://www.quoleady.com/growth-marketing-agencies/</t>
  </si>
  <si>
    <t>Top 12 Growth Marketing Agencies in 2026 - Quoleady</t>
  </si>
  <si>
    <t>Darkroom, NoGood, Disruptive Advertising, SmartSites, Momentum</t>
  </si>
  <si>
    <t>https://www.quora.com/What-are-Berlins-best-creative-agencies-in-advertising-digital-and-production</t>
  </si>
  <si>
    <t>Huge, Jung von Matt, Scholz &amp; Friends, AKQA, Ogilvy</t>
  </si>
  <si>
    <t>https://raas.gmbh/leistungen/ai-readiness/</t>
  </si>
  <si>
    <t>AI-Readiness - RaaS GmbH - You prompt. We deliver.</t>
  </si>
  <si>
    <t>https://www.radyant.io/comparison/the-6-best-ai-seo-agencies-for-b2b-startups</t>
  </si>
  <si>
    <t>The 6 best AI SEO agencies for B2B startups · Radyant</t>
  </si>
  <si>
    <t>Radyant, Claneo, Omniscient Digital</t>
  </si>
  <si>
    <t>https://rajeshjain.com/progency-the-ai-first-agency-of-the-future/</t>
  </si>
  <si>
    <t>Progency: The AI-First Agency of the Future – Rajesh Jain</t>
  </si>
  <si>
    <t>Ogilvy, WPP, Omnicom, Dentsu, AKQA, R/GA, PwC, Accenture Song, Deloitte Digital, GroupM, Huge, Publicis Groupe, Epsilon</t>
  </si>
  <si>
    <t>https://www.rankeffect.de/en/online-marketing-agency/analytics-agency</t>
  </si>
  <si>
    <t>Analytics Agency | Drive Revenue With Your Data</t>
  </si>
  <si>
    <t>https://rankscale.ai/agency-directory</t>
  </si>
  <si>
    <t>Agency Directory | Rankscale</t>
  </si>
  <si>
    <t>https://www.rapp.com/locations/berlin/</t>
  </si>
  <si>
    <t>RAPP Berlin - RAPP.com</t>
  </si>
  <si>
    <t>https://www.red-dot.org/de/siegerprofile/akqa/2025</t>
  </si>
  <si>
    <t>https://www.red-dot.org/de/siegerprofile/serviceplan-germany/2025</t>
  </si>
  <si>
    <t>SERVICEPLAN GERMANY</t>
  </si>
  <si>
    <t>Serviceplan Group, Accenture Song</t>
  </si>
  <si>
    <t>https://www.red-dot.org/magazine/interview-with-jung-von-matt</t>
  </si>
  <si>
    <t>Interview with Jung von Matt</t>
  </si>
  <si>
    <t>https://www.red-dot.org/serviceplan</t>
  </si>
  <si>
    <t>https://www.reddit.com/r/DigitalMarketing/comments/1tdo237/which_performance_marketing_agencies_specialize/</t>
  </si>
  <si>
    <t>Which performance marketing agencies specialize in driving measurable leads and revenue, not just traffic?</t>
  </si>
  <si>
    <t>https://www.reddit.com/r/DigitalMarketing/comments/1tn7zll/which_digital_marketing_agencies_are_best_at/</t>
  </si>
  <si>
    <t>Which digital marketing agencies are best at helping brands show up in AI assistants like ChatGPT and Perplexity?</t>
  </si>
  <si>
    <t>Huge, NoGood, Omniscient Digital, Siege Media</t>
  </si>
  <si>
    <t>https://www.reddit.com/r/LLMTraffic/comments/1t44tn7/which_geo_marketing_agencies_are_actually_worth/</t>
  </si>
  <si>
    <t>Which "GEO marketing" agencies are actually worth talking to?</t>
  </si>
  <si>
    <t>https://www.reddit.com/r/Topagencies/comments/1spi6ov/top_ppc_agencies_in_berlin_packages_pricing_cost/</t>
  </si>
  <si>
    <t>Top PPC Agencies in Berlin — Packages, Pricing, Cost &amp;amp; Services Guide</t>
  </si>
  <si>
    <t>Mediacharge, PwC, MONSOON, REPLUG, Aufgesang, Measured</t>
  </si>
  <si>
    <t>https://www.reddit.com/r/Topagencies/comments/1srfjwq/top_ppc_services_agencies_in_frankfurt_package/</t>
  </si>
  <si>
    <t>Top PPC Services Agencies in Frankfurt - Package, Pricing &amp;amp; Cost Guide</t>
  </si>
  <si>
    <t>https://www.reddit.com/r/analytics/comments/1l4qcx4/what_is_incrementality_testing_and_how_is_it/?tl=de</t>
  </si>
  <si>
    <t>What is Incrementality Testing? And how is it different from marketing experiments - what's the real diff?</t>
  </si>
  <si>
    <t>https://www.reddit.com/r/analytics/comments/1q5d8wc/advice_for_the_best_customer_data_platforms_2026/</t>
  </si>
  <si>
    <t>advice for the best customer data platforms 2026 for unifying customer data</t>
  </si>
  <si>
    <t>https://www.reddit.com/r/b2bmarketing/comments/1rl47cr/the_10_best_visibility_companies_and_agencies_for/</t>
  </si>
  <si>
    <t>The 10 Best Visibility Companies and Agencies for SEO and GEO?</t>
  </si>
  <si>
    <t>Huge, Omnius, Siege Media, Single Grain, iPullRank</t>
  </si>
  <si>
    <t>https://www.reddit.com/r/b2bmarketing/comments/1t546si/the_7_leading_ai_seo_agencies_for_modern_search/</t>
  </si>
  <si>
    <t>The 7 Leading AI SEO Agencies for Modern Search</t>
  </si>
  <si>
    <t>Omniscient Digital, Siege Media, iPullRank</t>
  </si>
  <si>
    <t>https://www.reddit.com/r/u_Emkutis/comments/1u2d4ma/the_best_geo_ai_search_agencies_in_europe_in_2026/</t>
  </si>
  <si>
    <t>The best GEO (AI search) agencies in Europe in 2026, ranked</t>
  </si>
  <si>
    <t>Radyant, Omnius, Peak Ace, Measured</t>
  </si>
  <si>
    <t>https://www.repindia.com/ai-seo-agency/</t>
  </si>
  <si>
    <t>Award Winner AI SEO Agency in India | Get Your Brand Visible on AI Search</t>
  </si>
  <si>
    <t>https://www.reply.com/en/newsroom/news/luenendonk-dxs-study-2025</t>
  </si>
  <si>
    <t>Lünendonk study confirms Reply’s continued leading position in Digital Experience Services | Reply</t>
  </si>
  <si>
    <t>https://www.resultfirst.com/services/ai-search-optimization/</t>
  </si>
  <si>
    <t>AI Search Optimization Services for AI Search Engines | GEO Agency</t>
  </si>
  <si>
    <t>https://www.reuters.com/business/media-telecom/frances-publicis-buy-us-data-firm-liveramp-22-billion-2026-05-17/</t>
  </si>
  <si>
    <t>France's Publicis to buy US data firm LiveRamp for $2.2 billion \| Reuters</t>
  </si>
  <si>
    <t>Publicis Groupe, Epsilon, WPP, Omnicom</t>
  </si>
  <si>
    <t>https://www.reuters.com/sustainability/boards-policy-regulation/ad-group-wpp-says-mark-read-retire-ceo-end-year-2025-06-09/</t>
  </si>
  <si>
    <t>Ad group WPP says CEO Mark Read to step down at end of the year \| Reuters</t>
  </si>
  <si>
    <t>WPP, Ogilvy, GroupM</t>
  </si>
  <si>
    <t>https://revenuezen.com/top-answer-engine-optimization-aeo-agencies/</t>
  </si>
  <si>
    <t>Top Answer Engine Optimization Agencies in 2026 | RevenueZen</t>
  </si>
  <si>
    <t>Omniscient Digital, iPullRank, WebFX, Huge</t>
  </si>
  <si>
    <t>https://rheinwunder.com/en/</t>
  </si>
  <si>
    <t>Rheinwunder GmbH: The online marketing agency from Bonn</t>
  </si>
  <si>
    <t>https://riseup.agency/data-analytics/</t>
  </si>
  <si>
    <t>Marketing Analytics Agency | Attribution &amp;amp; GA4 | RiseUp</t>
  </si>
  <si>
    <t>https://www.rit.de/loesungen/ki-und-daten/ai-readiness-check</t>
  </si>
  <si>
    <t>AI Readiness Check – jetzt KI-Reifegrad ermitteln</t>
  </si>
  <si>
    <t>https://rubixe.com/blog/ai-trends-in-consulting-whats-next-for-businesses</t>
  </si>
  <si>
    <t>AI Trends in Consulting: What’s Next for Businesses - Rubixe</t>
  </si>
  <si>
    <t>https://www.s-f.family/services</t>
  </si>
  <si>
    <t>Scholz &amp;amp; Friends | Services</t>
  </si>
  <si>
    <t>https://s-pro.io/generative-ai-development-companies</t>
  </si>
  <si>
    <t>Top Generative AI Development Companies | 21 Best Generative AI Integration Companies</t>
  </si>
  <si>
    <t>PwC, Croud, Momentum</t>
  </si>
  <si>
    <t>https://s360digital.com/capabilities/</t>
  </si>
  <si>
    <t>Capabilities: Our three areas of expertise | s360</t>
  </si>
  <si>
    <t>https://s360digital.com/news/s360-becomes-one-of-the-first-smartly-certified-agencies/</t>
  </si>
  <si>
    <t>s360 becomes one of the first Smartly Certified Agencies globally</t>
  </si>
  <si>
    <t>https://sageitinc.com/reference-center/best-ai-consulting-companies</t>
  </si>
  <si>
    <t>10 Best AI Consulting Companies to De-Risk Your AI Adoption</t>
  </si>
  <si>
    <t>https://saint-elmos.com/agencies/</t>
  </si>
  <si>
    <t>Agencies - Saint Elmo's</t>
  </si>
  <si>
    <t>Serviceplan Group, Scholz &amp; Friends, BBDO Germany, Jung von Matt, Mediaplus Group, Mindshare, GroupM, OMD</t>
  </si>
  <si>
    <t>https://salestube.tech/technology/adtech-platforms</t>
  </si>
  <si>
    <t>AdTech Platforms for Effective Marketing | Salestube - salestube</t>
  </si>
  <si>
    <t>https://www.sanmiguel.io/en/the-best-b2b-brand-agencies-for-smes/</t>
  </si>
  <si>
    <t>The best B2B brand agencies in Germany &amp;amp; the DACH region</t>
  </si>
  <si>
    <t>MetaDesign, Publicis Groupe, Jung von Matt, Omnicom</t>
  </si>
  <si>
    <t>https://www.saphirsolution.de/</t>
  </si>
  <si>
    <t>360° Online-Marketing-Agentur - SaphirSolution</t>
  </si>
  <si>
    <t>https://www.scaleandcompany.com/</t>
  </si>
  <si>
    <t>Scale &amp;amp; Co</t>
  </si>
  <si>
    <t>https://www.scalecom.de/</t>
  </si>
  <si>
    <t>scalecom® | Performance Marketing &amp;amp; Paid Social Advertising Agentur</t>
  </si>
  <si>
    <t>https://www.scaled2c.com/services/germany/geo-services-germany</t>
  </si>
  <si>
    <t>Best Generative Engine Optimisation (GEO) Agency in Germany | Top German Generative Engine Optimisation (GEO) Agency — SCALE D2C</t>
  </si>
  <si>
    <t>https://www.scalefox.de/</t>
  </si>
  <si>
    <t>Scalefox \| Growth Beratung, Media Buying &amp; Analytics</t>
  </si>
  <si>
    <t>https://scandiweb.com/blog/top-ai-agencies/</t>
  </si>
  <si>
    <t>Top AI Agencies in 2026 for GenAI Optimization - scandiweb</t>
  </si>
  <si>
    <t>https://www.schalk-and-friends.de/en/magazine/modern-marketing-winners/</t>
  </si>
  <si>
    <t>Top 70 German digital agencies | schalk&amp;amp;friends</t>
  </si>
  <si>
    <t>https://www.schalk-and-friends.de/en/services/data-analytics/#:~:text=Web%20Analytics%20%26%20Tracking%20Agency%20%7C%20schalk%26friends</t>
  </si>
  <si>
    <t>Web Analytics &amp;amp; Tracking Agency | schalk&amp;amp;friends</t>
  </si>
  <si>
    <t>https://scopicstudios.com/blog/first-party-data-adoption-statistics-every-marketer-must-know/</t>
  </si>
  <si>
    <t>First-Party Data Strategies: Key Stats for Marketers in 2026</t>
  </si>
  <si>
    <t>Epsilon, NoGood</t>
  </si>
  <si>
    <t>https://scopicstudios.com/blog/top-performance-marketing-agencies/</t>
  </si>
  <si>
    <t>Top 10 Performance Marketing Agencies for ROI in 2025</t>
  </si>
  <si>
    <t>https://www.sdbj.com/news/firms-leverage-tech-drive-business/</t>
  </si>
  <si>
    <t>Firms Leverage Tech to Drive Business - San Diego Business Journal</t>
  </si>
  <si>
    <t>https://search.agency/</t>
  </si>
  <si>
    <t>Search Agency: The AI Search, GEO, AEO &amp;amp; SEO Agency</t>
  </si>
  <si>
    <t>https://www.searchbloom.com/strategy/best-ai-seo-agency-companies-services-usa/</t>
  </si>
  <si>
    <t>Best AI SEO Companies + Services in the US 2026 (AEO/GEO) - Best AEO Agencies in USA</t>
  </si>
  <si>
    <t>Tinuiti, Omniscient Digital, iPullRank, Single Grain, Siege Media</t>
  </si>
  <si>
    <t>https://searchperts.de/sea-agentur-ecommerce/</t>
  </si>
  <si>
    <t>SEA Agentur für E-Commerce | 90-Tage-Sprint, kostenlose Analyse</t>
  </si>
  <si>
    <t>https://www.secureleap.tech/blog/best-penetration-testing-companies-europe-startups</t>
  </si>
  <si>
    <t>Best Penetration Testing Companies in Europe for Startups (2026)</t>
  </si>
  <si>
    <t>https://seeders.com/blog/10-best-link-building-agencies-in-germany-2026-ranked/</t>
  </si>
  <si>
    <t>10 best link building agencies in Germany [2026 ranked] | Seeders</t>
  </si>
  <si>
    <t>Seeders, Peak Ace, Claneo, Löwenstark, Suchhelden</t>
  </si>
  <si>
    <t>https://segmentstream.com/blog/articles/northbeam-alternatives</t>
  </si>
  <si>
    <t>10 Best Northbeam Alternatives for DTC Attribution in 2026 — SegmentStream</t>
  </si>
  <si>
    <t>SegmentStream, Northbeam, Triple Whale, Rockerbox, Cometly, Measured, Momentum</t>
  </si>
  <si>
    <t>https://www.sei.com/our-services/ai-readiness-assessments/</t>
  </si>
  <si>
    <t>AI Readiness Assessment Services | SEI Consulting</t>
  </si>
  <si>
    <t>https://selectedfirms.co/agency/hy-am-studios</t>
  </si>
  <si>
    <t>HY.AM STUDIOS | Reviews &amp;amp; Portfolios</t>
  </si>
  <si>
    <t>https://sellforte.com/blog/7-incrementality-measurement-tools-to-try-in-2025/</t>
  </si>
  <si>
    <t>7 Incrementality Measurement Tools to Try in 2025</t>
  </si>
  <si>
    <t>Sellforte, Measured, Haus, Boston Consulting Group</t>
  </si>
  <si>
    <t>https://sellforte.com/blog/real-time-mmm-tools-ecommerce</t>
  </si>
  <si>
    <t>Best Real-Time MMM Tools for Ecommerce Brands: Software That Delivers Instant Marketing Insights</t>
  </si>
  <si>
    <t>Sellforte, Triple Whale, Measured, Recast, Northbeam, Pilot, Boston Consulting Group</t>
  </si>
  <si>
    <t>https://sellforte.com/customer-news/case-study-released-brand-alley-x-sellforte</t>
  </si>
  <si>
    <t>BrandAlley Case Study: Validating Models with Sellforte</t>
  </si>
  <si>
    <t>https://sellforte.com/solutions/fashion-ecommerce</t>
  </si>
  <si>
    <t>Fashion Ecommerce: MMM + Incrementality Testing + Attribution | Sellforte</t>
  </si>
  <si>
    <t>Sellforte, Huge</t>
  </si>
  <si>
    <t>https://semnexus.com/the-top-10-aeo-agencies-in-2026-dominating-ai-search</t>
  </si>
  <si>
    <t>The Top 10 AEO Agencies in 2026: Dominating AI Search | SEM Nexus</t>
  </si>
  <si>
    <t>WebFX, Directive Consulting, Brainlabs, Siege Media</t>
  </si>
  <si>
    <t>https://seo-marketing.koeln/en/seo/ai-seo/</t>
  </si>
  <si>
    <t>AI SEO Agency – Increased Visibility Through Artificial Intelligence</t>
  </si>
  <si>
    <t>https://seodeutschland.de/ki-seo-agentur/</t>
  </si>
  <si>
    <t>KI SEO Agentur – GEO &amp;amp; AI-Sichtbarkeit in der KI Suche | SEODeutschland</t>
  </si>
  <si>
    <t>https://www.seodiscovery.com/ai-seo-agency.php</t>
  </si>
  <si>
    <t>AI SEO Agency | SEO For AI Search Engines</t>
  </si>
  <si>
    <t>https://seosupport.de/generative-engine-optimization/</t>
  </si>
  <si>
    <t>GEO / KI SEO Agentur in Berlin - seosupport GmbH</t>
  </si>
  <si>
    <t>https://www.seoworks.com/lists/the-20-best-geo-agencies/</t>
  </si>
  <si>
    <t>20 Best GEO Agencies (2026) | The SEO Works</t>
  </si>
  <si>
    <t>Omniscient Digital, Pilot</t>
  </si>
  <si>
    <t>https://seranking.com/de/blog/beste-ki-seo-agenturen/</t>
  </si>
  <si>
    <t>Die besten KI SEO-Agenturen 2026</t>
  </si>
  <si>
    <t>https://seybold.de/en/</t>
  </si>
  <si>
    <t>SEYBOLD - Digital Marketing Agency</t>
  </si>
  <si>
    <t>https://shifu-marketing.com/ai-consulting-services/ai-strategy-consulting/</t>
  </si>
  <si>
    <t>AI Strategy &amp;amp; Readiness - Shifu Marketing – AI Consulting &amp;amp; Strategy</t>
  </si>
  <si>
    <t>https://www.siegemedia.com/strategy/best-content-marketing-agencies</t>
  </si>
  <si>
    <t>The 13 Best Content Marketing Agencies in 2026</t>
  </si>
  <si>
    <t>Siege Media, Power Digital, Single Grain, McKinsey &amp; Company</t>
  </si>
  <si>
    <t>https://www.signalandkairos.com/</t>
  </si>
  <si>
    <t>Home | SignalandKairos</t>
  </si>
  <si>
    <t>https://simpli.fi/latest/how-to-build-a-winning-first-party-data-strategy-for-advertising</t>
  </si>
  <si>
    <t>First-Party Data Strategies for Modern Advertising</t>
  </si>
  <si>
    <t>https://www.singlegrain.com/artificial-intelligence/top-14-ai-marketing-agencies-in-2025/</t>
  </si>
  <si>
    <t>Top 14 AI Marketing Agencies in 2025: Expert Analysis &amp;amp; Rankings</t>
  </si>
  <si>
    <t>Single Grain, Superside, Pilot</t>
  </si>
  <si>
    <t>https://www.sixpathsconsulting.com/top-ai-consulting-companies/</t>
  </si>
  <si>
    <t>Top 7 AI Consulting Companies to Watch in 2026 - Six Paths Consulting</t>
  </si>
  <si>
    <t>https://skai.io/blog/retail-media-incrementality/</t>
  </si>
  <si>
    <t>Retail Media Incrementality Testing: Measuring True Campaign Impact</t>
  </si>
  <si>
    <t>https://www.smarketer.co.uk/google-shopping/css/</t>
  </si>
  <si>
    <t>Google Shopping CSS Agency | Premium Partner | Smarketer</t>
  </si>
  <si>
    <t>https://www.smartly.io/smartly-incrmntal</t>
  </si>
  <si>
    <t>Always-On Incrementality Measurement | Smartly + INCRMNTAL</t>
  </si>
  <si>
    <t>https://www.snk.de/en/snki/</t>
  </si>
  <si>
    <t>Data &amp;amp; AI</t>
  </si>
  <si>
    <t>https://www.soar.sh/solutions/ai-seo-agency</t>
  </si>
  <si>
    <t>AI SEO agency | Get recommended by ChatGPT, Claude | Soar Agency</t>
  </si>
  <si>
    <t>https://socialsamurai.de/blog/top-marketing-branding-agenturen-deutschlands/</t>
  </si>
  <si>
    <t>Top Marketing &amp;amp; Branding Agenturen Deutschlands | socialsamurai</t>
  </si>
  <si>
    <t>Serviceplan Group, Jung von Matt, Scholz &amp; Friends, Ogilvy, DDB Germany, Accenture Song, DEPT</t>
  </si>
  <si>
    <t>https://www.soenkesproll.de/blog/die-besten-social-media-agenturen</t>
  </si>
  <si>
    <t>Top 5 Social Media Agenturen in Deutschland 2026 | Sönke Sproll</t>
  </si>
  <si>
    <t>https://www.softwareadvice.com/marketing-attribution/</t>
  </si>
  <si>
    <t>Best Marketing Attribution Software - 2026 Reviews &amp;amp; Pricing</t>
  </si>
  <si>
    <t>Dreamdata, Measured</t>
  </si>
  <si>
    <t>https://www.sortlist.com/de/ai-marketing</t>
  </si>
  <si>
    <t>Unsere 100 Besten AI Marketing Agenturen - 2026 Bewertungen</t>
  </si>
  <si>
    <t>https://www.sortlist.com/i/branding/germany-de</t>
  </si>
  <si>
    <t>The 10 Best Branding Agencies in Germany - 2026 Reviews</t>
  </si>
  <si>
    <t>lehof, Measured</t>
  </si>
  <si>
    <t>https://www.sortlist.com/i/s/big-data-analytics/germany-de</t>
  </si>
  <si>
    <t>The 10 Best Big Data Analytics Companies in Germany - 2026 Reviews</t>
  </si>
  <si>
    <t>https://www.sortlist.com/i/s/linkedin-advertising/germany-de</t>
  </si>
  <si>
    <t>The 10 Best LinkedIn Ads Agencies in Germany - 2026 Reviews</t>
  </si>
  <si>
    <t>MONSOON, Triple Whale, Northbeam, Dreamdata, lehof</t>
  </si>
  <si>
    <t>https://www.sortlist.com/i/s/ppc-marketing/germany-de</t>
  </si>
  <si>
    <t>The 10 Best Pay-Per-Click Agencies in Germany - 2026 Reviews</t>
  </si>
  <si>
    <t>MONSOON, Mediacharge</t>
  </si>
  <si>
    <t>https://www.sortlist.com/media-planning</t>
  </si>
  <si>
    <t>The 100 Best Media Agencies - 2026 Reviews</t>
  </si>
  <si>
    <t>lehof</t>
  </si>
  <si>
    <t>https://www.sortlist.com/s/ai-agents/germany-de</t>
  </si>
  <si>
    <t>The 10 Best AI Agents Companies in Germany - 2026 Reviews</t>
  </si>
  <si>
    <t>https://www.sortlist.com/s/artificial-intelligence/hamburg-de</t>
  </si>
  <si>
    <t>The 10 Best Artificial Intelligence Agencies in Hamburg - 2026 Reviews</t>
  </si>
  <si>
    <t>https://www.sortlist.com/s/brand-experience/germany-de</t>
  </si>
  <si>
    <t>The 10 Best Brand Experience Agencies in Germany - 2026 Reviews</t>
  </si>
  <si>
    <t>lehof, PANORAMA3000, Measured</t>
  </si>
  <si>
    <t>https://www.sortlist.com/s/data-driven-marketing/berlin-de</t>
  </si>
  <si>
    <t>The 10 Best Data Driven Marketing Agencies in Berlin - 2026 Reviews</t>
  </si>
  <si>
    <t>MONSOON, lehof, Triple Whale, Northbeam, Dreamdata, KlickPiloten</t>
  </si>
  <si>
    <t>https://www.sortlist.com/s/international-marketing/hamburg-de</t>
  </si>
  <si>
    <t>The 10 Best International Marketing Agencies in Hamburg - 2026 Reviews</t>
  </si>
  <si>
    <t>MONSOON, Measured, KlickPiloten</t>
  </si>
  <si>
    <t>https://www.sortlist.com/s/paid-media/munich-by-de</t>
  </si>
  <si>
    <t>The 10 Best Paid Media Agencies in Munich - 2026 Reviews</t>
  </si>
  <si>
    <t>Measured, lehof, Triple Whale, Northbeam, Dreamdata, Mediacharge, MONSOON, Loyamo</t>
  </si>
  <si>
    <t>https://www.sortlist.com/s/performance-marketing/frankfurt-he-de</t>
  </si>
  <si>
    <t>The 10 Best Performance Marketing Agencies in Frankfurt - 2026 Reviews</t>
  </si>
  <si>
    <t>lehof, Mediacharge, MONSOON, ZweiDigital GmbH, Measured, Triple Whale, Northbeam, Dreamdata</t>
  </si>
  <si>
    <t>https://www.sortlist.com/s/performance-marketing/munich-by-de</t>
  </si>
  <si>
    <t>The 10 Best Performance Marketing Agencies in Munich - 2026 Reviews</t>
  </si>
  <si>
    <t>lehof, Mediacharge, MONSOON, Triple Whale, Northbeam, Dreamdata, Loyamo</t>
  </si>
  <si>
    <t>https://www.sortlist.com/s/programmatic-advertising/berlin-de#:~:text=%F0%9F%87%AC%F0%9F%87%A7%20below%20%F0%9F%87%AC%F0%9F%87%A7%20Say%20hi%20to%20Digital,we%20support%20you%20in%20digitizing%20your%20business.</t>
  </si>
  <si>
    <t>The 10 Best Programmatic Advertising Companies in Berlin - 2026 Reviews</t>
  </si>
  <si>
    <t>MONSOON, Triple Whale, Northbeam, Dreamdata, KlickPiloten, Medialabel, lehof</t>
  </si>
  <si>
    <t>https://www.sortlist.com/s/roi-optimization/germany-de</t>
  </si>
  <si>
    <t>The 10 Best ROI Optimization Companies in Germany - 2026 Reviews</t>
  </si>
  <si>
    <t>MONSOON, Measured, Triple Whale, Northbeam, Dreamdata, PANORAMA3000, ZweiDigital GmbH</t>
  </si>
  <si>
    <t>https://www.sortlist.com/social-media-optimization</t>
  </si>
  <si>
    <t>The 100 Best Social Media Optimization Agencies - 2026 Reviews</t>
  </si>
  <si>
    <t>https://www.sortlist.de/s/display-werbung/bayern-by-de</t>
  </si>
  <si>
    <t>Display Anzeigen Agentur Bayern vergleichen</t>
  </si>
  <si>
    <t>MONSOON, Triple Whale, Northbeam, Dreamdata, Mediacharge, Loyamo</t>
  </si>
  <si>
    <t>https://www.sortlist.de/s/display-werbung/hamburg-de</t>
  </si>
  <si>
    <t>Unsere 10 Besten Display Anzeigen Agenturen in Hamburg - 2026 Bewertungen</t>
  </si>
  <si>
    <t>KlickPiloten, Triple Whale, Northbeam, Dreamdata, MONSOON</t>
  </si>
  <si>
    <t>https://www.sortlist.de/s/display-werbung/hamburg-hh-de</t>
  </si>
  <si>
    <t>Display-Advertising-Agentur Hamburg: Anbieter vergleichen</t>
  </si>
  <si>
    <t>https://www.sortlist.de/s/facebook-advertising/deutschland-de</t>
  </si>
  <si>
    <t>Unsere 10 Besten Facebook-Werbung Agenturen in Deutschland - 2026 Bewertungen</t>
  </si>
  <si>
    <t>lehof, MONSOON, Triple Whale, Northbeam, Dreamdata, PANORAMA3000</t>
  </si>
  <si>
    <t>https://www.sortlist.de/s/linkedin-ads/deutschland-de</t>
  </si>
  <si>
    <t>Unsere 10 Besten LinkedIn Ads Agenturen in Deutschland - 2026 Bewertungen</t>
  </si>
  <si>
    <t>https://www.sortlist.de/s/marketing-analytik/hamburg-de</t>
  </si>
  <si>
    <t>Marketing Analytik Agentur Hamburg vergleichen</t>
  </si>
  <si>
    <t>lehof, MONSOON, KlickPiloten</t>
  </si>
  <si>
    <t>https://www.sortlist.de/s/pay-per-click/deutschland-de</t>
  </si>
  <si>
    <t>Unsere 10 Besten PPC Marketing Agenturen in Deutschland - 2026 Bewertungen</t>
  </si>
  <si>
    <t>https://www.sortlist.de/s/programmatic-advertising/deutschland-de?page=2</t>
  </si>
  <si>
    <t>Unsere 10 Besten Programmatic Advertising Agenturen in Deutschland - 2026 Bewertungen – Seite 2</t>
  </si>
  <si>
    <t>lehof, MONSOON, KlickPiloten, Medialabel, morefire, Think11, Haus, Peak Ace</t>
  </si>
  <si>
    <t>https://www.sortlist.de/s/tiktok/deutschland-de</t>
  </si>
  <si>
    <t>TikTok Agentur Deutschland 2026 – Die 11 Besten im Vergleich</t>
  </si>
  <si>
    <t>PANORAMA3000, MONSOON, lehof, Loyamo</t>
  </si>
  <si>
    <t>https://www.sortlist.de/s/tiktok/deutschland-de?page=2</t>
  </si>
  <si>
    <t>TikTok Agentur Deutschland 2026 – Die 11 Besten im Vergleich – Seite 2</t>
  </si>
  <si>
    <t>PANORAMA3000, Pilot</t>
  </si>
  <si>
    <t>https://www.sortlist.de/social-media/deutschland-de</t>
  </si>
  <si>
    <t>Social-Media Agentur Deutschland 2026 – Die 17 Besten im Vergleich</t>
  </si>
  <si>
    <t>PANORAMA3000, lehof</t>
  </si>
  <si>
    <t>https://sourceforge.net/software/incrementality-testing/europe/</t>
  </si>
  <si>
    <t>Best Incrementality Testing Tools in Europe of 2026 - Reviews &amp;amp; Comparison</t>
  </si>
  <si>
    <t>https://www.spacedealer.de/en/</t>
  </si>
  <si>
    <t>spacedealer \| Performance Marketing for Complex Markets</t>
  </si>
  <si>
    <t>https://www.spaceo.ai/ai-agent/</t>
  </si>
  <si>
    <t>Leading AI Agent Development Company in the USA | Space-O AI</t>
  </si>
  <si>
    <t>https://www.spie.ch/de/data-ai/ai-readiness-consulting/</t>
  </si>
  <si>
    <t>AI Readiness Consulting</t>
  </si>
  <si>
    <t>https://www.stackadapt.com/resources/blog/first-party-data-strategy</t>
  </si>
  <si>
    <t>First-party data strategy: An in-depth guide for marketers</t>
  </si>
  <si>
    <t>https://stamp.productions/</t>
  </si>
  <si>
    <t>Stamp Productions</t>
  </si>
  <si>
    <t>https://stape.io/blog/marketing-attribution-models</t>
  </si>
  <si>
    <t>Marketing Attribution Models | Which One to Choose?</t>
  </si>
  <si>
    <t>https://www.statista.com/topics/12476/%25E2%2580%259Cbig-six%25E2%2580%259D-ad-agency-groups-worldwide/</t>
  </si>
  <si>
    <t>“Big Six” advertising agency groups worldwide – statistics &amp; facts \| Statista</t>
  </si>
  <si>
    <t>WPP, Publicis Groupe, Omnicom, Dentsu, Mindshare, Publicis Media, Havas Media</t>
  </si>
  <si>
    <t>https://www.statworx.com/daten-und-ki-loesungen</t>
  </si>
  <si>
    <t>KI-Lösungen: Individuelle AI Solutions für Ihr Unternehmen | statworx</t>
  </si>
  <si>
    <t>https://www.statworx.com/en/ecosystem</t>
  </si>
  <si>
    <t>Ecosystem</t>
  </si>
  <si>
    <t>https://steinbeis-ifem.de/certified-expert-eu-ai-act/</t>
  </si>
  <si>
    <t>Certified Expert EU AI Act - Steinbeis Ifem - The Augsburg Business School</t>
  </si>
  <si>
    <t>https://strativera.com/insights/best-seo-aeo-geo-marketing-agencies/</t>
  </si>
  <si>
    <t>Best SEO AEO GEO Marketing Agencies: Top Firms (2026)</t>
  </si>
  <si>
    <t>https://www.striped-giraffe.com/en/expertise/data-management/ai-readiness/</t>
  </si>
  <si>
    <t>AI-Readiness</t>
  </si>
  <si>
    <t>https://www.studiocherie.net/en/content-studio</t>
  </si>
  <si>
    <t>Content Studio Berlin – UGC, E-Commerce &amp;amp; AI | Studio Chérie</t>
  </si>
  <si>
    <t>https://studiohawk.com.au/seo-services/ai-seo/</t>
  </si>
  <si>
    <t>AI SEO Agency Services | AI Search Experts</t>
  </si>
  <si>
    <t>https://submerge.digital/measurement/marketing-attribution-agency/#:~:text=We%20work%20across%20GA4%2C%20campaign,channel%20contribution%20and%20commercial%20value.</t>
  </si>
  <si>
    <t>Marketing Attribution Agency - Powering Insights - Submerge</t>
  </si>
  <si>
    <t>https://www.suchhelden.de/beste-geo-agenturen-deutschlands.php</t>
  </si>
  <si>
    <t>Beste GEO-Agenturen 2026: Top-Liste für KI-Sichtbarkeit</t>
  </si>
  <si>
    <t>Suchhelden, Aufgesang, Claneo, iPullRank, WebFX, Omnius</t>
  </si>
  <si>
    <t>https://www.suchhelden.de/google-ads-agentur.php</t>
  </si>
  <si>
    <t>Google Ads Agentur 2026 | zertifizierter Premium Partner</t>
  </si>
  <si>
    <t>https://superbcompanies.com/categories/advertising-agencies-in-germany/</t>
  </si>
  <si>
    <t>Top 20 Advertising Agencies in Germany - Jul 2026 | Ranking | SuperbCompanies</t>
  </si>
  <si>
    <t>KlickPiloten, Mediacharge</t>
  </si>
  <si>
    <t>https://superbcompanies.com/categories/digital-marketing-companies-in-germany/</t>
  </si>
  <si>
    <t>Top 50 Digital Marketing Companies in Germany - Jul 2026 | Ranking | SuperbCompanies</t>
  </si>
  <si>
    <t>HECHT INS GEFECHT, KlickPiloten, The Boutique Agency, Mediacharge</t>
  </si>
  <si>
    <t>https://www.superside.com/blog/ad-creative-agencies</t>
  </si>
  <si>
    <t>12 Top Ad Creative Agencies for Enterprises &amp;amp; Brands (2026)</t>
  </si>
  <si>
    <t>Superside, Ogilvy, Accenture Song</t>
  </si>
  <si>
    <t>https://www.superside.com/blog/ai-powered-agencies</t>
  </si>
  <si>
    <t>10 AI-Powered Agencies Blending Automation and Creativity in 2026</t>
  </si>
  <si>
    <t>Superside, PwC, Jellyfish, Brandtech, NoGood</t>
  </si>
  <si>
    <t>https://www.superside.com/blog/creative-at-scale</t>
  </si>
  <si>
    <t>Driving Creative at Scale for Brands To Achieve Success (Services &amp;amp; Tips)</t>
  </si>
  <si>
    <t>Superside, GroupM, WPP, Publicis Groupe, Accenture Song, Deloitte Digital</t>
  </si>
  <si>
    <t>https://www.superside.com/blog/creative-strategy-agencies-examples</t>
  </si>
  <si>
    <t>5 Best Creative Strategy Agencies (5+ Top Campaign Examples)</t>
  </si>
  <si>
    <t>Superside, Momentum, Pilot</t>
  </si>
  <si>
    <t>https://support.google.com/google-ads/answer/11410677?hl=en</t>
  </si>
  <si>
    <t>Google Partners directory - Google Ads Help</t>
  </si>
  <si>
    <t>https://support.google.com/google-ads/answer/9029203?hl=en</t>
  </si>
  <si>
    <t>About the Google Partners program</t>
  </si>
  <si>
    <t>https://support.google.com/google-ads/answer/9702452?hl=de</t>
  </si>
  <si>
    <t>Google Partner oder Premium-Partner werden</t>
  </si>
  <si>
    <t>https://support.google.com/tagmanager/answer/7237700?hl=en</t>
  </si>
  <si>
    <t>https://suxeedo.de/en/services/b2b-marketing/</t>
  </si>
  <si>
    <t>B2B Marketing Agency in Germany</t>
  </si>
  <si>
    <t>https://swcpartnership.com/solutions</t>
  </si>
  <si>
    <t>Marketing Solutions | SWC Partnership</t>
  </si>
  <si>
    <t>https://syncgtm.com/blog/best-gtm-agencies-in-germany</t>
  </si>
  <si>
    <t>6 Best GTM Agencies in Germany for Enterprise B2B (2026) | SyncGTM | SyncGTM</t>
  </si>
  <si>
    <t>https://www.takevalue.de/branchen/software-it/</t>
  </si>
  <si>
    <t>Digitalagentur für Software- &amp;amp; IT-Unternehmen</t>
  </si>
  <si>
    <t>https://www.tdwi-konferenz.de/de/programm/konferenzprogramm/academic-track-5</t>
  </si>
  <si>
    <t>TDWI München | Programm</t>
  </si>
  <si>
    <t>Pilot, FELD M</t>
  </si>
  <si>
    <t>https://teamai.com/blog/generative-ai-and-business/top-geo-agencies-for-ai-visibility/</t>
  </si>
  <si>
    <t>The Best GEO Agencies to Explore in 2026</t>
  </si>
  <si>
    <t>https://tech-now.io/en/blogs/top-10-app-development-companies-in-germany/</t>
  </si>
  <si>
    <t>Top 10 App Development Companies in Germany - TechNow</t>
  </si>
  <si>
    <t>https://tech-now.io/en/blogs/top-10-best-it-companies-in-dusseldorf/</t>
  </si>
  <si>
    <t>Top 10 Best IT Companies in Düsseldorf (2026) - TechNow</t>
  </si>
  <si>
    <t>https://tech.us/blog/top-ai-agent-development-companies-usa</t>
  </si>
  <si>
    <t>Top 10 Trusted AI Agent Development Companies in USA 2026</t>
  </si>
  <si>
    <t>https://www.techaheadcorp.com/services/ai-development/</t>
  </si>
  <si>
    <t>Top AI Development Company in USA</t>
  </si>
  <si>
    <t>https://techbehemoths.com/companies/outdoor-advertising/germany</t>
  </si>
  <si>
    <t>Top 20+ Outdoor Advertising Agencies in Germany (2026) - TechBehemoths</t>
  </si>
  <si>
    <t>https://technologyarch.com/it-consulting/ai-adoption/</t>
  </si>
  <si>
    <t>AI Adoption Consulting in Minneapolis, Green Bay &amp;amp; Denver</t>
  </si>
  <si>
    <t>https://www.techradar.com/pro/agentic-search-optimization-reshapes-brand-visibility-in-ai-search</t>
  </si>
  <si>
    <t>Agentic Search Optimization reshapes brand visibility in AI search | TechRadar</t>
  </si>
  <si>
    <t>https://www.techradar.com/pro/hubspot-increased-leads-by-1850-percent-and-we-asked-them-how-the-aeo-playbook</t>
  </si>
  <si>
    <t>HubSpot increased leads by 1850%, and we asked them how: The AEO playbook | TechRadar</t>
  </si>
  <si>
    <t>https://techradiant.co/agencies/generative-engine-optimization/</t>
  </si>
  <si>
    <t>Best Generative Engine Optimization Companies 2026 | Top GEO Experts - Techradiant</t>
  </si>
  <si>
    <t>https://terratern.com/blog/civil-engineering-companies-in-germany/</t>
  </si>
  <si>
    <t>Top Civil Engineering Companies in Germany: Latest List 2025</t>
  </si>
  <si>
    <t>https://thatware.co/aeo-seo-services-germany/</t>
  </si>
  <si>
    <t>AEO SEO Services Germany | AI Answer Engine SEO - ThatWare</t>
  </si>
  <si>
    <t>https://www.the-boutique-agency.de/de/seo</t>
  </si>
  <si>
    <t>SEO Agentur in München // The Boutique Agency – Zertifizierte B Corp™ • The Boutique Agency</t>
  </si>
  <si>
    <t>https://www.theadfirm.net/ai-seo/</t>
  </si>
  <si>
    <t>AI SEO Agency: Top-Rated AI SEO Services \| The Ad Firm</t>
  </si>
  <si>
    <t>https://www.thebusinessrover.com/blog/media-buying-agencies</t>
  </si>
  <si>
    <t>13 Best Media Buying Agencies in 2026 | The Business Rover</t>
  </si>
  <si>
    <t>Measured, Tinuiti, Darkroom, Common Thread Collective, Disruptive Advertising, Power Digital, Hawke Media, New Engen, PMG, Wpromote, Brainlabs, Directive Consulting</t>
  </si>
  <si>
    <t>https://www.thebusinessrover.com/de/blog/growth-marketing-agencies</t>
  </si>
  <si>
    <t>15 Best Growth Marketing Agencies in | Der Business Rover</t>
  </si>
  <si>
    <t>NoGood, Wpromote, Omniscient Digital, Single Grain, Refine Labs</t>
  </si>
  <si>
    <t>https://thecxlead.com/services/best-customer-data-platform-consulting/</t>
  </si>
  <si>
    <t>10 Best Customer Data Platform Consultants in 2026</t>
  </si>
  <si>
    <t>Brandtech, Pilot, PwC</t>
  </si>
  <si>
    <t>https://thecypress.de/</t>
  </si>
  <si>
    <t>Cypress</t>
  </si>
  <si>
    <t>https://www.thedrum.com/news/world-creative-rankings-2023-adland-s-top-independent-agencies-revealed</t>
  </si>
  <si>
    <t>World Creative Rankings 2023: adland’s top independent agencies revealed | The Drum</t>
  </si>
  <si>
    <t>https://www.thekeenfolks.com/</t>
  </si>
  <si>
    <t>AI Marketing Agency | Keenfolks</t>
  </si>
  <si>
    <t>https://www.thekeenfolks.com/blog-article/best-performance-marketing-agencies</t>
  </si>
  <si>
    <t>The Best Performance Marketing Agencies for Enterprise Growth</t>
  </si>
  <si>
    <t>Tinuiti, DEPT, Croud, Disruptive Advertising, WebFX</t>
  </si>
  <si>
    <t>https://www.themacgroups.com/who-are-the-big-5-advertising-agencies/</t>
  </si>
  <si>
    <t>Who are the big 5 advertising agencies? | The Mac Groups</t>
  </si>
  <si>
    <t>WPP, Omnicom, Publicis Groupe, Dentsu</t>
  </si>
  <si>
    <t>https://themanifest.com/de/artificial-intelligence/companies</t>
  </si>
  <si>
    <t>Top-Rated Artificial Intelligence &amp;amp; AI Companies for Healthcare, FinTech, eCommerce in Germany, Berlin, Munich | Vetted &amp;amp; Reviewed July 2026 | The Manifest</t>
  </si>
  <si>
    <t>https://themanifest.com/de/market-research/agencies#:~:text=List%20of%20the%20Best%20Germany,business%20consulting%2C%20and%20digital%20strategy.</t>
  </si>
  <si>
    <t>https://themanifest.com/de/social-media/linkedin/agencies</t>
  </si>
  <si>
    <t>The Best LinkedIn Advertising Companies in Germany - Jul 2026 | The Manifest</t>
  </si>
  <si>
    <t>MONSOON, HY.AM STUDIOS, PANORAMA3000, KlickPiloten, Pulse Advertising</t>
  </si>
  <si>
    <t>https://themanifest.com/de/social-media/tiktok/agencies</t>
  </si>
  <si>
    <t>The Best TikTok Advertising Companies in Germany - Jul 2026 | The Manifest</t>
  </si>
  <si>
    <t>https://www.thenavsoft.com/ai-development-services-company/ai-seo/</t>
  </si>
  <si>
    <t>AI SEO Services | Generative Engine Optimization Services</t>
  </si>
  <si>
    <t>https://www.therankmasters.com/insights/vendors/best-aeo-agencies</t>
  </si>
  <si>
    <t>Best AEO Agencies for AI Search in 2026</t>
  </si>
  <si>
    <t>https://thesocialshepherd.com/blog/top-creative-agencies-us</t>
  </si>
  <si>
    <t>The Social Shepherd | Top 17 Creative Agencies in the U.S. (2026)</t>
  </si>
  <si>
    <t>inBeat, Dentsu</t>
  </si>
  <si>
    <t>https://thetechfounders.co.uk/guides/10-best-ai-readiness-assessment-platforms-available-in-2026/</t>
  </si>
  <si>
    <t>10 Best AI Readiness Assessment Platforms Available in 2026 | The Tech Founders</t>
  </si>
  <si>
    <t>https://thinkwithalec.com/2025/03/02/best-marketing-platforms-for-tracking-first-party-data/</t>
  </si>
  <si>
    <t>Best Marketing Platforms for Tracking First-Party Data – THINK WITH ALEC</t>
  </si>
  <si>
    <t>https://www.thinkwithgoogle.com/intl/de-de/marketing-strategien/daten-und-messung/im-interview-mit-der-performance-agentur-hurra-communications/</t>
  </si>
  <si>
    <t>Think with Google US - Marketing Research, Insights, and Trends</t>
  </si>
  <si>
    <t>https://www.thjnk.de/en/post/thjnk-and-ogilvy-launch-a-unique-partnership-on-equal-footing-a-significant-step-in-the-german-agen</t>
  </si>
  <si>
    <t>thjnk AND OGILVY LAUNCH A UNIQUE PARTNERSHIP ON EQUAL FOOTING. A SIGNIFICANT STEP IN THE GERMAN AGENCY MARKET</t>
  </si>
  <si>
    <t>https://www.thoughtworks.com/en-de/what-we-do/ai/ai-readiness</t>
  </si>
  <si>
    <t>AI that works or AI that stalls?</t>
  </si>
  <si>
    <t>https://threebestrated.de/advertising-agencies-in-frankfurt#:~:text=1,and%20Creatives%20%E2%9C%93%20Tracking%20Integration</t>
  </si>
  <si>
    <t>3 Best Advertising Agencies in Frankfurt - Expert Recommendations</t>
  </si>
  <si>
    <t>https://www.timospecht.de/en/geo-agentur/</t>
  </si>
  <si>
    <t>GEO Agency - Visibility with AIO in LLM's (KI-SEO*NEW)</t>
  </si>
  <si>
    <t>https://www.timospecht.de/en/seo-starnberg/</t>
  </si>
  <si>
    <t>Starnberg SEO agency: Greater visibility with Specht GmbH</t>
  </si>
  <si>
    <t>https://tms-outsource.com/blog/posts/tech-companies-in-germany/</t>
  </si>
  <si>
    <t>Tech Companies in Germany You&amp;#039;d Like on Your Resume</t>
  </si>
  <si>
    <t>https://www.todaymade.com/blog/top-creative-agencies</t>
  </si>
  <si>
    <t>Top Creative Agencies in 2025. Ranked &amp;amp; Matched to Your Goals</t>
  </si>
  <si>
    <t>Ogilvy, WPP, Omnicom, Huge, Superside, R/GA, AKQA, Accenture Song, Publicis Groupe, Dentsu, Jung von Matt, Scholz &amp; Friends, Media.Monks, Monks, Momentum</t>
  </si>
  <si>
    <t>https://toolradar.com/best/attribution</t>
  </si>
  <si>
    <t>Best Attribution Tools in 2026 | Toolradar</t>
  </si>
  <si>
    <t>Triple Whale, Northbeam, Rockerbox, Dreamdata, Cometly</t>
  </si>
  <si>
    <t>https://www.topinteractiveagencies.com/digital/agency/profile/europe/germany-deutschland/munich/serviceplan-group/</t>
  </si>
  <si>
    <t>Serviceplan Group | Top Interactive Agencies</t>
  </si>
  <si>
    <t>Serviceplan Group, Huge, Monks</t>
  </si>
  <si>
    <t>https://touchstoneresearch.com/top-10-global-market-research-companies/</t>
  </si>
  <si>
    <t>Top 10 Global Market Research Companies in 2026</t>
  </si>
  <si>
    <t>https://www.towa-digital.com/en/technology/google-marketing-platform/</t>
  </si>
  <si>
    <t>Google Marketing Partner - Hamburg, München &amp;amp; Wien | TOWA Digital</t>
  </si>
  <si>
    <t>https://www.tppc.agency/</t>
  </si>
  <si>
    <t>https://tracify.ai/en</t>
  </si>
  <si>
    <t>tracify.ai | Accurate Tracking &amp;amp; AI Attribution</t>
  </si>
  <si>
    <t>https://tradefest.io/es/event/d3con</t>
  </si>
  <si>
    <t>d3con 2027</t>
  </si>
  <si>
    <t>https://www.traqer.ai/blog/ai-visibility-tool</t>
  </si>
  <si>
    <t>How to choose the best AI visibility tool for your business</t>
  </si>
  <si>
    <t>https://www.treirealestate.com/en/company</t>
  </si>
  <si>
    <t>Trei Real Estate - Company - Trei Real Estate</t>
  </si>
  <si>
    <t>https://trendkraft.io/agentur/boutique-agency</t>
  </si>
  <si>
    <t>The Boutique Agency, München | DE</t>
  </si>
  <si>
    <t>https://www.trinitybps.com/ai-consulting</t>
  </si>
  <si>
    <t>AI Adoption Consulting — ARTHA &amp;amp; PRISM | Trinity Bridge PS</t>
  </si>
  <si>
    <t>https://www.tripledart.com/ai-seo/best-aeo-agencies</t>
  </si>
  <si>
    <t>14 Best AEO Agencies in 2026 (Vetted &amp;amp; Ranked)</t>
  </si>
  <si>
    <t>https://www.tripledart.com/ai-seo/best-generative-engine-optimization-agencies</t>
  </si>
  <si>
    <t>17 Best GEO Agencies in 2026</t>
  </si>
  <si>
    <t>Omnius, iPullRank, WebFX, NoGood, Siege Media</t>
  </si>
  <si>
    <t>https://www.tripledart.com/blog/best-aeo-agencies</t>
  </si>
  <si>
    <t>https://www.triplewhale.com/blog/incrementality-testing-methods</t>
  </si>
  <si>
    <t>A Guide to Incrementality Testing Methods: Different Ways to Measure True Marketing Impact | Triple Whale</t>
  </si>
  <si>
    <t>https://www.tripuls.de/online-marketing-attribution</t>
  </si>
  <si>
    <t>Online Marketing Attribution - Performance Marketing für Profis | tripuls Marburg</t>
  </si>
  <si>
    <t>https://trkkn.pt/company/</t>
  </si>
  <si>
    <t>https://www.tryseo.de/en/online-marketing-en/best-b2b-seo-agencies-germany/</t>
  </si>
  <si>
    <t>Best B2B SEO Agency in Germany: 10 Agencies Compared</t>
  </si>
  <si>
    <t>TRYSEO, DREIKON, performanceLiebe, McKinsey &amp; Company</t>
  </si>
  <si>
    <t>https://www.tsa-bildung.de/en/blog/the-ai-job-market-in-germany-skills-in-demand-for-2026-and-beyond</t>
  </si>
  <si>
    <t>The AI Job Market in Germany: Skills in Demand for 2026 and Beyond</t>
  </si>
  <si>
    <t>https://unbound-media.de/de/leistungen/</t>
  </si>
  <si>
    <t>Leistungen - UNBOUND MEDIA GmbH</t>
  </si>
  <si>
    <t>https://www.unfoldmart.com/blogs/top-branding-agencies-germany-2026</t>
  </si>
  <si>
    <t>Top Branding Agencies in Germany 2026: Complete Guide</t>
  </si>
  <si>
    <t>https://www.unfuture.de/de/</t>
  </si>
  <si>
    <t>Unfuture — KI-Transformation für den deutschen Mittelstand</t>
  </si>
  <si>
    <t>https://www.upgrow.io/aeo-agency/</t>
  </si>
  <si>
    <t>AEO Agency | Rank In Google AI, ChatGPT, Claude</t>
  </si>
  <si>
    <t>https://www.uptech.team/blog/ai-development-companies</t>
  </si>
  <si>
    <t>13 Best AI Development Companies in 2026 | Uptech</t>
  </si>
  <si>
    <t>https://www.upwork.com/resources/generative-ai-applications</t>
  </si>
  <si>
    <t>The Top 18 Generative AI Applications for Businesses - Upwork</t>
  </si>
  <si>
    <t>https://usercentrics.com/de/partner/</t>
  </si>
  <si>
    <t>Perfekten Partner finden| Usercentrics</t>
  </si>
  <si>
    <t>FELD M, DEPT, e-dialog, KlickPiloten, Peak Ace, Baseplus DIGITAL MEDIA GmbH, Jung von Matt, b.telligent</t>
  </si>
  <si>
    <t>https://usercentrics.com/guides/future-of-data-in-marketing/first-party-data-marketing/</t>
  </si>
  <si>
    <t>First-Party Data Marketing | Tips &amp;amp; Strategies for 2026</t>
  </si>
  <si>
    <t>https://usercentrics.com/partner-network/</t>
  </si>
  <si>
    <t>Usercentrics Partner Directory | Find The Right Partner</t>
  </si>
  <si>
    <t>Huge, DEPT, e-dialog, KlickPiloten, FELD M, Pilot, Jung von Matt, b.telligent</t>
  </si>
  <si>
    <t>https://usercentrics.com/partner-network/jung-von-matt-ag/</t>
  </si>
  <si>
    <t>Jung von Matt AG - Consent Management Platform (CMP) Usercentrics</t>
  </si>
  <si>
    <t>https://www.valtech.com/blog/closing-the-ai-readiness-gap/</t>
  </si>
  <si>
    <t>From adoption to advantage: Closing the AI readiness gap | Valtech</t>
  </si>
  <si>
    <t>https://varify.io/en/blog/cro-agencies/</t>
  </si>
  <si>
    <t>Top CRO agencies 2026: Conversion optimization in Germany</t>
  </si>
  <si>
    <t>https://venngage.com/blog/ai-marketing-tools/</t>
  </si>
  <si>
    <t>Top 30+ AI Marketing Tools for Growth in 2026</t>
  </si>
  <si>
    <t>https://www.ventum-consulting.com/assessments/ai-readiness-assessment-workshop/</t>
  </si>
  <si>
    <t>AI Readiness Assessment │ Ventum Consulting</t>
  </si>
  <si>
    <t>https://verdtek.com/ai-adoption/</t>
  </si>
  <si>
    <t>AI Adoption - Verdtek</t>
  </si>
  <si>
    <t>https://vertriebspilot.ai/en/blog/best-german-ai-automation-agencies-2026.html#:~:text=CET%20overlaps%20with%20both%20US,callbacks%20%2B%20WhatsApp%20qualification%20%2B%20calendar%20booking</t>
  </si>
  <si>
    <t>The Best German AI Automation Agencies in 2026 — An Honest Comparison | Vertriebspilot.ai</t>
  </si>
  <si>
    <t>https://vibebranding.com/blog/best-performance-marketing-agencies/</t>
  </si>
  <si>
    <t>Best Performance Marketing Agencies for ROI Growth 2025</t>
  </si>
  <si>
    <t>https://videofactory.agency/</t>
  </si>
  <si>
    <t>Video Factory - Infrastructure to scale ads</t>
  </si>
  <si>
    <t>https://viston.tech/top-10-ai-integration-consulting-firms-in-germany-for-2026/</t>
  </si>
  <si>
    <t>Top 10 AI Integration Consulting Firms in Germany for 2026</t>
  </si>
  <si>
    <t>https://vitasoft.co/best/geo-agentur-deutschland</t>
  </si>
  <si>
    <t>Vitasoft Index — the best software &amp;amp; AI vendors, scored for AI search</t>
  </si>
  <si>
    <t>WebFX, Disruptive Advertising, Power Digital, Digital Delight, Peak Ace</t>
  </si>
  <si>
    <t>https://vitasoft.co/de/best/geo-agentur-deutschland/</t>
  </si>
  <si>
    <t>Power Digital, WebFX, Peak Ace</t>
  </si>
  <si>
    <t>https://www.warroominc.com/services/google-marketing-platform/</t>
  </si>
  <si>
    <t>Google Marketing Platform Services » Certified GMP Partner</t>
  </si>
  <si>
    <t>https://weareaudiences.com/</t>
  </si>
  <si>
    <t>AUDIENCES | In-Cloud Signal Distribution for First-Party Data</t>
  </si>
  <si>
    <t>https://www.wearecatalyst.co.uk/geo-agency/</t>
  </si>
  <si>
    <t>GEO Agency | AI Search Engines | Catalyst Marketing Agency</t>
  </si>
  <si>
    <t>https://www.weareqry.com/blog/best-paid-media-agencies</t>
  </si>
  <si>
    <t>Best Paid Media Agencies for 2026 | QRY</t>
  </si>
  <si>
    <t>Wpromote, Power Digital, WebFX, Single Grain, Omnicom, Tinuiti</t>
  </si>
  <si>
    <t>https://www.weareqry.com/blog/best-performance-marketing-agencies</t>
  </si>
  <si>
    <t>Best Performance Marketing Agencies for 2026 | QRY</t>
  </si>
  <si>
    <t>Measured, Tinuiti, Power Digital, NoGood, Hawke Media</t>
  </si>
  <si>
    <t>https://www.wearetenet.com/blog/best-ai-seo-agencies</t>
  </si>
  <si>
    <t>10 Best AI SEO Agencies to Win in AI Overviews and LLMs</t>
  </si>
  <si>
    <t>https://www.webfx.com/digital-marketing/learn/top-martech-companies/</t>
  </si>
  <si>
    <t>9 Top Martech Companies of 2026 in the World</t>
  </si>
  <si>
    <t>https://webguruz.in/blog/best-google-ads-agencies-india</t>
  </si>
  <si>
    <t>Top 5 Google Ads Agencies in India for Lead Generation</t>
  </si>
  <si>
    <t>Publicis Groupe, Measured</t>
  </si>
  <si>
    <t>https://webmetic.de/analytics-insights</t>
  </si>
  <si>
    <t>https://www.webtonic.io/blog/best-performance-marketing-agencies-2026</t>
  </si>
  <si>
    <t>28 Best Performance Marketing Agencies for 2026</t>
  </si>
  <si>
    <t>Wpromote, Tinuiti, Brainlabs, Jellyfish, Croud, KlientBoost, Disruptive Advertising, NoGood, Power Digital, Directive Consulting, Hawke Media, Single Grain</t>
  </si>
  <si>
    <t>https://weframetech.com/blog/top-ai-seo-agencies-in-berlin-7-firms-leading-in-2026</t>
  </si>
  <si>
    <t>Top 7 AI SEO Agencies in Berlin 2026 Proof? I got you, bruh</t>
  </si>
  <si>
    <t>https://wellows.com/blog/top-ai-seo-agencies/</t>
  </si>
  <si>
    <t>17 Top AI SEO agencies in 2026</t>
  </si>
  <si>
    <t>iPullRank, Omnius, WebFX, NoGood, Measured</t>
  </si>
  <si>
    <t>https://www.werbeagentur.de/de/a/artefact-germany-gmbh</t>
  </si>
  <si>
    <t>Artefact Germany GmbH</t>
  </si>
  <si>
    <t>https://www.werbeagentur.de/de/scoring/ab-testing</t>
  </si>
  <si>
    <t>https://www.werbeagentur.de/de/scoring/digital-online-agentur</t>
  </si>
  <si>
    <t>1068 Top Digital / Online Agenturen. Hier vergleichen</t>
  </si>
  <si>
    <t>Artefact, Smarketer, Seiten-Werk, ZweiDigital GmbH, Digital Masters GmbH, Löwenstark, Baseplus DIGITAL MEDIA GmbH, eMinded GmbH, morefire, Loyamo, Aufgesang, PANORAMA3000</t>
  </si>
  <si>
    <t>https://www.wested.org/support/ai-readiness-and-integration/</t>
  </si>
  <si>
    <t>AI Readiness and Integration&amp;nbsp; – WestEd</t>
  </si>
  <si>
    <t>https://westlakepartners.de/</t>
  </si>
  <si>
    <t>https://westoperators.com/blog/top-7-aeo-agencies</t>
  </si>
  <si>
    <t>Top AI search optimization agencies (AEO) in 2025-2026 | West Operators</t>
  </si>
  <si>
    <t>Omniscient Digital, iPullRank, Siege Media, Single Grain</t>
  </si>
  <si>
    <t>https://www.wetracked.io/de/post/marketing-attribution-tools</t>
  </si>
  <si>
    <t>Die 13 besten Marketing-Attributions-Tools für umsetzbare Erkenntnisse (2026) | wetracked.io</t>
  </si>
  <si>
    <t>Cometly, Triple Whale, Ruler Analytics</t>
  </si>
  <si>
    <t>https://weventure.de/en/digital-marketing/ai</t>
  </si>
  <si>
    <t>AI Marketing for Maximum Visibility | WEVENTURE Agency</t>
  </si>
  <si>
    <t>https://www.xn--wie-findet-man-die-beste-agentur-fr-ki-suche-oue.de/</t>
  </si>
  <si>
    <t>Die 10 besten GEO-Agenturen 2026 – Beste GEO-Agentur finden | Checkliste &amp;amp; Ranking</t>
  </si>
  <si>
    <t>xn--wie-findet-man-die-beste-agentur-fr-ki-suche-oue.de</t>
  </si>
  <si>
    <t>https://wifitalents.com/service/ai-adoption/</t>
  </si>
  <si>
    <t>Top AI Adoption Services (2026)</t>
  </si>
  <si>
    <t>PwC, Capgemini, Pilot, appliedAI, Momentum</t>
  </si>
  <si>
    <t>https://www.wmtips.com/technologies/marketing-attribution/</t>
  </si>
  <si>
    <t>Top 25+ Marketing Attribution Platforms by Market Share (2026)</t>
  </si>
  <si>
    <t>https://www.woodmark.de/en/data-ai/artificial-intelligence-ai#:~:text=The%20best%20trust%20in%20Woodmark,them%20into%20products%20and%20services.</t>
  </si>
  <si>
    <t>AI Consulting - Woodmark Consulting</t>
  </si>
  <si>
    <t>https://www.workmagic.io/</t>
  </si>
  <si>
    <t>WorkMagic | Growth by Science</t>
  </si>
  <si>
    <t>https://worldmetrics.org/service/ai-adoption/</t>
  </si>
  <si>
    <t>Top 10 Best AI Adoption Services | 2026 Expert Picks</t>
  </si>
  <si>
    <t>PwC, EY, Capgemini, appliedAI, Pilot, Momentum</t>
  </si>
  <si>
    <t>https://worldmetrics.org/service/data-marketing/</t>
  </si>
  <si>
    <t>Best Data Marketing Services (2026)</t>
  </si>
  <si>
    <t>Merkle, Dentsu, Publicis Groupe, WPP, EY, Kantar, iProspect</t>
  </si>
  <si>
    <t>https://www.wpp.com/en/about</t>
  </si>
  <si>
    <t>About WPP – the trusted growth partner for leading brands | WPP</t>
  </si>
  <si>
    <t>WPP</t>
  </si>
  <si>
    <t>https://www.wpp.com/en/about/our-company</t>
  </si>
  <si>
    <t>Our company | WPP</t>
  </si>
  <si>
    <t>WPP, Ogilvy, AKQA</t>
  </si>
  <si>
    <t>https://www.wpp.com/en/companies/scholz--friends</t>
  </si>
  <si>
    <t>Scholz &amp;amp; Friends | WPP</t>
  </si>
  <si>
    <t>https://www.wsj.com/business/earnings/publicis-raises-guidance-citing-new-business-wins-ad4f0d98</t>
  </si>
  <si>
    <t>Publicis Raises Guidance, Citing New Business Wins - WSJ</t>
  </si>
  <si>
    <t>Publicis Groupe, Momentum</t>
  </si>
  <si>
    <t>https://www.wsj.com/cio-journal/the-ai-superfans-companies-count-on-to-convert-the-skeptics-5b301a90</t>
  </si>
  <si>
    <t>The AI Superfans Companies Count On to Convert the Skeptics - WSJ</t>
  </si>
  <si>
    <t>https://www.wuv.de/Archiv/Jung-von-Matt-ist-kreativste-Agentur-Deutschlands</t>
  </si>
  <si>
    <t>Jung von Matt ist die kreativste Agentur Deutschlands | W&amp;amp;V</t>
  </si>
  <si>
    <t>Jung von Matt, Ogilvy</t>
  </si>
  <si>
    <t>https://www.wuv.de/Themen/Agentur/BIG-50-Das-sind-Deutschlands-groesste-Independents</t>
  </si>
  <si>
    <t>Umsatzranking BIG 50: Das sind Deutschlands größte Independents | W&amp;amp;V</t>
  </si>
  <si>
    <t>https://www.wuv.de/Themen/Agentur/Das-sind-Deutschlands-meistausgezeichnete-Agenturen2</t>
  </si>
  <si>
    <t>Das sind Deutschlands meistausgezeichnete Agenturen | W&amp;amp;V</t>
  </si>
  <si>
    <t>Serviceplan Group, Scholz &amp; Friends</t>
  </si>
  <si>
    <t>https://www.wuv.dewww.wuv.de/Themen/Agentur/Das-sind-Deutschlands-meistausgezeichnete-Agenturen</t>
  </si>
  <si>
    <t>https://www1.varify.io/en/blog/cro-agencies/</t>
  </si>
  <si>
    <t>https://xcelacore.com/ai-consultants-for-mid-sized-companies/</t>
  </si>
  <si>
    <t>Top AI Consultants for Mid-Sized Companies (2026)</t>
  </si>
  <si>
    <t>BCG, Pilot, Opinosis Analytics, PwC, EY</t>
  </si>
  <si>
    <t>https://www.xmanmobi.com/</t>
  </si>
  <si>
    <t>XMAN - Scale Your Revenue with AI-Driven Media Buying | Premium Agency</t>
  </si>
  <si>
    <t>https://www.xmethod.de/en/blog/best-flutter-app-development-companies</t>
  </si>
  <si>
    <t>10 Best Flutter App Development Companies Reviewed (2026)</t>
  </si>
  <si>
    <t>Xmethod, Pilot</t>
  </si>
  <si>
    <t>https://www.xmethod.de/en/blog/top-10-app-development-companies</t>
  </si>
  <si>
    <t>Top 10 Mobile App Development Companies in Germany 2026</t>
  </si>
  <si>
    <t>Xmethod</t>
  </si>
  <si>
    <t>https://www.yesoptimist.com/best-geo-agencies/</t>
  </si>
  <si>
    <t>The 7 Best GEO Agencies Driving Real Revenue from AI in 2026 | Optimist</t>
  </si>
  <si>
    <t>Measured, iPullRank, Siege Media, Omniscient Digital</t>
  </si>
  <si>
    <t>https://www.yotpo.com/blog/aeo-vs-seo-strategy/</t>
  </si>
  <si>
    <t>AEO Vs. SEO: Best Strategies For 2026</t>
  </si>
  <si>
    <t>https://www.youfinddigital.com/blog/best-geo-agency-for-ai-search.html</t>
  </si>
  <si>
    <t>15 Best GEO Agencies in 2026 | Top Generative Engine Optimization Firms</t>
  </si>
  <si>
    <t>Omnius, Siege Media, iPullRank, Omniscient Digital, WebFX</t>
  </si>
  <si>
    <t>https://www.youtube.com/watch?v=CS31tb_2rCc&amp;t=389</t>
  </si>
  <si>
    <t>Die BESTEN AI Tools für deutsche Agenturen</t>
  </si>
  <si>
    <t>https://www.youtube.com/watch?v=GCuRtQenQ80&amp;t=153</t>
  </si>
  <si>
    <t>The 10 best AI tools for your business</t>
  </si>
  <si>
    <t>https://www.youtube.com/watch?v=JwCJmenpGKQ&amp;t=75</t>
  </si>
  <si>
    <t>#OMR26</t>
  </si>
  <si>
    <t>Claneo, Haus, Pilot</t>
  </si>
  <si>
    <t>https://www.youtube.com/watch?v=LPvRUxJ5J1E&amp;t=45</t>
  </si>
  <si>
    <t>Incrementality Testing and Marketing ROI with Aleksandra Semenenko - Data Coffee</t>
  </si>
  <si>
    <t>https://www.youtube.com/watch?v=NXkXQbQ9-kk&amp;vl=de-DE</t>
  </si>
  <si>
    <t>Best AI Tools for Generative Engine Optimization (GEO)</t>
  </si>
  <si>
    <t>https://www.youtube.com/watch?v=WD-3boLVluY&amp;vl=de&amp;t=368</t>
  </si>
  <si>
    <t>The 2026 Playbook: Generative Engine Optimization &amp; LLMO</t>
  </si>
  <si>
    <t>https://www.youtube.com/watch?v=XhMbeN7cH34&amp;vl=de&amp;t=707</t>
  </si>
  <si>
    <t>Incrementality Testing: How to Actually Measure Marketing Effectiveness (2026)</t>
  </si>
  <si>
    <t>https://www.youtube.com/watch?v=dtlZTULGX4A</t>
  </si>
  <si>
    <t>GEO Keyword Research and Tracking AI Search Results For Your Main Keywords</t>
  </si>
  <si>
    <t>https://www.youtube.com/watch?v=kfjxG-B28VY&amp;t=53</t>
  </si>
  <si>
    <t>Unlock True Marketing ROI: Incrementality Testing Explained (eBay Case Study) | Lifesight</t>
  </si>
  <si>
    <t>LifeSight</t>
  </si>
  <si>
    <t>https://www.zemith.com/blogs/best-ai-assistant-app</t>
  </si>
  <si>
    <t>The 12 Best AI Assistant App Choices for 2026 \| Zemith.com</t>
  </si>
  <si>
    <t>https://www.zendikt.com/top-10-ab-testing-software/germany/</t>
  </si>
  <si>
    <t>Top 10 A/B Testing and Experimentation Software in Germany for 2026</t>
  </si>
  <si>
    <t>Deloitte Digital, PwC, Mindshare</t>
  </si>
  <si>
    <t>https://zeotap.com/blog/how-zeotap-and-pwc-germany-are-transforming-enterprise-customer-intelligence/</t>
  </si>
  <si>
    <t>Transforming Enterprise Customer Intelligence |</t>
  </si>
  <si>
    <t>https://zeotap.com/our-partner/trkkn/</t>
  </si>
  <si>
    <t>TRKKN | Zeotap</t>
  </si>
  <si>
    <t>Omnicom, Omnicom Media Group</t>
  </si>
  <si>
    <t>https://zetaglobal.com/resource-center/ai-first-party-data-agency-growth/</t>
  </si>
  <si>
    <t>AI-Powered First-Party Data for Agency Growth | Zeta</t>
  </si>
  <si>
    <t>https://zipdo.co/service/customer-data-platform/</t>
  </si>
  <si>
    <t>Best Customer Data Platform Services (2026)</t>
  </si>
  <si>
    <t>PwC, Capgemini, WPP, Publicis Groupe</t>
  </si>
  <si>
    <t>https://zipdo.co/service/first-party-data/</t>
  </si>
  <si>
    <t>First Party Data Services: Best Picks (2026)</t>
  </si>
  <si>
    <t>Merkle, Dentsu, Publicis Groupe, PwC, EY, Capgemini, Publicis Media, Pilot</t>
  </si>
  <si>
    <t>https://zipdo.co/service/marketing-data-analytics/</t>
  </si>
  <si>
    <t>Best Marketing Data Analytics Services (2026)</t>
  </si>
  <si>
    <t>Merkle, Dentsu, Publicis Groupe, PwC</t>
  </si>
  <si>
    <t>https://www.zweidigital.de/</t>
  </si>
  <si>
    <t>ZweiDigital | Social Ads Performance Marketing Agentur</t>
  </si>
  <si>
    <t>https://www.zweidigital.de/meta-agentur/</t>
  </si>
  <si>
    <t>Meta Agentur | Meta Business Partner | Performance Ads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</si>
</sst>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font>
    <font>
      <color rgb="FFFFFFFF"/>
      <name val="Arial"/>
    </font>
    <font>
      <color theme="1"/>
      <name val="Arial"/>
    </font>
    <font>
      <u/>
      <color rgb="FF0000FF"/>
    </font>
    <font>
      <u/>
      <color rgb="FF0000FF"/>
    </font>
    <font>
      <u/>
      <color rgb="FF0000FF"/>
    </font>
    <font>
      <color theme="1"/>
      <name val="Arial"/>
      <scheme val="minor"/>
    </font>
    <font>
      <u/>
      <color rgb="FF0000FF"/>
      <name val="Arial"/>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readingOrder="0"/>
    </xf>
    <xf borderId="0" fillId="2" fontId="2" numFmtId="0" xfId="0" applyAlignment="1" applyFont="1">
      <alignment readingOrder="0" vertical="bottom"/>
    </xf>
    <xf borderId="0" fillId="2" fontId="2" numFmtId="0" xfId="0" applyAlignment="1" applyFont="1">
      <alignment vertical="bottom"/>
    </xf>
    <xf borderId="0" fillId="2" fontId="1" numFmtId="0" xfId="0" applyFont="1"/>
    <xf borderId="0" fillId="2" fontId="3" numFmtId="0" xfId="0" applyAlignment="1" applyFont="1">
      <alignment vertical="bottom"/>
    </xf>
    <xf borderId="0" fillId="0" fontId="4"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7" numFmtId="0" xfId="0" applyFont="1"/>
    <xf borderId="0" fillId="0" fontId="3" numFmtId="0" xfId="0" applyAlignment="1" applyFont="1">
      <alignment readingOrder="0" vertical="bottom"/>
    </xf>
    <xf borderId="0" fillId="0" fontId="3" numFmtId="0" xfId="0" applyAlignment="1" applyFont="1">
      <alignment readingOrder="0"/>
    </xf>
    <xf borderId="0" fillId="0" fontId="8"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0" fontId="9" numFmtId="0" xfId="0" applyAlignment="1" applyFont="1">
      <alignment readingOrder="0"/>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absatzwirtschaft.de" TargetMode="External"/><Relationship Id="rId194" Type="http://schemas.openxmlformats.org/officeDocument/2006/relationships/hyperlink" Target="http://comcepta.de" TargetMode="External"/><Relationship Id="rId193" Type="http://schemas.openxmlformats.org/officeDocument/2006/relationships/hyperlink" Target="http://beomniscient.com" TargetMode="External"/><Relationship Id="rId192" Type="http://schemas.openxmlformats.org/officeDocument/2006/relationships/hyperlink" Target="http://applabx.com" TargetMode="External"/><Relationship Id="rId191" Type="http://schemas.openxmlformats.org/officeDocument/2006/relationships/hyperlink" Target="http://adbaker.de" TargetMode="External"/><Relationship Id="rId187" Type="http://schemas.openxmlformats.org/officeDocument/2006/relationships/hyperlink" Target="http://pr-journal.de" TargetMode="External"/><Relationship Id="rId186" Type="http://schemas.openxmlformats.org/officeDocument/2006/relationships/hyperlink" Target="http://acid21.com" TargetMode="External"/><Relationship Id="rId185" Type="http://schemas.openxmlformats.org/officeDocument/2006/relationships/hyperlink" Target="http://clicksgeek.com" TargetMode="External"/><Relationship Id="rId184" Type="http://schemas.openxmlformats.org/officeDocument/2006/relationships/hyperlink" Target="http://seo-kueche.de" TargetMode="External"/><Relationship Id="rId189" Type="http://schemas.openxmlformats.org/officeDocument/2006/relationships/hyperlink" Target="http://webtonic.io" TargetMode="External"/><Relationship Id="rId188" Type="http://schemas.openxmlformats.org/officeDocument/2006/relationships/hyperlink" Target="http://seoworks.com" TargetMode="External"/><Relationship Id="rId183" Type="http://schemas.openxmlformats.org/officeDocument/2006/relationships/hyperlink" Target="http://sentinus-consulting.de" TargetMode="External"/><Relationship Id="rId182" Type="http://schemas.openxmlformats.org/officeDocument/2006/relationships/hyperlink" Target="http://reuters.com" TargetMode="External"/><Relationship Id="rId181" Type="http://schemas.openxmlformats.org/officeDocument/2006/relationships/hyperlink" Target="http://red-dot.org" TargetMode="External"/><Relationship Id="rId180" Type="http://schemas.openxmlformats.org/officeDocument/2006/relationships/hyperlink" Target="http://online-marketing-guy.com" TargetMode="External"/><Relationship Id="rId176" Type="http://schemas.openxmlformats.org/officeDocument/2006/relationships/hyperlink" Target="http://aeoagencyservices.com" TargetMode="External"/><Relationship Id="rId297" Type="http://schemas.openxmlformats.org/officeDocument/2006/relationships/hyperlink" Target="http://betteranswer.ai" TargetMode="External"/><Relationship Id="rId175" Type="http://schemas.openxmlformats.org/officeDocument/2006/relationships/hyperlink" Target="http://monks.com" TargetMode="External"/><Relationship Id="rId296" Type="http://schemas.openxmlformats.org/officeDocument/2006/relationships/hyperlink" Target="http://baselinemix.com" TargetMode="External"/><Relationship Id="rId174" Type="http://schemas.openxmlformats.org/officeDocument/2006/relationships/hyperlink" Target="http://daviesmeyer.com" TargetMode="External"/><Relationship Id="rId295" Type="http://schemas.openxmlformats.org/officeDocument/2006/relationships/hyperlink" Target="http://ayautomate.com" TargetMode="External"/><Relationship Id="rId173" Type="http://schemas.openxmlformats.org/officeDocument/2006/relationships/hyperlink" Target="http://campaigngermany.de" TargetMode="External"/><Relationship Id="rId294" Type="http://schemas.openxmlformats.org/officeDocument/2006/relationships/hyperlink" Target="http://aufgesang.de" TargetMode="External"/><Relationship Id="rId179" Type="http://schemas.openxmlformats.org/officeDocument/2006/relationships/hyperlink" Target="http://flypix.ai" TargetMode="External"/><Relationship Id="rId178" Type="http://schemas.openxmlformats.org/officeDocument/2006/relationships/hyperlink" Target="http://echomotion.ai" TargetMode="External"/><Relationship Id="rId299" Type="http://schemas.openxmlformats.org/officeDocument/2006/relationships/hyperlink" Target="http://businessofapps.com" TargetMode="External"/><Relationship Id="rId177" Type="http://schemas.openxmlformats.org/officeDocument/2006/relationships/hyperlink" Target="http://callboxinc.com" TargetMode="External"/><Relationship Id="rId298" Type="http://schemas.openxmlformats.org/officeDocument/2006/relationships/hyperlink" Target="http://bonanza-studios.com" TargetMode="External"/><Relationship Id="rId198" Type="http://schemas.openxmlformats.org/officeDocument/2006/relationships/hyperlink" Target="http://gemprogrammers.com" TargetMode="External"/><Relationship Id="rId197" Type="http://schemas.openxmlformats.org/officeDocument/2006/relationships/hyperlink" Target="http://firstpagesage.com" TargetMode="External"/><Relationship Id="rId196" Type="http://schemas.openxmlformats.org/officeDocument/2006/relationships/hyperlink" Target="http://f6s.com" TargetMode="External"/><Relationship Id="rId195" Type="http://schemas.openxmlformats.org/officeDocument/2006/relationships/hyperlink" Target="http://easy-m.de" TargetMode="External"/><Relationship Id="rId199" Type="http://schemas.openxmlformats.org/officeDocument/2006/relationships/hyperlink" Target="http://gwa.de" TargetMode="External"/><Relationship Id="rId150" Type="http://schemas.openxmlformats.org/officeDocument/2006/relationships/hyperlink" Target="http://pwc.de" TargetMode="External"/><Relationship Id="rId271" Type="http://schemas.openxmlformats.org/officeDocument/2006/relationships/hyperlink" Target="http://merkle.com" TargetMode="External"/><Relationship Id="rId392" Type="http://schemas.openxmlformats.org/officeDocument/2006/relationships/hyperlink" Target="http://adoptify.ai" TargetMode="External"/><Relationship Id="rId270" Type="http://schemas.openxmlformats.org/officeDocument/2006/relationships/hyperlink" Target="http://marketinglens.com" TargetMode="External"/><Relationship Id="rId391" Type="http://schemas.openxmlformats.org/officeDocument/2006/relationships/hyperlink" Target="http://adjust.com" TargetMode="External"/><Relationship Id="rId390" Type="http://schemas.openxmlformats.org/officeDocument/2006/relationships/hyperlink" Target="http://adito.de" TargetMode="External"/><Relationship Id="rId1" Type="http://schemas.openxmlformats.org/officeDocument/2006/relationships/hyperlink" Target="http://sortlist.com" TargetMode="External"/><Relationship Id="rId2" Type="http://schemas.openxmlformats.org/officeDocument/2006/relationships/hyperlink" Target="http://clutch.co" TargetMode="External"/><Relationship Id="rId3" Type="http://schemas.openxmlformats.org/officeDocument/2006/relationships/hyperlink" Target="http://semrush.com" TargetMode="External"/><Relationship Id="rId149" Type="http://schemas.openxmlformats.org/officeDocument/2006/relationships/hyperlink" Target="http://minuttia.com" TargetMode="External"/><Relationship Id="rId4" Type="http://schemas.openxmlformats.org/officeDocument/2006/relationships/hyperlink" Target="http://influencer-hero.com" TargetMode="External"/><Relationship Id="rId148" Type="http://schemas.openxmlformats.org/officeDocument/2006/relationships/hyperlink" Target="http://eichen.ai" TargetMode="External"/><Relationship Id="rId269" Type="http://schemas.openxmlformats.org/officeDocument/2006/relationships/hyperlink" Target="http://mammoth.io" TargetMode="External"/><Relationship Id="rId9" Type="http://schemas.openxmlformats.org/officeDocument/2006/relationships/hyperlink" Target="http://bakedwith.com" TargetMode="External"/><Relationship Id="rId143" Type="http://schemas.openxmlformats.org/officeDocument/2006/relationships/hyperlink" Target="http://kom.de" TargetMode="External"/><Relationship Id="rId264" Type="http://schemas.openxmlformats.org/officeDocument/2006/relationships/hyperlink" Target="http://geosphaira.com" TargetMode="External"/><Relationship Id="rId385" Type="http://schemas.openxmlformats.org/officeDocument/2006/relationships/hyperlink" Target="http://pixelmojo.io" TargetMode="External"/><Relationship Id="rId142" Type="http://schemas.openxmlformats.org/officeDocument/2006/relationships/hyperlink" Target="http://ratter-consulting.com" TargetMode="External"/><Relationship Id="rId263" Type="http://schemas.openxmlformats.org/officeDocument/2006/relationships/hyperlink" Target="http://geoagency.net" TargetMode="External"/><Relationship Id="rId384" Type="http://schemas.openxmlformats.org/officeDocument/2006/relationships/hyperlink" Target="http://mingma.io" TargetMode="External"/><Relationship Id="rId141" Type="http://schemas.openxmlformats.org/officeDocument/2006/relationships/hyperlink" Target="http://wikipedia.org" TargetMode="External"/><Relationship Id="rId262" Type="http://schemas.openxmlformats.org/officeDocument/2006/relationships/hyperlink" Target="http://funnel.io" TargetMode="External"/><Relationship Id="rId383" Type="http://schemas.openxmlformats.org/officeDocument/2006/relationships/hyperlink" Target="http://iqueem.com" TargetMode="External"/><Relationship Id="rId140" Type="http://schemas.openxmlformats.org/officeDocument/2006/relationships/hyperlink" Target="http://ultragrowthmedia.com" TargetMode="External"/><Relationship Id="rId261" Type="http://schemas.openxmlformats.org/officeDocument/2006/relationships/hyperlink" Target="http://dtile-marketing.de" TargetMode="External"/><Relationship Id="rId382" Type="http://schemas.openxmlformats.org/officeDocument/2006/relationships/hyperlink" Target="http://growffic.com" TargetMode="External"/><Relationship Id="rId5" Type="http://schemas.openxmlformats.org/officeDocument/2006/relationships/hyperlink" Target="http://dreikon.de" TargetMode="External"/><Relationship Id="rId147" Type="http://schemas.openxmlformats.org/officeDocument/2006/relationships/hyperlink" Target="http://dejaoffice.com" TargetMode="External"/><Relationship Id="rId268" Type="http://schemas.openxmlformats.org/officeDocument/2006/relationships/hyperlink" Target="http://m1-project.com" TargetMode="External"/><Relationship Id="rId389" Type="http://schemas.openxmlformats.org/officeDocument/2006/relationships/hyperlink" Target="http://adcologne.de" TargetMode="External"/><Relationship Id="rId6" Type="http://schemas.openxmlformats.org/officeDocument/2006/relationships/hyperlink" Target="http://feedbax.ai" TargetMode="External"/><Relationship Id="rId146" Type="http://schemas.openxmlformats.org/officeDocument/2006/relationships/hyperlink" Target="http://crispycontent.de" TargetMode="External"/><Relationship Id="rId267" Type="http://schemas.openxmlformats.org/officeDocument/2006/relationships/hyperlink" Target="http://leapbuzz.com" TargetMode="External"/><Relationship Id="rId388" Type="http://schemas.openxmlformats.org/officeDocument/2006/relationships/hyperlink" Target="http://aargroup.co.uk" TargetMode="External"/><Relationship Id="rId7" Type="http://schemas.openxmlformats.org/officeDocument/2006/relationships/hyperlink" Target="http://designrush.com" TargetMode="External"/><Relationship Id="rId145" Type="http://schemas.openxmlformats.org/officeDocument/2006/relationships/hyperlink" Target="http://boostit.de" TargetMode="External"/><Relationship Id="rId266" Type="http://schemas.openxmlformats.org/officeDocument/2006/relationships/hyperlink" Target="http://langdock.com" TargetMode="External"/><Relationship Id="rId387" Type="http://schemas.openxmlformats.org/officeDocument/2006/relationships/hyperlink" Target="http://2pointagency.com" TargetMode="External"/><Relationship Id="rId8" Type="http://schemas.openxmlformats.org/officeDocument/2006/relationships/hyperlink" Target="http://techbehemoths.com" TargetMode="External"/><Relationship Id="rId144" Type="http://schemas.openxmlformats.org/officeDocument/2006/relationships/hyperlink" Target="http://architecturaldigest.com" TargetMode="External"/><Relationship Id="rId265" Type="http://schemas.openxmlformats.org/officeDocument/2006/relationships/hyperlink" Target="http://humandeluxe.com" TargetMode="External"/><Relationship Id="rId386" Type="http://schemas.openxmlformats.org/officeDocument/2006/relationships/hyperlink" Target="http://zweidigital.de" TargetMode="External"/><Relationship Id="rId260" Type="http://schemas.openxmlformats.org/officeDocument/2006/relationships/hyperlink" Target="http://cornerstonecontent.com" TargetMode="External"/><Relationship Id="rId381" Type="http://schemas.openxmlformats.org/officeDocument/2006/relationships/hyperlink" Target="http://digitalagenten.com" TargetMode="External"/><Relationship Id="rId380" Type="http://schemas.openxmlformats.org/officeDocument/2006/relationships/hyperlink" Target="http://batten-company.com" TargetMode="External"/><Relationship Id="rId139" Type="http://schemas.openxmlformats.org/officeDocument/2006/relationships/hyperlink" Target="http://thedigitalelevator.com" TargetMode="External"/><Relationship Id="rId138" Type="http://schemas.openxmlformats.org/officeDocument/2006/relationships/hyperlink" Target="http://promoguy.nl" TargetMode="External"/><Relationship Id="rId259" Type="http://schemas.openxmlformats.org/officeDocument/2006/relationships/hyperlink" Target="http://beyond-media.de" TargetMode="External"/><Relationship Id="rId137" Type="http://schemas.openxmlformats.org/officeDocument/2006/relationships/hyperlink" Target="http://kideconsult.de" TargetMode="External"/><Relationship Id="rId258" Type="http://schemas.openxmlformats.org/officeDocument/2006/relationships/hyperlink" Target="http://axios.com" TargetMode="External"/><Relationship Id="rId379" Type="http://schemas.openxmlformats.org/officeDocument/2006/relationships/hyperlink" Target="http://vertriebspilot.ai" TargetMode="External"/><Relationship Id="rId132" Type="http://schemas.openxmlformats.org/officeDocument/2006/relationships/hyperlink" Target="http://aijourn.com" TargetMode="External"/><Relationship Id="rId253" Type="http://schemas.openxmlformats.org/officeDocument/2006/relationships/hyperlink" Target="http://timospecht.de" TargetMode="External"/><Relationship Id="rId374" Type="http://schemas.openxmlformats.org/officeDocument/2006/relationships/hyperlink" Target="http://wsj.com" TargetMode="External"/><Relationship Id="rId495" Type="http://schemas.openxmlformats.org/officeDocument/2006/relationships/hyperlink" Target="http://ewrdigital.com" TargetMode="External"/><Relationship Id="rId131" Type="http://schemas.openxmlformats.org/officeDocument/2006/relationships/hyperlink" Target="http://businessinsider.com" TargetMode="External"/><Relationship Id="rId252" Type="http://schemas.openxmlformats.org/officeDocument/2006/relationships/hyperlink" Target="http://madebyevoke.com" TargetMode="External"/><Relationship Id="rId373" Type="http://schemas.openxmlformats.org/officeDocument/2006/relationships/hyperlink" Target="http://wpseoai.com" TargetMode="External"/><Relationship Id="rId494" Type="http://schemas.openxmlformats.org/officeDocument/2006/relationships/hyperlink" Target="http://euro-security.de" TargetMode="External"/><Relationship Id="rId130" Type="http://schemas.openxmlformats.org/officeDocument/2006/relationships/hyperlink" Target="http://omt.de" TargetMode="External"/><Relationship Id="rId251" Type="http://schemas.openxmlformats.org/officeDocument/2006/relationships/hyperlink" Target="http://kiwop.com" TargetMode="External"/><Relationship Id="rId372" Type="http://schemas.openxmlformats.org/officeDocument/2006/relationships/hyperlink" Target="http://worldmetrics.org" TargetMode="External"/><Relationship Id="rId493" Type="http://schemas.openxmlformats.org/officeDocument/2006/relationships/hyperlink" Target="http://etracker.com" TargetMode="External"/><Relationship Id="rId250" Type="http://schemas.openxmlformats.org/officeDocument/2006/relationships/hyperlink" Target="http://datafirstsolutions.de" TargetMode="External"/><Relationship Id="rId371" Type="http://schemas.openxmlformats.org/officeDocument/2006/relationships/hyperlink" Target="http://werankle.com" TargetMode="External"/><Relationship Id="rId492" Type="http://schemas.openxmlformats.org/officeDocument/2006/relationships/hyperlink" Target="http://esparkinfo.com" TargetMode="External"/><Relationship Id="rId136" Type="http://schemas.openxmlformats.org/officeDocument/2006/relationships/hyperlink" Target="http://intentcliq.com" TargetMode="External"/><Relationship Id="rId257" Type="http://schemas.openxmlformats.org/officeDocument/2006/relationships/hyperlink" Target="http://appfillip.com" TargetMode="External"/><Relationship Id="rId378" Type="http://schemas.openxmlformats.org/officeDocument/2006/relationships/hyperlink" Target="http://jonas-rashedi.de" TargetMode="External"/><Relationship Id="rId499" Type="http://schemas.openxmlformats.org/officeDocument/2006/relationships/hyperlink" Target="http://factorygruppe.com" TargetMode="External"/><Relationship Id="rId135" Type="http://schemas.openxmlformats.org/officeDocument/2006/relationships/hyperlink" Target="http://factors.ai" TargetMode="External"/><Relationship Id="rId256" Type="http://schemas.openxmlformats.org/officeDocument/2006/relationships/hyperlink" Target="http://adstrat.de" TargetMode="External"/><Relationship Id="rId377" Type="http://schemas.openxmlformats.org/officeDocument/2006/relationships/hyperlink" Target="http://elementor.com" TargetMode="External"/><Relationship Id="rId498" Type="http://schemas.openxmlformats.org/officeDocument/2006/relationships/hyperlink" Target="http://facebook.com" TargetMode="External"/><Relationship Id="rId134" Type="http://schemas.openxmlformats.org/officeDocument/2006/relationships/hyperlink" Target="http://ekipa.ai" TargetMode="External"/><Relationship Id="rId255" Type="http://schemas.openxmlformats.org/officeDocument/2006/relationships/hyperlink" Target="http://adcountable.com" TargetMode="External"/><Relationship Id="rId376" Type="http://schemas.openxmlformats.org/officeDocument/2006/relationships/hyperlink" Target="http://zupo.co" TargetMode="External"/><Relationship Id="rId497" Type="http://schemas.openxmlformats.org/officeDocument/2006/relationships/hyperlink" Target="http://expatrio.com" TargetMode="External"/><Relationship Id="rId133" Type="http://schemas.openxmlformats.org/officeDocument/2006/relationships/hyperlink" Target="http://brandcrock.com" TargetMode="External"/><Relationship Id="rId254" Type="http://schemas.openxmlformats.org/officeDocument/2006/relationships/hyperlink" Target="http://usercentrics.com" TargetMode="External"/><Relationship Id="rId375" Type="http://schemas.openxmlformats.org/officeDocument/2006/relationships/hyperlink" Target="http://zeotap.com" TargetMode="External"/><Relationship Id="rId496" Type="http://schemas.openxmlformats.org/officeDocument/2006/relationships/hyperlink" Target="http://existenzgruender-jungunternehmer.de" TargetMode="External"/><Relationship Id="rId172" Type="http://schemas.openxmlformats.org/officeDocument/2006/relationships/hyperlink" Target="http://zipdo.co" TargetMode="External"/><Relationship Id="rId293" Type="http://schemas.openxmlformats.org/officeDocument/2006/relationships/hyperlink" Target="http://appsflyer.com" TargetMode="External"/><Relationship Id="rId171" Type="http://schemas.openxmlformats.org/officeDocument/2006/relationships/hyperlink" Target="http://wuv.de" TargetMode="External"/><Relationship Id="rId292" Type="http://schemas.openxmlformats.org/officeDocument/2006/relationships/hyperlink" Target="http://aimers.io" TargetMode="External"/><Relationship Id="rId170" Type="http://schemas.openxmlformats.org/officeDocument/2006/relationships/hyperlink" Target="http://aio.com.ai" TargetMode="External"/><Relationship Id="rId291" Type="http://schemas.openxmlformats.org/officeDocument/2006/relationships/hyperlink" Target="http://ai-heroes.co" TargetMode="External"/><Relationship Id="rId290" Type="http://schemas.openxmlformats.org/officeDocument/2006/relationships/hyperlink" Target="http://agenturjobs.de" TargetMode="External"/><Relationship Id="rId165" Type="http://schemas.openxmlformats.org/officeDocument/2006/relationships/hyperlink" Target="http://scability.de" TargetMode="External"/><Relationship Id="rId286" Type="http://schemas.openxmlformats.org/officeDocument/2006/relationships/hyperlink" Target="http://wpp.com" TargetMode="External"/><Relationship Id="rId164" Type="http://schemas.openxmlformats.org/officeDocument/2006/relationships/hyperlink" Target="http://risexventuress.com" TargetMode="External"/><Relationship Id="rId285" Type="http://schemas.openxmlformats.org/officeDocument/2006/relationships/hyperlink" Target="http://scalixai.com" TargetMode="External"/><Relationship Id="rId163" Type="http://schemas.openxmlformats.org/officeDocument/2006/relationships/hyperlink" Target="http://naointelligence.com" TargetMode="External"/><Relationship Id="rId284" Type="http://schemas.openxmlformats.org/officeDocument/2006/relationships/hyperlink" Target="http://mystrika.com" TargetMode="External"/><Relationship Id="rId162" Type="http://schemas.openxmlformats.org/officeDocument/2006/relationships/hyperlink" Target="http://gtm8020.com" TargetMode="External"/><Relationship Id="rId283" Type="http://schemas.openxmlformats.org/officeDocument/2006/relationships/hyperlink" Target="http://makingscience.de" TargetMode="External"/><Relationship Id="rId169" Type="http://schemas.openxmlformats.org/officeDocument/2006/relationships/hyperlink" Target="http://directiveconsulting.com" TargetMode="External"/><Relationship Id="rId168" Type="http://schemas.openxmlformats.org/officeDocument/2006/relationships/hyperlink" Target="http://ziuma.com" TargetMode="External"/><Relationship Id="rId289" Type="http://schemas.openxmlformats.org/officeDocument/2006/relationships/hyperlink" Target="http://adzine.de" TargetMode="External"/><Relationship Id="rId167" Type="http://schemas.openxmlformats.org/officeDocument/2006/relationships/hyperlink" Target="http://topdevelopers.co" TargetMode="External"/><Relationship Id="rId288" Type="http://schemas.openxmlformats.org/officeDocument/2006/relationships/hyperlink" Target="http://adspyder.io" TargetMode="External"/><Relationship Id="rId166" Type="http://schemas.openxmlformats.org/officeDocument/2006/relationships/hyperlink" Target="http://smarketer.de" TargetMode="External"/><Relationship Id="rId287" Type="http://schemas.openxmlformats.org/officeDocument/2006/relationships/hyperlink" Target="http://10seos.com" TargetMode="External"/><Relationship Id="rId161" Type="http://schemas.openxmlformats.org/officeDocument/2006/relationships/hyperlink" Target="http://gaasly.com" TargetMode="External"/><Relationship Id="rId282" Type="http://schemas.openxmlformats.org/officeDocument/2006/relationships/hyperlink" Target="http://horizont.net" TargetMode="External"/><Relationship Id="rId160" Type="http://schemas.openxmlformats.org/officeDocument/2006/relationships/hyperlink" Target="http://deducive.com" TargetMode="External"/><Relationship Id="rId281" Type="http://schemas.openxmlformats.org/officeDocument/2006/relationships/hyperlink" Target="http://ycp.com" TargetMode="External"/><Relationship Id="rId280" Type="http://schemas.openxmlformats.org/officeDocument/2006/relationships/hyperlink" Target="http://weber-media.com" TargetMode="External"/><Relationship Id="rId159" Type="http://schemas.openxmlformats.org/officeDocument/2006/relationships/hyperlink" Target="http://convios.com" TargetMode="External"/><Relationship Id="rId154" Type="http://schemas.openxmlformats.org/officeDocument/2006/relationships/hyperlink" Target="http://appliedai.de" TargetMode="External"/><Relationship Id="rId275" Type="http://schemas.openxmlformats.org/officeDocument/2006/relationships/hyperlink" Target="http://rankeffect.de" TargetMode="External"/><Relationship Id="rId396" Type="http://schemas.openxmlformats.org/officeDocument/2006/relationships/hyperlink" Target="http://adstellar.ai" TargetMode="External"/><Relationship Id="rId153" Type="http://schemas.openxmlformats.org/officeDocument/2006/relationships/hyperlink" Target="http://trkkn.com" TargetMode="External"/><Relationship Id="rId274" Type="http://schemas.openxmlformats.org/officeDocument/2006/relationships/hyperlink" Target="http://procloser.ai" TargetMode="External"/><Relationship Id="rId395" Type="http://schemas.openxmlformats.org/officeDocument/2006/relationships/hyperlink" Target="http://adsofbrands.net" TargetMode="External"/><Relationship Id="rId152" Type="http://schemas.openxmlformats.org/officeDocument/2006/relationships/hyperlink" Target="http://aeodirectory.com" TargetMode="External"/><Relationship Id="rId273" Type="http://schemas.openxmlformats.org/officeDocument/2006/relationships/hyperlink" Target="http://prima-consulting.de" TargetMode="External"/><Relationship Id="rId394" Type="http://schemas.openxmlformats.org/officeDocument/2006/relationships/hyperlink" Target="http://adseed.de" TargetMode="External"/><Relationship Id="rId151" Type="http://schemas.openxmlformats.org/officeDocument/2006/relationships/hyperlink" Target="http://websenor.com" TargetMode="External"/><Relationship Id="rId272" Type="http://schemas.openxmlformats.org/officeDocument/2006/relationships/hyperlink" Target="http://online-werbung-deutschland.de" TargetMode="External"/><Relationship Id="rId393" Type="http://schemas.openxmlformats.org/officeDocument/2006/relationships/hyperlink" Target="http://adpoint.de" TargetMode="External"/><Relationship Id="rId158" Type="http://schemas.openxmlformats.org/officeDocument/2006/relationships/hyperlink" Target="http://bbdo.de" TargetMode="External"/><Relationship Id="rId279" Type="http://schemas.openxmlformats.org/officeDocument/2006/relationships/hyperlink" Target="http://visionone.co.uk" TargetMode="External"/><Relationship Id="rId157" Type="http://schemas.openxmlformats.org/officeDocument/2006/relationships/hyperlink" Target="http://alphaapexgroup.com" TargetMode="External"/><Relationship Id="rId278" Type="http://schemas.openxmlformats.org/officeDocument/2006/relationships/hyperlink" Target="http://tripledart.com" TargetMode="External"/><Relationship Id="rId399" Type="http://schemas.openxmlformats.org/officeDocument/2006/relationships/hyperlink" Target="http://advertace.de" TargetMode="External"/><Relationship Id="rId156" Type="http://schemas.openxmlformats.org/officeDocument/2006/relationships/hyperlink" Target="http://neurank.de" TargetMode="External"/><Relationship Id="rId277" Type="http://schemas.openxmlformats.org/officeDocument/2006/relationships/hyperlink" Target="http://topseobrands.com" TargetMode="External"/><Relationship Id="rId398" Type="http://schemas.openxmlformats.org/officeDocument/2006/relationships/hyperlink" Target="http://advanced-television.com" TargetMode="External"/><Relationship Id="rId155" Type="http://schemas.openxmlformats.org/officeDocument/2006/relationships/hyperlink" Target="http://meedia.de" TargetMode="External"/><Relationship Id="rId276" Type="http://schemas.openxmlformats.org/officeDocument/2006/relationships/hyperlink" Target="http://sem-deutschland.de" TargetMode="External"/><Relationship Id="rId397" Type="http://schemas.openxmlformats.org/officeDocument/2006/relationships/hyperlink" Target="http://adswerve.com" TargetMode="External"/><Relationship Id="rId40" Type="http://schemas.openxmlformats.org/officeDocument/2006/relationships/hyperlink" Target="http://withgoogle.com" TargetMode="External"/><Relationship Id="rId42" Type="http://schemas.openxmlformats.org/officeDocument/2006/relationships/hyperlink" Target="http://magiclibrary.co" TargetMode="External"/><Relationship Id="rId41" Type="http://schemas.openxmlformats.org/officeDocument/2006/relationships/hyperlink" Target="http://linkedin.com" TargetMode="External"/><Relationship Id="rId44" Type="http://schemas.openxmlformats.org/officeDocument/2006/relationships/hyperlink" Target="http://aeo-copilot.com" TargetMode="External"/><Relationship Id="rId43" Type="http://schemas.openxmlformats.org/officeDocument/2006/relationships/hyperlink" Target="http://slashdot.org" TargetMode="External"/><Relationship Id="rId46" Type="http://schemas.openxmlformats.org/officeDocument/2006/relationships/hyperlink" Target="http://segmentstream.com" TargetMode="External"/><Relationship Id="rId45" Type="http://schemas.openxmlformats.org/officeDocument/2006/relationships/hyperlink" Target="http://geoagenturen.de" TargetMode="External"/><Relationship Id="rId509" Type="http://schemas.openxmlformats.org/officeDocument/2006/relationships/hyperlink" Target="http://foundersworkshop.com" TargetMode="External"/><Relationship Id="rId508" Type="http://schemas.openxmlformats.org/officeDocument/2006/relationships/hyperlink" Target="http://founderoperator.com" TargetMode="External"/><Relationship Id="rId629" Type="http://schemas.openxmlformats.org/officeDocument/2006/relationships/hyperlink" Target="http://projecter.de" TargetMode="External"/><Relationship Id="rId503" Type="http://schemas.openxmlformats.org/officeDocument/2006/relationships/hyperlink" Target="http://finance-seo.de" TargetMode="External"/><Relationship Id="rId624" Type="http://schemas.openxmlformats.org/officeDocument/2006/relationships/hyperlink" Target="http://pilot.de" TargetMode="External"/><Relationship Id="rId745" Type="http://schemas.openxmlformats.org/officeDocument/2006/relationships/hyperlink" Target="http://weframetech.com" TargetMode="External"/><Relationship Id="rId502" Type="http://schemas.openxmlformats.org/officeDocument/2006/relationships/hyperlink" Target="http://fifty-five.com" TargetMode="External"/><Relationship Id="rId623" Type="http://schemas.openxmlformats.org/officeDocument/2006/relationships/hyperlink" Target="http://pikaseo.com" TargetMode="External"/><Relationship Id="rId744" Type="http://schemas.openxmlformats.org/officeDocument/2006/relationships/hyperlink" Target="http://webmetic.de" TargetMode="External"/><Relationship Id="rId501" Type="http://schemas.openxmlformats.org/officeDocument/2006/relationships/hyperlink" Target="http://fibbler.co" TargetMode="External"/><Relationship Id="rId622" Type="http://schemas.openxmlformats.org/officeDocument/2006/relationships/hyperlink" Target="http://phdmedia.com" TargetMode="External"/><Relationship Id="rId743" Type="http://schemas.openxmlformats.org/officeDocument/2006/relationships/hyperlink" Target="http://webguruz.in" TargetMode="External"/><Relationship Id="rId500" Type="http://schemas.openxmlformats.org/officeDocument/2006/relationships/hyperlink" Target="http://featuredcustomers.com" TargetMode="External"/><Relationship Id="rId621" Type="http://schemas.openxmlformats.org/officeDocument/2006/relationships/hyperlink" Target="http://partnerpage.io" TargetMode="External"/><Relationship Id="rId742" Type="http://schemas.openxmlformats.org/officeDocument/2006/relationships/hyperlink" Target="http://webfx.com" TargetMode="External"/><Relationship Id="rId507" Type="http://schemas.openxmlformats.org/officeDocument/2006/relationships/hyperlink" Target="http://found.co.uk" TargetMode="External"/><Relationship Id="rId628" Type="http://schemas.openxmlformats.org/officeDocument/2006/relationships/hyperlink" Target="http://product-marketing-agentur.de" TargetMode="External"/><Relationship Id="rId749" Type="http://schemas.openxmlformats.org/officeDocument/2006/relationships/hyperlink" Target="http://westoperators.com" TargetMode="External"/><Relationship Id="rId506" Type="http://schemas.openxmlformats.org/officeDocument/2006/relationships/hyperlink" Target="http://fortismedia.com" TargetMode="External"/><Relationship Id="rId627" Type="http://schemas.openxmlformats.org/officeDocument/2006/relationships/hyperlink" Target="http://prescientai.com" TargetMode="External"/><Relationship Id="rId748" Type="http://schemas.openxmlformats.org/officeDocument/2006/relationships/hyperlink" Target="http://westlakepartners.de" TargetMode="External"/><Relationship Id="rId505" Type="http://schemas.openxmlformats.org/officeDocument/2006/relationships/hyperlink" Target="http://flyingvgroup.com" TargetMode="External"/><Relationship Id="rId626" Type="http://schemas.openxmlformats.org/officeDocument/2006/relationships/hyperlink" Target="http://pndigital.co.uk" TargetMode="External"/><Relationship Id="rId747" Type="http://schemas.openxmlformats.org/officeDocument/2006/relationships/hyperlink" Target="http://wested.org" TargetMode="External"/><Relationship Id="rId504" Type="http://schemas.openxmlformats.org/officeDocument/2006/relationships/hyperlink" Target="http://firststars.ai" TargetMode="External"/><Relationship Id="rId625" Type="http://schemas.openxmlformats.org/officeDocument/2006/relationships/hyperlink" Target="http://platypusseo.com" TargetMode="External"/><Relationship Id="rId746" Type="http://schemas.openxmlformats.org/officeDocument/2006/relationships/hyperlink" Target="http://wellows.com" TargetMode="External"/><Relationship Id="rId48" Type="http://schemas.openxmlformats.org/officeDocument/2006/relationships/hyperlink" Target="http://neuhandeln.de" TargetMode="External"/><Relationship Id="rId47" Type="http://schemas.openxmlformats.org/officeDocument/2006/relationships/hyperlink" Target="http://aeovision.ai" TargetMode="External"/><Relationship Id="rId49" Type="http://schemas.openxmlformats.org/officeDocument/2006/relationships/hyperlink" Target="http://zendikt.com" TargetMode="External"/><Relationship Id="rId620" Type="http://schemas.openxmlformats.org/officeDocument/2006/relationships/hyperlink" Target="http://paramark.com" TargetMode="External"/><Relationship Id="rId741" Type="http://schemas.openxmlformats.org/officeDocument/2006/relationships/hyperlink" Target="http://wearetenet.com" TargetMode="External"/><Relationship Id="rId740" Type="http://schemas.openxmlformats.org/officeDocument/2006/relationships/hyperlink" Target="http://wearecatalyst.co.uk" TargetMode="External"/><Relationship Id="rId31" Type="http://schemas.openxmlformats.org/officeDocument/2006/relationships/hyperlink" Target="http://sellforte.com" TargetMode="External"/><Relationship Id="rId30" Type="http://schemas.openxmlformats.org/officeDocument/2006/relationships/hyperlink" Target="http://measured.com" TargetMode="External"/><Relationship Id="rId33" Type="http://schemas.openxmlformats.org/officeDocument/2006/relationships/hyperlink" Target="http://klickpiloten.de" TargetMode="External"/><Relationship Id="rId32" Type="http://schemas.openxmlformats.org/officeDocument/2006/relationships/hyperlink" Target="http://ziya.de" TargetMode="External"/><Relationship Id="rId35" Type="http://schemas.openxmlformats.org/officeDocument/2006/relationships/hyperlink" Target="http://seeders.com" TargetMode="External"/><Relationship Id="rId34" Type="http://schemas.openxmlformats.org/officeDocument/2006/relationships/hyperlink" Target="http://the-boutique-agency.de" TargetMode="External"/><Relationship Id="rId619" Type="http://schemas.openxmlformats.org/officeDocument/2006/relationships/hyperlink" Target="http://panorama-consulting.com" TargetMode="External"/><Relationship Id="rId618" Type="http://schemas.openxmlformats.org/officeDocument/2006/relationships/hyperlink" Target="http://p3adaptive.com" TargetMode="External"/><Relationship Id="rId739" Type="http://schemas.openxmlformats.org/officeDocument/2006/relationships/hyperlink" Target="http://weareaudiences.com" TargetMode="External"/><Relationship Id="rId613" Type="http://schemas.openxmlformats.org/officeDocument/2006/relationships/hyperlink" Target="http://opnrs.com" TargetMode="External"/><Relationship Id="rId734" Type="http://schemas.openxmlformats.org/officeDocument/2006/relationships/hyperlink" Target="http://venngage.com" TargetMode="External"/><Relationship Id="rId612" Type="http://schemas.openxmlformats.org/officeDocument/2006/relationships/hyperlink" Target="http://openassistantgpt.io" TargetMode="External"/><Relationship Id="rId733" Type="http://schemas.openxmlformats.org/officeDocument/2006/relationships/hyperlink" Target="http://valtech.com" TargetMode="External"/><Relationship Id="rId611" Type="http://schemas.openxmlformats.org/officeDocument/2006/relationships/hyperlink" Target="http://omnicomprecisionmarketing.de" TargetMode="External"/><Relationship Id="rId732" Type="http://schemas.openxmlformats.org/officeDocument/2006/relationships/hyperlink" Target="http://upwork.com" TargetMode="External"/><Relationship Id="rId610" Type="http://schemas.openxmlformats.org/officeDocument/2006/relationships/hyperlink" Target="http://omnibound.ai" TargetMode="External"/><Relationship Id="rId731" Type="http://schemas.openxmlformats.org/officeDocument/2006/relationships/hyperlink" Target="http://upgrow.io" TargetMode="External"/><Relationship Id="rId617" Type="http://schemas.openxmlformats.org/officeDocument/2006/relationships/hyperlink" Target="http://outrightcrm.com" TargetMode="External"/><Relationship Id="rId738" Type="http://schemas.openxmlformats.org/officeDocument/2006/relationships/hyperlink" Target="http://warroominc.com" TargetMode="External"/><Relationship Id="rId616" Type="http://schemas.openxmlformats.org/officeDocument/2006/relationships/hyperlink" Target="http://outreachz.com" TargetMode="External"/><Relationship Id="rId737" Type="http://schemas.openxmlformats.org/officeDocument/2006/relationships/hyperlink" Target="http://vibebranding.com" TargetMode="External"/><Relationship Id="rId615" Type="http://schemas.openxmlformats.org/officeDocument/2006/relationships/hyperlink" Target="http://osmos.ai" TargetMode="External"/><Relationship Id="rId736" Type="http://schemas.openxmlformats.org/officeDocument/2006/relationships/hyperlink" Target="http://verdtek.com" TargetMode="External"/><Relationship Id="rId614" Type="http://schemas.openxmlformats.org/officeDocument/2006/relationships/hyperlink" Target="http://orangemarketing.com" TargetMode="External"/><Relationship Id="rId735" Type="http://schemas.openxmlformats.org/officeDocument/2006/relationships/hyperlink" Target="http://ventum-consulting.com" TargetMode="External"/><Relationship Id="rId37" Type="http://schemas.openxmlformats.org/officeDocument/2006/relationships/hyperlink" Target="http://mediacharge.com" TargetMode="External"/><Relationship Id="rId36" Type="http://schemas.openxmlformats.org/officeDocument/2006/relationships/hyperlink" Target="http://awisee.com" TargetMode="External"/><Relationship Id="rId39" Type="http://schemas.openxmlformats.org/officeDocument/2006/relationships/hyperlink" Target="http://42digital.de" TargetMode="External"/><Relationship Id="rId38" Type="http://schemas.openxmlformats.org/officeDocument/2006/relationships/hyperlink" Target="http://onetoone.de" TargetMode="External"/><Relationship Id="rId730" Type="http://schemas.openxmlformats.org/officeDocument/2006/relationships/hyperlink" Target="http://unfoldmart.com" TargetMode="External"/><Relationship Id="rId20" Type="http://schemas.openxmlformats.org/officeDocument/2006/relationships/hyperlink" Target="http://themanifest.com" TargetMode="External"/><Relationship Id="rId22" Type="http://schemas.openxmlformats.org/officeDocument/2006/relationships/hyperlink" Target="http://performanceliebe.de" TargetMode="External"/><Relationship Id="rId21" Type="http://schemas.openxmlformats.org/officeDocument/2006/relationships/hyperlink" Target="http://ensun.io" TargetMode="External"/><Relationship Id="rId24" Type="http://schemas.openxmlformats.org/officeDocument/2006/relationships/hyperlink" Target="http://digitalagencynetwork.com" TargetMode="External"/><Relationship Id="rId23" Type="http://schemas.openxmlformats.org/officeDocument/2006/relationships/hyperlink" Target="http://cometly.com" TargetMode="External"/><Relationship Id="rId409" Type="http://schemas.openxmlformats.org/officeDocument/2006/relationships/hyperlink" Target="http://akqa.com" TargetMode="External"/><Relationship Id="rId404" Type="http://schemas.openxmlformats.org/officeDocument/2006/relationships/hyperlink" Target="http://agencylist.com" TargetMode="External"/><Relationship Id="rId525" Type="http://schemas.openxmlformats.org/officeDocument/2006/relationships/hyperlink" Target="http://globalists.de" TargetMode="External"/><Relationship Id="rId646" Type="http://schemas.openxmlformats.org/officeDocument/2006/relationships/hyperlink" Target="http://ryte.com" TargetMode="External"/><Relationship Id="rId403" Type="http://schemas.openxmlformats.org/officeDocument/2006/relationships/hyperlink" Target="http://agenciesformarketing.com" TargetMode="External"/><Relationship Id="rId524" Type="http://schemas.openxmlformats.org/officeDocument/2006/relationships/hyperlink" Target="http://glassroom.ca" TargetMode="External"/><Relationship Id="rId645" Type="http://schemas.openxmlformats.org/officeDocument/2006/relationships/hyperlink" Target="http://rubixe.com" TargetMode="External"/><Relationship Id="rId402" Type="http://schemas.openxmlformats.org/officeDocument/2006/relationships/hyperlink" Target="http://aeoera.com" TargetMode="External"/><Relationship Id="rId523" Type="http://schemas.openxmlformats.org/officeDocument/2006/relationships/hyperlink" Target="http://glassix.com" TargetMode="External"/><Relationship Id="rId644" Type="http://schemas.openxmlformats.org/officeDocument/2006/relationships/hyperlink" Target="http://rit.de" TargetMode="External"/><Relationship Id="rId401" Type="http://schemas.openxmlformats.org/officeDocument/2006/relationships/hyperlink" Target="http://aeo-collective.com" TargetMode="External"/><Relationship Id="rId522" Type="http://schemas.openxmlformats.org/officeDocument/2006/relationships/hyperlink" Target="http://glassdoor.com" TargetMode="External"/><Relationship Id="rId643" Type="http://schemas.openxmlformats.org/officeDocument/2006/relationships/hyperlink" Target="http://rheinwunder.com" TargetMode="External"/><Relationship Id="rId764" Type="http://schemas.openxmlformats.org/officeDocument/2006/relationships/drawing" Target="../drawings/drawing1.xml"/><Relationship Id="rId408" Type="http://schemas.openxmlformats.org/officeDocument/2006/relationships/hyperlink" Target="http://airankvision.com" TargetMode="External"/><Relationship Id="rId529" Type="http://schemas.openxmlformats.org/officeDocument/2006/relationships/hyperlink" Target="http://growth-hacking-agentur.de" TargetMode="External"/><Relationship Id="rId407" Type="http://schemas.openxmlformats.org/officeDocument/2006/relationships/hyperlink" Target="http://aimonk.com" TargetMode="External"/><Relationship Id="rId528" Type="http://schemas.openxmlformats.org/officeDocument/2006/relationships/hyperlink" Target="http://goldorange.com" TargetMode="External"/><Relationship Id="rId649" Type="http://schemas.openxmlformats.org/officeDocument/2006/relationships/hyperlink" Target="http://saint-elmos.com" TargetMode="External"/><Relationship Id="rId406" Type="http://schemas.openxmlformats.org/officeDocument/2006/relationships/hyperlink" Target="http://aidolsgroup.com" TargetMode="External"/><Relationship Id="rId527" Type="http://schemas.openxmlformats.org/officeDocument/2006/relationships/hyperlink" Target="http://gofishdigital.com" TargetMode="External"/><Relationship Id="rId648" Type="http://schemas.openxmlformats.org/officeDocument/2006/relationships/hyperlink" Target="http://sageitinc.com" TargetMode="External"/><Relationship Id="rId405" Type="http://schemas.openxmlformats.org/officeDocument/2006/relationships/hyperlink" Target="http://aiadvantageagency.com" TargetMode="External"/><Relationship Id="rId526" Type="http://schemas.openxmlformats.org/officeDocument/2006/relationships/hyperlink" Target="http://globalmediainsight.com" TargetMode="External"/><Relationship Id="rId647" Type="http://schemas.openxmlformats.org/officeDocument/2006/relationships/hyperlink" Target="http://s-pro.io" TargetMode="External"/><Relationship Id="rId26" Type="http://schemas.openxmlformats.org/officeDocument/2006/relationships/hyperlink" Target="http://youtube.com" TargetMode="External"/><Relationship Id="rId25" Type="http://schemas.openxmlformats.org/officeDocument/2006/relationships/hyperlink" Target="http://xmethod.de" TargetMode="External"/><Relationship Id="rId28" Type="http://schemas.openxmlformats.org/officeDocument/2006/relationships/hyperlink" Target="http://radigitalworld.com" TargetMode="External"/><Relationship Id="rId27" Type="http://schemas.openxmlformats.org/officeDocument/2006/relationships/hyperlink" Target="http://google.com" TargetMode="External"/><Relationship Id="rId400" Type="http://schemas.openxmlformats.org/officeDocument/2006/relationships/hyperlink" Target="http://advertal.de" TargetMode="External"/><Relationship Id="rId521" Type="http://schemas.openxmlformats.org/officeDocument/2006/relationships/hyperlink" Target="http://gigawattgroup.com" TargetMode="External"/><Relationship Id="rId642" Type="http://schemas.openxmlformats.org/officeDocument/2006/relationships/hyperlink" Target="http://revenuezen.com" TargetMode="External"/><Relationship Id="rId763" Type="http://schemas.openxmlformats.org/officeDocument/2006/relationships/hyperlink" Target="http://zoominfo.com" TargetMode="External"/><Relationship Id="rId29" Type="http://schemas.openxmlformats.org/officeDocument/2006/relationships/hyperlink" Target="http://feld-m.de" TargetMode="External"/><Relationship Id="rId520" Type="http://schemas.openxmlformats.org/officeDocument/2006/relationships/hyperlink" Target="http://getdigitalresults.com" TargetMode="External"/><Relationship Id="rId641" Type="http://schemas.openxmlformats.org/officeDocument/2006/relationships/hyperlink" Target="http://resultfirst.com" TargetMode="External"/><Relationship Id="rId762" Type="http://schemas.openxmlformats.org/officeDocument/2006/relationships/hyperlink" Target="http://zetaglobal.com" TargetMode="External"/><Relationship Id="rId640" Type="http://schemas.openxmlformats.org/officeDocument/2006/relationships/hyperlink" Target="http://reply.com" TargetMode="External"/><Relationship Id="rId761" Type="http://schemas.openxmlformats.org/officeDocument/2006/relationships/hyperlink" Target="http://zemith.com" TargetMode="External"/><Relationship Id="rId760" Type="http://schemas.openxmlformats.org/officeDocument/2006/relationships/hyperlink" Target="http://youfinddigital.com" TargetMode="External"/><Relationship Id="rId11" Type="http://schemas.openxmlformats.org/officeDocument/2006/relationships/hyperlink" Target="http://sortlist.de" TargetMode="External"/><Relationship Id="rId10" Type="http://schemas.openxmlformats.org/officeDocument/2006/relationships/hyperlink" Target="http://vitasoft.co" TargetMode="External"/><Relationship Id="rId13" Type="http://schemas.openxmlformats.org/officeDocument/2006/relationships/hyperlink" Target="http://ibusiness.de" TargetMode="External"/><Relationship Id="rId12" Type="http://schemas.openxmlformats.org/officeDocument/2006/relationships/hyperlink" Target="http://goodfirms.co" TargetMode="External"/><Relationship Id="rId519" Type="http://schemas.openxmlformats.org/officeDocument/2006/relationships/hyperlink" Target="http://getapexanalytics.com" TargetMode="External"/><Relationship Id="rId514" Type="http://schemas.openxmlformats.org/officeDocument/2006/relationships/hyperlink" Target="http://genedge.co" TargetMode="External"/><Relationship Id="rId635" Type="http://schemas.openxmlformats.org/officeDocument/2006/relationships/hyperlink" Target="http://quora.com" TargetMode="External"/><Relationship Id="rId756" Type="http://schemas.openxmlformats.org/officeDocument/2006/relationships/hyperlink" Target="http://xmanmobi.com" TargetMode="External"/><Relationship Id="rId513" Type="http://schemas.openxmlformats.org/officeDocument/2006/relationships/hyperlink" Target="http://gemfind.com" TargetMode="External"/><Relationship Id="rId634" Type="http://schemas.openxmlformats.org/officeDocument/2006/relationships/hyperlink" Target="http://quoleady.com" TargetMode="External"/><Relationship Id="rId755" Type="http://schemas.openxmlformats.org/officeDocument/2006/relationships/hyperlink" Target="http://xcelacore.com" TargetMode="External"/><Relationship Id="rId512" Type="http://schemas.openxmlformats.org/officeDocument/2006/relationships/hyperlink" Target="http://futuresupply.io" TargetMode="External"/><Relationship Id="rId633" Type="http://schemas.openxmlformats.org/officeDocument/2006/relationships/hyperlink" Target="http://qoulomb.com" TargetMode="External"/><Relationship Id="rId754" Type="http://schemas.openxmlformats.org/officeDocument/2006/relationships/hyperlink" Target="http://workmagic.io" TargetMode="External"/><Relationship Id="rId511" Type="http://schemas.openxmlformats.org/officeDocument/2006/relationships/hyperlink" Target="http://frontieraiconsulting.com" TargetMode="External"/><Relationship Id="rId632" Type="http://schemas.openxmlformats.org/officeDocument/2006/relationships/hyperlink" Target="http://publicisproduction.com" TargetMode="External"/><Relationship Id="rId753" Type="http://schemas.openxmlformats.org/officeDocument/2006/relationships/hyperlink" Target="http://woodmark.de" TargetMode="External"/><Relationship Id="rId518" Type="http://schemas.openxmlformats.org/officeDocument/2006/relationships/hyperlink" Target="http://get-ryze.ai" TargetMode="External"/><Relationship Id="rId639" Type="http://schemas.openxmlformats.org/officeDocument/2006/relationships/hyperlink" Target="http://repindia.com" TargetMode="External"/><Relationship Id="rId517" Type="http://schemas.openxmlformats.org/officeDocument/2006/relationships/hyperlink" Target="http://gerlach-customs.com" TargetMode="External"/><Relationship Id="rId638" Type="http://schemas.openxmlformats.org/officeDocument/2006/relationships/hyperlink" Target="http://rapp.com" TargetMode="External"/><Relationship Id="rId759" Type="http://schemas.openxmlformats.org/officeDocument/2006/relationships/hyperlink" Target="http://yotpo.com" TargetMode="External"/><Relationship Id="rId516" Type="http://schemas.openxmlformats.org/officeDocument/2006/relationships/hyperlink" Target="http://geolign.com" TargetMode="External"/><Relationship Id="rId637" Type="http://schemas.openxmlformats.org/officeDocument/2006/relationships/hyperlink" Target="http://rankscale.ai" TargetMode="External"/><Relationship Id="rId758" Type="http://schemas.openxmlformats.org/officeDocument/2006/relationships/hyperlink" Target="http://yesoptimist.com" TargetMode="External"/><Relationship Id="rId515" Type="http://schemas.openxmlformats.org/officeDocument/2006/relationships/hyperlink" Target="http://geo-spezialisten.de" TargetMode="External"/><Relationship Id="rId636" Type="http://schemas.openxmlformats.org/officeDocument/2006/relationships/hyperlink" Target="http://rajeshjain.com" TargetMode="External"/><Relationship Id="rId757" Type="http://schemas.openxmlformats.org/officeDocument/2006/relationships/hyperlink" Target="http://yahoo.com" TargetMode="External"/><Relationship Id="rId15" Type="http://schemas.openxmlformats.org/officeDocument/2006/relationships/hyperlink" Target="http://reddit.com" TargetMode="External"/><Relationship Id="rId14" Type="http://schemas.openxmlformats.org/officeDocument/2006/relationships/hyperlink" Target="http://lengreo.com" TargetMode="External"/><Relationship Id="rId17" Type="http://schemas.openxmlformats.org/officeDocument/2006/relationships/hyperlink" Target="http://radyant.io" TargetMode="External"/><Relationship Id="rId16" Type="http://schemas.openxmlformats.org/officeDocument/2006/relationships/hyperlink" Target="http://omr.com" TargetMode="External"/><Relationship Id="rId19" Type="http://schemas.openxmlformats.org/officeDocument/2006/relationships/hyperlink" Target="http://hikemytraffic.com" TargetMode="External"/><Relationship Id="rId510" Type="http://schemas.openxmlformats.org/officeDocument/2006/relationships/hyperlink" Target="http://frac.tl" TargetMode="External"/><Relationship Id="rId631" Type="http://schemas.openxmlformats.org/officeDocument/2006/relationships/hyperlink" Target="http://publicisgroupeuk.com" TargetMode="External"/><Relationship Id="rId752" Type="http://schemas.openxmlformats.org/officeDocument/2006/relationships/hyperlink" Target="http://wifitalents.com" TargetMode="External"/><Relationship Id="rId18" Type="http://schemas.openxmlformats.org/officeDocument/2006/relationships/hyperlink" Target="http://sourceforge.net" TargetMode="External"/><Relationship Id="rId630" Type="http://schemas.openxmlformats.org/officeDocument/2006/relationships/hyperlink" Target="http://promodo.com" TargetMode="External"/><Relationship Id="rId751" Type="http://schemas.openxmlformats.org/officeDocument/2006/relationships/hyperlink" Target="http://weventure.de" TargetMode="External"/><Relationship Id="rId750" Type="http://schemas.openxmlformats.org/officeDocument/2006/relationships/hyperlink" Target="http://wetracked.io" TargetMode="External"/><Relationship Id="rId84" Type="http://schemas.openxmlformats.org/officeDocument/2006/relationships/hyperlink" Target="http://marketing-companies-in-germany.com" TargetMode="External"/><Relationship Id="rId83" Type="http://schemas.openxmlformats.org/officeDocument/2006/relationships/hyperlink" Target="http://aisuperior.com" TargetMode="External"/><Relationship Id="rId86" Type="http://schemas.openxmlformats.org/officeDocument/2006/relationships/hyperlink" Target="http://wmtips.com" TargetMode="External"/><Relationship Id="rId85" Type="http://schemas.openxmlformats.org/officeDocument/2006/relationships/hyperlink" Target="http://scaled2c.com" TargetMode="External"/><Relationship Id="rId88" Type="http://schemas.openxmlformats.org/officeDocument/2006/relationships/hyperlink" Target="http://hubspot.com" TargetMode="External"/><Relationship Id="rId87" Type="http://schemas.openxmlformats.org/officeDocument/2006/relationships/hyperlink" Target="http://house-of-communication.com" TargetMode="External"/><Relationship Id="rId89" Type="http://schemas.openxmlformats.org/officeDocument/2006/relationships/hyperlink" Target="http://s360digital.com" TargetMode="External"/><Relationship Id="rId709" Type="http://schemas.openxmlformats.org/officeDocument/2006/relationships/hyperlink" Target="http://thinkwithalec.com" TargetMode="External"/><Relationship Id="rId708" Type="http://schemas.openxmlformats.org/officeDocument/2006/relationships/hyperlink" Target="http://thetechfounders.co.uk" TargetMode="External"/><Relationship Id="rId707" Type="http://schemas.openxmlformats.org/officeDocument/2006/relationships/hyperlink" Target="http://thesocialshepherd.com" TargetMode="External"/><Relationship Id="rId706" Type="http://schemas.openxmlformats.org/officeDocument/2006/relationships/hyperlink" Target="http://therankmasters.com" TargetMode="External"/><Relationship Id="rId80" Type="http://schemas.openxmlformats.org/officeDocument/2006/relationships/hyperlink" Target="http://tech-now.io" TargetMode="External"/><Relationship Id="rId82" Type="http://schemas.openxmlformats.org/officeDocument/2006/relationships/hyperlink" Target="http://hyam.de" TargetMode="External"/><Relationship Id="rId81" Type="http://schemas.openxmlformats.org/officeDocument/2006/relationships/hyperlink" Target="http://adbeacon.com" TargetMode="External"/><Relationship Id="rId701" Type="http://schemas.openxmlformats.org/officeDocument/2006/relationships/hyperlink" Target="http://theadfirm.net" TargetMode="External"/><Relationship Id="rId700" Type="http://schemas.openxmlformats.org/officeDocument/2006/relationships/hyperlink" Target="http://terratern.com" TargetMode="External"/><Relationship Id="rId705" Type="http://schemas.openxmlformats.org/officeDocument/2006/relationships/hyperlink" Target="http://thenavsoft.com" TargetMode="External"/><Relationship Id="rId704" Type="http://schemas.openxmlformats.org/officeDocument/2006/relationships/hyperlink" Target="http://themacgroups.com" TargetMode="External"/><Relationship Id="rId703" Type="http://schemas.openxmlformats.org/officeDocument/2006/relationships/hyperlink" Target="http://thecypress.de" TargetMode="External"/><Relationship Id="rId702" Type="http://schemas.openxmlformats.org/officeDocument/2006/relationships/hyperlink" Target="http://thecxlead.com" TargetMode="External"/><Relationship Id="rId73" Type="http://schemas.openxmlformats.org/officeDocument/2006/relationships/hyperlink" Target="http://superbcompanies.com" TargetMode="External"/><Relationship Id="rId72" Type="http://schemas.openxmlformats.org/officeDocument/2006/relationships/hyperlink" Target="http://gartner.com" TargetMode="External"/><Relationship Id="rId75" Type="http://schemas.openxmlformats.org/officeDocument/2006/relationships/hyperlink" Target="http://oneclub.org" TargetMode="External"/><Relationship Id="rId74" Type="http://schemas.openxmlformats.org/officeDocument/2006/relationships/hyperlink" Target="http://loudface.co" TargetMode="External"/><Relationship Id="rId77" Type="http://schemas.openxmlformats.org/officeDocument/2006/relationships/hyperlink" Target="http://techradar.com" TargetMode="External"/><Relationship Id="rId76" Type="http://schemas.openxmlformats.org/officeDocument/2006/relationships/hyperlink" Target="http://statworx.com" TargetMode="External"/><Relationship Id="rId79" Type="http://schemas.openxmlformats.org/officeDocument/2006/relationships/hyperlink" Target="http://experics.de" TargetMode="External"/><Relationship Id="rId78" Type="http://schemas.openxmlformats.org/officeDocument/2006/relationships/hyperlink" Target="http://barefoot-performance.com" TargetMode="External"/><Relationship Id="rId71" Type="http://schemas.openxmlformats.org/officeDocument/2006/relationships/hyperlink" Target="http://thatware.co" TargetMode="External"/><Relationship Id="rId70" Type="http://schemas.openxmlformats.org/officeDocument/2006/relationships/hyperlink" Target="http://btelligent.com" TargetMode="External"/><Relationship Id="rId62" Type="http://schemas.openxmlformats.org/officeDocument/2006/relationships/hyperlink" Target="http://bvdw.org" TargetMode="External"/><Relationship Id="rId61" Type="http://schemas.openxmlformats.org/officeDocument/2006/relationships/hyperlink" Target="http://nevolearn.com" TargetMode="External"/><Relationship Id="rId64" Type="http://schemas.openxmlformats.org/officeDocument/2006/relationships/hyperlink" Target="http://opinosis-analytics.com" TargetMode="External"/><Relationship Id="rId63" Type="http://schemas.openxmlformats.org/officeDocument/2006/relationships/hyperlink" Target="http://artefact.com" TargetMode="External"/><Relationship Id="rId66" Type="http://schemas.openxmlformats.org/officeDocument/2006/relationships/hyperlink" Target="http://haus.io" TargetMode="External"/><Relationship Id="rId65" Type="http://schemas.openxmlformats.org/officeDocument/2006/relationships/hyperlink" Target="http://zyppy.com" TargetMode="External"/><Relationship Id="rId68" Type="http://schemas.openxmlformats.org/officeDocument/2006/relationships/hyperlink" Target="http://agencyvista.com" TargetMode="External"/><Relationship Id="rId67" Type="http://schemas.openxmlformats.org/officeDocument/2006/relationships/hyperlink" Target="http://triplewhale.com" TargetMode="External"/><Relationship Id="rId609" Type="http://schemas.openxmlformats.org/officeDocument/2006/relationships/hyperlink" Target="http://ombera.de" TargetMode="External"/><Relationship Id="rId608" Type="http://schemas.openxmlformats.org/officeDocument/2006/relationships/hyperlink" Target="http://oakpool.xyz" TargetMode="External"/><Relationship Id="rId729" Type="http://schemas.openxmlformats.org/officeDocument/2006/relationships/hyperlink" Target="http://unbound-media.de" TargetMode="External"/><Relationship Id="rId607" Type="http://schemas.openxmlformats.org/officeDocument/2006/relationships/hyperlink" Target="http://nutshell.com" TargetMode="External"/><Relationship Id="rId728" Type="http://schemas.openxmlformats.org/officeDocument/2006/relationships/hyperlink" Target="http://tsa-bildung.de" TargetMode="External"/><Relationship Id="rId60" Type="http://schemas.openxmlformats.org/officeDocument/2006/relationships/hyperlink" Target="http://geoagentur.de" TargetMode="External"/><Relationship Id="rId602" Type="http://schemas.openxmlformats.org/officeDocument/2006/relationships/hyperlink" Target="http://nielsen.com" TargetMode="External"/><Relationship Id="rId723" Type="http://schemas.openxmlformats.org/officeDocument/2006/relationships/hyperlink" Target="http://trendkraft.io" TargetMode="External"/><Relationship Id="rId601" Type="http://schemas.openxmlformats.org/officeDocument/2006/relationships/hyperlink" Target="http://networkgain.com" TargetMode="External"/><Relationship Id="rId722" Type="http://schemas.openxmlformats.org/officeDocument/2006/relationships/hyperlink" Target="http://treirealestate.com" TargetMode="External"/><Relationship Id="rId600" Type="http://schemas.openxmlformats.org/officeDocument/2006/relationships/hyperlink" Target="http://nepa.com" TargetMode="External"/><Relationship Id="rId721" Type="http://schemas.openxmlformats.org/officeDocument/2006/relationships/hyperlink" Target="http://traqer.ai" TargetMode="External"/><Relationship Id="rId720" Type="http://schemas.openxmlformats.org/officeDocument/2006/relationships/hyperlink" Target="http://tradefest.io" TargetMode="External"/><Relationship Id="rId606" Type="http://schemas.openxmlformats.org/officeDocument/2006/relationships/hyperlink" Target="http://novusvistatech.com" TargetMode="External"/><Relationship Id="rId727" Type="http://schemas.openxmlformats.org/officeDocument/2006/relationships/hyperlink" Target="http://tryseo.de" TargetMode="External"/><Relationship Id="rId605" Type="http://schemas.openxmlformats.org/officeDocument/2006/relationships/hyperlink" Target="http://northdata.com" TargetMode="External"/><Relationship Id="rId726" Type="http://schemas.openxmlformats.org/officeDocument/2006/relationships/hyperlink" Target="http://trkkn.pt" TargetMode="External"/><Relationship Id="rId604" Type="http://schemas.openxmlformats.org/officeDocument/2006/relationships/hyperlink" Target="http://nion-answers.com" TargetMode="External"/><Relationship Id="rId725" Type="http://schemas.openxmlformats.org/officeDocument/2006/relationships/hyperlink" Target="http://tripuls.de" TargetMode="External"/><Relationship Id="rId603" Type="http://schemas.openxmlformats.org/officeDocument/2006/relationships/hyperlink" Target="http://nikaconsulting.co.nz" TargetMode="External"/><Relationship Id="rId724" Type="http://schemas.openxmlformats.org/officeDocument/2006/relationships/hyperlink" Target="http://trinitybps.com" TargetMode="External"/><Relationship Id="rId69" Type="http://schemas.openxmlformats.org/officeDocument/2006/relationships/hyperlink" Target="http://silicon.de" TargetMode="External"/><Relationship Id="rId51" Type="http://schemas.openxmlformats.org/officeDocument/2006/relationships/hyperlink" Target="http://edisonmoment.com" TargetMode="External"/><Relationship Id="rId50" Type="http://schemas.openxmlformats.org/officeDocument/2006/relationships/hyperlink" Target="http://more-fire.com" TargetMode="External"/><Relationship Id="rId53" Type="http://schemas.openxmlformats.org/officeDocument/2006/relationships/hyperlink" Target="http://agenturtipp.de" TargetMode="External"/><Relationship Id="rId52" Type="http://schemas.openxmlformats.org/officeDocument/2006/relationships/hyperlink" Target="http://thegrowthsyndicate.com" TargetMode="External"/><Relationship Id="rId55" Type="http://schemas.openxmlformats.org/officeDocument/2006/relationships/hyperlink" Target="http://northquery.com" TargetMode="External"/><Relationship Id="rId54" Type="http://schemas.openxmlformats.org/officeDocument/2006/relationships/hyperlink" Target="http://feedbax.de" TargetMode="External"/><Relationship Id="rId57" Type="http://schemas.openxmlformats.org/officeDocument/2006/relationships/hyperlink" Target="http://omnius.so" TargetMode="External"/><Relationship Id="rId56" Type="http://schemas.openxmlformats.org/officeDocument/2006/relationships/hyperlink" Target="http://maibornwolff.de" TargetMode="External"/><Relationship Id="rId719" Type="http://schemas.openxmlformats.org/officeDocument/2006/relationships/hyperlink" Target="http://tracify.ai" TargetMode="External"/><Relationship Id="rId718" Type="http://schemas.openxmlformats.org/officeDocument/2006/relationships/hyperlink" Target="http://towa-digital.com" TargetMode="External"/><Relationship Id="rId717" Type="http://schemas.openxmlformats.org/officeDocument/2006/relationships/hyperlink" Target="http://touchstoneresearch.com" TargetMode="External"/><Relationship Id="rId712" Type="http://schemas.openxmlformats.org/officeDocument/2006/relationships/hyperlink" Target="http://thoughtworks.com" TargetMode="External"/><Relationship Id="rId711" Type="http://schemas.openxmlformats.org/officeDocument/2006/relationships/hyperlink" Target="http://thjnk.de" TargetMode="External"/><Relationship Id="rId710" Type="http://schemas.openxmlformats.org/officeDocument/2006/relationships/hyperlink" Target="http://thinkwithgoogle.com" TargetMode="External"/><Relationship Id="rId716" Type="http://schemas.openxmlformats.org/officeDocument/2006/relationships/hyperlink" Target="http://topinteractiveagencies.com" TargetMode="External"/><Relationship Id="rId715" Type="http://schemas.openxmlformats.org/officeDocument/2006/relationships/hyperlink" Target="http://toolradar.com" TargetMode="External"/><Relationship Id="rId714" Type="http://schemas.openxmlformats.org/officeDocument/2006/relationships/hyperlink" Target="http://todaymade.com" TargetMode="External"/><Relationship Id="rId713" Type="http://schemas.openxmlformats.org/officeDocument/2006/relationships/hyperlink" Target="http://tms-outsource.com" TargetMode="External"/><Relationship Id="rId59" Type="http://schemas.openxmlformats.org/officeDocument/2006/relationships/hyperlink" Target="http://performance-marketing-agency-berlin.com" TargetMode="External"/><Relationship Id="rId58" Type="http://schemas.openxmlformats.org/officeDocument/2006/relationships/hyperlink" Target="http://greenbook.org" TargetMode="External"/><Relationship Id="rId590" Type="http://schemas.openxmlformats.org/officeDocument/2006/relationships/hyperlink" Target="http://microsoft.com" TargetMode="External"/><Relationship Id="rId107" Type="http://schemas.openxmlformats.org/officeDocument/2006/relationships/hyperlink" Target="http://aeoagency.org" TargetMode="External"/><Relationship Id="rId228" Type="http://schemas.openxmlformats.org/officeDocument/2006/relationships/hyperlink" Target="http://geo-agentur.pro" TargetMode="External"/><Relationship Id="rId349" Type="http://schemas.openxmlformats.org/officeDocument/2006/relationships/hyperlink" Target="http://presenc.ai" TargetMode="External"/><Relationship Id="rId106" Type="http://schemas.openxmlformats.org/officeDocument/2006/relationships/hyperlink" Target="http://roover.de" TargetMode="External"/><Relationship Id="rId227" Type="http://schemas.openxmlformats.org/officeDocument/2006/relationships/hyperlink" Target="http://fusepointinsights.com" TargetMode="External"/><Relationship Id="rId348" Type="http://schemas.openxmlformats.org/officeDocument/2006/relationships/hyperlink" Target="http://performance-marketing-agenturen-deutschland.de" TargetMode="External"/><Relationship Id="rId469" Type="http://schemas.openxmlformats.org/officeDocument/2006/relationships/hyperlink" Target="http://datalogue.de" TargetMode="External"/><Relationship Id="rId105" Type="http://schemas.openxmlformats.org/officeDocument/2006/relationships/hyperlink" Target="http://pinemarsh.com" TargetMode="External"/><Relationship Id="rId226" Type="http://schemas.openxmlformats.org/officeDocument/2006/relationships/hyperlink" Target="http://dripagency.de" TargetMode="External"/><Relationship Id="rId347" Type="http://schemas.openxmlformats.org/officeDocument/2006/relationships/hyperlink" Target="http://partnerundsoehne.de" TargetMode="External"/><Relationship Id="rId468" Type="http://schemas.openxmlformats.org/officeDocument/2006/relationships/hyperlink" Target="http://datalion.com" TargetMode="External"/><Relationship Id="rId589" Type="http://schemas.openxmlformats.org/officeDocument/2006/relationships/hyperlink" Target="http://metehan.ai" TargetMode="External"/><Relationship Id="rId104" Type="http://schemas.openxmlformats.org/officeDocument/2006/relationships/hyperlink" Target="http://keyperformance.de" TargetMode="External"/><Relationship Id="rId225" Type="http://schemas.openxmlformats.org/officeDocument/2006/relationships/hyperlink" Target="http://decisionfoundry.com" TargetMode="External"/><Relationship Id="rId346" Type="http://schemas.openxmlformats.org/officeDocument/2006/relationships/hyperlink" Target="http://outsourceaccelerator.com" TargetMode="External"/><Relationship Id="rId467" Type="http://schemas.openxmlformats.org/officeDocument/2006/relationships/hyperlink" Target="http://databox.com" TargetMode="External"/><Relationship Id="rId588" Type="http://schemas.openxmlformats.org/officeDocument/2006/relationships/hyperlink" Target="http://medianug.com" TargetMode="External"/><Relationship Id="rId109" Type="http://schemas.openxmlformats.org/officeDocument/2006/relationships/hyperlink" Target="http://hockeystack.com" TargetMode="External"/><Relationship Id="rId108" Type="http://schemas.openxmlformats.org/officeDocument/2006/relationships/hyperlink" Target="http://conplore.com" TargetMode="External"/><Relationship Id="rId229" Type="http://schemas.openxmlformats.org/officeDocument/2006/relationships/hyperlink" Target="http://growthmanager.ai" TargetMode="External"/><Relationship Id="rId220" Type="http://schemas.openxmlformats.org/officeDocument/2006/relationships/hyperlink" Target="http://answermaniac.ai" TargetMode="External"/><Relationship Id="rId341" Type="http://schemas.openxmlformats.org/officeDocument/2006/relationships/hyperlink" Target="http://omnicommedia.com" TargetMode="External"/><Relationship Id="rId462" Type="http://schemas.openxmlformats.org/officeDocument/2006/relationships/hyperlink" Target="http://crunchbase.com" TargetMode="External"/><Relationship Id="rId583" Type="http://schemas.openxmlformats.org/officeDocument/2006/relationships/hyperlink" Target="http://marketingattributionsoftware.com" TargetMode="External"/><Relationship Id="rId340" Type="http://schemas.openxmlformats.org/officeDocument/2006/relationships/hyperlink" Target="http://omexa-strategy.com" TargetMode="External"/><Relationship Id="rId461" Type="http://schemas.openxmlformats.org/officeDocument/2006/relationships/hyperlink" Target="http://criterionglobal.com" TargetMode="External"/><Relationship Id="rId582" Type="http://schemas.openxmlformats.org/officeDocument/2006/relationships/hyperlink" Target="http://marketinganalyticssummit.de" TargetMode="External"/><Relationship Id="rId460" Type="http://schemas.openxmlformats.org/officeDocument/2006/relationships/hyperlink" Target="http://creditreform.de" TargetMode="External"/><Relationship Id="rId581" Type="http://schemas.openxmlformats.org/officeDocument/2006/relationships/hyperlink" Target="http://marketerhire.com" TargetMode="External"/><Relationship Id="rId580" Type="http://schemas.openxmlformats.org/officeDocument/2006/relationships/hyperlink" Target="http://manyreach.com" TargetMode="External"/><Relationship Id="rId103" Type="http://schemas.openxmlformats.org/officeDocument/2006/relationships/hyperlink" Target="http://icreativez.com" TargetMode="External"/><Relationship Id="rId224" Type="http://schemas.openxmlformats.org/officeDocument/2006/relationships/hyperlink" Target="http://contextstudios.ai" TargetMode="External"/><Relationship Id="rId345" Type="http://schemas.openxmlformats.org/officeDocument/2006/relationships/hyperlink" Target="http://optimisemedia.com" TargetMode="External"/><Relationship Id="rId466" Type="http://schemas.openxmlformats.org/officeDocument/2006/relationships/hyperlink" Target="http://dataally.ai" TargetMode="External"/><Relationship Id="rId587" Type="http://schemas.openxmlformats.org/officeDocument/2006/relationships/hyperlink" Target="http://mediagroupww.com" TargetMode="External"/><Relationship Id="rId102" Type="http://schemas.openxmlformats.org/officeDocument/2006/relationships/hyperlink" Target="http://digital-marketing-agencies.de" TargetMode="External"/><Relationship Id="rId223" Type="http://schemas.openxmlformats.org/officeDocument/2006/relationships/hyperlink" Target="http://claneo.com" TargetMode="External"/><Relationship Id="rId344" Type="http://schemas.openxmlformats.org/officeDocument/2006/relationships/hyperlink" Target="http://onely.com" TargetMode="External"/><Relationship Id="rId465" Type="http://schemas.openxmlformats.org/officeDocument/2006/relationships/hyperlink" Target="http://darkroomagency.com" TargetMode="External"/><Relationship Id="rId586" Type="http://schemas.openxmlformats.org/officeDocument/2006/relationships/hyperlink" Target="http://media-marketing.com" TargetMode="External"/><Relationship Id="rId101" Type="http://schemas.openxmlformats.org/officeDocument/2006/relationships/hyperlink" Target="http://digipims.com" TargetMode="External"/><Relationship Id="rId222" Type="http://schemas.openxmlformats.org/officeDocument/2006/relationships/hyperlink" Target="http://bimodal.io" TargetMode="External"/><Relationship Id="rId343" Type="http://schemas.openxmlformats.org/officeDocument/2006/relationships/hyperlink" Target="http://onelittleweb.com" TargetMode="External"/><Relationship Id="rId464" Type="http://schemas.openxmlformats.org/officeDocument/2006/relationships/hyperlink" Target="http://cybay.de" TargetMode="External"/><Relationship Id="rId585" Type="http://schemas.openxmlformats.org/officeDocument/2006/relationships/hyperlink" Target="http://matchpointmedia.de" TargetMode="External"/><Relationship Id="rId100" Type="http://schemas.openxmlformats.org/officeDocument/2006/relationships/hyperlink" Target="http://beste-geo-agentur.de" TargetMode="External"/><Relationship Id="rId221" Type="http://schemas.openxmlformats.org/officeDocument/2006/relationships/hyperlink" Target="http://archibo.de" TargetMode="External"/><Relationship Id="rId342" Type="http://schemas.openxmlformats.org/officeDocument/2006/relationships/hyperlink" Target="http://omsag.de" TargetMode="External"/><Relationship Id="rId463" Type="http://schemas.openxmlformats.org/officeDocument/2006/relationships/hyperlink" Target="http://customlytics.com" TargetMode="External"/><Relationship Id="rId584" Type="http://schemas.openxmlformats.org/officeDocument/2006/relationships/hyperlink" Target="http://markt-kom.com" TargetMode="External"/><Relationship Id="rId217" Type="http://schemas.openxmlformats.org/officeDocument/2006/relationships/hyperlink" Target="http://mindmelt.de" TargetMode="External"/><Relationship Id="rId338" Type="http://schemas.openxmlformats.org/officeDocument/2006/relationships/hyperlink" Target="http://mutabor.de" TargetMode="External"/><Relationship Id="rId459" Type="http://schemas.openxmlformats.org/officeDocument/2006/relationships/hyperlink" Target="http://creative-city-berlin.de" TargetMode="External"/><Relationship Id="rId216" Type="http://schemas.openxmlformats.org/officeDocument/2006/relationships/hyperlink" Target="http://mawave.com" TargetMode="External"/><Relationship Id="rId337" Type="http://schemas.openxmlformats.org/officeDocument/2006/relationships/hyperlink" Target="http://mir.de" TargetMode="External"/><Relationship Id="rId458" Type="http://schemas.openxmlformats.org/officeDocument/2006/relationships/hyperlink" Target="http://createscale.com" TargetMode="External"/><Relationship Id="rId579" Type="http://schemas.openxmlformats.org/officeDocument/2006/relationships/hyperlink" Target="http://makingscience.com" TargetMode="External"/><Relationship Id="rId215" Type="http://schemas.openxmlformats.org/officeDocument/2006/relationships/hyperlink" Target="http://warc.com" TargetMode="External"/><Relationship Id="rId336" Type="http://schemas.openxmlformats.org/officeDocument/2006/relationships/hyperlink" Target="http://mercurymediatechnology.com" TargetMode="External"/><Relationship Id="rId457" Type="http://schemas.openxmlformats.org/officeDocument/2006/relationships/hyperlink" Target="http://coolnerdsmarketing.com" TargetMode="External"/><Relationship Id="rId578" Type="http://schemas.openxmlformats.org/officeDocument/2006/relationships/hyperlink" Target="http://madgicx.com" TargetMode="External"/><Relationship Id="rId699" Type="http://schemas.openxmlformats.org/officeDocument/2006/relationships/hyperlink" Target="http://techradiant.co" TargetMode="External"/><Relationship Id="rId214" Type="http://schemas.openxmlformats.org/officeDocument/2006/relationships/hyperlink" Target="http://deloitte.com" TargetMode="External"/><Relationship Id="rId335" Type="http://schemas.openxmlformats.org/officeDocument/2006/relationships/hyperlink" Target="http://marketingexpertshub.com" TargetMode="External"/><Relationship Id="rId456" Type="http://schemas.openxmlformats.org/officeDocument/2006/relationships/hyperlink" Target="http://converlytics.com" TargetMode="External"/><Relationship Id="rId577" Type="http://schemas.openxmlformats.org/officeDocument/2006/relationships/hyperlink" Target="http://m-m-m.de" TargetMode="External"/><Relationship Id="rId698" Type="http://schemas.openxmlformats.org/officeDocument/2006/relationships/hyperlink" Target="http://technologyarch.com" TargetMode="External"/><Relationship Id="rId219" Type="http://schemas.openxmlformats.org/officeDocument/2006/relationships/hyperlink" Target="http://ai-value-consulting.de" TargetMode="External"/><Relationship Id="rId218" Type="http://schemas.openxmlformats.org/officeDocument/2006/relationships/hyperlink" Target="http://superspring.de" TargetMode="External"/><Relationship Id="rId339" Type="http://schemas.openxmlformats.org/officeDocument/2006/relationships/hyperlink" Target="http://nealschaffer.com" TargetMode="External"/><Relationship Id="rId330" Type="http://schemas.openxmlformats.org/officeDocument/2006/relationships/hyperlink" Target="http://itpro.com" TargetMode="External"/><Relationship Id="rId451" Type="http://schemas.openxmlformats.org/officeDocument/2006/relationships/hyperlink" Target="http://clickdo.co.uk" TargetMode="External"/><Relationship Id="rId572" Type="http://schemas.openxmlformats.org/officeDocument/2006/relationships/hyperlink" Target="http://leewayhertz.com" TargetMode="External"/><Relationship Id="rId693" Type="http://schemas.openxmlformats.org/officeDocument/2006/relationships/hyperlink" Target="http://takevalue.de" TargetMode="External"/><Relationship Id="rId450" Type="http://schemas.openxmlformats.org/officeDocument/2006/relationships/hyperlink" Target="http://clarista.io" TargetMode="External"/><Relationship Id="rId571" Type="http://schemas.openxmlformats.org/officeDocument/2006/relationships/hyperlink" Target="http://leansummits.com" TargetMode="External"/><Relationship Id="rId692" Type="http://schemas.openxmlformats.org/officeDocument/2006/relationships/hyperlink" Target="http://syncgtm.com" TargetMode="External"/><Relationship Id="rId570" Type="http://schemas.openxmlformats.org/officeDocument/2006/relationships/hyperlink" Target="http://labtrix.de" TargetMode="External"/><Relationship Id="rId691" Type="http://schemas.openxmlformats.org/officeDocument/2006/relationships/hyperlink" Target="http://swcpartnership.com" TargetMode="External"/><Relationship Id="rId690" Type="http://schemas.openxmlformats.org/officeDocument/2006/relationships/hyperlink" Target="http://studiohawk.com.au" TargetMode="External"/><Relationship Id="rId213" Type="http://schemas.openxmlformats.org/officeDocument/2006/relationships/hyperlink" Target="http://mmaglobal.com" TargetMode="External"/><Relationship Id="rId334" Type="http://schemas.openxmlformats.org/officeDocument/2006/relationships/hyperlink" Target="http://marketingattribution.com" TargetMode="External"/><Relationship Id="rId455" Type="http://schemas.openxmlformats.org/officeDocument/2006/relationships/hyperlink" Target="http://consulting.de" TargetMode="External"/><Relationship Id="rId576" Type="http://schemas.openxmlformats.org/officeDocument/2006/relationships/hyperlink" Target="http://lyfemarketing.com" TargetMode="External"/><Relationship Id="rId697" Type="http://schemas.openxmlformats.org/officeDocument/2006/relationships/hyperlink" Target="http://techaheadcorp.com" TargetMode="External"/><Relationship Id="rId212" Type="http://schemas.openxmlformats.org/officeDocument/2006/relationships/hyperlink" Target="http://incubeta.com" TargetMode="External"/><Relationship Id="rId333" Type="http://schemas.openxmlformats.org/officeDocument/2006/relationships/hyperlink" Target="http://marketing-boerse.de" TargetMode="External"/><Relationship Id="rId454" Type="http://schemas.openxmlformats.org/officeDocument/2006/relationships/hyperlink" Target="http://coinbound.io" TargetMode="External"/><Relationship Id="rId575" Type="http://schemas.openxmlformats.org/officeDocument/2006/relationships/hyperlink" Target="http://lunarailab.com" TargetMode="External"/><Relationship Id="rId696" Type="http://schemas.openxmlformats.org/officeDocument/2006/relationships/hyperlink" Target="http://tech.us" TargetMode="External"/><Relationship Id="rId211" Type="http://schemas.openxmlformats.org/officeDocument/2006/relationships/hyperlink" Target="http://superside.com" TargetMode="External"/><Relationship Id="rId332" Type="http://schemas.openxmlformats.org/officeDocument/2006/relationships/hyperlink" Target="http://lbbonline.com" TargetMode="External"/><Relationship Id="rId453" Type="http://schemas.openxmlformats.org/officeDocument/2006/relationships/hyperlink" Target="http://coefficient.io" TargetMode="External"/><Relationship Id="rId574" Type="http://schemas.openxmlformats.org/officeDocument/2006/relationships/hyperlink" Target="http://localperformance.com" TargetMode="External"/><Relationship Id="rId695" Type="http://schemas.openxmlformats.org/officeDocument/2006/relationships/hyperlink" Target="http://teamai.com" TargetMode="External"/><Relationship Id="rId210" Type="http://schemas.openxmlformats.org/officeDocument/2006/relationships/hyperlink" Target="http://unfuture.de" TargetMode="External"/><Relationship Id="rId331" Type="http://schemas.openxmlformats.org/officeDocument/2006/relationships/hyperlink" Target="http://kambria.de" TargetMode="External"/><Relationship Id="rId452" Type="http://schemas.openxmlformats.org/officeDocument/2006/relationships/hyperlink" Target="http://codewave.com" TargetMode="External"/><Relationship Id="rId573" Type="http://schemas.openxmlformats.org/officeDocument/2006/relationships/hyperlink" Target="http://liveramp.com" TargetMode="External"/><Relationship Id="rId694" Type="http://schemas.openxmlformats.org/officeDocument/2006/relationships/hyperlink" Target="http://tdwi-konferenz.de" TargetMode="External"/><Relationship Id="rId370" Type="http://schemas.openxmlformats.org/officeDocument/2006/relationships/hyperlink" Target="http://webnique.de" TargetMode="External"/><Relationship Id="rId491" Type="http://schemas.openxmlformats.org/officeDocument/2006/relationships/hyperlink" Target="http://esomar.org" TargetMode="External"/><Relationship Id="rId490" Type="http://schemas.openxmlformats.org/officeDocument/2006/relationships/hyperlink" Target="http://entrans.ai" TargetMode="External"/><Relationship Id="rId129" Type="http://schemas.openxmlformats.org/officeDocument/2006/relationships/hyperlink" Target="http://upliftgtm.com" TargetMode="External"/><Relationship Id="rId128" Type="http://schemas.openxmlformats.org/officeDocument/2006/relationships/hyperlink" Target="http://topgeoagencies.com" TargetMode="External"/><Relationship Id="rId249" Type="http://schemas.openxmlformats.org/officeDocument/2006/relationships/hyperlink" Target="http://bconic.com" TargetMode="External"/><Relationship Id="rId127" Type="http://schemas.openxmlformats.org/officeDocument/2006/relationships/hyperlink" Target="http://thebestagency.de" TargetMode="External"/><Relationship Id="rId248" Type="http://schemas.openxmlformats.org/officeDocument/2006/relationships/hyperlink" Target="http://anyleads.com" TargetMode="External"/><Relationship Id="rId369" Type="http://schemas.openxmlformats.org/officeDocument/2006/relationships/hyperlink" Target="http://weareqry.com" TargetMode="External"/><Relationship Id="rId126" Type="http://schemas.openxmlformats.org/officeDocument/2006/relationships/hyperlink" Target="http://rankshift.ai" TargetMode="External"/><Relationship Id="rId247" Type="http://schemas.openxmlformats.org/officeDocument/2006/relationships/hyperlink" Target="http://adspecialist.de" TargetMode="External"/><Relationship Id="rId368" Type="http://schemas.openxmlformats.org/officeDocument/2006/relationships/hyperlink" Target="http://wamdigital.com" TargetMode="External"/><Relationship Id="rId489" Type="http://schemas.openxmlformats.org/officeDocument/2006/relationships/hyperlink" Target="http://emarketer.com" TargetMode="External"/><Relationship Id="rId121" Type="http://schemas.openxmlformats.org/officeDocument/2006/relationships/hyperlink" Target="http://founderpal.ai" TargetMode="External"/><Relationship Id="rId242" Type="http://schemas.openxmlformats.org/officeDocument/2006/relationships/hyperlink" Target="http://getklar.com" TargetMode="External"/><Relationship Id="rId363" Type="http://schemas.openxmlformats.org/officeDocument/2006/relationships/hyperlink" Target="http://thebusinessrover.com" TargetMode="External"/><Relationship Id="rId484" Type="http://schemas.openxmlformats.org/officeDocument/2006/relationships/hyperlink" Target="http://ecimediamanagement.com" TargetMode="External"/><Relationship Id="rId120" Type="http://schemas.openxmlformats.org/officeDocument/2006/relationships/hyperlink" Target="http://arxiv.org" TargetMode="External"/><Relationship Id="rId241" Type="http://schemas.openxmlformats.org/officeDocument/2006/relationships/hyperlink" Target="http://think11.de" TargetMode="External"/><Relationship Id="rId362" Type="http://schemas.openxmlformats.org/officeDocument/2006/relationships/hyperlink" Target="http://suchmeisterei.de" TargetMode="External"/><Relationship Id="rId483" Type="http://schemas.openxmlformats.org/officeDocument/2006/relationships/hyperlink" Target="http://easyinsights.ai" TargetMode="External"/><Relationship Id="rId240" Type="http://schemas.openxmlformats.org/officeDocument/2006/relationships/hyperlink" Target="http://theverge.com" TargetMode="External"/><Relationship Id="rId361" Type="http://schemas.openxmlformats.org/officeDocument/2006/relationships/hyperlink" Target="http://stellaheystella.com" TargetMode="External"/><Relationship Id="rId482" Type="http://schemas.openxmlformats.org/officeDocument/2006/relationships/hyperlink" Target="http://e-dynamics.de" TargetMode="External"/><Relationship Id="rId360" Type="http://schemas.openxmlformats.org/officeDocument/2006/relationships/hyperlink" Target="http://social-media-agency-germany.com" TargetMode="External"/><Relationship Id="rId481" Type="http://schemas.openxmlformats.org/officeDocument/2006/relationships/hyperlink" Target="http://dwao.in" TargetMode="External"/><Relationship Id="rId125" Type="http://schemas.openxmlformats.org/officeDocument/2006/relationships/hyperlink" Target="http://orm-tech.com" TargetMode="External"/><Relationship Id="rId246" Type="http://schemas.openxmlformats.org/officeDocument/2006/relationships/hyperlink" Target="http://incrmntal.com" TargetMode="External"/><Relationship Id="rId367" Type="http://schemas.openxmlformats.org/officeDocument/2006/relationships/hyperlink" Target="http://varify.io" TargetMode="External"/><Relationship Id="rId488" Type="http://schemas.openxmlformats.org/officeDocument/2006/relationships/hyperlink" Target="http://eliya.io" TargetMode="External"/><Relationship Id="rId124" Type="http://schemas.openxmlformats.org/officeDocument/2006/relationships/hyperlink" Target="http://nuundigital.com" TargetMode="External"/><Relationship Id="rId245" Type="http://schemas.openxmlformats.org/officeDocument/2006/relationships/hyperlink" Target="http://ebiquity.com" TargetMode="External"/><Relationship Id="rId366" Type="http://schemas.openxmlformats.org/officeDocument/2006/relationships/hyperlink" Target="http://upmore.com" TargetMode="External"/><Relationship Id="rId487" Type="http://schemas.openxmlformats.org/officeDocument/2006/relationships/hyperlink" Target="http://ecowiseagency.com" TargetMode="External"/><Relationship Id="rId123" Type="http://schemas.openxmlformats.org/officeDocument/2006/relationships/hyperlink" Target="http://invademarketing.com" TargetMode="External"/><Relationship Id="rId244" Type="http://schemas.openxmlformats.org/officeDocument/2006/relationships/hyperlink" Target="http://crystalinfoway.com" TargetMode="External"/><Relationship Id="rId365" Type="http://schemas.openxmlformats.org/officeDocument/2006/relationships/hyperlink" Target="http://tofuhq.com" TargetMode="External"/><Relationship Id="rId486" Type="http://schemas.openxmlformats.org/officeDocument/2006/relationships/hyperlink" Target="http://econworks.de" TargetMode="External"/><Relationship Id="rId122" Type="http://schemas.openxmlformats.org/officeDocument/2006/relationships/hyperlink" Target="http://gaper.io" TargetMode="External"/><Relationship Id="rId243" Type="http://schemas.openxmlformats.org/officeDocument/2006/relationships/hyperlink" Target="http://attributy.de" TargetMode="External"/><Relationship Id="rId364" Type="http://schemas.openxmlformats.org/officeDocument/2006/relationships/hyperlink" Target="http://thekeenfolks.com" TargetMode="External"/><Relationship Id="rId485" Type="http://schemas.openxmlformats.org/officeDocument/2006/relationships/hyperlink" Target="http://ecommercefastlane.com" TargetMode="External"/><Relationship Id="rId95" Type="http://schemas.openxmlformats.org/officeDocument/2006/relationships/hyperlink" Target="http://thedrum.com" TargetMode="External"/><Relationship Id="rId94" Type="http://schemas.openxmlformats.org/officeDocument/2006/relationships/hyperlink" Target="http://openpr.com" TargetMode="External"/><Relationship Id="rId97" Type="http://schemas.openxmlformats.org/officeDocument/2006/relationships/hyperlink" Target="http://werbeagentur.de" TargetMode="External"/><Relationship Id="rId96" Type="http://schemas.openxmlformats.org/officeDocument/2006/relationships/hyperlink" Target="http://icoda.io" TargetMode="External"/><Relationship Id="rId99" Type="http://schemas.openxmlformats.org/officeDocument/2006/relationships/hyperlink" Target="http://advisori.de" TargetMode="External"/><Relationship Id="rId480" Type="http://schemas.openxmlformats.org/officeDocument/2006/relationships/hyperlink" Target="http://dtgv.de" TargetMode="External"/><Relationship Id="rId98" Type="http://schemas.openxmlformats.org/officeDocument/2006/relationships/hyperlink" Target="http://dynamicsupport.de" TargetMode="External"/><Relationship Id="rId91" Type="http://schemas.openxmlformats.org/officeDocument/2006/relationships/hyperlink" Target="http://digiscorp.com" TargetMode="External"/><Relationship Id="rId90" Type="http://schemas.openxmlformats.org/officeDocument/2006/relationships/hyperlink" Target="http://ayrank.com" TargetMode="External"/><Relationship Id="rId93" Type="http://schemas.openxmlformats.org/officeDocument/2006/relationships/hyperlink" Target="http://ninjapromo.io" TargetMode="External"/><Relationship Id="rId92" Type="http://schemas.openxmlformats.org/officeDocument/2006/relationships/hyperlink" Target="http://indeedseo.com" TargetMode="External"/><Relationship Id="rId118" Type="http://schemas.openxmlformats.org/officeDocument/2006/relationships/hyperlink" Target="http://deptagency.com" TargetMode="External"/><Relationship Id="rId239" Type="http://schemas.openxmlformats.org/officeDocument/2006/relationships/hyperlink" Target="http://suxeedo.de" TargetMode="External"/><Relationship Id="rId117" Type="http://schemas.openxmlformats.org/officeDocument/2006/relationships/hyperlink" Target="http://google.de" TargetMode="External"/><Relationship Id="rId238" Type="http://schemas.openxmlformats.org/officeDocument/2006/relationships/hyperlink" Target="http://supermetrics.com" TargetMode="External"/><Relationship Id="rId359" Type="http://schemas.openxmlformats.org/officeDocument/2006/relationships/hyperlink" Target="http://sineos.de" TargetMode="External"/><Relationship Id="rId116" Type="http://schemas.openxmlformats.org/officeDocument/2006/relationships/hyperlink" Target="http://adc.de" TargetMode="External"/><Relationship Id="rId237" Type="http://schemas.openxmlformats.org/officeDocument/2006/relationships/hyperlink" Target="http://suchhelden.de" TargetMode="External"/><Relationship Id="rId358" Type="http://schemas.openxmlformats.org/officeDocument/2006/relationships/hyperlink" Target="http://silverspoonagency.com" TargetMode="External"/><Relationship Id="rId479" Type="http://schemas.openxmlformats.org/officeDocument/2006/relationships/hyperlink" Target="http://dotsource.com" TargetMode="External"/><Relationship Id="rId115" Type="http://schemas.openxmlformats.org/officeDocument/2006/relationships/hyperlink" Target="http://hopmann.com" TargetMode="External"/><Relationship Id="rId236" Type="http://schemas.openxmlformats.org/officeDocument/2006/relationships/hyperlink" Target="http://scopicstudios.com" TargetMode="External"/><Relationship Id="rId357" Type="http://schemas.openxmlformats.org/officeDocument/2006/relationships/hyperlink" Target="http://scholze-consulting.de" TargetMode="External"/><Relationship Id="rId478" Type="http://schemas.openxmlformats.org/officeDocument/2006/relationships/hyperlink" Target="http://displayce.com" TargetMode="External"/><Relationship Id="rId599" Type="http://schemas.openxmlformats.org/officeDocument/2006/relationships/hyperlink" Target="http://nativz.io" TargetMode="External"/><Relationship Id="rId119" Type="http://schemas.openxmlformats.org/officeDocument/2006/relationships/hyperlink" Target="http://ecommercegermany.com" TargetMode="External"/><Relationship Id="rId110" Type="http://schemas.openxmlformats.org/officeDocument/2006/relationships/hyperlink" Target="http://itprofiles.com" TargetMode="External"/><Relationship Id="rId231" Type="http://schemas.openxmlformats.org/officeDocument/2006/relationships/hyperlink" Target="http://jadasquad.com" TargetMode="External"/><Relationship Id="rId352" Type="http://schemas.openxmlformats.org/officeDocument/2006/relationships/hyperlink" Target="http://rocketium.ai" TargetMode="External"/><Relationship Id="rId473" Type="http://schemas.openxmlformats.org/officeDocument/2006/relationships/hyperlink" Target="http://detecon.com" TargetMode="External"/><Relationship Id="rId594" Type="http://schemas.openxmlformats.org/officeDocument/2006/relationships/hyperlink" Target="http://mmm-consulting.de" TargetMode="External"/><Relationship Id="rId230" Type="http://schemas.openxmlformats.org/officeDocument/2006/relationships/hyperlink" Target="http://housesofgrowth.com" TargetMode="External"/><Relationship Id="rId351" Type="http://schemas.openxmlformats.org/officeDocument/2006/relationships/hyperlink" Target="http://pta.de" TargetMode="External"/><Relationship Id="rId472" Type="http://schemas.openxmlformats.org/officeDocument/2006/relationships/hyperlink" Target="http://dejanmarketing.com" TargetMode="External"/><Relationship Id="rId593" Type="http://schemas.openxmlformats.org/officeDocument/2006/relationships/hyperlink" Target="http://mkt-sci.com" TargetMode="External"/><Relationship Id="rId350" Type="http://schemas.openxmlformats.org/officeDocument/2006/relationships/hyperlink" Target="http://programmatic-agentur.de" TargetMode="External"/><Relationship Id="rId471" Type="http://schemas.openxmlformats.org/officeDocument/2006/relationships/hyperlink" Target="http://deichweb.de" TargetMode="External"/><Relationship Id="rId592" Type="http://schemas.openxmlformats.org/officeDocument/2006/relationships/hyperlink" Target="http://mintzoro.com" TargetMode="External"/><Relationship Id="rId470" Type="http://schemas.openxmlformats.org/officeDocument/2006/relationships/hyperlink" Target="http://davidms.co.uk" TargetMode="External"/><Relationship Id="rId591" Type="http://schemas.openxmlformats.org/officeDocument/2006/relationships/hyperlink" Target="http://mintcopywritingstudios.com" TargetMode="External"/><Relationship Id="rId114" Type="http://schemas.openxmlformats.org/officeDocument/2006/relationships/hyperlink" Target="http://liftlab.com" TargetMode="External"/><Relationship Id="rId235" Type="http://schemas.openxmlformats.org/officeDocument/2006/relationships/hyperlink" Target="http://ruleranalytics.com" TargetMode="External"/><Relationship Id="rId356" Type="http://schemas.openxmlformats.org/officeDocument/2006/relationships/hyperlink" Target="http://schalk-and-friends.de" TargetMode="External"/><Relationship Id="rId477" Type="http://schemas.openxmlformats.org/officeDocument/2006/relationships/hyperlink" Target="http://digitalrhetoric.in" TargetMode="External"/><Relationship Id="rId598" Type="http://schemas.openxmlformats.org/officeDocument/2006/relationships/hyperlink" Target="http://multishoring.com" TargetMode="External"/><Relationship Id="rId113" Type="http://schemas.openxmlformats.org/officeDocument/2006/relationships/hyperlink" Target="http://getrecast.com" TargetMode="External"/><Relationship Id="rId234" Type="http://schemas.openxmlformats.org/officeDocument/2006/relationships/hyperlink" Target="http://revolutions.de" TargetMode="External"/><Relationship Id="rId355" Type="http://schemas.openxmlformats.org/officeDocument/2006/relationships/hyperlink" Target="http://rzlt.io" TargetMode="External"/><Relationship Id="rId476" Type="http://schemas.openxmlformats.org/officeDocument/2006/relationships/hyperlink" Target="http://digitalmarketingsupermarket.com" TargetMode="External"/><Relationship Id="rId597" Type="http://schemas.openxmlformats.org/officeDocument/2006/relationships/hyperlink" Target="http://most2414.com" TargetMode="External"/><Relationship Id="rId112" Type="http://schemas.openxmlformats.org/officeDocument/2006/relationships/hyperlink" Target="http://online-digitalx.de" TargetMode="External"/><Relationship Id="rId233" Type="http://schemas.openxmlformats.org/officeDocument/2006/relationships/hyperlink" Target="http://mediaroi.io" TargetMode="External"/><Relationship Id="rId354" Type="http://schemas.openxmlformats.org/officeDocument/2006/relationships/hyperlink" Target="http://ruess-group.com" TargetMode="External"/><Relationship Id="rId475" Type="http://schemas.openxmlformats.org/officeDocument/2006/relationships/hyperlink" Target="http://digitalinsight.de" TargetMode="External"/><Relationship Id="rId596" Type="http://schemas.openxmlformats.org/officeDocument/2006/relationships/hyperlink" Target="http://modo25.com" TargetMode="External"/><Relationship Id="rId111" Type="http://schemas.openxmlformats.org/officeDocument/2006/relationships/hyperlink" Target="http://lifesight.io" TargetMode="External"/><Relationship Id="rId232" Type="http://schemas.openxmlformats.org/officeDocument/2006/relationships/hyperlink" Target="http://linea-analytics.com" TargetMode="External"/><Relationship Id="rId353" Type="http://schemas.openxmlformats.org/officeDocument/2006/relationships/hyperlink" Target="http://rsmus.com" TargetMode="External"/><Relationship Id="rId474" Type="http://schemas.openxmlformats.org/officeDocument/2006/relationships/hyperlink" Target="http://digitalapplied.com" TargetMode="External"/><Relationship Id="rId595" Type="http://schemas.openxmlformats.org/officeDocument/2006/relationships/hyperlink" Target="http://modall.ca" TargetMode="External"/><Relationship Id="rId305" Type="http://schemas.openxmlformats.org/officeDocument/2006/relationships/hyperlink" Target="http://dacgroup.com" TargetMode="External"/><Relationship Id="rId426" Type="http://schemas.openxmlformats.org/officeDocument/2006/relationships/hyperlink" Target="http://backhouse.com" TargetMode="External"/><Relationship Id="rId547" Type="http://schemas.openxmlformats.org/officeDocument/2006/relationships/hyperlink" Target="http://impressiondigital.com" TargetMode="External"/><Relationship Id="rId668" Type="http://schemas.openxmlformats.org/officeDocument/2006/relationships/hyperlink" Target="http://signalandkairos.com" TargetMode="External"/><Relationship Id="rId304" Type="http://schemas.openxmlformats.org/officeDocument/2006/relationships/hyperlink" Target="http://consult.tv" TargetMode="External"/><Relationship Id="rId425" Type="http://schemas.openxmlformats.org/officeDocument/2006/relationships/hyperlink" Target="http://back9.co.nz" TargetMode="External"/><Relationship Id="rId546" Type="http://schemas.openxmlformats.org/officeDocument/2006/relationships/hyperlink" Target="http://idhlagency.com" TargetMode="External"/><Relationship Id="rId667" Type="http://schemas.openxmlformats.org/officeDocument/2006/relationships/hyperlink" Target="http://siegemedia.com" TargetMode="External"/><Relationship Id="rId303" Type="http://schemas.openxmlformats.org/officeDocument/2006/relationships/hyperlink" Target="http://com.de" TargetMode="External"/><Relationship Id="rId424" Type="http://schemas.openxmlformats.org/officeDocument/2006/relationships/hyperlink" Target="http://axelwin.com" TargetMode="External"/><Relationship Id="rId545" Type="http://schemas.openxmlformats.org/officeDocument/2006/relationships/hyperlink" Target="http://iconagility.com" TargetMode="External"/><Relationship Id="rId666" Type="http://schemas.openxmlformats.org/officeDocument/2006/relationships/hyperlink" Target="http://shifu-marketing.com" TargetMode="External"/><Relationship Id="rId302" Type="http://schemas.openxmlformats.org/officeDocument/2006/relationships/hyperlink" Target="http://cmmodels.com" TargetMode="External"/><Relationship Id="rId423" Type="http://schemas.openxmlformats.org/officeDocument/2006/relationships/hyperlink" Target="http://avaus.com" TargetMode="External"/><Relationship Id="rId544" Type="http://schemas.openxmlformats.org/officeDocument/2006/relationships/hyperlink" Target="http://hustlermarketing.com" TargetMode="External"/><Relationship Id="rId665" Type="http://schemas.openxmlformats.org/officeDocument/2006/relationships/hyperlink" Target="http://seybold.de" TargetMode="External"/><Relationship Id="rId309" Type="http://schemas.openxmlformats.org/officeDocument/2006/relationships/hyperlink" Target="http://e-laborat.de" TargetMode="External"/><Relationship Id="rId308" Type="http://schemas.openxmlformats.org/officeDocument/2006/relationships/hyperlink" Target="http://dcberlin.com" TargetMode="External"/><Relationship Id="rId429" Type="http://schemas.openxmlformats.org/officeDocument/2006/relationships/hyperlink" Target="http://best-social-media-agency.com" TargetMode="External"/><Relationship Id="rId307" Type="http://schemas.openxmlformats.org/officeDocument/2006/relationships/hyperlink" Target="http://dataciders.com" TargetMode="External"/><Relationship Id="rId428" Type="http://schemas.openxmlformats.org/officeDocument/2006/relationships/hyperlink" Target="http://best-brands-global.com" TargetMode="External"/><Relationship Id="rId549" Type="http://schemas.openxmlformats.org/officeDocument/2006/relationships/hyperlink" Target="http://inbeat.co" TargetMode="External"/><Relationship Id="rId306" Type="http://schemas.openxmlformats.org/officeDocument/2006/relationships/hyperlink" Target="http://dall-int.com" TargetMode="External"/><Relationship Id="rId427" Type="http://schemas.openxmlformats.org/officeDocument/2006/relationships/hyperlink" Target="http://berlin.de" TargetMode="External"/><Relationship Id="rId548" Type="http://schemas.openxmlformats.org/officeDocument/2006/relationships/hyperlink" Target="http://imrg.org" TargetMode="External"/><Relationship Id="rId669" Type="http://schemas.openxmlformats.org/officeDocument/2006/relationships/hyperlink" Target="http://simpli.fi" TargetMode="External"/><Relationship Id="rId660" Type="http://schemas.openxmlformats.org/officeDocument/2006/relationships/hyperlink" Target="http://selectedfirms.co" TargetMode="External"/><Relationship Id="rId301" Type="http://schemas.openxmlformats.org/officeDocument/2006/relationships/hyperlink" Target="http://cieden.com" TargetMode="External"/><Relationship Id="rId422" Type="http://schemas.openxmlformats.org/officeDocument/2006/relationships/hyperlink" Target="http://aurelai.de" TargetMode="External"/><Relationship Id="rId543" Type="http://schemas.openxmlformats.org/officeDocument/2006/relationships/hyperlink" Target="http://hourlydeveloper.io" TargetMode="External"/><Relationship Id="rId664" Type="http://schemas.openxmlformats.org/officeDocument/2006/relationships/hyperlink" Target="http://seosupport.de" TargetMode="External"/><Relationship Id="rId300" Type="http://schemas.openxmlformats.org/officeDocument/2006/relationships/hyperlink" Target="http://cabinco.com" TargetMode="External"/><Relationship Id="rId421" Type="http://schemas.openxmlformats.org/officeDocument/2006/relationships/hyperlink" Target="http://audigent.com" TargetMode="External"/><Relationship Id="rId542" Type="http://schemas.openxmlformats.org/officeDocument/2006/relationships/hyperlink" Target="http://hoerndlein-consulting.de" TargetMode="External"/><Relationship Id="rId663" Type="http://schemas.openxmlformats.org/officeDocument/2006/relationships/hyperlink" Target="http://seodiscovery.com" TargetMode="External"/><Relationship Id="rId420" Type="http://schemas.openxmlformats.org/officeDocument/2006/relationships/hyperlink" Target="http://attnagency.com" TargetMode="External"/><Relationship Id="rId541" Type="http://schemas.openxmlformats.org/officeDocument/2006/relationships/hyperlink" Target="http://hirefrontenddeveloperindia.com" TargetMode="External"/><Relationship Id="rId662" Type="http://schemas.openxmlformats.org/officeDocument/2006/relationships/hyperlink" Target="http://seodeutschland.de" TargetMode="External"/><Relationship Id="rId540" Type="http://schemas.openxmlformats.org/officeDocument/2006/relationships/hyperlink" Target="http://higoodie.com" TargetMode="External"/><Relationship Id="rId661" Type="http://schemas.openxmlformats.org/officeDocument/2006/relationships/hyperlink" Target="http://semnexus.com" TargetMode="External"/><Relationship Id="rId415" Type="http://schemas.openxmlformats.org/officeDocument/2006/relationships/hyperlink" Target="http://analyticpartners.com" TargetMode="External"/><Relationship Id="rId536" Type="http://schemas.openxmlformats.org/officeDocument/2006/relationships/hyperlink" Target="http://hawkemedia.com" TargetMode="External"/><Relationship Id="rId657" Type="http://schemas.openxmlformats.org/officeDocument/2006/relationships/hyperlink" Target="http://searchbloom.com" TargetMode="External"/><Relationship Id="rId414" Type="http://schemas.openxmlformats.org/officeDocument/2006/relationships/hyperlink" Target="http://analyticaa.com" TargetMode="External"/><Relationship Id="rId535" Type="http://schemas.openxmlformats.org/officeDocument/2006/relationships/hyperlink" Target="http://havstrategy.com" TargetMode="External"/><Relationship Id="rId656" Type="http://schemas.openxmlformats.org/officeDocument/2006/relationships/hyperlink" Target="http://sdbj.com" TargetMode="External"/><Relationship Id="rId413" Type="http://schemas.openxmlformats.org/officeDocument/2006/relationships/hyperlink" Target="http://amworldgroup.com" TargetMode="External"/><Relationship Id="rId534" Type="http://schemas.openxmlformats.org/officeDocument/2006/relationships/hyperlink" Target="http://hatchly.co.uk" TargetMode="External"/><Relationship Id="rId655" Type="http://schemas.openxmlformats.org/officeDocument/2006/relationships/hyperlink" Target="http://scandiweb.com" TargetMode="External"/><Relationship Id="rId412" Type="http://schemas.openxmlformats.org/officeDocument/2006/relationships/hyperlink" Target="http://amplitude.com" TargetMode="External"/><Relationship Id="rId533" Type="http://schemas.openxmlformats.org/officeDocument/2006/relationships/hyperlink" Target="http://handelsblatt.com" TargetMode="External"/><Relationship Id="rId654" Type="http://schemas.openxmlformats.org/officeDocument/2006/relationships/hyperlink" Target="http://scalefox.de" TargetMode="External"/><Relationship Id="rId419" Type="http://schemas.openxmlformats.org/officeDocument/2006/relationships/hyperlink" Target="http://aschendorff-next.de" TargetMode="External"/><Relationship Id="rId418" Type="http://schemas.openxmlformats.org/officeDocument/2006/relationships/hyperlink" Target="http://arcintermedia.com" TargetMode="External"/><Relationship Id="rId539" Type="http://schemas.openxmlformats.org/officeDocument/2006/relationships/hyperlink" Target="http://herohunt.ai" TargetMode="External"/><Relationship Id="rId417" Type="http://schemas.openxmlformats.org/officeDocument/2006/relationships/hyperlink" Target="http://arboro.de" TargetMode="External"/><Relationship Id="rId538" Type="http://schemas.openxmlformats.org/officeDocument/2006/relationships/hyperlink" Target="http://heeet.io" TargetMode="External"/><Relationship Id="rId659" Type="http://schemas.openxmlformats.org/officeDocument/2006/relationships/hyperlink" Target="http://sei.com" TargetMode="External"/><Relationship Id="rId416" Type="http://schemas.openxmlformats.org/officeDocument/2006/relationships/hyperlink" Target="http://and-marketing.com" TargetMode="External"/><Relationship Id="rId537" Type="http://schemas.openxmlformats.org/officeDocument/2006/relationships/hyperlink" Target="http://hawksem.com" TargetMode="External"/><Relationship Id="rId658" Type="http://schemas.openxmlformats.org/officeDocument/2006/relationships/hyperlink" Target="http://searchperts.de" TargetMode="External"/><Relationship Id="rId411" Type="http://schemas.openxmlformats.org/officeDocument/2006/relationships/hyperlink" Target="http://amplework.com" TargetMode="External"/><Relationship Id="rId532" Type="http://schemas.openxmlformats.org/officeDocument/2006/relationships/hyperlink" Target="http://growthspreeofficial.com" TargetMode="External"/><Relationship Id="rId653" Type="http://schemas.openxmlformats.org/officeDocument/2006/relationships/hyperlink" Target="http://scalecom.de" TargetMode="External"/><Relationship Id="rId410" Type="http://schemas.openxmlformats.org/officeDocument/2006/relationships/hyperlink" Target="http://alicelabs.ai" TargetMode="External"/><Relationship Id="rId531" Type="http://schemas.openxmlformats.org/officeDocument/2006/relationships/hyperlink" Target="http://growthcurve.co" TargetMode="External"/><Relationship Id="rId652" Type="http://schemas.openxmlformats.org/officeDocument/2006/relationships/hyperlink" Target="http://scaleandcompany.com" TargetMode="External"/><Relationship Id="rId530" Type="http://schemas.openxmlformats.org/officeDocument/2006/relationships/hyperlink" Target="http://growth-rocket.com" TargetMode="External"/><Relationship Id="rId651" Type="http://schemas.openxmlformats.org/officeDocument/2006/relationships/hyperlink" Target="http://saphirsolution.de" TargetMode="External"/><Relationship Id="rId650" Type="http://schemas.openxmlformats.org/officeDocument/2006/relationships/hyperlink" Target="http://sanmiguel.io" TargetMode="External"/><Relationship Id="rId206" Type="http://schemas.openxmlformats.org/officeDocument/2006/relationships/hyperlink" Target="http://phable.io" TargetMode="External"/><Relationship Id="rId327" Type="http://schemas.openxmlformats.org/officeDocument/2006/relationships/hyperlink" Target="http://incremental.com" TargetMode="External"/><Relationship Id="rId448" Type="http://schemas.openxmlformats.org/officeDocument/2006/relationships/hyperlink" Target="http://cigen.io" TargetMode="External"/><Relationship Id="rId569" Type="http://schemas.openxmlformats.org/officeDocument/2006/relationships/hyperlink" Target="http://kunalkankaria.com" TargetMode="External"/><Relationship Id="rId205" Type="http://schemas.openxmlformats.org/officeDocument/2006/relationships/hyperlink" Target="http://passion4it.de" TargetMode="External"/><Relationship Id="rId326" Type="http://schemas.openxmlformats.org/officeDocument/2006/relationships/hyperlink" Target="http://hurra.com" TargetMode="External"/><Relationship Id="rId447" Type="http://schemas.openxmlformats.org/officeDocument/2006/relationships/hyperlink" Target="http://campaignme.com" TargetMode="External"/><Relationship Id="rId568" Type="http://schemas.openxmlformats.org/officeDocument/2006/relationships/hyperlink" Target="http://krick.com" TargetMode="External"/><Relationship Id="rId689" Type="http://schemas.openxmlformats.org/officeDocument/2006/relationships/hyperlink" Target="http://studiocherie.net" TargetMode="External"/><Relationship Id="rId204" Type="http://schemas.openxmlformats.org/officeDocument/2006/relationships/hyperlink" Target="http://onlinemarketingagenturde.de" TargetMode="External"/><Relationship Id="rId325" Type="http://schemas.openxmlformats.org/officeDocument/2006/relationships/hyperlink" Target="http://heydigital.co" TargetMode="External"/><Relationship Id="rId446" Type="http://schemas.openxmlformats.org/officeDocument/2006/relationships/hyperlink" Target="http://calvarius.com" TargetMode="External"/><Relationship Id="rId567" Type="http://schemas.openxmlformats.org/officeDocument/2006/relationships/hyperlink" Target="http://kretschel-consulting.de" TargetMode="External"/><Relationship Id="rId688" Type="http://schemas.openxmlformats.org/officeDocument/2006/relationships/hyperlink" Target="http://striped-giraffe.com" TargetMode="External"/><Relationship Id="rId203" Type="http://schemas.openxmlformats.org/officeDocument/2006/relationships/hyperlink" Target="http://omnicommediagroup.de" TargetMode="External"/><Relationship Id="rId324" Type="http://schemas.openxmlformats.org/officeDocument/2006/relationships/hyperlink" Target="http://growthmarketingpro.com" TargetMode="External"/><Relationship Id="rId445" Type="http://schemas.openxmlformats.org/officeDocument/2006/relationships/hyperlink" Target="http://c-n-t-a.com" TargetMode="External"/><Relationship Id="rId566" Type="http://schemas.openxmlformats.org/officeDocument/2006/relationships/hyperlink" Target="http://kochava.com" TargetMode="External"/><Relationship Id="rId687" Type="http://schemas.openxmlformats.org/officeDocument/2006/relationships/hyperlink" Target="http://strativera.com" TargetMode="External"/><Relationship Id="rId209" Type="http://schemas.openxmlformats.org/officeDocument/2006/relationships/hyperlink" Target="http://threebestrated.de" TargetMode="External"/><Relationship Id="rId208" Type="http://schemas.openxmlformats.org/officeDocument/2006/relationships/hyperlink" Target="http://statista.com" TargetMode="External"/><Relationship Id="rId329" Type="http://schemas.openxmlformats.org/officeDocument/2006/relationships/hyperlink" Target="http://intellectyx.com" TargetMode="External"/><Relationship Id="rId207" Type="http://schemas.openxmlformats.org/officeDocument/2006/relationships/hyperlink" Target="http://seranking.com" TargetMode="External"/><Relationship Id="rId328" Type="http://schemas.openxmlformats.org/officeDocument/2006/relationships/hyperlink" Target="http://instagram.com" TargetMode="External"/><Relationship Id="rId449" Type="http://schemas.openxmlformats.org/officeDocument/2006/relationships/hyperlink" Target="http://cl-y.com" TargetMode="External"/><Relationship Id="rId440" Type="http://schemas.openxmlformats.org/officeDocument/2006/relationships/hyperlink" Target="http://brainlabsdigital.com" TargetMode="External"/><Relationship Id="rId561" Type="http://schemas.openxmlformats.org/officeDocument/2006/relationships/hyperlink" Target="http://kentucky.com" TargetMode="External"/><Relationship Id="rId682" Type="http://schemas.openxmlformats.org/officeDocument/2006/relationships/hyperlink" Target="http://spie.ch" TargetMode="External"/><Relationship Id="rId560" Type="http://schemas.openxmlformats.org/officeDocument/2006/relationships/hyperlink" Target="http://karlmission.com" TargetMode="External"/><Relationship Id="rId681" Type="http://schemas.openxmlformats.org/officeDocument/2006/relationships/hyperlink" Target="http://spaceo.ai" TargetMode="External"/><Relationship Id="rId680" Type="http://schemas.openxmlformats.org/officeDocument/2006/relationships/hyperlink" Target="http://spacedealer.de" TargetMode="External"/><Relationship Id="rId202" Type="http://schemas.openxmlformats.org/officeDocument/2006/relationships/hyperlink" Target="http://nogood.io" TargetMode="External"/><Relationship Id="rId323" Type="http://schemas.openxmlformats.org/officeDocument/2006/relationships/hyperlink" Target="http://gravima.de" TargetMode="External"/><Relationship Id="rId444" Type="http://schemas.openxmlformats.org/officeDocument/2006/relationships/hyperlink" Target="http://businesswire.com" TargetMode="External"/><Relationship Id="rId565" Type="http://schemas.openxmlformats.org/officeDocument/2006/relationships/hyperlink" Target="http://klickkonzept.de" TargetMode="External"/><Relationship Id="rId686" Type="http://schemas.openxmlformats.org/officeDocument/2006/relationships/hyperlink" Target="http://steinbeis-ifem.de" TargetMode="External"/><Relationship Id="rId201" Type="http://schemas.openxmlformats.org/officeDocument/2006/relationships/hyperlink" Target="http://magier.com" TargetMode="External"/><Relationship Id="rId322" Type="http://schemas.openxmlformats.org/officeDocument/2006/relationships/hyperlink" Target="http://grabarz-group.de" TargetMode="External"/><Relationship Id="rId443" Type="http://schemas.openxmlformats.org/officeDocument/2006/relationships/hyperlink" Target="http://bundb.de" TargetMode="External"/><Relationship Id="rId564" Type="http://schemas.openxmlformats.org/officeDocument/2006/relationships/hyperlink" Target="http://kingfluencers.com" TargetMode="External"/><Relationship Id="rId685" Type="http://schemas.openxmlformats.org/officeDocument/2006/relationships/hyperlink" Target="http://stape.io" TargetMode="External"/><Relationship Id="rId200" Type="http://schemas.openxmlformats.org/officeDocument/2006/relationships/hyperlink" Target="http://influencermarketinghub.com" TargetMode="External"/><Relationship Id="rId321" Type="http://schemas.openxmlformats.org/officeDocument/2006/relationships/hyperlink" Target="http://geoagentur-hamburg.de" TargetMode="External"/><Relationship Id="rId442" Type="http://schemas.openxmlformats.org/officeDocument/2006/relationships/hyperlink" Target="http://brentonway.com" TargetMode="External"/><Relationship Id="rId563" Type="http://schemas.openxmlformats.org/officeDocument/2006/relationships/hyperlink" Target="http://ki-projexx.de" TargetMode="External"/><Relationship Id="rId684" Type="http://schemas.openxmlformats.org/officeDocument/2006/relationships/hyperlink" Target="http://stackadapt.com" TargetMode="External"/><Relationship Id="rId320" Type="http://schemas.openxmlformats.org/officeDocument/2006/relationships/hyperlink" Target="http://gen-optima.com" TargetMode="External"/><Relationship Id="rId441" Type="http://schemas.openxmlformats.org/officeDocument/2006/relationships/hyperlink" Target="http://brandigochina.com" TargetMode="External"/><Relationship Id="rId562" Type="http://schemas.openxmlformats.org/officeDocument/2006/relationships/hyperlink" Target="http://keyweo.com" TargetMode="External"/><Relationship Id="rId683" Type="http://schemas.openxmlformats.org/officeDocument/2006/relationships/hyperlink" Target="http://spotify.com" TargetMode="External"/><Relationship Id="rId316" Type="http://schemas.openxmlformats.org/officeDocument/2006/relationships/hyperlink" Target="http://forrester.com" TargetMode="External"/><Relationship Id="rId437" Type="http://schemas.openxmlformats.org/officeDocument/2006/relationships/hyperlink" Target="http://blueduckagency.com" TargetMode="External"/><Relationship Id="rId558" Type="http://schemas.openxmlformats.org/officeDocument/2006/relationships/hyperlink" Target="http://jobgether.com" TargetMode="External"/><Relationship Id="rId679" Type="http://schemas.openxmlformats.org/officeDocument/2006/relationships/hyperlink" Target="http://softwareadvice.com" TargetMode="External"/><Relationship Id="rId315" Type="http://schemas.openxmlformats.org/officeDocument/2006/relationships/hyperlink" Target="http://experian.com" TargetMode="External"/><Relationship Id="rId436" Type="http://schemas.openxmlformats.org/officeDocument/2006/relationships/hyperlink" Target="http://blueconic.com" TargetMode="External"/><Relationship Id="rId557" Type="http://schemas.openxmlformats.org/officeDocument/2006/relationships/hyperlink" Target="http://jampp.com" TargetMode="External"/><Relationship Id="rId678" Type="http://schemas.openxmlformats.org/officeDocument/2006/relationships/hyperlink" Target="http://soenkesproll.de" TargetMode="External"/><Relationship Id="rId314" Type="http://schemas.openxmlformats.org/officeDocument/2006/relationships/hyperlink" Target="http://exactag.com" TargetMode="External"/><Relationship Id="rId435" Type="http://schemas.openxmlformats.org/officeDocument/2006/relationships/hyperlink" Target="http://bluealpha.ai" TargetMode="External"/><Relationship Id="rId556" Type="http://schemas.openxmlformats.org/officeDocument/2006/relationships/hyperlink" Target="http://jaeckert-odaniel.com" TargetMode="External"/><Relationship Id="rId677" Type="http://schemas.openxmlformats.org/officeDocument/2006/relationships/hyperlink" Target="http://socialsamurai.de" TargetMode="External"/><Relationship Id="rId313" Type="http://schemas.openxmlformats.org/officeDocument/2006/relationships/hyperlink" Target="http://europeanbusinessreview.com" TargetMode="External"/><Relationship Id="rId434" Type="http://schemas.openxmlformats.org/officeDocument/2006/relationships/hyperlink" Target="http://blockbirds.de" TargetMode="External"/><Relationship Id="rId555" Type="http://schemas.openxmlformats.org/officeDocument/2006/relationships/hyperlink" Target="http://iopex.com" TargetMode="External"/><Relationship Id="rId676" Type="http://schemas.openxmlformats.org/officeDocument/2006/relationships/hyperlink" Target="http://soar.sh" TargetMode="External"/><Relationship Id="rId319" Type="http://schemas.openxmlformats.org/officeDocument/2006/relationships/hyperlink" Target="http://gaim-solutions.com" TargetMode="External"/><Relationship Id="rId318" Type="http://schemas.openxmlformats.org/officeDocument/2006/relationships/hyperlink" Target="http://ft.com" TargetMode="External"/><Relationship Id="rId439" Type="http://schemas.openxmlformats.org/officeDocument/2006/relationships/hyperlink" Target="http://brainlab.com" TargetMode="External"/><Relationship Id="rId317" Type="http://schemas.openxmlformats.org/officeDocument/2006/relationships/hyperlink" Target="http://friendventure.de" TargetMode="External"/><Relationship Id="rId438" Type="http://schemas.openxmlformats.org/officeDocument/2006/relationships/hyperlink" Target="http://blueshepherd.de" TargetMode="External"/><Relationship Id="rId559" Type="http://schemas.openxmlformats.org/officeDocument/2006/relationships/hyperlink" Target="http://jvm.com" TargetMode="External"/><Relationship Id="rId550" Type="http://schemas.openxmlformats.org/officeDocument/2006/relationships/hyperlink" Target="http://infomotion.de" TargetMode="External"/><Relationship Id="rId671" Type="http://schemas.openxmlformats.org/officeDocument/2006/relationships/hyperlink" Target="http://sixpathsconsulting.com" TargetMode="External"/><Relationship Id="rId670" Type="http://schemas.openxmlformats.org/officeDocument/2006/relationships/hyperlink" Target="http://singlegrain.com" TargetMode="External"/><Relationship Id="rId312" Type="http://schemas.openxmlformats.org/officeDocument/2006/relationships/hyperlink" Target="http://eology.de" TargetMode="External"/><Relationship Id="rId433" Type="http://schemas.openxmlformats.org/officeDocument/2006/relationships/hyperlink" Target="http://blackravenmedia.com" TargetMode="External"/><Relationship Id="rId554" Type="http://schemas.openxmlformats.org/officeDocument/2006/relationships/hyperlink" Target="http://invictus-lead-generation.de" TargetMode="External"/><Relationship Id="rId675" Type="http://schemas.openxmlformats.org/officeDocument/2006/relationships/hyperlink" Target="http://snk.de" TargetMode="External"/><Relationship Id="rId311" Type="http://schemas.openxmlformats.org/officeDocument/2006/relationships/hyperlink" Target="http://edgeangel.co" TargetMode="External"/><Relationship Id="rId432" Type="http://schemas.openxmlformats.org/officeDocument/2006/relationships/hyperlink" Target="http://biloba-it.de" TargetMode="External"/><Relationship Id="rId553" Type="http://schemas.openxmlformats.org/officeDocument/2006/relationships/hyperlink" Target="http://intentradar.com" TargetMode="External"/><Relationship Id="rId674" Type="http://schemas.openxmlformats.org/officeDocument/2006/relationships/hyperlink" Target="http://smartly.io" TargetMode="External"/><Relationship Id="rId310" Type="http://schemas.openxmlformats.org/officeDocument/2006/relationships/hyperlink" Target="http://easeium.com" TargetMode="External"/><Relationship Id="rId431" Type="http://schemas.openxmlformats.org/officeDocument/2006/relationships/hyperlink" Target="http://bestaiagencyforcompanies.com" TargetMode="External"/><Relationship Id="rId552" Type="http://schemas.openxmlformats.org/officeDocument/2006/relationships/hyperlink" Target="http://instantwaves.de" TargetMode="External"/><Relationship Id="rId673" Type="http://schemas.openxmlformats.org/officeDocument/2006/relationships/hyperlink" Target="http://smarketer.co.uk" TargetMode="External"/><Relationship Id="rId430" Type="http://schemas.openxmlformats.org/officeDocument/2006/relationships/hyperlink" Target="http://bestadsontv.com" TargetMode="External"/><Relationship Id="rId551" Type="http://schemas.openxmlformats.org/officeDocument/2006/relationships/hyperlink" Target="http://insightwert.de" TargetMode="External"/><Relationship Id="rId672" Type="http://schemas.openxmlformats.org/officeDocument/2006/relationships/hyperlink" Target="http://skai.io"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youtube.com/watch?v=iUNdeZPBkbk" TargetMode="External"/><Relationship Id="rId391" Type="http://schemas.openxmlformats.org/officeDocument/2006/relationships/hyperlink" Target="http://sortlist.de" TargetMode="External"/><Relationship Id="rId390" Type="http://schemas.openxmlformats.org/officeDocument/2006/relationships/hyperlink" Target="https://www.sortlist.de/s/performance-marketing/deutschland-de" TargetMode="External"/><Relationship Id="rId2180" Type="http://schemas.openxmlformats.org/officeDocument/2006/relationships/hyperlink" Target="https://www.google.com/searchviewer/10?svid=CAwSHBIaCgNwdnESE0Nnd3ZaeTh4YUcwMWJYTjVjREkYCg" TargetMode="External"/><Relationship Id="rId2181" Type="http://schemas.openxmlformats.org/officeDocument/2006/relationships/hyperlink" Target="http://google.com" TargetMode="External"/><Relationship Id="rId2182" Type="http://schemas.openxmlformats.org/officeDocument/2006/relationships/hyperlink" Target="https://www.google.com/searchviewer/10?svid=CAwSHRIbCgNwdnESFENnMHZaeTh4TVdJMmFIWm9Nemw1GAo" TargetMode="External"/><Relationship Id="rId2183" Type="http://schemas.openxmlformats.org/officeDocument/2006/relationships/hyperlink" Target="http://google.com" TargetMode="External"/><Relationship Id="rId385" Type="http://schemas.openxmlformats.org/officeDocument/2006/relationships/hyperlink" Target="https://mediacharge.com/digital-marketing-agency-germany" TargetMode="External"/><Relationship Id="rId2184" Type="http://schemas.openxmlformats.org/officeDocument/2006/relationships/hyperlink" Target="https://www.google.com/searchviewer/10?svid=CAwSHRIbCgNwdnESFENnMHZaeTh4TVdOc2N6WjRkSGhqGAo" TargetMode="External"/><Relationship Id="rId384" Type="http://schemas.openxmlformats.org/officeDocument/2006/relationships/hyperlink" Target="http://itprofiles.com" TargetMode="External"/><Relationship Id="rId2185" Type="http://schemas.openxmlformats.org/officeDocument/2006/relationships/hyperlink" Target="http://google.com" TargetMode="External"/><Relationship Id="rId383" Type="http://schemas.openxmlformats.org/officeDocument/2006/relationships/hyperlink" Target="https://itprofiles.com/services/advertising-marketing/germany" TargetMode="External"/><Relationship Id="rId2186" Type="http://schemas.openxmlformats.org/officeDocument/2006/relationships/hyperlink" Target="https://growffic.com/blog/generative-engine-optimization-agencies/" TargetMode="External"/><Relationship Id="rId382" Type="http://schemas.openxmlformats.org/officeDocument/2006/relationships/hyperlink" Target="http://icreativez.com" TargetMode="External"/><Relationship Id="rId2187" Type="http://schemas.openxmlformats.org/officeDocument/2006/relationships/hyperlink" Target="http://growffic.com" TargetMode="External"/><Relationship Id="rId389" Type="http://schemas.openxmlformats.org/officeDocument/2006/relationships/hyperlink" Target="http://sortlist.com" TargetMode="External"/><Relationship Id="rId2188" Type="http://schemas.openxmlformats.org/officeDocument/2006/relationships/hyperlink" Target="https://growth-hacking-agentur.de/ai-marketing-agenturen" TargetMode="External"/><Relationship Id="rId388" Type="http://schemas.openxmlformats.org/officeDocument/2006/relationships/hyperlink" Target="https://www.sortlist.com/i/advertising/germany-de" TargetMode="External"/><Relationship Id="rId2189" Type="http://schemas.openxmlformats.org/officeDocument/2006/relationships/hyperlink" Target="http://growth-hacking-agentur.de" TargetMode="External"/><Relationship Id="rId387" Type="http://schemas.openxmlformats.org/officeDocument/2006/relationships/hyperlink" Target="https://mobian.studio/ai-consulting-companies-germany/" TargetMode="External"/><Relationship Id="rId386" Type="http://schemas.openxmlformats.org/officeDocument/2006/relationships/hyperlink" Target="http://mediacharge.com" TargetMode="External"/><Relationship Id="rId381" Type="http://schemas.openxmlformats.org/officeDocument/2006/relationships/hyperlink" Target="https://www.icreativez.com/marketing-companies-by-country/distinguished-digital-marketing-firms-germany-2026.html" TargetMode="External"/><Relationship Id="rId380" Type="http://schemas.openxmlformats.org/officeDocument/2006/relationships/hyperlink" Target="http://hockeystack.com" TargetMode="External"/><Relationship Id="rId379" Type="http://schemas.openxmlformats.org/officeDocument/2006/relationships/hyperlink" Target="https://www.hockeystack.com/blog-posts/best-marketing-attribution-software" TargetMode="External"/><Relationship Id="rId2170" Type="http://schemas.openxmlformats.org/officeDocument/2006/relationships/hyperlink" Target="https://www.goodfirms.co/directory/city/top-digital-marketing-companies/hamburg" TargetMode="External"/><Relationship Id="rId2171" Type="http://schemas.openxmlformats.org/officeDocument/2006/relationships/hyperlink" Target="http://goodfirms.co" TargetMode="External"/><Relationship Id="rId2172" Type="http://schemas.openxmlformats.org/officeDocument/2006/relationships/hyperlink" Target="https://www.google.com/searchviewer/10?svid=CAwSGxIZCgNwdnESEkNnc3ZaeTh4ZEdONGFIUTBZdxgK" TargetMode="External"/><Relationship Id="rId374" Type="http://schemas.openxmlformats.org/officeDocument/2006/relationships/hyperlink" Target="http://dynamicsupport.de" TargetMode="External"/><Relationship Id="rId2173" Type="http://schemas.openxmlformats.org/officeDocument/2006/relationships/hyperlink" Target="http://google.com" TargetMode="External"/><Relationship Id="rId373" Type="http://schemas.openxmlformats.org/officeDocument/2006/relationships/hyperlink" Target="https://dynamicsupport.de/en/" TargetMode="External"/><Relationship Id="rId2174" Type="http://schemas.openxmlformats.org/officeDocument/2006/relationships/hyperlink" Target="https://www.google.com/searchviewer/10?svid=CAwSGxIZCgNwdnESEkNnc3ZaeTh4ZEhRNFlqaDVjZxgK" TargetMode="External"/><Relationship Id="rId372" Type="http://schemas.openxmlformats.org/officeDocument/2006/relationships/hyperlink" Target="http://conplore.com" TargetMode="External"/><Relationship Id="rId2175" Type="http://schemas.openxmlformats.org/officeDocument/2006/relationships/hyperlink" Target="http://google.com" TargetMode="External"/><Relationship Id="rId371" Type="http://schemas.openxmlformats.org/officeDocument/2006/relationships/hyperlink" Target="https://conplore.com/geo-agenturen-in-der-dach-region-2026-wer-hilft-marken-in-der-ki-suche-sichtbar-zu-werden/" TargetMode="External"/><Relationship Id="rId2176" Type="http://schemas.openxmlformats.org/officeDocument/2006/relationships/hyperlink" Target="https://www.google.com/searchviewer/10?svid=CAwSGxIZCgNwdnESEkNnc3ZaeTh4ZGpac05tczFiURgK" TargetMode="External"/><Relationship Id="rId378" Type="http://schemas.openxmlformats.org/officeDocument/2006/relationships/hyperlink" Target="http://google.com" TargetMode="External"/><Relationship Id="rId2177" Type="http://schemas.openxmlformats.org/officeDocument/2006/relationships/hyperlink" Target="http://google.com" TargetMode="External"/><Relationship Id="rId377" Type="http://schemas.openxmlformats.org/officeDocument/2006/relationships/hyperlink" Target="https://www.google.com/ads/publisher/partners/find-a-partner/" TargetMode="External"/><Relationship Id="rId2178" Type="http://schemas.openxmlformats.org/officeDocument/2006/relationships/hyperlink" Target="https://www.google.com/searchviewer/10?svid=CAwSHBIaCgNwdnESE0Nnd3ZaeTh4Y0hSNE9Xc3lOMkkYCg" TargetMode="External"/><Relationship Id="rId376" Type="http://schemas.openxmlformats.org/officeDocument/2006/relationships/hyperlink" Target="http://ensun.io" TargetMode="External"/><Relationship Id="rId2179" Type="http://schemas.openxmlformats.org/officeDocument/2006/relationships/hyperlink" Target="http://google.com" TargetMode="External"/><Relationship Id="rId375" Type="http://schemas.openxmlformats.org/officeDocument/2006/relationships/hyperlink" Target="https://ensun.io/search/marketing-analytics/germany" TargetMode="External"/><Relationship Id="rId2190" Type="http://schemas.openxmlformats.org/officeDocument/2006/relationships/hyperlink" Target="https://www.growth-rocket.com/blog/what-high-performing-agencies-do-differently-with-first-party-data-strategy/" TargetMode="External"/><Relationship Id="rId2191" Type="http://schemas.openxmlformats.org/officeDocument/2006/relationships/hyperlink" Target="http://growth-rocket.com" TargetMode="External"/><Relationship Id="rId2192" Type="http://schemas.openxmlformats.org/officeDocument/2006/relationships/hyperlink" Target="https://growthcurve.co/agency/digital-marketing-agency/best-new-york-digital-agency" TargetMode="External"/><Relationship Id="rId2193" Type="http://schemas.openxmlformats.org/officeDocument/2006/relationships/hyperlink" Target="http://growthcurve.co" TargetMode="External"/><Relationship Id="rId2194" Type="http://schemas.openxmlformats.org/officeDocument/2006/relationships/hyperlink" Target="https://growthmanager.ai/best-aeo-agency/in/munich" TargetMode="External"/><Relationship Id="rId396" Type="http://schemas.openxmlformats.org/officeDocument/2006/relationships/hyperlink" Target="https://agencies.semrush.com/de/list/display-advertising/germany/" TargetMode="External"/><Relationship Id="rId2195" Type="http://schemas.openxmlformats.org/officeDocument/2006/relationships/hyperlink" Target="http://growthmanager.ai" TargetMode="External"/><Relationship Id="rId395" Type="http://schemas.openxmlformats.org/officeDocument/2006/relationships/hyperlink" Target="http://aeoagency.org" TargetMode="External"/><Relationship Id="rId2196" Type="http://schemas.openxmlformats.org/officeDocument/2006/relationships/hyperlink" Target="https://growthmanager.ai/best-ai-seo-agency/in/berlin" TargetMode="External"/><Relationship Id="rId394" Type="http://schemas.openxmlformats.org/officeDocument/2006/relationships/hyperlink" Target="https://aeoagency.org/best-aeo-agencies/" TargetMode="External"/><Relationship Id="rId2197" Type="http://schemas.openxmlformats.org/officeDocument/2006/relationships/hyperlink" Target="http://growthmanager.ai" TargetMode="External"/><Relationship Id="rId393" Type="http://schemas.openxmlformats.org/officeDocument/2006/relationships/hyperlink" Target="http://youtube.com" TargetMode="External"/><Relationship Id="rId2198" Type="http://schemas.openxmlformats.org/officeDocument/2006/relationships/hyperlink" Target="https://www.growthspreeofficial.com/blogs/top-6-ai-powered-b2b-saas-marketing-agencies-in-the-united-states-2026" TargetMode="External"/><Relationship Id="rId2199" Type="http://schemas.openxmlformats.org/officeDocument/2006/relationships/hyperlink" Target="http://growthspreeofficial.com" TargetMode="External"/><Relationship Id="rId399" Type="http://schemas.openxmlformats.org/officeDocument/2006/relationships/hyperlink" Target="http://semrush.com" TargetMode="External"/><Relationship Id="rId398" Type="http://schemas.openxmlformats.org/officeDocument/2006/relationships/hyperlink" Target="https://agencies.semrush.com/list/ai-optimization/germany/mid-business/" TargetMode="External"/><Relationship Id="rId397" Type="http://schemas.openxmlformats.org/officeDocument/2006/relationships/hyperlink" Target="http://semrush.com" TargetMode="External"/><Relationship Id="rId1730" Type="http://schemas.openxmlformats.org/officeDocument/2006/relationships/hyperlink" Target="http://beomniscient.com" TargetMode="External"/><Relationship Id="rId1731" Type="http://schemas.openxmlformats.org/officeDocument/2006/relationships/hyperlink" Target="https://www.berlin.de/sen/web/en/economics-and-technology/branches/creative-industries-and-communication/advertising/artikel.447824.en.php" TargetMode="External"/><Relationship Id="rId1732" Type="http://schemas.openxmlformats.org/officeDocument/2006/relationships/hyperlink" Target="http://berlin.de" TargetMode="External"/><Relationship Id="rId1733" Type="http://schemas.openxmlformats.org/officeDocument/2006/relationships/hyperlink" Target="https://www.best-brands-global.com/content/dam/best-brands-global/de/image-library/2026/BEST_BRANDS_2026_Booklet_Studie_EN.pdf.coredownload.pdf" TargetMode="External"/><Relationship Id="rId1734" Type="http://schemas.openxmlformats.org/officeDocument/2006/relationships/hyperlink" Target="http://best-brands-global.com" TargetMode="External"/><Relationship Id="rId1735" Type="http://schemas.openxmlformats.org/officeDocument/2006/relationships/hyperlink" Target="https://www.best-social-media-agency.com/" TargetMode="External"/><Relationship Id="rId1736" Type="http://schemas.openxmlformats.org/officeDocument/2006/relationships/hyperlink" Target="http://best-social-media-agency.com" TargetMode="External"/><Relationship Id="rId1737" Type="http://schemas.openxmlformats.org/officeDocument/2006/relationships/hyperlink" Target="https://www.bestadsontv.com/rankings.php?category=All&amp;country=Germany&amp;period=2025&amp;role=agency" TargetMode="External"/><Relationship Id="rId1738" Type="http://schemas.openxmlformats.org/officeDocument/2006/relationships/hyperlink" Target="http://bestadsontv.com" TargetMode="External"/><Relationship Id="rId1739" Type="http://schemas.openxmlformats.org/officeDocument/2006/relationships/hyperlink" Target="https://www.bestaiagencyforcompanies.com/rankings" TargetMode="External"/><Relationship Id="rId1720" Type="http://schemas.openxmlformats.org/officeDocument/2006/relationships/hyperlink" Target="http://backhouse.com" TargetMode="External"/><Relationship Id="rId1721" Type="http://schemas.openxmlformats.org/officeDocument/2006/relationships/hyperlink" Target="https://www.batten-company.com/en/about-us/" TargetMode="External"/><Relationship Id="rId1722" Type="http://schemas.openxmlformats.org/officeDocument/2006/relationships/hyperlink" Target="http://batten-company.com" TargetMode="External"/><Relationship Id="rId1723" Type="http://schemas.openxmlformats.org/officeDocument/2006/relationships/hyperlink" Target="https://www.batten-company.com/en/about-us/awards/" TargetMode="External"/><Relationship Id="rId1724" Type="http://schemas.openxmlformats.org/officeDocument/2006/relationships/hyperlink" Target="http://batten-company.com" TargetMode="External"/><Relationship Id="rId1725" Type="http://schemas.openxmlformats.org/officeDocument/2006/relationships/hyperlink" Target="https://bbdo.de/" TargetMode="External"/><Relationship Id="rId1726" Type="http://schemas.openxmlformats.org/officeDocument/2006/relationships/hyperlink" Target="http://bbdo.de" TargetMode="External"/><Relationship Id="rId1727" Type="http://schemas.openxmlformats.org/officeDocument/2006/relationships/hyperlink" Target="https://beomniscient.com/blog/growth-marketing-agency/" TargetMode="External"/><Relationship Id="rId1728" Type="http://schemas.openxmlformats.org/officeDocument/2006/relationships/hyperlink" Target="http://beomniscient.com" TargetMode="External"/><Relationship Id="rId1729" Type="http://schemas.openxmlformats.org/officeDocument/2006/relationships/hyperlink" Target="https://beomniscient.com/blog/marketing-agencies/" TargetMode="External"/><Relationship Id="rId1752" Type="http://schemas.openxmlformats.org/officeDocument/2006/relationships/hyperlink" Target="http://blueduckagency.com" TargetMode="External"/><Relationship Id="rId1753" Type="http://schemas.openxmlformats.org/officeDocument/2006/relationships/hyperlink" Target="https://blueshepherd.de/" TargetMode="External"/><Relationship Id="rId1754" Type="http://schemas.openxmlformats.org/officeDocument/2006/relationships/hyperlink" Target="http://blueshepherd.de" TargetMode="External"/><Relationship Id="rId1755" Type="http://schemas.openxmlformats.org/officeDocument/2006/relationships/hyperlink" Target="https://www.brainlab.com/de/jobs-karriere/locations/" TargetMode="External"/><Relationship Id="rId1756" Type="http://schemas.openxmlformats.org/officeDocument/2006/relationships/hyperlink" Target="http://brainlab.com" TargetMode="External"/><Relationship Id="rId1757" Type="http://schemas.openxmlformats.org/officeDocument/2006/relationships/hyperlink" Target="https://www.brainlabsdigital.com/" TargetMode="External"/><Relationship Id="rId1758" Type="http://schemas.openxmlformats.org/officeDocument/2006/relationships/hyperlink" Target="http://brainlabsdigital.com" TargetMode="External"/><Relationship Id="rId1759" Type="http://schemas.openxmlformats.org/officeDocument/2006/relationships/hyperlink" Target="https://www.brandigochina.com/the-best-marketing-agencies-in-china--2026" TargetMode="External"/><Relationship Id="rId1750" Type="http://schemas.openxmlformats.org/officeDocument/2006/relationships/hyperlink" Target="http://blueconic.com" TargetMode="External"/><Relationship Id="rId1751" Type="http://schemas.openxmlformats.org/officeDocument/2006/relationships/hyperlink" Target="https://www.blueduckagency.com/blog/incrementality" TargetMode="External"/><Relationship Id="rId1741" Type="http://schemas.openxmlformats.org/officeDocument/2006/relationships/hyperlink" Target="https://www.biloba-it.de/en/online-marketing/web-analytics/" TargetMode="External"/><Relationship Id="rId1742" Type="http://schemas.openxmlformats.org/officeDocument/2006/relationships/hyperlink" Target="http://biloba-it.de" TargetMode="External"/><Relationship Id="rId1743" Type="http://schemas.openxmlformats.org/officeDocument/2006/relationships/hyperlink" Target="https://www.blackravenmedia.com/1st-party-data/" TargetMode="External"/><Relationship Id="rId1744" Type="http://schemas.openxmlformats.org/officeDocument/2006/relationships/hyperlink" Target="http://blackravenmedia.com" TargetMode="External"/><Relationship Id="rId1745" Type="http://schemas.openxmlformats.org/officeDocument/2006/relationships/hyperlink" Target="https://blockbirds.de/blog/die-besten-marketing-agenturen-deutschlands/" TargetMode="External"/><Relationship Id="rId1746" Type="http://schemas.openxmlformats.org/officeDocument/2006/relationships/hyperlink" Target="http://blockbirds.de" TargetMode="External"/><Relationship Id="rId1747" Type="http://schemas.openxmlformats.org/officeDocument/2006/relationships/hyperlink" Target="https://bluealpha.ai/articles/why-your-marketing-agency-needs-mmm-and-incrementality-testing" TargetMode="External"/><Relationship Id="rId1748" Type="http://schemas.openxmlformats.org/officeDocument/2006/relationships/hyperlink" Target="http://bluealpha.ai" TargetMode="External"/><Relationship Id="rId1749" Type="http://schemas.openxmlformats.org/officeDocument/2006/relationships/hyperlink" Target="https://www.blueconic.com/resources/best-cdps" TargetMode="External"/><Relationship Id="rId1740" Type="http://schemas.openxmlformats.org/officeDocument/2006/relationships/hyperlink" Target="http://bestaiagencyforcompanies.com" TargetMode="External"/><Relationship Id="rId1710" Type="http://schemas.openxmlformats.org/officeDocument/2006/relationships/hyperlink" Target="http://awisee.com" TargetMode="External"/><Relationship Id="rId1711" Type="http://schemas.openxmlformats.org/officeDocument/2006/relationships/hyperlink" Target="https://awisee.com/hu/blog/digital-marketing-agencies-germany/" TargetMode="External"/><Relationship Id="rId1712" Type="http://schemas.openxmlformats.org/officeDocument/2006/relationships/hyperlink" Target="http://awisee.com" TargetMode="External"/><Relationship Id="rId1713" Type="http://schemas.openxmlformats.org/officeDocument/2006/relationships/hyperlink" Target="https://www.axelwin.com/aboutus" TargetMode="External"/><Relationship Id="rId1714" Type="http://schemas.openxmlformats.org/officeDocument/2006/relationships/hyperlink" Target="http://axelwin.com" TargetMode="External"/><Relationship Id="rId1715" Type="http://schemas.openxmlformats.org/officeDocument/2006/relationships/hyperlink" Target="https://www.axios.com/2026/07/16/geo-communications-marketing-strategy" TargetMode="External"/><Relationship Id="rId1716" Type="http://schemas.openxmlformats.org/officeDocument/2006/relationships/hyperlink" Target="http://axios.com" TargetMode="External"/><Relationship Id="rId1717" Type="http://schemas.openxmlformats.org/officeDocument/2006/relationships/hyperlink" Target="https://www.back9.co.nz/how-to-find-a-certified-google-partner/" TargetMode="External"/><Relationship Id="rId1718" Type="http://schemas.openxmlformats.org/officeDocument/2006/relationships/hyperlink" Target="http://back9.co.nz" TargetMode="External"/><Relationship Id="rId1719" Type="http://schemas.openxmlformats.org/officeDocument/2006/relationships/hyperlink" Target="https://www.backhouse.com/" TargetMode="External"/><Relationship Id="rId1700" Type="http://schemas.openxmlformats.org/officeDocument/2006/relationships/hyperlink" Target="http://aschendorff-next.de" TargetMode="External"/><Relationship Id="rId1701" Type="http://schemas.openxmlformats.org/officeDocument/2006/relationships/hyperlink" Target="https://www.attnagency.com/blog/first-party-data-activation-cdp-ad-platform-strategy" TargetMode="External"/><Relationship Id="rId1702" Type="http://schemas.openxmlformats.org/officeDocument/2006/relationships/hyperlink" Target="http://attnagency.com" TargetMode="External"/><Relationship Id="rId1703" Type="http://schemas.openxmlformats.org/officeDocument/2006/relationships/hyperlink" Target="https://audigent.com/" TargetMode="External"/><Relationship Id="rId1704" Type="http://schemas.openxmlformats.org/officeDocument/2006/relationships/hyperlink" Target="http://audigent.com" TargetMode="External"/><Relationship Id="rId1705" Type="http://schemas.openxmlformats.org/officeDocument/2006/relationships/hyperlink" Target="https://www.aurelai.de/" TargetMode="External"/><Relationship Id="rId1706" Type="http://schemas.openxmlformats.org/officeDocument/2006/relationships/hyperlink" Target="http://aurelai.de" TargetMode="External"/><Relationship Id="rId1707" Type="http://schemas.openxmlformats.org/officeDocument/2006/relationships/hyperlink" Target="https://www.avaus.com/blog/how-media-agencies-can-utilize-first-party-data-to-drive-better-results/" TargetMode="External"/><Relationship Id="rId1708" Type="http://schemas.openxmlformats.org/officeDocument/2006/relationships/hyperlink" Target="http://avaus.com" TargetMode="External"/><Relationship Id="rId1709" Type="http://schemas.openxmlformats.org/officeDocument/2006/relationships/hyperlink" Target="https://awisee.com/blog/marketing-agencies-europe/" TargetMode="External"/><Relationship Id="rId40" Type="http://schemas.openxmlformats.org/officeDocument/2006/relationships/hyperlink" Target="http://techbehemoths.com" TargetMode="External"/><Relationship Id="rId42" Type="http://schemas.openxmlformats.org/officeDocument/2006/relationships/hyperlink" Target="http://klickpiloten.de" TargetMode="External"/><Relationship Id="rId41" Type="http://schemas.openxmlformats.org/officeDocument/2006/relationships/hyperlink" Target="https://klickpiloten.de/en/agency/company" TargetMode="External"/><Relationship Id="rId44" Type="http://schemas.openxmlformats.org/officeDocument/2006/relationships/hyperlink" Target="https://www.sortlist.com/i/digital-marketing/germany-de" TargetMode="External"/><Relationship Id="rId43" Type="http://schemas.openxmlformats.org/officeDocument/2006/relationships/hyperlink" Target="https://creatif.agency/the-best-branding-agencies-in-germany/" TargetMode="External"/><Relationship Id="rId46" Type="http://schemas.openxmlformats.org/officeDocument/2006/relationships/hyperlink" Target="https://www.ziya.de/en/locations/deutschland" TargetMode="External"/><Relationship Id="rId45" Type="http://schemas.openxmlformats.org/officeDocument/2006/relationships/hyperlink" Target="http://sortlist.com" TargetMode="External"/><Relationship Id="rId48" Type="http://schemas.openxmlformats.org/officeDocument/2006/relationships/hyperlink" Target="https://www.sortlist.com/s/marketing-analytics/germany-de" TargetMode="External"/><Relationship Id="rId47" Type="http://schemas.openxmlformats.org/officeDocument/2006/relationships/hyperlink" Target="http://ziya.de" TargetMode="External"/><Relationship Id="rId49" Type="http://schemas.openxmlformats.org/officeDocument/2006/relationships/hyperlink" Target="http://sortlist.com" TargetMode="External"/><Relationship Id="rId31" Type="http://schemas.openxmlformats.org/officeDocument/2006/relationships/hyperlink" Target="https://agencies.semrush.com/list/ai-optimization/germany/" TargetMode="External"/><Relationship Id="rId30" Type="http://schemas.openxmlformats.org/officeDocument/2006/relationships/hyperlink" Target="http://sortlist.com" TargetMode="External"/><Relationship Id="rId33" Type="http://schemas.openxmlformats.org/officeDocument/2006/relationships/hyperlink" Target="https://www.sortlist.com/s/display-advertising/germany-de" TargetMode="External"/><Relationship Id="rId32" Type="http://schemas.openxmlformats.org/officeDocument/2006/relationships/hyperlink" Target="http://semrush.com" TargetMode="External"/><Relationship Id="rId35" Type="http://schemas.openxmlformats.org/officeDocument/2006/relationships/hyperlink" Target="https://www.influencer-hero.com/blogs/top-advertising-agencies-in-germany" TargetMode="External"/><Relationship Id="rId34" Type="http://schemas.openxmlformats.org/officeDocument/2006/relationships/hyperlink" Target="http://sortlist.com" TargetMode="External"/><Relationship Id="rId37" Type="http://schemas.openxmlformats.org/officeDocument/2006/relationships/hyperlink" Target="https://www.goodfirms.co/directory/country/top-digital-marketing-companies/de" TargetMode="External"/><Relationship Id="rId36" Type="http://schemas.openxmlformats.org/officeDocument/2006/relationships/hyperlink" Target="http://influencer-hero.com" TargetMode="External"/><Relationship Id="rId39" Type="http://schemas.openxmlformats.org/officeDocument/2006/relationships/hyperlink" Target="https://techbehemoths.com/companies/marketing-analytics/germany" TargetMode="External"/><Relationship Id="rId38" Type="http://schemas.openxmlformats.org/officeDocument/2006/relationships/hyperlink" Target="http://goodfirms.co" TargetMode="External"/><Relationship Id="rId2203" Type="http://schemas.openxmlformats.org/officeDocument/2006/relationships/hyperlink" Target="http://handelsblatt.com" TargetMode="External"/><Relationship Id="rId2204" Type="http://schemas.openxmlformats.org/officeDocument/2006/relationships/hyperlink" Target="https://www.hatchly.co.uk/design-services/creative-production" TargetMode="External"/><Relationship Id="rId20" Type="http://schemas.openxmlformats.org/officeDocument/2006/relationships/hyperlink" Target="http://sortlist.com" TargetMode="External"/><Relationship Id="rId2205" Type="http://schemas.openxmlformats.org/officeDocument/2006/relationships/hyperlink" Target="http://hatchly.co.uk" TargetMode="External"/><Relationship Id="rId2206" Type="http://schemas.openxmlformats.org/officeDocument/2006/relationships/hyperlink" Target="https://www.haus.io/article/incrementality-testing-frameworks-for-health-brands" TargetMode="External"/><Relationship Id="rId22" Type="http://schemas.openxmlformats.org/officeDocument/2006/relationships/hyperlink" Target="http://influencer-hero.com" TargetMode="External"/><Relationship Id="rId2207" Type="http://schemas.openxmlformats.org/officeDocument/2006/relationships/hyperlink" Target="http://haus.io" TargetMode="External"/><Relationship Id="rId21" Type="http://schemas.openxmlformats.org/officeDocument/2006/relationships/hyperlink" Target="https://www.influencer-hero.com/blogs/top-10-creative-agencies-in-germany" TargetMode="External"/><Relationship Id="rId2208" Type="http://schemas.openxmlformats.org/officeDocument/2006/relationships/hyperlink" Target="https://haus.io/blog/choosing-the-best-incrementality-testing-tool" TargetMode="External"/><Relationship Id="rId24" Type="http://schemas.openxmlformats.org/officeDocument/2006/relationships/hyperlink" Target="http://ibusiness.de" TargetMode="External"/><Relationship Id="rId2209" Type="http://schemas.openxmlformats.org/officeDocument/2006/relationships/hyperlink" Target="http://haus.io" TargetMode="External"/><Relationship Id="rId23" Type="http://schemas.openxmlformats.org/officeDocument/2006/relationships/hyperlink" Target="https://www.ibusiness.de/performance-ranking/" TargetMode="External"/><Relationship Id="rId26" Type="http://schemas.openxmlformats.org/officeDocument/2006/relationships/hyperlink" Target="http://radyant.io" TargetMode="External"/><Relationship Id="rId25" Type="http://schemas.openxmlformats.org/officeDocument/2006/relationships/hyperlink" Target="https://www.radyant.io/comparison/6-best-geo-agencies-in-germany" TargetMode="External"/><Relationship Id="rId28" Type="http://schemas.openxmlformats.org/officeDocument/2006/relationships/hyperlink" Target="http://dreikon.de" TargetMode="External"/><Relationship Id="rId27" Type="http://schemas.openxmlformats.org/officeDocument/2006/relationships/hyperlink" Target="https://www.dreikon.de/en/news/online-marketing-knowledge/10-best-seo-and-geo-agencies-2026/" TargetMode="External"/><Relationship Id="rId29" Type="http://schemas.openxmlformats.org/officeDocument/2006/relationships/hyperlink" Target="https://www.sortlist.com/s/artificial-intelligence/germany-de" TargetMode="External"/><Relationship Id="rId2200" Type="http://schemas.openxmlformats.org/officeDocument/2006/relationships/hyperlink" Target="https://www.gwa.de/agentur/jung-von-matt-recdoadq0ys6eetsm/" TargetMode="External"/><Relationship Id="rId2201" Type="http://schemas.openxmlformats.org/officeDocument/2006/relationships/hyperlink" Target="http://gwa.de" TargetMode="External"/><Relationship Id="rId2202" Type="http://schemas.openxmlformats.org/officeDocument/2006/relationships/hyperlink" Target="https://www.handelsblatt.com/adv/firmen/beste-geo-agentur.html" TargetMode="External"/><Relationship Id="rId11" Type="http://schemas.openxmlformats.org/officeDocument/2006/relationships/hyperlink" Target="https://www.influencer-hero.com/blogs/top-digital-advertising-agencies-in-germany" TargetMode="External"/><Relationship Id="rId10" Type="http://schemas.openxmlformats.org/officeDocument/2006/relationships/hyperlink" Target="http://clutch.co" TargetMode="External"/><Relationship Id="rId13" Type="http://schemas.openxmlformats.org/officeDocument/2006/relationships/hyperlink" Target="https://www.sortlist.com/s/marketing/germany-de" TargetMode="External"/><Relationship Id="rId12" Type="http://schemas.openxmlformats.org/officeDocument/2006/relationships/hyperlink" Target="http://influencer-hero.com" TargetMode="External"/><Relationship Id="rId15" Type="http://schemas.openxmlformats.org/officeDocument/2006/relationships/hyperlink" Target="https://www.designrush.com/agency/digital-marketing/de" TargetMode="External"/><Relationship Id="rId14" Type="http://schemas.openxmlformats.org/officeDocument/2006/relationships/hyperlink" Target="http://sortlist.com" TargetMode="External"/><Relationship Id="rId17" Type="http://schemas.openxmlformats.org/officeDocument/2006/relationships/hyperlink" Target="https://www.influencer-hero.com/blogs/top-digital-marketing-agencies-in-germany" TargetMode="External"/><Relationship Id="rId16" Type="http://schemas.openxmlformats.org/officeDocument/2006/relationships/hyperlink" Target="http://designrush.com" TargetMode="External"/><Relationship Id="rId19" Type="http://schemas.openxmlformats.org/officeDocument/2006/relationships/hyperlink" Target="https://www.sortlist.com/s/performance-marketing/germany-de" TargetMode="External"/><Relationship Id="rId18" Type="http://schemas.openxmlformats.org/officeDocument/2006/relationships/hyperlink" Target="http://influencer-hero.com" TargetMode="External"/><Relationship Id="rId84" Type="http://schemas.openxmlformats.org/officeDocument/2006/relationships/hyperlink" Target="https://www.influencer-hero.com/blogs/top-pay-per-click-agencies-in-germany" TargetMode="External"/><Relationship Id="rId1774" Type="http://schemas.openxmlformats.org/officeDocument/2006/relationships/hyperlink" Target="http://businessinsider.com" TargetMode="External"/><Relationship Id="rId83" Type="http://schemas.openxmlformats.org/officeDocument/2006/relationships/hyperlink" Target="http://hikemytraffic.com" TargetMode="External"/><Relationship Id="rId1775" Type="http://schemas.openxmlformats.org/officeDocument/2006/relationships/hyperlink" Target="https://www.businessinsider.com/consulting-ai-mckinsey-bcg-deloitte-pwc-kpmg-chatbots-ai-tools-2025-4" TargetMode="External"/><Relationship Id="rId86" Type="http://schemas.openxmlformats.org/officeDocument/2006/relationships/hyperlink" Target="https://agencies.semrush.com/list/smm/germany/" TargetMode="External"/><Relationship Id="rId1776" Type="http://schemas.openxmlformats.org/officeDocument/2006/relationships/hyperlink" Target="http://businessinsider.com" TargetMode="External"/><Relationship Id="rId85" Type="http://schemas.openxmlformats.org/officeDocument/2006/relationships/hyperlink" Target="http://influencer-hero.com" TargetMode="External"/><Relationship Id="rId1777" Type="http://schemas.openxmlformats.org/officeDocument/2006/relationships/hyperlink" Target="https://www.businessofapps.com/marketplace/ai-marketing/" TargetMode="External"/><Relationship Id="rId88" Type="http://schemas.openxmlformats.org/officeDocument/2006/relationships/hyperlink" Target="https://www.feld-m.de/service/marketing-measurement/" TargetMode="External"/><Relationship Id="rId1778" Type="http://schemas.openxmlformats.org/officeDocument/2006/relationships/hyperlink" Target="http://businessofapps.com" TargetMode="External"/><Relationship Id="rId87" Type="http://schemas.openxmlformats.org/officeDocument/2006/relationships/hyperlink" Target="http://semrush.com" TargetMode="External"/><Relationship Id="rId1779" Type="http://schemas.openxmlformats.org/officeDocument/2006/relationships/hyperlink" Target="https://www.businessofapps.com/marketplace/performance-marketing/" TargetMode="External"/><Relationship Id="rId89" Type="http://schemas.openxmlformats.org/officeDocument/2006/relationships/hyperlink" Target="http://feld-m.de" TargetMode="External"/><Relationship Id="rId80" Type="http://schemas.openxmlformats.org/officeDocument/2006/relationships/hyperlink" Target="https://www.42digital.de/en/google-marketing-platform-partner-42digital/" TargetMode="External"/><Relationship Id="rId82" Type="http://schemas.openxmlformats.org/officeDocument/2006/relationships/hyperlink" Target="https://hikemytraffic.com/ai-digital-marketing-agencies-in-germany/" TargetMode="External"/><Relationship Id="rId81" Type="http://schemas.openxmlformats.org/officeDocument/2006/relationships/hyperlink" Target="http://42digital.de" TargetMode="External"/><Relationship Id="rId1770" Type="http://schemas.openxmlformats.org/officeDocument/2006/relationships/hyperlink" Target="http://google.com" TargetMode="External"/><Relationship Id="rId1771" Type="http://schemas.openxmlformats.org/officeDocument/2006/relationships/hyperlink" Target="https://www.businessinsider.com/ai-adoption-strategies-companies-2026-7" TargetMode="External"/><Relationship Id="rId1772" Type="http://schemas.openxmlformats.org/officeDocument/2006/relationships/hyperlink" Target="http://businessinsider.com" TargetMode="External"/><Relationship Id="rId1773" Type="http://schemas.openxmlformats.org/officeDocument/2006/relationships/hyperlink" Target="https://www.businessinsider.com/ai-questions-consulting-firms-are-answering-for-clients-2024-6" TargetMode="External"/><Relationship Id="rId73" Type="http://schemas.openxmlformats.org/officeDocument/2006/relationships/hyperlink" Target="http://dreikon.de" TargetMode="External"/><Relationship Id="rId1763" Type="http://schemas.openxmlformats.org/officeDocument/2006/relationships/hyperlink" Target="https://www.btelligent.com/en/news-posts/btelligent-again-best-ai-consultancy" TargetMode="External"/><Relationship Id="rId72" Type="http://schemas.openxmlformats.org/officeDocument/2006/relationships/hyperlink" Target="https://www.dreikon.de/en/news/social-media/the-10-best-agencies-in-germany-2026/" TargetMode="External"/><Relationship Id="rId1764" Type="http://schemas.openxmlformats.org/officeDocument/2006/relationships/hyperlink" Target="http://btelligent.com" TargetMode="External"/><Relationship Id="rId75" Type="http://schemas.openxmlformats.org/officeDocument/2006/relationships/hyperlink" Target="http://sortlist.com" TargetMode="External"/><Relationship Id="rId1765" Type="http://schemas.openxmlformats.org/officeDocument/2006/relationships/hyperlink" Target="https://bundb.de/ai-marketing/" TargetMode="External"/><Relationship Id="rId74" Type="http://schemas.openxmlformats.org/officeDocument/2006/relationships/hyperlink" Target="https://www.sortlist.com/i/s/creative/germany-de" TargetMode="External"/><Relationship Id="rId1766" Type="http://schemas.openxmlformats.org/officeDocument/2006/relationships/hyperlink" Target="http://bundb.de" TargetMode="External"/><Relationship Id="rId77" Type="http://schemas.openxmlformats.org/officeDocument/2006/relationships/hyperlink" Target="http://sortlist.com" TargetMode="External"/><Relationship Id="rId1767" Type="http://schemas.openxmlformats.org/officeDocument/2006/relationships/hyperlink" Target="https://business.google.com/de/think/measurement/ai-driven-data-management/" TargetMode="External"/><Relationship Id="rId76" Type="http://schemas.openxmlformats.org/officeDocument/2006/relationships/hyperlink" Target="https://www.sortlist.com/s/ai-marketing/germany-de" TargetMode="External"/><Relationship Id="rId1768" Type="http://schemas.openxmlformats.org/officeDocument/2006/relationships/hyperlink" Target="http://google.com" TargetMode="External"/><Relationship Id="rId79" Type="http://schemas.openxmlformats.org/officeDocument/2006/relationships/hyperlink" Target="http://clutch.co" TargetMode="External"/><Relationship Id="rId1769" Type="http://schemas.openxmlformats.org/officeDocument/2006/relationships/hyperlink" Target="https://business.google.com/en-all/support/work-with-a-partner/" TargetMode="External"/><Relationship Id="rId78" Type="http://schemas.openxmlformats.org/officeDocument/2006/relationships/hyperlink" Target="https://clutch.co/de/consulting/ai" TargetMode="External"/><Relationship Id="rId71" Type="http://schemas.openxmlformats.org/officeDocument/2006/relationships/hyperlink" Target="http://clutch.co" TargetMode="External"/><Relationship Id="rId70" Type="http://schemas.openxmlformats.org/officeDocument/2006/relationships/hyperlink" Target="https://clutch.co/de/agencies/creative" TargetMode="External"/><Relationship Id="rId1760" Type="http://schemas.openxmlformats.org/officeDocument/2006/relationships/hyperlink" Target="http://brandigochina.com" TargetMode="External"/><Relationship Id="rId1761" Type="http://schemas.openxmlformats.org/officeDocument/2006/relationships/hyperlink" Target="https://brentonway.com/blog/ai-marketing-agencies" TargetMode="External"/><Relationship Id="rId1762" Type="http://schemas.openxmlformats.org/officeDocument/2006/relationships/hyperlink" Target="http://brentonway.com" TargetMode="External"/><Relationship Id="rId62" Type="http://schemas.openxmlformats.org/officeDocument/2006/relationships/hyperlink" Target="https://www.sortlist.com/i/social-media/germany-de" TargetMode="External"/><Relationship Id="rId1796" Type="http://schemas.openxmlformats.org/officeDocument/2006/relationships/hyperlink" Target="http://campaignme.com" TargetMode="External"/><Relationship Id="rId61" Type="http://schemas.openxmlformats.org/officeDocument/2006/relationships/hyperlink" Target="http://reddit.com" TargetMode="External"/><Relationship Id="rId1797" Type="http://schemas.openxmlformats.org/officeDocument/2006/relationships/hyperlink" Target="https://www.cigen.io/services/ai-adoption-strategy-consulting" TargetMode="External"/><Relationship Id="rId64" Type="http://schemas.openxmlformats.org/officeDocument/2006/relationships/hyperlink" Target="https://www.sortlist.com/s/paid-media/germany-de" TargetMode="External"/><Relationship Id="rId1798" Type="http://schemas.openxmlformats.org/officeDocument/2006/relationships/hyperlink" Target="http://cigen.io" TargetMode="External"/><Relationship Id="rId63" Type="http://schemas.openxmlformats.org/officeDocument/2006/relationships/hyperlink" Target="http://sortlist.com" TargetMode="External"/><Relationship Id="rId1799" Type="http://schemas.openxmlformats.org/officeDocument/2006/relationships/hyperlink" Target="https://www.cl-y.com/" TargetMode="External"/><Relationship Id="rId66" Type="http://schemas.openxmlformats.org/officeDocument/2006/relationships/hyperlink" Target="https://www.the-boutique-agency.de/en" TargetMode="External"/><Relationship Id="rId65" Type="http://schemas.openxmlformats.org/officeDocument/2006/relationships/hyperlink" Target="http://sortlist.com" TargetMode="External"/><Relationship Id="rId68" Type="http://schemas.openxmlformats.org/officeDocument/2006/relationships/hyperlink" Target="https://www.xmethod.de/en/blog/best-ai-agencies" TargetMode="External"/><Relationship Id="rId67" Type="http://schemas.openxmlformats.org/officeDocument/2006/relationships/hyperlink" Target="http://the-boutique-agency.de" TargetMode="External"/><Relationship Id="rId60" Type="http://schemas.openxmlformats.org/officeDocument/2006/relationships/hyperlink" Target="https://www.reddit.com/r/branding/comments/1s5trnk/top_10_best_international_seo_agency_in_germany/" TargetMode="External"/><Relationship Id="rId69" Type="http://schemas.openxmlformats.org/officeDocument/2006/relationships/hyperlink" Target="http://xmethod.de" TargetMode="External"/><Relationship Id="rId1790" Type="http://schemas.openxmlformats.org/officeDocument/2006/relationships/hyperlink" Target="http://bvdw.org" TargetMode="External"/><Relationship Id="rId1791" Type="http://schemas.openxmlformats.org/officeDocument/2006/relationships/hyperlink" Target="https://c-n-t-a.com/ai-lead-generation-triple-your-lead-quality-expert-tips/" TargetMode="External"/><Relationship Id="rId1792" Type="http://schemas.openxmlformats.org/officeDocument/2006/relationships/hyperlink" Target="http://c-n-t-a.com" TargetMode="External"/><Relationship Id="rId1793" Type="http://schemas.openxmlformats.org/officeDocument/2006/relationships/hyperlink" Target="https://calvarius.com/leistungen/performance-marketing/social-media-werbung" TargetMode="External"/><Relationship Id="rId1794" Type="http://schemas.openxmlformats.org/officeDocument/2006/relationships/hyperlink" Target="http://calvarius.com" TargetMode="External"/><Relationship Id="rId1795" Type="http://schemas.openxmlformats.org/officeDocument/2006/relationships/hyperlink" Target="https://campaignme.com/publicis-groupes-performics-secures-gmp-partner-reseller-status/" TargetMode="External"/><Relationship Id="rId51" Type="http://schemas.openxmlformats.org/officeDocument/2006/relationships/hyperlink" Target="http://influencer-hero.com" TargetMode="External"/><Relationship Id="rId1785" Type="http://schemas.openxmlformats.org/officeDocument/2006/relationships/hyperlink" Target="https://www.bvdw.org/news-und-publikationen/internetagentur-ranking-2026-plannet-verteidigt-spitzenposition/" TargetMode="External"/><Relationship Id="rId50" Type="http://schemas.openxmlformats.org/officeDocument/2006/relationships/hyperlink" Target="https://www.influencer-hero.com/blogs/top-social-media-agencies-in-germany" TargetMode="External"/><Relationship Id="rId1786" Type="http://schemas.openxmlformats.org/officeDocument/2006/relationships/hyperlink" Target="http://bvdw.org" TargetMode="External"/><Relationship Id="rId53" Type="http://schemas.openxmlformats.org/officeDocument/2006/relationships/hyperlink" Target="http://performanceliebe.de" TargetMode="External"/><Relationship Id="rId1787" Type="http://schemas.openxmlformats.org/officeDocument/2006/relationships/hyperlink" Target="https://www.bvdw.org/wp-content/uploads/2025/03/BVDW_Studie_Kreativranking_Auswertung_2024-1.pdf?highlight=12+agenturen" TargetMode="External"/><Relationship Id="rId52" Type="http://schemas.openxmlformats.org/officeDocument/2006/relationships/hyperlink" Target="https://www.performanceliebe.de/aeo-agency-germany/" TargetMode="External"/><Relationship Id="rId1788" Type="http://schemas.openxmlformats.org/officeDocument/2006/relationships/hyperlink" Target="http://bvdw.org" TargetMode="External"/><Relationship Id="rId55" Type="http://schemas.openxmlformats.org/officeDocument/2006/relationships/hyperlink" Target="http://clutch.co" TargetMode="External"/><Relationship Id="rId1789" Type="http://schemas.openxmlformats.org/officeDocument/2006/relationships/hyperlink" Target="https://www.bvdw.org/wp-content/uploads/2026/03/BVDW-Kreativranking-2025.pdf" TargetMode="External"/><Relationship Id="rId54" Type="http://schemas.openxmlformats.org/officeDocument/2006/relationships/hyperlink" Target="https://clutch.co/de/agencies/social-media-marketing" TargetMode="External"/><Relationship Id="rId57" Type="http://schemas.openxmlformats.org/officeDocument/2006/relationships/hyperlink" Target="http://measured.com" TargetMode="External"/><Relationship Id="rId56" Type="http://schemas.openxmlformats.org/officeDocument/2006/relationships/hyperlink" Target="https://www.measured.com/faq/best-incrementality-testing-companies-software-for-marketing-2026/" TargetMode="External"/><Relationship Id="rId59" Type="http://schemas.openxmlformats.org/officeDocument/2006/relationships/hyperlink" Target="http://radigitalworld.com" TargetMode="External"/><Relationship Id="rId58" Type="http://schemas.openxmlformats.org/officeDocument/2006/relationships/hyperlink" Target="https://www.radigitalworld.com/2026/03/best-performance-marketing-companies-in.html" TargetMode="External"/><Relationship Id="rId1780" Type="http://schemas.openxmlformats.org/officeDocument/2006/relationships/hyperlink" Target="http://businessofapps.com" TargetMode="External"/><Relationship Id="rId1781" Type="http://schemas.openxmlformats.org/officeDocument/2006/relationships/hyperlink" Target="https://www.businesswire.com/news/home/20260316251472/de" TargetMode="External"/><Relationship Id="rId1782" Type="http://schemas.openxmlformats.org/officeDocument/2006/relationships/hyperlink" Target="http://businesswire.com" TargetMode="External"/><Relationship Id="rId1783" Type="http://schemas.openxmlformats.org/officeDocument/2006/relationships/hyperlink" Target="https://www.bvdw.org/news-und-publikationen/deep-dive-retail-mediaagenturen/" TargetMode="External"/><Relationship Id="rId1784" Type="http://schemas.openxmlformats.org/officeDocument/2006/relationships/hyperlink" Target="http://bvdw.org" TargetMode="External"/><Relationship Id="rId2269" Type="http://schemas.openxmlformats.org/officeDocument/2006/relationships/hyperlink" Target="https://www.hustlermarketing.com/best-email-marketing-agencies-2026-comparison-guide/" TargetMode="External"/><Relationship Id="rId349" Type="http://schemas.openxmlformats.org/officeDocument/2006/relationships/hyperlink" Target="https://lengreo.com/de/ai-marketing-consulting-companies/" TargetMode="External"/><Relationship Id="rId348" Type="http://schemas.openxmlformats.org/officeDocument/2006/relationships/hyperlink" Target="http://keyperformance.de" TargetMode="External"/><Relationship Id="rId347" Type="http://schemas.openxmlformats.org/officeDocument/2006/relationships/hyperlink" Target="https://keyperformance.de/en/google-ads-agency" TargetMode="External"/><Relationship Id="rId346" Type="http://schemas.openxmlformats.org/officeDocument/2006/relationships/hyperlink" Target="http://influencer-hero.com" TargetMode="External"/><Relationship Id="rId2260" Type="http://schemas.openxmlformats.org/officeDocument/2006/relationships/hyperlink" Target="https://www.house-of-communication.com/es/en/brands/serviceplan.html" TargetMode="External"/><Relationship Id="rId341" Type="http://schemas.openxmlformats.org/officeDocument/2006/relationships/hyperlink" Target="https://feedbax.ai/advertising" TargetMode="External"/><Relationship Id="rId2261" Type="http://schemas.openxmlformats.org/officeDocument/2006/relationships/hyperlink" Target="http://house-of-communication.com" TargetMode="External"/><Relationship Id="rId340" Type="http://schemas.openxmlformats.org/officeDocument/2006/relationships/hyperlink" Target="http://edisonmoment.com" TargetMode="External"/><Relationship Id="rId2262" Type="http://schemas.openxmlformats.org/officeDocument/2006/relationships/hyperlink" Target="https://www.house-of-communication.com/int/en/brands/mediaplus/our-expertise.html" TargetMode="External"/><Relationship Id="rId2263" Type="http://schemas.openxmlformats.org/officeDocument/2006/relationships/hyperlink" Target="http://house-of-communication.com" TargetMode="External"/><Relationship Id="rId2264" Type="http://schemas.openxmlformats.org/officeDocument/2006/relationships/hyperlink" Target="https://www.house-of-communication.com/sv/en/brands/mediaplus/landingpages/media-agency-of-the-year.html" TargetMode="External"/><Relationship Id="rId345" Type="http://schemas.openxmlformats.org/officeDocument/2006/relationships/hyperlink" Target="https://www.influencer-hero.com/blogs/top-facebook-advertising-agencies-in-germany" TargetMode="External"/><Relationship Id="rId2265" Type="http://schemas.openxmlformats.org/officeDocument/2006/relationships/hyperlink" Target="http://house-of-communication.com" TargetMode="External"/><Relationship Id="rId344" Type="http://schemas.openxmlformats.org/officeDocument/2006/relationships/hyperlink" Target="http://icoda.io" TargetMode="External"/><Relationship Id="rId2266" Type="http://schemas.openxmlformats.org/officeDocument/2006/relationships/hyperlink" Target="https://www.housesofgrowth.com/post/ai-digital-marketing-agencies" TargetMode="External"/><Relationship Id="rId343" Type="http://schemas.openxmlformats.org/officeDocument/2006/relationships/hyperlink" Target="https://icoda.io/ai/best-ai-seo-agency-germany/" TargetMode="External"/><Relationship Id="rId2267" Type="http://schemas.openxmlformats.org/officeDocument/2006/relationships/hyperlink" Target="http://housesofgrowth.com" TargetMode="External"/><Relationship Id="rId342" Type="http://schemas.openxmlformats.org/officeDocument/2006/relationships/hyperlink" Target="http://feedbax.ai" TargetMode="External"/><Relationship Id="rId2268" Type="http://schemas.openxmlformats.org/officeDocument/2006/relationships/hyperlink" Target="https://humanise.world/blog/first-party-data-activation" TargetMode="External"/><Relationship Id="rId2258" Type="http://schemas.openxmlformats.org/officeDocument/2006/relationships/hyperlink" Target="https://www.house-of-communication.com/de/en/brands/serviceplan.html" TargetMode="External"/><Relationship Id="rId2259" Type="http://schemas.openxmlformats.org/officeDocument/2006/relationships/hyperlink" Target="http://house-of-communication.com" TargetMode="External"/><Relationship Id="rId338" Type="http://schemas.openxmlformats.org/officeDocument/2006/relationships/hyperlink" Target="http://digital-marketing-agencies.de" TargetMode="External"/><Relationship Id="rId337" Type="http://schemas.openxmlformats.org/officeDocument/2006/relationships/hyperlink" Target="https://digital-marketing-agencies.de/" TargetMode="External"/><Relationship Id="rId336" Type="http://schemas.openxmlformats.org/officeDocument/2006/relationships/hyperlink" Target="http://digipims.com" TargetMode="External"/><Relationship Id="rId335" Type="http://schemas.openxmlformats.org/officeDocument/2006/relationships/hyperlink" Target="https://www.digipims.com/social-media-marketing-agencies-in-germany/" TargetMode="External"/><Relationship Id="rId339" Type="http://schemas.openxmlformats.org/officeDocument/2006/relationships/hyperlink" Target="https://edisonmoment.com/agency/best/performance-marketing-agency-germany" TargetMode="External"/><Relationship Id="rId330" Type="http://schemas.openxmlformats.org/officeDocument/2006/relationships/hyperlink" Target="http://beste-geo-agentur.de" TargetMode="External"/><Relationship Id="rId2250" Type="http://schemas.openxmlformats.org/officeDocument/2006/relationships/hyperlink" Target="https://www.house-of-communication.com/de/en.html" TargetMode="External"/><Relationship Id="rId2251" Type="http://schemas.openxmlformats.org/officeDocument/2006/relationships/hyperlink" Target="http://house-of-communication.com" TargetMode="External"/><Relationship Id="rId2252" Type="http://schemas.openxmlformats.org/officeDocument/2006/relationships/hyperlink" Target="https://www.house-of-communication.com/de/en/brands/mediaplus/landingpages/awards.html" TargetMode="External"/><Relationship Id="rId2253" Type="http://schemas.openxmlformats.org/officeDocument/2006/relationships/hyperlink" Target="http://house-of-communication.com" TargetMode="External"/><Relationship Id="rId334" Type="http://schemas.openxmlformats.org/officeDocument/2006/relationships/hyperlink" Target="http://clutch.co" TargetMode="External"/><Relationship Id="rId2254" Type="http://schemas.openxmlformats.org/officeDocument/2006/relationships/hyperlink" Target="https://www.house-of-communication.com/de/en/brands/mediaplus/landingpages/media-agency-of-the-year.html" TargetMode="External"/><Relationship Id="rId333" Type="http://schemas.openxmlformats.org/officeDocument/2006/relationships/hyperlink" Target="https://clutch.co/de/consulting/ai/deployment" TargetMode="External"/><Relationship Id="rId2255" Type="http://schemas.openxmlformats.org/officeDocument/2006/relationships/hyperlink" Target="http://house-of-communication.com" TargetMode="External"/><Relationship Id="rId332" Type="http://schemas.openxmlformats.org/officeDocument/2006/relationships/hyperlink" Target="http://clutch.co" TargetMode="External"/><Relationship Id="rId2256" Type="http://schemas.openxmlformats.org/officeDocument/2006/relationships/hyperlink" Target="https://www.house-of-communication.com/de/en/brands/mediaplus/our-expertise.html" TargetMode="External"/><Relationship Id="rId331" Type="http://schemas.openxmlformats.org/officeDocument/2006/relationships/hyperlink" Target="https://clutch.co/de/agencies/conversion-optimization" TargetMode="External"/><Relationship Id="rId2257" Type="http://schemas.openxmlformats.org/officeDocument/2006/relationships/hyperlink" Target="http://house-of-communication.com" TargetMode="External"/><Relationship Id="rId370" Type="http://schemas.openxmlformats.org/officeDocument/2006/relationships/hyperlink" Target="http://bvdw.org" TargetMode="External"/><Relationship Id="rId369" Type="http://schemas.openxmlformats.org/officeDocument/2006/relationships/hyperlink" Target="https://www.bvdw.org/rankings/kreativranking-rankings/" TargetMode="External"/><Relationship Id="rId368" Type="http://schemas.openxmlformats.org/officeDocument/2006/relationships/hyperlink" Target="http://barefoot-performance.com" TargetMode="External"/><Relationship Id="rId2280" Type="http://schemas.openxmlformats.org/officeDocument/2006/relationships/hyperlink" Target="http://ibusiness.de" TargetMode="External"/><Relationship Id="rId2281" Type="http://schemas.openxmlformats.org/officeDocument/2006/relationships/hyperlink" Target="https://www.ibusiness.de/performance-ranking/performance_2024.html?sub=5" TargetMode="External"/><Relationship Id="rId2282" Type="http://schemas.openxmlformats.org/officeDocument/2006/relationships/hyperlink" Target="http://ibusiness.de" TargetMode="External"/><Relationship Id="rId363" Type="http://schemas.openxmlformats.org/officeDocument/2006/relationships/hyperlink" Target="https://www.advisori.de/services/digital-transformation/ki-kuenstliche-intelligenz/ki-beratung" TargetMode="External"/><Relationship Id="rId2283" Type="http://schemas.openxmlformats.org/officeDocument/2006/relationships/hyperlink" Target="https://www.ibusiness.de/performance-ranking/performance_2025.html?sub=12" TargetMode="External"/><Relationship Id="rId362" Type="http://schemas.openxmlformats.org/officeDocument/2006/relationships/hyperlink" Target="http://sortlist.com" TargetMode="External"/><Relationship Id="rId2284" Type="http://schemas.openxmlformats.org/officeDocument/2006/relationships/hyperlink" Target="http://ibusiness.de" TargetMode="External"/><Relationship Id="rId361" Type="http://schemas.openxmlformats.org/officeDocument/2006/relationships/hyperlink" Target="https://www.sortlist.com/s/performance-marketing/berlin-de" TargetMode="External"/><Relationship Id="rId2285" Type="http://schemas.openxmlformats.org/officeDocument/2006/relationships/hyperlink" Target="https://www.ibusiness.de/performance-ranking/performance_2025.html?sub=13" TargetMode="External"/><Relationship Id="rId360" Type="http://schemas.openxmlformats.org/officeDocument/2006/relationships/hyperlink" Target="http://roover.de" TargetMode="External"/><Relationship Id="rId2286" Type="http://schemas.openxmlformats.org/officeDocument/2006/relationships/hyperlink" Target="http://ibusiness.de" TargetMode="External"/><Relationship Id="rId367" Type="http://schemas.openxmlformats.org/officeDocument/2006/relationships/hyperlink" Target="https://barefoot-performance.com/markets/performance-marketing-agency-germany" TargetMode="External"/><Relationship Id="rId2287" Type="http://schemas.openxmlformats.org/officeDocument/2006/relationships/hyperlink" Target="https://www.ibusiness.de/performance-ranking/performance_2025.html?sub=27" TargetMode="External"/><Relationship Id="rId366" Type="http://schemas.openxmlformats.org/officeDocument/2006/relationships/hyperlink" Target="http://semrush.com" TargetMode="External"/><Relationship Id="rId2288" Type="http://schemas.openxmlformats.org/officeDocument/2006/relationships/hyperlink" Target="http://ibusiness.de" TargetMode="External"/><Relationship Id="rId365" Type="http://schemas.openxmlformats.org/officeDocument/2006/relationships/hyperlink" Target="https://agencies.semrush.com/list/display-advertising/berlin/small-business/" TargetMode="External"/><Relationship Id="rId2289" Type="http://schemas.openxmlformats.org/officeDocument/2006/relationships/hyperlink" Target="https://www.ibusiness.de/performance-ranking/performance_2025.html?sub=28" TargetMode="External"/><Relationship Id="rId364" Type="http://schemas.openxmlformats.org/officeDocument/2006/relationships/hyperlink" Target="http://advisori.de" TargetMode="External"/><Relationship Id="rId95" Type="http://schemas.openxmlformats.org/officeDocument/2006/relationships/hyperlink" Target="http://sourceforge.net" TargetMode="External"/><Relationship Id="rId94" Type="http://schemas.openxmlformats.org/officeDocument/2006/relationships/hyperlink" Target="https://sourceforge.net/software/incrementality-testing/germany/" TargetMode="External"/><Relationship Id="rId97" Type="http://schemas.openxmlformats.org/officeDocument/2006/relationships/hyperlink" Target="http://semrush.com" TargetMode="External"/><Relationship Id="rId96" Type="http://schemas.openxmlformats.org/officeDocument/2006/relationships/hyperlink" Target="https://agencies.semrush.com/list/advertising/germany/" TargetMode="External"/><Relationship Id="rId99" Type="http://schemas.openxmlformats.org/officeDocument/2006/relationships/hyperlink" Target="http://geoagenturen.de" TargetMode="External"/><Relationship Id="rId98" Type="http://schemas.openxmlformats.org/officeDocument/2006/relationships/hyperlink" Target="https://www.geoagenturen.de/" TargetMode="External"/><Relationship Id="rId91" Type="http://schemas.openxmlformats.org/officeDocument/2006/relationships/hyperlink" Target="http://cometly.com" TargetMode="External"/><Relationship Id="rId90" Type="http://schemas.openxmlformats.org/officeDocument/2006/relationships/hyperlink" Target="https://www.cometly.com/post/best-marketing-attribution-agencies-in-europe" TargetMode="External"/><Relationship Id="rId93" Type="http://schemas.openxmlformats.org/officeDocument/2006/relationships/hyperlink" Target="http://designrush.com" TargetMode="External"/><Relationship Id="rId92" Type="http://schemas.openxmlformats.org/officeDocument/2006/relationships/hyperlink" Target="https://www.designrush.com/agency/creative-agencies/de" TargetMode="External"/><Relationship Id="rId359" Type="http://schemas.openxmlformats.org/officeDocument/2006/relationships/hyperlink" Target="https://roover.de/en/" TargetMode="External"/><Relationship Id="rId358" Type="http://schemas.openxmlformats.org/officeDocument/2006/relationships/hyperlink" Target="http://radigitalworld.com" TargetMode="External"/><Relationship Id="rId357" Type="http://schemas.openxmlformats.org/officeDocument/2006/relationships/hyperlink" Target="https://www.radigitalworld.com/2025/06/top-10-digital-marketing-agencies-in.html" TargetMode="External"/><Relationship Id="rId2270" Type="http://schemas.openxmlformats.org/officeDocument/2006/relationships/hyperlink" Target="http://hustlermarketing.com" TargetMode="External"/><Relationship Id="rId2271" Type="http://schemas.openxmlformats.org/officeDocument/2006/relationships/hyperlink" Target="https://www.hyam.de/kreativagentur" TargetMode="External"/><Relationship Id="rId352" Type="http://schemas.openxmlformats.org/officeDocument/2006/relationships/hyperlink" Target="http://ninjapromo.io" TargetMode="External"/><Relationship Id="rId2272" Type="http://schemas.openxmlformats.org/officeDocument/2006/relationships/hyperlink" Target="http://hyam.de" TargetMode="External"/><Relationship Id="rId351" Type="http://schemas.openxmlformats.org/officeDocument/2006/relationships/hyperlink" Target="https://ninjapromo.io/top-digital-marketing-agencies-in-germany" TargetMode="External"/><Relationship Id="rId2273" Type="http://schemas.openxmlformats.org/officeDocument/2006/relationships/hyperlink" Target="https://www.ibusiness.de/aktuell/db/446658jg.html" TargetMode="External"/><Relationship Id="rId350" Type="http://schemas.openxmlformats.org/officeDocument/2006/relationships/hyperlink" Target="http://lengreo.com" TargetMode="External"/><Relationship Id="rId2274" Type="http://schemas.openxmlformats.org/officeDocument/2006/relationships/hyperlink" Target="http://ibusiness.de" TargetMode="External"/><Relationship Id="rId2275" Type="http://schemas.openxmlformats.org/officeDocument/2006/relationships/hyperlink" Target="https://www.ibusiness.de/branche/db/235291SUR.html" TargetMode="External"/><Relationship Id="rId356" Type="http://schemas.openxmlformats.org/officeDocument/2006/relationships/hyperlink" Target="http://pinemarsh.com" TargetMode="External"/><Relationship Id="rId2276" Type="http://schemas.openxmlformats.org/officeDocument/2006/relationships/hyperlink" Target="http://ibusiness.de" TargetMode="External"/><Relationship Id="rId355" Type="http://schemas.openxmlformats.org/officeDocument/2006/relationships/hyperlink" Target="https://pinemarsh.com/" TargetMode="External"/><Relationship Id="rId2277" Type="http://schemas.openxmlformats.org/officeDocument/2006/relationships/hyperlink" Target="https://www.ibusiness.de/performance-ranking/performance_2020.html" TargetMode="External"/><Relationship Id="rId354" Type="http://schemas.openxmlformats.org/officeDocument/2006/relationships/hyperlink" Target="http://onetoone.de" TargetMode="External"/><Relationship Id="rId2278" Type="http://schemas.openxmlformats.org/officeDocument/2006/relationships/hyperlink" Target="http://ibusiness.de" TargetMode="External"/><Relationship Id="rId353" Type="http://schemas.openxmlformats.org/officeDocument/2006/relationships/hyperlink" Target="https://www.onetoone.de/performance-ranking/performance_2024" TargetMode="External"/><Relationship Id="rId2279" Type="http://schemas.openxmlformats.org/officeDocument/2006/relationships/hyperlink" Target="https://www.ibusiness.de/performance-ranking/performance_2024" TargetMode="External"/><Relationship Id="rId2225" Type="http://schemas.openxmlformats.org/officeDocument/2006/relationships/hyperlink" Target="https://higoodie.com/blog/ai-search-visibility-services/" TargetMode="External"/><Relationship Id="rId2226" Type="http://schemas.openxmlformats.org/officeDocument/2006/relationships/hyperlink" Target="http://higoodie.com" TargetMode="External"/><Relationship Id="rId2227" Type="http://schemas.openxmlformats.org/officeDocument/2006/relationships/hyperlink" Target="https://hikemytraffic.com/ppc-agencies-in-germany/" TargetMode="External"/><Relationship Id="rId2228" Type="http://schemas.openxmlformats.org/officeDocument/2006/relationships/hyperlink" Target="http://hikemytraffic.com" TargetMode="External"/><Relationship Id="rId2229" Type="http://schemas.openxmlformats.org/officeDocument/2006/relationships/hyperlink" Target="https://himalayas.app/companies/peak-ace-ag" TargetMode="External"/><Relationship Id="rId305" Type="http://schemas.openxmlformats.org/officeDocument/2006/relationships/hyperlink" Target="https://indeedseo.com/directories/ai-marketing-agencies-germany/" TargetMode="External"/><Relationship Id="rId304" Type="http://schemas.openxmlformats.org/officeDocument/2006/relationships/hyperlink" Target="http://hikemytraffic.com" TargetMode="External"/><Relationship Id="rId303" Type="http://schemas.openxmlformats.org/officeDocument/2006/relationships/hyperlink" Target="https://hikemytraffic.com/ai-digital-marketing-companies-in-germany/" TargetMode="External"/><Relationship Id="rId302" Type="http://schemas.openxmlformats.org/officeDocument/2006/relationships/hyperlink" Target="http://geoagentur.de" TargetMode="External"/><Relationship Id="rId309" Type="http://schemas.openxmlformats.org/officeDocument/2006/relationships/hyperlink" Target="https://www.openpr.com/news/4378626/these-are-the-top-10-seo-geo-agencies-in-germany" TargetMode="External"/><Relationship Id="rId308" Type="http://schemas.openxmlformats.org/officeDocument/2006/relationships/hyperlink" Target="http://influencer-hero.com" TargetMode="External"/><Relationship Id="rId307" Type="http://schemas.openxmlformats.org/officeDocument/2006/relationships/hyperlink" Target="https://www.influencer-hero.com/ar/blogs/top-10-creative-agencies-in-germany" TargetMode="External"/><Relationship Id="rId306" Type="http://schemas.openxmlformats.org/officeDocument/2006/relationships/hyperlink" Target="http://indeedseo.com" TargetMode="External"/><Relationship Id="rId2220" Type="http://schemas.openxmlformats.org/officeDocument/2006/relationships/hyperlink" Target="http://herohunt.ai" TargetMode="External"/><Relationship Id="rId301" Type="http://schemas.openxmlformats.org/officeDocument/2006/relationships/hyperlink" Target="https://geoagentur.de/ratgeber/beste-geo-agentur/" TargetMode="External"/><Relationship Id="rId2221" Type="http://schemas.openxmlformats.org/officeDocument/2006/relationships/hyperlink" Target="https://www.heydigital.co/blog/best-saas-performance-marketing-agencies" TargetMode="External"/><Relationship Id="rId300" Type="http://schemas.openxmlformats.org/officeDocument/2006/relationships/hyperlink" Target="http://feedbax.de" TargetMode="External"/><Relationship Id="rId2222" Type="http://schemas.openxmlformats.org/officeDocument/2006/relationships/hyperlink" Target="http://heydigital.co" TargetMode="External"/><Relationship Id="rId2223" Type="http://schemas.openxmlformats.org/officeDocument/2006/relationships/hyperlink" Target="https://www.heydigital.co/blog/saas-marketing-agencies" TargetMode="External"/><Relationship Id="rId2224" Type="http://schemas.openxmlformats.org/officeDocument/2006/relationships/hyperlink" Target="http://heydigital.co" TargetMode="External"/><Relationship Id="rId2214" Type="http://schemas.openxmlformats.org/officeDocument/2006/relationships/hyperlink" Target="https://hawksem.com/blog/performance-marketing-agency-list/" TargetMode="External"/><Relationship Id="rId2215" Type="http://schemas.openxmlformats.org/officeDocument/2006/relationships/hyperlink" Target="http://hawksem.com" TargetMode="External"/><Relationship Id="rId2216" Type="http://schemas.openxmlformats.org/officeDocument/2006/relationships/hyperlink" Target="https://www.heeet.io/blog/15-best-multi-touch-marketing-attribution-platforms-in-2026-compared-in-depth" TargetMode="External"/><Relationship Id="rId2217" Type="http://schemas.openxmlformats.org/officeDocument/2006/relationships/hyperlink" Target="http://heeet.io" TargetMode="External"/><Relationship Id="rId2218" Type="http://schemas.openxmlformats.org/officeDocument/2006/relationships/hyperlink" Target="https://helder.design/design-agentur/" TargetMode="External"/><Relationship Id="rId2219" Type="http://schemas.openxmlformats.org/officeDocument/2006/relationships/hyperlink" Target="https://www.herohunt.ai/recruitment-agency-countries/germany/" TargetMode="External"/><Relationship Id="rId2210" Type="http://schemas.openxmlformats.org/officeDocument/2006/relationships/hyperlink" Target="https://www.havstrategy.com/best-google-ads-marketing-agency/" TargetMode="External"/><Relationship Id="rId2211" Type="http://schemas.openxmlformats.org/officeDocument/2006/relationships/hyperlink" Target="http://havstrategy.com" TargetMode="External"/><Relationship Id="rId2212" Type="http://schemas.openxmlformats.org/officeDocument/2006/relationships/hyperlink" Target="https://hawkemedia.com/insights/top-performance-marketing-agencies/" TargetMode="External"/><Relationship Id="rId2213" Type="http://schemas.openxmlformats.org/officeDocument/2006/relationships/hyperlink" Target="http://hawkemedia.com" TargetMode="External"/><Relationship Id="rId2247" Type="http://schemas.openxmlformats.org/officeDocument/2006/relationships/hyperlink" Target="http://hourlydeveloper.io" TargetMode="External"/><Relationship Id="rId2248" Type="http://schemas.openxmlformats.org/officeDocument/2006/relationships/hyperlink" Target="https://www.house-of-communication.com/de/de/newsroom/2025/07/serviceplan-group-2024-2025-fiscal-year.html" TargetMode="External"/><Relationship Id="rId2249" Type="http://schemas.openxmlformats.org/officeDocument/2006/relationships/hyperlink" Target="http://house-of-communication.com" TargetMode="External"/><Relationship Id="rId327" Type="http://schemas.openxmlformats.org/officeDocument/2006/relationships/hyperlink" Target="https://awisee.com/blog/social-media-agencies-germany/" TargetMode="External"/><Relationship Id="rId326" Type="http://schemas.openxmlformats.org/officeDocument/2006/relationships/hyperlink" Target="http://semrush.com" TargetMode="External"/><Relationship Id="rId325" Type="http://schemas.openxmlformats.org/officeDocument/2006/relationships/hyperlink" Target="https://agencies.semrush.com/list/machine-learning-and-ai/germany/" TargetMode="External"/><Relationship Id="rId324" Type="http://schemas.openxmlformats.org/officeDocument/2006/relationships/hyperlink" Target="http://wmtips.com" TargetMode="External"/><Relationship Id="rId329" Type="http://schemas.openxmlformats.org/officeDocument/2006/relationships/hyperlink" Target="https://www.beste-geo-agentur.de/" TargetMode="External"/><Relationship Id="rId328" Type="http://schemas.openxmlformats.org/officeDocument/2006/relationships/hyperlink" Target="http://awisee.com" TargetMode="External"/><Relationship Id="rId2240" Type="http://schemas.openxmlformats.org/officeDocument/2006/relationships/hyperlink" Target="https://www.horizont.net/agenturen/nachrichten/35-Jahre-Scholz--Friends-Die-wichtigsten-Kampagnen-aus-dreieinhalb-Jahrzehnten-141409" TargetMode="External"/><Relationship Id="rId2241" Type="http://schemas.openxmlformats.org/officeDocument/2006/relationships/hyperlink" Target="http://horizont.net" TargetMode="External"/><Relationship Id="rId2242" Type="http://schemas.openxmlformats.org/officeDocument/2006/relationships/hyperlink" Target="https://www.horizont.net/agenturen/nachrichten/horizont-kreativranking-2025-das-sind-die-30-kreativsten-agenturen-deutschlands-232906" TargetMode="External"/><Relationship Id="rId323" Type="http://schemas.openxmlformats.org/officeDocument/2006/relationships/hyperlink" Target="https://www.wmtips.com/technologies/marketing-attribution/country/de/" TargetMode="External"/><Relationship Id="rId2243" Type="http://schemas.openxmlformats.org/officeDocument/2006/relationships/hyperlink" Target="http://horizont.net" TargetMode="External"/><Relationship Id="rId322" Type="http://schemas.openxmlformats.org/officeDocument/2006/relationships/hyperlink" Target="http://themanifest.com" TargetMode="External"/><Relationship Id="rId2244" Type="http://schemas.openxmlformats.org/officeDocument/2006/relationships/hyperlink" Target="https://www.horizont.net/agenturen/nachrichten/neuer-spitzenreiter-das-sind-die-30-kreativsten-agenturen-deutschlands-196436" TargetMode="External"/><Relationship Id="rId321" Type="http://schemas.openxmlformats.org/officeDocument/2006/relationships/hyperlink" Target="https://themanifest.com/de/digital-marketing/agencies" TargetMode="External"/><Relationship Id="rId2245" Type="http://schemas.openxmlformats.org/officeDocument/2006/relationships/hyperlink" Target="http://horizont.net" TargetMode="External"/><Relationship Id="rId320" Type="http://schemas.openxmlformats.org/officeDocument/2006/relationships/hyperlink" Target="http://tech-now.io" TargetMode="External"/><Relationship Id="rId2246" Type="http://schemas.openxmlformats.org/officeDocument/2006/relationships/hyperlink" Target="https://hourlydeveloper.io/blog/best-ai-powered-machine-learning-development-firms-in-germany" TargetMode="External"/><Relationship Id="rId2236" Type="http://schemas.openxmlformats.org/officeDocument/2006/relationships/hyperlink" Target="https://www.hopmann.com/en/marketing-analytics/marketing-efficiency/" TargetMode="External"/><Relationship Id="rId2237" Type="http://schemas.openxmlformats.org/officeDocument/2006/relationships/hyperlink" Target="http://hopmann.com" TargetMode="External"/><Relationship Id="rId2238" Type="http://schemas.openxmlformats.org/officeDocument/2006/relationships/hyperlink" Target="https://www.horizont.net/agenturen/nachrichten/30-jahre-horizont-kreativranking-das-sind-die-kreativsten-deutschen-werbeagenturen-aller-zeiten-216796" TargetMode="External"/><Relationship Id="rId2239" Type="http://schemas.openxmlformats.org/officeDocument/2006/relationships/hyperlink" Target="http://horizont.net" TargetMode="External"/><Relationship Id="rId316" Type="http://schemas.openxmlformats.org/officeDocument/2006/relationships/hyperlink" Target="http://sortlist.com" TargetMode="External"/><Relationship Id="rId315" Type="http://schemas.openxmlformats.org/officeDocument/2006/relationships/hyperlink" Target="https://www.sortlist.com/s/attribution-marketing/berlin-de" TargetMode="External"/><Relationship Id="rId314" Type="http://schemas.openxmlformats.org/officeDocument/2006/relationships/hyperlink" Target="http://scaled2c.com" TargetMode="External"/><Relationship Id="rId313" Type="http://schemas.openxmlformats.org/officeDocument/2006/relationships/hyperlink" Target="https://www.scaled2c.com/services/germany/measurement-attribution-berlin" TargetMode="External"/><Relationship Id="rId319" Type="http://schemas.openxmlformats.org/officeDocument/2006/relationships/hyperlink" Target="https://tech-now.io/en/blogs/top-10-best-e-commerce-seo-agencies-in-germany/" TargetMode="External"/><Relationship Id="rId318" Type="http://schemas.openxmlformats.org/officeDocument/2006/relationships/hyperlink" Target="http://sortlist.com" TargetMode="External"/><Relationship Id="rId317" Type="http://schemas.openxmlformats.org/officeDocument/2006/relationships/hyperlink" Target="https://www.sortlist.com/s/attribution-marketing/germany-de" TargetMode="External"/><Relationship Id="rId2230" Type="http://schemas.openxmlformats.org/officeDocument/2006/relationships/hyperlink" Target="https://www.hirefrontenddeveloperindia.com/best-ai-powered-frontend-development-companies-italy" TargetMode="External"/><Relationship Id="rId2231" Type="http://schemas.openxmlformats.org/officeDocument/2006/relationships/hyperlink" Target="http://hirefrontenddeveloperindia.com" TargetMode="External"/><Relationship Id="rId312" Type="http://schemas.openxmlformats.org/officeDocument/2006/relationships/hyperlink" Target="http://s360digital.com" TargetMode="External"/><Relationship Id="rId2232" Type="http://schemas.openxmlformats.org/officeDocument/2006/relationships/hyperlink" Target="https://hoerndlein-consulting.de/en/" TargetMode="External"/><Relationship Id="rId311" Type="http://schemas.openxmlformats.org/officeDocument/2006/relationships/hyperlink" Target="https://s360digital.com/capabilities/data/incrementality-testing/" TargetMode="External"/><Relationship Id="rId2233" Type="http://schemas.openxmlformats.org/officeDocument/2006/relationships/hyperlink" Target="http://hoerndlein-consulting.de" TargetMode="External"/><Relationship Id="rId310" Type="http://schemas.openxmlformats.org/officeDocument/2006/relationships/hyperlink" Target="http://openpr.com" TargetMode="External"/><Relationship Id="rId2234" Type="http://schemas.openxmlformats.org/officeDocument/2006/relationships/hyperlink" Target="https://www.hopmann.com/en/company/" TargetMode="External"/><Relationship Id="rId2235" Type="http://schemas.openxmlformats.org/officeDocument/2006/relationships/hyperlink" Target="http://hopmann.com" TargetMode="External"/><Relationship Id="rId297" Type="http://schemas.openxmlformats.org/officeDocument/2006/relationships/hyperlink" Target="https://ensun.io/search/ai-marketing/germany" TargetMode="External"/><Relationship Id="rId296" Type="http://schemas.openxmlformats.org/officeDocument/2006/relationships/hyperlink" Target="http://digiscorp.com" TargetMode="External"/><Relationship Id="rId295" Type="http://schemas.openxmlformats.org/officeDocument/2006/relationships/hyperlink" Target="https://digiscorp.com/top-ai-consulting-companies-in-berlin/" TargetMode="External"/><Relationship Id="rId294" Type="http://schemas.openxmlformats.org/officeDocument/2006/relationships/hyperlink" Target="http://clutch.co" TargetMode="External"/><Relationship Id="rId299" Type="http://schemas.openxmlformats.org/officeDocument/2006/relationships/hyperlink" Target="https://feedbax.de/performance-marketing-agentur/deutschland" TargetMode="External"/><Relationship Id="rId298" Type="http://schemas.openxmlformats.org/officeDocument/2006/relationships/hyperlink" Target="http://ensun.io" TargetMode="External"/><Relationship Id="rId271" Type="http://schemas.openxmlformats.org/officeDocument/2006/relationships/hyperlink" Target="http://geoagentur.de" TargetMode="External"/><Relationship Id="rId270" Type="http://schemas.openxmlformats.org/officeDocument/2006/relationships/hyperlink" Target="https://geoagentur.de/" TargetMode="External"/><Relationship Id="rId269" Type="http://schemas.openxmlformats.org/officeDocument/2006/relationships/hyperlink" Target="http://edisonmoment.com" TargetMode="External"/><Relationship Id="rId264" Type="http://schemas.openxmlformats.org/officeDocument/2006/relationships/hyperlink" Target="https://agencyvista.com/lists/google-marketing-platform-sales-partners/" TargetMode="External"/><Relationship Id="rId263" Type="http://schemas.openxmlformats.org/officeDocument/2006/relationships/hyperlink" Target="http://semrush.com" TargetMode="External"/><Relationship Id="rId262" Type="http://schemas.openxmlformats.org/officeDocument/2006/relationships/hyperlink" Target="https://agencies.semrush.com/list/display-advertising/germany/" TargetMode="External"/><Relationship Id="rId261" Type="http://schemas.openxmlformats.org/officeDocument/2006/relationships/hyperlink" Target="http://adbeacon.com" TargetMode="External"/><Relationship Id="rId268" Type="http://schemas.openxmlformats.org/officeDocument/2006/relationships/hyperlink" Target="https://edisonmoment.com/agency/best/performance-marketing-agency-berlin" TargetMode="External"/><Relationship Id="rId267" Type="http://schemas.openxmlformats.org/officeDocument/2006/relationships/hyperlink" Target="http://aisuperior.com" TargetMode="External"/><Relationship Id="rId266" Type="http://schemas.openxmlformats.org/officeDocument/2006/relationships/hyperlink" Target="https://aisuperior.com/ai-consulting-companies-in-germany/" TargetMode="External"/><Relationship Id="rId265" Type="http://schemas.openxmlformats.org/officeDocument/2006/relationships/hyperlink" Target="http://agencyvista.com" TargetMode="External"/><Relationship Id="rId260" Type="http://schemas.openxmlformats.org/officeDocument/2006/relationships/hyperlink" Target="https://www.adbeacon.com/7-best-marketing-attribution-tools-compared-2026/" TargetMode="External"/><Relationship Id="rId259" Type="http://schemas.openxmlformats.org/officeDocument/2006/relationships/hyperlink" Target="http://adbeacon.com" TargetMode="External"/><Relationship Id="rId258" Type="http://schemas.openxmlformats.org/officeDocument/2006/relationships/hyperlink" Target="https://www.adbeacon.com/19-best-marketing-attribution-software-solutions-in-2026/" TargetMode="External"/><Relationship Id="rId2290" Type="http://schemas.openxmlformats.org/officeDocument/2006/relationships/hyperlink" Target="http://ibusiness.de" TargetMode="External"/><Relationship Id="rId2291" Type="http://schemas.openxmlformats.org/officeDocument/2006/relationships/hyperlink" Target="https://icoda.io/de/ai/best-ai-digital-marketing-agencies/" TargetMode="External"/><Relationship Id="rId2292" Type="http://schemas.openxmlformats.org/officeDocument/2006/relationships/hyperlink" Target="http://icoda.io" TargetMode="External"/><Relationship Id="rId2293" Type="http://schemas.openxmlformats.org/officeDocument/2006/relationships/hyperlink" Target="https://icoda.io/de/ai/best-ai-marketing-agencies/" TargetMode="External"/><Relationship Id="rId253" Type="http://schemas.openxmlformats.org/officeDocument/2006/relationships/hyperlink" Target="http://sortlist.de" TargetMode="External"/><Relationship Id="rId2294" Type="http://schemas.openxmlformats.org/officeDocument/2006/relationships/hyperlink" Target="http://icoda.io" TargetMode="External"/><Relationship Id="rId252" Type="http://schemas.openxmlformats.org/officeDocument/2006/relationships/hyperlink" Target="https://www.sortlist.de/s/ai-marketing/deutschland-de" TargetMode="External"/><Relationship Id="rId2295" Type="http://schemas.openxmlformats.org/officeDocument/2006/relationships/hyperlink" Target="https://www.iconagility.com/services/ai" TargetMode="External"/><Relationship Id="rId251" Type="http://schemas.openxmlformats.org/officeDocument/2006/relationships/hyperlink" Target="http://loudface.co" TargetMode="External"/><Relationship Id="rId2296" Type="http://schemas.openxmlformats.org/officeDocument/2006/relationships/hyperlink" Target="http://iconagility.com" TargetMode="External"/><Relationship Id="rId250" Type="http://schemas.openxmlformats.org/officeDocument/2006/relationships/hyperlink" Target="https://www.loudface.co/blog/best-aeo-agencies-2026" TargetMode="External"/><Relationship Id="rId2297" Type="http://schemas.openxmlformats.org/officeDocument/2006/relationships/hyperlink" Target="https://www.icreativez.com/global-leaders/15-performance-ad-agencies-scalable-growth-2026.html" TargetMode="External"/><Relationship Id="rId257" Type="http://schemas.openxmlformats.org/officeDocument/2006/relationships/hyperlink" Target="http://techradar.com" TargetMode="External"/><Relationship Id="rId2298" Type="http://schemas.openxmlformats.org/officeDocument/2006/relationships/hyperlink" Target="http://icreativez.com" TargetMode="External"/><Relationship Id="rId256" Type="http://schemas.openxmlformats.org/officeDocument/2006/relationships/hyperlink" Target="https://www.techradar.com/pro/aeo-vs-seo-whats-the-difference-and-do-you-need-both" TargetMode="External"/><Relationship Id="rId2299" Type="http://schemas.openxmlformats.org/officeDocument/2006/relationships/hyperlink" Target="https://www.idhlagency.com/digital-marketing/measurement-attribution" TargetMode="External"/><Relationship Id="rId255" Type="http://schemas.openxmlformats.org/officeDocument/2006/relationships/hyperlink" Target="http://statworx.com" TargetMode="External"/><Relationship Id="rId254" Type="http://schemas.openxmlformats.org/officeDocument/2006/relationships/hyperlink" Target="https://www.statworx.com/en/data-science-and-ai-consulting" TargetMode="External"/><Relationship Id="rId293" Type="http://schemas.openxmlformats.org/officeDocument/2006/relationships/hyperlink" Target="https://clutch.co/de/agencies/ppc" TargetMode="External"/><Relationship Id="rId292" Type="http://schemas.openxmlformats.org/officeDocument/2006/relationships/hyperlink" Target="http://clutch.co" TargetMode="External"/><Relationship Id="rId291" Type="http://schemas.openxmlformats.org/officeDocument/2006/relationships/hyperlink" Target="https://clutch.co/de/agencies/branding" TargetMode="External"/><Relationship Id="rId290" Type="http://schemas.openxmlformats.org/officeDocument/2006/relationships/hyperlink" Target="http://ayrank.com" TargetMode="External"/><Relationship Id="rId286" Type="http://schemas.openxmlformats.org/officeDocument/2006/relationships/hyperlink" Target="http://themanifest.com" TargetMode="External"/><Relationship Id="rId285" Type="http://schemas.openxmlformats.org/officeDocument/2006/relationships/hyperlink" Target="https://themanifest.com/de/creative/agencies" TargetMode="External"/><Relationship Id="rId284" Type="http://schemas.openxmlformats.org/officeDocument/2006/relationships/hyperlink" Target="http://superbcompanies.com" TargetMode="External"/><Relationship Id="rId283" Type="http://schemas.openxmlformats.org/officeDocument/2006/relationships/hyperlink" Target="https://superbcompanies.com/categories/creative-agencies-in-germany/" TargetMode="External"/><Relationship Id="rId289" Type="http://schemas.openxmlformats.org/officeDocument/2006/relationships/hyperlink" Target="https://www.ayrank.com/blog/top-geo-agencies-berlin" TargetMode="External"/><Relationship Id="rId288" Type="http://schemas.openxmlformats.org/officeDocument/2006/relationships/hyperlink" Target="http://semrush.com" TargetMode="External"/><Relationship Id="rId287" Type="http://schemas.openxmlformats.org/officeDocument/2006/relationships/hyperlink" Target="https://agencies.semrush.com/list/display-advertising/ecommerce/germany/small-business/" TargetMode="External"/><Relationship Id="rId282" Type="http://schemas.openxmlformats.org/officeDocument/2006/relationships/hyperlink" Target="http://sortlist.de" TargetMode="External"/><Relationship Id="rId281" Type="http://schemas.openxmlformats.org/officeDocument/2006/relationships/hyperlink" Target="https://www.sortlist.de/s/display-werbung/deutschland-de" TargetMode="External"/><Relationship Id="rId280" Type="http://schemas.openxmlformats.org/officeDocument/2006/relationships/hyperlink" Target="http://slashdot.org" TargetMode="External"/><Relationship Id="rId275" Type="http://schemas.openxmlformats.org/officeDocument/2006/relationships/hyperlink" Target="https://segmentstream.com/blog/articles/top-10-incrementality-testing-tools" TargetMode="External"/><Relationship Id="rId274" Type="http://schemas.openxmlformats.org/officeDocument/2006/relationships/hyperlink" Target="https://oski.site/blog/ai-consulting-companies-germany/" TargetMode="External"/><Relationship Id="rId273" Type="http://schemas.openxmlformats.org/officeDocument/2006/relationships/hyperlink" Target="http://omr.com" TargetMode="External"/><Relationship Id="rId272" Type="http://schemas.openxmlformats.org/officeDocument/2006/relationships/hyperlink" Target="https://omr.com/en/reviews/service-category/performance-marketing-agenturen/berlin" TargetMode="External"/><Relationship Id="rId279" Type="http://schemas.openxmlformats.org/officeDocument/2006/relationships/hyperlink" Target="https://slashdot.org/software/marketing-attribution/in-germany/" TargetMode="External"/><Relationship Id="rId278" Type="http://schemas.openxmlformats.org/officeDocument/2006/relationships/hyperlink" Target="http://silicon.de" TargetMode="External"/><Relationship Id="rId277" Type="http://schemas.openxmlformats.org/officeDocument/2006/relationships/hyperlink" Target="https://www.silicon.de/41722409/geo-agentur-vergleich-empfehlungen-beste-15-geo-agenturen-2026" TargetMode="External"/><Relationship Id="rId276" Type="http://schemas.openxmlformats.org/officeDocument/2006/relationships/hyperlink" Target="http://segmentstream.com" TargetMode="External"/><Relationship Id="rId1851" Type="http://schemas.openxmlformats.org/officeDocument/2006/relationships/hyperlink" Target="https://coefficient.io/marketing-analytics-tools" TargetMode="External"/><Relationship Id="rId1852" Type="http://schemas.openxmlformats.org/officeDocument/2006/relationships/hyperlink" Target="http://coefficient.io" TargetMode="External"/><Relationship Id="rId1853" Type="http://schemas.openxmlformats.org/officeDocument/2006/relationships/hyperlink" Target="https://coinbound.io/top-ai-marketing-agencies/" TargetMode="External"/><Relationship Id="rId1854" Type="http://schemas.openxmlformats.org/officeDocument/2006/relationships/hyperlink" Target="http://coinbound.io" TargetMode="External"/><Relationship Id="rId1855" Type="http://schemas.openxmlformats.org/officeDocument/2006/relationships/hyperlink" Target="https://www.cometly.com/post/ad-campaign-performance-analysis-methods" TargetMode="External"/><Relationship Id="rId1856" Type="http://schemas.openxmlformats.org/officeDocument/2006/relationships/hyperlink" Target="http://cometly.com" TargetMode="External"/><Relationship Id="rId1857" Type="http://schemas.openxmlformats.org/officeDocument/2006/relationships/hyperlink" Target="https://www.cometly.com/post/agency-marketing-attribution-tools" TargetMode="External"/><Relationship Id="rId1858" Type="http://schemas.openxmlformats.org/officeDocument/2006/relationships/hyperlink" Target="http://cometly.com" TargetMode="External"/><Relationship Id="rId1859" Type="http://schemas.openxmlformats.org/officeDocument/2006/relationships/hyperlink" Target="https://www.cometly.com/post/ai-powered-ad-optimization-platform" TargetMode="External"/><Relationship Id="rId1850" Type="http://schemas.openxmlformats.org/officeDocument/2006/relationships/hyperlink" Target="http://codewave.com" TargetMode="External"/><Relationship Id="rId1840" Type="http://schemas.openxmlformats.org/officeDocument/2006/relationships/hyperlink" Target="http://clutch.co" TargetMode="External"/><Relationship Id="rId1841" Type="http://schemas.openxmlformats.org/officeDocument/2006/relationships/hyperlink" Target="https://clutch.co/de/agencies/social-media-marketing/berlin" TargetMode="External"/><Relationship Id="rId1842" Type="http://schemas.openxmlformats.org/officeDocument/2006/relationships/hyperlink" Target="http://clutch.co" TargetMode="External"/><Relationship Id="rId1843" Type="http://schemas.openxmlformats.org/officeDocument/2006/relationships/hyperlink" Target="https://clutch.co/de/agencies/social-media-marketing/influencer/tiktok" TargetMode="External"/><Relationship Id="rId1844" Type="http://schemas.openxmlformats.org/officeDocument/2006/relationships/hyperlink" Target="http://clutch.co" TargetMode="External"/><Relationship Id="rId1845" Type="http://schemas.openxmlformats.org/officeDocument/2006/relationships/hyperlink" Target="https://clutch.co/de/agencies/social-media-marketing?page=3" TargetMode="External"/><Relationship Id="rId1846" Type="http://schemas.openxmlformats.org/officeDocument/2006/relationships/hyperlink" Target="http://clutch.co" TargetMode="External"/><Relationship Id="rId1847" Type="http://schemas.openxmlformats.org/officeDocument/2006/relationships/hyperlink" Target="https://clutch.co/de/it-services/master-data-management-consulting" TargetMode="External"/><Relationship Id="rId1848" Type="http://schemas.openxmlformats.org/officeDocument/2006/relationships/hyperlink" Target="http://clutch.co" TargetMode="External"/><Relationship Id="rId1849" Type="http://schemas.openxmlformats.org/officeDocument/2006/relationships/hyperlink" Target="https://codewave.com/feeds/service/ai-adoption-readiness-consulting-enterprises" TargetMode="External"/><Relationship Id="rId1873" Type="http://schemas.openxmlformats.org/officeDocument/2006/relationships/hyperlink" Target="https://www.cometly.com/post/multi-touch-attribution-vs-marketing-mix-modeling" TargetMode="External"/><Relationship Id="rId1874" Type="http://schemas.openxmlformats.org/officeDocument/2006/relationships/hyperlink" Target="http://cometly.com" TargetMode="External"/><Relationship Id="rId1875" Type="http://schemas.openxmlformats.org/officeDocument/2006/relationships/hyperlink" Target="https://www.consultancy.eu/news/7008/googles-top-emea-premier-partner-digital-marketing-consultancies" TargetMode="External"/><Relationship Id="rId1876" Type="http://schemas.openxmlformats.org/officeDocument/2006/relationships/hyperlink" Target="https://www.consulting.de/unternehmensberatungen/unternehmensberatungen-in-deutschland/unternehmensliste/c/kuenstliche-intelligenz/" TargetMode="External"/><Relationship Id="rId1877" Type="http://schemas.openxmlformats.org/officeDocument/2006/relationships/hyperlink" Target="http://consulting.de" TargetMode="External"/><Relationship Id="rId1878" Type="http://schemas.openxmlformats.org/officeDocument/2006/relationships/hyperlink" Target="https://converlytics.com/leistungen/data-driven-marketing/" TargetMode="External"/><Relationship Id="rId1879" Type="http://schemas.openxmlformats.org/officeDocument/2006/relationships/hyperlink" Target="http://converlytics.com" TargetMode="External"/><Relationship Id="rId1870" Type="http://schemas.openxmlformats.org/officeDocument/2006/relationships/hyperlink" Target="http://cometly.com" TargetMode="External"/><Relationship Id="rId1871" Type="http://schemas.openxmlformats.org/officeDocument/2006/relationships/hyperlink" Target="https://www.cometly.com/post/media-buying-optimization-tool" TargetMode="External"/><Relationship Id="rId1872" Type="http://schemas.openxmlformats.org/officeDocument/2006/relationships/hyperlink" Target="http://cometly.com" TargetMode="External"/><Relationship Id="rId1862" Type="http://schemas.openxmlformats.org/officeDocument/2006/relationships/hyperlink" Target="http://cometly.com" TargetMode="External"/><Relationship Id="rId1863" Type="http://schemas.openxmlformats.org/officeDocument/2006/relationships/hyperlink" Target="https://www.cometly.com/post/how-to-calculate-marketing-attribution" TargetMode="External"/><Relationship Id="rId1864" Type="http://schemas.openxmlformats.org/officeDocument/2006/relationships/hyperlink" Target="http://cometly.com" TargetMode="External"/><Relationship Id="rId1865" Type="http://schemas.openxmlformats.org/officeDocument/2006/relationships/hyperlink" Target="https://www.cometly.com/post/incrementality-testing-for-paid-advertising" TargetMode="External"/><Relationship Id="rId1866" Type="http://schemas.openxmlformats.org/officeDocument/2006/relationships/hyperlink" Target="http://cometly.com" TargetMode="External"/><Relationship Id="rId1867" Type="http://schemas.openxmlformats.org/officeDocument/2006/relationships/hyperlink" Target="https://www.cometly.com/post/marketing-attribution-companies" TargetMode="External"/><Relationship Id="rId1868" Type="http://schemas.openxmlformats.org/officeDocument/2006/relationships/hyperlink" Target="http://cometly.com" TargetMode="External"/><Relationship Id="rId1869" Type="http://schemas.openxmlformats.org/officeDocument/2006/relationships/hyperlink" Target="https://www.cometly.com/post/marketing-attribution-platform-for-agencies" TargetMode="External"/><Relationship Id="rId1860" Type="http://schemas.openxmlformats.org/officeDocument/2006/relationships/hyperlink" Target="http://cometly.com" TargetMode="External"/><Relationship Id="rId1861" Type="http://schemas.openxmlformats.org/officeDocument/2006/relationships/hyperlink" Target="https://www.cometly.com/post/ai-powered-marketing-analytics-tools" TargetMode="External"/><Relationship Id="rId1810" Type="http://schemas.openxmlformats.org/officeDocument/2006/relationships/hyperlink" Target="http://clicksgeek.com" TargetMode="External"/><Relationship Id="rId1811" Type="http://schemas.openxmlformats.org/officeDocument/2006/relationships/hyperlink" Target="https://clicksgeek.com/best-paid-advertising-platforms-for-businesses/" TargetMode="External"/><Relationship Id="rId1812" Type="http://schemas.openxmlformats.org/officeDocument/2006/relationships/hyperlink" Target="http://clicksgeek.com" TargetMode="External"/><Relationship Id="rId1813" Type="http://schemas.openxmlformats.org/officeDocument/2006/relationships/hyperlink" Target="https://clicksgeek.com/best-roi-focused-marketing-agency/" TargetMode="External"/><Relationship Id="rId1814" Type="http://schemas.openxmlformats.org/officeDocument/2006/relationships/hyperlink" Target="http://clicksgeek.com" TargetMode="External"/><Relationship Id="rId1815" Type="http://schemas.openxmlformats.org/officeDocument/2006/relationships/hyperlink" Target="https://clicksgeek.com/best-roi-marketing-agencies/" TargetMode="External"/><Relationship Id="rId1816" Type="http://schemas.openxmlformats.org/officeDocument/2006/relationships/hyperlink" Target="http://clicksgeek.com" TargetMode="External"/><Relationship Id="rId1817" Type="http://schemas.openxmlformats.org/officeDocument/2006/relationships/hyperlink" Target="https://clicksgeek.com/marketing-attribution-tracking-services/" TargetMode="External"/><Relationship Id="rId1818" Type="http://schemas.openxmlformats.org/officeDocument/2006/relationships/hyperlink" Target="http://clicksgeek.com" TargetMode="External"/><Relationship Id="rId1819" Type="http://schemas.openxmlformats.org/officeDocument/2006/relationships/hyperlink" Target="https://clutch.co/agencies" TargetMode="External"/><Relationship Id="rId1800" Type="http://schemas.openxmlformats.org/officeDocument/2006/relationships/hyperlink" Target="http://cl-y.com" TargetMode="External"/><Relationship Id="rId1801" Type="http://schemas.openxmlformats.org/officeDocument/2006/relationships/hyperlink" Target="https://www.claneo.com/en/contact/" TargetMode="External"/><Relationship Id="rId1802" Type="http://schemas.openxmlformats.org/officeDocument/2006/relationships/hyperlink" Target="http://claneo.com" TargetMode="External"/><Relationship Id="rId1803" Type="http://schemas.openxmlformats.org/officeDocument/2006/relationships/hyperlink" Target="https://www.clarista.io/blog/top-ai-solution-providers-2026" TargetMode="External"/><Relationship Id="rId1804" Type="http://schemas.openxmlformats.org/officeDocument/2006/relationships/hyperlink" Target="http://clarista.io" TargetMode="External"/><Relationship Id="rId1805" Type="http://schemas.openxmlformats.org/officeDocument/2006/relationships/hyperlink" Target="https://www.clickdo.co.uk/german-business-uk-digital-marketing/" TargetMode="External"/><Relationship Id="rId1806" Type="http://schemas.openxmlformats.org/officeDocument/2006/relationships/hyperlink" Target="http://clickdo.co.uk" TargetMode="External"/><Relationship Id="rId1807" Type="http://schemas.openxmlformats.org/officeDocument/2006/relationships/hyperlink" Target="https://clicksgeek.com/best-digital-marketing-agency-for-roi/" TargetMode="External"/><Relationship Id="rId1808" Type="http://schemas.openxmlformats.org/officeDocument/2006/relationships/hyperlink" Target="http://clicksgeek.com" TargetMode="External"/><Relationship Id="rId1809" Type="http://schemas.openxmlformats.org/officeDocument/2006/relationships/hyperlink" Target="https://clicksgeek.com/best-marketing-agency-for-roi/" TargetMode="External"/><Relationship Id="rId1830" Type="http://schemas.openxmlformats.org/officeDocument/2006/relationships/hyperlink" Target="http://clutch.co" TargetMode="External"/><Relationship Id="rId1831" Type="http://schemas.openxmlformats.org/officeDocument/2006/relationships/hyperlink" Target="https://clutch.co/de/agencies/app-marketing" TargetMode="External"/><Relationship Id="rId1832" Type="http://schemas.openxmlformats.org/officeDocument/2006/relationships/hyperlink" Target="http://clutch.co" TargetMode="External"/><Relationship Id="rId1833" Type="http://schemas.openxmlformats.org/officeDocument/2006/relationships/hyperlink" Target="https://clutch.co/de/agencies/digital-marketing?page=3" TargetMode="External"/><Relationship Id="rId1834" Type="http://schemas.openxmlformats.org/officeDocument/2006/relationships/hyperlink" Target="http://clutch.co" TargetMode="External"/><Relationship Id="rId1835" Type="http://schemas.openxmlformats.org/officeDocument/2006/relationships/hyperlink" Target="https://clutch.co/de/agencies/market-research/berlin" TargetMode="External"/><Relationship Id="rId1836" Type="http://schemas.openxmlformats.org/officeDocument/2006/relationships/hyperlink" Target="http://clutch.co" TargetMode="External"/><Relationship Id="rId1837" Type="http://schemas.openxmlformats.org/officeDocument/2006/relationships/hyperlink" Target="https://clutch.co/de/agencies/ppc/berlin" TargetMode="External"/><Relationship Id="rId1838" Type="http://schemas.openxmlformats.org/officeDocument/2006/relationships/hyperlink" Target="http://clutch.co" TargetMode="External"/><Relationship Id="rId1839" Type="http://schemas.openxmlformats.org/officeDocument/2006/relationships/hyperlink" Target="https://clutch.co/de/agencies/ppc/google-adwords" TargetMode="External"/><Relationship Id="rId1820" Type="http://schemas.openxmlformats.org/officeDocument/2006/relationships/hyperlink" Target="http://clutch.co" TargetMode="External"/><Relationship Id="rId1821" Type="http://schemas.openxmlformats.org/officeDocument/2006/relationships/hyperlink" Target="https://clutch.co/agencies/experiential?page=9" TargetMode="External"/><Relationship Id="rId1822" Type="http://schemas.openxmlformats.org/officeDocument/2006/relationships/hyperlink" Target="http://clutch.co" TargetMode="External"/><Relationship Id="rId1823" Type="http://schemas.openxmlformats.org/officeDocument/2006/relationships/hyperlink" Target="https://clutch.co/agencies/media-buying" TargetMode="External"/><Relationship Id="rId1824" Type="http://schemas.openxmlformats.org/officeDocument/2006/relationships/hyperlink" Target="http://clutch.co" TargetMode="External"/><Relationship Id="rId1825" Type="http://schemas.openxmlformats.org/officeDocument/2006/relationships/hyperlink" Target="https://clutch.co/agencies/performance-marketing" TargetMode="External"/><Relationship Id="rId1826" Type="http://schemas.openxmlformats.org/officeDocument/2006/relationships/hyperlink" Target="http://clutch.co" TargetMode="External"/><Relationship Id="rId1827" Type="http://schemas.openxmlformats.org/officeDocument/2006/relationships/hyperlink" Target="https://clutch.co/agencies/performance-marketing%3Fpage%3D0" TargetMode="External"/><Relationship Id="rId1828" Type="http://schemas.openxmlformats.org/officeDocument/2006/relationships/hyperlink" Target="http://clutch.co" TargetMode="External"/><Relationship Id="rId1829" Type="http://schemas.openxmlformats.org/officeDocument/2006/relationships/hyperlink" Target="https://clutch.co/agencies/ppc" TargetMode="External"/><Relationship Id="rId2302" Type="http://schemas.openxmlformats.org/officeDocument/2006/relationships/hyperlink" Target="http://impressiondigital.com" TargetMode="External"/><Relationship Id="rId2303" Type="http://schemas.openxmlformats.org/officeDocument/2006/relationships/hyperlink" Target="https://www.imrg.org/blog/why-incrementality-testing-is-essential-for-multi-channel-retailers/" TargetMode="External"/><Relationship Id="rId2304" Type="http://schemas.openxmlformats.org/officeDocument/2006/relationships/hyperlink" Target="http://imrg.org" TargetMode="External"/><Relationship Id="rId2305" Type="http://schemas.openxmlformats.org/officeDocument/2006/relationships/hyperlink" Target="https://inbeat.agency/blog/incrementality-testing" TargetMode="External"/><Relationship Id="rId2306" Type="http://schemas.openxmlformats.org/officeDocument/2006/relationships/hyperlink" Target="https://inbeat.agency/blog/top-performance-creative-agencies" TargetMode="External"/><Relationship Id="rId2307" Type="http://schemas.openxmlformats.org/officeDocument/2006/relationships/hyperlink" Target="https://www.inbeat.co/articles/top-performance-marketing-agencies/" TargetMode="External"/><Relationship Id="rId2308" Type="http://schemas.openxmlformats.org/officeDocument/2006/relationships/hyperlink" Target="http://inbeat.co" TargetMode="External"/><Relationship Id="rId2309" Type="http://schemas.openxmlformats.org/officeDocument/2006/relationships/hyperlink" Target="https://www.incrmntal.com/autonomous" TargetMode="External"/><Relationship Id="rId2300" Type="http://schemas.openxmlformats.org/officeDocument/2006/relationships/hyperlink" Target="http://idhlagency.com" TargetMode="External"/><Relationship Id="rId2301" Type="http://schemas.openxmlformats.org/officeDocument/2006/relationships/hyperlink" Target="https://www.impressiondigital.com/media-solutions/google-marketing-platform/" TargetMode="External"/><Relationship Id="rId2324" Type="http://schemas.openxmlformats.org/officeDocument/2006/relationships/hyperlink" Target="http://incubeta.com" TargetMode="External"/><Relationship Id="rId2325" Type="http://schemas.openxmlformats.org/officeDocument/2006/relationships/hyperlink" Target="https://incubeta.com/our-work/delivering-incrementality-for-superdrug/" TargetMode="External"/><Relationship Id="rId2326" Type="http://schemas.openxmlformats.org/officeDocument/2006/relationships/hyperlink" Target="http://incubeta.com" TargetMode="External"/><Relationship Id="rId2327" Type="http://schemas.openxmlformats.org/officeDocument/2006/relationships/hyperlink" Target="https://www.influencer-hero.com/de/blogs/top-digital-marketing-agencies-in-germany" TargetMode="External"/><Relationship Id="rId2328" Type="http://schemas.openxmlformats.org/officeDocument/2006/relationships/hyperlink" Target="http://influencer-hero.com" TargetMode="External"/><Relationship Id="rId2329" Type="http://schemas.openxmlformats.org/officeDocument/2006/relationships/hyperlink" Target="https://www.influencer-hero.com/fr/blogs/top-advertising-agencies-in-germany" TargetMode="External"/><Relationship Id="rId2320" Type="http://schemas.openxmlformats.org/officeDocument/2006/relationships/hyperlink" Target="http://incubeta.com" TargetMode="External"/><Relationship Id="rId2321" Type="http://schemas.openxmlformats.org/officeDocument/2006/relationships/hyperlink" Target="https://incubeta.com/find-us/munich-germany/" TargetMode="External"/><Relationship Id="rId2322" Type="http://schemas.openxmlformats.org/officeDocument/2006/relationships/hyperlink" Target="http://incubeta.com" TargetMode="External"/><Relationship Id="rId2323" Type="http://schemas.openxmlformats.org/officeDocument/2006/relationships/hyperlink" Target="https://incubeta.com/news-and-resources/incubeta-dach-gcp-certification/" TargetMode="External"/><Relationship Id="rId2313" Type="http://schemas.openxmlformats.org/officeDocument/2006/relationships/hyperlink" Target="https://incubeta.com/" TargetMode="External"/><Relationship Id="rId2314" Type="http://schemas.openxmlformats.org/officeDocument/2006/relationships/hyperlink" Target="http://incubeta.com" TargetMode="External"/><Relationship Id="rId2315" Type="http://schemas.openxmlformats.org/officeDocument/2006/relationships/hyperlink" Target="https://incubeta.com/capabilities/marketing-intelligence/" TargetMode="External"/><Relationship Id="rId2316" Type="http://schemas.openxmlformats.org/officeDocument/2006/relationships/hyperlink" Target="http://incubeta.com" TargetMode="External"/><Relationship Id="rId2317" Type="http://schemas.openxmlformats.org/officeDocument/2006/relationships/hyperlink" Target="https://incubeta.com/de/about-us/" TargetMode="External"/><Relationship Id="rId2318" Type="http://schemas.openxmlformats.org/officeDocument/2006/relationships/hyperlink" Target="http://incubeta.com" TargetMode="External"/><Relationship Id="rId2319" Type="http://schemas.openxmlformats.org/officeDocument/2006/relationships/hyperlink" Target="https://incubeta.com/de/find-us/berlin-germany/" TargetMode="External"/><Relationship Id="rId2310" Type="http://schemas.openxmlformats.org/officeDocument/2006/relationships/hyperlink" Target="http://incrmntal.com" TargetMode="External"/><Relationship Id="rId2311" Type="http://schemas.openxmlformats.org/officeDocument/2006/relationships/hyperlink" Target="https://www.incrmntal.com/resources/incrementality-software" TargetMode="External"/><Relationship Id="rId2312" Type="http://schemas.openxmlformats.org/officeDocument/2006/relationships/hyperlink" Target="http://incrmntal.com" TargetMode="External"/><Relationship Id="rId1895" Type="http://schemas.openxmlformats.org/officeDocument/2006/relationships/hyperlink" Target="https://cybay.de/ki-transformation" TargetMode="External"/><Relationship Id="rId1896" Type="http://schemas.openxmlformats.org/officeDocument/2006/relationships/hyperlink" Target="http://cybay.de" TargetMode="External"/><Relationship Id="rId1897" Type="http://schemas.openxmlformats.org/officeDocument/2006/relationships/hyperlink" Target="https://www.dacgroup.com/de/einblicke/blog/strategy/der-marketing-trendbericht-2026-26-massnahmen-die-performance-neu-definieren/" TargetMode="External"/><Relationship Id="rId1898" Type="http://schemas.openxmlformats.org/officeDocument/2006/relationships/hyperlink" Target="http://dacgroup.com" TargetMode="External"/><Relationship Id="rId1899" Type="http://schemas.openxmlformats.org/officeDocument/2006/relationships/hyperlink" Target="https://www.darkroomagency.com/observatory/best-performance-marketing-agencies-in-2026" TargetMode="External"/><Relationship Id="rId1890" Type="http://schemas.openxmlformats.org/officeDocument/2006/relationships/hyperlink" Target="http://crunchbase.com" TargetMode="External"/><Relationship Id="rId1891" Type="http://schemas.openxmlformats.org/officeDocument/2006/relationships/hyperlink" Target="https://csw.agency/en/advertising-agency-duesseldorf/" TargetMode="External"/><Relationship Id="rId1892" Type="http://schemas.openxmlformats.org/officeDocument/2006/relationships/hyperlink" Target="https://csw.agency/en/seo-agency-duesseldorf/" TargetMode="External"/><Relationship Id="rId1893" Type="http://schemas.openxmlformats.org/officeDocument/2006/relationships/hyperlink" Target="https://customlytics.com/team/" TargetMode="External"/><Relationship Id="rId1894" Type="http://schemas.openxmlformats.org/officeDocument/2006/relationships/hyperlink" Target="http://customlytics.com" TargetMode="External"/><Relationship Id="rId1884" Type="http://schemas.openxmlformats.org/officeDocument/2006/relationships/hyperlink" Target="https://creatif.agency/the-best-web-design-agencies-in-berlin-in-2026/" TargetMode="External"/><Relationship Id="rId1885" Type="http://schemas.openxmlformats.org/officeDocument/2006/relationships/hyperlink" Target="https://www.creative-city-berlin.de/de/network/member/ddb_tribal_group_gmbh_2/" TargetMode="External"/><Relationship Id="rId1886" Type="http://schemas.openxmlformats.org/officeDocument/2006/relationships/hyperlink" Target="http://creative-city-berlin.de" TargetMode="External"/><Relationship Id="rId1887" Type="http://schemas.openxmlformats.org/officeDocument/2006/relationships/hyperlink" Target="https://criterionglobal.com/expertise/international-media-planning-and-buying-agency" TargetMode="External"/><Relationship Id="rId1888" Type="http://schemas.openxmlformats.org/officeDocument/2006/relationships/hyperlink" Target="http://criterionglobal.com" TargetMode="External"/><Relationship Id="rId1889" Type="http://schemas.openxmlformats.org/officeDocument/2006/relationships/hyperlink" Target="https://www.crunchbase.com/organization/incrmntal" TargetMode="External"/><Relationship Id="rId1880" Type="http://schemas.openxmlformats.org/officeDocument/2006/relationships/hyperlink" Target="https://coolnerdsmarketing.com/top-creative-agencies-us/" TargetMode="External"/><Relationship Id="rId1881" Type="http://schemas.openxmlformats.org/officeDocument/2006/relationships/hyperlink" Target="http://coolnerdsmarketing.com" TargetMode="External"/><Relationship Id="rId1882" Type="http://schemas.openxmlformats.org/officeDocument/2006/relationships/hyperlink" Target="https://createscale.com/production" TargetMode="External"/><Relationship Id="rId1883" Type="http://schemas.openxmlformats.org/officeDocument/2006/relationships/hyperlink" Target="http://createscale.com" TargetMode="External"/><Relationship Id="rId1059" Type="http://schemas.openxmlformats.org/officeDocument/2006/relationships/hyperlink" Target="https://mmaglobal.com/smarties/business-impact-index?category=Creative+Agency&amp;region=Germany&amp;year=2025" TargetMode="External"/><Relationship Id="rId228" Type="http://schemas.openxmlformats.org/officeDocument/2006/relationships/hyperlink" Target="http://omnius.so" TargetMode="External"/><Relationship Id="rId227" Type="http://schemas.openxmlformats.org/officeDocument/2006/relationships/hyperlink" Target="https://www.omnius.so/blog/best-answer-engine-optimization-agencies" TargetMode="External"/><Relationship Id="rId226" Type="http://schemas.openxmlformats.org/officeDocument/2006/relationships/hyperlink" Target="http://feedbax.ai" TargetMode="External"/><Relationship Id="rId225" Type="http://schemas.openxmlformats.org/officeDocument/2006/relationships/hyperlink" Target="https://feedbax.ai/digital-marketing/germany" TargetMode="External"/><Relationship Id="rId2380" Type="http://schemas.openxmlformats.org/officeDocument/2006/relationships/hyperlink" Target="http://kentucky.com" TargetMode="External"/><Relationship Id="rId229" Type="http://schemas.openxmlformats.org/officeDocument/2006/relationships/hyperlink" Target="https://www.performanceliebe.de/geo-agency-germany/" TargetMode="External"/><Relationship Id="rId1050" Type="http://schemas.openxmlformats.org/officeDocument/2006/relationships/hyperlink" Target="http://mammoth.io" TargetMode="External"/><Relationship Id="rId2381" Type="http://schemas.openxmlformats.org/officeDocument/2006/relationships/hyperlink" Target="https://www.keyweo.com/de/seo/faq/beste-agenturen-deutschland/" TargetMode="External"/><Relationship Id="rId220" Type="http://schemas.openxmlformats.org/officeDocument/2006/relationships/hyperlink" Target="http://triplewhale.com" TargetMode="External"/><Relationship Id="rId1051" Type="http://schemas.openxmlformats.org/officeDocument/2006/relationships/hyperlink" Target="https://marketinglens.com/top-10/top-10-ppc-agencies-in-europe/" TargetMode="External"/><Relationship Id="rId2382" Type="http://schemas.openxmlformats.org/officeDocument/2006/relationships/hyperlink" Target="http://keyweo.com" TargetMode="External"/><Relationship Id="rId1052" Type="http://schemas.openxmlformats.org/officeDocument/2006/relationships/hyperlink" Target="http://marketinglens.com" TargetMode="External"/><Relationship Id="rId2383" Type="http://schemas.openxmlformats.org/officeDocument/2006/relationships/hyperlink" Target="https://www.ki-projexx.de/" TargetMode="External"/><Relationship Id="rId1053" Type="http://schemas.openxmlformats.org/officeDocument/2006/relationships/hyperlink" Target="https://marketingplatform.google.com/about/partners/?authuser=1" TargetMode="External"/><Relationship Id="rId2384" Type="http://schemas.openxmlformats.org/officeDocument/2006/relationships/hyperlink" Target="http://ki-projexx.de" TargetMode="External"/><Relationship Id="rId1054" Type="http://schemas.openxmlformats.org/officeDocument/2006/relationships/hyperlink" Target="http://google.com" TargetMode="External"/><Relationship Id="rId2385" Type="http://schemas.openxmlformats.org/officeDocument/2006/relationships/hyperlink" Target="https://www.kingfluencers.com/en/blog/top-50-social-media-agenturen-in-europa-in-2025" TargetMode="External"/><Relationship Id="rId224" Type="http://schemas.openxmlformats.org/officeDocument/2006/relationships/hyperlink" Target="http://ensun.io" TargetMode="External"/><Relationship Id="rId1055" Type="http://schemas.openxmlformats.org/officeDocument/2006/relationships/hyperlink" Target="https://meedia.de/news/beitrag/20776-serviceplan-dominiert-das-ranking-der-top-50-kreativagenturen-in-deutschland.html" TargetMode="External"/><Relationship Id="rId2386" Type="http://schemas.openxmlformats.org/officeDocument/2006/relationships/hyperlink" Target="http://kingfluencers.com" TargetMode="External"/><Relationship Id="rId223" Type="http://schemas.openxmlformats.org/officeDocument/2006/relationships/hyperlink" Target="https://ensun.io/search/multi-touch-attribution/germany" TargetMode="External"/><Relationship Id="rId1056" Type="http://schemas.openxmlformats.org/officeDocument/2006/relationships/hyperlink" Target="http://meedia.de" TargetMode="External"/><Relationship Id="rId2387" Type="http://schemas.openxmlformats.org/officeDocument/2006/relationships/hyperlink" Target="https://www.kiwop.com/en/marketing-attribution" TargetMode="External"/><Relationship Id="rId222" Type="http://schemas.openxmlformats.org/officeDocument/2006/relationships/hyperlink" Target="http://clutch.co" TargetMode="External"/><Relationship Id="rId1057" Type="http://schemas.openxmlformats.org/officeDocument/2006/relationships/hyperlink" Target="https://www.mindmelt.de/en/ai-products/" TargetMode="External"/><Relationship Id="rId2388" Type="http://schemas.openxmlformats.org/officeDocument/2006/relationships/hyperlink" Target="http://kiwop.com" TargetMode="External"/><Relationship Id="rId221" Type="http://schemas.openxmlformats.org/officeDocument/2006/relationships/hyperlink" Target="https://clutch.co/de/agencies/digital" TargetMode="External"/><Relationship Id="rId1058" Type="http://schemas.openxmlformats.org/officeDocument/2006/relationships/hyperlink" Target="http://mindmelt.de" TargetMode="External"/><Relationship Id="rId2389" Type="http://schemas.openxmlformats.org/officeDocument/2006/relationships/hyperlink" Target="https://www.klickkonzept.de/leistungen/digital-analytics" TargetMode="External"/><Relationship Id="rId1048" Type="http://schemas.openxmlformats.org/officeDocument/2006/relationships/hyperlink" Target="http://maibornwolff.de" TargetMode="External"/><Relationship Id="rId2379" Type="http://schemas.openxmlformats.org/officeDocument/2006/relationships/hyperlink" Target="https://www.kentucky.com/news/business/article316219281.html" TargetMode="External"/><Relationship Id="rId1049" Type="http://schemas.openxmlformats.org/officeDocument/2006/relationships/hyperlink" Target="https://mammoth.io/blog/marketing-attribution-software/" TargetMode="External"/><Relationship Id="rId217" Type="http://schemas.openxmlformats.org/officeDocument/2006/relationships/hyperlink" Target="https://themanifest.com/de/social-media/agencies" TargetMode="External"/><Relationship Id="rId216" Type="http://schemas.openxmlformats.org/officeDocument/2006/relationships/hyperlink" Target="http://google.com" TargetMode="External"/><Relationship Id="rId215" Type="http://schemas.openxmlformats.org/officeDocument/2006/relationships/hyperlink" Target="https://support.google.com/analytics/answer/7237700?hl=en" TargetMode="External"/><Relationship Id="rId214" Type="http://schemas.openxmlformats.org/officeDocument/2006/relationships/hyperlink" Target="http://sortlist.de" TargetMode="External"/><Relationship Id="rId219" Type="http://schemas.openxmlformats.org/officeDocument/2006/relationships/hyperlink" Target="https://www.triplewhale.com/blog/best-incrementality-testing-tools" TargetMode="External"/><Relationship Id="rId218" Type="http://schemas.openxmlformats.org/officeDocument/2006/relationships/hyperlink" Target="http://themanifest.com" TargetMode="External"/><Relationship Id="rId2370" Type="http://schemas.openxmlformats.org/officeDocument/2006/relationships/hyperlink" Target="http://jonas-rashedi.de" TargetMode="External"/><Relationship Id="rId1040" Type="http://schemas.openxmlformats.org/officeDocument/2006/relationships/hyperlink" Target="http://leapbuzz.com" TargetMode="External"/><Relationship Id="rId2371" Type="http://schemas.openxmlformats.org/officeDocument/2006/relationships/hyperlink" Target="https://www.jonas-rashedi.de/vergleich/customer-data-platform/" TargetMode="External"/><Relationship Id="rId1041" Type="http://schemas.openxmlformats.org/officeDocument/2006/relationships/hyperlink" Target="https://liftlab.com/" TargetMode="External"/><Relationship Id="rId2372" Type="http://schemas.openxmlformats.org/officeDocument/2006/relationships/hyperlink" Target="http://jonas-rashedi.de" TargetMode="External"/><Relationship Id="rId1042" Type="http://schemas.openxmlformats.org/officeDocument/2006/relationships/hyperlink" Target="http://liftlab.com" TargetMode="External"/><Relationship Id="rId2373" Type="http://schemas.openxmlformats.org/officeDocument/2006/relationships/hyperlink" Target="https://www.jonas-rashedi.de/wissen/cdp/anbieter-vergleich/" TargetMode="External"/><Relationship Id="rId1043" Type="http://schemas.openxmlformats.org/officeDocument/2006/relationships/hyperlink" Target="https://www.m1-project.com/blog/10-best-ai-marketing-agencies-in-depth-comparison" TargetMode="External"/><Relationship Id="rId2374" Type="http://schemas.openxmlformats.org/officeDocument/2006/relationships/hyperlink" Target="http://jonas-rashedi.de" TargetMode="External"/><Relationship Id="rId213" Type="http://schemas.openxmlformats.org/officeDocument/2006/relationships/hyperlink" Target="https://www.sortlist.de/s/marketing-analytik/deutschland-de" TargetMode="External"/><Relationship Id="rId1044" Type="http://schemas.openxmlformats.org/officeDocument/2006/relationships/hyperlink" Target="http://m1-project.com" TargetMode="External"/><Relationship Id="rId2375" Type="http://schemas.openxmlformats.org/officeDocument/2006/relationships/hyperlink" Target="https://www.jvm.com/" TargetMode="External"/><Relationship Id="rId212" Type="http://schemas.openxmlformats.org/officeDocument/2006/relationships/hyperlink" Target="http://sortlist.com" TargetMode="External"/><Relationship Id="rId1045" Type="http://schemas.openxmlformats.org/officeDocument/2006/relationships/hyperlink" Target="https://www.magiclibrary.co/blog/best-linkedin-ads-agency-in-germany" TargetMode="External"/><Relationship Id="rId2376" Type="http://schemas.openxmlformats.org/officeDocument/2006/relationships/hyperlink" Target="http://jvm.com" TargetMode="External"/><Relationship Id="rId211" Type="http://schemas.openxmlformats.org/officeDocument/2006/relationships/hyperlink" Target="https://www.sortlist.com/s/media-planning/germany-de" TargetMode="External"/><Relationship Id="rId1046" Type="http://schemas.openxmlformats.org/officeDocument/2006/relationships/hyperlink" Target="http://magiclibrary.co" TargetMode="External"/><Relationship Id="rId2377" Type="http://schemas.openxmlformats.org/officeDocument/2006/relationships/hyperlink" Target="https://www.karlmission.com/services/geo" TargetMode="External"/><Relationship Id="rId210" Type="http://schemas.openxmlformats.org/officeDocument/2006/relationships/hyperlink" Target="http://sortlist.com" TargetMode="External"/><Relationship Id="rId1047" Type="http://schemas.openxmlformats.org/officeDocument/2006/relationships/hyperlink" Target="https://www.maibornwolff.de/en/ai-readiness-check/" TargetMode="External"/><Relationship Id="rId2378" Type="http://schemas.openxmlformats.org/officeDocument/2006/relationships/hyperlink" Target="http://karlmission.com" TargetMode="External"/><Relationship Id="rId249" Type="http://schemas.openxmlformats.org/officeDocument/2006/relationships/hyperlink" Target="http://lengreo.com" TargetMode="External"/><Relationship Id="rId248" Type="http://schemas.openxmlformats.org/officeDocument/2006/relationships/hyperlink" Target="https://lengreo.com/top-google-ads-agencies-in-germany/" TargetMode="External"/><Relationship Id="rId247" Type="http://schemas.openxmlformats.org/officeDocument/2006/relationships/hyperlink" Target="http://lengreo.com" TargetMode="External"/><Relationship Id="rId1070" Type="http://schemas.openxmlformats.org/officeDocument/2006/relationships/hyperlink" Target="http://omt.de" TargetMode="External"/><Relationship Id="rId1071" Type="http://schemas.openxmlformats.org/officeDocument/2006/relationships/hyperlink" Target="https://www.omt.de/agentur-finden/ki-agentur/" TargetMode="External"/><Relationship Id="rId1072" Type="http://schemas.openxmlformats.org/officeDocument/2006/relationships/hyperlink" Target="http://omt.de" TargetMode="External"/><Relationship Id="rId242" Type="http://schemas.openxmlformats.org/officeDocument/2006/relationships/hyperlink" Target="https://www.gartner.com/reviews/market/incrementality-measurement-platforms" TargetMode="External"/><Relationship Id="rId1073" Type="http://schemas.openxmlformats.org/officeDocument/2006/relationships/hyperlink" Target="https://www.omt.de/online-marketing-tools/google-marketing-platform/agenturen/" TargetMode="External"/><Relationship Id="rId241" Type="http://schemas.openxmlformats.org/officeDocument/2006/relationships/hyperlink" Target="http://feedbax.ai" TargetMode="External"/><Relationship Id="rId1074" Type="http://schemas.openxmlformats.org/officeDocument/2006/relationships/hyperlink" Target="http://omt.de" TargetMode="External"/><Relationship Id="rId240" Type="http://schemas.openxmlformats.org/officeDocument/2006/relationships/hyperlink" Target="https://feedbax.ai/geo-agencies/germany" TargetMode="External"/><Relationship Id="rId1075" Type="http://schemas.openxmlformats.org/officeDocument/2006/relationships/hyperlink" Target="https://www.oneclub.org/awards/adcawards/-archive/agency/2024/38/all/2/208" TargetMode="External"/><Relationship Id="rId1076" Type="http://schemas.openxmlformats.org/officeDocument/2006/relationships/hyperlink" Target="http://oneclub.org" TargetMode="External"/><Relationship Id="rId246" Type="http://schemas.openxmlformats.org/officeDocument/2006/relationships/hyperlink" Target="https://lengreo.com/germany-aeo-geo-llmo-companies/" TargetMode="External"/><Relationship Id="rId1077" Type="http://schemas.openxmlformats.org/officeDocument/2006/relationships/hyperlink" Target="https://www.online-werbung-deutschland.de/bezahlte-media" TargetMode="External"/><Relationship Id="rId245" Type="http://schemas.openxmlformats.org/officeDocument/2006/relationships/hyperlink" Target="http://haus.io" TargetMode="External"/><Relationship Id="rId1078" Type="http://schemas.openxmlformats.org/officeDocument/2006/relationships/hyperlink" Target="http://online-werbung-deutschland.de" TargetMode="External"/><Relationship Id="rId244" Type="http://schemas.openxmlformats.org/officeDocument/2006/relationships/hyperlink" Target="https://www.haus.io/experiments" TargetMode="External"/><Relationship Id="rId1079" Type="http://schemas.openxmlformats.org/officeDocument/2006/relationships/hyperlink" Target="https://www.performanceliebe.de/aeo-agentur/" TargetMode="External"/><Relationship Id="rId243" Type="http://schemas.openxmlformats.org/officeDocument/2006/relationships/hyperlink" Target="http://gartner.com" TargetMode="External"/><Relationship Id="rId239" Type="http://schemas.openxmlformats.org/officeDocument/2006/relationships/hyperlink" Target="http://feedbax.ai" TargetMode="External"/><Relationship Id="rId238" Type="http://schemas.openxmlformats.org/officeDocument/2006/relationships/hyperlink" Target="https://feedbax.ai/advertising/germany" TargetMode="External"/><Relationship Id="rId237" Type="http://schemas.openxmlformats.org/officeDocument/2006/relationships/hyperlink" Target="http://experics.de" TargetMode="External"/><Relationship Id="rId236" Type="http://schemas.openxmlformats.org/officeDocument/2006/relationships/hyperlink" Target="https://www.experics.de/vergleich/geo-agenturen" TargetMode="External"/><Relationship Id="rId2390" Type="http://schemas.openxmlformats.org/officeDocument/2006/relationships/hyperlink" Target="http://klickkonzept.de" TargetMode="External"/><Relationship Id="rId1060" Type="http://schemas.openxmlformats.org/officeDocument/2006/relationships/hyperlink" Target="http://mmaglobal.com" TargetMode="External"/><Relationship Id="rId2391" Type="http://schemas.openxmlformats.org/officeDocument/2006/relationships/hyperlink" Target="https://klickpiloten.de/leistungen/analytics" TargetMode="External"/><Relationship Id="rId1061" Type="http://schemas.openxmlformats.org/officeDocument/2006/relationships/hyperlink" Target="https://omnicommediagroup.de/" TargetMode="External"/><Relationship Id="rId2392" Type="http://schemas.openxmlformats.org/officeDocument/2006/relationships/hyperlink" Target="http://klickpiloten.de" TargetMode="External"/><Relationship Id="rId231" Type="http://schemas.openxmlformats.org/officeDocument/2006/relationships/hyperlink" Target="https://slashdot.org/software/incrementality-testing/in-germany/" TargetMode="External"/><Relationship Id="rId1062" Type="http://schemas.openxmlformats.org/officeDocument/2006/relationships/hyperlink" Target="http://omnicommediagroup.de" TargetMode="External"/><Relationship Id="rId2393" Type="http://schemas.openxmlformats.org/officeDocument/2006/relationships/hyperlink" Target="https://kloos.agency/ppc-google-ads/" TargetMode="External"/><Relationship Id="rId230" Type="http://schemas.openxmlformats.org/officeDocument/2006/relationships/hyperlink" Target="http://performanceliebe.de" TargetMode="External"/><Relationship Id="rId1063" Type="http://schemas.openxmlformats.org/officeDocument/2006/relationships/hyperlink" Target="https://www.omnius.so/blog/german-seo-agencies" TargetMode="External"/><Relationship Id="rId2394" Type="http://schemas.openxmlformats.org/officeDocument/2006/relationships/hyperlink" Target="https://www.kochava.com/de/" TargetMode="External"/><Relationship Id="rId1064" Type="http://schemas.openxmlformats.org/officeDocument/2006/relationships/hyperlink" Target="http://omnius.so" TargetMode="External"/><Relationship Id="rId2395" Type="http://schemas.openxmlformats.org/officeDocument/2006/relationships/hyperlink" Target="http://kochava.com" TargetMode="External"/><Relationship Id="rId1065" Type="http://schemas.openxmlformats.org/officeDocument/2006/relationships/hyperlink" Target="https://www.omnius.so/geo-agency" TargetMode="External"/><Relationship Id="rId2396" Type="http://schemas.openxmlformats.org/officeDocument/2006/relationships/hyperlink" Target="https://kretschel-consulting.de/" TargetMode="External"/><Relationship Id="rId235" Type="http://schemas.openxmlformats.org/officeDocument/2006/relationships/hyperlink" Target="https://enterprisemarketingportal.google/work-with-partners" TargetMode="External"/><Relationship Id="rId1066" Type="http://schemas.openxmlformats.org/officeDocument/2006/relationships/hyperlink" Target="http://omnius.so" TargetMode="External"/><Relationship Id="rId2397" Type="http://schemas.openxmlformats.org/officeDocument/2006/relationships/hyperlink" Target="http://kretschel-consulting.de" TargetMode="External"/><Relationship Id="rId234" Type="http://schemas.openxmlformats.org/officeDocument/2006/relationships/hyperlink" Target="http://btelligent.com" TargetMode="External"/><Relationship Id="rId1067" Type="http://schemas.openxmlformats.org/officeDocument/2006/relationships/hyperlink" Target="https://omr.com/en/reviews/service-category/performance-marketing-agenturen/frankfurt-am-main-82cbde3b-e695-4572-b23f-a50592fba3d4" TargetMode="External"/><Relationship Id="rId2398" Type="http://schemas.openxmlformats.org/officeDocument/2006/relationships/hyperlink" Target="https://www.krick.com/unternehmen/news/auch-2026-krickcom-ist-erneut-google-premier-partner" TargetMode="External"/><Relationship Id="rId233" Type="http://schemas.openxmlformats.org/officeDocument/2006/relationships/hyperlink" Target="https://www.btelligent.com/en/news-posts/btelligent-brandeins-2026-best-consultancies-germany" TargetMode="External"/><Relationship Id="rId1068" Type="http://schemas.openxmlformats.org/officeDocument/2006/relationships/hyperlink" Target="http://omr.com" TargetMode="External"/><Relationship Id="rId2399" Type="http://schemas.openxmlformats.org/officeDocument/2006/relationships/hyperlink" Target="http://krick.com" TargetMode="External"/><Relationship Id="rId232" Type="http://schemas.openxmlformats.org/officeDocument/2006/relationships/hyperlink" Target="http://slashdot.org" TargetMode="External"/><Relationship Id="rId1069" Type="http://schemas.openxmlformats.org/officeDocument/2006/relationships/hyperlink" Target="https://www.omt.de/agentur-finden/google-agentur/" TargetMode="External"/><Relationship Id="rId1015" Type="http://schemas.openxmlformats.org/officeDocument/2006/relationships/hyperlink" Target="https://geosphaira.com/" TargetMode="External"/><Relationship Id="rId2346" Type="http://schemas.openxmlformats.org/officeDocument/2006/relationships/hyperlink" Target="http://instantwaves.de" TargetMode="External"/><Relationship Id="rId1016" Type="http://schemas.openxmlformats.org/officeDocument/2006/relationships/hyperlink" Target="http://geosphaira.com" TargetMode="External"/><Relationship Id="rId2347" Type="http://schemas.openxmlformats.org/officeDocument/2006/relationships/hyperlink" Target="https://www.intellectyx.com/ai-agent-development-companies-in-usa/" TargetMode="External"/><Relationship Id="rId1017" Type="http://schemas.openxmlformats.org/officeDocument/2006/relationships/hyperlink" Target="https://getklar.com/" TargetMode="External"/><Relationship Id="rId2348" Type="http://schemas.openxmlformats.org/officeDocument/2006/relationships/hyperlink" Target="http://intellectyx.com" TargetMode="External"/><Relationship Id="rId1018" Type="http://schemas.openxmlformats.org/officeDocument/2006/relationships/hyperlink" Target="http://getklar.com" TargetMode="External"/><Relationship Id="rId2349" Type="http://schemas.openxmlformats.org/officeDocument/2006/relationships/hyperlink" Target="https://www.intellectyx.com/list-of-20-leading-ai-consulting-firms-providing-comprehensive-services/" TargetMode="External"/><Relationship Id="rId1019" Type="http://schemas.openxmlformats.org/officeDocument/2006/relationships/hyperlink" Target="https://www.google.com/partners/?hl=de" TargetMode="External"/><Relationship Id="rId2340" Type="http://schemas.openxmlformats.org/officeDocument/2006/relationships/hyperlink" Target="http://insightwert.de" TargetMode="External"/><Relationship Id="rId1010" Type="http://schemas.openxmlformats.org/officeDocument/2006/relationships/hyperlink" Target="http://hubspot.com" TargetMode="External"/><Relationship Id="rId2341" Type="http://schemas.openxmlformats.org/officeDocument/2006/relationships/hyperlink" Target="https://www.instagram.com/serviceplan/" TargetMode="External"/><Relationship Id="rId1011" Type="http://schemas.openxmlformats.org/officeDocument/2006/relationships/hyperlink" Target="https://www.feld-m.de/en/blog/google-meridian-triangulation-future-marketing-measurement/" TargetMode="External"/><Relationship Id="rId2342" Type="http://schemas.openxmlformats.org/officeDocument/2006/relationships/hyperlink" Target="http://instagram.com" TargetMode="External"/><Relationship Id="rId1012" Type="http://schemas.openxmlformats.org/officeDocument/2006/relationships/hyperlink" Target="http://feld-m.de" TargetMode="External"/><Relationship Id="rId2343" Type="http://schemas.openxmlformats.org/officeDocument/2006/relationships/hyperlink" Target="https://www.instagram.com/thjnk/" TargetMode="External"/><Relationship Id="rId1013" Type="http://schemas.openxmlformats.org/officeDocument/2006/relationships/hyperlink" Target="https://www.geoagency.net/" TargetMode="External"/><Relationship Id="rId2344" Type="http://schemas.openxmlformats.org/officeDocument/2006/relationships/hyperlink" Target="http://instagram.com" TargetMode="External"/><Relationship Id="rId1014" Type="http://schemas.openxmlformats.org/officeDocument/2006/relationships/hyperlink" Target="http://geoagency.net" TargetMode="External"/><Relationship Id="rId2345" Type="http://schemas.openxmlformats.org/officeDocument/2006/relationships/hyperlink" Target="https://instantwaves.de/" TargetMode="External"/><Relationship Id="rId1004" Type="http://schemas.openxmlformats.org/officeDocument/2006/relationships/hyperlink" Target="https://e-dialog.group/en/google-sales-partner/campaign-manager-360/" TargetMode="External"/><Relationship Id="rId2335" Type="http://schemas.openxmlformats.org/officeDocument/2006/relationships/hyperlink" Target="https://influencermarketinghub.com/de/social-media-marketing-agenturen/" TargetMode="External"/><Relationship Id="rId1005" Type="http://schemas.openxmlformats.org/officeDocument/2006/relationships/hyperlink" Target="https://echomotion.ai/" TargetMode="External"/><Relationship Id="rId2336" Type="http://schemas.openxmlformats.org/officeDocument/2006/relationships/hyperlink" Target="http://influencermarketinghub.com" TargetMode="External"/><Relationship Id="rId1006" Type="http://schemas.openxmlformats.org/officeDocument/2006/relationships/hyperlink" Target="http://echomotion.ai" TargetMode="External"/><Relationship Id="rId2337" Type="http://schemas.openxmlformats.org/officeDocument/2006/relationships/hyperlink" Target="https://www.infomotion.de/ai-data-performance/ai-data-science/ai-strategie/ai-readiness" TargetMode="External"/><Relationship Id="rId1007" Type="http://schemas.openxmlformats.org/officeDocument/2006/relationships/hyperlink" Target="https://echomotion.ai/?lang=en" TargetMode="External"/><Relationship Id="rId2338" Type="http://schemas.openxmlformats.org/officeDocument/2006/relationships/hyperlink" Target="http://infomotion.de" TargetMode="External"/><Relationship Id="rId1008" Type="http://schemas.openxmlformats.org/officeDocument/2006/relationships/hyperlink" Target="http://echomotion.ai" TargetMode="External"/><Relationship Id="rId2339" Type="http://schemas.openxmlformats.org/officeDocument/2006/relationships/hyperlink" Target="https://insightwert.de/en/services/" TargetMode="External"/><Relationship Id="rId1009" Type="http://schemas.openxmlformats.org/officeDocument/2006/relationships/hyperlink" Target="https://ecosystem.hubspot.com/marketplace/solutions/paid-advertising/ecommerce/germany" TargetMode="External"/><Relationship Id="rId2330" Type="http://schemas.openxmlformats.org/officeDocument/2006/relationships/hyperlink" Target="http://influencer-hero.com" TargetMode="External"/><Relationship Id="rId1000" Type="http://schemas.openxmlformats.org/officeDocument/2006/relationships/hyperlink" Target="https://dtile-marketing.de/performance-marketing/" TargetMode="External"/><Relationship Id="rId2331" Type="http://schemas.openxmlformats.org/officeDocument/2006/relationships/hyperlink" Target="https://influencermarketinghub.com/de/google-ads-agenturen/" TargetMode="External"/><Relationship Id="rId1001" Type="http://schemas.openxmlformats.org/officeDocument/2006/relationships/hyperlink" Target="http://dtile-marketing.de" TargetMode="External"/><Relationship Id="rId2332" Type="http://schemas.openxmlformats.org/officeDocument/2006/relationships/hyperlink" Target="http://influencermarketinghub.com" TargetMode="External"/><Relationship Id="rId1002" Type="http://schemas.openxmlformats.org/officeDocument/2006/relationships/hyperlink" Target="https://dynamicsupport.de/it/" TargetMode="External"/><Relationship Id="rId2333" Type="http://schemas.openxmlformats.org/officeDocument/2006/relationships/hyperlink" Target="https://influencermarketinghub.com/de/ki-marketing-agenturen/" TargetMode="External"/><Relationship Id="rId1003" Type="http://schemas.openxmlformats.org/officeDocument/2006/relationships/hyperlink" Target="http://dynamicsupport.de" TargetMode="External"/><Relationship Id="rId2334" Type="http://schemas.openxmlformats.org/officeDocument/2006/relationships/hyperlink" Target="http://influencermarketinghub.com" TargetMode="External"/><Relationship Id="rId1037" Type="http://schemas.openxmlformats.org/officeDocument/2006/relationships/hyperlink" Target="https://www.kom.de/public-relations/kreativranking-jung-von-matt-vor-msl-und-serviceplan/" TargetMode="External"/><Relationship Id="rId2368" Type="http://schemas.openxmlformats.org/officeDocument/2006/relationships/hyperlink" Target="http://jobgether.com" TargetMode="External"/><Relationship Id="rId1038" Type="http://schemas.openxmlformats.org/officeDocument/2006/relationships/hyperlink" Target="http://kom.de" TargetMode="External"/><Relationship Id="rId2369" Type="http://schemas.openxmlformats.org/officeDocument/2006/relationships/hyperlink" Target="https://www.jonas-rashedi.de/blog/customer-data-platform-experten-deutschland-2026.html" TargetMode="External"/><Relationship Id="rId1039" Type="http://schemas.openxmlformats.org/officeDocument/2006/relationships/hyperlink" Target="https://leapbuzz.com/services/performance-marketing/" TargetMode="External"/><Relationship Id="rId206" Type="http://schemas.openxmlformats.org/officeDocument/2006/relationships/hyperlink" Target="http://omr.com" TargetMode="External"/><Relationship Id="rId205" Type="http://schemas.openxmlformats.org/officeDocument/2006/relationships/hyperlink" Target="https://omr.com/en/reviews/service-category/geo-agenturen" TargetMode="External"/><Relationship Id="rId204" Type="http://schemas.openxmlformats.org/officeDocument/2006/relationships/hyperlink" Target="http://omr.com" TargetMode="External"/><Relationship Id="rId203" Type="http://schemas.openxmlformats.org/officeDocument/2006/relationships/hyperlink" Target="https://omr.com/de/reviews/service-category/performance-marketing-agenturen" TargetMode="External"/><Relationship Id="rId209" Type="http://schemas.openxmlformats.org/officeDocument/2006/relationships/hyperlink" Target="https://www.sortlist.com/s/digital-advertising/germany-de" TargetMode="External"/><Relationship Id="rId208" Type="http://schemas.openxmlformats.org/officeDocument/2006/relationships/hyperlink" Target="http://performance-marketing-agency-berlin.com" TargetMode="External"/><Relationship Id="rId207" Type="http://schemas.openxmlformats.org/officeDocument/2006/relationships/hyperlink" Target="https://performance-marketing-agency-berlin.com/marketing-analytics/berlin" TargetMode="External"/><Relationship Id="rId2360" Type="http://schemas.openxmlformats.org/officeDocument/2006/relationships/hyperlink" Target="http://iqueem.com" TargetMode="External"/><Relationship Id="rId1030" Type="http://schemas.openxmlformats.org/officeDocument/2006/relationships/hyperlink" Target="http://ibusiness.de" TargetMode="External"/><Relationship Id="rId2361" Type="http://schemas.openxmlformats.org/officeDocument/2006/relationships/hyperlink" Target="https://www.iqueem.com/en/blog/iqueem-munich.html" TargetMode="External"/><Relationship Id="rId1031" Type="http://schemas.openxmlformats.org/officeDocument/2006/relationships/hyperlink" Target="https://www.ibusiness.de/performance-ranking/performance_2024.html" TargetMode="External"/><Relationship Id="rId2362" Type="http://schemas.openxmlformats.org/officeDocument/2006/relationships/hyperlink" Target="http://iqueem.com" TargetMode="External"/><Relationship Id="rId1032" Type="http://schemas.openxmlformats.org/officeDocument/2006/relationships/hyperlink" Target="http://ibusiness.de" TargetMode="External"/><Relationship Id="rId2363" Type="http://schemas.openxmlformats.org/officeDocument/2006/relationships/hyperlink" Target="https://www.jaeckert-odaniel.com/en/geo-case-study-46-7-ai-visibility-in-7-days/" TargetMode="External"/><Relationship Id="rId202" Type="http://schemas.openxmlformats.org/officeDocument/2006/relationships/hyperlink" Target="http://more-fire.com" TargetMode="External"/><Relationship Id="rId1033" Type="http://schemas.openxmlformats.org/officeDocument/2006/relationships/hyperlink" Target="https://www.incrmntal.com/" TargetMode="External"/><Relationship Id="rId2364" Type="http://schemas.openxmlformats.org/officeDocument/2006/relationships/hyperlink" Target="http://jaeckert-odaniel.com" TargetMode="External"/><Relationship Id="rId201" Type="http://schemas.openxmlformats.org/officeDocument/2006/relationships/hyperlink" Target="https://www.more-fire.com/en/implementation/display-advertising/" TargetMode="External"/><Relationship Id="rId1034" Type="http://schemas.openxmlformats.org/officeDocument/2006/relationships/hyperlink" Target="http://incrmntal.com" TargetMode="External"/><Relationship Id="rId2365" Type="http://schemas.openxmlformats.org/officeDocument/2006/relationships/hyperlink" Target="https://www.jampp.com/blog/incrementality-q-a-with-growth-marketers-in-berlin" TargetMode="External"/><Relationship Id="rId200" Type="http://schemas.openxmlformats.org/officeDocument/2006/relationships/hyperlink" Target="http://clutch.co" TargetMode="External"/><Relationship Id="rId1035" Type="http://schemas.openxmlformats.org/officeDocument/2006/relationships/hyperlink" Target="https://www.kiwop.com/de/marketing-attribution" TargetMode="External"/><Relationship Id="rId2366" Type="http://schemas.openxmlformats.org/officeDocument/2006/relationships/hyperlink" Target="http://jampp.com" TargetMode="External"/><Relationship Id="rId1036" Type="http://schemas.openxmlformats.org/officeDocument/2006/relationships/hyperlink" Target="http://kiwop.com" TargetMode="External"/><Relationship Id="rId2367" Type="http://schemas.openxmlformats.org/officeDocument/2006/relationships/hyperlink" Target="https://jobgether.com/offer/69fd12bcf77bd3019866ce3a-sea-manager---german-speaking-m-w-d" TargetMode="External"/><Relationship Id="rId1026" Type="http://schemas.openxmlformats.org/officeDocument/2006/relationships/hyperlink" Target="http://hopmann.com" TargetMode="External"/><Relationship Id="rId2357" Type="http://schemas.openxmlformats.org/officeDocument/2006/relationships/hyperlink" Target="https://www.iopex.com/solutions/marketingops" TargetMode="External"/><Relationship Id="rId1027" Type="http://schemas.openxmlformats.org/officeDocument/2006/relationships/hyperlink" Target="https://www.housesofgrowth.com/post/aeo-agencies-in-europe" TargetMode="External"/><Relationship Id="rId2358" Type="http://schemas.openxmlformats.org/officeDocument/2006/relationships/hyperlink" Target="http://iopex.com" TargetMode="External"/><Relationship Id="rId1028" Type="http://schemas.openxmlformats.org/officeDocument/2006/relationships/hyperlink" Target="http://housesofgrowth.com" TargetMode="External"/><Relationship Id="rId2359" Type="http://schemas.openxmlformats.org/officeDocument/2006/relationships/hyperlink" Target="https://www.iqueem.com/en/blog.html" TargetMode="External"/><Relationship Id="rId1029" Type="http://schemas.openxmlformats.org/officeDocument/2006/relationships/hyperlink" Target="https://www.ibusiness.de/performance-ranking/performance_2023.html" TargetMode="External"/><Relationship Id="rId2350" Type="http://schemas.openxmlformats.org/officeDocument/2006/relationships/hyperlink" Target="http://intellectyx.com" TargetMode="External"/><Relationship Id="rId1020" Type="http://schemas.openxmlformats.org/officeDocument/2006/relationships/hyperlink" Target="http://google.com" TargetMode="External"/><Relationship Id="rId2351" Type="http://schemas.openxmlformats.org/officeDocument/2006/relationships/hyperlink" Target="https://www.intentradar.com/" TargetMode="External"/><Relationship Id="rId1021" Type="http://schemas.openxmlformats.org/officeDocument/2006/relationships/hyperlink" Target="https://www.hopmann.com/de/marketing-analytics/marketing-science/mmm/" TargetMode="External"/><Relationship Id="rId2352" Type="http://schemas.openxmlformats.org/officeDocument/2006/relationships/hyperlink" Target="http://intentradar.com" TargetMode="External"/><Relationship Id="rId1022" Type="http://schemas.openxmlformats.org/officeDocument/2006/relationships/hyperlink" Target="http://hopmann.com" TargetMode="External"/><Relationship Id="rId2353" Type="http://schemas.openxmlformats.org/officeDocument/2006/relationships/hyperlink" Target="https://invademarketing.com/best-rated-media-planning-agencies-in-performance-marketing/" TargetMode="External"/><Relationship Id="rId1023" Type="http://schemas.openxmlformats.org/officeDocument/2006/relationships/hyperlink" Target="https://www.hopmann.com/de/unternehmen/" TargetMode="External"/><Relationship Id="rId2354" Type="http://schemas.openxmlformats.org/officeDocument/2006/relationships/hyperlink" Target="http://invademarketing.com" TargetMode="External"/><Relationship Id="rId1024" Type="http://schemas.openxmlformats.org/officeDocument/2006/relationships/hyperlink" Target="http://hopmann.com" TargetMode="External"/><Relationship Id="rId2355" Type="http://schemas.openxmlformats.org/officeDocument/2006/relationships/hyperlink" Target="https://www.invictus-lead-generation.de/en/leistungen/geo/" TargetMode="External"/><Relationship Id="rId1025" Type="http://schemas.openxmlformats.org/officeDocument/2006/relationships/hyperlink" Target="https://www.hopmann.com/en/" TargetMode="External"/><Relationship Id="rId2356" Type="http://schemas.openxmlformats.org/officeDocument/2006/relationships/hyperlink" Target="http://invictus-lead-generation.de" TargetMode="External"/><Relationship Id="rId1910" Type="http://schemas.openxmlformats.org/officeDocument/2006/relationships/hyperlink" Target="http://datalogue.de" TargetMode="External"/><Relationship Id="rId1911" Type="http://schemas.openxmlformats.org/officeDocument/2006/relationships/hyperlink" Target="https://datenbanken.pr-journal.de/pr-agenturrankings/pfeffers-pr-ranking.html?layout=detail&amp;type=201&amp;view=ranking" TargetMode="External"/><Relationship Id="rId1912" Type="http://schemas.openxmlformats.org/officeDocument/2006/relationships/hyperlink" Target="http://pr-journal.de" TargetMode="External"/><Relationship Id="rId1913" Type="http://schemas.openxmlformats.org/officeDocument/2006/relationships/hyperlink" Target="https://davidms.co.uk/ai-seo-agency-westminster" TargetMode="External"/><Relationship Id="rId1914" Type="http://schemas.openxmlformats.org/officeDocument/2006/relationships/hyperlink" Target="http://davidms.co.uk" TargetMode="External"/><Relationship Id="rId1915" Type="http://schemas.openxmlformats.org/officeDocument/2006/relationships/hyperlink" Target="https://daviesmeyer.com/en/solutions/ai-readiness-workshop" TargetMode="External"/><Relationship Id="rId1916" Type="http://schemas.openxmlformats.org/officeDocument/2006/relationships/hyperlink" Target="http://daviesmeyer.com" TargetMode="External"/><Relationship Id="rId1917" Type="http://schemas.openxmlformats.org/officeDocument/2006/relationships/hyperlink" Target="https://de.finance.yahoo.com/nachrichten/bias-recruiting-ki-beratungsunternehmen-statworx-070000538.html" TargetMode="External"/><Relationship Id="rId1918" Type="http://schemas.openxmlformats.org/officeDocument/2006/relationships/hyperlink" Target="http://yahoo.com" TargetMode="External"/><Relationship Id="rId1919" Type="http://schemas.openxmlformats.org/officeDocument/2006/relationships/hyperlink" Target="https://de.linkedin.com/company/ddb-germany" TargetMode="External"/><Relationship Id="rId1900" Type="http://schemas.openxmlformats.org/officeDocument/2006/relationships/hyperlink" Target="http://darkroomagency.com" TargetMode="External"/><Relationship Id="rId1901" Type="http://schemas.openxmlformats.org/officeDocument/2006/relationships/hyperlink" Target="https://www.dataally.ai/blog/top-paid-media-agencies" TargetMode="External"/><Relationship Id="rId1902" Type="http://schemas.openxmlformats.org/officeDocument/2006/relationships/hyperlink" Target="http://dataally.ai" TargetMode="External"/><Relationship Id="rId1903" Type="http://schemas.openxmlformats.org/officeDocument/2006/relationships/hyperlink" Target="https://databox.com/marketing-agency-directories" TargetMode="External"/><Relationship Id="rId1904" Type="http://schemas.openxmlformats.org/officeDocument/2006/relationships/hyperlink" Target="http://databox.com" TargetMode="External"/><Relationship Id="rId1905" Type="http://schemas.openxmlformats.org/officeDocument/2006/relationships/hyperlink" Target="https://www.datafirstsolutions.de/agency" TargetMode="External"/><Relationship Id="rId1906" Type="http://schemas.openxmlformats.org/officeDocument/2006/relationships/hyperlink" Target="http://datafirstsolutions.de" TargetMode="External"/><Relationship Id="rId1907" Type="http://schemas.openxmlformats.org/officeDocument/2006/relationships/hyperlink" Target="https://datalion.com/en/marketing-data-solutions/" TargetMode="External"/><Relationship Id="rId1908" Type="http://schemas.openxmlformats.org/officeDocument/2006/relationships/hyperlink" Target="http://datalion.com" TargetMode="External"/><Relationship Id="rId1909" Type="http://schemas.openxmlformats.org/officeDocument/2006/relationships/hyperlink" Target="https://www.datalogue.de/about-datalogue/en/about-us/" TargetMode="External"/><Relationship Id="rId1090" Type="http://schemas.openxmlformats.org/officeDocument/2006/relationships/hyperlink" Target="http://reddit.com" TargetMode="External"/><Relationship Id="rId1091" Type="http://schemas.openxmlformats.org/officeDocument/2006/relationships/hyperlink" Target="https://www.reddit.com/r/programmatic/comments/1nzh99f" TargetMode="External"/><Relationship Id="rId1092" Type="http://schemas.openxmlformats.org/officeDocument/2006/relationships/hyperlink" Target="http://reddit.com" TargetMode="External"/><Relationship Id="rId1093" Type="http://schemas.openxmlformats.org/officeDocument/2006/relationships/hyperlink" Target="https://s360digital.com/news/s360-enters-dach-through-a-strategic-minority-investment-in-dreifive/" TargetMode="External"/><Relationship Id="rId1094" Type="http://schemas.openxmlformats.org/officeDocument/2006/relationships/hyperlink" Target="http://s360digital.com" TargetMode="External"/><Relationship Id="rId1095" Type="http://schemas.openxmlformats.org/officeDocument/2006/relationships/hyperlink" Target="https://sellforte.com/support/sellforte-experiments-geo-lift" TargetMode="External"/><Relationship Id="rId1096" Type="http://schemas.openxmlformats.org/officeDocument/2006/relationships/hyperlink" Target="http://sellforte.com" TargetMode="External"/><Relationship Id="rId1097" Type="http://schemas.openxmlformats.org/officeDocument/2006/relationships/hyperlink" Target="https://www.sem-deutschland.de/seo-glossar/generative-engine-optimierung-agentur-llmo-agentur/" TargetMode="External"/><Relationship Id="rId1098" Type="http://schemas.openxmlformats.org/officeDocument/2006/relationships/hyperlink" Target="http://sem-deutschland.de" TargetMode="External"/><Relationship Id="rId1099" Type="http://schemas.openxmlformats.org/officeDocument/2006/relationships/hyperlink" Target="https://www.semrush.com/agencies/list/display-advertising/germany/" TargetMode="External"/><Relationship Id="rId1080" Type="http://schemas.openxmlformats.org/officeDocument/2006/relationships/hyperlink" Target="http://performanceliebe.de" TargetMode="External"/><Relationship Id="rId1081" Type="http://schemas.openxmlformats.org/officeDocument/2006/relationships/hyperlink" Target="https://www.prima-consulting.de/en" TargetMode="External"/><Relationship Id="rId1082" Type="http://schemas.openxmlformats.org/officeDocument/2006/relationships/hyperlink" Target="http://prima-consulting.de" TargetMode="External"/><Relationship Id="rId1083" Type="http://schemas.openxmlformats.org/officeDocument/2006/relationships/hyperlink" Target="https://procloser.ai/blog/best-aeo-agencies-2026/" TargetMode="External"/><Relationship Id="rId1084" Type="http://schemas.openxmlformats.org/officeDocument/2006/relationships/hyperlink" Target="http://procloser.ai" TargetMode="External"/><Relationship Id="rId1085" Type="http://schemas.openxmlformats.org/officeDocument/2006/relationships/hyperlink" Target="https://www.pwc.de/de/starke-allianzen/pwc-und-die-google-marketing-platform-mit-smarten-tools-zum-digitalen-erfolg.html" TargetMode="External"/><Relationship Id="rId1086" Type="http://schemas.openxmlformats.org/officeDocument/2006/relationships/hyperlink" Target="http://pwc.de" TargetMode="External"/><Relationship Id="rId1087" Type="http://schemas.openxmlformats.org/officeDocument/2006/relationships/hyperlink" Target="https://www.reddit.com/r/GenEngineOptimization/comments/1qab4rt/what_are_the_top_geo_agencies_and_what_softwares/" TargetMode="External"/><Relationship Id="rId1088" Type="http://schemas.openxmlformats.org/officeDocument/2006/relationships/hyperlink" Target="http://reddit.com" TargetMode="External"/><Relationship Id="rId1089" Type="http://schemas.openxmlformats.org/officeDocument/2006/relationships/hyperlink" Target="https://www.reddit.com/r/adtech/comments/1u5mwrq/measurement_source_of_truth/" TargetMode="External"/><Relationship Id="rId1972" Type="http://schemas.openxmlformats.org/officeDocument/2006/relationships/hyperlink" Target="http://digitalrhetoric.in" TargetMode="External"/><Relationship Id="rId1973" Type="http://schemas.openxmlformats.org/officeDocument/2006/relationships/hyperlink" Target="https://directiveconsulting.com/blog/25-best-paid-media-agencies-that-turn-ad-spend-into-revenue/" TargetMode="External"/><Relationship Id="rId1974" Type="http://schemas.openxmlformats.org/officeDocument/2006/relationships/hyperlink" Target="http://directiveconsulting.com" TargetMode="External"/><Relationship Id="rId1975" Type="http://schemas.openxmlformats.org/officeDocument/2006/relationships/hyperlink" Target="https://directiveconsulting.com/blog/best-marketing-data-agency/" TargetMode="External"/><Relationship Id="rId1976" Type="http://schemas.openxmlformats.org/officeDocument/2006/relationships/hyperlink" Target="http://directiveconsulting.com" TargetMode="External"/><Relationship Id="rId1977" Type="http://schemas.openxmlformats.org/officeDocument/2006/relationships/hyperlink" Target="https://directiveconsulting.com/blog/creative-strategy-agency/" TargetMode="External"/><Relationship Id="rId1978" Type="http://schemas.openxmlformats.org/officeDocument/2006/relationships/hyperlink" Target="http://directiveconsulting.com" TargetMode="External"/><Relationship Id="rId1979" Type="http://schemas.openxmlformats.org/officeDocument/2006/relationships/hyperlink" Target="https://directiveconsulting.com/uk/blog/25-best-advertising-agencies-built-for-media-momentum/" TargetMode="External"/><Relationship Id="rId1970" Type="http://schemas.openxmlformats.org/officeDocument/2006/relationships/hyperlink" Target="http://digitalmarketingsupermarket.com" TargetMode="External"/><Relationship Id="rId1971" Type="http://schemas.openxmlformats.org/officeDocument/2006/relationships/hyperlink" Target="https://digitalrhetoric.in/which-digital-marketing-agency-offers-the-best-roi-for-small-businesses/" TargetMode="External"/><Relationship Id="rId1961" Type="http://schemas.openxmlformats.org/officeDocument/2006/relationships/hyperlink" Target="https://digitalagencynetwork.com/agencies/europe/geo/" TargetMode="External"/><Relationship Id="rId1962" Type="http://schemas.openxmlformats.org/officeDocument/2006/relationships/hyperlink" Target="http://digitalagencynetwork.com" TargetMode="External"/><Relationship Id="rId1963" Type="http://schemas.openxmlformats.org/officeDocument/2006/relationships/hyperlink" Target="https://digitalagenten.com/en/web-analysis/" TargetMode="External"/><Relationship Id="rId1964" Type="http://schemas.openxmlformats.org/officeDocument/2006/relationships/hyperlink" Target="http://digitalagenten.com" TargetMode="External"/><Relationship Id="rId1965" Type="http://schemas.openxmlformats.org/officeDocument/2006/relationships/hyperlink" Target="https://www.digitalapplied.com/blog/first-party-data-activation-2026-server-side-tracking-playbook" TargetMode="External"/><Relationship Id="rId1966" Type="http://schemas.openxmlformats.org/officeDocument/2006/relationships/hyperlink" Target="http://digitalapplied.com" TargetMode="External"/><Relationship Id="rId1967" Type="http://schemas.openxmlformats.org/officeDocument/2006/relationships/hyperlink" Target="https://www.digitalinsight.de/" TargetMode="External"/><Relationship Id="rId1968" Type="http://schemas.openxmlformats.org/officeDocument/2006/relationships/hyperlink" Target="http://digitalinsight.de" TargetMode="External"/><Relationship Id="rId1969" Type="http://schemas.openxmlformats.org/officeDocument/2006/relationships/hyperlink" Target="https://digitalmarketingsupermarket.com/blog/best-ai-marketing-agencies/" TargetMode="External"/><Relationship Id="rId1960" Type="http://schemas.openxmlformats.org/officeDocument/2006/relationships/hyperlink" Target="http://digitalagencynetwork.com" TargetMode="External"/><Relationship Id="rId1994" Type="http://schemas.openxmlformats.org/officeDocument/2006/relationships/hyperlink" Target="http://dwao.in" TargetMode="External"/><Relationship Id="rId1995" Type="http://schemas.openxmlformats.org/officeDocument/2006/relationships/hyperlink" Target="https://e-dialog.group/en/" TargetMode="External"/><Relationship Id="rId1996" Type="http://schemas.openxmlformats.org/officeDocument/2006/relationships/hyperlink" Target="https://e-dialog.group/en/analytics/google-analytics/" TargetMode="External"/><Relationship Id="rId1997" Type="http://schemas.openxmlformats.org/officeDocument/2006/relationships/hyperlink" Target="https://e-dialog.group/en/campaigning/google-ads/" TargetMode="External"/><Relationship Id="rId1998" Type="http://schemas.openxmlformats.org/officeDocument/2006/relationships/hyperlink" Target="https://e-dialog.group/en/google-sales-partner/google-analytics-360/" TargetMode="External"/><Relationship Id="rId1999" Type="http://schemas.openxmlformats.org/officeDocument/2006/relationships/hyperlink" Target="https://e-dialog.group/en/google-sales-partner/google-display-video-360/" TargetMode="External"/><Relationship Id="rId1990" Type="http://schemas.openxmlformats.org/officeDocument/2006/relationships/hyperlink" Target="http://dripagency.de" TargetMode="External"/><Relationship Id="rId1991" Type="http://schemas.openxmlformats.org/officeDocument/2006/relationships/hyperlink" Target="https://www.dtgv.de/awards/deutscher-b2b-award-2025/kommunikation-werbung/" TargetMode="External"/><Relationship Id="rId1992" Type="http://schemas.openxmlformats.org/officeDocument/2006/relationships/hyperlink" Target="http://dtgv.de" TargetMode="External"/><Relationship Id="rId1993" Type="http://schemas.openxmlformats.org/officeDocument/2006/relationships/hyperlink" Target="https://dwao.in/blog/best-gcp-partner" TargetMode="External"/><Relationship Id="rId1983" Type="http://schemas.openxmlformats.org/officeDocument/2006/relationships/hyperlink" Target="https://www.displayce.com/data-measure/" TargetMode="External"/><Relationship Id="rId1984" Type="http://schemas.openxmlformats.org/officeDocument/2006/relationships/hyperlink" Target="http://displayce.com" TargetMode="External"/><Relationship Id="rId1985" Type="http://schemas.openxmlformats.org/officeDocument/2006/relationships/hyperlink" Target="https://www.dotsource.com/data-driven-marketing/" TargetMode="External"/><Relationship Id="rId1986" Type="http://schemas.openxmlformats.org/officeDocument/2006/relationships/hyperlink" Target="http://dotsource.com" TargetMode="External"/><Relationship Id="rId1987" Type="http://schemas.openxmlformats.org/officeDocument/2006/relationships/hyperlink" Target="https://www.dreikon.de/leistungen/seo-agentur/geo/" TargetMode="External"/><Relationship Id="rId1988" Type="http://schemas.openxmlformats.org/officeDocument/2006/relationships/hyperlink" Target="http://dreikon.de" TargetMode="External"/><Relationship Id="rId1989" Type="http://schemas.openxmlformats.org/officeDocument/2006/relationships/hyperlink" Target="https://dripagency.de/de/services/ab-testing-agentur" TargetMode="External"/><Relationship Id="rId1980" Type="http://schemas.openxmlformats.org/officeDocument/2006/relationships/hyperlink" Target="http://directiveconsulting.com" TargetMode="External"/><Relationship Id="rId1981" Type="http://schemas.openxmlformats.org/officeDocument/2006/relationships/hyperlink" Target="https://directory.esomar.org/search/*?from=9" TargetMode="External"/><Relationship Id="rId1982" Type="http://schemas.openxmlformats.org/officeDocument/2006/relationships/hyperlink" Target="http://esomar.org" TargetMode="External"/><Relationship Id="rId1930" Type="http://schemas.openxmlformats.org/officeDocument/2006/relationships/hyperlink" Target="http://linkedin.com" TargetMode="External"/><Relationship Id="rId1931" Type="http://schemas.openxmlformats.org/officeDocument/2006/relationships/hyperlink" Target="https://de.ryte.com/partner/hire-a-ryte-partner/" TargetMode="External"/><Relationship Id="rId1932" Type="http://schemas.openxmlformats.org/officeDocument/2006/relationships/hyperlink" Target="http://ryte.com" TargetMode="External"/><Relationship Id="rId1933" Type="http://schemas.openxmlformats.org/officeDocument/2006/relationships/hyperlink" Target="https://de.wikipedia.org/wiki/DDB_%28Deutschland%29" TargetMode="External"/><Relationship Id="rId1934" Type="http://schemas.openxmlformats.org/officeDocument/2006/relationships/hyperlink" Target="http://wikipedia.org" TargetMode="External"/><Relationship Id="rId1935" Type="http://schemas.openxmlformats.org/officeDocument/2006/relationships/hyperlink" Target="https://de.wikipedia.org/wiki/Pilot_Group" TargetMode="External"/><Relationship Id="rId1936" Type="http://schemas.openxmlformats.org/officeDocument/2006/relationships/hyperlink" Target="http://wikipedia.org" TargetMode="External"/><Relationship Id="rId1937" Type="http://schemas.openxmlformats.org/officeDocument/2006/relationships/hyperlink" Target="https://deichweb.de/en/empfehlungen/" TargetMode="External"/><Relationship Id="rId1938" Type="http://schemas.openxmlformats.org/officeDocument/2006/relationships/hyperlink" Target="http://deichweb.de" TargetMode="External"/><Relationship Id="rId1939" Type="http://schemas.openxmlformats.org/officeDocument/2006/relationships/hyperlink" Target="https://dejanmarketing.com/best-ai-seo-agencies/" TargetMode="External"/><Relationship Id="rId1920" Type="http://schemas.openxmlformats.org/officeDocument/2006/relationships/hyperlink" Target="http://linkedin.com" TargetMode="External"/><Relationship Id="rId1921" Type="http://schemas.openxmlformats.org/officeDocument/2006/relationships/hyperlink" Target="https://de.linkedin.com/company/deptagency" TargetMode="External"/><Relationship Id="rId1922" Type="http://schemas.openxmlformats.org/officeDocument/2006/relationships/hyperlink" Target="http://linkedin.com" TargetMode="External"/><Relationship Id="rId1923" Type="http://schemas.openxmlformats.org/officeDocument/2006/relationships/hyperlink" Target="https://de.linkedin.com/company/hyamstudios" TargetMode="External"/><Relationship Id="rId1924" Type="http://schemas.openxmlformats.org/officeDocument/2006/relationships/hyperlink" Target="http://linkedin.com" TargetMode="External"/><Relationship Id="rId1925" Type="http://schemas.openxmlformats.org/officeDocument/2006/relationships/hyperlink" Target="https://de.linkedin.com/company/scholz-&amp;-friends" TargetMode="External"/><Relationship Id="rId1926" Type="http://schemas.openxmlformats.org/officeDocument/2006/relationships/hyperlink" Target="http://linkedin.com" TargetMode="External"/><Relationship Id="rId1927" Type="http://schemas.openxmlformats.org/officeDocument/2006/relationships/hyperlink" Target="https://de.linkedin.com/company/serviceplan-group" TargetMode="External"/><Relationship Id="rId1928" Type="http://schemas.openxmlformats.org/officeDocument/2006/relationships/hyperlink" Target="http://linkedin.com" TargetMode="External"/><Relationship Id="rId1929" Type="http://schemas.openxmlformats.org/officeDocument/2006/relationships/hyperlink" Target="https://de.linkedin.com/in/jorngrunert" TargetMode="External"/><Relationship Id="rId1950" Type="http://schemas.openxmlformats.org/officeDocument/2006/relationships/hyperlink" Target="http://deptagency.com" TargetMode="External"/><Relationship Id="rId1951" Type="http://schemas.openxmlformats.org/officeDocument/2006/relationships/hyperlink" Target="https://www.designrush.com/agency/digital-marketing/analytics" TargetMode="External"/><Relationship Id="rId1952" Type="http://schemas.openxmlformats.org/officeDocument/2006/relationships/hyperlink" Target="http://designrush.com" TargetMode="External"/><Relationship Id="rId1953" Type="http://schemas.openxmlformats.org/officeDocument/2006/relationships/hyperlink" Target="https://www.designrush.com/agency/digital-marketing/performance-marketing-agencies" TargetMode="External"/><Relationship Id="rId1954" Type="http://schemas.openxmlformats.org/officeDocument/2006/relationships/hyperlink" Target="http://designrush.com" TargetMode="External"/><Relationship Id="rId1955" Type="http://schemas.openxmlformats.org/officeDocument/2006/relationships/hyperlink" Target="https://www.detecon.com/en/ai-readiness-assessment" TargetMode="External"/><Relationship Id="rId1956" Type="http://schemas.openxmlformats.org/officeDocument/2006/relationships/hyperlink" Target="http://detecon.com" TargetMode="External"/><Relationship Id="rId1957" Type="http://schemas.openxmlformats.org/officeDocument/2006/relationships/hyperlink" Target="https://digitalagencynetwork.com/agencies/berlin/social-media-marketing/" TargetMode="External"/><Relationship Id="rId1958" Type="http://schemas.openxmlformats.org/officeDocument/2006/relationships/hyperlink" Target="http://digitalagencynetwork.com" TargetMode="External"/><Relationship Id="rId1959" Type="http://schemas.openxmlformats.org/officeDocument/2006/relationships/hyperlink" Target="https://digitalagencynetwork.com/agencies/europe/ai-marketing/" TargetMode="External"/><Relationship Id="rId1940" Type="http://schemas.openxmlformats.org/officeDocument/2006/relationships/hyperlink" Target="http://dejanmarketing.com" TargetMode="External"/><Relationship Id="rId1941" Type="http://schemas.openxmlformats.org/officeDocument/2006/relationships/hyperlink" Target="https://www.deloitte.com/us/en/services/consulting/services/generative-ai-readiness-and-adoption.html" TargetMode="External"/><Relationship Id="rId1942" Type="http://schemas.openxmlformats.org/officeDocument/2006/relationships/hyperlink" Target="http://deloitte.com" TargetMode="External"/><Relationship Id="rId1943" Type="http://schemas.openxmlformats.org/officeDocument/2006/relationships/hyperlink" Target="https://www.deptagency.com/de-dach/" TargetMode="External"/><Relationship Id="rId1944" Type="http://schemas.openxmlformats.org/officeDocument/2006/relationships/hyperlink" Target="http://deptagency.com" TargetMode="External"/><Relationship Id="rId1945" Type="http://schemas.openxmlformats.org/officeDocument/2006/relationships/hyperlink" Target="https://www.deptagency.com/insight/embracing-creative-automation-for-scaling-asset-creation/" TargetMode="External"/><Relationship Id="rId1946" Type="http://schemas.openxmlformats.org/officeDocument/2006/relationships/hyperlink" Target="http://deptagency.com" TargetMode="External"/><Relationship Id="rId1947" Type="http://schemas.openxmlformats.org/officeDocument/2006/relationships/hyperlink" Target="https://www.deptagency.com/insight/leading-german-digital-agencies-unite-to-form-dept/" TargetMode="External"/><Relationship Id="rId1948" Type="http://schemas.openxmlformats.org/officeDocument/2006/relationships/hyperlink" Target="http://deptagency.com" TargetMode="External"/><Relationship Id="rId1949" Type="http://schemas.openxmlformats.org/officeDocument/2006/relationships/hyperlink" Target="https://www.deptagency.com/partner/google-marketing-platform/" TargetMode="External"/><Relationship Id="rId2423" Type="http://schemas.openxmlformats.org/officeDocument/2006/relationships/hyperlink" Target="https://www.linkedin.com/company/thjnk" TargetMode="External"/><Relationship Id="rId2424" Type="http://schemas.openxmlformats.org/officeDocument/2006/relationships/hyperlink" Target="http://linkedin.com" TargetMode="External"/><Relationship Id="rId2425" Type="http://schemas.openxmlformats.org/officeDocument/2006/relationships/hyperlink" Target="https://www.linkedin.com/posts/incrmntal_incrementality-martech-measurement-activity-7458138781590683648-ubwV" TargetMode="External"/><Relationship Id="rId2426" Type="http://schemas.openxmlformats.org/officeDocument/2006/relationships/hyperlink" Target="http://linkedin.com" TargetMode="External"/><Relationship Id="rId2427" Type="http://schemas.openxmlformats.org/officeDocument/2006/relationships/hyperlink" Target="https://www.linkedin.com/posts/karthik-banda-b8bb53246_digitalmarketing-marketingagencies-advertising-activity-7404477675702083584-oyVa" TargetMode="External"/><Relationship Id="rId2428" Type="http://schemas.openxmlformats.org/officeDocument/2006/relationships/hyperlink" Target="http://linkedin.com" TargetMode="External"/><Relationship Id="rId2429" Type="http://schemas.openxmlformats.org/officeDocument/2006/relationships/hyperlink" Target="https://www.linkedin.com/posts/s360digital_s360-is-the-first-partner-in-northern-europe-activity-7447540211539931137-Y8GK" TargetMode="External"/><Relationship Id="rId509" Type="http://schemas.openxmlformats.org/officeDocument/2006/relationships/hyperlink" Target="http://sourceforge.net" TargetMode="External"/><Relationship Id="rId508" Type="http://schemas.openxmlformats.org/officeDocument/2006/relationships/hyperlink" Target="https://sourceforge.net/software/marketing-attribution/germany/?page=2" TargetMode="External"/><Relationship Id="rId503" Type="http://schemas.openxmlformats.org/officeDocument/2006/relationships/hyperlink" Target="http://silicon.de" TargetMode="External"/><Relationship Id="rId502" Type="http://schemas.openxmlformats.org/officeDocument/2006/relationships/hyperlink" Target="https://www.silicon.de/41722409/geo-agentur-vergleich-empfehlungen-beste-15-geo-agenturen-2026/amp" TargetMode="External"/><Relationship Id="rId501" Type="http://schemas.openxmlformats.org/officeDocument/2006/relationships/hyperlink" Target="http://semrush.com" TargetMode="External"/><Relationship Id="rId500" Type="http://schemas.openxmlformats.org/officeDocument/2006/relationships/hyperlink" Target="https://www.semrush.com/agencies/list/display-advertising/ecommerce/germany/" TargetMode="External"/><Relationship Id="rId507" Type="http://schemas.openxmlformats.org/officeDocument/2006/relationships/hyperlink" Target="http://sortlist.com" TargetMode="External"/><Relationship Id="rId506" Type="http://schemas.openxmlformats.org/officeDocument/2006/relationships/hyperlink" Target="https://www.sortlist.com/s/marketing-automation/germany-de" TargetMode="External"/><Relationship Id="rId505" Type="http://schemas.openxmlformats.org/officeDocument/2006/relationships/hyperlink" Target="http://sortlist.com" TargetMode="External"/><Relationship Id="rId504" Type="http://schemas.openxmlformats.org/officeDocument/2006/relationships/hyperlink" Target="https://www.sortlist.com/display-advertising" TargetMode="External"/><Relationship Id="rId2420" Type="http://schemas.openxmlformats.org/officeDocument/2006/relationships/hyperlink" Target="http://lifesight.io" TargetMode="External"/><Relationship Id="rId2421" Type="http://schemas.openxmlformats.org/officeDocument/2006/relationships/hyperlink" Target="https://www.linkedin.com/company/crealytics-gmbh" TargetMode="External"/><Relationship Id="rId2422" Type="http://schemas.openxmlformats.org/officeDocument/2006/relationships/hyperlink" Target="http://linkedin.com" TargetMode="External"/><Relationship Id="rId2412" Type="http://schemas.openxmlformats.org/officeDocument/2006/relationships/hyperlink" Target="https://www.leewayhertz.com/top-enterprise-ai-development-companies/" TargetMode="External"/><Relationship Id="rId2413" Type="http://schemas.openxmlformats.org/officeDocument/2006/relationships/hyperlink" Target="http://leewayhertz.com" TargetMode="External"/><Relationship Id="rId2414" Type="http://schemas.openxmlformats.org/officeDocument/2006/relationships/hyperlink" Target="https://lengreo.com/de/top-google-ads-agencies-in-germany/" TargetMode="External"/><Relationship Id="rId2415" Type="http://schemas.openxmlformats.org/officeDocument/2006/relationships/hyperlink" Target="http://lengreo.com" TargetMode="External"/><Relationship Id="rId2416" Type="http://schemas.openxmlformats.org/officeDocument/2006/relationships/hyperlink" Target="https://lengreo.com/germany-leipzig-aeo-geo-llmo-companies/" TargetMode="External"/><Relationship Id="rId2417" Type="http://schemas.openxmlformats.org/officeDocument/2006/relationships/hyperlink" Target="http://lengreo.com" TargetMode="External"/><Relationship Id="rId2418" Type="http://schemas.openxmlformats.org/officeDocument/2006/relationships/hyperlink" Target="https://www.leonar.app/blog/gem-alternatives/" TargetMode="External"/><Relationship Id="rId2419" Type="http://schemas.openxmlformats.org/officeDocument/2006/relationships/hyperlink" Target="https://lifesight.io/blog/marketing-mix-modeling-software/" TargetMode="External"/><Relationship Id="rId2410" Type="http://schemas.openxmlformats.org/officeDocument/2006/relationships/hyperlink" Target="https://www.leansummits.com/how-marketing-teams-are-using-ai-agents-to-automate-campaign-management" TargetMode="External"/><Relationship Id="rId2411" Type="http://schemas.openxmlformats.org/officeDocument/2006/relationships/hyperlink" Target="http://leansummits.com" TargetMode="External"/><Relationship Id="rId1114" Type="http://schemas.openxmlformats.org/officeDocument/2006/relationships/hyperlink" Target="http://sortlist.de" TargetMode="External"/><Relationship Id="rId2445" Type="http://schemas.openxmlformats.org/officeDocument/2006/relationships/hyperlink" Target="https://www.localperformance.com/2026/02/25/wir-sind-stolzer-google-premier-partner-2026/" TargetMode="External"/><Relationship Id="rId1115" Type="http://schemas.openxmlformats.org/officeDocument/2006/relationships/hyperlink" Target="https://www.sortlist.de/s/big-data-marketing/deutschland-de" TargetMode="External"/><Relationship Id="rId2446" Type="http://schemas.openxmlformats.org/officeDocument/2006/relationships/hyperlink" Target="http://localperformance.com" TargetMode="External"/><Relationship Id="rId1116" Type="http://schemas.openxmlformats.org/officeDocument/2006/relationships/hyperlink" Target="http://sortlist.de" TargetMode="External"/><Relationship Id="rId2447" Type="http://schemas.openxmlformats.org/officeDocument/2006/relationships/hyperlink" Target="https://lunarailab.com/blog/2026/03/04/top-5-ai-agent-adoption-agencies-in-2026/" TargetMode="External"/><Relationship Id="rId1117" Type="http://schemas.openxmlformats.org/officeDocument/2006/relationships/hyperlink" Target="https://www.sortlist.de/s/instagram-werbung/deutschland-de" TargetMode="External"/><Relationship Id="rId2448" Type="http://schemas.openxmlformats.org/officeDocument/2006/relationships/hyperlink" Target="http://lunarailab.com" TargetMode="External"/><Relationship Id="rId1118" Type="http://schemas.openxmlformats.org/officeDocument/2006/relationships/hyperlink" Target="http://sortlist.de" TargetMode="External"/><Relationship Id="rId2449" Type="http://schemas.openxmlformats.org/officeDocument/2006/relationships/hyperlink" Target="https://www.lyfemarketing.com/blog/top-performance-marketing-agencies-us/" TargetMode="External"/><Relationship Id="rId1119" Type="http://schemas.openxmlformats.org/officeDocument/2006/relationships/hyperlink" Target="https://sourceforge.net/software/answer-engine-optimization-aeo/germany/" TargetMode="External"/><Relationship Id="rId525" Type="http://schemas.openxmlformats.org/officeDocument/2006/relationships/hyperlink" Target="https://www.crispycontent.de/en/ai/" TargetMode="External"/><Relationship Id="rId524" Type="http://schemas.openxmlformats.org/officeDocument/2006/relationships/hyperlink" Target="http://clutch.co" TargetMode="External"/><Relationship Id="rId523" Type="http://schemas.openxmlformats.org/officeDocument/2006/relationships/hyperlink" Target="https://clutch.co/de/agencies/ppc/advertising-industry?page=2" TargetMode="External"/><Relationship Id="rId522" Type="http://schemas.openxmlformats.org/officeDocument/2006/relationships/hyperlink" Target="http://boostit.de" TargetMode="External"/><Relationship Id="rId529" Type="http://schemas.openxmlformats.org/officeDocument/2006/relationships/hyperlink" Target="https://www.designrush.com/agency/social-media-marketing/de" TargetMode="External"/><Relationship Id="rId528" Type="http://schemas.openxmlformats.org/officeDocument/2006/relationships/hyperlink" Target="http://dejaoffice.com" TargetMode="External"/><Relationship Id="rId527" Type="http://schemas.openxmlformats.org/officeDocument/2006/relationships/hyperlink" Target="https://www.dejaoffice.com/blog/2026/06/15/9-best-aeo-agencies-helping-brands-win-in-the-age-of-ai/" TargetMode="External"/><Relationship Id="rId526" Type="http://schemas.openxmlformats.org/officeDocument/2006/relationships/hyperlink" Target="http://crispycontent.de" TargetMode="External"/><Relationship Id="rId2440" Type="http://schemas.openxmlformats.org/officeDocument/2006/relationships/hyperlink" Target="http://linkedin.com" TargetMode="External"/><Relationship Id="rId521" Type="http://schemas.openxmlformats.org/officeDocument/2006/relationships/hyperlink" Target="https://boostit.de/en/geo-agentur-vergleich-2026" TargetMode="External"/><Relationship Id="rId1110" Type="http://schemas.openxmlformats.org/officeDocument/2006/relationships/hyperlink" Target="http://sortlist.com" TargetMode="External"/><Relationship Id="rId2441" Type="http://schemas.openxmlformats.org/officeDocument/2006/relationships/hyperlink" Target="https://www.linkedin.com/top-content/marketing/digital-advertising-metrics/incrementality-testing-in-ads/" TargetMode="External"/><Relationship Id="rId520" Type="http://schemas.openxmlformats.org/officeDocument/2006/relationships/hyperlink" Target="http://architecturaldigest.com" TargetMode="External"/><Relationship Id="rId1111" Type="http://schemas.openxmlformats.org/officeDocument/2006/relationships/hyperlink" Target="https://www.sortlist.de/s/ai-marketing/berlin-de" TargetMode="External"/><Relationship Id="rId2442" Type="http://schemas.openxmlformats.org/officeDocument/2006/relationships/hyperlink" Target="http://linkedin.com" TargetMode="External"/><Relationship Id="rId1112" Type="http://schemas.openxmlformats.org/officeDocument/2006/relationships/hyperlink" Target="http://sortlist.de" TargetMode="External"/><Relationship Id="rId2443" Type="http://schemas.openxmlformats.org/officeDocument/2006/relationships/hyperlink" Target="https://liveramp.com/blog/first-party-data-strategy" TargetMode="External"/><Relationship Id="rId1113" Type="http://schemas.openxmlformats.org/officeDocument/2006/relationships/hyperlink" Target="https://www.sortlist.de/s/big-data-analytics/deutschland-de" TargetMode="External"/><Relationship Id="rId2444" Type="http://schemas.openxmlformats.org/officeDocument/2006/relationships/hyperlink" Target="http://liveramp.com" TargetMode="External"/><Relationship Id="rId1103" Type="http://schemas.openxmlformats.org/officeDocument/2006/relationships/hyperlink" Target="https://www.sortlist.com/i/s/creative/berlin-de" TargetMode="External"/><Relationship Id="rId2434" Type="http://schemas.openxmlformats.org/officeDocument/2006/relationships/hyperlink" Target="http://linkedin.com" TargetMode="External"/><Relationship Id="rId1104" Type="http://schemas.openxmlformats.org/officeDocument/2006/relationships/hyperlink" Target="http://sortlist.com" TargetMode="External"/><Relationship Id="rId2435" Type="http://schemas.openxmlformats.org/officeDocument/2006/relationships/hyperlink" Target="https://www.linkedin.com/pulse/google-ads-marketing-companies-farhan-ali-tbtwf" TargetMode="External"/><Relationship Id="rId1105" Type="http://schemas.openxmlformats.org/officeDocument/2006/relationships/hyperlink" Target="https://www.sortlist.com/s/data-driven-marketing/germany-de" TargetMode="External"/><Relationship Id="rId2436" Type="http://schemas.openxmlformats.org/officeDocument/2006/relationships/hyperlink" Target="http://linkedin.com" TargetMode="External"/><Relationship Id="rId1106" Type="http://schemas.openxmlformats.org/officeDocument/2006/relationships/hyperlink" Target="http://sortlist.com" TargetMode="External"/><Relationship Id="rId2437" Type="http://schemas.openxmlformats.org/officeDocument/2006/relationships/hyperlink" Target="https://www.linkedin.com/pulse/top-15-performance-marketing-companies-clutch-global-spring-kbaae" TargetMode="External"/><Relationship Id="rId1107" Type="http://schemas.openxmlformats.org/officeDocument/2006/relationships/hyperlink" Target="https://www.sortlist.com/s/display-advertising/munich-by-de" TargetMode="External"/><Relationship Id="rId2438" Type="http://schemas.openxmlformats.org/officeDocument/2006/relationships/hyperlink" Target="http://linkedin.com" TargetMode="External"/><Relationship Id="rId1108" Type="http://schemas.openxmlformats.org/officeDocument/2006/relationships/hyperlink" Target="http://sortlist.com" TargetMode="External"/><Relationship Id="rId2439" Type="http://schemas.openxmlformats.org/officeDocument/2006/relationships/hyperlink" Target="https://www.linkedin.com/pulse/what-sales-branding-value-adding-awareness-phase-your-daniel-opler" TargetMode="External"/><Relationship Id="rId1109" Type="http://schemas.openxmlformats.org/officeDocument/2006/relationships/hyperlink" Target="https://www.sortlist.com/s/programmatic-advertising/germany-de" TargetMode="External"/><Relationship Id="rId519" Type="http://schemas.openxmlformats.org/officeDocument/2006/relationships/hyperlink" Target="https://www.architecturaldigest.com/story/is-your-business-ready-for-the-ai-overview-era" TargetMode="External"/><Relationship Id="rId514" Type="http://schemas.openxmlformats.org/officeDocument/2006/relationships/hyperlink" Target="https://ultragrowthmedia.com/best-b2b-marketing-agencies-germany/" TargetMode="External"/><Relationship Id="rId513" Type="http://schemas.openxmlformats.org/officeDocument/2006/relationships/hyperlink" Target="http://thedigitalelevator.com" TargetMode="External"/><Relationship Id="rId512" Type="http://schemas.openxmlformats.org/officeDocument/2006/relationships/hyperlink" Target="https://thedigitalelevator.com/blog/best-generative-engine-optimization-geo-agencies/" TargetMode="External"/><Relationship Id="rId511" Type="http://schemas.openxmlformats.org/officeDocument/2006/relationships/hyperlink" Target="http://thatware.co" TargetMode="External"/><Relationship Id="rId518" Type="http://schemas.openxmlformats.org/officeDocument/2006/relationships/hyperlink" Target="https://admiral.media/app-marketing-agency-munich/" TargetMode="External"/><Relationship Id="rId517" Type="http://schemas.openxmlformats.org/officeDocument/2006/relationships/hyperlink" Target="http://adc.de" TargetMode="External"/><Relationship Id="rId516" Type="http://schemas.openxmlformats.org/officeDocument/2006/relationships/hyperlink" Target="https://www.adc.de/2025/12/09/adc-kreativranking-2025/" TargetMode="External"/><Relationship Id="rId515" Type="http://schemas.openxmlformats.org/officeDocument/2006/relationships/hyperlink" Target="http://ultragrowthmedia.com" TargetMode="External"/><Relationship Id="rId510" Type="http://schemas.openxmlformats.org/officeDocument/2006/relationships/hyperlink" Target="https://thatware.co/top-10-aeo-companies-in-germany/" TargetMode="External"/><Relationship Id="rId2430" Type="http://schemas.openxmlformats.org/officeDocument/2006/relationships/hyperlink" Target="http://linkedin.com" TargetMode="External"/><Relationship Id="rId1100" Type="http://schemas.openxmlformats.org/officeDocument/2006/relationships/hyperlink" Target="http://semrush.com" TargetMode="External"/><Relationship Id="rId2431" Type="http://schemas.openxmlformats.org/officeDocument/2006/relationships/hyperlink" Target="https://www.linkedin.com/posts/trkkn_were-proud-to-announce-that-trkkn-has-activity-7396834763552018432-MyUH" TargetMode="External"/><Relationship Id="rId1101" Type="http://schemas.openxmlformats.org/officeDocument/2006/relationships/hyperlink" Target="https://www.seoworks.com/lists/best-aeo-answer-engine-optimisation-agencies/" TargetMode="External"/><Relationship Id="rId2432" Type="http://schemas.openxmlformats.org/officeDocument/2006/relationships/hyperlink" Target="http://linkedin.com" TargetMode="External"/><Relationship Id="rId1102" Type="http://schemas.openxmlformats.org/officeDocument/2006/relationships/hyperlink" Target="http://seoworks.com" TargetMode="External"/><Relationship Id="rId2433" Type="http://schemas.openxmlformats.org/officeDocument/2006/relationships/hyperlink" Target="https://www.linkedin.com/pulse/deconstructing-common-solutions-first-party-data-pierre-cholet-booce" TargetMode="External"/><Relationship Id="rId2401" Type="http://schemas.openxmlformats.org/officeDocument/2006/relationships/hyperlink" Target="http://kunalkankaria.com" TargetMode="External"/><Relationship Id="rId2402" Type="http://schemas.openxmlformats.org/officeDocument/2006/relationships/hyperlink" Target="https://labtrix.de/ai-seo/ai-search-optimierung" TargetMode="External"/><Relationship Id="rId2403" Type="http://schemas.openxmlformats.org/officeDocument/2006/relationships/hyperlink" Target="http://labtrix.de" TargetMode="External"/><Relationship Id="rId2404" Type="http://schemas.openxmlformats.org/officeDocument/2006/relationships/hyperlink" Target="https://langdock.com/de/partners/directory" TargetMode="External"/><Relationship Id="rId2405" Type="http://schemas.openxmlformats.org/officeDocument/2006/relationships/hyperlink" Target="http://langdock.com" TargetMode="External"/><Relationship Id="rId2406" Type="http://schemas.openxmlformats.org/officeDocument/2006/relationships/hyperlink" Target="https://lbbonline.com/companies/Mediaplus-Group/about" TargetMode="External"/><Relationship Id="rId2407" Type="http://schemas.openxmlformats.org/officeDocument/2006/relationships/hyperlink" Target="http://lbbonline.com" TargetMode="External"/><Relationship Id="rId2408" Type="http://schemas.openxmlformats.org/officeDocument/2006/relationships/hyperlink" Target="https://lbbonline.com/companies/serviceplan/about" TargetMode="External"/><Relationship Id="rId2409" Type="http://schemas.openxmlformats.org/officeDocument/2006/relationships/hyperlink" Target="http://lbbonline.com" TargetMode="External"/><Relationship Id="rId2400" Type="http://schemas.openxmlformats.org/officeDocument/2006/relationships/hyperlink" Target="https://kunalkankaria.com/best-ai-consultant-germany/" TargetMode="External"/><Relationship Id="rId590" Type="http://schemas.openxmlformats.org/officeDocument/2006/relationships/hyperlink" Target="https://www.convios.com/en/services/ai-strategy-readiness" TargetMode="External"/><Relationship Id="rId589" Type="http://schemas.openxmlformats.org/officeDocument/2006/relationships/hyperlink" Target="http://clutch.co" TargetMode="External"/><Relationship Id="rId588" Type="http://schemas.openxmlformats.org/officeDocument/2006/relationships/hyperlink" Target="https://clutch.co/de/consulting/ai/strategy?page=1" TargetMode="External"/><Relationship Id="rId1170" Type="http://schemas.openxmlformats.org/officeDocument/2006/relationships/hyperlink" Target="http://aio.com.ai" TargetMode="External"/><Relationship Id="rId1171" Type="http://schemas.openxmlformats.org/officeDocument/2006/relationships/hyperlink" Target="https://aoy.campaigngermany.de/shortlist/" TargetMode="External"/><Relationship Id="rId583" Type="http://schemas.openxmlformats.org/officeDocument/2006/relationships/hyperlink" Target="http://alphaapexgroup.com" TargetMode="External"/><Relationship Id="rId1172" Type="http://schemas.openxmlformats.org/officeDocument/2006/relationships/hyperlink" Target="http://campaigngermany.de" TargetMode="External"/><Relationship Id="rId582" Type="http://schemas.openxmlformats.org/officeDocument/2006/relationships/hyperlink" Target="https://www.alphaapexgroup.com/blog/top-ai-consulting-firms" TargetMode="External"/><Relationship Id="rId1173" Type="http://schemas.openxmlformats.org/officeDocument/2006/relationships/hyperlink" Target="https://www.appsflyer.com/de/products/measurement/incrementality/" TargetMode="External"/><Relationship Id="rId581" Type="http://schemas.openxmlformats.org/officeDocument/2006/relationships/hyperlink" Target="http://semrush.com" TargetMode="External"/><Relationship Id="rId1174" Type="http://schemas.openxmlformats.org/officeDocument/2006/relationships/hyperlink" Target="http://appsflyer.com" TargetMode="External"/><Relationship Id="rId580" Type="http://schemas.openxmlformats.org/officeDocument/2006/relationships/hyperlink" Target="https://agencies.semrush.com/list/seo/germany/" TargetMode="External"/><Relationship Id="rId1175" Type="http://schemas.openxmlformats.org/officeDocument/2006/relationships/hyperlink" Target="https://www.artefact.com/offers/cx-consumer-experience-digital/media-certifications/" TargetMode="External"/><Relationship Id="rId587" Type="http://schemas.openxmlformats.org/officeDocument/2006/relationships/hyperlink" Target="http://awisee.com" TargetMode="External"/><Relationship Id="rId1176" Type="http://schemas.openxmlformats.org/officeDocument/2006/relationships/hyperlink" Target="http://artefact.com" TargetMode="External"/><Relationship Id="rId586" Type="http://schemas.openxmlformats.org/officeDocument/2006/relationships/hyperlink" Target="https://awisee.com/pt/blog/digital-marketing-agencies-germany/" TargetMode="External"/><Relationship Id="rId1177" Type="http://schemas.openxmlformats.org/officeDocument/2006/relationships/hyperlink" Target="https://attributy.de/" TargetMode="External"/><Relationship Id="rId585" Type="http://schemas.openxmlformats.org/officeDocument/2006/relationships/hyperlink" Target="http://appliedai.de" TargetMode="External"/><Relationship Id="rId1178" Type="http://schemas.openxmlformats.org/officeDocument/2006/relationships/hyperlink" Target="http://attributy.de" TargetMode="External"/><Relationship Id="rId584" Type="http://schemas.openxmlformats.org/officeDocument/2006/relationships/hyperlink" Target="https://www.appliedai.de/en/" TargetMode="External"/><Relationship Id="rId1179" Type="http://schemas.openxmlformats.org/officeDocument/2006/relationships/hyperlink" Target="https://www.aufgesang.de/" TargetMode="External"/><Relationship Id="rId1169" Type="http://schemas.openxmlformats.org/officeDocument/2006/relationships/hyperlink" Target="https://aio.com.ai/blog/13944-best-seo-companies-in-germany-ai-optimized" TargetMode="External"/><Relationship Id="rId579" Type="http://schemas.openxmlformats.org/officeDocument/2006/relationships/hyperlink" Target="http://semrush.com" TargetMode="External"/><Relationship Id="rId578" Type="http://schemas.openxmlformats.org/officeDocument/2006/relationships/hyperlink" Target="https://agencies.semrush.com/list/display-advertising/germany/mid-business/" TargetMode="External"/><Relationship Id="rId577" Type="http://schemas.openxmlformats.org/officeDocument/2006/relationships/hyperlink" Target="http://aeodirectory.com" TargetMode="External"/><Relationship Id="rId2490" Type="http://schemas.openxmlformats.org/officeDocument/2006/relationships/hyperlink" Target="http://media-marketing.com" TargetMode="External"/><Relationship Id="rId1160" Type="http://schemas.openxmlformats.org/officeDocument/2006/relationships/hyperlink" Target="http://semrush.com" TargetMode="External"/><Relationship Id="rId2491" Type="http://schemas.openxmlformats.org/officeDocument/2006/relationships/hyperlink" Target="https://mediagroupww.com/de/" TargetMode="External"/><Relationship Id="rId572" Type="http://schemas.openxmlformats.org/officeDocument/2006/relationships/hyperlink" Target="https://aeo-copilot.com/partners/agencies/germany/frankfurt" TargetMode="External"/><Relationship Id="rId1161" Type="http://schemas.openxmlformats.org/officeDocument/2006/relationships/hyperlink" Target="https://agencies.semrush.com/list/marketing-strategy/germany/" TargetMode="External"/><Relationship Id="rId2492" Type="http://schemas.openxmlformats.org/officeDocument/2006/relationships/hyperlink" Target="http://mediagroupww.com" TargetMode="External"/><Relationship Id="rId571" Type="http://schemas.openxmlformats.org/officeDocument/2006/relationships/hyperlink" Target="http://aeo-copilot.com" TargetMode="External"/><Relationship Id="rId1162" Type="http://schemas.openxmlformats.org/officeDocument/2006/relationships/hyperlink" Target="http://semrush.com" TargetMode="External"/><Relationship Id="rId2493" Type="http://schemas.openxmlformats.org/officeDocument/2006/relationships/hyperlink" Target="https://www.medianug.com/blog/10-paid-media-agencies-to-elevate-your-marketing-strategy-in-2026" TargetMode="External"/><Relationship Id="rId570" Type="http://schemas.openxmlformats.org/officeDocument/2006/relationships/hyperlink" Target="https://aeo-copilot.com/partners/agencies/germany/berlin" TargetMode="External"/><Relationship Id="rId1163" Type="http://schemas.openxmlformats.org/officeDocument/2006/relationships/hyperlink" Target="https://agencyvista.com/lists/google-marketing-platform-sales-partners/page/2/" TargetMode="External"/><Relationship Id="rId2494" Type="http://schemas.openxmlformats.org/officeDocument/2006/relationships/hyperlink" Target="http://medianug.com" TargetMode="External"/><Relationship Id="rId1164" Type="http://schemas.openxmlformats.org/officeDocument/2006/relationships/hyperlink" Target="http://agencyvista.com" TargetMode="External"/><Relationship Id="rId2495" Type="http://schemas.openxmlformats.org/officeDocument/2006/relationships/hyperlink" Target="https://meedia.de/news/beitrag/18957-bvdw-ranking-das-sind-die-kreativsten-agenturen-kampagnen-und-marken.html" TargetMode="External"/><Relationship Id="rId576" Type="http://schemas.openxmlformats.org/officeDocument/2006/relationships/hyperlink" Target="https://www.aeodirectory.com/aeo/search/?country=Germany&amp;order_by=registered_country_name&amp;page=33" TargetMode="External"/><Relationship Id="rId1165" Type="http://schemas.openxmlformats.org/officeDocument/2006/relationships/hyperlink" Target="https://agenturjobs.de/beste-marketing-agenturen-deutschland-2026/" TargetMode="External"/><Relationship Id="rId2496" Type="http://schemas.openxmlformats.org/officeDocument/2006/relationships/hyperlink" Target="http://meedia.de" TargetMode="External"/><Relationship Id="rId575" Type="http://schemas.openxmlformats.org/officeDocument/2006/relationships/hyperlink" Target="http://aeodirectory.com" TargetMode="External"/><Relationship Id="rId1166" Type="http://schemas.openxmlformats.org/officeDocument/2006/relationships/hyperlink" Target="http://agenturjobs.de" TargetMode="External"/><Relationship Id="rId2497" Type="http://schemas.openxmlformats.org/officeDocument/2006/relationships/hyperlink" Target="https://www.mercurymediatechnology.com/de/marketing-measurement-mmm/" TargetMode="External"/><Relationship Id="rId574" Type="http://schemas.openxmlformats.org/officeDocument/2006/relationships/hyperlink" Target="https://www.aeodirectory.com/aeo/search/?country=Germany&amp;order_by=industry_sector&amp;page=162" TargetMode="External"/><Relationship Id="rId1167" Type="http://schemas.openxmlformats.org/officeDocument/2006/relationships/hyperlink" Target="https://www.ai-heroes.co/en-us/blog/best-ai-search-agencies-2026" TargetMode="External"/><Relationship Id="rId2498" Type="http://schemas.openxmlformats.org/officeDocument/2006/relationships/hyperlink" Target="http://mercurymediatechnology.com" TargetMode="External"/><Relationship Id="rId573" Type="http://schemas.openxmlformats.org/officeDocument/2006/relationships/hyperlink" Target="http://aeo-copilot.com" TargetMode="External"/><Relationship Id="rId1168" Type="http://schemas.openxmlformats.org/officeDocument/2006/relationships/hyperlink" Target="http://ai-heroes.co" TargetMode="External"/><Relationship Id="rId2499" Type="http://schemas.openxmlformats.org/officeDocument/2006/relationships/hyperlink" Target="https://www.mercurymediatechnology.com/en/marketing-measurement-mmm/" TargetMode="External"/><Relationship Id="rId1190" Type="http://schemas.openxmlformats.org/officeDocument/2006/relationships/hyperlink" Target="http://bonanza-studios.com" TargetMode="External"/><Relationship Id="rId1191" Type="http://schemas.openxmlformats.org/officeDocument/2006/relationships/hyperlink" Target="https://business.google.com/uk/think/measurement/incrementality-testing/" TargetMode="External"/><Relationship Id="rId1192" Type="http://schemas.openxmlformats.org/officeDocument/2006/relationships/hyperlink" Target="http://google.com" TargetMode="External"/><Relationship Id="rId1193" Type="http://schemas.openxmlformats.org/officeDocument/2006/relationships/hyperlink" Target="https://business.google.com/us/think/measurement/incrementality-testing/" TargetMode="External"/><Relationship Id="rId1194" Type="http://schemas.openxmlformats.org/officeDocument/2006/relationships/hyperlink" Target="http://google.com" TargetMode="External"/><Relationship Id="rId1195" Type="http://schemas.openxmlformats.org/officeDocument/2006/relationships/hyperlink" Target="https://www.businessinsider.com/ai-consulting-mckinsey-pwc-deloitte-bcg-kpmg-accenture-ey-ibm-2026-5" TargetMode="External"/><Relationship Id="rId1196" Type="http://schemas.openxmlformats.org/officeDocument/2006/relationships/hyperlink" Target="http://businessinsider.com" TargetMode="External"/><Relationship Id="rId1197" Type="http://schemas.openxmlformats.org/officeDocument/2006/relationships/hyperlink" Target="https://www.businessinsider.com/ai-search-reshapes-seo-fueling-geo-gold-rush-2025-11" TargetMode="External"/><Relationship Id="rId1198" Type="http://schemas.openxmlformats.org/officeDocument/2006/relationships/hyperlink" Target="http://businessinsider.com" TargetMode="External"/><Relationship Id="rId1199" Type="http://schemas.openxmlformats.org/officeDocument/2006/relationships/hyperlink" Target="https://www.bvdw.org/rankings/internetagentur-ranking-2025/" TargetMode="External"/><Relationship Id="rId599" Type="http://schemas.openxmlformats.org/officeDocument/2006/relationships/hyperlink" Target="http://feedbax.ai" TargetMode="External"/><Relationship Id="rId1180" Type="http://schemas.openxmlformats.org/officeDocument/2006/relationships/hyperlink" Target="http://aufgesang.de" TargetMode="External"/><Relationship Id="rId1181" Type="http://schemas.openxmlformats.org/officeDocument/2006/relationships/hyperlink" Target="https://www.axios.com/2025/01/07/new-groupm-ceo-unveils-5-year-plan" TargetMode="External"/><Relationship Id="rId1182" Type="http://schemas.openxmlformats.org/officeDocument/2006/relationships/hyperlink" Target="http://axios.com" TargetMode="External"/><Relationship Id="rId594" Type="http://schemas.openxmlformats.org/officeDocument/2006/relationships/hyperlink" Target="https://ecosystem.hubspot.com/de/marketplace/solutions/marketing-services/germany" TargetMode="External"/><Relationship Id="rId1183" Type="http://schemas.openxmlformats.org/officeDocument/2006/relationships/hyperlink" Target="https://www.ayautomate.com/blog/best-ai-automation-agencies" TargetMode="External"/><Relationship Id="rId593" Type="http://schemas.openxmlformats.org/officeDocument/2006/relationships/hyperlink" Target="http://deducive.com" TargetMode="External"/><Relationship Id="rId1184" Type="http://schemas.openxmlformats.org/officeDocument/2006/relationships/hyperlink" Target="http://ayautomate.com" TargetMode="External"/><Relationship Id="rId592" Type="http://schemas.openxmlformats.org/officeDocument/2006/relationships/hyperlink" Target="https://www.deducive.com/" TargetMode="External"/><Relationship Id="rId1185" Type="http://schemas.openxmlformats.org/officeDocument/2006/relationships/hyperlink" Target="https://www.baselinemix.com/" TargetMode="External"/><Relationship Id="rId591" Type="http://schemas.openxmlformats.org/officeDocument/2006/relationships/hyperlink" Target="http://convios.com" TargetMode="External"/><Relationship Id="rId1186" Type="http://schemas.openxmlformats.org/officeDocument/2006/relationships/hyperlink" Target="http://baselinemix.com" TargetMode="External"/><Relationship Id="rId598" Type="http://schemas.openxmlformats.org/officeDocument/2006/relationships/hyperlink" Target="https://feedbax.ai/geo-agencies/dach" TargetMode="External"/><Relationship Id="rId1187" Type="http://schemas.openxmlformats.org/officeDocument/2006/relationships/hyperlink" Target="https://betteranswer.ai/blogs/best-aeo-agencies" TargetMode="External"/><Relationship Id="rId597" Type="http://schemas.openxmlformats.org/officeDocument/2006/relationships/hyperlink" Target="http://ensun.io" TargetMode="External"/><Relationship Id="rId1188" Type="http://schemas.openxmlformats.org/officeDocument/2006/relationships/hyperlink" Target="http://betteranswer.ai" TargetMode="External"/><Relationship Id="rId596" Type="http://schemas.openxmlformats.org/officeDocument/2006/relationships/hyperlink" Target="https://ensun.io/search/display-advertising/germany" TargetMode="External"/><Relationship Id="rId1189" Type="http://schemas.openxmlformats.org/officeDocument/2006/relationships/hyperlink" Target="https://www.bonanza-studios.com/blog/10-best-branding-agencies-in-berlin-to-look-for-in-2025" TargetMode="External"/><Relationship Id="rId595" Type="http://schemas.openxmlformats.org/officeDocument/2006/relationships/hyperlink" Target="http://hubspot.com" TargetMode="External"/><Relationship Id="rId1136" Type="http://schemas.openxmlformats.org/officeDocument/2006/relationships/hyperlink" Target="http://visionone.co.uk" TargetMode="External"/><Relationship Id="rId2467" Type="http://schemas.openxmlformats.org/officeDocument/2006/relationships/hyperlink" Target="https://www.marketing-boerse.de/news/details/2513-bvdw-kreativranking-2024-neue-gewinner-grosse-verlierer/200049" TargetMode="External"/><Relationship Id="rId1137" Type="http://schemas.openxmlformats.org/officeDocument/2006/relationships/hyperlink" Target="https://www.weber-media.com/en/ai-seo-agentur" TargetMode="External"/><Relationship Id="rId2468" Type="http://schemas.openxmlformats.org/officeDocument/2006/relationships/hyperlink" Target="http://marketing-boerse.de" TargetMode="External"/><Relationship Id="rId1138" Type="http://schemas.openxmlformats.org/officeDocument/2006/relationships/hyperlink" Target="http://weber-media.com" TargetMode="External"/><Relationship Id="rId2469" Type="http://schemas.openxmlformats.org/officeDocument/2006/relationships/hyperlink" Target="https://www.marketing-boerse.de/news/details/2611-bvdw-kreativranking-2025-serviceplan-bleibt-spitzenreiter/204252" TargetMode="External"/><Relationship Id="rId1139" Type="http://schemas.openxmlformats.org/officeDocument/2006/relationships/hyperlink" Target="https://ycp.com/lp/germany-digital-marketing-consulting" TargetMode="External"/><Relationship Id="rId547" Type="http://schemas.openxmlformats.org/officeDocument/2006/relationships/hyperlink" Target="http://onetoone.de" TargetMode="External"/><Relationship Id="rId546" Type="http://schemas.openxmlformats.org/officeDocument/2006/relationships/hyperlink" Target="https://www.onetoone.de/performance-ranking/performance_2024.html?sub=5" TargetMode="External"/><Relationship Id="rId545" Type="http://schemas.openxmlformats.org/officeDocument/2006/relationships/hyperlink" Target="http://onetoone.de" TargetMode="External"/><Relationship Id="rId544" Type="http://schemas.openxmlformats.org/officeDocument/2006/relationships/hyperlink" Target="https://www.onetoone.de/performance-ranking/performance_2024.html?sub=2" TargetMode="External"/><Relationship Id="rId549" Type="http://schemas.openxmlformats.org/officeDocument/2006/relationships/hyperlink" Target="http://ratter-consulting.com" TargetMode="External"/><Relationship Id="rId548" Type="http://schemas.openxmlformats.org/officeDocument/2006/relationships/hyperlink" Target="https://www.ratter-consulting.com/" TargetMode="External"/><Relationship Id="rId2460" Type="http://schemas.openxmlformats.org/officeDocument/2006/relationships/hyperlink" Target="http://makingscience.com" TargetMode="External"/><Relationship Id="rId1130" Type="http://schemas.openxmlformats.org/officeDocument/2006/relationships/hyperlink" Target="http://themanifest.com" TargetMode="External"/><Relationship Id="rId2461" Type="http://schemas.openxmlformats.org/officeDocument/2006/relationships/hyperlink" Target="https://www.makingscience.de/" TargetMode="External"/><Relationship Id="rId1131" Type="http://schemas.openxmlformats.org/officeDocument/2006/relationships/hyperlink" Target="https://toolbox.humandeluxe.com/best-design-studios/" TargetMode="External"/><Relationship Id="rId2462" Type="http://schemas.openxmlformats.org/officeDocument/2006/relationships/hyperlink" Target="http://makingscience.de" TargetMode="External"/><Relationship Id="rId543" Type="http://schemas.openxmlformats.org/officeDocument/2006/relationships/hyperlink" Target="http://omr.com" TargetMode="External"/><Relationship Id="rId1132" Type="http://schemas.openxmlformats.org/officeDocument/2006/relationships/hyperlink" Target="http://humandeluxe.com" TargetMode="External"/><Relationship Id="rId2463" Type="http://schemas.openxmlformats.org/officeDocument/2006/relationships/hyperlink" Target="https://www.manyreach.com/agency/top-10-cold-email-lead-generation-agencies" TargetMode="External"/><Relationship Id="rId542" Type="http://schemas.openxmlformats.org/officeDocument/2006/relationships/hyperlink" Target="https://omr.com/en/reviews/service-category/performance-marketing-agenturen" TargetMode="External"/><Relationship Id="rId1133" Type="http://schemas.openxmlformats.org/officeDocument/2006/relationships/hyperlink" Target="https://www.topseobrands.com/de/best-display-advertising-firms-in-germany" TargetMode="External"/><Relationship Id="rId2464" Type="http://schemas.openxmlformats.org/officeDocument/2006/relationships/hyperlink" Target="http://manyreach.com" TargetMode="External"/><Relationship Id="rId541" Type="http://schemas.openxmlformats.org/officeDocument/2006/relationships/hyperlink" Target="http://lifesight.io" TargetMode="External"/><Relationship Id="rId1134" Type="http://schemas.openxmlformats.org/officeDocument/2006/relationships/hyperlink" Target="http://topseobrands.com" TargetMode="External"/><Relationship Id="rId2465" Type="http://schemas.openxmlformats.org/officeDocument/2006/relationships/hyperlink" Target="https://marketerhire.com/blog/ai-content-marketing-tools" TargetMode="External"/><Relationship Id="rId540" Type="http://schemas.openxmlformats.org/officeDocument/2006/relationships/hyperlink" Target="https://lifesight.io/blog/best-incrementality-testing-tools/" TargetMode="External"/><Relationship Id="rId1135" Type="http://schemas.openxmlformats.org/officeDocument/2006/relationships/hyperlink" Target="https://visionone.co.uk/news/the-best-international-research-agencies/" TargetMode="External"/><Relationship Id="rId2466" Type="http://schemas.openxmlformats.org/officeDocument/2006/relationships/hyperlink" Target="http://marketerhire.com" TargetMode="External"/><Relationship Id="rId1125" Type="http://schemas.openxmlformats.org/officeDocument/2006/relationships/hyperlink" Target="https://thatware.co/top-10-llm-seo-companies-in-germany/" TargetMode="External"/><Relationship Id="rId2456" Type="http://schemas.openxmlformats.org/officeDocument/2006/relationships/hyperlink" Target="http://madgicx.com" TargetMode="External"/><Relationship Id="rId1126" Type="http://schemas.openxmlformats.org/officeDocument/2006/relationships/hyperlink" Target="http://thatware.co" TargetMode="External"/><Relationship Id="rId2457" Type="http://schemas.openxmlformats.org/officeDocument/2006/relationships/hyperlink" Target="https://www.magier.com/blog/best-creative-agency" TargetMode="External"/><Relationship Id="rId1127" Type="http://schemas.openxmlformats.org/officeDocument/2006/relationships/hyperlink" Target="https://themanifest.com/de/digital/agencies" TargetMode="External"/><Relationship Id="rId2458" Type="http://schemas.openxmlformats.org/officeDocument/2006/relationships/hyperlink" Target="http://magier.com" TargetMode="External"/><Relationship Id="rId1128" Type="http://schemas.openxmlformats.org/officeDocument/2006/relationships/hyperlink" Target="http://themanifest.com" TargetMode="External"/><Relationship Id="rId2459" Type="http://schemas.openxmlformats.org/officeDocument/2006/relationships/hyperlink" Target="https://www.makingscience.com/" TargetMode="External"/><Relationship Id="rId1129" Type="http://schemas.openxmlformats.org/officeDocument/2006/relationships/hyperlink" Target="https://themanifest.com/de/programmatic/agencies" TargetMode="External"/><Relationship Id="rId536" Type="http://schemas.openxmlformats.org/officeDocument/2006/relationships/hyperlink" Target="http://feedbax.ai" TargetMode="External"/><Relationship Id="rId535" Type="http://schemas.openxmlformats.org/officeDocument/2006/relationships/hyperlink" Target="https://feedbax.ai/creative-agencies/germany" TargetMode="External"/><Relationship Id="rId534" Type="http://schemas.openxmlformats.org/officeDocument/2006/relationships/hyperlink" Target="http://eichen.ai" TargetMode="External"/><Relationship Id="rId533" Type="http://schemas.openxmlformats.org/officeDocument/2006/relationships/hyperlink" Target="https://www.eichen.ai/" TargetMode="External"/><Relationship Id="rId539" Type="http://schemas.openxmlformats.org/officeDocument/2006/relationships/hyperlink" Target="http://ibusiness.de" TargetMode="External"/><Relationship Id="rId538" Type="http://schemas.openxmlformats.org/officeDocument/2006/relationships/hyperlink" Target="https://www.ibusiness.de/performance-ranking/performance_2023.html?sub=2" TargetMode="External"/><Relationship Id="rId537" Type="http://schemas.openxmlformats.org/officeDocument/2006/relationships/hyperlink" Target="https://www.hmz.technology/germany/ai-consulting" TargetMode="External"/><Relationship Id="rId2450" Type="http://schemas.openxmlformats.org/officeDocument/2006/relationships/hyperlink" Target="http://lyfemarketing.com" TargetMode="External"/><Relationship Id="rId1120" Type="http://schemas.openxmlformats.org/officeDocument/2006/relationships/hyperlink" Target="http://sourceforge.net" TargetMode="External"/><Relationship Id="rId2451" Type="http://schemas.openxmlformats.org/officeDocument/2006/relationships/hyperlink" Target="https://www.m-m-m.de/" TargetMode="External"/><Relationship Id="rId532" Type="http://schemas.openxmlformats.org/officeDocument/2006/relationships/hyperlink" Target="http://ecommercegermany.com" TargetMode="External"/><Relationship Id="rId1121" Type="http://schemas.openxmlformats.org/officeDocument/2006/relationships/hyperlink" Target="https://superspring.de/" TargetMode="External"/><Relationship Id="rId2452" Type="http://schemas.openxmlformats.org/officeDocument/2006/relationships/hyperlink" Target="http://m-m-m.de" TargetMode="External"/><Relationship Id="rId531" Type="http://schemas.openxmlformats.org/officeDocument/2006/relationships/hyperlink" Target="https://ecommercegermany.com/blog/ai-companies-in-germany/" TargetMode="External"/><Relationship Id="rId1122" Type="http://schemas.openxmlformats.org/officeDocument/2006/relationships/hyperlink" Target="http://superspring.de" TargetMode="External"/><Relationship Id="rId2453" Type="http://schemas.openxmlformats.org/officeDocument/2006/relationships/hyperlink" Target="https://madebyevoke.com/blog/top-web-design-agencies-berlin" TargetMode="External"/><Relationship Id="rId530" Type="http://schemas.openxmlformats.org/officeDocument/2006/relationships/hyperlink" Target="http://designrush.com" TargetMode="External"/><Relationship Id="rId1123" Type="http://schemas.openxmlformats.org/officeDocument/2006/relationships/hyperlink" Target="https://suxeedo.de/en/services/geo-agency/" TargetMode="External"/><Relationship Id="rId2454" Type="http://schemas.openxmlformats.org/officeDocument/2006/relationships/hyperlink" Target="http://madebyevoke.com" TargetMode="External"/><Relationship Id="rId1124" Type="http://schemas.openxmlformats.org/officeDocument/2006/relationships/hyperlink" Target="http://suxeedo.de" TargetMode="External"/><Relationship Id="rId2455" Type="http://schemas.openxmlformats.org/officeDocument/2006/relationships/hyperlink" Target="https://madgicx.com/blog/ai-powered-marketing-tools-performance-ads" TargetMode="External"/><Relationship Id="rId1158" Type="http://schemas.openxmlformats.org/officeDocument/2006/relationships/hyperlink" Target="http://semrush.com" TargetMode="External"/><Relationship Id="rId2489" Type="http://schemas.openxmlformats.org/officeDocument/2006/relationships/hyperlink" Target="https://www.media-marketing.com/en/news/the-global-and-regional-creative-rankings-of-the-one-club-for-2025-have-been-announced/" TargetMode="External"/><Relationship Id="rId1159" Type="http://schemas.openxmlformats.org/officeDocument/2006/relationships/hyperlink" Target="https://agencies.semrush.com/list/display-advertising/dusseldorf/" TargetMode="External"/><Relationship Id="rId569" Type="http://schemas.openxmlformats.org/officeDocument/2006/relationships/hyperlink" Target="http://youtube.com" TargetMode="External"/><Relationship Id="rId568" Type="http://schemas.openxmlformats.org/officeDocument/2006/relationships/hyperlink" Target="https://www.youtube.com/watch?v=4L7On3IGqKQ" TargetMode="External"/><Relationship Id="rId567" Type="http://schemas.openxmlformats.org/officeDocument/2006/relationships/hyperlink" Target="http://websenor.com" TargetMode="External"/><Relationship Id="rId566" Type="http://schemas.openxmlformats.org/officeDocument/2006/relationships/hyperlink" Target="https://websenor.com/top-10-ai-agencies-in-germany/" TargetMode="External"/><Relationship Id="rId2480" Type="http://schemas.openxmlformats.org/officeDocument/2006/relationships/hyperlink" Target="http://matchpointmedia.de" TargetMode="External"/><Relationship Id="rId561" Type="http://schemas.openxmlformats.org/officeDocument/2006/relationships/hyperlink" Target="http://google.com" TargetMode="External"/><Relationship Id="rId1150" Type="http://schemas.openxmlformats.org/officeDocument/2006/relationships/hyperlink" Target="http://adc.de" TargetMode="External"/><Relationship Id="rId2481" Type="http://schemas.openxmlformats.org/officeDocument/2006/relationships/hyperlink" Target="https://www.mawave.com/" TargetMode="External"/><Relationship Id="rId560" Type="http://schemas.openxmlformats.org/officeDocument/2006/relationships/hyperlink" Target="https://support.google.com/analytics/answer/7237700?hl=de" TargetMode="External"/><Relationship Id="rId1151" Type="http://schemas.openxmlformats.org/officeDocument/2006/relationships/hyperlink" Target="https://adspyder.io/blog/top-25-global-ad-agencies/" TargetMode="External"/><Relationship Id="rId2482" Type="http://schemas.openxmlformats.org/officeDocument/2006/relationships/hyperlink" Target="http://mawave.com" TargetMode="External"/><Relationship Id="rId1152" Type="http://schemas.openxmlformats.org/officeDocument/2006/relationships/hyperlink" Target="http://adspyder.io" TargetMode="External"/><Relationship Id="rId2483" Type="http://schemas.openxmlformats.org/officeDocument/2006/relationships/hyperlink" Target="https://www.measured.com/" TargetMode="External"/><Relationship Id="rId1153" Type="http://schemas.openxmlformats.org/officeDocument/2006/relationships/hyperlink" Target="https://agencies.semrush.com/list/analytics-data-science/germany/enterprise-business/" TargetMode="External"/><Relationship Id="rId2484" Type="http://schemas.openxmlformats.org/officeDocument/2006/relationships/hyperlink" Target="http://measured.com" TargetMode="External"/><Relationship Id="rId565" Type="http://schemas.openxmlformats.org/officeDocument/2006/relationships/hyperlink" Target="http://upliftgtm.com" TargetMode="External"/><Relationship Id="rId1154" Type="http://schemas.openxmlformats.org/officeDocument/2006/relationships/hyperlink" Target="http://semrush.com" TargetMode="External"/><Relationship Id="rId2485" Type="http://schemas.openxmlformats.org/officeDocument/2006/relationships/hyperlink" Target="https://www.measured.com/faq/top-11-best-media-mix-modeling-companies-software-for-2026/" TargetMode="External"/><Relationship Id="rId564" Type="http://schemas.openxmlformats.org/officeDocument/2006/relationships/hyperlink" Target="https://www.upliftgtm.com/blog/best-aeo-agencies" TargetMode="External"/><Relationship Id="rId1155" Type="http://schemas.openxmlformats.org/officeDocument/2006/relationships/hyperlink" Target="https://agencies.semrush.com/list/analytics-data-science/germany/mid-business/" TargetMode="External"/><Relationship Id="rId2486" Type="http://schemas.openxmlformats.org/officeDocument/2006/relationships/hyperlink" Target="http://measured.com" TargetMode="External"/><Relationship Id="rId563" Type="http://schemas.openxmlformats.org/officeDocument/2006/relationships/hyperlink" Target="http://thedrum.com" TargetMode="External"/><Relationship Id="rId1156" Type="http://schemas.openxmlformats.org/officeDocument/2006/relationships/hyperlink" Target="http://semrush.com" TargetMode="External"/><Relationship Id="rId2487" Type="http://schemas.openxmlformats.org/officeDocument/2006/relationships/hyperlink" Target="https://www.measured.com/faq/what-are-the-pros-and-cons-of-incrementality-testing-versus-mmm-or-mta/" TargetMode="External"/><Relationship Id="rId562" Type="http://schemas.openxmlformats.org/officeDocument/2006/relationships/hyperlink" Target="https://www.thedrum.com/news/serviceplan-reclaims-emea-agency-top-spot-in-2026-world-creative-rankings" TargetMode="External"/><Relationship Id="rId1157" Type="http://schemas.openxmlformats.org/officeDocument/2006/relationships/hyperlink" Target="https://agencies.semrush.com/list/data-visualization/germany/" TargetMode="External"/><Relationship Id="rId2488" Type="http://schemas.openxmlformats.org/officeDocument/2006/relationships/hyperlink" Target="http://measured.com" TargetMode="External"/><Relationship Id="rId1147" Type="http://schemas.openxmlformats.org/officeDocument/2006/relationships/hyperlink" Target="https://www.10seos.com/de/display-advertising-companies-in-germany?page=3" TargetMode="External"/><Relationship Id="rId2478" Type="http://schemas.openxmlformats.org/officeDocument/2006/relationships/hyperlink" Target="http://markt-kom.com" TargetMode="External"/><Relationship Id="rId1148" Type="http://schemas.openxmlformats.org/officeDocument/2006/relationships/hyperlink" Target="http://10seos.com" TargetMode="External"/><Relationship Id="rId2479" Type="http://schemas.openxmlformats.org/officeDocument/2006/relationships/hyperlink" Target="https://www.matchpointmedia.de/" TargetMode="External"/><Relationship Id="rId1149" Type="http://schemas.openxmlformats.org/officeDocument/2006/relationships/hyperlink" Target="https://www.adc.de/2024/12/05/adc-kreativranking-2024-serviceplan-auf-dem-ersten-platz/" TargetMode="External"/><Relationship Id="rId558" Type="http://schemas.openxmlformats.org/officeDocument/2006/relationships/hyperlink" Target="https://www.sortlist.com/s/sm-analytics/germany-de" TargetMode="External"/><Relationship Id="rId557" Type="http://schemas.openxmlformats.org/officeDocument/2006/relationships/hyperlink" Target="http://sortlist.com" TargetMode="External"/><Relationship Id="rId556" Type="http://schemas.openxmlformats.org/officeDocument/2006/relationships/hyperlink" Target="https://www.sortlist.com/s/marketing-analytics/frankfurt-he-de" TargetMode="External"/><Relationship Id="rId555" Type="http://schemas.openxmlformats.org/officeDocument/2006/relationships/hyperlink" Target="http://sortlist.com" TargetMode="External"/><Relationship Id="rId559" Type="http://schemas.openxmlformats.org/officeDocument/2006/relationships/hyperlink" Target="http://sortlist.com" TargetMode="External"/><Relationship Id="rId550" Type="http://schemas.openxmlformats.org/officeDocument/2006/relationships/hyperlink" Target="https://www.reddit.com/r/Superframeworks/comments/1twfxf1/10_best_ai_seo_geoaeo_agencies_for_2026_no/" TargetMode="External"/><Relationship Id="rId2470" Type="http://schemas.openxmlformats.org/officeDocument/2006/relationships/hyperlink" Target="http://marketing-boerse.de" TargetMode="External"/><Relationship Id="rId1140" Type="http://schemas.openxmlformats.org/officeDocument/2006/relationships/hyperlink" Target="http://ycp.com" TargetMode="External"/><Relationship Id="rId2471" Type="http://schemas.openxmlformats.org/officeDocument/2006/relationships/hyperlink" Target="https://marketinganalyticssummit.de/programm/2025/" TargetMode="External"/><Relationship Id="rId1141" Type="http://schemas.openxmlformats.org/officeDocument/2006/relationships/hyperlink" Target="https://www.youtube.com/watch?v=00C1PZt8bLw&amp;vl=en" TargetMode="External"/><Relationship Id="rId2472" Type="http://schemas.openxmlformats.org/officeDocument/2006/relationships/hyperlink" Target="http://marketinganalyticssummit.de" TargetMode="External"/><Relationship Id="rId1142" Type="http://schemas.openxmlformats.org/officeDocument/2006/relationships/hyperlink" Target="http://youtube.com" TargetMode="External"/><Relationship Id="rId2473" Type="http://schemas.openxmlformats.org/officeDocument/2006/relationships/hyperlink" Target="https://www.marketingattributionsoftware.com/" TargetMode="External"/><Relationship Id="rId554" Type="http://schemas.openxmlformats.org/officeDocument/2006/relationships/hyperlink" Target="https://www.sortlist.com/s/international-marketing/germany-de" TargetMode="External"/><Relationship Id="rId1143" Type="http://schemas.openxmlformats.org/officeDocument/2006/relationships/hyperlink" Target="https://zipdo.co/service/marketing-attribution/" TargetMode="External"/><Relationship Id="rId2474" Type="http://schemas.openxmlformats.org/officeDocument/2006/relationships/hyperlink" Target="http://marketingattributionsoftware.com" TargetMode="External"/><Relationship Id="rId553" Type="http://schemas.openxmlformats.org/officeDocument/2006/relationships/hyperlink" Target="http://sortlist.com" TargetMode="External"/><Relationship Id="rId1144" Type="http://schemas.openxmlformats.org/officeDocument/2006/relationships/hyperlink" Target="http://zipdo.co" TargetMode="External"/><Relationship Id="rId2475" Type="http://schemas.openxmlformats.org/officeDocument/2006/relationships/hyperlink" Target="https://marketingplatform.google.com/intl/de/about/" TargetMode="External"/><Relationship Id="rId552" Type="http://schemas.openxmlformats.org/officeDocument/2006/relationships/hyperlink" Target="https://www.sortlist.com/i/web-analytics/germany-de" TargetMode="External"/><Relationship Id="rId1145" Type="http://schemas.openxmlformats.org/officeDocument/2006/relationships/hyperlink" Target="https://www.ziya.de/en/locations/berlin" TargetMode="External"/><Relationship Id="rId2476" Type="http://schemas.openxmlformats.org/officeDocument/2006/relationships/hyperlink" Target="http://google.com" TargetMode="External"/><Relationship Id="rId551" Type="http://schemas.openxmlformats.org/officeDocument/2006/relationships/hyperlink" Target="http://reddit.com" TargetMode="External"/><Relationship Id="rId1146" Type="http://schemas.openxmlformats.org/officeDocument/2006/relationships/hyperlink" Target="http://ziya.de" TargetMode="External"/><Relationship Id="rId2477" Type="http://schemas.openxmlformats.org/officeDocument/2006/relationships/hyperlink" Target="https://www.markt-kom.com/en/dexat/adc-kreativranking-das-sind-deutschlands-top-agenturen/" TargetMode="External"/><Relationship Id="rId495" Type="http://schemas.openxmlformats.org/officeDocument/2006/relationships/hyperlink" Target="http://onetoone.de" TargetMode="External"/><Relationship Id="rId494" Type="http://schemas.openxmlformats.org/officeDocument/2006/relationships/hyperlink" Target="https://www.onetoone.de/performance-ranking/performance_2025.html?sub=11" TargetMode="External"/><Relationship Id="rId493" Type="http://schemas.openxmlformats.org/officeDocument/2006/relationships/hyperlink" Target="http://omr.com" TargetMode="External"/><Relationship Id="rId492" Type="http://schemas.openxmlformats.org/officeDocument/2006/relationships/hyperlink" Target="https://omr.com/de/reviews/service-category/geo-agenturen" TargetMode="External"/><Relationship Id="rId499" Type="http://schemas.openxmlformats.org/officeDocument/2006/relationships/hyperlink" Target="http://seeders.com" TargetMode="External"/><Relationship Id="rId498" Type="http://schemas.openxmlformats.org/officeDocument/2006/relationships/hyperlink" Target="https://seeders.com/blog/top-10-digital-pr-agencies-germany/" TargetMode="External"/><Relationship Id="rId497" Type="http://schemas.openxmlformats.org/officeDocument/2006/relationships/hyperlink" Target="http://promoguy.nl" TargetMode="External"/><Relationship Id="rId496" Type="http://schemas.openxmlformats.org/officeDocument/2006/relationships/hyperlink" Target="https://promoguy.nl/blog/2026/02/12/incrementality-testing-for-marketing-promotion/" TargetMode="External"/><Relationship Id="rId1213" Type="http://schemas.openxmlformats.org/officeDocument/2006/relationships/hyperlink" Target="http://clicksgeek.com" TargetMode="External"/><Relationship Id="rId2544" Type="http://schemas.openxmlformats.org/officeDocument/2006/relationships/hyperlink" Target="https://nealschaffer.com/ai-marketing-agency/" TargetMode="External"/><Relationship Id="rId1214" Type="http://schemas.openxmlformats.org/officeDocument/2006/relationships/hyperlink" Target="https://clutch.co/de/agencies/digital-marketing/ecommerce-industry/berlin" TargetMode="External"/><Relationship Id="rId2545" Type="http://schemas.openxmlformats.org/officeDocument/2006/relationships/hyperlink" Target="http://nealschaffer.com" TargetMode="External"/><Relationship Id="rId1215" Type="http://schemas.openxmlformats.org/officeDocument/2006/relationships/hyperlink" Target="http://clutch.co" TargetMode="External"/><Relationship Id="rId2546" Type="http://schemas.openxmlformats.org/officeDocument/2006/relationships/hyperlink" Target="https://nealschaffer.com/digital-marketing-agencies/" TargetMode="External"/><Relationship Id="rId1216" Type="http://schemas.openxmlformats.org/officeDocument/2006/relationships/hyperlink" Target="https://clutch.co/de/agencies/digital-marketing/munich" TargetMode="External"/><Relationship Id="rId2547" Type="http://schemas.openxmlformats.org/officeDocument/2006/relationships/hyperlink" Target="http://nealschaffer.com" TargetMode="External"/><Relationship Id="rId1217" Type="http://schemas.openxmlformats.org/officeDocument/2006/relationships/hyperlink" Target="http://clutch.co" TargetMode="External"/><Relationship Id="rId2548" Type="http://schemas.openxmlformats.org/officeDocument/2006/relationships/hyperlink" Target="https://nepa.com/ready-to-move-beyond-network-agencies/" TargetMode="External"/><Relationship Id="rId1218" Type="http://schemas.openxmlformats.org/officeDocument/2006/relationships/hyperlink" Target="https://clutch.co/de/agencies/social-media-marketing/tik-tok" TargetMode="External"/><Relationship Id="rId2549" Type="http://schemas.openxmlformats.org/officeDocument/2006/relationships/hyperlink" Target="http://nepa.com" TargetMode="External"/><Relationship Id="rId1219" Type="http://schemas.openxmlformats.org/officeDocument/2006/relationships/hyperlink" Target="http://clutch.co" TargetMode="External"/><Relationship Id="rId2540" Type="http://schemas.openxmlformats.org/officeDocument/2006/relationships/hyperlink" Target="https://www.munro.agency/top-marketing-data-science-agencies/" TargetMode="External"/><Relationship Id="rId1210" Type="http://schemas.openxmlformats.org/officeDocument/2006/relationships/hyperlink" Target="https://clicksgeek.com/best-roi-digital-marketing-agencies/" TargetMode="External"/><Relationship Id="rId2541" Type="http://schemas.openxmlformats.org/officeDocument/2006/relationships/hyperlink" Target="https://www.nakoa.digital/ergebnisse/partner/incubeta/" TargetMode="External"/><Relationship Id="rId1211" Type="http://schemas.openxmlformats.org/officeDocument/2006/relationships/hyperlink" Target="http://clicksgeek.com" TargetMode="External"/><Relationship Id="rId2542" Type="http://schemas.openxmlformats.org/officeDocument/2006/relationships/hyperlink" Target="https://nativz.io/best-ai-seo-tools-2025-top-10-platforms-for-aeo-chatgpt-llm-visibility/" TargetMode="External"/><Relationship Id="rId1212" Type="http://schemas.openxmlformats.org/officeDocument/2006/relationships/hyperlink" Target="https://clicksgeek.com/best-roi-focused-marketing-agencies/" TargetMode="External"/><Relationship Id="rId2543" Type="http://schemas.openxmlformats.org/officeDocument/2006/relationships/hyperlink" Target="http://nativz.io" TargetMode="External"/><Relationship Id="rId1202" Type="http://schemas.openxmlformats.org/officeDocument/2006/relationships/hyperlink" Target="http://cabinco.com" TargetMode="External"/><Relationship Id="rId2533" Type="http://schemas.openxmlformats.org/officeDocument/2006/relationships/hyperlink" Target="https://www.more-fire.com/en/seo-agency/" TargetMode="External"/><Relationship Id="rId1203" Type="http://schemas.openxmlformats.org/officeDocument/2006/relationships/hyperlink" Target="https://www.capterra.com.de/directory/31081/marketing-attribution/software" TargetMode="External"/><Relationship Id="rId2534" Type="http://schemas.openxmlformats.org/officeDocument/2006/relationships/hyperlink" Target="http://more-fire.com" TargetMode="External"/><Relationship Id="rId1204" Type="http://schemas.openxmlformats.org/officeDocument/2006/relationships/hyperlink" Target="http://com.de" TargetMode="External"/><Relationship Id="rId2535" Type="http://schemas.openxmlformats.org/officeDocument/2006/relationships/hyperlink" Target="https://most2414.com/insights-ai-agents/" TargetMode="External"/><Relationship Id="rId1205" Type="http://schemas.openxmlformats.org/officeDocument/2006/relationships/hyperlink" Target="https://career.trkkn.com/jobs/8025042-client-partner-f-m-d-google-marketing-cloud" TargetMode="External"/><Relationship Id="rId2536" Type="http://schemas.openxmlformats.org/officeDocument/2006/relationships/hyperlink" Target="http://most2414.com" TargetMode="External"/><Relationship Id="rId1206" Type="http://schemas.openxmlformats.org/officeDocument/2006/relationships/hyperlink" Target="http://trkkn.com" TargetMode="External"/><Relationship Id="rId2537" Type="http://schemas.openxmlformats.org/officeDocument/2006/relationships/hyperlink" Target="https://multishoring.com/services/google-bi-and-bigquery-consulting/" TargetMode="External"/><Relationship Id="rId1207" Type="http://schemas.openxmlformats.org/officeDocument/2006/relationships/hyperlink" Target="https://www.cassandra.app/prices" TargetMode="External"/><Relationship Id="rId2538" Type="http://schemas.openxmlformats.org/officeDocument/2006/relationships/hyperlink" Target="http://multishoring.com" TargetMode="External"/><Relationship Id="rId1208" Type="http://schemas.openxmlformats.org/officeDocument/2006/relationships/hyperlink" Target="https://cieden.com/ai-strategy-consulting" TargetMode="External"/><Relationship Id="rId2539" Type="http://schemas.openxmlformats.org/officeDocument/2006/relationships/hyperlink" Target="https://www.munro.agency/top-10-paid-media-agencies/" TargetMode="External"/><Relationship Id="rId1209" Type="http://schemas.openxmlformats.org/officeDocument/2006/relationships/hyperlink" Target="http://cieden.com" TargetMode="External"/><Relationship Id="rId2530" Type="http://schemas.openxmlformats.org/officeDocument/2006/relationships/hyperlink" Target="http://monks.com" TargetMode="External"/><Relationship Id="rId1200" Type="http://schemas.openxmlformats.org/officeDocument/2006/relationships/hyperlink" Target="http://bvdw.org" TargetMode="External"/><Relationship Id="rId2531" Type="http://schemas.openxmlformats.org/officeDocument/2006/relationships/hyperlink" Target="https://www.more-fire.com/en/" TargetMode="External"/><Relationship Id="rId1201" Type="http://schemas.openxmlformats.org/officeDocument/2006/relationships/hyperlink" Target="https://cabinco.com/best-ai-consulting-firms/" TargetMode="External"/><Relationship Id="rId2532" Type="http://schemas.openxmlformats.org/officeDocument/2006/relationships/hyperlink" Target="http://more-fire.com" TargetMode="External"/><Relationship Id="rId1235" Type="http://schemas.openxmlformats.org/officeDocument/2006/relationships/hyperlink" Target="http://pr-journal.de" TargetMode="External"/><Relationship Id="rId2566" Type="http://schemas.openxmlformats.org/officeDocument/2006/relationships/hyperlink" Target="http://ninjapromo.io" TargetMode="External"/><Relationship Id="rId1236" Type="http://schemas.openxmlformats.org/officeDocument/2006/relationships/hyperlink" Target="https://dcberlin.com/en/ai-innovation/" TargetMode="External"/><Relationship Id="rId2567" Type="http://schemas.openxmlformats.org/officeDocument/2006/relationships/hyperlink" Target="https://www.nion-answers.com/" TargetMode="External"/><Relationship Id="rId1237" Type="http://schemas.openxmlformats.org/officeDocument/2006/relationships/hyperlink" Target="http://dcberlin.com" TargetMode="External"/><Relationship Id="rId2568" Type="http://schemas.openxmlformats.org/officeDocument/2006/relationships/hyperlink" Target="http://nion-answers.com" TargetMode="External"/><Relationship Id="rId1238" Type="http://schemas.openxmlformats.org/officeDocument/2006/relationships/hyperlink" Target="https://de.linkedin.com/company/bbdo-holding-germany" TargetMode="External"/><Relationship Id="rId2569" Type="http://schemas.openxmlformats.org/officeDocument/2006/relationships/hyperlink" Target="https://nogood.io/blog/performance-marketing-agencies/" TargetMode="External"/><Relationship Id="rId1239" Type="http://schemas.openxmlformats.org/officeDocument/2006/relationships/hyperlink" Target="http://linkedin.com" TargetMode="External"/><Relationship Id="rId409" Type="http://schemas.openxmlformats.org/officeDocument/2006/relationships/hyperlink" Target="http://gaper.io" TargetMode="External"/><Relationship Id="rId404" Type="http://schemas.openxmlformats.org/officeDocument/2006/relationships/hyperlink" Target="https://www.dreikon.de/en/services/seo-agency/geo/" TargetMode="External"/><Relationship Id="rId403" Type="http://schemas.openxmlformats.org/officeDocument/2006/relationships/hyperlink" Target="http://dreikon.de" TargetMode="External"/><Relationship Id="rId402" Type="http://schemas.openxmlformats.org/officeDocument/2006/relationships/hyperlink" Target="https://www.dreikon.de/en/news/online-marketing-knowledge/top-10-google-ads-agencies/" TargetMode="External"/><Relationship Id="rId401" Type="http://schemas.openxmlformats.org/officeDocument/2006/relationships/hyperlink" Target="http://clutch.co" TargetMode="External"/><Relationship Id="rId408" Type="http://schemas.openxmlformats.org/officeDocument/2006/relationships/hyperlink" Target="https://gaper.io/best-aeo-agencies" TargetMode="External"/><Relationship Id="rId407" Type="http://schemas.openxmlformats.org/officeDocument/2006/relationships/hyperlink" Target="http://founderpal.ai" TargetMode="External"/><Relationship Id="rId406" Type="http://schemas.openxmlformats.org/officeDocument/2006/relationships/hyperlink" Target="https://founderpal.ai/best-marketing-agencies/germany" TargetMode="External"/><Relationship Id="rId405" Type="http://schemas.openxmlformats.org/officeDocument/2006/relationships/hyperlink" Target="http://dreikon.de" TargetMode="External"/><Relationship Id="rId2560" Type="http://schemas.openxmlformats.org/officeDocument/2006/relationships/hyperlink" Target="https://newage.agency/en/our-services/google-marketing-platform-partner/" TargetMode="External"/><Relationship Id="rId1230" Type="http://schemas.openxmlformats.org/officeDocument/2006/relationships/hyperlink" Target="https://www.dall-int.com/family/peak-ace-ag/" TargetMode="External"/><Relationship Id="rId2561" Type="http://schemas.openxmlformats.org/officeDocument/2006/relationships/hyperlink" Target="https://www.nielsen.com/about-us/locations/germany/" TargetMode="External"/><Relationship Id="rId400" Type="http://schemas.openxmlformats.org/officeDocument/2006/relationships/hyperlink" Target="https://clutch.co/de/consulting/ai?page=1" TargetMode="External"/><Relationship Id="rId1231" Type="http://schemas.openxmlformats.org/officeDocument/2006/relationships/hyperlink" Target="http://dall-int.com" TargetMode="External"/><Relationship Id="rId2562" Type="http://schemas.openxmlformats.org/officeDocument/2006/relationships/hyperlink" Target="http://nielsen.com" TargetMode="External"/><Relationship Id="rId1232" Type="http://schemas.openxmlformats.org/officeDocument/2006/relationships/hyperlink" Target="https://dataciders.com/en/" TargetMode="External"/><Relationship Id="rId2563" Type="http://schemas.openxmlformats.org/officeDocument/2006/relationships/hyperlink" Target="https://www.nikaconsulting.co.nz/advertising-agencies-auckland/" TargetMode="External"/><Relationship Id="rId1233" Type="http://schemas.openxmlformats.org/officeDocument/2006/relationships/hyperlink" Target="http://dataciders.com" TargetMode="External"/><Relationship Id="rId2564" Type="http://schemas.openxmlformats.org/officeDocument/2006/relationships/hyperlink" Target="http://nikaconsulting.co.nz" TargetMode="External"/><Relationship Id="rId1234" Type="http://schemas.openxmlformats.org/officeDocument/2006/relationships/hyperlink" Target="https://datenbanken.pr-journal.de/pr-agenturrankings/kreativ-ranking.html" TargetMode="External"/><Relationship Id="rId2565" Type="http://schemas.openxmlformats.org/officeDocument/2006/relationships/hyperlink" Target="https://ninjapromo.io/best-ai-marketing-agencies" TargetMode="External"/><Relationship Id="rId1224" Type="http://schemas.openxmlformats.org/officeDocument/2006/relationships/hyperlink" Target="https://www.cometly.com/post/marketing-attribution-tools-for-agencies" TargetMode="External"/><Relationship Id="rId2555" Type="http://schemas.openxmlformats.org/officeDocument/2006/relationships/hyperlink" Target="http://neuhandeln.de" TargetMode="External"/><Relationship Id="rId1225" Type="http://schemas.openxmlformats.org/officeDocument/2006/relationships/hyperlink" Target="http://cometly.com" TargetMode="External"/><Relationship Id="rId2556" Type="http://schemas.openxmlformats.org/officeDocument/2006/relationships/hyperlink" Target="https://www.neuhandeln.de/performance-ranking/performance_2022.html" TargetMode="External"/><Relationship Id="rId1226" Type="http://schemas.openxmlformats.org/officeDocument/2006/relationships/hyperlink" Target="https://www.comparisonshoppingpartners.withgoogle.com/find_a_partner/" TargetMode="External"/><Relationship Id="rId2557" Type="http://schemas.openxmlformats.org/officeDocument/2006/relationships/hyperlink" Target="http://neuhandeln.de" TargetMode="External"/><Relationship Id="rId1227" Type="http://schemas.openxmlformats.org/officeDocument/2006/relationships/hyperlink" Target="http://withgoogle.com" TargetMode="External"/><Relationship Id="rId2558" Type="http://schemas.openxmlformats.org/officeDocument/2006/relationships/hyperlink" Target="https://www.neuhandeln.de/performance-ranking/performance_2024.html?sub=18" TargetMode="External"/><Relationship Id="rId1228" Type="http://schemas.openxmlformats.org/officeDocument/2006/relationships/hyperlink" Target="https://www.consult.tv/measuring-what-matters-a-c-suite-guide-to-incrementality-testing-in-programmatic-advertising/" TargetMode="External"/><Relationship Id="rId2559" Type="http://schemas.openxmlformats.org/officeDocument/2006/relationships/hyperlink" Target="http://neuhandeln.de" TargetMode="External"/><Relationship Id="rId1229" Type="http://schemas.openxmlformats.org/officeDocument/2006/relationships/hyperlink" Target="http://consult.tv" TargetMode="External"/><Relationship Id="rId2550" Type="http://schemas.openxmlformats.org/officeDocument/2006/relationships/hyperlink" Target="https://www.networkgain.com/services/enterprise-ai-readiness-adoption/" TargetMode="External"/><Relationship Id="rId1220" Type="http://schemas.openxmlformats.org/officeDocument/2006/relationships/hyperlink" Target="https://clutch.co/de/it-services/analytics" TargetMode="External"/><Relationship Id="rId2551" Type="http://schemas.openxmlformats.org/officeDocument/2006/relationships/hyperlink" Target="http://networkgain.com" TargetMode="External"/><Relationship Id="rId1221" Type="http://schemas.openxmlformats.org/officeDocument/2006/relationships/hyperlink" Target="http://clutch.co" TargetMode="External"/><Relationship Id="rId2552" Type="http://schemas.openxmlformats.org/officeDocument/2006/relationships/hyperlink" Target="https://www.neuhandeln.de/internetagentur-ranking/ranking_2025.html" TargetMode="External"/><Relationship Id="rId1222" Type="http://schemas.openxmlformats.org/officeDocument/2006/relationships/hyperlink" Target="https://cmmodels.com/10-fashion-advertising-agencies-in-germany/" TargetMode="External"/><Relationship Id="rId2553" Type="http://schemas.openxmlformats.org/officeDocument/2006/relationships/hyperlink" Target="http://neuhandeln.de" TargetMode="External"/><Relationship Id="rId1223" Type="http://schemas.openxmlformats.org/officeDocument/2006/relationships/hyperlink" Target="http://cmmodels.com" TargetMode="External"/><Relationship Id="rId2554" Type="http://schemas.openxmlformats.org/officeDocument/2006/relationships/hyperlink" Target="https://www.neuhandeln.de/performance-ranking/performance_2021" TargetMode="External"/><Relationship Id="rId2500" Type="http://schemas.openxmlformats.org/officeDocument/2006/relationships/hyperlink" Target="http://mercurymediatechnology.com" TargetMode="External"/><Relationship Id="rId2501" Type="http://schemas.openxmlformats.org/officeDocument/2006/relationships/hyperlink" Target="https://www.merkle.com/en/about-us/partnerships/google.html" TargetMode="External"/><Relationship Id="rId2502" Type="http://schemas.openxmlformats.org/officeDocument/2006/relationships/hyperlink" Target="http://merkle.com" TargetMode="External"/><Relationship Id="rId2503" Type="http://schemas.openxmlformats.org/officeDocument/2006/relationships/hyperlink" Target="https://metehan.ai/articles/best-aeo-geo-agencies/" TargetMode="External"/><Relationship Id="rId2504" Type="http://schemas.openxmlformats.org/officeDocument/2006/relationships/hyperlink" Target="http://metehan.ai" TargetMode="External"/><Relationship Id="rId2505" Type="http://schemas.openxmlformats.org/officeDocument/2006/relationships/hyperlink" Target="https://www.mindmelt.de/en/projects/it-consulting/" TargetMode="External"/><Relationship Id="rId2506" Type="http://schemas.openxmlformats.org/officeDocument/2006/relationships/hyperlink" Target="http://mindmelt.de" TargetMode="External"/><Relationship Id="rId2507" Type="http://schemas.openxmlformats.org/officeDocument/2006/relationships/hyperlink" Target="https://www.mindmelt.de/en/services/web-design/generative-engine-optimisation/" TargetMode="External"/><Relationship Id="rId2508" Type="http://schemas.openxmlformats.org/officeDocument/2006/relationships/hyperlink" Target="http://mindmelt.de" TargetMode="External"/><Relationship Id="rId2509" Type="http://schemas.openxmlformats.org/officeDocument/2006/relationships/hyperlink" Target="https://mingma.io/compare/ai-automation-agencies/" TargetMode="External"/><Relationship Id="rId2522" Type="http://schemas.openxmlformats.org/officeDocument/2006/relationships/hyperlink" Target="http://mkt-sci.com" TargetMode="External"/><Relationship Id="rId2523" Type="http://schemas.openxmlformats.org/officeDocument/2006/relationships/hyperlink" Target="https://www.mmm-consulting.de/" TargetMode="External"/><Relationship Id="rId2524" Type="http://schemas.openxmlformats.org/officeDocument/2006/relationships/hyperlink" Target="http://mmm-consulting.de" TargetMode="External"/><Relationship Id="rId2525" Type="http://schemas.openxmlformats.org/officeDocument/2006/relationships/hyperlink" Target="https://modall.ca/blog/top-ai-software-development-integration-agencies" TargetMode="External"/><Relationship Id="rId2526" Type="http://schemas.openxmlformats.org/officeDocument/2006/relationships/hyperlink" Target="http://modall.ca" TargetMode="External"/><Relationship Id="rId2527" Type="http://schemas.openxmlformats.org/officeDocument/2006/relationships/hyperlink" Target="https://modo25.com/services/data-science/mmm-attribution/" TargetMode="External"/><Relationship Id="rId2528" Type="http://schemas.openxmlformats.org/officeDocument/2006/relationships/hyperlink" Target="http://modo25.com" TargetMode="External"/><Relationship Id="rId2529" Type="http://schemas.openxmlformats.org/officeDocument/2006/relationships/hyperlink" Target="https://www.monks.com/partners/google-marketing-platform" TargetMode="External"/><Relationship Id="rId2520" Type="http://schemas.openxmlformats.org/officeDocument/2006/relationships/hyperlink" Target="http://minuttia.com" TargetMode="External"/><Relationship Id="rId2521" Type="http://schemas.openxmlformats.org/officeDocument/2006/relationships/hyperlink" Target="https://www.mkt-sci.com/" TargetMode="External"/><Relationship Id="rId2511" Type="http://schemas.openxmlformats.org/officeDocument/2006/relationships/hyperlink" Target="https://mingma.io/journal/best-ai-automation-agencies-mid-market/" TargetMode="External"/><Relationship Id="rId2512" Type="http://schemas.openxmlformats.org/officeDocument/2006/relationships/hyperlink" Target="http://mingma.io" TargetMode="External"/><Relationship Id="rId2513" Type="http://schemas.openxmlformats.org/officeDocument/2006/relationships/hyperlink" Target="https://www.mintcopywritingstudios.com/blog/ai-search-optimization-geo-agencies" TargetMode="External"/><Relationship Id="rId2514" Type="http://schemas.openxmlformats.org/officeDocument/2006/relationships/hyperlink" Target="http://mintcopywritingstudios.com" TargetMode="External"/><Relationship Id="rId2515" Type="http://schemas.openxmlformats.org/officeDocument/2006/relationships/hyperlink" Target="https://www.mintzoro.com/ai-marketing-agency-in-germany/" TargetMode="External"/><Relationship Id="rId2516" Type="http://schemas.openxmlformats.org/officeDocument/2006/relationships/hyperlink" Target="http://mintzoro.com" TargetMode="External"/><Relationship Id="rId2517" Type="http://schemas.openxmlformats.org/officeDocument/2006/relationships/hyperlink" Target="https://minuttia.com/best-aeo-agencies/" TargetMode="External"/><Relationship Id="rId2518" Type="http://schemas.openxmlformats.org/officeDocument/2006/relationships/hyperlink" Target="http://minuttia.com" TargetMode="External"/><Relationship Id="rId2519" Type="http://schemas.openxmlformats.org/officeDocument/2006/relationships/hyperlink" Target="https://minuttia.com/best-llmo-agencies/" TargetMode="External"/><Relationship Id="rId2510" Type="http://schemas.openxmlformats.org/officeDocument/2006/relationships/hyperlink" Target="http://mingma.io" TargetMode="External"/><Relationship Id="rId469" Type="http://schemas.openxmlformats.org/officeDocument/2006/relationships/hyperlink" Target="http://feedbax.de" TargetMode="External"/><Relationship Id="rId468" Type="http://schemas.openxmlformats.org/officeDocument/2006/relationships/hyperlink" Target="https://feedbax.de/ki/deutschland" TargetMode="External"/><Relationship Id="rId467" Type="http://schemas.openxmlformats.org/officeDocument/2006/relationships/hyperlink" Target="http://factors.ai" TargetMode="External"/><Relationship Id="rId1290" Type="http://schemas.openxmlformats.org/officeDocument/2006/relationships/hyperlink" Target="https://gaim-solutions.com/en/blog-system/top-ai-agencies-munich-2026-faq-guide" TargetMode="External"/><Relationship Id="rId1291" Type="http://schemas.openxmlformats.org/officeDocument/2006/relationships/hyperlink" Target="http://gaim-solutions.com" TargetMode="External"/><Relationship Id="rId1292" Type="http://schemas.openxmlformats.org/officeDocument/2006/relationships/hyperlink" Target="https://www.geoagentur-hamburg.de/" TargetMode="External"/><Relationship Id="rId462" Type="http://schemas.openxmlformats.org/officeDocument/2006/relationships/hyperlink" Target="https://bynd.consulting/en/capabilities-en/success-measurement-en/" TargetMode="External"/><Relationship Id="rId1293" Type="http://schemas.openxmlformats.org/officeDocument/2006/relationships/hyperlink" Target="http://geoagentur-hamburg.de" TargetMode="External"/><Relationship Id="rId461" Type="http://schemas.openxmlformats.org/officeDocument/2006/relationships/hyperlink" Target="http://brandcrock.com" TargetMode="External"/><Relationship Id="rId1294" Type="http://schemas.openxmlformats.org/officeDocument/2006/relationships/hyperlink" Target="https://www.geoagenturen.de/blog/geo-agenturen-2026-ai-readiness-llmo-im-vergleich" TargetMode="External"/><Relationship Id="rId460" Type="http://schemas.openxmlformats.org/officeDocument/2006/relationships/hyperlink" Target="https://www.brandcrock.com/ai-services/" TargetMode="External"/><Relationship Id="rId1295" Type="http://schemas.openxmlformats.org/officeDocument/2006/relationships/hyperlink" Target="http://geoagenturen.de" TargetMode="External"/><Relationship Id="rId1296" Type="http://schemas.openxmlformats.org/officeDocument/2006/relationships/hyperlink" Target="https://www.geoagenturen.de/blog/service-portfolio-vergleich-zwischen-geo-agenturen" TargetMode="External"/><Relationship Id="rId466" Type="http://schemas.openxmlformats.org/officeDocument/2006/relationships/hyperlink" Target="https://www.factors.ai/blog/multi-touch-attribution-tools-platforms-software-guide" TargetMode="External"/><Relationship Id="rId1297" Type="http://schemas.openxmlformats.org/officeDocument/2006/relationships/hyperlink" Target="http://geoagenturen.de" TargetMode="External"/><Relationship Id="rId465" Type="http://schemas.openxmlformats.org/officeDocument/2006/relationships/hyperlink" Target="https://enterprisemarketingportal.google/find-a-partner" TargetMode="External"/><Relationship Id="rId1298" Type="http://schemas.openxmlformats.org/officeDocument/2006/relationships/hyperlink" Target="https://www.google.de/intl/de/ads/publisher/partners/work-with-a-partner/" TargetMode="External"/><Relationship Id="rId464" Type="http://schemas.openxmlformats.org/officeDocument/2006/relationships/hyperlink" Target="http://ekipa.ai" TargetMode="External"/><Relationship Id="rId1299" Type="http://schemas.openxmlformats.org/officeDocument/2006/relationships/hyperlink" Target="http://google.de" TargetMode="External"/><Relationship Id="rId463" Type="http://schemas.openxmlformats.org/officeDocument/2006/relationships/hyperlink" Target="https://www.ekipa.ai/ekipa-labs/end-to-end-ai-consulting-companies" TargetMode="External"/><Relationship Id="rId459" Type="http://schemas.openxmlformats.org/officeDocument/2006/relationships/hyperlink" Target="http://bakedwith.com" TargetMode="External"/><Relationship Id="rId458" Type="http://schemas.openxmlformats.org/officeDocument/2006/relationships/hyperlink" Target="https://www.bakedwith.com/blog/die-besten-geo-agenturen-in-deutschland-ein-uberblick" TargetMode="External"/><Relationship Id="rId457" Type="http://schemas.openxmlformats.org/officeDocument/2006/relationships/hyperlink" Target="http://aijourn.com" TargetMode="External"/><Relationship Id="rId456" Type="http://schemas.openxmlformats.org/officeDocument/2006/relationships/hyperlink" Target="https://aijourn.com/top-ai-driven-amazon-marketing-agencies-in-germany-2026/" TargetMode="External"/><Relationship Id="rId1280" Type="http://schemas.openxmlformats.org/officeDocument/2006/relationships/hyperlink" Target="http://feedbax.ai" TargetMode="External"/><Relationship Id="rId1281" Type="http://schemas.openxmlformats.org/officeDocument/2006/relationships/hyperlink" Target="https://feedbax.ai/performance-marketing" TargetMode="External"/><Relationship Id="rId451" Type="http://schemas.openxmlformats.org/officeDocument/2006/relationships/hyperlink" Target="http://topgeoagencies.com" TargetMode="External"/><Relationship Id="rId1282" Type="http://schemas.openxmlformats.org/officeDocument/2006/relationships/hyperlink" Target="http://feedbax.ai" TargetMode="External"/><Relationship Id="rId450" Type="http://schemas.openxmlformats.org/officeDocument/2006/relationships/hyperlink" Target="https://topgeoagencies.com/" TargetMode="External"/><Relationship Id="rId1283" Type="http://schemas.openxmlformats.org/officeDocument/2006/relationships/hyperlink" Target="https://www.fieldtrip.agency/post/overcoming-creative-production-challenges-for-large-brand" TargetMode="External"/><Relationship Id="rId1284" Type="http://schemas.openxmlformats.org/officeDocument/2006/relationships/hyperlink" Target="https://www.friendventure.de/en/generative-engine-optimization-agency/" TargetMode="External"/><Relationship Id="rId1285" Type="http://schemas.openxmlformats.org/officeDocument/2006/relationships/hyperlink" Target="http://friendventure.de" TargetMode="External"/><Relationship Id="rId455" Type="http://schemas.openxmlformats.org/officeDocument/2006/relationships/hyperlink" Target="http://semrush.com" TargetMode="External"/><Relationship Id="rId1286" Type="http://schemas.openxmlformats.org/officeDocument/2006/relationships/hyperlink" Target="https://www.ft.com/content/ac672f97-a603-4c56-afa3-4a5273d45674" TargetMode="External"/><Relationship Id="rId454" Type="http://schemas.openxmlformats.org/officeDocument/2006/relationships/hyperlink" Target="https://agencies.semrush.com/list/ai-optimization/germany/small-business/" TargetMode="External"/><Relationship Id="rId1287" Type="http://schemas.openxmlformats.org/officeDocument/2006/relationships/hyperlink" Target="http://ft.com" TargetMode="External"/><Relationship Id="rId453" Type="http://schemas.openxmlformats.org/officeDocument/2006/relationships/hyperlink" Target="http://aeo-copilot.com" TargetMode="External"/><Relationship Id="rId1288" Type="http://schemas.openxmlformats.org/officeDocument/2006/relationships/hyperlink" Target="https://funnel.io/adtriba" TargetMode="External"/><Relationship Id="rId452" Type="http://schemas.openxmlformats.org/officeDocument/2006/relationships/hyperlink" Target="https://aeo-copilot.com/partners/agencies/germany" TargetMode="External"/><Relationship Id="rId1289" Type="http://schemas.openxmlformats.org/officeDocument/2006/relationships/hyperlink" Target="http://funnel.io" TargetMode="External"/><Relationship Id="rId3018" Type="http://schemas.openxmlformats.org/officeDocument/2006/relationships/hyperlink" Target="http://themanifest.com" TargetMode="External"/><Relationship Id="rId3017" Type="http://schemas.openxmlformats.org/officeDocument/2006/relationships/hyperlink" Target="https://themanifest.com/de/social-media/linkedin/agencies" TargetMode="External"/><Relationship Id="rId3019" Type="http://schemas.openxmlformats.org/officeDocument/2006/relationships/hyperlink" Target="https://themanifest.com/de/social-media/tiktok/agencies" TargetMode="External"/><Relationship Id="rId491" Type="http://schemas.openxmlformats.org/officeDocument/2006/relationships/hyperlink" Target="http://liftlab.com" TargetMode="External"/><Relationship Id="rId490" Type="http://schemas.openxmlformats.org/officeDocument/2006/relationships/hyperlink" Target="https://liftlab.com/platform/incrementality-testing-engine/" TargetMode="External"/><Relationship Id="rId489" Type="http://schemas.openxmlformats.org/officeDocument/2006/relationships/hyperlink" Target="http://kideconsult.de" TargetMode="External"/><Relationship Id="rId484" Type="http://schemas.openxmlformats.org/officeDocument/2006/relationships/hyperlink" Target="https://intentcliq.com/google-ads-agencies-in-germany/" TargetMode="External"/><Relationship Id="rId3010" Type="http://schemas.openxmlformats.org/officeDocument/2006/relationships/hyperlink" Target="http://thekeenfolks.com" TargetMode="External"/><Relationship Id="rId483" Type="http://schemas.openxmlformats.org/officeDocument/2006/relationships/hyperlink" Target="http://influencer-hero.com" TargetMode="External"/><Relationship Id="rId482" Type="http://schemas.openxmlformats.org/officeDocument/2006/relationships/hyperlink" Target="https://www.influencer-hero.com/fr/blogs/top-facebook-advertising-agencies-in-germany" TargetMode="External"/><Relationship Id="rId3012" Type="http://schemas.openxmlformats.org/officeDocument/2006/relationships/hyperlink" Target="http://themacgroups.com" TargetMode="External"/><Relationship Id="rId481" Type="http://schemas.openxmlformats.org/officeDocument/2006/relationships/hyperlink" Target="http://influencer-hero.com" TargetMode="External"/><Relationship Id="rId3011" Type="http://schemas.openxmlformats.org/officeDocument/2006/relationships/hyperlink" Target="https://www.themacgroups.com/who-are-the-big-5-advertising-agencies/" TargetMode="External"/><Relationship Id="rId488" Type="http://schemas.openxmlformats.org/officeDocument/2006/relationships/hyperlink" Target="https://kideconsult.de/" TargetMode="External"/><Relationship Id="rId3014" Type="http://schemas.openxmlformats.org/officeDocument/2006/relationships/hyperlink" Target="http://themanifest.com" TargetMode="External"/><Relationship Id="rId487" Type="http://schemas.openxmlformats.org/officeDocument/2006/relationships/hyperlink" Target="http://invademarketing.com" TargetMode="External"/><Relationship Id="rId3013" Type="http://schemas.openxmlformats.org/officeDocument/2006/relationships/hyperlink" Target="https://themanifest.com/de/artificial-intelligence/companies" TargetMode="External"/><Relationship Id="rId486" Type="http://schemas.openxmlformats.org/officeDocument/2006/relationships/hyperlink" Target="https://invademarketing.com/best-data-driven-marketing-agencies-in-europe/" TargetMode="External"/><Relationship Id="rId3016" Type="http://schemas.openxmlformats.org/officeDocument/2006/relationships/hyperlink" Target="http://themanifest.com" TargetMode="External"/><Relationship Id="rId485" Type="http://schemas.openxmlformats.org/officeDocument/2006/relationships/hyperlink" Target="http://intentcliq.com" TargetMode="External"/><Relationship Id="rId3015" Type="http://schemas.openxmlformats.org/officeDocument/2006/relationships/hyperlink" Target="https://themanifest.com/de/market-research/agencies" TargetMode="External"/><Relationship Id="rId3007" Type="http://schemas.openxmlformats.org/officeDocument/2006/relationships/hyperlink" Target="https://www.thekeenfolks.com/" TargetMode="External"/><Relationship Id="rId3006" Type="http://schemas.openxmlformats.org/officeDocument/2006/relationships/hyperlink" Target="http://thedrum.com" TargetMode="External"/><Relationship Id="rId3009" Type="http://schemas.openxmlformats.org/officeDocument/2006/relationships/hyperlink" Target="https://www.thekeenfolks.com/blog-article/best-performance-marketing-agencies" TargetMode="External"/><Relationship Id="rId3008" Type="http://schemas.openxmlformats.org/officeDocument/2006/relationships/hyperlink" Target="http://thekeenfolks.com" TargetMode="External"/><Relationship Id="rId480" Type="http://schemas.openxmlformats.org/officeDocument/2006/relationships/hyperlink" Target="https://www.influencer-hero.com/de/blogs/top-10-creative-agencies-in-germany" TargetMode="External"/><Relationship Id="rId479" Type="http://schemas.openxmlformats.org/officeDocument/2006/relationships/hyperlink" Target="http://ibusiness.de" TargetMode="External"/><Relationship Id="rId478" Type="http://schemas.openxmlformats.org/officeDocument/2006/relationships/hyperlink" Target="https://www.ibusiness.de/performance-ranking/performance_2025.html?sub=30" TargetMode="External"/><Relationship Id="rId473" Type="http://schemas.openxmlformats.org/officeDocument/2006/relationships/hyperlink" Target="http://goodfirms.co" TargetMode="External"/><Relationship Id="rId472" Type="http://schemas.openxmlformats.org/officeDocument/2006/relationships/hyperlink" Target="https://www.goodfirms.co/directory/country/top-digital-marketing-companies/market-research/germany" TargetMode="External"/><Relationship Id="rId471" Type="http://schemas.openxmlformats.org/officeDocument/2006/relationships/hyperlink" Target="http://getrecast.com" TargetMode="External"/><Relationship Id="rId3001" Type="http://schemas.openxmlformats.org/officeDocument/2006/relationships/hyperlink" Target="https://thecxlead.com/services/best-customer-data-platform-consulting/" TargetMode="External"/><Relationship Id="rId470" Type="http://schemas.openxmlformats.org/officeDocument/2006/relationships/hyperlink" Target="https://getrecast.com/experimentation/" TargetMode="External"/><Relationship Id="rId3000" Type="http://schemas.openxmlformats.org/officeDocument/2006/relationships/hyperlink" Target="http://thebusinessrover.com" TargetMode="External"/><Relationship Id="rId477" Type="http://schemas.openxmlformats.org/officeDocument/2006/relationships/hyperlink" Target="http://ibusiness.de" TargetMode="External"/><Relationship Id="rId3003" Type="http://schemas.openxmlformats.org/officeDocument/2006/relationships/hyperlink" Target="https://thecypress.de/" TargetMode="External"/><Relationship Id="rId476" Type="http://schemas.openxmlformats.org/officeDocument/2006/relationships/hyperlink" Target="https://www.ibusiness.de/performance-ranking/performance_2022" TargetMode="External"/><Relationship Id="rId3002" Type="http://schemas.openxmlformats.org/officeDocument/2006/relationships/hyperlink" Target="http://thecxlead.com" TargetMode="External"/><Relationship Id="rId475" Type="http://schemas.openxmlformats.org/officeDocument/2006/relationships/hyperlink" Target="http://hyam.de" TargetMode="External"/><Relationship Id="rId3005" Type="http://schemas.openxmlformats.org/officeDocument/2006/relationships/hyperlink" Target="https://www.thedrum.com/news/world-creative-rankings-2023-adland-s-top-independent-agencies-revealed" TargetMode="External"/><Relationship Id="rId474" Type="http://schemas.openxmlformats.org/officeDocument/2006/relationships/hyperlink" Target="https://www.hyam.de/en/social-media-agency" TargetMode="External"/><Relationship Id="rId3004" Type="http://schemas.openxmlformats.org/officeDocument/2006/relationships/hyperlink" Target="http://thecypress.de" TargetMode="External"/><Relationship Id="rId1257" Type="http://schemas.openxmlformats.org/officeDocument/2006/relationships/hyperlink" Target="https://e-dialog.group/en/google-sales-partner/" TargetMode="External"/><Relationship Id="rId2588" Type="http://schemas.openxmlformats.org/officeDocument/2006/relationships/hyperlink" Target="http://omr.com" TargetMode="External"/><Relationship Id="rId1258" Type="http://schemas.openxmlformats.org/officeDocument/2006/relationships/hyperlink" Target="https://www.e-laborat.de/" TargetMode="External"/><Relationship Id="rId2589" Type="http://schemas.openxmlformats.org/officeDocument/2006/relationships/hyperlink" Target="https://omr.com/de/reviews/service/projecter" TargetMode="External"/><Relationship Id="rId1259" Type="http://schemas.openxmlformats.org/officeDocument/2006/relationships/hyperlink" Target="http://e-laborat.de" TargetMode="External"/><Relationship Id="rId426" Type="http://schemas.openxmlformats.org/officeDocument/2006/relationships/hyperlink" Target="https://www.influencer-hero.com/it/blogs/top-10-creative-agencies-in-germany" TargetMode="External"/><Relationship Id="rId425" Type="http://schemas.openxmlformats.org/officeDocument/2006/relationships/hyperlink" Target="http://influencer-hero.com" TargetMode="External"/><Relationship Id="rId424" Type="http://schemas.openxmlformats.org/officeDocument/2006/relationships/hyperlink" Target="https://www.influencer-hero.com/fr/blogs/top-10-creative-agencies-in-germany" TargetMode="External"/><Relationship Id="rId423" Type="http://schemas.openxmlformats.org/officeDocument/2006/relationships/hyperlink" Target="http://ibusiness.de" TargetMode="External"/><Relationship Id="rId429" Type="http://schemas.openxmlformats.org/officeDocument/2006/relationships/hyperlink" Target="http://influencer-hero.com" TargetMode="External"/><Relationship Id="rId428" Type="http://schemas.openxmlformats.org/officeDocument/2006/relationships/hyperlink" Target="https://www.influencer-hero.com/it/blogs/top-facebook-advertising-agencies-in-germany" TargetMode="External"/><Relationship Id="rId427" Type="http://schemas.openxmlformats.org/officeDocument/2006/relationships/hyperlink" Target="http://influencer-hero.com" TargetMode="External"/><Relationship Id="rId2580" Type="http://schemas.openxmlformats.org/officeDocument/2006/relationships/hyperlink" Target="http://ombera.de" TargetMode="External"/><Relationship Id="rId1250" Type="http://schemas.openxmlformats.org/officeDocument/2006/relationships/hyperlink" Target="https://digitalagencynetwork.com/agencies/usa/ai-marketing/" TargetMode="External"/><Relationship Id="rId2581" Type="http://schemas.openxmlformats.org/officeDocument/2006/relationships/hyperlink" Target="https://www.omnibound.ai/blog/first-party-data-statistics" TargetMode="External"/><Relationship Id="rId1251" Type="http://schemas.openxmlformats.org/officeDocument/2006/relationships/hyperlink" Target="http://digitalagencynetwork.com" TargetMode="External"/><Relationship Id="rId2582" Type="http://schemas.openxmlformats.org/officeDocument/2006/relationships/hyperlink" Target="http://omnibound.ai" TargetMode="External"/><Relationship Id="rId1252" Type="http://schemas.openxmlformats.org/officeDocument/2006/relationships/hyperlink" Target="https://directiveconsulting.com/blog/25-best-advertising-agencies-built-for-media-momentum/" TargetMode="External"/><Relationship Id="rId2583" Type="http://schemas.openxmlformats.org/officeDocument/2006/relationships/hyperlink" Target="https://omnicomprecisionmarketing.de/en/home/" TargetMode="External"/><Relationship Id="rId422" Type="http://schemas.openxmlformats.org/officeDocument/2006/relationships/hyperlink" Target="https://www.ibusiness.de/performance-ranking/performance_2025.html?sub=11" TargetMode="External"/><Relationship Id="rId1253" Type="http://schemas.openxmlformats.org/officeDocument/2006/relationships/hyperlink" Target="http://directiveconsulting.com" TargetMode="External"/><Relationship Id="rId2584" Type="http://schemas.openxmlformats.org/officeDocument/2006/relationships/hyperlink" Target="http://omnicomprecisionmarketing.de" TargetMode="External"/><Relationship Id="rId421" Type="http://schemas.openxmlformats.org/officeDocument/2006/relationships/hyperlink" Target="http://ibusiness.de" TargetMode="External"/><Relationship Id="rId1254" Type="http://schemas.openxmlformats.org/officeDocument/2006/relationships/hyperlink" Target="https://directiveconsulting.com/blog/top-performance-marketing-agencies/" TargetMode="External"/><Relationship Id="rId2585" Type="http://schemas.openxmlformats.org/officeDocument/2006/relationships/hyperlink" Target="https://omr.com/de/reviews/service-category/google-ads-agencies" TargetMode="External"/><Relationship Id="rId420" Type="http://schemas.openxmlformats.org/officeDocument/2006/relationships/hyperlink" Target="https://www.ibusiness.de/performance-ranking/performance_2024.html?sub=2" TargetMode="External"/><Relationship Id="rId1255" Type="http://schemas.openxmlformats.org/officeDocument/2006/relationships/hyperlink" Target="http://directiveconsulting.com" TargetMode="External"/><Relationship Id="rId2586" Type="http://schemas.openxmlformats.org/officeDocument/2006/relationships/hyperlink" Target="http://omr.com" TargetMode="External"/><Relationship Id="rId1256" Type="http://schemas.openxmlformats.org/officeDocument/2006/relationships/hyperlink" Target="https://e-dialog.group/en/about-us/" TargetMode="External"/><Relationship Id="rId2587" Type="http://schemas.openxmlformats.org/officeDocument/2006/relationships/hyperlink" Target="https://omr.com/de/reviews/service-category/performance-marketing-agenturen/berlin" TargetMode="External"/><Relationship Id="rId1246" Type="http://schemas.openxmlformats.org/officeDocument/2006/relationships/hyperlink" Target="https://digitalagencynetwork.com/agencies/berlin/creative/" TargetMode="External"/><Relationship Id="rId2577" Type="http://schemas.openxmlformats.org/officeDocument/2006/relationships/hyperlink" Target="https://oakpool.xyz/drift/top-10-geo-aeo-ai-search-agencies/" TargetMode="External"/><Relationship Id="rId1247" Type="http://schemas.openxmlformats.org/officeDocument/2006/relationships/hyperlink" Target="http://digitalagencynetwork.com" TargetMode="External"/><Relationship Id="rId2578" Type="http://schemas.openxmlformats.org/officeDocument/2006/relationships/hyperlink" Target="http://oakpool.xyz" TargetMode="External"/><Relationship Id="rId1248" Type="http://schemas.openxmlformats.org/officeDocument/2006/relationships/hyperlink" Target="https://digitalagencynetwork.com/agencies/berlin/geo/" TargetMode="External"/><Relationship Id="rId2579" Type="http://schemas.openxmlformats.org/officeDocument/2006/relationships/hyperlink" Target="https://www.ombera.de/" TargetMode="External"/><Relationship Id="rId1249" Type="http://schemas.openxmlformats.org/officeDocument/2006/relationships/hyperlink" Target="http://digitalagencynetwork.com" TargetMode="External"/><Relationship Id="rId415" Type="http://schemas.openxmlformats.org/officeDocument/2006/relationships/hyperlink" Target="http://haus.io" TargetMode="External"/><Relationship Id="rId414" Type="http://schemas.openxmlformats.org/officeDocument/2006/relationships/hyperlink" Target="https://www.haus.io/use-cases/incrementality" TargetMode="External"/><Relationship Id="rId413" Type="http://schemas.openxmlformats.org/officeDocument/2006/relationships/hyperlink" Target="http://google.de" TargetMode="External"/><Relationship Id="rId412" Type="http://schemas.openxmlformats.org/officeDocument/2006/relationships/hyperlink" Target="https://www.google.de/intl/de/ads/publisher/partners/find-a-partner/" TargetMode="External"/><Relationship Id="rId419" Type="http://schemas.openxmlformats.org/officeDocument/2006/relationships/hyperlink" Target="http://ibusiness.de" TargetMode="External"/><Relationship Id="rId418" Type="http://schemas.openxmlformats.org/officeDocument/2006/relationships/hyperlink" Target="https://www.ibusiness.de/performance-ranking/performance_2022.html" TargetMode="External"/><Relationship Id="rId417" Type="http://schemas.openxmlformats.org/officeDocument/2006/relationships/hyperlink" Target="http://house-of-communication.com" TargetMode="External"/><Relationship Id="rId416" Type="http://schemas.openxmlformats.org/officeDocument/2006/relationships/hyperlink" Target="https://www.house-of-communication.com/de/de/brands/serviceplan.html" TargetMode="External"/><Relationship Id="rId2570" Type="http://schemas.openxmlformats.org/officeDocument/2006/relationships/hyperlink" Target="http://nogood.io" TargetMode="External"/><Relationship Id="rId1240" Type="http://schemas.openxmlformats.org/officeDocument/2006/relationships/hyperlink" Target="https://de.linkedin.com/company/trkkn" TargetMode="External"/><Relationship Id="rId2571" Type="http://schemas.openxmlformats.org/officeDocument/2006/relationships/hyperlink" Target="https://www.northdata.com/AKQA%20GmbH,%20Berlin/Amtsgericht%20Charlottenburg%20%28Berlin%29%20HRB%20125754%20B" TargetMode="External"/><Relationship Id="rId1241" Type="http://schemas.openxmlformats.org/officeDocument/2006/relationships/hyperlink" Target="http://linkedin.com" TargetMode="External"/><Relationship Id="rId2572" Type="http://schemas.openxmlformats.org/officeDocument/2006/relationships/hyperlink" Target="http://northdata.com" TargetMode="External"/><Relationship Id="rId411" Type="http://schemas.openxmlformats.org/officeDocument/2006/relationships/hyperlink" Target="http://google.com" TargetMode="External"/><Relationship Id="rId1242" Type="http://schemas.openxmlformats.org/officeDocument/2006/relationships/hyperlink" Target="https://de.wikipedia.org/wiki/BBDO" TargetMode="External"/><Relationship Id="rId2573" Type="http://schemas.openxmlformats.org/officeDocument/2006/relationships/hyperlink" Target="https://www.novusvistatech.com/blog/digital-transformation-companies.html" TargetMode="External"/><Relationship Id="rId410" Type="http://schemas.openxmlformats.org/officeDocument/2006/relationships/hyperlink" Target="https://www.google.com/intl/en_GB/ads/publisher/partners/find-a-partner/" TargetMode="External"/><Relationship Id="rId1243" Type="http://schemas.openxmlformats.org/officeDocument/2006/relationships/hyperlink" Target="http://wikipedia.org" TargetMode="External"/><Relationship Id="rId2574" Type="http://schemas.openxmlformats.org/officeDocument/2006/relationships/hyperlink" Target="http://novusvistatech.com" TargetMode="External"/><Relationship Id="rId1244" Type="http://schemas.openxmlformats.org/officeDocument/2006/relationships/hyperlink" Target="https://www.deloitte.com/de/de/what-we-do/capabilities/ki-beratung.html" TargetMode="External"/><Relationship Id="rId2575" Type="http://schemas.openxmlformats.org/officeDocument/2006/relationships/hyperlink" Target="https://www.nutshell.com/blog/top-geo-agencies" TargetMode="External"/><Relationship Id="rId1245" Type="http://schemas.openxmlformats.org/officeDocument/2006/relationships/hyperlink" Target="http://deloitte.com" TargetMode="External"/><Relationship Id="rId2576" Type="http://schemas.openxmlformats.org/officeDocument/2006/relationships/hyperlink" Target="http://nutshell.com" TargetMode="External"/><Relationship Id="rId1279" Type="http://schemas.openxmlformats.org/officeDocument/2006/relationships/hyperlink" Target="https://feedbax.ai/google-ads/berlin" TargetMode="External"/><Relationship Id="rId448" Type="http://schemas.openxmlformats.org/officeDocument/2006/relationships/hyperlink" Target="https://sourceforge.net/software/marketing-attribution/germany/?page=4" TargetMode="External"/><Relationship Id="rId447" Type="http://schemas.openxmlformats.org/officeDocument/2006/relationships/hyperlink" Target="http://sortlist.com" TargetMode="External"/><Relationship Id="rId446" Type="http://schemas.openxmlformats.org/officeDocument/2006/relationships/hyperlink" Target="https://www.sortlist.com/paid-media" TargetMode="External"/><Relationship Id="rId445" Type="http://schemas.openxmlformats.org/officeDocument/2006/relationships/hyperlink" Target="http://sortlist.com" TargetMode="External"/><Relationship Id="rId449" Type="http://schemas.openxmlformats.org/officeDocument/2006/relationships/hyperlink" Target="http://sourceforge.net" TargetMode="External"/><Relationship Id="rId1270" Type="http://schemas.openxmlformats.org/officeDocument/2006/relationships/hyperlink" Target="https://www.europeanbusinessreview.com/top-10-b2b-aeo-geo-companies-that-help-generate-leads-from-ai-search/" TargetMode="External"/><Relationship Id="rId440" Type="http://schemas.openxmlformats.org/officeDocument/2006/relationships/hyperlink" Target="https://orm-tech.com/blog/best-marketing-attribution-software/" TargetMode="External"/><Relationship Id="rId1271" Type="http://schemas.openxmlformats.org/officeDocument/2006/relationships/hyperlink" Target="http://europeanbusinessreview.com" TargetMode="External"/><Relationship Id="rId1272" Type="http://schemas.openxmlformats.org/officeDocument/2006/relationships/hyperlink" Target="https://www.evergreen.media/ratgeber/beste-geo-agentur/" TargetMode="External"/><Relationship Id="rId1273" Type="http://schemas.openxmlformats.org/officeDocument/2006/relationships/hyperlink" Target="https://exactag.com/company/our-journey/" TargetMode="External"/><Relationship Id="rId1274" Type="http://schemas.openxmlformats.org/officeDocument/2006/relationships/hyperlink" Target="http://exactag.com" TargetMode="External"/><Relationship Id="rId444" Type="http://schemas.openxmlformats.org/officeDocument/2006/relationships/hyperlink" Target="https://www.sortlist.com/marketing-analytics" TargetMode="External"/><Relationship Id="rId1275" Type="http://schemas.openxmlformats.org/officeDocument/2006/relationships/hyperlink" Target="https://www.f6s.com/companies/advertising/germany/co" TargetMode="External"/><Relationship Id="rId443" Type="http://schemas.openxmlformats.org/officeDocument/2006/relationships/hyperlink" Target="http://rankshift.ai" TargetMode="External"/><Relationship Id="rId1276" Type="http://schemas.openxmlformats.org/officeDocument/2006/relationships/hyperlink" Target="http://f6s.com" TargetMode="External"/><Relationship Id="rId442" Type="http://schemas.openxmlformats.org/officeDocument/2006/relationships/hyperlink" Target="https://www.rankshift.ai/blog/best-geo-agencies/" TargetMode="External"/><Relationship Id="rId1277" Type="http://schemas.openxmlformats.org/officeDocument/2006/relationships/hyperlink" Target="https://www.f6s.com/companies/market-research/germany/co" TargetMode="External"/><Relationship Id="rId441" Type="http://schemas.openxmlformats.org/officeDocument/2006/relationships/hyperlink" Target="http://orm-tech.com" TargetMode="External"/><Relationship Id="rId1278" Type="http://schemas.openxmlformats.org/officeDocument/2006/relationships/hyperlink" Target="http://f6s.com" TargetMode="External"/><Relationship Id="rId1268" Type="http://schemas.openxmlformats.org/officeDocument/2006/relationships/hyperlink" Target="https://www.eology.de/presse/google-premier-partner-2025" TargetMode="External"/><Relationship Id="rId2599" Type="http://schemas.openxmlformats.org/officeDocument/2006/relationships/hyperlink" Target="https://www.oneclub.org/awards/rankings/-archive/agency/2025/all/all/2/276" TargetMode="External"/><Relationship Id="rId1269" Type="http://schemas.openxmlformats.org/officeDocument/2006/relationships/hyperlink" Target="http://eology.de" TargetMode="External"/><Relationship Id="rId437" Type="http://schemas.openxmlformats.org/officeDocument/2006/relationships/hyperlink" Target="http://oneclub.org" TargetMode="External"/><Relationship Id="rId436" Type="http://schemas.openxmlformats.org/officeDocument/2006/relationships/hyperlink" Target="https://www.oneclub.org/awards/adcawards/-archive/agency/2024/38/all/all/276" TargetMode="External"/><Relationship Id="rId435" Type="http://schemas.openxmlformats.org/officeDocument/2006/relationships/hyperlink" Target="http://nuundigital.com" TargetMode="External"/><Relationship Id="rId434" Type="http://schemas.openxmlformats.org/officeDocument/2006/relationships/hyperlink" Target="https://www.nuundigital.com/services/data-analytics/marketing-analytics-attribution" TargetMode="External"/><Relationship Id="rId439" Type="http://schemas.openxmlformats.org/officeDocument/2006/relationships/hyperlink" Target="http://online-digitalx.de" TargetMode="External"/><Relationship Id="rId438" Type="http://schemas.openxmlformats.org/officeDocument/2006/relationships/hyperlink" Target="https://www.online-digitalx.de/en/display-advertising/" TargetMode="External"/><Relationship Id="rId2590" Type="http://schemas.openxmlformats.org/officeDocument/2006/relationships/hyperlink" Target="http://omr.com" TargetMode="External"/><Relationship Id="rId1260" Type="http://schemas.openxmlformats.org/officeDocument/2006/relationships/hyperlink" Target="https://easeium.com/en/index.html" TargetMode="External"/><Relationship Id="rId2591" Type="http://schemas.openxmlformats.org/officeDocument/2006/relationships/hyperlink" Target="https://www.omt.de/agentur-finden/google-ads-agentur/" TargetMode="External"/><Relationship Id="rId1261" Type="http://schemas.openxmlformats.org/officeDocument/2006/relationships/hyperlink" Target="http://easeium.com" TargetMode="External"/><Relationship Id="rId2592" Type="http://schemas.openxmlformats.org/officeDocument/2006/relationships/hyperlink" Target="http://omt.de" TargetMode="External"/><Relationship Id="rId1262" Type="http://schemas.openxmlformats.org/officeDocument/2006/relationships/hyperlink" Target="https://ebiquity.com/" TargetMode="External"/><Relationship Id="rId2593" Type="http://schemas.openxmlformats.org/officeDocument/2006/relationships/hyperlink" Target="https://www.omt.de/agentur-finden/programmatic-advertising-agentur/" TargetMode="External"/><Relationship Id="rId1263" Type="http://schemas.openxmlformats.org/officeDocument/2006/relationships/hyperlink" Target="http://ebiquity.com" TargetMode="External"/><Relationship Id="rId2594" Type="http://schemas.openxmlformats.org/officeDocument/2006/relationships/hyperlink" Target="http://omt.de" TargetMode="External"/><Relationship Id="rId433" Type="http://schemas.openxmlformats.org/officeDocument/2006/relationships/hyperlink" Target="http://marketing-companies-in-germany.com" TargetMode="External"/><Relationship Id="rId1264" Type="http://schemas.openxmlformats.org/officeDocument/2006/relationships/hyperlink" Target="https://ecosystem.hubspot.com/marketplace/solutions/paid-advertising/germany" TargetMode="External"/><Relationship Id="rId2595" Type="http://schemas.openxmlformats.org/officeDocument/2006/relationships/hyperlink" Target="https://www.oneclub.org/awards/adceurope/-archive/agency/2024/247/all/all/276" TargetMode="External"/><Relationship Id="rId432" Type="http://schemas.openxmlformats.org/officeDocument/2006/relationships/hyperlink" Target="https://www.marketing-companies-in-germany.com/google-ads" TargetMode="External"/><Relationship Id="rId1265" Type="http://schemas.openxmlformats.org/officeDocument/2006/relationships/hyperlink" Target="http://hubspot.com" TargetMode="External"/><Relationship Id="rId2596" Type="http://schemas.openxmlformats.org/officeDocument/2006/relationships/hyperlink" Target="http://oneclub.org" TargetMode="External"/><Relationship Id="rId431" Type="http://schemas.openxmlformats.org/officeDocument/2006/relationships/hyperlink" Target="http://lengreo.com" TargetMode="External"/><Relationship Id="rId1266" Type="http://schemas.openxmlformats.org/officeDocument/2006/relationships/hyperlink" Target="https://edgeangel.co/en/marketing-activation/advanced-media-measurement" TargetMode="External"/><Relationship Id="rId2597" Type="http://schemas.openxmlformats.org/officeDocument/2006/relationships/hyperlink" Target="https://www.oneclub.org/awards/adceurope/-archive/agency/2024/251/all/all/276" TargetMode="External"/><Relationship Id="rId430" Type="http://schemas.openxmlformats.org/officeDocument/2006/relationships/hyperlink" Target="https://lengreo.com/germany-dusseldorf-aeo-geo-llmo-companies/" TargetMode="External"/><Relationship Id="rId1267" Type="http://schemas.openxmlformats.org/officeDocument/2006/relationships/hyperlink" Target="http://edgeangel.co" TargetMode="External"/><Relationship Id="rId2598" Type="http://schemas.openxmlformats.org/officeDocument/2006/relationships/hyperlink" Target="http://oneclub.org" TargetMode="External"/><Relationship Id="rId3070" Type="http://schemas.openxmlformats.org/officeDocument/2006/relationships/hyperlink" Target="https://www.tripledart.com/ai-seo/best-generative-engine-optimization-agencies" TargetMode="External"/><Relationship Id="rId3072" Type="http://schemas.openxmlformats.org/officeDocument/2006/relationships/hyperlink" Target="https://www.tripledart.com/blog/best-aeo-agencies" TargetMode="External"/><Relationship Id="rId3071" Type="http://schemas.openxmlformats.org/officeDocument/2006/relationships/hyperlink" Target="http://tripledart.com" TargetMode="External"/><Relationship Id="rId3074" Type="http://schemas.openxmlformats.org/officeDocument/2006/relationships/hyperlink" Target="https://www.triplewhale.com/blog/incrementality-testing-methods" TargetMode="External"/><Relationship Id="rId3073" Type="http://schemas.openxmlformats.org/officeDocument/2006/relationships/hyperlink" Target="http://tripledart.com" TargetMode="External"/><Relationship Id="rId3076" Type="http://schemas.openxmlformats.org/officeDocument/2006/relationships/hyperlink" Target="https://www.tripuls.de/online-marketing-attribution" TargetMode="External"/><Relationship Id="rId3075" Type="http://schemas.openxmlformats.org/officeDocument/2006/relationships/hyperlink" Target="http://triplewhale.com" TargetMode="External"/><Relationship Id="rId3078" Type="http://schemas.openxmlformats.org/officeDocument/2006/relationships/hyperlink" Target="https://trkkn.pt/company/" TargetMode="External"/><Relationship Id="rId3077" Type="http://schemas.openxmlformats.org/officeDocument/2006/relationships/hyperlink" Target="http://tripuls.de" TargetMode="External"/><Relationship Id="rId3079" Type="http://schemas.openxmlformats.org/officeDocument/2006/relationships/hyperlink" Target="http://trkkn.pt" TargetMode="External"/><Relationship Id="rId3061" Type="http://schemas.openxmlformats.org/officeDocument/2006/relationships/hyperlink" Target="http://traqer.ai" TargetMode="External"/><Relationship Id="rId3060" Type="http://schemas.openxmlformats.org/officeDocument/2006/relationships/hyperlink" Target="https://www.traqer.ai/blog/ai-visibility-tool" TargetMode="External"/><Relationship Id="rId3063" Type="http://schemas.openxmlformats.org/officeDocument/2006/relationships/hyperlink" Target="http://treirealestate.com" TargetMode="External"/><Relationship Id="rId3062" Type="http://schemas.openxmlformats.org/officeDocument/2006/relationships/hyperlink" Target="https://www.treirealestate.com/en/company" TargetMode="External"/><Relationship Id="rId3065" Type="http://schemas.openxmlformats.org/officeDocument/2006/relationships/hyperlink" Target="http://trendkraft.io" TargetMode="External"/><Relationship Id="rId3064" Type="http://schemas.openxmlformats.org/officeDocument/2006/relationships/hyperlink" Target="https://trendkraft.io/agentur/boutique-agency" TargetMode="External"/><Relationship Id="rId3067" Type="http://schemas.openxmlformats.org/officeDocument/2006/relationships/hyperlink" Target="http://trinitybps.com" TargetMode="External"/><Relationship Id="rId3066" Type="http://schemas.openxmlformats.org/officeDocument/2006/relationships/hyperlink" Target="https://www.trinitybps.com/ai-consulting" TargetMode="External"/><Relationship Id="rId3069" Type="http://schemas.openxmlformats.org/officeDocument/2006/relationships/hyperlink" Target="http://tripledart.com" TargetMode="External"/><Relationship Id="rId3068" Type="http://schemas.openxmlformats.org/officeDocument/2006/relationships/hyperlink" Target="https://www.tripledart.com/ai-seo/best-aeo-agencies" TargetMode="External"/><Relationship Id="rId3090" Type="http://schemas.openxmlformats.org/officeDocument/2006/relationships/hyperlink" Target="https://www.upgrow.io/aeo-agency/" TargetMode="External"/><Relationship Id="rId3092" Type="http://schemas.openxmlformats.org/officeDocument/2006/relationships/hyperlink" Target="https://www.uptech.team/blog/ai-development-companies" TargetMode="External"/><Relationship Id="rId3091" Type="http://schemas.openxmlformats.org/officeDocument/2006/relationships/hyperlink" Target="http://upgrow.io" TargetMode="External"/><Relationship Id="rId3094" Type="http://schemas.openxmlformats.org/officeDocument/2006/relationships/hyperlink" Target="http://upwork.com" TargetMode="External"/><Relationship Id="rId3093" Type="http://schemas.openxmlformats.org/officeDocument/2006/relationships/hyperlink" Target="https://www.upwork.com/resources/generative-ai-applications" TargetMode="External"/><Relationship Id="rId3096" Type="http://schemas.openxmlformats.org/officeDocument/2006/relationships/hyperlink" Target="http://usercentrics.com" TargetMode="External"/><Relationship Id="rId3095" Type="http://schemas.openxmlformats.org/officeDocument/2006/relationships/hyperlink" Target="https://usercentrics.com/de/partner/" TargetMode="External"/><Relationship Id="rId3098" Type="http://schemas.openxmlformats.org/officeDocument/2006/relationships/hyperlink" Target="http://usercentrics.com" TargetMode="External"/><Relationship Id="rId3097" Type="http://schemas.openxmlformats.org/officeDocument/2006/relationships/hyperlink" Target="https://usercentrics.com/guides/future-of-data-in-marketing/first-party-data-marketing/" TargetMode="External"/><Relationship Id="rId3099" Type="http://schemas.openxmlformats.org/officeDocument/2006/relationships/hyperlink" Target="https://usercentrics.com/partner-network/" TargetMode="External"/><Relationship Id="rId3081" Type="http://schemas.openxmlformats.org/officeDocument/2006/relationships/hyperlink" Target="http://tryseo.de" TargetMode="External"/><Relationship Id="rId3080" Type="http://schemas.openxmlformats.org/officeDocument/2006/relationships/hyperlink" Target="https://www.tryseo.de/en/online-marketing-en/best-b2b-seo-agencies-germany/" TargetMode="External"/><Relationship Id="rId3083" Type="http://schemas.openxmlformats.org/officeDocument/2006/relationships/hyperlink" Target="http://tsa-bildung.de" TargetMode="External"/><Relationship Id="rId3082" Type="http://schemas.openxmlformats.org/officeDocument/2006/relationships/hyperlink" Target="https://www.tsa-bildung.de/en/blog/the-ai-job-market-in-germany-skills-in-demand-for-2026-and-beyond" TargetMode="External"/><Relationship Id="rId3085" Type="http://schemas.openxmlformats.org/officeDocument/2006/relationships/hyperlink" Target="http://unbound-media.de" TargetMode="External"/><Relationship Id="rId3084" Type="http://schemas.openxmlformats.org/officeDocument/2006/relationships/hyperlink" Target="https://unbound-media.de/de/leistungen/" TargetMode="External"/><Relationship Id="rId3087" Type="http://schemas.openxmlformats.org/officeDocument/2006/relationships/hyperlink" Target="http://unfoldmart.com" TargetMode="External"/><Relationship Id="rId3086" Type="http://schemas.openxmlformats.org/officeDocument/2006/relationships/hyperlink" Target="https://www.unfoldmart.com/blogs/top-branding-agencies-germany-2026" TargetMode="External"/><Relationship Id="rId3089" Type="http://schemas.openxmlformats.org/officeDocument/2006/relationships/hyperlink" Target="http://unfuture.de" TargetMode="External"/><Relationship Id="rId3088" Type="http://schemas.openxmlformats.org/officeDocument/2006/relationships/hyperlink" Target="https://www.unfuture.de/de/" TargetMode="External"/><Relationship Id="rId3039" Type="http://schemas.openxmlformats.org/officeDocument/2006/relationships/hyperlink" Target="https://www.timospecht.de/en/geo-agentur/" TargetMode="External"/><Relationship Id="rId1" Type="http://schemas.openxmlformats.org/officeDocument/2006/relationships/hyperlink" Target="https://clutch.co/de/agencies/digital-marketing" TargetMode="External"/><Relationship Id="rId2" Type="http://schemas.openxmlformats.org/officeDocument/2006/relationships/hyperlink" Target="http://clutch.co" TargetMode="External"/><Relationship Id="rId3" Type="http://schemas.openxmlformats.org/officeDocument/2006/relationships/hyperlink" Target="https://www.bakedwith.com/en/blog/the-best-geo-agencies-in-germany-an-overview" TargetMode="External"/><Relationship Id="rId4" Type="http://schemas.openxmlformats.org/officeDocument/2006/relationships/hyperlink" Target="http://bakedwith.com" TargetMode="External"/><Relationship Id="rId3030" Type="http://schemas.openxmlformats.org/officeDocument/2006/relationships/hyperlink" Target="http://thinkwithalec.com" TargetMode="External"/><Relationship Id="rId9" Type="http://schemas.openxmlformats.org/officeDocument/2006/relationships/hyperlink" Target="https://clutch.co/de/agencies" TargetMode="External"/><Relationship Id="rId3032" Type="http://schemas.openxmlformats.org/officeDocument/2006/relationships/hyperlink" Target="http://thinkwithgoogle.com" TargetMode="External"/><Relationship Id="rId3031" Type="http://schemas.openxmlformats.org/officeDocument/2006/relationships/hyperlink" Target="https://www.thinkwithgoogle.com/intl/de-de/marketing-strategien/daten-und-messung/im-interview-mit-der-performance-agentur-hurra-communications/" TargetMode="External"/><Relationship Id="rId3034" Type="http://schemas.openxmlformats.org/officeDocument/2006/relationships/hyperlink" Target="http://thjnk.de" TargetMode="External"/><Relationship Id="rId3033" Type="http://schemas.openxmlformats.org/officeDocument/2006/relationships/hyperlink" Target="https://www.thjnk.de/en/post/thjnk-and-ogilvy-launch-a-unique-partnership-on-equal-footing-a-significant-step-in-the-german-agen" TargetMode="External"/><Relationship Id="rId5" Type="http://schemas.openxmlformats.org/officeDocument/2006/relationships/hyperlink" Target="https://vitasoft.co/best/geo-agency-germany/" TargetMode="External"/><Relationship Id="rId3036" Type="http://schemas.openxmlformats.org/officeDocument/2006/relationships/hyperlink" Target="http://thoughtworks.com" TargetMode="External"/><Relationship Id="rId6" Type="http://schemas.openxmlformats.org/officeDocument/2006/relationships/hyperlink" Target="http://vitasoft.co" TargetMode="External"/><Relationship Id="rId3035" Type="http://schemas.openxmlformats.org/officeDocument/2006/relationships/hyperlink" Target="https://www.thoughtworks.com/en-de/what-we-do/ai/ai-readiness" TargetMode="External"/><Relationship Id="rId7" Type="http://schemas.openxmlformats.org/officeDocument/2006/relationships/hyperlink" Target="https://agencies.semrush.com/list/germany/" TargetMode="External"/><Relationship Id="rId3038" Type="http://schemas.openxmlformats.org/officeDocument/2006/relationships/hyperlink" Target="http://threebestrated.de" TargetMode="External"/><Relationship Id="rId8" Type="http://schemas.openxmlformats.org/officeDocument/2006/relationships/hyperlink" Target="http://semrush.com" TargetMode="External"/><Relationship Id="rId3037" Type="http://schemas.openxmlformats.org/officeDocument/2006/relationships/hyperlink" Target="https://threebestrated.de/advertising-agencies-in-frankfurt" TargetMode="External"/><Relationship Id="rId3029" Type="http://schemas.openxmlformats.org/officeDocument/2006/relationships/hyperlink" Target="https://thinkwithalec.com/2025/03/02/best-marketing-platforms-for-tracking-first-party-data/" TargetMode="External"/><Relationship Id="rId3028" Type="http://schemas.openxmlformats.org/officeDocument/2006/relationships/hyperlink" Target="http://thetechfounders.co.uk" TargetMode="External"/><Relationship Id="rId3021" Type="http://schemas.openxmlformats.org/officeDocument/2006/relationships/hyperlink" Target="https://www.thenavsoft.com/ai-development-services-company/ai-seo/" TargetMode="External"/><Relationship Id="rId3020" Type="http://schemas.openxmlformats.org/officeDocument/2006/relationships/hyperlink" Target="http://themanifest.com" TargetMode="External"/><Relationship Id="rId3023" Type="http://schemas.openxmlformats.org/officeDocument/2006/relationships/hyperlink" Target="https://www.therankmasters.com/insights/vendors/best-aeo-agencies" TargetMode="External"/><Relationship Id="rId3022" Type="http://schemas.openxmlformats.org/officeDocument/2006/relationships/hyperlink" Target="http://thenavsoft.com" TargetMode="External"/><Relationship Id="rId3025" Type="http://schemas.openxmlformats.org/officeDocument/2006/relationships/hyperlink" Target="https://thesocialshepherd.com/blog/top-creative-agencies-us" TargetMode="External"/><Relationship Id="rId3024" Type="http://schemas.openxmlformats.org/officeDocument/2006/relationships/hyperlink" Target="http://therankmasters.com" TargetMode="External"/><Relationship Id="rId3027" Type="http://schemas.openxmlformats.org/officeDocument/2006/relationships/hyperlink" Target="https://thetechfounders.co.uk/guides/10-best-ai-readiness-assessment-platforms-available-in-2026/" TargetMode="External"/><Relationship Id="rId3026" Type="http://schemas.openxmlformats.org/officeDocument/2006/relationships/hyperlink" Target="http://thesocialshepherd.com" TargetMode="External"/><Relationship Id="rId3050" Type="http://schemas.openxmlformats.org/officeDocument/2006/relationships/hyperlink" Target="http://topinteractiveagencies.com" TargetMode="External"/><Relationship Id="rId3052" Type="http://schemas.openxmlformats.org/officeDocument/2006/relationships/hyperlink" Target="http://touchstoneresearch.com" TargetMode="External"/><Relationship Id="rId3051" Type="http://schemas.openxmlformats.org/officeDocument/2006/relationships/hyperlink" Target="https://touchstoneresearch.com/top-10-global-market-research-companies/" TargetMode="External"/><Relationship Id="rId3054" Type="http://schemas.openxmlformats.org/officeDocument/2006/relationships/hyperlink" Target="http://towa-digital.com" TargetMode="External"/><Relationship Id="rId3053" Type="http://schemas.openxmlformats.org/officeDocument/2006/relationships/hyperlink" Target="https://www.towa-digital.com/en/technology/google-marketing-platform/" TargetMode="External"/><Relationship Id="rId3056" Type="http://schemas.openxmlformats.org/officeDocument/2006/relationships/hyperlink" Target="https://tracify.ai/en" TargetMode="External"/><Relationship Id="rId3055" Type="http://schemas.openxmlformats.org/officeDocument/2006/relationships/hyperlink" Target="https://www.tppc.agency/" TargetMode="External"/><Relationship Id="rId3058" Type="http://schemas.openxmlformats.org/officeDocument/2006/relationships/hyperlink" Target="https://tradefest.io/es/event/d3con" TargetMode="External"/><Relationship Id="rId3057" Type="http://schemas.openxmlformats.org/officeDocument/2006/relationships/hyperlink" Target="http://tracify.ai" TargetMode="External"/><Relationship Id="rId3059" Type="http://schemas.openxmlformats.org/officeDocument/2006/relationships/hyperlink" Target="http://tradefest.io" TargetMode="External"/><Relationship Id="rId3041" Type="http://schemas.openxmlformats.org/officeDocument/2006/relationships/hyperlink" Target="https://www.timospecht.de/en/seo-starnberg/" TargetMode="External"/><Relationship Id="rId3040" Type="http://schemas.openxmlformats.org/officeDocument/2006/relationships/hyperlink" Target="http://timospecht.de" TargetMode="External"/><Relationship Id="rId3043" Type="http://schemas.openxmlformats.org/officeDocument/2006/relationships/hyperlink" Target="https://tms-outsource.com/blog/posts/tech-companies-in-germany/" TargetMode="External"/><Relationship Id="rId3042" Type="http://schemas.openxmlformats.org/officeDocument/2006/relationships/hyperlink" Target="http://timospecht.de" TargetMode="External"/><Relationship Id="rId3045" Type="http://schemas.openxmlformats.org/officeDocument/2006/relationships/hyperlink" Target="https://www.todaymade.com/blog/top-creative-agencies" TargetMode="External"/><Relationship Id="rId3044" Type="http://schemas.openxmlformats.org/officeDocument/2006/relationships/hyperlink" Target="http://tms-outsource.com" TargetMode="External"/><Relationship Id="rId3047" Type="http://schemas.openxmlformats.org/officeDocument/2006/relationships/hyperlink" Target="https://toolradar.com/best/attribution" TargetMode="External"/><Relationship Id="rId3046" Type="http://schemas.openxmlformats.org/officeDocument/2006/relationships/hyperlink" Target="http://todaymade.com" TargetMode="External"/><Relationship Id="rId3049" Type="http://schemas.openxmlformats.org/officeDocument/2006/relationships/hyperlink" Target="https://www.topinteractiveagencies.com/digital/agency/profile/europe/germany-deutschland/munich/serviceplan-group/" TargetMode="External"/><Relationship Id="rId3048" Type="http://schemas.openxmlformats.org/officeDocument/2006/relationships/hyperlink" Target="http://toolradar.com" TargetMode="External"/><Relationship Id="rId2600" Type="http://schemas.openxmlformats.org/officeDocument/2006/relationships/hyperlink" Target="http://oneclub.org" TargetMode="External"/><Relationship Id="rId2601" Type="http://schemas.openxmlformats.org/officeDocument/2006/relationships/hyperlink" Target="https://www.oneclub.org/awards/rankings/-archive/independantagency/2024/all/2/276" TargetMode="External"/><Relationship Id="rId2602" Type="http://schemas.openxmlformats.org/officeDocument/2006/relationships/hyperlink" Target="http://oneclub.org" TargetMode="External"/><Relationship Id="rId2603" Type="http://schemas.openxmlformats.org/officeDocument/2006/relationships/hyperlink" Target="https://www.oneclub.org/press/-adce2024-rankings" TargetMode="External"/><Relationship Id="rId2604" Type="http://schemas.openxmlformats.org/officeDocument/2006/relationships/hyperlink" Target="http://oneclub.org" TargetMode="External"/><Relationship Id="rId2605" Type="http://schemas.openxmlformats.org/officeDocument/2006/relationships/hyperlink" Target="https://www.oneclub.org/press/-toc-2025-global-rankings" TargetMode="External"/><Relationship Id="rId2606" Type="http://schemas.openxmlformats.org/officeDocument/2006/relationships/hyperlink" Target="http://oneclub.org" TargetMode="External"/><Relationship Id="rId808" Type="http://schemas.openxmlformats.org/officeDocument/2006/relationships/hyperlink" Target="https://de.wikipedia.org/wiki/Jung_von_Matt" TargetMode="External"/><Relationship Id="rId2607" Type="http://schemas.openxmlformats.org/officeDocument/2006/relationships/hyperlink" Target="https://www.onehundred.digital/en/geo-generative-engine-optimization-agency-from-berlin-visibility-in-ai-systems/" TargetMode="External"/><Relationship Id="rId807" Type="http://schemas.openxmlformats.org/officeDocument/2006/relationships/hyperlink" Target="http://statista.com" TargetMode="External"/><Relationship Id="rId2608" Type="http://schemas.openxmlformats.org/officeDocument/2006/relationships/hyperlink" Target="https://www.onely.com/blog/best-b2b-seo-agencies/" TargetMode="External"/><Relationship Id="rId806" Type="http://schemas.openxmlformats.org/officeDocument/2006/relationships/hyperlink" Target="https://de.statista.com/statistik/daten/studie/168621/umfrage/top-30-kommunikationsagenturen-in-deutschland/" TargetMode="External"/><Relationship Id="rId2609" Type="http://schemas.openxmlformats.org/officeDocument/2006/relationships/hyperlink" Target="http://onely.com" TargetMode="External"/><Relationship Id="rId805" Type="http://schemas.openxmlformats.org/officeDocument/2006/relationships/hyperlink" Target="http://linkedin.com" TargetMode="External"/><Relationship Id="rId809" Type="http://schemas.openxmlformats.org/officeDocument/2006/relationships/hyperlink" Target="http://wikipedia.org" TargetMode="External"/><Relationship Id="rId800" Type="http://schemas.openxmlformats.org/officeDocument/2006/relationships/hyperlink" Target="http://contextstudios.ai" TargetMode="External"/><Relationship Id="rId804" Type="http://schemas.openxmlformats.org/officeDocument/2006/relationships/hyperlink" Target="https://de.linkedin.com/company/mawave-marketing" TargetMode="External"/><Relationship Id="rId803" Type="http://schemas.openxmlformats.org/officeDocument/2006/relationships/hyperlink" Target="http://daviesmeyer.com" TargetMode="External"/><Relationship Id="rId802" Type="http://schemas.openxmlformats.org/officeDocument/2006/relationships/hyperlink" Target="https://daviesmeyer.com/glossary/incrementality-testing" TargetMode="External"/><Relationship Id="rId801" Type="http://schemas.openxmlformats.org/officeDocument/2006/relationships/hyperlink" Target="https://csw.agency/en/the-best-geo-agencies-duesseldorf/" TargetMode="External"/><Relationship Id="rId1334" Type="http://schemas.openxmlformats.org/officeDocument/2006/relationships/hyperlink" Target="https://lifesight.io/" TargetMode="External"/><Relationship Id="rId2665" Type="http://schemas.openxmlformats.org/officeDocument/2006/relationships/hyperlink" Target="http://pndigital.co.uk" TargetMode="External"/><Relationship Id="rId1335" Type="http://schemas.openxmlformats.org/officeDocument/2006/relationships/hyperlink" Target="http://lifesight.io" TargetMode="External"/><Relationship Id="rId2666" Type="http://schemas.openxmlformats.org/officeDocument/2006/relationships/hyperlink" Target="https://www.pr-journal.de/nachrichten/agenturen/33037-agenturen-zeigen-breites-leistungsspektrum-ihrer-pr-arbeiten.html" TargetMode="External"/><Relationship Id="rId1336" Type="http://schemas.openxmlformats.org/officeDocument/2006/relationships/hyperlink" Target="https://www.linkedin.com/posts/landwehr_most-seo-agencies-are-now-geo-agencies-activity-7440030279630680064-yR88" TargetMode="External"/><Relationship Id="rId2667" Type="http://schemas.openxmlformats.org/officeDocument/2006/relationships/hyperlink" Target="http://pr-journal.de" TargetMode="External"/><Relationship Id="rId1337" Type="http://schemas.openxmlformats.org/officeDocument/2006/relationships/hyperlink" Target="http://linkedin.com" TargetMode="External"/><Relationship Id="rId2668" Type="http://schemas.openxmlformats.org/officeDocument/2006/relationships/hyperlink" Target="https://prescientai.com/blog/incrementality-testing-guide" TargetMode="External"/><Relationship Id="rId1338" Type="http://schemas.openxmlformats.org/officeDocument/2006/relationships/hyperlink" Target="https://madebyevoke.com/blog/top-branding-agencies-berlin" TargetMode="External"/><Relationship Id="rId2669" Type="http://schemas.openxmlformats.org/officeDocument/2006/relationships/hyperlink" Target="http://prescientai.com" TargetMode="External"/><Relationship Id="rId1339" Type="http://schemas.openxmlformats.org/officeDocument/2006/relationships/hyperlink" Target="http://madebyevoke.com" TargetMode="External"/><Relationship Id="rId745" Type="http://schemas.openxmlformats.org/officeDocument/2006/relationships/hyperlink" Target="https://passion4it.de/en/ai/" TargetMode="External"/><Relationship Id="rId744" Type="http://schemas.openxmlformats.org/officeDocument/2006/relationships/hyperlink" Target="http://withgoogle.com" TargetMode="External"/><Relationship Id="rId743" Type="http://schemas.openxmlformats.org/officeDocument/2006/relationships/hyperlink" Target="https://partnersdirectory.withgoogle.com/intl/de/" TargetMode="External"/><Relationship Id="rId742" Type="http://schemas.openxmlformats.org/officeDocument/2006/relationships/hyperlink" Target="http://onlinemarketingagenturde.de" TargetMode="External"/><Relationship Id="rId749" Type="http://schemas.openxmlformats.org/officeDocument/2006/relationships/hyperlink" Target="https://segmentstream.com/blog/articles/top-enterprise-marketing-analytics-and-attribution-platforms" TargetMode="External"/><Relationship Id="rId748" Type="http://schemas.openxmlformats.org/officeDocument/2006/relationships/hyperlink" Target="http://phable.io" TargetMode="External"/><Relationship Id="rId747" Type="http://schemas.openxmlformats.org/officeDocument/2006/relationships/hyperlink" Target="https://www.phable.io/top-creative-agencies/ty64guv22ftctcjddgh9avb7ywb85q" TargetMode="External"/><Relationship Id="rId746" Type="http://schemas.openxmlformats.org/officeDocument/2006/relationships/hyperlink" Target="http://passion4it.de" TargetMode="External"/><Relationship Id="rId2660" Type="http://schemas.openxmlformats.org/officeDocument/2006/relationships/hyperlink" Target="https://www.pixelmojo.io/best-ai-visibility-agencies" TargetMode="External"/><Relationship Id="rId741" Type="http://schemas.openxmlformats.org/officeDocument/2006/relationships/hyperlink" Target="https://www.onlinemarketingagenturde.de/beste-performance-marketing-agenturen-in-deutschland/" TargetMode="External"/><Relationship Id="rId1330" Type="http://schemas.openxmlformats.org/officeDocument/2006/relationships/hyperlink" Target="https://klickpiloten.de/kompetenzen/ai-driven-marketing" TargetMode="External"/><Relationship Id="rId2661" Type="http://schemas.openxmlformats.org/officeDocument/2006/relationships/hyperlink" Target="http://pixelmojo.io" TargetMode="External"/><Relationship Id="rId740" Type="http://schemas.openxmlformats.org/officeDocument/2006/relationships/hyperlink" Target="http://google.com" TargetMode="External"/><Relationship Id="rId1331" Type="http://schemas.openxmlformats.org/officeDocument/2006/relationships/hyperlink" Target="http://klickpiloten.de" TargetMode="External"/><Relationship Id="rId2662" Type="http://schemas.openxmlformats.org/officeDocument/2006/relationships/hyperlink" Target="https://platypusseo.com/blog/best-european-seo-agencies/" TargetMode="External"/><Relationship Id="rId1332" Type="http://schemas.openxmlformats.org/officeDocument/2006/relationships/hyperlink" Target="https://langdock.com/partners/directory" TargetMode="External"/><Relationship Id="rId2663" Type="http://schemas.openxmlformats.org/officeDocument/2006/relationships/hyperlink" Target="http://platypusseo.com" TargetMode="External"/><Relationship Id="rId1333" Type="http://schemas.openxmlformats.org/officeDocument/2006/relationships/hyperlink" Target="http://langdock.com" TargetMode="External"/><Relationship Id="rId2664" Type="http://schemas.openxmlformats.org/officeDocument/2006/relationships/hyperlink" Target="https://pndigital.co.uk/semrush-agency-partner/" TargetMode="External"/><Relationship Id="rId1323" Type="http://schemas.openxmlformats.org/officeDocument/2006/relationships/hyperlink" Target="http://influencer-hero.com" TargetMode="External"/><Relationship Id="rId2654" Type="http://schemas.openxmlformats.org/officeDocument/2006/relationships/hyperlink" Target="https://pikaseo.com/articles/best-ai-seo-agencies" TargetMode="External"/><Relationship Id="rId1324" Type="http://schemas.openxmlformats.org/officeDocument/2006/relationships/hyperlink" Target="https://influencermarketinghub.com/ai-marketing-agencies/" TargetMode="External"/><Relationship Id="rId2655" Type="http://schemas.openxmlformats.org/officeDocument/2006/relationships/hyperlink" Target="http://pikaseo.com" TargetMode="External"/><Relationship Id="rId1325" Type="http://schemas.openxmlformats.org/officeDocument/2006/relationships/hyperlink" Target="http://influencermarketinghub.com" TargetMode="External"/><Relationship Id="rId2656" Type="http://schemas.openxmlformats.org/officeDocument/2006/relationships/hyperlink" Target="https://www.pilot.de/leistungen/programmatic-advertising/" TargetMode="External"/><Relationship Id="rId1326" Type="http://schemas.openxmlformats.org/officeDocument/2006/relationships/hyperlink" Target="https://www.itpro.com/business/business-strategy/ai-projects-are-stalling-at-mid-market-firms-google-cloud-and-accenture-want-to-solve-that" TargetMode="External"/><Relationship Id="rId2657" Type="http://schemas.openxmlformats.org/officeDocument/2006/relationships/hyperlink" Target="http://pilot.de" TargetMode="External"/><Relationship Id="rId1327" Type="http://schemas.openxmlformats.org/officeDocument/2006/relationships/hyperlink" Target="http://itpro.com" TargetMode="External"/><Relationship Id="rId2658" Type="http://schemas.openxmlformats.org/officeDocument/2006/relationships/hyperlink" Target="https://pipeline.zoominfo.com/sales/intent-data-platform" TargetMode="External"/><Relationship Id="rId1328" Type="http://schemas.openxmlformats.org/officeDocument/2006/relationships/hyperlink" Target="https://www.kambria.de/en" TargetMode="External"/><Relationship Id="rId2659" Type="http://schemas.openxmlformats.org/officeDocument/2006/relationships/hyperlink" Target="http://zoominfo.com" TargetMode="External"/><Relationship Id="rId1329" Type="http://schemas.openxmlformats.org/officeDocument/2006/relationships/hyperlink" Target="http://kambria.de" TargetMode="External"/><Relationship Id="rId739" Type="http://schemas.openxmlformats.org/officeDocument/2006/relationships/hyperlink" Target="https://marketingplatform.google.com/about/partners/?hl=de" TargetMode="External"/><Relationship Id="rId734" Type="http://schemas.openxmlformats.org/officeDocument/2006/relationships/hyperlink" Target="http://hyam.de" TargetMode="External"/><Relationship Id="rId733" Type="http://schemas.openxmlformats.org/officeDocument/2006/relationships/hyperlink" Target="https://www.hyam.de/en/branding-agency" TargetMode="External"/><Relationship Id="rId732" Type="http://schemas.openxmlformats.org/officeDocument/2006/relationships/hyperlink" Target="http://google.com" TargetMode="External"/><Relationship Id="rId731" Type="http://schemas.openxmlformats.org/officeDocument/2006/relationships/hyperlink" Target="https://www.google.com/partners/" TargetMode="External"/><Relationship Id="rId738" Type="http://schemas.openxmlformats.org/officeDocument/2006/relationships/hyperlink" Target="http://google.com" TargetMode="External"/><Relationship Id="rId737" Type="http://schemas.openxmlformats.org/officeDocument/2006/relationships/hyperlink" Target="https://marketingplatform.google.com/about/partners/find-a-partner?category=206&amp;geo=Deutschland&amp;q=&amp;region=EU" TargetMode="External"/><Relationship Id="rId736" Type="http://schemas.openxmlformats.org/officeDocument/2006/relationships/hyperlink" Target="http://liftlab.com" TargetMode="External"/><Relationship Id="rId735" Type="http://schemas.openxmlformats.org/officeDocument/2006/relationships/hyperlink" Target="https://liftlab.com/solutions/incrementality-testing/" TargetMode="External"/><Relationship Id="rId730" Type="http://schemas.openxmlformats.org/officeDocument/2006/relationships/hyperlink" Target="https://gerlach.media/ratgeber/top-geo-agenturen-in-deutschland/" TargetMode="External"/><Relationship Id="rId2650" Type="http://schemas.openxmlformats.org/officeDocument/2006/relationships/hyperlink" Target="https://www.performanceliebe.de/geo-optimierung/" TargetMode="External"/><Relationship Id="rId1320" Type="http://schemas.openxmlformats.org/officeDocument/2006/relationships/hyperlink" Target="https://www.incremental.com/" TargetMode="External"/><Relationship Id="rId2651" Type="http://schemas.openxmlformats.org/officeDocument/2006/relationships/hyperlink" Target="http://performanceliebe.de" TargetMode="External"/><Relationship Id="rId1321" Type="http://schemas.openxmlformats.org/officeDocument/2006/relationships/hyperlink" Target="http://incremental.com" TargetMode="External"/><Relationship Id="rId2652" Type="http://schemas.openxmlformats.org/officeDocument/2006/relationships/hyperlink" Target="https://www.phdmedia.com/germany/services/measurement-and-reporting/" TargetMode="External"/><Relationship Id="rId1322" Type="http://schemas.openxmlformats.org/officeDocument/2006/relationships/hyperlink" Target="https://www.influencer-hero.com/blogs/top-social-media-agencies-in-munich" TargetMode="External"/><Relationship Id="rId2653" Type="http://schemas.openxmlformats.org/officeDocument/2006/relationships/hyperlink" Target="http://phdmedia.com" TargetMode="External"/><Relationship Id="rId1356" Type="http://schemas.openxmlformats.org/officeDocument/2006/relationships/hyperlink" Target="https://www.measured.com/incrementality-testing/" TargetMode="External"/><Relationship Id="rId2687" Type="http://schemas.openxmlformats.org/officeDocument/2006/relationships/hyperlink" Target="http://quoleady.com" TargetMode="External"/><Relationship Id="rId1357" Type="http://schemas.openxmlformats.org/officeDocument/2006/relationships/hyperlink" Target="http://measured.com" TargetMode="External"/><Relationship Id="rId2688" Type="http://schemas.openxmlformats.org/officeDocument/2006/relationships/hyperlink" Target="https://www.quora.com/What-are-Berlins-best-creative-agencies-in-advertising-digital-and-production" TargetMode="External"/><Relationship Id="rId1358" Type="http://schemas.openxmlformats.org/officeDocument/2006/relationships/hyperlink" Target="https://www.merkle.com/de/about-us/partnerships/google.html" TargetMode="External"/><Relationship Id="rId2689" Type="http://schemas.openxmlformats.org/officeDocument/2006/relationships/hyperlink" Target="http://quora.com" TargetMode="External"/><Relationship Id="rId1359" Type="http://schemas.openxmlformats.org/officeDocument/2006/relationships/hyperlink" Target="http://merkle.com" TargetMode="External"/><Relationship Id="rId767" Type="http://schemas.openxmlformats.org/officeDocument/2006/relationships/hyperlink" Target="https://www.youtube.com/watch?v=yqAWlB2swWU" TargetMode="External"/><Relationship Id="rId766" Type="http://schemas.openxmlformats.org/officeDocument/2006/relationships/hyperlink" Target="http://thebestagency.de" TargetMode="External"/><Relationship Id="rId765" Type="http://schemas.openxmlformats.org/officeDocument/2006/relationships/hyperlink" Target="https://thebestagency.de/the-best-agency-ranking/" TargetMode="External"/><Relationship Id="rId764" Type="http://schemas.openxmlformats.org/officeDocument/2006/relationships/hyperlink" Target="http://thebestagency.de" TargetMode="External"/><Relationship Id="rId769" Type="http://schemas.openxmlformats.org/officeDocument/2006/relationships/hyperlink" Target="https://agencies.semrush.com/list/analytics-data-science/business-professional-services/germany/" TargetMode="External"/><Relationship Id="rId768" Type="http://schemas.openxmlformats.org/officeDocument/2006/relationships/hyperlink" Target="http://youtube.com" TargetMode="External"/><Relationship Id="rId2680" Type="http://schemas.openxmlformats.org/officeDocument/2006/relationships/hyperlink" Target="https://publicisproduction.com/" TargetMode="External"/><Relationship Id="rId1350" Type="http://schemas.openxmlformats.org/officeDocument/2006/relationships/hyperlink" Target="https://marketingplatform.google.com/about/partners/find-a-partner" TargetMode="External"/><Relationship Id="rId2681" Type="http://schemas.openxmlformats.org/officeDocument/2006/relationships/hyperlink" Target="http://publicisproduction.com" TargetMode="External"/><Relationship Id="rId1351" Type="http://schemas.openxmlformats.org/officeDocument/2006/relationships/hyperlink" Target="http://google.com" TargetMode="External"/><Relationship Id="rId2682" Type="http://schemas.openxmlformats.org/officeDocument/2006/relationships/hyperlink" Target="https://www.pwc.de/en/customer-transformation/marketing-advisory/customer-data-platforms-cdp-consulting-services.html" TargetMode="External"/><Relationship Id="rId763" Type="http://schemas.openxmlformats.org/officeDocument/2006/relationships/hyperlink" Target="https://thebestagency.de/news/serviceplan-stuermt-an-die-spitze-des-rankings-von-the-best-agency/?media_link=1" TargetMode="External"/><Relationship Id="rId1352" Type="http://schemas.openxmlformats.org/officeDocument/2006/relationships/hyperlink" Target="https://www.mawave.com/about" TargetMode="External"/><Relationship Id="rId2683" Type="http://schemas.openxmlformats.org/officeDocument/2006/relationships/hyperlink" Target="http://pwc.de" TargetMode="External"/><Relationship Id="rId762" Type="http://schemas.openxmlformats.org/officeDocument/2006/relationships/hyperlink" Target="http://sourceforge.net" TargetMode="External"/><Relationship Id="rId1353" Type="http://schemas.openxmlformats.org/officeDocument/2006/relationships/hyperlink" Target="http://mawave.com" TargetMode="External"/><Relationship Id="rId2684" Type="http://schemas.openxmlformats.org/officeDocument/2006/relationships/hyperlink" Target="https://qoulomb.com/best-answer-engine-optimization-agencies/" TargetMode="External"/><Relationship Id="rId761" Type="http://schemas.openxmlformats.org/officeDocument/2006/relationships/hyperlink" Target="https://sourceforge.net/software/ai-marketing/germany/" TargetMode="External"/><Relationship Id="rId1354" Type="http://schemas.openxmlformats.org/officeDocument/2006/relationships/hyperlink" Target="https://www.mawave.com/kontakt" TargetMode="External"/><Relationship Id="rId2685" Type="http://schemas.openxmlformats.org/officeDocument/2006/relationships/hyperlink" Target="http://qoulomb.com" TargetMode="External"/><Relationship Id="rId760" Type="http://schemas.openxmlformats.org/officeDocument/2006/relationships/hyperlink" Target="http://sortlist.de" TargetMode="External"/><Relationship Id="rId1355" Type="http://schemas.openxmlformats.org/officeDocument/2006/relationships/hyperlink" Target="http://mawave.com" TargetMode="External"/><Relationship Id="rId2686" Type="http://schemas.openxmlformats.org/officeDocument/2006/relationships/hyperlink" Target="https://www.quoleady.com/growth-marketing-agencies/" TargetMode="External"/><Relationship Id="rId1345" Type="http://schemas.openxmlformats.org/officeDocument/2006/relationships/hyperlink" Target="http://makingscience.de" TargetMode="External"/><Relationship Id="rId2676" Type="http://schemas.openxmlformats.org/officeDocument/2006/relationships/hyperlink" Target="https://proove.dacgroup.com/services/measurement-optimization/incrementality/" TargetMode="External"/><Relationship Id="rId1346" Type="http://schemas.openxmlformats.org/officeDocument/2006/relationships/hyperlink" Target="https://www.marketingattribution.com/" TargetMode="External"/><Relationship Id="rId2677" Type="http://schemas.openxmlformats.org/officeDocument/2006/relationships/hyperlink" Target="http://dacgroup.com" TargetMode="External"/><Relationship Id="rId1347" Type="http://schemas.openxmlformats.org/officeDocument/2006/relationships/hyperlink" Target="http://marketingattribution.com" TargetMode="External"/><Relationship Id="rId2678" Type="http://schemas.openxmlformats.org/officeDocument/2006/relationships/hyperlink" Target="https://www.publicisgroupeuk.com/what-we-do/production/" TargetMode="External"/><Relationship Id="rId1348" Type="http://schemas.openxmlformats.org/officeDocument/2006/relationships/hyperlink" Target="https://marketingexpertshub.com/de/seo/best-aeo-agencies/" TargetMode="External"/><Relationship Id="rId2679" Type="http://schemas.openxmlformats.org/officeDocument/2006/relationships/hyperlink" Target="http://publicisgroupeuk.com" TargetMode="External"/><Relationship Id="rId1349" Type="http://schemas.openxmlformats.org/officeDocument/2006/relationships/hyperlink" Target="http://marketingexpertshub.com" TargetMode="External"/><Relationship Id="rId756" Type="http://schemas.openxmlformats.org/officeDocument/2006/relationships/hyperlink" Target="http://sortlist.de" TargetMode="External"/><Relationship Id="rId755" Type="http://schemas.openxmlformats.org/officeDocument/2006/relationships/hyperlink" Target="https://www.sortlist.de/s/attributionsmarketing/deutschland-de" TargetMode="External"/><Relationship Id="rId754" Type="http://schemas.openxmlformats.org/officeDocument/2006/relationships/hyperlink" Target="http://sortlist.com" TargetMode="External"/><Relationship Id="rId753" Type="http://schemas.openxmlformats.org/officeDocument/2006/relationships/hyperlink" Target="https://www.sortlist.com/s/artificial-intelligence/munich-by-de" TargetMode="External"/><Relationship Id="rId759" Type="http://schemas.openxmlformats.org/officeDocument/2006/relationships/hyperlink" Target="https://www.sortlist.de/web-analytics/deutschland-de" TargetMode="External"/><Relationship Id="rId758" Type="http://schemas.openxmlformats.org/officeDocument/2006/relationships/hyperlink" Target="http://sortlist.de" TargetMode="External"/><Relationship Id="rId757" Type="http://schemas.openxmlformats.org/officeDocument/2006/relationships/hyperlink" Target="https://www.sortlist.de/s/kunstliche-intelligenz/deutschland-de" TargetMode="External"/><Relationship Id="rId2670" Type="http://schemas.openxmlformats.org/officeDocument/2006/relationships/hyperlink" Target="https://product-marketing-agentur.de/performance-marketing" TargetMode="External"/><Relationship Id="rId1340" Type="http://schemas.openxmlformats.org/officeDocument/2006/relationships/hyperlink" Target="https://www.magier.com/blog/top-aeo-agencies" TargetMode="External"/><Relationship Id="rId2671" Type="http://schemas.openxmlformats.org/officeDocument/2006/relationships/hyperlink" Target="http://product-marketing-agentur.de" TargetMode="External"/><Relationship Id="rId752" Type="http://schemas.openxmlformats.org/officeDocument/2006/relationships/hyperlink" Target="http://smarketer.de" TargetMode="External"/><Relationship Id="rId1341" Type="http://schemas.openxmlformats.org/officeDocument/2006/relationships/hyperlink" Target="http://magier.com" TargetMode="External"/><Relationship Id="rId2672" Type="http://schemas.openxmlformats.org/officeDocument/2006/relationships/hyperlink" Target="https://www.projecter.de/" TargetMode="External"/><Relationship Id="rId751" Type="http://schemas.openxmlformats.org/officeDocument/2006/relationships/hyperlink" Target="https://www.smarketer.de/google-partner/" TargetMode="External"/><Relationship Id="rId1342" Type="http://schemas.openxmlformats.org/officeDocument/2006/relationships/hyperlink" Target="https://www.magier.com/de/blog/besten-aeo-agenturen" TargetMode="External"/><Relationship Id="rId2673" Type="http://schemas.openxmlformats.org/officeDocument/2006/relationships/hyperlink" Target="http://projecter.de" TargetMode="External"/><Relationship Id="rId750" Type="http://schemas.openxmlformats.org/officeDocument/2006/relationships/hyperlink" Target="http://segmentstream.com" TargetMode="External"/><Relationship Id="rId1343" Type="http://schemas.openxmlformats.org/officeDocument/2006/relationships/hyperlink" Target="http://magier.com" TargetMode="External"/><Relationship Id="rId2674" Type="http://schemas.openxmlformats.org/officeDocument/2006/relationships/hyperlink" Target="https://www.promodo.com/blog/best-geo-agencies" TargetMode="External"/><Relationship Id="rId1344" Type="http://schemas.openxmlformats.org/officeDocument/2006/relationships/hyperlink" Target="https://www.makingscience.de/digital-solutions/google-marketing-platform/" TargetMode="External"/><Relationship Id="rId2675" Type="http://schemas.openxmlformats.org/officeDocument/2006/relationships/hyperlink" Target="http://promodo.com" TargetMode="External"/><Relationship Id="rId2621" Type="http://schemas.openxmlformats.org/officeDocument/2006/relationships/hyperlink" Target="http://openassistantgpt.io" TargetMode="External"/><Relationship Id="rId2622" Type="http://schemas.openxmlformats.org/officeDocument/2006/relationships/hyperlink" Target="https://www.opnrs.com/" TargetMode="External"/><Relationship Id="rId2623" Type="http://schemas.openxmlformats.org/officeDocument/2006/relationships/hyperlink" Target="http://opnrs.com" TargetMode="External"/><Relationship Id="rId2624" Type="http://schemas.openxmlformats.org/officeDocument/2006/relationships/hyperlink" Target="https://www.orangemarketing.com/aeo-answer-engine-optimization-service" TargetMode="External"/><Relationship Id="rId2625" Type="http://schemas.openxmlformats.org/officeDocument/2006/relationships/hyperlink" Target="http://orangemarketing.com" TargetMode="External"/><Relationship Id="rId2626" Type="http://schemas.openxmlformats.org/officeDocument/2006/relationships/hyperlink" Target="https://origami.chat/blog/best-ai-marketing-analytics-tools" TargetMode="External"/><Relationship Id="rId2627" Type="http://schemas.openxmlformats.org/officeDocument/2006/relationships/hyperlink" Target="https://origami.chat/blog/d2c-brands-germany-shopify-ads-prospecting-guide-2026" TargetMode="External"/><Relationship Id="rId2628" Type="http://schemas.openxmlformats.org/officeDocument/2006/relationships/hyperlink" Target="https://oski.site/blog/analytics-strategy-consulting-companies-germany/" TargetMode="External"/><Relationship Id="rId709" Type="http://schemas.openxmlformats.org/officeDocument/2006/relationships/hyperlink" Target="http://clutch.co" TargetMode="External"/><Relationship Id="rId2629" Type="http://schemas.openxmlformats.org/officeDocument/2006/relationships/hyperlink" Target="https://www.osmos.ai/blog/first-party-data-in-retail-media-the-complete-targeting-guide" TargetMode="External"/><Relationship Id="rId708" Type="http://schemas.openxmlformats.org/officeDocument/2006/relationships/hyperlink" Target="https://clutch.co/de/agencies/programmatic" TargetMode="External"/><Relationship Id="rId707" Type="http://schemas.openxmlformats.org/officeDocument/2006/relationships/hyperlink" Target="http://clutch.co" TargetMode="External"/><Relationship Id="rId706" Type="http://schemas.openxmlformats.org/officeDocument/2006/relationships/hyperlink" Target="https://clutch.co/agencies/ppc/display" TargetMode="External"/><Relationship Id="rId701" Type="http://schemas.openxmlformats.org/officeDocument/2006/relationships/hyperlink" Target="http://applabx.com" TargetMode="External"/><Relationship Id="rId700" Type="http://schemas.openxmlformats.org/officeDocument/2006/relationships/hyperlink" Target="https://blog.applabx.com/top-10-best-digital-marketing-agencies-in-germany-in-2026/" TargetMode="External"/><Relationship Id="rId705" Type="http://schemas.openxmlformats.org/officeDocument/2006/relationships/hyperlink" Target="http://campaigngermany.de" TargetMode="External"/><Relationship Id="rId704" Type="http://schemas.openxmlformats.org/officeDocument/2006/relationships/hyperlink" Target="https://campaigngermany.de/news/beitrag/2502-bvdw-ranking-2025-das-sind-die-kreativsten-digitalagenturen-deutschlands.html" TargetMode="External"/><Relationship Id="rId703" Type="http://schemas.openxmlformats.org/officeDocument/2006/relationships/hyperlink" Target="http://bvdw.org" TargetMode="External"/><Relationship Id="rId702" Type="http://schemas.openxmlformats.org/officeDocument/2006/relationships/hyperlink" Target="https://www.bvdw.org/news-und-publikationen/bvdw-kreativranking-2025/" TargetMode="External"/><Relationship Id="rId2620" Type="http://schemas.openxmlformats.org/officeDocument/2006/relationships/hyperlink" Target="https://www.openassistantgpt.io/blogs/aeo-geo-llm-ranking-tool-enterprise" TargetMode="External"/><Relationship Id="rId2610" Type="http://schemas.openxmlformats.org/officeDocument/2006/relationships/hyperlink" Target="https://www.onely.com/blog/best-digital-marketing-agencies/" TargetMode="External"/><Relationship Id="rId2611" Type="http://schemas.openxmlformats.org/officeDocument/2006/relationships/hyperlink" Target="http://onely.com" TargetMode="External"/><Relationship Id="rId2612" Type="http://schemas.openxmlformats.org/officeDocument/2006/relationships/hyperlink" Target="https://www.onetoone.de/artikel/db/235291SUR.html" TargetMode="External"/><Relationship Id="rId2613" Type="http://schemas.openxmlformats.org/officeDocument/2006/relationships/hyperlink" Target="http://onetoone.de" TargetMode="External"/><Relationship Id="rId2614" Type="http://schemas.openxmlformats.org/officeDocument/2006/relationships/hyperlink" Target="https://www.onetoone.de/performance-ranking/performance_2023" TargetMode="External"/><Relationship Id="rId2615" Type="http://schemas.openxmlformats.org/officeDocument/2006/relationships/hyperlink" Target="http://onetoone.de" TargetMode="External"/><Relationship Id="rId2616" Type="http://schemas.openxmlformats.org/officeDocument/2006/relationships/hyperlink" Target="https://www.online-digitalx.de/en/searchengineoptimization/" TargetMode="External"/><Relationship Id="rId2617" Type="http://schemas.openxmlformats.org/officeDocument/2006/relationships/hyperlink" Target="http://online-digitalx.de" TargetMode="External"/><Relationship Id="rId2618" Type="http://schemas.openxmlformats.org/officeDocument/2006/relationships/hyperlink" Target="https://open.spotify.com/show/2KwD77vAcC9acv5NhCHnAF" TargetMode="External"/><Relationship Id="rId2619" Type="http://schemas.openxmlformats.org/officeDocument/2006/relationships/hyperlink" Target="http://spotify.com" TargetMode="External"/><Relationship Id="rId1312" Type="http://schemas.openxmlformats.org/officeDocument/2006/relationships/hyperlink" Target="https://www.hurra.com/de" TargetMode="External"/><Relationship Id="rId2643"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1313" Type="http://schemas.openxmlformats.org/officeDocument/2006/relationships/hyperlink" Target="http://hurra.com" TargetMode="External"/><Relationship Id="rId2644" Type="http://schemas.openxmlformats.org/officeDocument/2006/relationships/hyperlink" Target="http://withgoogle.com" TargetMode="External"/><Relationship Id="rId1314" Type="http://schemas.openxmlformats.org/officeDocument/2006/relationships/hyperlink" Target="https://www.ibusiness.de/performance-ranking/performance_2024.html?sub=4" TargetMode="External"/><Relationship Id="rId2645" Type="http://schemas.openxmlformats.org/officeDocument/2006/relationships/hyperlink" Target="https://peakace.agency/en/digital-strategy/" TargetMode="External"/><Relationship Id="rId1315" Type="http://schemas.openxmlformats.org/officeDocument/2006/relationships/hyperlink" Target="http://ibusiness.de" TargetMode="External"/><Relationship Id="rId2646" Type="http://schemas.openxmlformats.org/officeDocument/2006/relationships/hyperlink" Target="https://www.performanceliebe.de/ai-mentions-agency-germany/" TargetMode="External"/><Relationship Id="rId1316" Type="http://schemas.openxmlformats.org/officeDocument/2006/relationships/hyperlink" Target="https://www.ibusiness.de/performance-ranking/performance_2025.html?sub=1" TargetMode="External"/><Relationship Id="rId2647" Type="http://schemas.openxmlformats.org/officeDocument/2006/relationships/hyperlink" Target="http://performanceliebe.de" TargetMode="External"/><Relationship Id="rId1317" Type="http://schemas.openxmlformats.org/officeDocument/2006/relationships/hyperlink" Target="http://ibusiness.de" TargetMode="External"/><Relationship Id="rId2648" Type="http://schemas.openxmlformats.org/officeDocument/2006/relationships/hyperlink" Target="https://www.performanceliebe.de/generative-engine-optimization/" TargetMode="External"/><Relationship Id="rId1318" Type="http://schemas.openxmlformats.org/officeDocument/2006/relationships/hyperlink" Target="https://inbeat.agency/blog/top-marketing-measurement-and-analytics-companies" TargetMode="External"/><Relationship Id="rId2649" Type="http://schemas.openxmlformats.org/officeDocument/2006/relationships/hyperlink" Target="http://performanceliebe.de" TargetMode="External"/><Relationship Id="rId1319" Type="http://schemas.openxmlformats.org/officeDocument/2006/relationships/hyperlink" Target="https://inbeat.agency/blog/top-media-buying-agencies" TargetMode="External"/><Relationship Id="rId729" Type="http://schemas.openxmlformats.org/officeDocument/2006/relationships/hyperlink" Target="http://gemprogrammers.com" TargetMode="External"/><Relationship Id="rId728" Type="http://schemas.openxmlformats.org/officeDocument/2006/relationships/hyperlink" Target="https://gemprogrammers.com/best-digital-marketing-agency-germany/" TargetMode="External"/><Relationship Id="rId723" Type="http://schemas.openxmlformats.org/officeDocument/2006/relationships/hyperlink" Target="https://e-dialog.group/google-sales-partner/google-marketing-platform/" TargetMode="External"/><Relationship Id="rId722" Type="http://schemas.openxmlformats.org/officeDocument/2006/relationships/hyperlink" Target="https://e-dialog.group/en/strategies/performance-marketing-agency/" TargetMode="External"/><Relationship Id="rId721" Type="http://schemas.openxmlformats.org/officeDocument/2006/relationships/hyperlink" Target="http://designrush.com" TargetMode="External"/><Relationship Id="rId720" Type="http://schemas.openxmlformats.org/officeDocument/2006/relationships/hyperlink" Target="https://www.designrush.com/agency/ai-companies/de" TargetMode="External"/><Relationship Id="rId727" Type="http://schemas.openxmlformats.org/officeDocument/2006/relationships/hyperlink" Target="http://firstpagesage.com" TargetMode="External"/><Relationship Id="rId726" Type="http://schemas.openxmlformats.org/officeDocument/2006/relationships/hyperlink" Target="https://firstpagesage.com/seo-blog/the-top-answer-engine-optimization-aeo-companies/" TargetMode="External"/><Relationship Id="rId725" Type="http://schemas.openxmlformats.org/officeDocument/2006/relationships/hyperlink" Target="http://easy-m.de" TargetMode="External"/><Relationship Id="rId724" Type="http://schemas.openxmlformats.org/officeDocument/2006/relationships/hyperlink" Target="https://easy-m.de/" TargetMode="External"/><Relationship Id="rId2640" Type="http://schemas.openxmlformats.org/officeDocument/2006/relationships/hyperlink" Target="http://paramark.com" TargetMode="External"/><Relationship Id="rId1310" Type="http://schemas.openxmlformats.org/officeDocument/2006/relationships/hyperlink" Target="https://www.house-of-communication.com/sv/en/brands/serviceplan.html" TargetMode="External"/><Relationship Id="rId2641"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1311" Type="http://schemas.openxmlformats.org/officeDocument/2006/relationships/hyperlink" Target="http://house-of-communication.com" TargetMode="External"/><Relationship Id="rId2642" Type="http://schemas.openxmlformats.org/officeDocument/2006/relationships/hyperlink" Target="http://withgoogle.com" TargetMode="External"/><Relationship Id="rId1301" Type="http://schemas.openxmlformats.org/officeDocument/2006/relationships/hyperlink" Target="http://google.de" TargetMode="External"/><Relationship Id="rId2632" Type="http://schemas.openxmlformats.org/officeDocument/2006/relationships/hyperlink" Target="http://outreachz.com" TargetMode="External"/><Relationship Id="rId1302" Type="http://schemas.openxmlformats.org/officeDocument/2006/relationships/hyperlink" Target="https://grabarz-group.de/en/" TargetMode="External"/><Relationship Id="rId2633" Type="http://schemas.openxmlformats.org/officeDocument/2006/relationships/hyperlink" Target="https://www.outrightcrm.com/blog/roi-focused-digital-marketing-agencies/" TargetMode="External"/><Relationship Id="rId1303" Type="http://schemas.openxmlformats.org/officeDocument/2006/relationships/hyperlink" Target="http://grabarz-group.de" TargetMode="External"/><Relationship Id="rId2634" Type="http://schemas.openxmlformats.org/officeDocument/2006/relationships/hyperlink" Target="http://outrightcrm.com" TargetMode="External"/><Relationship Id="rId1304" Type="http://schemas.openxmlformats.org/officeDocument/2006/relationships/hyperlink" Target="https://www.gravima.de/en/ai-consulting-marketing-agency" TargetMode="External"/><Relationship Id="rId2635" Type="http://schemas.openxmlformats.org/officeDocument/2006/relationships/hyperlink" Target="https://p3adaptive.com/the-10-best-ai-consulting-companies-for-enterprise-in-2026/" TargetMode="External"/><Relationship Id="rId1305" Type="http://schemas.openxmlformats.org/officeDocument/2006/relationships/hyperlink" Target="http://gravima.de" TargetMode="External"/><Relationship Id="rId2636" Type="http://schemas.openxmlformats.org/officeDocument/2006/relationships/hyperlink" Target="http://p3adaptive.com" TargetMode="External"/><Relationship Id="rId1306" Type="http://schemas.openxmlformats.org/officeDocument/2006/relationships/hyperlink" Target="https://growthmanager.ai/best-geo-agency" TargetMode="External"/><Relationship Id="rId2637" Type="http://schemas.openxmlformats.org/officeDocument/2006/relationships/hyperlink" Target="https://www.panorama-consulting.com/services/ai-readiness-and-enablement-service-offering/" TargetMode="External"/><Relationship Id="rId1307" Type="http://schemas.openxmlformats.org/officeDocument/2006/relationships/hyperlink" Target="http://growthmanager.ai" TargetMode="External"/><Relationship Id="rId2638" Type="http://schemas.openxmlformats.org/officeDocument/2006/relationships/hyperlink" Target="http://panorama-consulting.com" TargetMode="External"/><Relationship Id="rId1308" Type="http://schemas.openxmlformats.org/officeDocument/2006/relationships/hyperlink" Target="https://www.growthmarketingpro.com/best-aeo-marketing-agencies/" TargetMode="External"/><Relationship Id="rId2639" Type="http://schemas.openxmlformats.org/officeDocument/2006/relationships/hyperlink" Target="https://paramark.com/incrementality-testing" TargetMode="External"/><Relationship Id="rId1309" Type="http://schemas.openxmlformats.org/officeDocument/2006/relationships/hyperlink" Target="http://growthmarketingpro.com" TargetMode="External"/><Relationship Id="rId719" Type="http://schemas.openxmlformats.org/officeDocument/2006/relationships/hyperlink" Target="http://wikipedia.org" TargetMode="External"/><Relationship Id="rId718" Type="http://schemas.openxmlformats.org/officeDocument/2006/relationships/hyperlink" Target="https://de.wikipedia.org/wiki/Serviceplan_Group" TargetMode="External"/><Relationship Id="rId717" Type="http://schemas.openxmlformats.org/officeDocument/2006/relationships/hyperlink" Target="http://comcepta.de" TargetMode="External"/><Relationship Id="rId712" Type="http://schemas.openxmlformats.org/officeDocument/2006/relationships/hyperlink" Target="https://clutch.co/de/developers/artificial-intelligence" TargetMode="External"/><Relationship Id="rId711" Type="http://schemas.openxmlformats.org/officeDocument/2006/relationships/hyperlink" Target="http://clutch.co" TargetMode="External"/><Relationship Id="rId710" Type="http://schemas.openxmlformats.org/officeDocument/2006/relationships/hyperlink" Target="https://clutch.co/de/consulting/ai/maturation" TargetMode="External"/><Relationship Id="rId716" Type="http://schemas.openxmlformats.org/officeDocument/2006/relationships/hyperlink" Target="https://www.comcepta.de/ki-reifegrad" TargetMode="External"/><Relationship Id="rId715" Type="http://schemas.openxmlformats.org/officeDocument/2006/relationships/hyperlink" Target="http://clutch.co" TargetMode="External"/><Relationship Id="rId714" Type="http://schemas.openxmlformats.org/officeDocument/2006/relationships/hyperlink" Target="https://clutch.co/de/developers/artificial-intelligence/generative" TargetMode="External"/><Relationship Id="rId713" Type="http://schemas.openxmlformats.org/officeDocument/2006/relationships/hyperlink" Target="http://clutch.co" TargetMode="External"/><Relationship Id="rId2630" Type="http://schemas.openxmlformats.org/officeDocument/2006/relationships/hyperlink" Target="http://osmos.ai" TargetMode="External"/><Relationship Id="rId1300" Type="http://schemas.openxmlformats.org/officeDocument/2006/relationships/hyperlink" Target="https://www.google.de/intl/en/ads/publisher/partners/find-a-partner/" TargetMode="External"/><Relationship Id="rId2631" Type="http://schemas.openxmlformats.org/officeDocument/2006/relationships/hyperlink" Target="https://outreachz.com/blog/best-ai-marketing-agencies-2026/" TargetMode="External"/><Relationship Id="rId3117" Type="http://schemas.openxmlformats.org/officeDocument/2006/relationships/hyperlink" Target="https://videofactory.agency/" TargetMode="External"/><Relationship Id="rId3116" Type="http://schemas.openxmlformats.org/officeDocument/2006/relationships/hyperlink" Target="http://vibebranding.com" TargetMode="External"/><Relationship Id="rId3119" Type="http://schemas.openxmlformats.org/officeDocument/2006/relationships/hyperlink" Target="https://vitasoft.co/best/geo-agentur-deutschland" TargetMode="External"/><Relationship Id="rId3118" Type="http://schemas.openxmlformats.org/officeDocument/2006/relationships/hyperlink" Target="https://viston.tech/top-10-ai-integration-consulting-firms-in-germany-for-2026/" TargetMode="External"/><Relationship Id="rId3111" Type="http://schemas.openxmlformats.org/officeDocument/2006/relationships/hyperlink" Target="https://verdtek.com/ai-adoption/" TargetMode="External"/><Relationship Id="rId3110" Type="http://schemas.openxmlformats.org/officeDocument/2006/relationships/hyperlink" Target="http://ventum-consulting.com" TargetMode="External"/><Relationship Id="rId3113" Type="http://schemas.openxmlformats.org/officeDocument/2006/relationships/hyperlink" Target="https://vertriebspilot.ai/en/blog/best-german-ai-automation-agencies-2026.html" TargetMode="External"/><Relationship Id="rId3112" Type="http://schemas.openxmlformats.org/officeDocument/2006/relationships/hyperlink" Target="http://verdtek.com" TargetMode="External"/><Relationship Id="rId3115" Type="http://schemas.openxmlformats.org/officeDocument/2006/relationships/hyperlink" Target="https://vibebranding.com/blog/best-performance-marketing-agencies/" TargetMode="External"/><Relationship Id="rId3114" Type="http://schemas.openxmlformats.org/officeDocument/2006/relationships/hyperlink" Target="http://vertriebspilot.ai" TargetMode="External"/><Relationship Id="rId3106" Type="http://schemas.openxmlformats.org/officeDocument/2006/relationships/hyperlink" Target="http://varify.io" TargetMode="External"/><Relationship Id="rId3105" Type="http://schemas.openxmlformats.org/officeDocument/2006/relationships/hyperlink" Target="https://varify.io/en/blog/cro-agencies/" TargetMode="External"/><Relationship Id="rId3108" Type="http://schemas.openxmlformats.org/officeDocument/2006/relationships/hyperlink" Target="http://venngage.com" TargetMode="External"/><Relationship Id="rId3107" Type="http://schemas.openxmlformats.org/officeDocument/2006/relationships/hyperlink" Target="https://venngage.com/blog/ai-marketing-tools/" TargetMode="External"/><Relationship Id="rId3109" Type="http://schemas.openxmlformats.org/officeDocument/2006/relationships/hyperlink" Target="https://www.ventum-consulting.com/assessments/ai-readiness-assessment-workshop/" TargetMode="External"/><Relationship Id="rId3100" Type="http://schemas.openxmlformats.org/officeDocument/2006/relationships/hyperlink" Target="http://usercentrics.com" TargetMode="External"/><Relationship Id="rId3102" Type="http://schemas.openxmlformats.org/officeDocument/2006/relationships/hyperlink" Target="http://usercentrics.com" TargetMode="External"/><Relationship Id="rId3101" Type="http://schemas.openxmlformats.org/officeDocument/2006/relationships/hyperlink" Target="https://usercentrics.com/partner-network/jung-von-matt-ag/" TargetMode="External"/><Relationship Id="rId3104" Type="http://schemas.openxmlformats.org/officeDocument/2006/relationships/hyperlink" Target="http://valtech.com" TargetMode="External"/><Relationship Id="rId3103" Type="http://schemas.openxmlformats.org/officeDocument/2006/relationships/hyperlink" Target="https://www.valtech.com/blog/closing-the-ai-readiness-gap/" TargetMode="External"/><Relationship Id="rId3139" Type="http://schemas.openxmlformats.org/officeDocument/2006/relationships/hyperlink" Target="https://webmetic.de/analytics-insights" TargetMode="External"/><Relationship Id="rId3138" Type="http://schemas.openxmlformats.org/officeDocument/2006/relationships/hyperlink" Target="http://webguruz.in" TargetMode="External"/><Relationship Id="rId3131" Type="http://schemas.openxmlformats.org/officeDocument/2006/relationships/hyperlink" Target="https://www.weareqry.com/blog/best-performance-marketing-agencies" TargetMode="External"/><Relationship Id="rId3130" Type="http://schemas.openxmlformats.org/officeDocument/2006/relationships/hyperlink" Target="http://weareqry.com" TargetMode="External"/><Relationship Id="rId3133" Type="http://schemas.openxmlformats.org/officeDocument/2006/relationships/hyperlink" Target="https://www.wearetenet.com/blog/best-ai-seo-agencies" TargetMode="External"/><Relationship Id="rId3132" Type="http://schemas.openxmlformats.org/officeDocument/2006/relationships/hyperlink" Target="http://weareqry.com" TargetMode="External"/><Relationship Id="rId3135" Type="http://schemas.openxmlformats.org/officeDocument/2006/relationships/hyperlink" Target="https://www.webfx.com/digital-marketing/learn/top-martech-companies/" TargetMode="External"/><Relationship Id="rId3134" Type="http://schemas.openxmlformats.org/officeDocument/2006/relationships/hyperlink" Target="http://wearetenet.com" TargetMode="External"/><Relationship Id="rId3137" Type="http://schemas.openxmlformats.org/officeDocument/2006/relationships/hyperlink" Target="https://webguruz.in/blog/best-google-ads-agencies-india" TargetMode="External"/><Relationship Id="rId3136" Type="http://schemas.openxmlformats.org/officeDocument/2006/relationships/hyperlink" Target="http://webfx.com" TargetMode="External"/><Relationship Id="rId3128" Type="http://schemas.openxmlformats.org/officeDocument/2006/relationships/hyperlink" Target="http://wearecatalyst.co.uk" TargetMode="External"/><Relationship Id="rId3127" Type="http://schemas.openxmlformats.org/officeDocument/2006/relationships/hyperlink" Target="https://www.wearecatalyst.co.uk/geo-agency/" TargetMode="External"/><Relationship Id="rId3129" Type="http://schemas.openxmlformats.org/officeDocument/2006/relationships/hyperlink" Target="https://www.weareqry.com/blog/best-paid-media-agencies" TargetMode="External"/><Relationship Id="rId3120" Type="http://schemas.openxmlformats.org/officeDocument/2006/relationships/hyperlink" Target="http://vitasoft.co" TargetMode="External"/><Relationship Id="rId3122" Type="http://schemas.openxmlformats.org/officeDocument/2006/relationships/hyperlink" Target="http://vitasoft.co" TargetMode="External"/><Relationship Id="rId3121" Type="http://schemas.openxmlformats.org/officeDocument/2006/relationships/hyperlink" Target="https://vitasoft.co/de/best/geo-agentur-deutschland/" TargetMode="External"/><Relationship Id="rId3124" Type="http://schemas.openxmlformats.org/officeDocument/2006/relationships/hyperlink" Target="http://warroominc.com" TargetMode="External"/><Relationship Id="rId3123" Type="http://schemas.openxmlformats.org/officeDocument/2006/relationships/hyperlink" Target="https://www.warroominc.com/services/google-marketing-platform/" TargetMode="External"/><Relationship Id="rId3126" Type="http://schemas.openxmlformats.org/officeDocument/2006/relationships/hyperlink" Target="http://weareaudiences.com" TargetMode="External"/><Relationship Id="rId3125" Type="http://schemas.openxmlformats.org/officeDocument/2006/relationships/hyperlink" Target="https://weareaudiences.com/" TargetMode="External"/><Relationship Id="rId1378" Type="http://schemas.openxmlformats.org/officeDocument/2006/relationships/hyperlink" Target="http://omexa-strategy.com" TargetMode="External"/><Relationship Id="rId1379" Type="http://schemas.openxmlformats.org/officeDocument/2006/relationships/hyperlink" Target="https://omnicommedia.com/germany/agency/trkkn/" TargetMode="External"/><Relationship Id="rId789" Type="http://schemas.openxmlformats.org/officeDocument/2006/relationships/hyperlink" Target="https://business.google.com/de/support/become-a-partner/" TargetMode="External"/><Relationship Id="rId788" Type="http://schemas.openxmlformats.org/officeDocument/2006/relationships/hyperlink" Target="http://bimodal.io" TargetMode="External"/><Relationship Id="rId787" Type="http://schemas.openxmlformats.org/officeDocument/2006/relationships/hyperlink" Target="https://www.bimodal.io/" TargetMode="External"/><Relationship Id="rId786" Type="http://schemas.openxmlformats.org/officeDocument/2006/relationships/hyperlink" Target="http://barefoot-performance.com" TargetMode="External"/><Relationship Id="rId781" Type="http://schemas.openxmlformats.org/officeDocument/2006/relationships/hyperlink" Target="https://www.artefact.com/offers/marketing-data-driven/measurements-mroi-insights/" TargetMode="External"/><Relationship Id="rId1370" Type="http://schemas.openxmlformats.org/officeDocument/2006/relationships/hyperlink" Target="http://neuhandeln.de" TargetMode="External"/><Relationship Id="rId780" Type="http://schemas.openxmlformats.org/officeDocument/2006/relationships/hyperlink" Target="http://archibo.de" TargetMode="External"/><Relationship Id="rId1371" Type="http://schemas.openxmlformats.org/officeDocument/2006/relationships/hyperlink" Target="https://neurank.de/geo-optimierung-agentur/" TargetMode="External"/><Relationship Id="rId1372" Type="http://schemas.openxmlformats.org/officeDocument/2006/relationships/hyperlink" Target="http://neurank.de" TargetMode="External"/><Relationship Id="rId1373" Type="http://schemas.openxmlformats.org/officeDocument/2006/relationships/hyperlink" Target="https://nogood.io/blog/ai-marketing-agency/" TargetMode="External"/><Relationship Id="rId785" Type="http://schemas.openxmlformats.org/officeDocument/2006/relationships/hyperlink" Target="https://barefoot-performance.com/locations/berlin/performance-marketing" TargetMode="External"/><Relationship Id="rId1374" Type="http://schemas.openxmlformats.org/officeDocument/2006/relationships/hyperlink" Target="http://nogood.io" TargetMode="External"/><Relationship Id="rId784" Type="http://schemas.openxmlformats.org/officeDocument/2006/relationships/hyperlink" Target="http://arxiv.org" TargetMode="External"/><Relationship Id="rId1375" Type="http://schemas.openxmlformats.org/officeDocument/2006/relationships/hyperlink" Target="https://nogood.io/blog/best-answer-engine-optimization-agencies/" TargetMode="External"/><Relationship Id="rId783" Type="http://schemas.openxmlformats.org/officeDocument/2006/relationships/hyperlink" Target="https://arxiv.org/abs/2509.08919" TargetMode="External"/><Relationship Id="rId1376" Type="http://schemas.openxmlformats.org/officeDocument/2006/relationships/hyperlink" Target="http://nogood.io" TargetMode="External"/><Relationship Id="rId782" Type="http://schemas.openxmlformats.org/officeDocument/2006/relationships/hyperlink" Target="http://artefact.com" TargetMode="External"/><Relationship Id="rId1377" Type="http://schemas.openxmlformats.org/officeDocument/2006/relationships/hyperlink" Target="https://omexa-strategy.com/" TargetMode="External"/><Relationship Id="rId1367" Type="http://schemas.openxmlformats.org/officeDocument/2006/relationships/hyperlink" Target="https://mystrika.com/directory/agencies/best/paid-advertising-ppc-in-country-germany" TargetMode="External"/><Relationship Id="rId2698" Type="http://schemas.openxmlformats.org/officeDocument/2006/relationships/hyperlink" Target="http://rankscale.ai" TargetMode="External"/><Relationship Id="rId1368" Type="http://schemas.openxmlformats.org/officeDocument/2006/relationships/hyperlink" Target="http://mystrika.com" TargetMode="External"/><Relationship Id="rId2699" Type="http://schemas.openxmlformats.org/officeDocument/2006/relationships/hyperlink" Target="https://www.rapp.com/locations/berlin/" TargetMode="External"/><Relationship Id="rId1369" Type="http://schemas.openxmlformats.org/officeDocument/2006/relationships/hyperlink" Target="https://www.neuhandeln.de/performance-ranking/performance_2025" TargetMode="External"/><Relationship Id="rId778" Type="http://schemas.openxmlformats.org/officeDocument/2006/relationships/hyperlink" Target="http://answermaniac.ai" TargetMode="External"/><Relationship Id="rId777" Type="http://schemas.openxmlformats.org/officeDocument/2006/relationships/hyperlink" Target="https://www.answermaniac.ai/best-geo-agencies" TargetMode="External"/><Relationship Id="rId776" Type="http://schemas.openxmlformats.org/officeDocument/2006/relationships/hyperlink" Target="http://ai-value-consulting.de" TargetMode="External"/><Relationship Id="rId775" Type="http://schemas.openxmlformats.org/officeDocument/2006/relationships/hyperlink" Target="https://www.ai-value-consulting.de/" TargetMode="External"/><Relationship Id="rId779" Type="http://schemas.openxmlformats.org/officeDocument/2006/relationships/hyperlink" Target="https://www.archibo.de/ai-transformation" TargetMode="External"/><Relationship Id="rId770" Type="http://schemas.openxmlformats.org/officeDocument/2006/relationships/hyperlink" Target="http://semrush.com" TargetMode="External"/><Relationship Id="rId2690" Type="http://schemas.openxmlformats.org/officeDocument/2006/relationships/hyperlink" Target="https://raas.gmbh/leistungen/ai-readiness/" TargetMode="External"/><Relationship Id="rId1360" Type="http://schemas.openxmlformats.org/officeDocument/2006/relationships/hyperlink" Target="https://metaflow.life/blog/best-aeo-agencies-2026" TargetMode="External"/><Relationship Id="rId2691" Type="http://schemas.openxmlformats.org/officeDocument/2006/relationships/hyperlink" Target="https://www.radyant.io/comparison/the-6-best-ai-seo-agencies-for-b2b-startups" TargetMode="External"/><Relationship Id="rId1361" Type="http://schemas.openxmlformats.org/officeDocument/2006/relationships/hyperlink" Target="https://www.mir.de/en/top10" TargetMode="External"/><Relationship Id="rId2692" Type="http://schemas.openxmlformats.org/officeDocument/2006/relationships/hyperlink" Target="http://radyant.io" TargetMode="External"/><Relationship Id="rId1362" Type="http://schemas.openxmlformats.org/officeDocument/2006/relationships/hyperlink" Target="http://mir.de" TargetMode="External"/><Relationship Id="rId2693" Type="http://schemas.openxmlformats.org/officeDocument/2006/relationships/hyperlink" Target="https://rajeshjain.com/progency-the-ai-first-agency-of-the-future/" TargetMode="External"/><Relationship Id="rId774" Type="http://schemas.openxmlformats.org/officeDocument/2006/relationships/hyperlink" Target="http://semrush.com" TargetMode="External"/><Relationship Id="rId1363" Type="http://schemas.openxmlformats.org/officeDocument/2006/relationships/hyperlink" Target="https://www.monks.com/de/google-marketing-platform-partnerschaft" TargetMode="External"/><Relationship Id="rId2694" Type="http://schemas.openxmlformats.org/officeDocument/2006/relationships/hyperlink" Target="http://rajeshjain.com" TargetMode="External"/><Relationship Id="rId773" Type="http://schemas.openxmlformats.org/officeDocument/2006/relationships/hyperlink" Target="https://agencies.semrush.com/list/ppc/germany/" TargetMode="External"/><Relationship Id="rId1364" Type="http://schemas.openxmlformats.org/officeDocument/2006/relationships/hyperlink" Target="http://monks.com" TargetMode="External"/><Relationship Id="rId2695" Type="http://schemas.openxmlformats.org/officeDocument/2006/relationships/hyperlink" Target="https://www.rankeffect.de/en/online-marketing-agency/analytics-agency" TargetMode="External"/><Relationship Id="rId772" Type="http://schemas.openxmlformats.org/officeDocument/2006/relationships/hyperlink" Target="http://semrush.com" TargetMode="External"/><Relationship Id="rId1365" Type="http://schemas.openxmlformats.org/officeDocument/2006/relationships/hyperlink" Target="https://www.mutabor.de/en/about/" TargetMode="External"/><Relationship Id="rId2696" Type="http://schemas.openxmlformats.org/officeDocument/2006/relationships/hyperlink" Target="http://rankeffect.de" TargetMode="External"/><Relationship Id="rId771" Type="http://schemas.openxmlformats.org/officeDocument/2006/relationships/hyperlink" Target="https://agencies.semrush.com/list/analytics-data-science/germany/small-business/" TargetMode="External"/><Relationship Id="rId1366" Type="http://schemas.openxmlformats.org/officeDocument/2006/relationships/hyperlink" Target="http://mutabor.de" TargetMode="External"/><Relationship Id="rId2697" Type="http://schemas.openxmlformats.org/officeDocument/2006/relationships/hyperlink" Target="https://rankscale.ai/agency-directory" TargetMode="External"/><Relationship Id="rId1390" Type="http://schemas.openxmlformats.org/officeDocument/2006/relationships/hyperlink" Target="http://omsag.de" TargetMode="External"/><Relationship Id="rId1391" Type="http://schemas.openxmlformats.org/officeDocument/2006/relationships/hyperlink" Target="https://www.omt.de/online-marketing-tools/marketing-attribution-software/" TargetMode="External"/><Relationship Id="rId1392" Type="http://schemas.openxmlformats.org/officeDocument/2006/relationships/hyperlink" Target="http://omt.de" TargetMode="External"/><Relationship Id="rId1393" Type="http://schemas.openxmlformats.org/officeDocument/2006/relationships/hyperlink" Target="https://www.oneclub.org/press/-adc100-rankings" TargetMode="External"/><Relationship Id="rId1394" Type="http://schemas.openxmlformats.org/officeDocument/2006/relationships/hyperlink" Target="http://oneclub.org" TargetMode="External"/><Relationship Id="rId1395" Type="http://schemas.openxmlformats.org/officeDocument/2006/relationships/hyperlink" Target="https://oneday.agency/advertise-in-germany" TargetMode="External"/><Relationship Id="rId1396" Type="http://schemas.openxmlformats.org/officeDocument/2006/relationships/hyperlink" Target="https://onelittleweb.com/top-agencies/top-performance-marketing-agencies/" TargetMode="External"/><Relationship Id="rId1397" Type="http://schemas.openxmlformats.org/officeDocument/2006/relationships/hyperlink" Target="http://onelittleweb.com" TargetMode="External"/><Relationship Id="rId1398" Type="http://schemas.openxmlformats.org/officeDocument/2006/relationships/hyperlink" Target="https://www.onetoone.de/performance-ranking/" TargetMode="External"/><Relationship Id="rId1399" Type="http://schemas.openxmlformats.org/officeDocument/2006/relationships/hyperlink" Target="http://onetoone.de" TargetMode="External"/><Relationship Id="rId1389" Type="http://schemas.openxmlformats.org/officeDocument/2006/relationships/hyperlink" Target="https://www.omsag.de/online-marketing-solutions-ag/google-premier-partner/" TargetMode="External"/><Relationship Id="rId799" Type="http://schemas.openxmlformats.org/officeDocument/2006/relationships/hyperlink" Target="https://www.contextstudios.ai/blog/best-ai-agencies-berlin-2026-the-ultimate-comparison" TargetMode="External"/><Relationship Id="rId798" Type="http://schemas.openxmlformats.org/officeDocument/2006/relationships/hyperlink" Target="http://clutch.co" TargetMode="External"/><Relationship Id="rId797" Type="http://schemas.openxmlformats.org/officeDocument/2006/relationships/hyperlink" Target="https://clutch.co/de/seo-firms" TargetMode="External"/><Relationship Id="rId1380" Type="http://schemas.openxmlformats.org/officeDocument/2006/relationships/hyperlink" Target="http://omnicommedia.com" TargetMode="External"/><Relationship Id="rId792" Type="http://schemas.openxmlformats.org/officeDocument/2006/relationships/hyperlink" Target="http://google.com" TargetMode="External"/><Relationship Id="rId1381" Type="http://schemas.openxmlformats.org/officeDocument/2006/relationships/hyperlink" Target="https://omnicommediagroup.de/news/germany/pressemitteilungen/nachster-meilenstein-trkkn-erhalt-google-cloud-spezialisierung-in-marketing-analytics/" TargetMode="External"/><Relationship Id="rId791" Type="http://schemas.openxmlformats.org/officeDocument/2006/relationships/hyperlink" Target="https://business.google.com/en-all/support/become-a-partner/" TargetMode="External"/><Relationship Id="rId1382" Type="http://schemas.openxmlformats.org/officeDocument/2006/relationships/hyperlink" Target="http://omnicommediagroup.de" TargetMode="External"/><Relationship Id="rId790" Type="http://schemas.openxmlformats.org/officeDocument/2006/relationships/hyperlink" Target="http://google.com" TargetMode="External"/><Relationship Id="rId1383" Type="http://schemas.openxmlformats.org/officeDocument/2006/relationships/hyperlink" Target="https://omr.com/de/reviews/service-category/data-analytics-beratung" TargetMode="External"/><Relationship Id="rId1384" Type="http://schemas.openxmlformats.org/officeDocument/2006/relationships/hyperlink" Target="http://omr.com" TargetMode="External"/><Relationship Id="rId796" Type="http://schemas.openxmlformats.org/officeDocument/2006/relationships/hyperlink" Target="http://clutch.co" TargetMode="External"/><Relationship Id="rId1385" Type="http://schemas.openxmlformats.org/officeDocument/2006/relationships/hyperlink" Target="https://omr.com/en/reviews/service-category/google-ads-agencies" TargetMode="External"/><Relationship Id="rId795" Type="http://schemas.openxmlformats.org/officeDocument/2006/relationships/hyperlink" Target="https://clutch.co/de/agencies/social-media-marketing/influencer" TargetMode="External"/><Relationship Id="rId1386" Type="http://schemas.openxmlformats.org/officeDocument/2006/relationships/hyperlink" Target="http://omr.com" TargetMode="External"/><Relationship Id="rId794" Type="http://schemas.openxmlformats.org/officeDocument/2006/relationships/hyperlink" Target="http://google.com" TargetMode="External"/><Relationship Id="rId1387" Type="http://schemas.openxmlformats.org/officeDocument/2006/relationships/hyperlink" Target="https://omr.com/en/reviews/service-category/performance-marketing-agenturen/2" TargetMode="External"/><Relationship Id="rId793" Type="http://schemas.openxmlformats.org/officeDocument/2006/relationships/hyperlink" Target="https://business.google.com/in/think/marketing-strategies/incrementality-testing/" TargetMode="External"/><Relationship Id="rId1388" Type="http://schemas.openxmlformats.org/officeDocument/2006/relationships/hyperlink" Target="http://omr.com" TargetMode="External"/><Relationship Id="rId3191" Type="http://schemas.openxmlformats.org/officeDocument/2006/relationships/hyperlink" Target="https://www.wuv.de/Themen/Agentur/Das-sind-Deutschlands-meistausgezeichnete-Agenturen2" TargetMode="External"/><Relationship Id="rId3190" Type="http://schemas.openxmlformats.org/officeDocument/2006/relationships/hyperlink" Target="http://wuv.de" TargetMode="External"/><Relationship Id="rId3193" Type="http://schemas.openxmlformats.org/officeDocument/2006/relationships/hyperlink" Target="https://www.wuv.dewww.wuv.de/Themen/Agentur/Das-sind-Deutschlands-meistausgezeichnete-Agenturen" TargetMode="External"/><Relationship Id="rId3192" Type="http://schemas.openxmlformats.org/officeDocument/2006/relationships/hyperlink" Target="http://wuv.de" TargetMode="External"/><Relationship Id="rId3195" Type="http://schemas.openxmlformats.org/officeDocument/2006/relationships/hyperlink" Target="https://www1.varify.io/en/blog/cro-agencies/" TargetMode="External"/><Relationship Id="rId3194" Type="http://schemas.openxmlformats.org/officeDocument/2006/relationships/hyperlink" Target="http://wuv.de" TargetMode="External"/><Relationship Id="rId3197" Type="http://schemas.openxmlformats.org/officeDocument/2006/relationships/hyperlink" Target="https://xcelacore.com/ai-consultants-for-mid-sized-companies/" TargetMode="External"/><Relationship Id="rId3196" Type="http://schemas.openxmlformats.org/officeDocument/2006/relationships/hyperlink" Target="http://varify.io" TargetMode="External"/><Relationship Id="rId3199" Type="http://schemas.openxmlformats.org/officeDocument/2006/relationships/hyperlink" Target="https://www.xmanmobi.com/" TargetMode="External"/><Relationship Id="rId3198" Type="http://schemas.openxmlformats.org/officeDocument/2006/relationships/hyperlink" Target="http://xcelacore.com" TargetMode="External"/><Relationship Id="rId3180" Type="http://schemas.openxmlformats.org/officeDocument/2006/relationships/hyperlink" Target="http://wpp.com" TargetMode="External"/><Relationship Id="rId3182" Type="http://schemas.openxmlformats.org/officeDocument/2006/relationships/hyperlink" Target="http://wpp.com" TargetMode="External"/><Relationship Id="rId3181" Type="http://schemas.openxmlformats.org/officeDocument/2006/relationships/hyperlink" Target="https://www.wpp.com/en/companies/scholz--friends" TargetMode="External"/><Relationship Id="rId3184" Type="http://schemas.openxmlformats.org/officeDocument/2006/relationships/hyperlink" Target="http://wsj.com" TargetMode="External"/><Relationship Id="rId3183" Type="http://schemas.openxmlformats.org/officeDocument/2006/relationships/hyperlink" Target="https://www.wsj.com/business/earnings/publicis-raises-guidance-citing-new-business-wins-ad4f0d98" TargetMode="External"/><Relationship Id="rId3186" Type="http://schemas.openxmlformats.org/officeDocument/2006/relationships/hyperlink" Target="http://wsj.com" TargetMode="External"/><Relationship Id="rId3185" Type="http://schemas.openxmlformats.org/officeDocument/2006/relationships/hyperlink" Target="https://www.wsj.com/cio-journal/the-ai-superfans-companies-count-on-to-convert-the-skeptics-5b301a90" TargetMode="External"/><Relationship Id="rId3188" Type="http://schemas.openxmlformats.org/officeDocument/2006/relationships/hyperlink" Target="http://wuv.de" TargetMode="External"/><Relationship Id="rId3187" Type="http://schemas.openxmlformats.org/officeDocument/2006/relationships/hyperlink" Target="https://www.wuv.de/Archiv/Jung-von-Matt-ist-kreativste-Agentur-Deutschlands" TargetMode="External"/><Relationship Id="rId3189" Type="http://schemas.openxmlformats.org/officeDocument/2006/relationships/hyperlink" Target="https://www.wuv.de/Themen/Agentur/BIG-50-Das-sind-Deutschlands-groesste-Independents" TargetMode="External"/><Relationship Id="rId3151" Type="http://schemas.openxmlformats.org/officeDocument/2006/relationships/hyperlink" Target="https://www.werbeagentur.de/de/scoring/digital-online-agentur" TargetMode="External"/><Relationship Id="rId3150" Type="http://schemas.openxmlformats.org/officeDocument/2006/relationships/hyperlink" Target="http://werbeagentur.de" TargetMode="External"/><Relationship Id="rId3153" Type="http://schemas.openxmlformats.org/officeDocument/2006/relationships/hyperlink" Target="https://www.wested.org/support/ai-readiness-and-integration/" TargetMode="External"/><Relationship Id="rId3152" Type="http://schemas.openxmlformats.org/officeDocument/2006/relationships/hyperlink" Target="http://werbeagentur.de" TargetMode="External"/><Relationship Id="rId3155" Type="http://schemas.openxmlformats.org/officeDocument/2006/relationships/hyperlink" Target="https://westlakepartners.de/" TargetMode="External"/><Relationship Id="rId3154" Type="http://schemas.openxmlformats.org/officeDocument/2006/relationships/hyperlink" Target="http://wested.org" TargetMode="External"/><Relationship Id="rId3157" Type="http://schemas.openxmlformats.org/officeDocument/2006/relationships/hyperlink" Target="https://westoperators.com/blog/top-7-aeo-agencies" TargetMode="External"/><Relationship Id="rId3156" Type="http://schemas.openxmlformats.org/officeDocument/2006/relationships/hyperlink" Target="http://westlakepartners.de" TargetMode="External"/><Relationship Id="rId3159" Type="http://schemas.openxmlformats.org/officeDocument/2006/relationships/hyperlink" Target="https://www.wetracked.io/de/post/marketing-attribution-tools" TargetMode="External"/><Relationship Id="rId3158" Type="http://schemas.openxmlformats.org/officeDocument/2006/relationships/hyperlink" Target="http://westoperators.com" TargetMode="External"/><Relationship Id="rId3149" Type="http://schemas.openxmlformats.org/officeDocument/2006/relationships/hyperlink" Target="https://www.werbeagentur.de/de/scoring/ab-testing" TargetMode="External"/><Relationship Id="rId3140" Type="http://schemas.openxmlformats.org/officeDocument/2006/relationships/hyperlink" Target="http://webmetic.de" TargetMode="External"/><Relationship Id="rId3142" Type="http://schemas.openxmlformats.org/officeDocument/2006/relationships/hyperlink" Target="http://webtonic.io" TargetMode="External"/><Relationship Id="rId3141" Type="http://schemas.openxmlformats.org/officeDocument/2006/relationships/hyperlink" Target="https://www.webtonic.io/blog/best-performance-marketing-agencies-2026" TargetMode="External"/><Relationship Id="rId3144" Type="http://schemas.openxmlformats.org/officeDocument/2006/relationships/hyperlink" Target="http://weframetech.com" TargetMode="External"/><Relationship Id="rId3143" Type="http://schemas.openxmlformats.org/officeDocument/2006/relationships/hyperlink" Target="https://weframetech.com/blog/top-ai-seo-agencies-in-berlin-7-firms-leading-in-2026" TargetMode="External"/><Relationship Id="rId3146" Type="http://schemas.openxmlformats.org/officeDocument/2006/relationships/hyperlink" Target="http://wellows.com" TargetMode="External"/><Relationship Id="rId3145" Type="http://schemas.openxmlformats.org/officeDocument/2006/relationships/hyperlink" Target="https://wellows.com/blog/top-ai-seo-agencies/" TargetMode="External"/><Relationship Id="rId3148" Type="http://schemas.openxmlformats.org/officeDocument/2006/relationships/hyperlink" Target="http://werbeagentur.de" TargetMode="External"/><Relationship Id="rId3147" Type="http://schemas.openxmlformats.org/officeDocument/2006/relationships/hyperlink" Target="https://www.werbeagentur.de/de/a/artefact-germany-gmbh" TargetMode="External"/><Relationship Id="rId3171" Type="http://schemas.openxmlformats.org/officeDocument/2006/relationships/hyperlink" Target="https://www.workmagic.io/" TargetMode="External"/><Relationship Id="rId3170" Type="http://schemas.openxmlformats.org/officeDocument/2006/relationships/hyperlink" Target="http://woodmark.de" TargetMode="External"/><Relationship Id="rId3173" Type="http://schemas.openxmlformats.org/officeDocument/2006/relationships/hyperlink" Target="https://worldmetrics.org/service/ai-adoption/" TargetMode="External"/><Relationship Id="rId3172" Type="http://schemas.openxmlformats.org/officeDocument/2006/relationships/hyperlink" Target="http://workmagic.io" TargetMode="External"/><Relationship Id="rId3175" Type="http://schemas.openxmlformats.org/officeDocument/2006/relationships/hyperlink" Target="https://worldmetrics.org/service/data-marketing/" TargetMode="External"/><Relationship Id="rId3174" Type="http://schemas.openxmlformats.org/officeDocument/2006/relationships/hyperlink" Target="http://worldmetrics.org" TargetMode="External"/><Relationship Id="rId3177" Type="http://schemas.openxmlformats.org/officeDocument/2006/relationships/hyperlink" Target="https://www.wpp.com/en/about" TargetMode="External"/><Relationship Id="rId3176" Type="http://schemas.openxmlformats.org/officeDocument/2006/relationships/hyperlink" Target="http://worldmetrics.org" TargetMode="External"/><Relationship Id="rId3179" Type="http://schemas.openxmlformats.org/officeDocument/2006/relationships/hyperlink" Target="https://www.wpp.com/en/about/our-company" TargetMode="External"/><Relationship Id="rId3178" Type="http://schemas.openxmlformats.org/officeDocument/2006/relationships/hyperlink" Target="http://wpp.com" TargetMode="External"/><Relationship Id="rId3160" Type="http://schemas.openxmlformats.org/officeDocument/2006/relationships/hyperlink" Target="http://wetracked.io" TargetMode="External"/><Relationship Id="rId3162" Type="http://schemas.openxmlformats.org/officeDocument/2006/relationships/hyperlink" Target="http://weventure.de" TargetMode="External"/><Relationship Id="rId3161" Type="http://schemas.openxmlformats.org/officeDocument/2006/relationships/hyperlink" Target="https://weventure.de/en/digital-marketing/ai" TargetMode="External"/><Relationship Id="rId3164" Type="http://schemas.openxmlformats.org/officeDocument/2006/relationships/hyperlink" Target="http://xn--wie-findet-man-die-beste-agentur-fr-ki-suche-oue.de" TargetMode="External"/><Relationship Id="rId3163" Type="http://schemas.openxmlformats.org/officeDocument/2006/relationships/hyperlink" Target="https://www.xn--wie-findet-man-die-beste-agentur-fr-ki-suche-oue.de/" TargetMode="External"/><Relationship Id="rId3166" Type="http://schemas.openxmlformats.org/officeDocument/2006/relationships/hyperlink" Target="http://wifitalents.com" TargetMode="External"/><Relationship Id="rId3165" Type="http://schemas.openxmlformats.org/officeDocument/2006/relationships/hyperlink" Target="https://wifitalents.com/service/ai-adoption/" TargetMode="External"/><Relationship Id="rId3168" Type="http://schemas.openxmlformats.org/officeDocument/2006/relationships/hyperlink" Target="http://wmtips.com" TargetMode="External"/><Relationship Id="rId3167" Type="http://schemas.openxmlformats.org/officeDocument/2006/relationships/hyperlink" Target="https://www.wmtips.com/technologies/marketing-attribution/" TargetMode="External"/><Relationship Id="rId3169" Type="http://schemas.openxmlformats.org/officeDocument/2006/relationships/hyperlink" Target="https://www.woodmark.de/en/data-ai/artificial-intelligence-ai" TargetMode="External"/><Relationship Id="rId2700" Type="http://schemas.openxmlformats.org/officeDocument/2006/relationships/hyperlink" Target="http://rapp.com" TargetMode="External"/><Relationship Id="rId2701" Type="http://schemas.openxmlformats.org/officeDocument/2006/relationships/hyperlink" Target="https://www.red-dot.org/de/siegerprofile/akqa/2025" TargetMode="External"/><Relationship Id="rId2702" Type="http://schemas.openxmlformats.org/officeDocument/2006/relationships/hyperlink" Target="http://red-dot.org" TargetMode="External"/><Relationship Id="rId2703" Type="http://schemas.openxmlformats.org/officeDocument/2006/relationships/hyperlink" Target="https://www.red-dot.org/de/siegerprofile/serviceplan-germany/2025" TargetMode="External"/><Relationship Id="rId2704" Type="http://schemas.openxmlformats.org/officeDocument/2006/relationships/hyperlink" Target="http://red-dot.org" TargetMode="External"/><Relationship Id="rId2705" Type="http://schemas.openxmlformats.org/officeDocument/2006/relationships/hyperlink" Target="https://www.red-dot.org/magazine/interview-with-jung-von-matt" TargetMode="External"/><Relationship Id="rId2706" Type="http://schemas.openxmlformats.org/officeDocument/2006/relationships/hyperlink" Target="http://red-dot.org" TargetMode="External"/><Relationship Id="rId2707" Type="http://schemas.openxmlformats.org/officeDocument/2006/relationships/hyperlink" Target="https://www.red-dot.org/serviceplan" TargetMode="External"/><Relationship Id="rId2708" Type="http://schemas.openxmlformats.org/officeDocument/2006/relationships/hyperlink" Target="http://red-dot.org" TargetMode="External"/><Relationship Id="rId2709" Type="http://schemas.openxmlformats.org/officeDocument/2006/relationships/hyperlink" Target="https://www.reddit.com/r/DigitalMarketing/comments/1tdo237/which_performance_marketing_agencies_specialize/" TargetMode="External"/><Relationship Id="rId2720" Type="http://schemas.openxmlformats.org/officeDocument/2006/relationships/hyperlink" Target="http://reddit.com" TargetMode="External"/><Relationship Id="rId2721" Type="http://schemas.openxmlformats.org/officeDocument/2006/relationships/hyperlink" Target="https://www.reddit.com/r/analytics/comments/1q5d8wc/advice_for_the_best_customer_data_platforms_2026/" TargetMode="External"/><Relationship Id="rId2722" Type="http://schemas.openxmlformats.org/officeDocument/2006/relationships/hyperlink" Target="http://reddit.com" TargetMode="External"/><Relationship Id="rId2723" Type="http://schemas.openxmlformats.org/officeDocument/2006/relationships/hyperlink" Target="https://www.reddit.com/r/b2bmarketing/comments/1rl47cr/the_10_best_visibility_companies_and_agencies_for/" TargetMode="External"/><Relationship Id="rId2724" Type="http://schemas.openxmlformats.org/officeDocument/2006/relationships/hyperlink" Target="http://reddit.com" TargetMode="External"/><Relationship Id="rId2725" Type="http://schemas.openxmlformats.org/officeDocument/2006/relationships/hyperlink" Target="https://www.reddit.com/r/b2bmarketing/comments/1t546si/the_7_leading_ai_seo_agencies_for_modern_search/" TargetMode="External"/><Relationship Id="rId2726" Type="http://schemas.openxmlformats.org/officeDocument/2006/relationships/hyperlink" Target="http://reddit.com" TargetMode="External"/><Relationship Id="rId2727" Type="http://schemas.openxmlformats.org/officeDocument/2006/relationships/hyperlink" Target="https://www.reddit.com/r/u_Emkutis/comments/1u2d4ma/the_best_geo_ai_search_agencies_in_europe_in_2026/" TargetMode="External"/><Relationship Id="rId2728" Type="http://schemas.openxmlformats.org/officeDocument/2006/relationships/hyperlink" Target="http://reddit.com" TargetMode="External"/><Relationship Id="rId2729" Type="http://schemas.openxmlformats.org/officeDocument/2006/relationships/hyperlink" Target="https://www.repindia.com/ai-seo-agency/" TargetMode="External"/><Relationship Id="rId2710" Type="http://schemas.openxmlformats.org/officeDocument/2006/relationships/hyperlink" Target="http://reddit.com" TargetMode="External"/><Relationship Id="rId2711" Type="http://schemas.openxmlformats.org/officeDocument/2006/relationships/hyperlink" Target="https://www.reddit.com/r/DigitalMarketing/comments/1tn7zll/which_digital_marketing_agencies_are_best_at/" TargetMode="External"/><Relationship Id="rId2712" Type="http://schemas.openxmlformats.org/officeDocument/2006/relationships/hyperlink" Target="http://reddit.com" TargetMode="External"/><Relationship Id="rId2713" Type="http://schemas.openxmlformats.org/officeDocument/2006/relationships/hyperlink" Target="https://www.reddit.com/r/LLMTraffic/comments/1t44tn7/which_geo_marketing_agencies_are_actually_worth/" TargetMode="External"/><Relationship Id="rId2714" Type="http://schemas.openxmlformats.org/officeDocument/2006/relationships/hyperlink" Target="http://reddit.com" TargetMode="External"/><Relationship Id="rId2715" Type="http://schemas.openxmlformats.org/officeDocument/2006/relationships/hyperlink" Target="https://www.reddit.com/r/Topagencies/comments/1spi6ov/top_ppc_agencies_in_berlin_packages_pricing_cost/" TargetMode="External"/><Relationship Id="rId2716" Type="http://schemas.openxmlformats.org/officeDocument/2006/relationships/hyperlink" Target="http://reddit.com" TargetMode="External"/><Relationship Id="rId2717" Type="http://schemas.openxmlformats.org/officeDocument/2006/relationships/hyperlink" Target="https://www.reddit.com/r/Topagencies/comments/1srfjwq/top_ppc_services_agencies_in_frankfurt_package/" TargetMode="External"/><Relationship Id="rId2718" Type="http://schemas.openxmlformats.org/officeDocument/2006/relationships/hyperlink" Target="http://reddit.com" TargetMode="External"/><Relationship Id="rId2719" Type="http://schemas.openxmlformats.org/officeDocument/2006/relationships/hyperlink" Target="https://www.reddit.com/r/analytics/comments/1l4qcx4/what_is_incrementality_testing_and_how_is_it/?tl=de" TargetMode="External"/><Relationship Id="rId1455" Type="http://schemas.openxmlformats.org/officeDocument/2006/relationships/hyperlink" Target="https://sellforte.com/about" TargetMode="External"/><Relationship Id="rId2786" Type="http://schemas.openxmlformats.org/officeDocument/2006/relationships/hyperlink" Target="http://searchbloom.com" TargetMode="External"/><Relationship Id="rId1456" Type="http://schemas.openxmlformats.org/officeDocument/2006/relationships/hyperlink" Target="http://sellforte.com" TargetMode="External"/><Relationship Id="rId2787" Type="http://schemas.openxmlformats.org/officeDocument/2006/relationships/hyperlink" Target="https://searchperts.de/sea-agentur-ecommerce/" TargetMode="External"/><Relationship Id="rId1457" Type="http://schemas.openxmlformats.org/officeDocument/2006/relationships/hyperlink" Target="https://www.seoworks.com/lists/top-b2b-geo-and-aeo-agencies/" TargetMode="External"/><Relationship Id="rId2788" Type="http://schemas.openxmlformats.org/officeDocument/2006/relationships/hyperlink" Target="http://searchperts.de" TargetMode="External"/><Relationship Id="rId1458" Type="http://schemas.openxmlformats.org/officeDocument/2006/relationships/hyperlink" Target="http://seoworks.com" TargetMode="External"/><Relationship Id="rId2789" Type="http://schemas.openxmlformats.org/officeDocument/2006/relationships/hyperlink" Target="https://www.secureleap.tech/blog/best-penetration-testing-companies-europe-startups" TargetMode="External"/><Relationship Id="rId1459" Type="http://schemas.openxmlformats.org/officeDocument/2006/relationships/hyperlink" Target="https://silverspoonagency.com/best-performance-marketing-agencies/" TargetMode="External"/><Relationship Id="rId629" Type="http://schemas.openxmlformats.org/officeDocument/2006/relationships/hyperlink" Target="https://ziuma.com/Thread-Best-AI-Digital-Marketing-Agency-in-Germany-and-Beyond" TargetMode="External"/><Relationship Id="rId624" Type="http://schemas.openxmlformats.org/officeDocument/2006/relationships/hyperlink" Target="http://scability.de" TargetMode="External"/><Relationship Id="rId623" Type="http://schemas.openxmlformats.org/officeDocument/2006/relationships/hyperlink" Target="https://www.scability.de/" TargetMode="External"/><Relationship Id="rId622" Type="http://schemas.openxmlformats.org/officeDocument/2006/relationships/hyperlink" Target="https://www.s-f.family/" TargetMode="External"/><Relationship Id="rId621" Type="http://schemas.openxmlformats.org/officeDocument/2006/relationships/hyperlink" Target="http://risexventuress.com" TargetMode="External"/><Relationship Id="rId628" Type="http://schemas.openxmlformats.org/officeDocument/2006/relationships/hyperlink" Target="http://topdevelopers.co" TargetMode="External"/><Relationship Id="rId627" Type="http://schemas.openxmlformats.org/officeDocument/2006/relationships/hyperlink" Target="https://www.topdevelopers.co/directory/digital-marketing-agencies-in-germany" TargetMode="External"/><Relationship Id="rId626" Type="http://schemas.openxmlformats.org/officeDocument/2006/relationships/hyperlink" Target="http://sortlist.de" TargetMode="External"/><Relationship Id="rId625" Type="http://schemas.openxmlformats.org/officeDocument/2006/relationships/hyperlink" Target="https://www.sortlist.de/s/bezahlte-media/deutschland-de?page=2" TargetMode="External"/><Relationship Id="rId2780" Type="http://schemas.openxmlformats.org/officeDocument/2006/relationships/hyperlink" Target="https://scopicstudios.com/blog/top-performance-marketing-agencies/" TargetMode="External"/><Relationship Id="rId1450" Type="http://schemas.openxmlformats.org/officeDocument/2006/relationships/hyperlink" Target="http://segmentstream.com" TargetMode="External"/><Relationship Id="rId2781" Type="http://schemas.openxmlformats.org/officeDocument/2006/relationships/hyperlink" Target="http://scopicstudios.com" TargetMode="External"/><Relationship Id="rId620" Type="http://schemas.openxmlformats.org/officeDocument/2006/relationships/hyperlink" Target="https://www.risexventuress.com/ai-marketing-agency-location/germany" TargetMode="External"/><Relationship Id="rId1451" Type="http://schemas.openxmlformats.org/officeDocument/2006/relationships/hyperlink" Target="https://segmentstream.com/blog/articles/measured-com-alternatives" TargetMode="External"/><Relationship Id="rId2782" Type="http://schemas.openxmlformats.org/officeDocument/2006/relationships/hyperlink" Target="https://www.sdbj.com/news/firms-leverage-tech-drive-business/" TargetMode="External"/><Relationship Id="rId1452" Type="http://schemas.openxmlformats.org/officeDocument/2006/relationships/hyperlink" Target="http://segmentstream.com" TargetMode="External"/><Relationship Id="rId2783" Type="http://schemas.openxmlformats.org/officeDocument/2006/relationships/hyperlink" Target="http://sdbj.com" TargetMode="External"/><Relationship Id="rId1453" Type="http://schemas.openxmlformats.org/officeDocument/2006/relationships/hyperlink" Target="https://segmentstream.com/blog/articles/top-haus-io-alternatives-for-geo-lift-incrementality-testing" TargetMode="External"/><Relationship Id="rId2784" Type="http://schemas.openxmlformats.org/officeDocument/2006/relationships/hyperlink" Target="https://search.agency/" TargetMode="External"/><Relationship Id="rId1454" Type="http://schemas.openxmlformats.org/officeDocument/2006/relationships/hyperlink" Target="http://segmentstream.com" TargetMode="External"/><Relationship Id="rId2785" Type="http://schemas.openxmlformats.org/officeDocument/2006/relationships/hyperlink" Target="https://www.searchbloom.com/strategy/best-ai-seo-agency-companies-services-usa/" TargetMode="External"/><Relationship Id="rId1444" Type="http://schemas.openxmlformats.org/officeDocument/2006/relationships/hyperlink" Target="http://scholze-consulting.de" TargetMode="External"/><Relationship Id="rId2775" Type="http://schemas.openxmlformats.org/officeDocument/2006/relationships/hyperlink" Target="http://schalk-and-friends.de" TargetMode="External"/><Relationship Id="rId1445" Type="http://schemas.openxmlformats.org/officeDocument/2006/relationships/hyperlink" Target="https://scopicstudios.com/blog/best-incrementality-testing-tools-2026/" TargetMode="External"/><Relationship Id="rId2776" Type="http://schemas.openxmlformats.org/officeDocument/2006/relationships/hyperlink" Target="https://www.schalk-and-friends.de/en/services/data-analytics/" TargetMode="External"/><Relationship Id="rId1446" Type="http://schemas.openxmlformats.org/officeDocument/2006/relationships/hyperlink" Target="http://scopicstudios.com" TargetMode="External"/><Relationship Id="rId2777" Type="http://schemas.openxmlformats.org/officeDocument/2006/relationships/hyperlink" Target="http://schalk-and-friends.de" TargetMode="External"/><Relationship Id="rId1447" Type="http://schemas.openxmlformats.org/officeDocument/2006/relationships/hyperlink" Target="https://seeders.com/seo-germany/" TargetMode="External"/><Relationship Id="rId2778" Type="http://schemas.openxmlformats.org/officeDocument/2006/relationships/hyperlink" Target="https://scopicstudios.com/blog/first-party-data-adoption-statistics-every-marketer-must-know/" TargetMode="External"/><Relationship Id="rId1448" Type="http://schemas.openxmlformats.org/officeDocument/2006/relationships/hyperlink" Target="http://seeders.com" TargetMode="External"/><Relationship Id="rId2779" Type="http://schemas.openxmlformats.org/officeDocument/2006/relationships/hyperlink" Target="http://scopicstudios.com" TargetMode="External"/><Relationship Id="rId1449" Type="http://schemas.openxmlformats.org/officeDocument/2006/relationships/hyperlink" Target="https://segmentstream.com/blog/articles/best-attribution-tools" TargetMode="External"/><Relationship Id="rId619" Type="http://schemas.openxmlformats.org/officeDocument/2006/relationships/hyperlink" Target="http://reddit.com" TargetMode="External"/><Relationship Id="rId618" Type="http://schemas.openxmlformats.org/officeDocument/2006/relationships/hyperlink" Target="https://www.reddit.com/r/Topagencies/comments/1sv50o9/top_ppc_services_agencies_in_germany_ppc_cost/" TargetMode="External"/><Relationship Id="rId613" Type="http://schemas.openxmlformats.org/officeDocument/2006/relationships/hyperlink" Target="http://loudface.co" TargetMode="External"/><Relationship Id="rId612" Type="http://schemas.openxmlformats.org/officeDocument/2006/relationships/hyperlink" Target="https://www.loudface.co/blog/best-aeo-agencies-b2b-saas-2026" TargetMode="External"/><Relationship Id="rId611" Type="http://schemas.openxmlformats.org/officeDocument/2006/relationships/hyperlink" Target="http://kom.de" TargetMode="External"/><Relationship Id="rId610" Type="http://schemas.openxmlformats.org/officeDocument/2006/relationships/hyperlink" Target="https://www.kom.de/analyse/das-sind-die-erfolgreichsten-kreativagenturen/" TargetMode="External"/><Relationship Id="rId617" Type="http://schemas.openxmlformats.org/officeDocument/2006/relationships/hyperlink" Target="http://withgoogle.com" TargetMode="External"/><Relationship Id="rId616" Type="http://schemas.openxmlformats.org/officeDocument/2006/relationships/hyperlink" Target="https://partnersdirectory.withgoogle.com/intl/en-GB/" TargetMode="External"/><Relationship Id="rId615" Type="http://schemas.openxmlformats.org/officeDocument/2006/relationships/hyperlink" Target="http://naointelligence.com" TargetMode="External"/><Relationship Id="rId614" Type="http://schemas.openxmlformats.org/officeDocument/2006/relationships/hyperlink" Target="https://naointelligence.com/en" TargetMode="External"/><Relationship Id="rId2770" Type="http://schemas.openxmlformats.org/officeDocument/2006/relationships/hyperlink" Target="https://www.scalefox.de/" TargetMode="External"/><Relationship Id="rId1440" Type="http://schemas.openxmlformats.org/officeDocument/2006/relationships/hyperlink" Target="https://www.s-f.family/en" TargetMode="External"/><Relationship Id="rId2771" Type="http://schemas.openxmlformats.org/officeDocument/2006/relationships/hyperlink" Target="http://scalefox.de" TargetMode="External"/><Relationship Id="rId1441" Type="http://schemas.openxmlformats.org/officeDocument/2006/relationships/hyperlink" Target="https://scalixai.com/blog/best-performance-marketing-agencies" TargetMode="External"/><Relationship Id="rId2772" Type="http://schemas.openxmlformats.org/officeDocument/2006/relationships/hyperlink" Target="https://scandiweb.com/blog/top-ai-agencies/" TargetMode="External"/><Relationship Id="rId1442" Type="http://schemas.openxmlformats.org/officeDocument/2006/relationships/hyperlink" Target="http://scalixai.com" TargetMode="External"/><Relationship Id="rId2773" Type="http://schemas.openxmlformats.org/officeDocument/2006/relationships/hyperlink" Target="http://scandiweb.com" TargetMode="External"/><Relationship Id="rId1443" Type="http://schemas.openxmlformats.org/officeDocument/2006/relationships/hyperlink" Target="https://www.scholze-consulting.de/" TargetMode="External"/><Relationship Id="rId2774" Type="http://schemas.openxmlformats.org/officeDocument/2006/relationships/hyperlink" Target="https://www.schalk-and-friends.de/en/magazine/modern-marketing-winners/" TargetMode="External"/><Relationship Id="rId1477" Type="http://schemas.openxmlformats.org/officeDocument/2006/relationships/hyperlink" Target="https://www.sortlist.com/s/online-marketing/germany-de" TargetMode="External"/><Relationship Id="rId1478" Type="http://schemas.openxmlformats.org/officeDocument/2006/relationships/hyperlink" Target="http://sortlist.com" TargetMode="External"/><Relationship Id="rId1479" Type="http://schemas.openxmlformats.org/officeDocument/2006/relationships/hyperlink" Target="https://www.sortlist.com/s/tiktok-advertising/germany-de" TargetMode="External"/><Relationship Id="rId646" Type="http://schemas.openxmlformats.org/officeDocument/2006/relationships/hyperlink" Target="http://linkedin.com" TargetMode="External"/><Relationship Id="rId645" Type="http://schemas.openxmlformats.org/officeDocument/2006/relationships/hyperlink" Target="https://de.linkedin.com/company/jung-von-matt" TargetMode="External"/><Relationship Id="rId644" Type="http://schemas.openxmlformats.org/officeDocument/2006/relationships/hyperlink" Target="http://clutch.co" TargetMode="External"/><Relationship Id="rId643" Type="http://schemas.openxmlformats.org/officeDocument/2006/relationships/hyperlink" Target="https://clutch.co/de/agencies?page=6" TargetMode="External"/><Relationship Id="rId649" Type="http://schemas.openxmlformats.org/officeDocument/2006/relationships/hyperlink" Target="http://edisonmoment.com" TargetMode="External"/><Relationship Id="rId648" Type="http://schemas.openxmlformats.org/officeDocument/2006/relationships/hyperlink" Target="https://edisonmoment.com/agency/best/digital-marketing-agency-germany" TargetMode="External"/><Relationship Id="rId647" Type="http://schemas.openxmlformats.org/officeDocument/2006/relationships/hyperlink" Target="https://e-dialog.group/en/google-sales-partner/google-marketing-platform/" TargetMode="External"/><Relationship Id="rId1470" Type="http://schemas.openxmlformats.org/officeDocument/2006/relationships/hyperlink" Target="http://sortlist.com" TargetMode="External"/><Relationship Id="rId1471" Type="http://schemas.openxmlformats.org/officeDocument/2006/relationships/hyperlink" Target="https://www.sortlist.com/s/b2b-digital-marketing/germany-de" TargetMode="External"/><Relationship Id="rId1472" Type="http://schemas.openxmlformats.org/officeDocument/2006/relationships/hyperlink" Target="http://sortlist.com" TargetMode="External"/><Relationship Id="rId642" Type="http://schemas.openxmlformats.org/officeDocument/2006/relationships/hyperlink" Target="http://callboxinc.com" TargetMode="External"/><Relationship Id="rId1473" Type="http://schemas.openxmlformats.org/officeDocument/2006/relationships/hyperlink" Target="https://www.sortlist.com/s/brand-creation/germany-de" TargetMode="External"/><Relationship Id="rId641" Type="http://schemas.openxmlformats.org/officeDocument/2006/relationships/hyperlink" Target="https://www.callboxinc.com/growth-hacking/best-aeo-agencies/" TargetMode="External"/><Relationship Id="rId1474" Type="http://schemas.openxmlformats.org/officeDocument/2006/relationships/hyperlink" Target="http://sortlist.com" TargetMode="External"/><Relationship Id="rId640" Type="http://schemas.openxmlformats.org/officeDocument/2006/relationships/hyperlink" Target="http://bbdo.de" TargetMode="External"/><Relationship Id="rId1475" Type="http://schemas.openxmlformats.org/officeDocument/2006/relationships/hyperlink" Target="https://www.sortlist.com/s/creative-design/germany-de" TargetMode="External"/><Relationship Id="rId1476" Type="http://schemas.openxmlformats.org/officeDocument/2006/relationships/hyperlink" Target="http://sortlist.com" TargetMode="External"/><Relationship Id="rId1466" Type="http://schemas.openxmlformats.org/officeDocument/2006/relationships/hyperlink" Target="http://social-media-agency-germany.com" TargetMode="External"/><Relationship Id="rId2797" Type="http://schemas.openxmlformats.org/officeDocument/2006/relationships/hyperlink" Target="http://selectedfirms.co" TargetMode="External"/><Relationship Id="rId1467" Type="http://schemas.openxmlformats.org/officeDocument/2006/relationships/hyperlink" Target="https://www.sortlist.com/i/s/growth-marketing/germany-de" TargetMode="External"/><Relationship Id="rId2798" Type="http://schemas.openxmlformats.org/officeDocument/2006/relationships/hyperlink" Target="https://sellforte.com/blog/7-incrementality-measurement-tools-to-try-in-2025/" TargetMode="External"/><Relationship Id="rId1468" Type="http://schemas.openxmlformats.org/officeDocument/2006/relationships/hyperlink" Target="http://sortlist.com" TargetMode="External"/><Relationship Id="rId2799" Type="http://schemas.openxmlformats.org/officeDocument/2006/relationships/hyperlink" Target="http://sellforte.com" TargetMode="External"/><Relationship Id="rId1469" Type="http://schemas.openxmlformats.org/officeDocument/2006/relationships/hyperlink" Target="https://www.sortlist.com/performance-marketing" TargetMode="External"/><Relationship Id="rId635" Type="http://schemas.openxmlformats.org/officeDocument/2006/relationships/hyperlink" Target="https://aio.com.ai/blog/13498-best-seo-company-in-germany-ai-optimized-aio-guide" TargetMode="External"/><Relationship Id="rId634" Type="http://schemas.openxmlformats.org/officeDocument/2006/relationships/hyperlink" Target="http://semrush.com" TargetMode="External"/><Relationship Id="rId633" Type="http://schemas.openxmlformats.org/officeDocument/2006/relationships/hyperlink" Target="https://agencies.semrush.com/list/ai-optimization/germany/enterprise-business/" TargetMode="External"/><Relationship Id="rId632" Type="http://schemas.openxmlformats.org/officeDocument/2006/relationships/hyperlink" Target="http://42digital.de" TargetMode="External"/><Relationship Id="rId639" Type="http://schemas.openxmlformats.org/officeDocument/2006/relationships/hyperlink" Target="https://bbdo.de/about/" TargetMode="External"/><Relationship Id="rId638" Type="http://schemas.openxmlformats.org/officeDocument/2006/relationships/hyperlink" Target="http://artefact.com" TargetMode="External"/><Relationship Id="rId637" Type="http://schemas.openxmlformats.org/officeDocument/2006/relationships/hyperlink" Target="https://www.artefact.com/offers/marketing-data-driven/marketing-analytics/" TargetMode="External"/><Relationship Id="rId636" Type="http://schemas.openxmlformats.org/officeDocument/2006/relationships/hyperlink" Target="http://aio.com.ai" TargetMode="External"/><Relationship Id="rId2790" Type="http://schemas.openxmlformats.org/officeDocument/2006/relationships/hyperlink" Target="https://seeders.com/blog/10-best-link-building-agencies-in-germany-2026-ranked/" TargetMode="External"/><Relationship Id="rId1460" Type="http://schemas.openxmlformats.org/officeDocument/2006/relationships/hyperlink" Target="http://silverspoonagency.com" TargetMode="External"/><Relationship Id="rId2791" Type="http://schemas.openxmlformats.org/officeDocument/2006/relationships/hyperlink" Target="http://seeders.com" TargetMode="External"/><Relationship Id="rId1461" Type="http://schemas.openxmlformats.org/officeDocument/2006/relationships/hyperlink" Target="https://www.sineos.de/en/services/social-media-marketing-smm" TargetMode="External"/><Relationship Id="rId2792" Type="http://schemas.openxmlformats.org/officeDocument/2006/relationships/hyperlink" Target="https://segmentstream.com/blog/articles/northbeam-alternatives" TargetMode="External"/><Relationship Id="rId631" Type="http://schemas.openxmlformats.org/officeDocument/2006/relationships/hyperlink" Target="https://www.42digital.de/google-marketing-platform/" TargetMode="External"/><Relationship Id="rId1462" Type="http://schemas.openxmlformats.org/officeDocument/2006/relationships/hyperlink" Target="http://sineos.de" TargetMode="External"/><Relationship Id="rId2793" Type="http://schemas.openxmlformats.org/officeDocument/2006/relationships/hyperlink" Target="http://segmentstream.com" TargetMode="External"/><Relationship Id="rId630" Type="http://schemas.openxmlformats.org/officeDocument/2006/relationships/hyperlink" Target="http://ziuma.com" TargetMode="External"/><Relationship Id="rId1463" Type="http://schemas.openxmlformats.org/officeDocument/2006/relationships/hyperlink" Target="https://www.smarketer.de/" TargetMode="External"/><Relationship Id="rId2794" Type="http://schemas.openxmlformats.org/officeDocument/2006/relationships/hyperlink" Target="https://www.sei.com/our-services/ai-readiness-assessments/" TargetMode="External"/><Relationship Id="rId1464" Type="http://schemas.openxmlformats.org/officeDocument/2006/relationships/hyperlink" Target="http://smarketer.de" TargetMode="External"/><Relationship Id="rId2795" Type="http://schemas.openxmlformats.org/officeDocument/2006/relationships/hyperlink" Target="http://sei.com" TargetMode="External"/><Relationship Id="rId1465" Type="http://schemas.openxmlformats.org/officeDocument/2006/relationships/hyperlink" Target="https://social-media-agency-germany.com/social-media-growth-agencies" TargetMode="External"/><Relationship Id="rId2796" Type="http://schemas.openxmlformats.org/officeDocument/2006/relationships/hyperlink" Target="https://selectedfirms.co/agency/hy-am-studios" TargetMode="External"/><Relationship Id="rId1411" Type="http://schemas.openxmlformats.org/officeDocument/2006/relationships/hyperlink" Target="http://performance-marketing-agenturen-deutschland.de" TargetMode="External"/><Relationship Id="rId2742" Type="http://schemas.openxmlformats.org/officeDocument/2006/relationships/hyperlink" Target="http://rheinwunder.com" TargetMode="External"/><Relationship Id="rId1412" Type="http://schemas.openxmlformats.org/officeDocument/2006/relationships/hyperlink" Target="https://presenc.ai/compare/measured-vs-haus-vs-statsig" TargetMode="External"/><Relationship Id="rId2743" Type="http://schemas.openxmlformats.org/officeDocument/2006/relationships/hyperlink" Target="https://riseup.agency/data-analytics/" TargetMode="External"/><Relationship Id="rId1413" Type="http://schemas.openxmlformats.org/officeDocument/2006/relationships/hyperlink" Target="http://presenc.ai" TargetMode="External"/><Relationship Id="rId2744" Type="http://schemas.openxmlformats.org/officeDocument/2006/relationships/hyperlink" Target="https://www.rit.de/loesungen/ki-und-daten/ai-readiness-check" TargetMode="External"/><Relationship Id="rId1414" Type="http://schemas.openxmlformats.org/officeDocument/2006/relationships/hyperlink" Target="https://programmatic-agentur.de/display-anzeigen" TargetMode="External"/><Relationship Id="rId2745" Type="http://schemas.openxmlformats.org/officeDocument/2006/relationships/hyperlink" Target="http://rit.de" TargetMode="External"/><Relationship Id="rId1415" Type="http://schemas.openxmlformats.org/officeDocument/2006/relationships/hyperlink" Target="http://programmatic-agentur.de" TargetMode="External"/><Relationship Id="rId2746" Type="http://schemas.openxmlformats.org/officeDocument/2006/relationships/hyperlink" Target="https://rubixe.com/blog/ai-trends-in-consulting-whats-next-for-businesses" TargetMode="External"/><Relationship Id="rId1416" Type="http://schemas.openxmlformats.org/officeDocument/2006/relationships/hyperlink" Target="https://www.pta.de/leistungen/kuenstliche-intelligenz/" TargetMode="External"/><Relationship Id="rId2747" Type="http://schemas.openxmlformats.org/officeDocument/2006/relationships/hyperlink" Target="http://rubixe.com" TargetMode="External"/><Relationship Id="rId1417" Type="http://schemas.openxmlformats.org/officeDocument/2006/relationships/hyperlink" Target="http://pta.de" TargetMode="External"/><Relationship Id="rId2748" Type="http://schemas.openxmlformats.org/officeDocument/2006/relationships/hyperlink" Target="https://www.s-f.family/services" TargetMode="External"/><Relationship Id="rId1418" Type="http://schemas.openxmlformats.org/officeDocument/2006/relationships/hyperlink" Target="https://www.pwc.de/de/starke-allianzen/pwc-und-google.html" TargetMode="External"/><Relationship Id="rId2749" Type="http://schemas.openxmlformats.org/officeDocument/2006/relationships/hyperlink" Target="https://s-pro.io/generative-ai-development-companies" TargetMode="External"/><Relationship Id="rId1419" Type="http://schemas.openxmlformats.org/officeDocument/2006/relationships/hyperlink" Target="http://pwc.de" TargetMode="External"/><Relationship Id="rId2740" Type="http://schemas.openxmlformats.org/officeDocument/2006/relationships/hyperlink" Target="http://revenuezen.com" TargetMode="External"/><Relationship Id="rId1410" Type="http://schemas.openxmlformats.org/officeDocument/2006/relationships/hyperlink" Target="https://www.performance-marketing-agenturen-deutschland.de/performance-marketing-agenturen" TargetMode="External"/><Relationship Id="rId2741" Type="http://schemas.openxmlformats.org/officeDocument/2006/relationships/hyperlink" Target="https://rheinwunder.com/en/" TargetMode="External"/><Relationship Id="rId1400" Type="http://schemas.openxmlformats.org/officeDocument/2006/relationships/hyperlink" Target="https://open.partners/open-partners-insights/uk-marketing-agencies-that-work-with-google/" TargetMode="External"/><Relationship Id="rId2731" Type="http://schemas.openxmlformats.org/officeDocument/2006/relationships/hyperlink" Target="https://www.reply.com/en/newsroom/news/luenendonk-dxs-study-2025" TargetMode="External"/><Relationship Id="rId1401" Type="http://schemas.openxmlformats.org/officeDocument/2006/relationships/hyperlink" Target="https://optimisemedia.com/agency-services/" TargetMode="External"/><Relationship Id="rId2732" Type="http://schemas.openxmlformats.org/officeDocument/2006/relationships/hyperlink" Target="http://reply.com" TargetMode="External"/><Relationship Id="rId1402" Type="http://schemas.openxmlformats.org/officeDocument/2006/relationships/hyperlink" Target="http://optimisemedia.com" TargetMode="External"/><Relationship Id="rId2733" Type="http://schemas.openxmlformats.org/officeDocument/2006/relationships/hyperlink" Target="https://www.resultfirst.com/services/ai-search-optimization/" TargetMode="External"/><Relationship Id="rId1403" Type="http://schemas.openxmlformats.org/officeDocument/2006/relationships/hyperlink" Target="https://optis.digital/answer-engine-optimization-agencies/" TargetMode="External"/><Relationship Id="rId2734" Type="http://schemas.openxmlformats.org/officeDocument/2006/relationships/hyperlink" Target="http://resultfirst.com" TargetMode="External"/><Relationship Id="rId1404" Type="http://schemas.openxmlformats.org/officeDocument/2006/relationships/hyperlink" Target="https://www.outsourceaccelerator.com/guide/top-advertising-agencies-in-europe/" TargetMode="External"/><Relationship Id="rId2735" Type="http://schemas.openxmlformats.org/officeDocument/2006/relationships/hyperlink" Target="https://www.reuters.com/business/media-telecom/frances-publicis-buy-us-data-firm-liveramp-22-billion-2026-05-17/" TargetMode="External"/><Relationship Id="rId1405" Type="http://schemas.openxmlformats.org/officeDocument/2006/relationships/hyperlink" Target="http://outsourceaccelerator.com" TargetMode="External"/><Relationship Id="rId2736" Type="http://schemas.openxmlformats.org/officeDocument/2006/relationships/hyperlink" Target="http://reuters.com" TargetMode="External"/><Relationship Id="rId1406" Type="http://schemas.openxmlformats.org/officeDocument/2006/relationships/hyperlink" Target="https://partnermarketinghub.withgoogle.com/" TargetMode="External"/><Relationship Id="rId2737" Type="http://schemas.openxmlformats.org/officeDocument/2006/relationships/hyperlink" Target="https://www.reuters.com/sustainability/boards-policy-regulation/ad-group-wpp-says-mark-read-retire-ceo-end-year-2025-06-09/" TargetMode="External"/><Relationship Id="rId1407" Type="http://schemas.openxmlformats.org/officeDocument/2006/relationships/hyperlink" Target="http://withgoogle.com" TargetMode="External"/><Relationship Id="rId2738" Type="http://schemas.openxmlformats.org/officeDocument/2006/relationships/hyperlink" Target="http://reuters.com" TargetMode="External"/><Relationship Id="rId1408" Type="http://schemas.openxmlformats.org/officeDocument/2006/relationships/hyperlink" Target="https://partnerundsoehne.de/en/magazine/inkrementelle-attribution/" TargetMode="External"/><Relationship Id="rId2739" Type="http://schemas.openxmlformats.org/officeDocument/2006/relationships/hyperlink" Target="https://revenuezen.com/top-answer-engine-optimization-aeo-agencies/" TargetMode="External"/><Relationship Id="rId1409" Type="http://schemas.openxmlformats.org/officeDocument/2006/relationships/hyperlink" Target="http://partnerundsoehne.de" TargetMode="External"/><Relationship Id="rId2730" Type="http://schemas.openxmlformats.org/officeDocument/2006/relationships/hyperlink" Target="http://repindia.com" TargetMode="External"/><Relationship Id="rId1433" Type="http://schemas.openxmlformats.org/officeDocument/2006/relationships/hyperlink" Target="http://rocketium.ai" TargetMode="External"/><Relationship Id="rId2764" Type="http://schemas.openxmlformats.org/officeDocument/2006/relationships/hyperlink" Target="https://www.scaleandcompany.com/" TargetMode="External"/><Relationship Id="rId1434" Type="http://schemas.openxmlformats.org/officeDocument/2006/relationships/hyperlink" Target="https://rsmus.com/services/digital-transformation/ai-readiness-assessment.html" TargetMode="External"/><Relationship Id="rId2765" Type="http://schemas.openxmlformats.org/officeDocument/2006/relationships/hyperlink" Target="http://scaleandcompany.com" TargetMode="External"/><Relationship Id="rId1435" Type="http://schemas.openxmlformats.org/officeDocument/2006/relationships/hyperlink" Target="http://rsmus.com" TargetMode="External"/><Relationship Id="rId2766" Type="http://schemas.openxmlformats.org/officeDocument/2006/relationships/hyperlink" Target="https://www.scalecom.de/" TargetMode="External"/><Relationship Id="rId1436" Type="http://schemas.openxmlformats.org/officeDocument/2006/relationships/hyperlink" Target="https://ruess-group.com/en/marketing-agency-munich/" TargetMode="External"/><Relationship Id="rId2767" Type="http://schemas.openxmlformats.org/officeDocument/2006/relationships/hyperlink" Target="http://scalecom.de" TargetMode="External"/><Relationship Id="rId1437" Type="http://schemas.openxmlformats.org/officeDocument/2006/relationships/hyperlink" Target="http://ruess-group.com" TargetMode="External"/><Relationship Id="rId2768" Type="http://schemas.openxmlformats.org/officeDocument/2006/relationships/hyperlink" Target="https://www.scaled2c.com/services/germany/geo-services-germany" TargetMode="External"/><Relationship Id="rId1438" Type="http://schemas.openxmlformats.org/officeDocument/2006/relationships/hyperlink" Target="https://www.rzlt.io/blog/best-ai-marketing-agencies-in-2026-the-definitive-guide-by-specialty" TargetMode="External"/><Relationship Id="rId2769" Type="http://schemas.openxmlformats.org/officeDocument/2006/relationships/hyperlink" Target="http://scaled2c.com" TargetMode="External"/><Relationship Id="rId1439" Type="http://schemas.openxmlformats.org/officeDocument/2006/relationships/hyperlink" Target="http://rzlt.io" TargetMode="External"/><Relationship Id="rId609" Type="http://schemas.openxmlformats.org/officeDocument/2006/relationships/hyperlink" Target="http://ibusiness.de" TargetMode="External"/><Relationship Id="rId608" Type="http://schemas.openxmlformats.org/officeDocument/2006/relationships/hyperlink" Target="https://www.ibusiness.de/performance-ranking/performance_2023.html?sub=5" TargetMode="External"/><Relationship Id="rId607" Type="http://schemas.openxmlformats.org/officeDocument/2006/relationships/hyperlink" Target="http://gtm8020.com" TargetMode="External"/><Relationship Id="rId602" Type="http://schemas.openxmlformats.org/officeDocument/2006/relationships/hyperlink" Target="https://www.gaasly.com/countries/digital-marketing-agency-in-germany/google-ads-agency-germany" TargetMode="External"/><Relationship Id="rId601" Type="http://schemas.openxmlformats.org/officeDocument/2006/relationships/hyperlink" Target="http://feedbax.ai" TargetMode="External"/><Relationship Id="rId600" Type="http://schemas.openxmlformats.org/officeDocument/2006/relationships/hyperlink" Target="https://feedbax.ai/google-ads/western-europe" TargetMode="External"/><Relationship Id="rId606" Type="http://schemas.openxmlformats.org/officeDocument/2006/relationships/hyperlink" Target="https://www.gtm8020.com/blog/best-aeo-agencies" TargetMode="External"/><Relationship Id="rId605" Type="http://schemas.openxmlformats.org/officeDocument/2006/relationships/hyperlink" Target="http://goodfirms.co" TargetMode="External"/><Relationship Id="rId604" Type="http://schemas.openxmlformats.org/officeDocument/2006/relationships/hyperlink" Target="https://www.goodfirms.co/directory/country/top-digital-marketing-companies/advertising-ppc/germany" TargetMode="External"/><Relationship Id="rId603" Type="http://schemas.openxmlformats.org/officeDocument/2006/relationships/hyperlink" Target="http://gaasly.com" TargetMode="External"/><Relationship Id="rId2760" Type="http://schemas.openxmlformats.org/officeDocument/2006/relationships/hyperlink" Target="https://www.sanmiguel.io/en/the-best-b2b-brand-agencies-for-smes/" TargetMode="External"/><Relationship Id="rId1430" Type="http://schemas.openxmlformats.org/officeDocument/2006/relationships/hyperlink" Target="https://www.reddit.com/r/aeo/comments/1twcbr2/best_aeo_agency_guide_what_to_look_for_in_an/" TargetMode="External"/><Relationship Id="rId2761" Type="http://schemas.openxmlformats.org/officeDocument/2006/relationships/hyperlink" Target="http://sanmiguel.io" TargetMode="External"/><Relationship Id="rId1431" Type="http://schemas.openxmlformats.org/officeDocument/2006/relationships/hyperlink" Target="http://reddit.com" TargetMode="External"/><Relationship Id="rId2762" Type="http://schemas.openxmlformats.org/officeDocument/2006/relationships/hyperlink" Target="https://www.saphirsolution.de/" TargetMode="External"/><Relationship Id="rId1432" Type="http://schemas.openxmlformats.org/officeDocument/2006/relationships/hyperlink" Target="https://rocketium.ai/academy/all/ai-tools-scaling-creative-production" TargetMode="External"/><Relationship Id="rId2763" Type="http://schemas.openxmlformats.org/officeDocument/2006/relationships/hyperlink" Target="http://saphirsolution.de" TargetMode="External"/><Relationship Id="rId1422" Type="http://schemas.openxmlformats.org/officeDocument/2006/relationships/hyperlink" Target="https://www.rankeffect.de/en/online-marketing-agency/seo-agency/link-building" TargetMode="External"/><Relationship Id="rId2753" Type="http://schemas.openxmlformats.org/officeDocument/2006/relationships/hyperlink" Target="https://s360digital.com/news/s360-becomes-one-of-the-first-smartly-certified-agencies/" TargetMode="External"/><Relationship Id="rId1423" Type="http://schemas.openxmlformats.org/officeDocument/2006/relationships/hyperlink" Target="http://rankeffect.de" TargetMode="External"/><Relationship Id="rId2754" Type="http://schemas.openxmlformats.org/officeDocument/2006/relationships/hyperlink" Target="http://s360digital.com" TargetMode="External"/><Relationship Id="rId1424" Type="http://schemas.openxmlformats.org/officeDocument/2006/relationships/hyperlink" Target="https://www.red-dot.org/magazine/accenture-song-is-red-dot-agency-of-the-year-2025" TargetMode="External"/><Relationship Id="rId2755" Type="http://schemas.openxmlformats.org/officeDocument/2006/relationships/hyperlink" Target="https://sageitinc.com/reference-center/best-ai-consulting-companies" TargetMode="External"/><Relationship Id="rId1425" Type="http://schemas.openxmlformats.org/officeDocument/2006/relationships/hyperlink" Target="http://red-dot.org" TargetMode="External"/><Relationship Id="rId2756" Type="http://schemas.openxmlformats.org/officeDocument/2006/relationships/hyperlink" Target="http://sageitinc.com" TargetMode="External"/><Relationship Id="rId1426" Type="http://schemas.openxmlformats.org/officeDocument/2006/relationships/hyperlink" Target="https://www.reddit.com/r/GermanCompanies/comments/1rfxt68/top_10_ai_agencies_in_germany_2026/" TargetMode="External"/><Relationship Id="rId2757" Type="http://schemas.openxmlformats.org/officeDocument/2006/relationships/hyperlink" Target="https://saint-elmos.com/agencies/" TargetMode="External"/><Relationship Id="rId1427" Type="http://schemas.openxmlformats.org/officeDocument/2006/relationships/hyperlink" Target="http://reddit.com" TargetMode="External"/><Relationship Id="rId2758" Type="http://schemas.openxmlformats.org/officeDocument/2006/relationships/hyperlink" Target="http://saint-elmos.com" TargetMode="External"/><Relationship Id="rId1428" Type="http://schemas.openxmlformats.org/officeDocument/2006/relationships/hyperlink" Target="https://www.reddit.com/r/PPC/comments/1tkc7rr/which_ppc_agencies_are_actually_considered_the/" TargetMode="External"/><Relationship Id="rId2759" Type="http://schemas.openxmlformats.org/officeDocument/2006/relationships/hyperlink" Target="https://salestube.tech/technology/adtech-platforms" TargetMode="External"/><Relationship Id="rId1429" Type="http://schemas.openxmlformats.org/officeDocument/2006/relationships/hyperlink" Target="http://reddit.com" TargetMode="External"/><Relationship Id="rId2750" Type="http://schemas.openxmlformats.org/officeDocument/2006/relationships/hyperlink" Target="http://s-pro.io" TargetMode="External"/><Relationship Id="rId1420" Type="http://schemas.openxmlformats.org/officeDocument/2006/relationships/hyperlink" Target="https://www.pwc.de/en/data-and-ai.html" TargetMode="External"/><Relationship Id="rId2751" Type="http://schemas.openxmlformats.org/officeDocument/2006/relationships/hyperlink" Target="https://s360digital.com/capabilities/" TargetMode="External"/><Relationship Id="rId1421" Type="http://schemas.openxmlformats.org/officeDocument/2006/relationships/hyperlink" Target="http://pwc.de" TargetMode="External"/><Relationship Id="rId2752" Type="http://schemas.openxmlformats.org/officeDocument/2006/relationships/hyperlink" Target="http://s360digital.com" TargetMode="External"/><Relationship Id="rId3238" Type="http://schemas.openxmlformats.org/officeDocument/2006/relationships/hyperlink" Target="http://zetaglobal.com" TargetMode="External"/><Relationship Id="rId3237" Type="http://schemas.openxmlformats.org/officeDocument/2006/relationships/hyperlink" Target="https://zetaglobal.com/resource-center/ai-first-party-data-agency-growth/" TargetMode="External"/><Relationship Id="rId3239" Type="http://schemas.openxmlformats.org/officeDocument/2006/relationships/hyperlink" Target="https://zipdo.co/service/customer-data-platform/" TargetMode="External"/><Relationship Id="rId3230" Type="http://schemas.openxmlformats.org/officeDocument/2006/relationships/hyperlink" Target="http://zemith.com" TargetMode="External"/><Relationship Id="rId3232" Type="http://schemas.openxmlformats.org/officeDocument/2006/relationships/hyperlink" Target="http://zendikt.com" TargetMode="External"/><Relationship Id="rId3231" Type="http://schemas.openxmlformats.org/officeDocument/2006/relationships/hyperlink" Target="https://www.zendikt.com/top-10-ab-testing-software/germany/" TargetMode="External"/><Relationship Id="rId3234" Type="http://schemas.openxmlformats.org/officeDocument/2006/relationships/hyperlink" Target="http://zeotap.com" TargetMode="External"/><Relationship Id="rId3233" Type="http://schemas.openxmlformats.org/officeDocument/2006/relationships/hyperlink" Target="https://zeotap.com/blog/how-zeotap-and-pwc-germany-are-transforming-enterprise-customer-intelligence/" TargetMode="External"/><Relationship Id="rId3236" Type="http://schemas.openxmlformats.org/officeDocument/2006/relationships/hyperlink" Target="http://zeotap.com" TargetMode="External"/><Relationship Id="rId3235" Type="http://schemas.openxmlformats.org/officeDocument/2006/relationships/hyperlink" Target="https://zeotap.com/our-partner/trkkn/" TargetMode="External"/><Relationship Id="rId3227" Type="http://schemas.openxmlformats.org/officeDocument/2006/relationships/hyperlink" Target="https://www.youtube.com/watch?v=kfjxG-B28VY&amp;t=53" TargetMode="External"/><Relationship Id="rId3226" Type="http://schemas.openxmlformats.org/officeDocument/2006/relationships/hyperlink" Target="http://youtube.com" TargetMode="External"/><Relationship Id="rId3229" Type="http://schemas.openxmlformats.org/officeDocument/2006/relationships/hyperlink" Target="https://www.zemith.com/blogs/best-ai-assistant-app" TargetMode="External"/><Relationship Id="rId3228" Type="http://schemas.openxmlformats.org/officeDocument/2006/relationships/hyperlink" Target="http://youtube.com" TargetMode="External"/><Relationship Id="rId699" Type="http://schemas.openxmlformats.org/officeDocument/2006/relationships/hyperlink" Target="http://semrush.com" TargetMode="External"/><Relationship Id="rId698" Type="http://schemas.openxmlformats.org/officeDocument/2006/relationships/hyperlink" Target="https://agencies.semrush.com/list/programmatic-advertising/germany/" TargetMode="External"/><Relationship Id="rId693" Type="http://schemas.openxmlformats.org/officeDocument/2006/relationships/hyperlink" Target="http://acid21.com" TargetMode="External"/><Relationship Id="rId692" Type="http://schemas.openxmlformats.org/officeDocument/2006/relationships/hyperlink" Target="https://acid21.com/en/AI-Agency-Berlin/" TargetMode="External"/><Relationship Id="rId691" Type="http://schemas.openxmlformats.org/officeDocument/2006/relationships/hyperlink" Target="http://absatzwirtschaft.de" TargetMode="External"/><Relationship Id="rId3221" Type="http://schemas.openxmlformats.org/officeDocument/2006/relationships/hyperlink" Target="https://www.youtube.com/watch?v=WD-3boLVluY&amp;vl=de&amp;t=368" TargetMode="External"/><Relationship Id="rId690" Type="http://schemas.openxmlformats.org/officeDocument/2006/relationships/hyperlink" Target="https://www.absatzwirtschaft.de/bvdw-kreativranking-2025-serviceplan-dominiert-die-deutsche-digitalkreation-mit-grossem-abstand-280339/" TargetMode="External"/><Relationship Id="rId3220" Type="http://schemas.openxmlformats.org/officeDocument/2006/relationships/hyperlink" Target="http://youtube.com" TargetMode="External"/><Relationship Id="rId697" Type="http://schemas.openxmlformats.org/officeDocument/2006/relationships/hyperlink" Target="http://semrush.com" TargetMode="External"/><Relationship Id="rId3223" Type="http://schemas.openxmlformats.org/officeDocument/2006/relationships/hyperlink" Target="https://www.youtube.com/watch?v=XhMbeN7cH34&amp;vl=de&amp;t=707" TargetMode="External"/><Relationship Id="rId696" Type="http://schemas.openxmlformats.org/officeDocument/2006/relationships/hyperlink" Target="https://agencies.semrush.com/list/information-technology/germany/" TargetMode="External"/><Relationship Id="rId3222" Type="http://schemas.openxmlformats.org/officeDocument/2006/relationships/hyperlink" Target="http://youtube.com" TargetMode="External"/><Relationship Id="rId695" Type="http://schemas.openxmlformats.org/officeDocument/2006/relationships/hyperlink" Target="http://adbaker.de" TargetMode="External"/><Relationship Id="rId3225" Type="http://schemas.openxmlformats.org/officeDocument/2006/relationships/hyperlink" Target="https://www.youtube.com/watch?v=dtlZTULGX4A" TargetMode="External"/><Relationship Id="rId694" Type="http://schemas.openxmlformats.org/officeDocument/2006/relationships/hyperlink" Target="https://www.adbaker.de/" TargetMode="External"/><Relationship Id="rId3224" Type="http://schemas.openxmlformats.org/officeDocument/2006/relationships/hyperlink" Target="http://youtube.com" TargetMode="External"/><Relationship Id="rId3249" Type="http://schemas.openxmlformats.org/officeDocument/2006/relationships/drawing" Target="../drawings/drawing2.xml"/><Relationship Id="rId3248" Type="http://schemas.openxmlformats.org/officeDocument/2006/relationships/hyperlink" Target="http://zweidigital.de" TargetMode="External"/><Relationship Id="rId3241" Type="http://schemas.openxmlformats.org/officeDocument/2006/relationships/hyperlink" Target="https://zipdo.co/service/first-party-data/" TargetMode="External"/><Relationship Id="rId3240" Type="http://schemas.openxmlformats.org/officeDocument/2006/relationships/hyperlink" Target="http://zipdo.co" TargetMode="External"/><Relationship Id="rId3243" Type="http://schemas.openxmlformats.org/officeDocument/2006/relationships/hyperlink" Target="https://zipdo.co/service/marketing-data-analytics/" TargetMode="External"/><Relationship Id="rId3242" Type="http://schemas.openxmlformats.org/officeDocument/2006/relationships/hyperlink" Target="http://zipdo.co" TargetMode="External"/><Relationship Id="rId3245" Type="http://schemas.openxmlformats.org/officeDocument/2006/relationships/hyperlink" Target="https://www.zweidigital.de/" TargetMode="External"/><Relationship Id="rId3244" Type="http://schemas.openxmlformats.org/officeDocument/2006/relationships/hyperlink" Target="http://zipdo.co" TargetMode="External"/><Relationship Id="rId3247" Type="http://schemas.openxmlformats.org/officeDocument/2006/relationships/hyperlink" Target="https://www.zweidigital.de/meta-agentur/" TargetMode="External"/><Relationship Id="rId3246" Type="http://schemas.openxmlformats.org/officeDocument/2006/relationships/hyperlink" Target="http://zweidigital.de" TargetMode="External"/><Relationship Id="rId1499" Type="http://schemas.openxmlformats.org/officeDocument/2006/relationships/hyperlink" Target="https://superspring.de/en/" TargetMode="External"/><Relationship Id="rId668" Type="http://schemas.openxmlformats.org/officeDocument/2006/relationships/hyperlink" Target="https://minuttia.com/best-geo-agencies/" TargetMode="External"/><Relationship Id="rId667" Type="http://schemas.openxmlformats.org/officeDocument/2006/relationships/hyperlink" Target="http://measured.com" TargetMode="External"/><Relationship Id="rId666" Type="http://schemas.openxmlformats.org/officeDocument/2006/relationships/hyperlink" Target="https://www.measured.com/incremental-lift-tests/" TargetMode="External"/><Relationship Id="rId665" Type="http://schemas.openxmlformats.org/officeDocument/2006/relationships/hyperlink" Target="http://measured.com" TargetMode="External"/><Relationship Id="rId669" Type="http://schemas.openxmlformats.org/officeDocument/2006/relationships/hyperlink" Target="http://minuttia.com" TargetMode="External"/><Relationship Id="rId1490" Type="http://schemas.openxmlformats.org/officeDocument/2006/relationships/hyperlink" Target="http://stellaheystella.com" TargetMode="External"/><Relationship Id="rId660" Type="http://schemas.openxmlformats.org/officeDocument/2006/relationships/hyperlink" Target="http://house-of-communication.com" TargetMode="External"/><Relationship Id="rId1491" Type="http://schemas.openxmlformats.org/officeDocument/2006/relationships/hyperlink" Target="https://www.suchhelden.de/beste-google-ads-agenturen-deutschlands.php" TargetMode="External"/><Relationship Id="rId1492" Type="http://schemas.openxmlformats.org/officeDocument/2006/relationships/hyperlink" Target="http://suchhelden.de" TargetMode="External"/><Relationship Id="rId1493" Type="http://schemas.openxmlformats.org/officeDocument/2006/relationships/hyperlink" Target="https://www.suchmeisterei.de/daten-ki-agentur-berlin/ai-readiness/" TargetMode="External"/><Relationship Id="rId1494" Type="http://schemas.openxmlformats.org/officeDocument/2006/relationships/hyperlink" Target="http://suchmeisterei.de" TargetMode="External"/><Relationship Id="rId664" Type="http://schemas.openxmlformats.org/officeDocument/2006/relationships/hyperlink" Target="https://www.measured.com/faq/best-incrementality-testing-companies-software-for-marketing-2025/" TargetMode="External"/><Relationship Id="rId1495" Type="http://schemas.openxmlformats.org/officeDocument/2006/relationships/hyperlink" Target="https://www.superside.com/blog/creative-agencies" TargetMode="External"/><Relationship Id="rId663" Type="http://schemas.openxmlformats.org/officeDocument/2006/relationships/hyperlink" Target="https://www.madx.digital/learn/geo-aeo-agencies" TargetMode="External"/><Relationship Id="rId1496" Type="http://schemas.openxmlformats.org/officeDocument/2006/relationships/hyperlink" Target="http://superside.com" TargetMode="External"/><Relationship Id="rId662" Type="http://schemas.openxmlformats.org/officeDocument/2006/relationships/hyperlink" Target="http://influencer-hero.com" TargetMode="External"/><Relationship Id="rId1497" Type="http://schemas.openxmlformats.org/officeDocument/2006/relationships/hyperlink" Target="https://www.superside.com/blog/creative-content-agencies" TargetMode="External"/><Relationship Id="rId661" Type="http://schemas.openxmlformats.org/officeDocument/2006/relationships/hyperlink" Target="https://www.influencer-hero.com/jp/blogs/top-digital-marketing-agencies-in-germany" TargetMode="External"/><Relationship Id="rId1498" Type="http://schemas.openxmlformats.org/officeDocument/2006/relationships/hyperlink" Target="http://superside.com" TargetMode="External"/><Relationship Id="rId1488" Type="http://schemas.openxmlformats.org/officeDocument/2006/relationships/hyperlink" Target="http://sourceforge.net" TargetMode="External"/><Relationship Id="rId1489" Type="http://schemas.openxmlformats.org/officeDocument/2006/relationships/hyperlink" Target="https://www.stellaheystella.com/blog/how-to-integrate-geo-testing-into-your-marketing-strategy-a-step-by-step-guide" TargetMode="External"/><Relationship Id="rId657" Type="http://schemas.openxmlformats.org/officeDocument/2006/relationships/hyperlink" Target="https://hikemytraffic.com/ai-social-media-marketing-agencies-in-germany/" TargetMode="External"/><Relationship Id="rId656" Type="http://schemas.openxmlformats.org/officeDocument/2006/relationships/hyperlink" Target="https://www.foundry.berlin/" TargetMode="External"/><Relationship Id="rId655" Type="http://schemas.openxmlformats.org/officeDocument/2006/relationships/hyperlink" Target="http://flypix.ai" TargetMode="External"/><Relationship Id="rId654" Type="http://schemas.openxmlformats.org/officeDocument/2006/relationships/hyperlink" Target="https://flypix.ai/geospatial-companies-in-germany/" TargetMode="External"/><Relationship Id="rId659" Type="http://schemas.openxmlformats.org/officeDocument/2006/relationships/hyperlink" Target="https://www.house-of-communication.com/de/de.html" TargetMode="External"/><Relationship Id="rId658" Type="http://schemas.openxmlformats.org/officeDocument/2006/relationships/hyperlink" Target="http://hikemytraffic.com" TargetMode="External"/><Relationship Id="rId1480" Type="http://schemas.openxmlformats.org/officeDocument/2006/relationships/hyperlink" Target="http://sortlist.com" TargetMode="External"/><Relationship Id="rId1481" Type="http://schemas.openxmlformats.org/officeDocument/2006/relationships/hyperlink" Target="https://www.sortlist.de/s/ai-marketing/bremen-hb-de" TargetMode="External"/><Relationship Id="rId1482" Type="http://schemas.openxmlformats.org/officeDocument/2006/relationships/hyperlink" Target="http://sortlist.de" TargetMode="External"/><Relationship Id="rId1483" Type="http://schemas.openxmlformats.org/officeDocument/2006/relationships/hyperlink" Target="https://www.sortlist.de/s/ai-marketing/hamburg-de" TargetMode="External"/><Relationship Id="rId653" Type="http://schemas.openxmlformats.org/officeDocument/2006/relationships/hyperlink" Target="http://feedbax.ai" TargetMode="External"/><Relationship Id="rId1484" Type="http://schemas.openxmlformats.org/officeDocument/2006/relationships/hyperlink" Target="http://sortlist.de" TargetMode="External"/><Relationship Id="rId652" Type="http://schemas.openxmlformats.org/officeDocument/2006/relationships/hyperlink" Target="https://feedbax.ai/creative-agencies" TargetMode="External"/><Relationship Id="rId1485" Type="http://schemas.openxmlformats.org/officeDocument/2006/relationships/hyperlink" Target="https://www.sortlist.de/s/display-werbung/duesseldorf-de" TargetMode="External"/><Relationship Id="rId651" Type="http://schemas.openxmlformats.org/officeDocument/2006/relationships/hyperlink" Target="http://ensun.io" TargetMode="External"/><Relationship Id="rId1486" Type="http://schemas.openxmlformats.org/officeDocument/2006/relationships/hyperlink" Target="http://sortlist.de" TargetMode="External"/><Relationship Id="rId650" Type="http://schemas.openxmlformats.org/officeDocument/2006/relationships/hyperlink" Target="https://ensun.io/search/market-intelligence/germany" TargetMode="External"/><Relationship Id="rId1487" Type="http://schemas.openxmlformats.org/officeDocument/2006/relationships/hyperlink" Target="https://sourceforge.net/software/marketing-analytics/germany/" TargetMode="External"/><Relationship Id="rId3216" Type="http://schemas.openxmlformats.org/officeDocument/2006/relationships/hyperlink" Target="http://youtube.com" TargetMode="External"/><Relationship Id="rId3215" Type="http://schemas.openxmlformats.org/officeDocument/2006/relationships/hyperlink" Target="https://www.youtube.com/watch?v=JwCJmenpGKQ&amp;t=75" TargetMode="External"/><Relationship Id="rId3218" Type="http://schemas.openxmlformats.org/officeDocument/2006/relationships/hyperlink" Target="http://youtube.com" TargetMode="External"/><Relationship Id="rId3217" Type="http://schemas.openxmlformats.org/officeDocument/2006/relationships/hyperlink" Target="https://www.youtube.com/watch?v=LPvRUxJ5J1E&amp;t=45" TargetMode="External"/><Relationship Id="rId3219" Type="http://schemas.openxmlformats.org/officeDocument/2006/relationships/hyperlink" Target="https://www.youtube.com/watch?v=NXkXQbQ9-kk&amp;vl=de-DE" TargetMode="External"/><Relationship Id="rId689" Type="http://schemas.openxmlformats.org/officeDocument/2006/relationships/hyperlink" Target="http://ziya.de" TargetMode="External"/><Relationship Id="rId688" Type="http://schemas.openxmlformats.org/officeDocument/2006/relationships/hyperlink" Target="https://www.ziya.de/en/ai-agency" TargetMode="External"/><Relationship Id="rId687" Type="http://schemas.openxmlformats.org/officeDocument/2006/relationships/hyperlink" Target="http://themanifest.com" TargetMode="External"/><Relationship Id="rId682" Type="http://schemas.openxmlformats.org/officeDocument/2006/relationships/hyperlink" Target="https://www.seo-kueche.de/die-10-besten-geo-seo-agenturen-aus-deutschland-im-vergleich-ranking-2026/" TargetMode="External"/><Relationship Id="rId681" Type="http://schemas.openxmlformats.org/officeDocument/2006/relationships/hyperlink" Target="http://sentinus-consulting.de" TargetMode="External"/><Relationship Id="rId680" Type="http://schemas.openxmlformats.org/officeDocument/2006/relationships/hyperlink" Target="https://sentinus-consulting.de/" TargetMode="External"/><Relationship Id="rId3210" Type="http://schemas.openxmlformats.org/officeDocument/2006/relationships/hyperlink" Target="http://youfinddigital.com" TargetMode="External"/><Relationship Id="rId686" Type="http://schemas.openxmlformats.org/officeDocument/2006/relationships/hyperlink" Target="https://themanifest.com/de/advertising/agencies" TargetMode="External"/><Relationship Id="rId3212" Type="http://schemas.openxmlformats.org/officeDocument/2006/relationships/hyperlink" Target="http://youtube.com" TargetMode="External"/><Relationship Id="rId685" Type="http://schemas.openxmlformats.org/officeDocument/2006/relationships/hyperlink" Target="http://google.com" TargetMode="External"/><Relationship Id="rId3211" Type="http://schemas.openxmlformats.org/officeDocument/2006/relationships/hyperlink" Target="https://www.youtube.com/watch?v=CS31tb_2rCc&amp;t=389" TargetMode="External"/><Relationship Id="rId684" Type="http://schemas.openxmlformats.org/officeDocument/2006/relationships/hyperlink" Target="https://support.google.com/tagmanager/answer/7237700?hl=de" TargetMode="External"/><Relationship Id="rId3214" Type="http://schemas.openxmlformats.org/officeDocument/2006/relationships/hyperlink" Target="http://youtube.com" TargetMode="External"/><Relationship Id="rId683" Type="http://schemas.openxmlformats.org/officeDocument/2006/relationships/hyperlink" Target="http://seo-kueche.de" TargetMode="External"/><Relationship Id="rId3213" Type="http://schemas.openxmlformats.org/officeDocument/2006/relationships/hyperlink" Target="https://www.youtube.com/watch?v=GCuRtQenQ80&amp;t=153" TargetMode="External"/><Relationship Id="rId3205" Type="http://schemas.openxmlformats.org/officeDocument/2006/relationships/hyperlink" Target="https://www.yesoptimist.com/best-geo-agencies/" TargetMode="External"/><Relationship Id="rId3204" Type="http://schemas.openxmlformats.org/officeDocument/2006/relationships/hyperlink" Target="http://xmethod.de" TargetMode="External"/><Relationship Id="rId3207" Type="http://schemas.openxmlformats.org/officeDocument/2006/relationships/hyperlink" Target="https://www.yotpo.com/blog/aeo-vs-seo-strategy/" TargetMode="External"/><Relationship Id="rId3206" Type="http://schemas.openxmlformats.org/officeDocument/2006/relationships/hyperlink" Target="http://yesoptimist.com" TargetMode="External"/><Relationship Id="rId3209" Type="http://schemas.openxmlformats.org/officeDocument/2006/relationships/hyperlink" Target="https://www.youfinddigital.com/blog/best-geo-agency-for-ai-search.html" TargetMode="External"/><Relationship Id="rId3208" Type="http://schemas.openxmlformats.org/officeDocument/2006/relationships/hyperlink" Target="http://yotpo.com" TargetMode="External"/><Relationship Id="rId679" Type="http://schemas.openxmlformats.org/officeDocument/2006/relationships/hyperlink" Target="http://online-marketing-guy.com" TargetMode="External"/><Relationship Id="rId678" Type="http://schemas.openxmlformats.org/officeDocument/2006/relationships/hyperlink" Target="https://online-marketing-guy.com/en/global-german-digital-marketing-agencies/" TargetMode="External"/><Relationship Id="rId677" Type="http://schemas.openxmlformats.org/officeDocument/2006/relationships/hyperlink" Target="http://onetoone.de" TargetMode="External"/><Relationship Id="rId676" Type="http://schemas.openxmlformats.org/officeDocument/2006/relationships/hyperlink" Target="https://www.onetoone.de/performance-ranking/performance_2025.html" TargetMode="External"/><Relationship Id="rId671" Type="http://schemas.openxmlformats.org/officeDocument/2006/relationships/hyperlink" Target="http://more-fire.com" TargetMode="External"/><Relationship Id="rId670" Type="http://schemas.openxmlformats.org/officeDocument/2006/relationships/hyperlink" Target="https://www.more-fire.com/en/implementation/google-ads/" TargetMode="External"/><Relationship Id="rId675" Type="http://schemas.openxmlformats.org/officeDocument/2006/relationships/hyperlink" Target="http://onetoone.de" TargetMode="External"/><Relationship Id="rId3201" Type="http://schemas.openxmlformats.org/officeDocument/2006/relationships/hyperlink" Target="https://www.xmethod.de/en/blog/best-flutter-app-development-companies" TargetMode="External"/><Relationship Id="rId674" Type="http://schemas.openxmlformats.org/officeDocument/2006/relationships/hyperlink" Target="https://www.onetoone.de/performance-ranking/performance_2024.html" TargetMode="External"/><Relationship Id="rId3200" Type="http://schemas.openxmlformats.org/officeDocument/2006/relationships/hyperlink" Target="http://xmanmobi.com" TargetMode="External"/><Relationship Id="rId673" Type="http://schemas.openxmlformats.org/officeDocument/2006/relationships/hyperlink" Target="http://neurank.de" TargetMode="External"/><Relationship Id="rId3203" Type="http://schemas.openxmlformats.org/officeDocument/2006/relationships/hyperlink" Target="https://www.xmethod.de/en/blog/top-10-app-development-companies" TargetMode="External"/><Relationship Id="rId672" Type="http://schemas.openxmlformats.org/officeDocument/2006/relationships/hyperlink" Target="https://neurank.de/ki-seo-agentur/" TargetMode="External"/><Relationship Id="rId3202" Type="http://schemas.openxmlformats.org/officeDocument/2006/relationships/hyperlink" Target="http://xmethod.de" TargetMode="External"/><Relationship Id="rId190" Type="http://schemas.openxmlformats.org/officeDocument/2006/relationships/hyperlink" Target="http://opinosis-analytics.com" TargetMode="External"/><Relationship Id="rId194" Type="http://schemas.openxmlformats.org/officeDocument/2006/relationships/hyperlink" Target="http://seeders.com" TargetMode="External"/><Relationship Id="rId193" Type="http://schemas.openxmlformats.org/officeDocument/2006/relationships/hyperlink" Target="https://seeders.com/blog/top-10-generative-engine-optimization-geo-agencies-in-europe/" TargetMode="External"/><Relationship Id="rId192" Type="http://schemas.openxmlformats.org/officeDocument/2006/relationships/hyperlink" Target="http://radyant.io" TargetMode="External"/><Relationship Id="rId191" Type="http://schemas.openxmlformats.org/officeDocument/2006/relationships/hyperlink" Target="https://www.radyant.io/comparison/the-7-best-ai-search-optimization-agencies-in-europe" TargetMode="External"/><Relationship Id="rId187" Type="http://schemas.openxmlformats.org/officeDocument/2006/relationships/hyperlink" Target="https://mediacharge.com/performance-marketing-agency-germany" TargetMode="External"/><Relationship Id="rId186" Type="http://schemas.openxmlformats.org/officeDocument/2006/relationships/hyperlink" Target="http://maibornwolff.de" TargetMode="External"/><Relationship Id="rId185" Type="http://schemas.openxmlformats.org/officeDocument/2006/relationships/hyperlink" Target="https://www.maibornwolff.de/en/ai-consulting/" TargetMode="External"/><Relationship Id="rId184" Type="http://schemas.openxmlformats.org/officeDocument/2006/relationships/hyperlink" Target="http://geoagenturen.de" TargetMode="External"/><Relationship Id="rId189" Type="http://schemas.openxmlformats.org/officeDocument/2006/relationships/hyperlink" Target="https://www.opinosis-analytics.com/ai-consulting-in-germany/" TargetMode="External"/><Relationship Id="rId188" Type="http://schemas.openxmlformats.org/officeDocument/2006/relationships/hyperlink" Target="http://mediacharge.com" TargetMode="External"/><Relationship Id="rId183" Type="http://schemas.openxmlformats.org/officeDocument/2006/relationships/hyperlink" Target="https://www.geoagenturen.de/directory" TargetMode="External"/><Relationship Id="rId182" Type="http://schemas.openxmlformats.org/officeDocument/2006/relationships/hyperlink" Target="http://clutch.co" TargetMode="External"/><Relationship Id="rId181" Type="http://schemas.openxmlformats.org/officeDocument/2006/relationships/hyperlink" Target="https://clutch.co/de/agencies/ppc/display" TargetMode="External"/><Relationship Id="rId180" Type="http://schemas.openxmlformats.org/officeDocument/2006/relationships/hyperlink" Target="http://awisee.com" TargetMode="External"/><Relationship Id="rId176" Type="http://schemas.openxmlformats.org/officeDocument/2006/relationships/hyperlink" Target="http://youtube.com" TargetMode="External"/><Relationship Id="rId175" Type="http://schemas.openxmlformats.org/officeDocument/2006/relationships/hyperlink" Target="https://www.youtube.com/watch?v=00C1PZt8bLw&amp;vl=de&amp;t=116" TargetMode="External"/><Relationship Id="rId174" Type="http://schemas.openxmlformats.org/officeDocument/2006/relationships/hyperlink" Target="http://techbehemoths.com" TargetMode="External"/><Relationship Id="rId173" Type="http://schemas.openxmlformats.org/officeDocument/2006/relationships/hyperlink" Target="https://techbehemoths.com/companies/digital-marketing/germany" TargetMode="External"/><Relationship Id="rId179" Type="http://schemas.openxmlformats.org/officeDocument/2006/relationships/hyperlink" Target="https://awisee.com/blog/digital-marketing-agencies-germany/" TargetMode="External"/><Relationship Id="rId178" Type="http://schemas.openxmlformats.org/officeDocument/2006/relationships/hyperlink" Target="http://aeo-copilot.com" TargetMode="External"/><Relationship Id="rId177" Type="http://schemas.openxmlformats.org/officeDocument/2006/relationships/hyperlink" Target="https://aeo-copilot.com/partners/agencies/germany/munich" TargetMode="External"/><Relationship Id="rId198" Type="http://schemas.openxmlformats.org/officeDocument/2006/relationships/hyperlink" Target="http://semrush.com" TargetMode="External"/><Relationship Id="rId197" Type="http://schemas.openxmlformats.org/officeDocument/2006/relationships/hyperlink" Target="https://agencies.semrush.com/list/analytics-data-science/germany/" TargetMode="External"/><Relationship Id="rId196" Type="http://schemas.openxmlformats.org/officeDocument/2006/relationships/hyperlink" Target="http://zyppy.com" TargetMode="External"/><Relationship Id="rId195" Type="http://schemas.openxmlformats.org/officeDocument/2006/relationships/hyperlink" Target="https://zyppy.com/companies/c/generative-ai-seo/germany/" TargetMode="External"/><Relationship Id="rId199" Type="http://schemas.openxmlformats.org/officeDocument/2006/relationships/hyperlink" Target="https://clutch.co/de/consulting/ai/strategy" TargetMode="External"/><Relationship Id="rId150" Type="http://schemas.openxmlformats.org/officeDocument/2006/relationships/hyperlink" Target="https://seeders.com/blog/8-best-seo-agencies-in-germany-2026-ranked/" TargetMode="External"/><Relationship Id="rId149" Type="http://schemas.openxmlformats.org/officeDocument/2006/relationships/hyperlink" Target="http://neuhandeln.de" TargetMode="External"/><Relationship Id="rId148" Type="http://schemas.openxmlformats.org/officeDocument/2006/relationships/hyperlink" Target="https://www.neuhandeln.de/performance-ranking/performance_2024" TargetMode="External"/><Relationship Id="rId143" Type="http://schemas.openxmlformats.org/officeDocument/2006/relationships/hyperlink" Target="http://agenturtipp.de" TargetMode="External"/><Relationship Id="rId142" Type="http://schemas.openxmlformats.org/officeDocument/2006/relationships/hyperlink" Target="https://www.agenturtipp.de/performance-marketing-agenturen/" TargetMode="External"/><Relationship Id="rId141" Type="http://schemas.openxmlformats.org/officeDocument/2006/relationships/hyperlink" Target="http://semrush.com" TargetMode="External"/><Relationship Id="rId140" Type="http://schemas.openxmlformats.org/officeDocument/2006/relationships/hyperlink" Target="https://agencies.semrush.com/list/market-analysis/germany/" TargetMode="External"/><Relationship Id="rId147" Type="http://schemas.openxmlformats.org/officeDocument/2006/relationships/hyperlink" Target="http://greenbook.org" TargetMode="External"/><Relationship Id="rId146" Type="http://schemas.openxmlformats.org/officeDocument/2006/relationships/hyperlink" Target="https://greenbook.org/market-research-companies/germany" TargetMode="External"/><Relationship Id="rId145" Type="http://schemas.openxmlformats.org/officeDocument/2006/relationships/hyperlink" Target="http://digitalagencynetwork.com" TargetMode="External"/><Relationship Id="rId144" Type="http://schemas.openxmlformats.org/officeDocument/2006/relationships/hyperlink" Target="https://digitalagencynetwork.com/agencies/berlin/ai-marketing/" TargetMode="External"/><Relationship Id="rId139" Type="http://schemas.openxmlformats.org/officeDocument/2006/relationships/hyperlink" Target="http://northquery.com" TargetMode="External"/><Relationship Id="rId138" Type="http://schemas.openxmlformats.org/officeDocument/2006/relationships/hyperlink" Target="https://northquery.com/best-aeo-agency/europe" TargetMode="External"/><Relationship Id="rId137" Type="http://schemas.openxmlformats.org/officeDocument/2006/relationships/hyperlink" Target="http://lengreo.com" TargetMode="External"/><Relationship Id="rId132" Type="http://schemas.openxmlformats.org/officeDocument/2006/relationships/hyperlink" Target="https://www.feld-m.de/en/service/marketing-measurement/" TargetMode="External"/><Relationship Id="rId131" Type="http://schemas.openxmlformats.org/officeDocument/2006/relationships/hyperlink" Target="http://cometly.com" TargetMode="External"/><Relationship Id="rId130" Type="http://schemas.openxmlformats.org/officeDocument/2006/relationships/hyperlink" Target="https://www.cometly.com/post/marketing-incrementality-testing-tools" TargetMode="External"/><Relationship Id="rId136" Type="http://schemas.openxmlformats.org/officeDocument/2006/relationships/hyperlink" Target="https://lengreo.com/best-llm-seo-agencies-in-germany/" TargetMode="External"/><Relationship Id="rId135" Type="http://schemas.openxmlformats.org/officeDocument/2006/relationships/hyperlink" Target="http://hikemytraffic.com" TargetMode="External"/><Relationship Id="rId134" Type="http://schemas.openxmlformats.org/officeDocument/2006/relationships/hyperlink" Target="https://hikemytraffic.com/ai-seo-agencies-in-germany/" TargetMode="External"/><Relationship Id="rId133" Type="http://schemas.openxmlformats.org/officeDocument/2006/relationships/hyperlink" Target="http://feld-m.de" TargetMode="External"/><Relationship Id="rId172" Type="http://schemas.openxmlformats.org/officeDocument/2006/relationships/hyperlink" Target="http://sellforte.com" TargetMode="External"/><Relationship Id="rId171" Type="http://schemas.openxmlformats.org/officeDocument/2006/relationships/hyperlink" Target="https://sellforte.com/blog/best-incrementality-testing-tools" TargetMode="External"/><Relationship Id="rId170" Type="http://schemas.openxmlformats.org/officeDocument/2006/relationships/hyperlink" Target="http://lengreo.com" TargetMode="External"/><Relationship Id="rId165" Type="http://schemas.openxmlformats.org/officeDocument/2006/relationships/hyperlink" Target="https://sellforte.com/" TargetMode="External"/><Relationship Id="rId164" Type="http://schemas.openxmlformats.org/officeDocument/2006/relationships/hyperlink" Target="http://withgoogle.com" TargetMode="External"/><Relationship Id="rId163" Type="http://schemas.openxmlformats.org/officeDocument/2006/relationships/hyperlink" Target="https://partnersdirectory.withgoogle.com/" TargetMode="External"/><Relationship Id="rId162" Type="http://schemas.openxmlformats.org/officeDocument/2006/relationships/hyperlink" Target="https://oski.site/blog/sales-and-marketing-analytics-companies-germany/" TargetMode="External"/><Relationship Id="rId169" Type="http://schemas.openxmlformats.org/officeDocument/2006/relationships/hyperlink" Target="https://lengreo.com/germany-berlin-aeo-geo-llmo-companies/" TargetMode="External"/><Relationship Id="rId168" Type="http://schemas.openxmlformats.org/officeDocument/2006/relationships/hyperlink" Target="http://clutch.co" TargetMode="External"/><Relationship Id="rId167" Type="http://schemas.openxmlformats.org/officeDocument/2006/relationships/hyperlink" Target="https://clutch.co/de/agencies/media-buying" TargetMode="External"/><Relationship Id="rId166" Type="http://schemas.openxmlformats.org/officeDocument/2006/relationships/hyperlink" Target="http://sellforte.com" TargetMode="External"/><Relationship Id="rId161" Type="http://schemas.openxmlformats.org/officeDocument/2006/relationships/hyperlink" Target="http://nevolearn.com" TargetMode="External"/><Relationship Id="rId160" Type="http://schemas.openxmlformats.org/officeDocument/2006/relationships/hyperlink" Target="https://nevolearn.com/blog/social-media-marketing-agencies-germany" TargetMode="External"/><Relationship Id="rId159" Type="http://schemas.openxmlformats.org/officeDocument/2006/relationships/hyperlink" Target="http://ibusiness.de" TargetMode="External"/><Relationship Id="rId154" Type="http://schemas.openxmlformats.org/officeDocument/2006/relationships/hyperlink" Target="https://clutch.co/de/agencies/business-services-industry" TargetMode="External"/><Relationship Id="rId153" Type="http://schemas.openxmlformats.org/officeDocument/2006/relationships/hyperlink" Target="http://thegrowthsyndicate.com" TargetMode="External"/><Relationship Id="rId152" Type="http://schemas.openxmlformats.org/officeDocument/2006/relationships/hyperlink" Target="https://www.thegrowthsyndicate.com/agencies/best-b2b-performance-marketing-agencies-europe" TargetMode="External"/><Relationship Id="rId151" Type="http://schemas.openxmlformats.org/officeDocument/2006/relationships/hyperlink" Target="http://seeders.com" TargetMode="External"/><Relationship Id="rId158" Type="http://schemas.openxmlformats.org/officeDocument/2006/relationships/hyperlink" Target="https://www.ibusiness.de/performance-ranking/performance_2025" TargetMode="External"/><Relationship Id="rId157" Type="http://schemas.openxmlformats.org/officeDocument/2006/relationships/hyperlink" Target="http://clutch.co" TargetMode="External"/><Relationship Id="rId156" Type="http://schemas.openxmlformats.org/officeDocument/2006/relationships/hyperlink" Target="https://clutch.co/de/agencies/ppc/advertising-industry" TargetMode="External"/><Relationship Id="rId155" Type="http://schemas.openxmlformats.org/officeDocument/2006/relationships/hyperlink" Target="http://clutch.co" TargetMode="External"/><Relationship Id="rId2820" Type="http://schemas.openxmlformats.org/officeDocument/2006/relationships/hyperlink" Target="http://seybold.de" TargetMode="External"/><Relationship Id="rId2821" Type="http://schemas.openxmlformats.org/officeDocument/2006/relationships/hyperlink" Target="https://shifu-marketing.com/ai-consulting-services/ai-strategy-consulting/" TargetMode="External"/><Relationship Id="rId2822" Type="http://schemas.openxmlformats.org/officeDocument/2006/relationships/hyperlink" Target="http://shifu-marketing.com" TargetMode="External"/><Relationship Id="rId2823" Type="http://schemas.openxmlformats.org/officeDocument/2006/relationships/hyperlink" Target="https://www.siegemedia.com/strategy/best-content-marketing-agencies" TargetMode="External"/><Relationship Id="rId2824" Type="http://schemas.openxmlformats.org/officeDocument/2006/relationships/hyperlink" Target="http://siegemedia.com" TargetMode="External"/><Relationship Id="rId2825" Type="http://schemas.openxmlformats.org/officeDocument/2006/relationships/hyperlink" Target="https://www.signalandkairos.com/" TargetMode="External"/><Relationship Id="rId2826" Type="http://schemas.openxmlformats.org/officeDocument/2006/relationships/hyperlink" Target="http://signalandkairos.com" TargetMode="External"/><Relationship Id="rId2827" Type="http://schemas.openxmlformats.org/officeDocument/2006/relationships/hyperlink" Target="https://simpli.fi/latest/how-to-build-a-winning-first-party-data-strategy-for-advertising" TargetMode="External"/><Relationship Id="rId2828" Type="http://schemas.openxmlformats.org/officeDocument/2006/relationships/hyperlink" Target="http://simpli.fi" TargetMode="External"/><Relationship Id="rId2829" Type="http://schemas.openxmlformats.org/officeDocument/2006/relationships/hyperlink" Target="https://www.singlegrain.com/artificial-intelligence/top-14-ai-marketing-agencies-in-2025/" TargetMode="External"/><Relationship Id="rId2810" Type="http://schemas.openxmlformats.org/officeDocument/2006/relationships/hyperlink" Target="http://seodeutschland.de" TargetMode="External"/><Relationship Id="rId2811" Type="http://schemas.openxmlformats.org/officeDocument/2006/relationships/hyperlink" Target="https://www.seodiscovery.com/ai-seo-agency.php" TargetMode="External"/><Relationship Id="rId2812" Type="http://schemas.openxmlformats.org/officeDocument/2006/relationships/hyperlink" Target="http://seodiscovery.com" TargetMode="External"/><Relationship Id="rId2813" Type="http://schemas.openxmlformats.org/officeDocument/2006/relationships/hyperlink" Target="https://seosupport.de/generative-engine-optimization/" TargetMode="External"/><Relationship Id="rId2814" Type="http://schemas.openxmlformats.org/officeDocument/2006/relationships/hyperlink" Target="http://seosupport.de" TargetMode="External"/><Relationship Id="rId2815" Type="http://schemas.openxmlformats.org/officeDocument/2006/relationships/hyperlink" Target="https://www.seoworks.com/lists/the-20-best-geo-agencies/" TargetMode="External"/><Relationship Id="rId2816" Type="http://schemas.openxmlformats.org/officeDocument/2006/relationships/hyperlink" Target="http://seoworks.com" TargetMode="External"/><Relationship Id="rId2817" Type="http://schemas.openxmlformats.org/officeDocument/2006/relationships/hyperlink" Target="https://seranking.com/de/blog/beste-ki-seo-agenturen/" TargetMode="External"/><Relationship Id="rId2818" Type="http://schemas.openxmlformats.org/officeDocument/2006/relationships/hyperlink" Target="http://seranking.com" TargetMode="External"/><Relationship Id="rId2819" Type="http://schemas.openxmlformats.org/officeDocument/2006/relationships/hyperlink" Target="https://seybold.de/en/" TargetMode="External"/><Relationship Id="rId1510" Type="http://schemas.openxmlformats.org/officeDocument/2006/relationships/hyperlink" Target="http://themanifest.com" TargetMode="External"/><Relationship Id="rId2841" Type="http://schemas.openxmlformats.org/officeDocument/2006/relationships/hyperlink" Target="https://www.soar.sh/solutions/ai-seo-agency" TargetMode="External"/><Relationship Id="rId1511" Type="http://schemas.openxmlformats.org/officeDocument/2006/relationships/hyperlink" Target="https://themanifest.com/de/media-buying/agencies" TargetMode="External"/><Relationship Id="rId2842" Type="http://schemas.openxmlformats.org/officeDocument/2006/relationships/hyperlink" Target="http://soar.sh" TargetMode="External"/><Relationship Id="rId1512" Type="http://schemas.openxmlformats.org/officeDocument/2006/relationships/hyperlink" Target="http://themanifest.com" TargetMode="External"/><Relationship Id="rId2843" Type="http://schemas.openxmlformats.org/officeDocument/2006/relationships/hyperlink" Target="https://socialsamurai.de/blog/top-marketing-branding-agenturen-deutschlands/" TargetMode="External"/><Relationship Id="rId1513" Type="http://schemas.openxmlformats.org/officeDocument/2006/relationships/hyperlink" Target="https://www.theverge.com/podcast/959792/digitas-ceo-amy-lanzi-cannes-ad-industry-marketing-ai-creators" TargetMode="External"/><Relationship Id="rId2844" Type="http://schemas.openxmlformats.org/officeDocument/2006/relationships/hyperlink" Target="http://socialsamurai.de" TargetMode="External"/><Relationship Id="rId1514" Type="http://schemas.openxmlformats.org/officeDocument/2006/relationships/hyperlink" Target="http://theverge.com" TargetMode="External"/><Relationship Id="rId2845" Type="http://schemas.openxmlformats.org/officeDocument/2006/relationships/hyperlink" Target="https://www.soenkesproll.de/blog/die-besten-social-media-agenturen" TargetMode="External"/><Relationship Id="rId1515" Type="http://schemas.openxmlformats.org/officeDocument/2006/relationships/hyperlink" Target="https://www.theverge.com/tech/900302/ai-seo-industry-google-search-chatgpt-gemini-marketing" TargetMode="External"/><Relationship Id="rId2846" Type="http://schemas.openxmlformats.org/officeDocument/2006/relationships/hyperlink" Target="http://soenkesproll.de" TargetMode="External"/><Relationship Id="rId1516" Type="http://schemas.openxmlformats.org/officeDocument/2006/relationships/hyperlink" Target="http://theverge.com" TargetMode="External"/><Relationship Id="rId2847" Type="http://schemas.openxmlformats.org/officeDocument/2006/relationships/hyperlink" Target="https://www.softwareadvice.com/marketing-attribution/" TargetMode="External"/><Relationship Id="rId1517" Type="http://schemas.openxmlformats.org/officeDocument/2006/relationships/hyperlink" Target="https://www.timospecht.de/geo-agentur/" TargetMode="External"/><Relationship Id="rId2848" Type="http://schemas.openxmlformats.org/officeDocument/2006/relationships/hyperlink" Target="http://softwareadvice.com" TargetMode="External"/><Relationship Id="rId1518" Type="http://schemas.openxmlformats.org/officeDocument/2006/relationships/hyperlink" Target="http://timospecht.de" TargetMode="External"/><Relationship Id="rId2849" Type="http://schemas.openxmlformats.org/officeDocument/2006/relationships/hyperlink" Target="https://www.sortlist.com/de/ai-marketing" TargetMode="External"/><Relationship Id="rId1519" Type="http://schemas.openxmlformats.org/officeDocument/2006/relationships/hyperlink" Target="https://www.tofuhq.com/post/best-ai-agents-for-marketing" TargetMode="External"/><Relationship Id="rId2840" Type="http://schemas.openxmlformats.org/officeDocument/2006/relationships/hyperlink" Target="http://snk.de" TargetMode="External"/><Relationship Id="rId2830" Type="http://schemas.openxmlformats.org/officeDocument/2006/relationships/hyperlink" Target="http://singlegrain.com" TargetMode="External"/><Relationship Id="rId1500" Type="http://schemas.openxmlformats.org/officeDocument/2006/relationships/hyperlink" Target="http://superspring.de" TargetMode="External"/><Relationship Id="rId2831" Type="http://schemas.openxmlformats.org/officeDocument/2006/relationships/hyperlink" Target="https://www.sixpathsconsulting.com/top-ai-consulting-companies/" TargetMode="External"/><Relationship Id="rId1501" Type="http://schemas.openxmlformats.org/officeDocument/2006/relationships/hyperlink" Target="https://www.the-boutique-agency.de/en/ppc-agency" TargetMode="External"/><Relationship Id="rId2832" Type="http://schemas.openxmlformats.org/officeDocument/2006/relationships/hyperlink" Target="http://sixpathsconsulting.com" TargetMode="External"/><Relationship Id="rId1502" Type="http://schemas.openxmlformats.org/officeDocument/2006/relationships/hyperlink" Target="http://the-boutique-agency.de" TargetMode="External"/><Relationship Id="rId2833" Type="http://schemas.openxmlformats.org/officeDocument/2006/relationships/hyperlink" Target="https://skai.io/blog/retail-media-incrementality/" TargetMode="External"/><Relationship Id="rId1503" Type="http://schemas.openxmlformats.org/officeDocument/2006/relationships/hyperlink" Target="https://www.thedrum.com/news/measure-what-matters-where-maths-meets-magic-modern-marketing" TargetMode="External"/><Relationship Id="rId2834" Type="http://schemas.openxmlformats.org/officeDocument/2006/relationships/hyperlink" Target="http://skai.io" TargetMode="External"/><Relationship Id="rId1504" Type="http://schemas.openxmlformats.org/officeDocument/2006/relationships/hyperlink" Target="http://thedrum.com" TargetMode="External"/><Relationship Id="rId2835" Type="http://schemas.openxmlformats.org/officeDocument/2006/relationships/hyperlink" Target="https://www.smarketer.co.uk/google-shopping/css/" TargetMode="External"/><Relationship Id="rId1505" Type="http://schemas.openxmlformats.org/officeDocument/2006/relationships/hyperlink" Target="https://www.thedrum.com/news/serviceplan-ceo-breaking-out-bavaria-and-climbing-the-world-creative-rankings" TargetMode="External"/><Relationship Id="rId2836" Type="http://schemas.openxmlformats.org/officeDocument/2006/relationships/hyperlink" Target="http://smarketer.co.uk" TargetMode="External"/><Relationship Id="rId1506" Type="http://schemas.openxmlformats.org/officeDocument/2006/relationships/hyperlink" Target="http://thedrum.com" TargetMode="External"/><Relationship Id="rId2837" Type="http://schemas.openxmlformats.org/officeDocument/2006/relationships/hyperlink" Target="https://www.smartly.io/smartly-incrmntal" TargetMode="External"/><Relationship Id="rId1507" Type="http://schemas.openxmlformats.org/officeDocument/2006/relationships/hyperlink" Target="https://www.thegrowthsyndicate.com/agencies/best-digital-marketing-agencies-europe" TargetMode="External"/><Relationship Id="rId2838" Type="http://schemas.openxmlformats.org/officeDocument/2006/relationships/hyperlink" Target="http://smartly.io" TargetMode="External"/><Relationship Id="rId1508" Type="http://schemas.openxmlformats.org/officeDocument/2006/relationships/hyperlink" Target="http://thegrowthsyndicate.com" TargetMode="External"/><Relationship Id="rId2839" Type="http://schemas.openxmlformats.org/officeDocument/2006/relationships/hyperlink" Target="https://www.snk.de/en/snki/" TargetMode="External"/><Relationship Id="rId1509" Type="http://schemas.openxmlformats.org/officeDocument/2006/relationships/hyperlink" Target="https://themanifest.com/de/big-data/companies" TargetMode="External"/><Relationship Id="rId2800" Type="http://schemas.openxmlformats.org/officeDocument/2006/relationships/hyperlink" Target="https://sellforte.com/blog/real-time-mmm-tools-ecommerce" TargetMode="External"/><Relationship Id="rId2801" Type="http://schemas.openxmlformats.org/officeDocument/2006/relationships/hyperlink" Target="http://sellforte.com" TargetMode="External"/><Relationship Id="rId2802" Type="http://schemas.openxmlformats.org/officeDocument/2006/relationships/hyperlink" Target="https://sellforte.com/customer-news/case-study-released-brand-alley-x-sellforte" TargetMode="External"/><Relationship Id="rId2803" Type="http://schemas.openxmlformats.org/officeDocument/2006/relationships/hyperlink" Target="http://sellforte.com" TargetMode="External"/><Relationship Id="rId2804" Type="http://schemas.openxmlformats.org/officeDocument/2006/relationships/hyperlink" Target="https://sellforte.com/solutions/fashion-ecommerce" TargetMode="External"/><Relationship Id="rId2805" Type="http://schemas.openxmlformats.org/officeDocument/2006/relationships/hyperlink" Target="http://sellforte.com" TargetMode="External"/><Relationship Id="rId2806" Type="http://schemas.openxmlformats.org/officeDocument/2006/relationships/hyperlink" Target="https://semnexus.com/the-top-10-aeo-agencies-in-2026-dominating-ai-search" TargetMode="External"/><Relationship Id="rId2807" Type="http://schemas.openxmlformats.org/officeDocument/2006/relationships/hyperlink" Target="http://semnexus.com" TargetMode="External"/><Relationship Id="rId2808" Type="http://schemas.openxmlformats.org/officeDocument/2006/relationships/hyperlink" Target="https://seo-marketing.koeln/en/seo/ai-seo/" TargetMode="External"/><Relationship Id="rId2809" Type="http://schemas.openxmlformats.org/officeDocument/2006/relationships/hyperlink" Target="https://seodeutschland.de/ki-seo-agentur/" TargetMode="External"/><Relationship Id="rId1576" Type="http://schemas.openxmlformats.org/officeDocument/2006/relationships/hyperlink" Target="http://adspecialist.de" TargetMode="External"/><Relationship Id="rId1577" Type="http://schemas.openxmlformats.org/officeDocument/2006/relationships/hyperlink" Target="https://www.adstellar.ai/blog/media-buying-automation-tools" TargetMode="External"/><Relationship Id="rId1578" Type="http://schemas.openxmlformats.org/officeDocument/2006/relationships/hyperlink" Target="http://adstellar.ai" TargetMode="External"/><Relationship Id="rId1579" Type="http://schemas.openxmlformats.org/officeDocument/2006/relationships/hyperlink" Target="https://adswerve.com/partners/google" TargetMode="External"/><Relationship Id="rId987" Type="http://schemas.openxmlformats.org/officeDocument/2006/relationships/hyperlink" Target="http://datafirstsolutions.de" TargetMode="External"/><Relationship Id="rId986" Type="http://schemas.openxmlformats.org/officeDocument/2006/relationships/hyperlink" Target="https://www.datafirstsolutions.de/" TargetMode="External"/><Relationship Id="rId985" Type="http://schemas.openxmlformats.org/officeDocument/2006/relationships/hyperlink" Target="http://crystalinfoway.com" TargetMode="External"/><Relationship Id="rId984" Type="http://schemas.openxmlformats.org/officeDocument/2006/relationships/hyperlink" Target="https://www.crystalinfoway.com/blogs/view/top-10-digital-marketing-companies-in-germany" TargetMode="External"/><Relationship Id="rId989" Type="http://schemas.openxmlformats.org/officeDocument/2006/relationships/hyperlink" Target="http://pr-journal.de" TargetMode="External"/><Relationship Id="rId988" Type="http://schemas.openxmlformats.org/officeDocument/2006/relationships/hyperlink" Target="https://datenbanken.pr-journal.de/pr-agenturrankings/kreativ-ranking/kreativranking-2025" TargetMode="External"/><Relationship Id="rId1570" Type="http://schemas.openxmlformats.org/officeDocument/2006/relationships/hyperlink" Target="http://google.com" TargetMode="External"/><Relationship Id="rId1571" Type="http://schemas.openxmlformats.org/officeDocument/2006/relationships/hyperlink" Target="https://www.adseed.de/google-premium-partner/" TargetMode="External"/><Relationship Id="rId983" Type="http://schemas.openxmlformats.org/officeDocument/2006/relationships/hyperlink" Target="http://cornerstonecontent.com" TargetMode="External"/><Relationship Id="rId1572" Type="http://schemas.openxmlformats.org/officeDocument/2006/relationships/hyperlink" Target="http://adseed.de" TargetMode="External"/><Relationship Id="rId982" Type="http://schemas.openxmlformats.org/officeDocument/2006/relationships/hyperlink" Target="https://cornerstonecontent.com/best-answer-engine-optimization-aeo-agencies/" TargetMode="External"/><Relationship Id="rId1573" Type="http://schemas.openxmlformats.org/officeDocument/2006/relationships/hyperlink" Target="https://adsofbrands.net/en/agencies/jung-von-matt/33/about" TargetMode="External"/><Relationship Id="rId981" Type="http://schemas.openxmlformats.org/officeDocument/2006/relationships/hyperlink" Target="http://clutch.co" TargetMode="External"/><Relationship Id="rId1574" Type="http://schemas.openxmlformats.org/officeDocument/2006/relationships/hyperlink" Target="http://adsofbrands.net" TargetMode="External"/><Relationship Id="rId980" Type="http://schemas.openxmlformats.org/officeDocument/2006/relationships/hyperlink" Target="https://clutch.co/de/seo-firms/international" TargetMode="External"/><Relationship Id="rId1575" Type="http://schemas.openxmlformats.org/officeDocument/2006/relationships/hyperlink" Target="https://www.adspecialist.de/channel-data-driven-marketing-agentur/" TargetMode="External"/><Relationship Id="rId1565" Type="http://schemas.openxmlformats.org/officeDocument/2006/relationships/hyperlink" Target="https://adoption.microsoft.com/en-us/ai-readiness-wizard/" TargetMode="External"/><Relationship Id="rId2896" Type="http://schemas.openxmlformats.org/officeDocument/2006/relationships/hyperlink" Target="http://sortlist.de" TargetMode="External"/><Relationship Id="rId1566" Type="http://schemas.openxmlformats.org/officeDocument/2006/relationships/hyperlink" Target="http://microsoft.com" TargetMode="External"/><Relationship Id="rId2897" Type="http://schemas.openxmlformats.org/officeDocument/2006/relationships/hyperlink" Target="https://www.sortlist.de/s/programmatic-advertising/deutschland-de?page=2" TargetMode="External"/><Relationship Id="rId1567" Type="http://schemas.openxmlformats.org/officeDocument/2006/relationships/hyperlink" Target="https://adpoint.de/google-ads-agentur/" TargetMode="External"/><Relationship Id="rId2898" Type="http://schemas.openxmlformats.org/officeDocument/2006/relationships/hyperlink" Target="http://sortlist.de" TargetMode="External"/><Relationship Id="rId1568" Type="http://schemas.openxmlformats.org/officeDocument/2006/relationships/hyperlink" Target="http://adpoint.de" TargetMode="External"/><Relationship Id="rId2899" Type="http://schemas.openxmlformats.org/officeDocument/2006/relationships/hyperlink" Target="https://www.sortlist.de/s/tiktok/deutschland-de" TargetMode="External"/><Relationship Id="rId1569" Type="http://schemas.openxmlformats.org/officeDocument/2006/relationships/hyperlink" Target="https://ads.google.com/intl/us-EN/home/partners/work-with-a-partner/" TargetMode="External"/><Relationship Id="rId976" Type="http://schemas.openxmlformats.org/officeDocument/2006/relationships/hyperlink" Target="https://www.claneo.com/en/" TargetMode="External"/><Relationship Id="rId975" Type="http://schemas.openxmlformats.org/officeDocument/2006/relationships/hyperlink" Target="http://businessinsider.com" TargetMode="External"/><Relationship Id="rId974" Type="http://schemas.openxmlformats.org/officeDocument/2006/relationships/hyperlink" Target="https://www.businessinsider.com/mckinsey-bcg-and-deloitte-competition-small-boutique-specialized-ai-2025-4" TargetMode="External"/><Relationship Id="rId973" Type="http://schemas.openxmlformats.org/officeDocument/2006/relationships/hyperlink" Target="http://beyond-media.de" TargetMode="External"/><Relationship Id="rId979" Type="http://schemas.openxmlformats.org/officeDocument/2006/relationships/hyperlink" Target="http://clutch.co" TargetMode="External"/><Relationship Id="rId978" Type="http://schemas.openxmlformats.org/officeDocument/2006/relationships/hyperlink" Target="https://clutch.co/de/agencies/demand-generation-marketing" TargetMode="External"/><Relationship Id="rId977" Type="http://schemas.openxmlformats.org/officeDocument/2006/relationships/hyperlink" Target="http://claneo.com" TargetMode="External"/><Relationship Id="rId2890" Type="http://schemas.openxmlformats.org/officeDocument/2006/relationships/hyperlink" Target="http://sortlist.de" TargetMode="External"/><Relationship Id="rId1560" Type="http://schemas.openxmlformats.org/officeDocument/2006/relationships/hyperlink" Target="http://adito.de" TargetMode="External"/><Relationship Id="rId2891" Type="http://schemas.openxmlformats.org/officeDocument/2006/relationships/hyperlink" Target="https://www.sortlist.de/s/linkedin-ads/deutschland-de" TargetMode="External"/><Relationship Id="rId972" Type="http://schemas.openxmlformats.org/officeDocument/2006/relationships/hyperlink" Target="https://www.beyond-media.de/agentur/google-premier-partner/" TargetMode="External"/><Relationship Id="rId1561" Type="http://schemas.openxmlformats.org/officeDocument/2006/relationships/hyperlink" Target="https://www.adjust.com/solutions/incrementality/" TargetMode="External"/><Relationship Id="rId2892" Type="http://schemas.openxmlformats.org/officeDocument/2006/relationships/hyperlink" Target="http://sortlist.de" TargetMode="External"/><Relationship Id="rId971" Type="http://schemas.openxmlformats.org/officeDocument/2006/relationships/hyperlink" Target="http://beomniscient.com" TargetMode="External"/><Relationship Id="rId1562" Type="http://schemas.openxmlformats.org/officeDocument/2006/relationships/hyperlink" Target="http://adjust.com" TargetMode="External"/><Relationship Id="rId2893" Type="http://schemas.openxmlformats.org/officeDocument/2006/relationships/hyperlink" Target="https://www.sortlist.de/s/marketing-analytik/hamburg-de" TargetMode="External"/><Relationship Id="rId970" Type="http://schemas.openxmlformats.org/officeDocument/2006/relationships/hyperlink" Target="https://beomniscient.com/blog/best-ai-marketing-agencies/" TargetMode="External"/><Relationship Id="rId1563" Type="http://schemas.openxmlformats.org/officeDocument/2006/relationships/hyperlink" Target="https://www.adoptify.ai/blogs/top-enterprise-ai-adoption-consulting-firms-2026-comparison/" TargetMode="External"/><Relationship Id="rId2894" Type="http://schemas.openxmlformats.org/officeDocument/2006/relationships/hyperlink" Target="http://sortlist.de" TargetMode="External"/><Relationship Id="rId1564" Type="http://schemas.openxmlformats.org/officeDocument/2006/relationships/hyperlink" Target="http://adoptify.ai" TargetMode="External"/><Relationship Id="rId2895" Type="http://schemas.openxmlformats.org/officeDocument/2006/relationships/hyperlink" Target="https://www.sortlist.de/s/pay-per-click/deutschland-de" TargetMode="External"/><Relationship Id="rId1598" Type="http://schemas.openxmlformats.org/officeDocument/2006/relationships/hyperlink" Target="http://aeoagency.org" TargetMode="External"/><Relationship Id="rId1599" Type="http://schemas.openxmlformats.org/officeDocument/2006/relationships/hyperlink" Target="https://www.aeoera.com/" TargetMode="External"/><Relationship Id="rId1590" Type="http://schemas.openxmlformats.org/officeDocument/2006/relationships/hyperlink" Target="http://adzine.de" TargetMode="External"/><Relationship Id="rId1591" Type="http://schemas.openxmlformats.org/officeDocument/2006/relationships/hyperlink" Target="https://www.adzine.de/techfinder/marketing/attribution/" TargetMode="External"/><Relationship Id="rId1592" Type="http://schemas.openxmlformats.org/officeDocument/2006/relationships/hyperlink" Target="http://adzine.de" TargetMode="External"/><Relationship Id="rId1593" Type="http://schemas.openxmlformats.org/officeDocument/2006/relationships/hyperlink" Target="https://aeo-collective.com/blog/top-10-aeo-geo-aio-marketing-agencies-in-april-2026/" TargetMode="External"/><Relationship Id="rId1594" Type="http://schemas.openxmlformats.org/officeDocument/2006/relationships/hyperlink" Target="http://aeo-collective.com" TargetMode="External"/><Relationship Id="rId1595" Type="http://schemas.openxmlformats.org/officeDocument/2006/relationships/hyperlink" Target="https://aeo-copilot.com/partners/agencies/germany/hamburg" TargetMode="External"/><Relationship Id="rId1596" Type="http://schemas.openxmlformats.org/officeDocument/2006/relationships/hyperlink" Target="http://aeo-copilot.com" TargetMode="External"/><Relationship Id="rId1597" Type="http://schemas.openxmlformats.org/officeDocument/2006/relationships/hyperlink" Target="https://aeoagency.org/de/" TargetMode="External"/><Relationship Id="rId1587" Type="http://schemas.openxmlformats.org/officeDocument/2006/relationships/hyperlink" Target="https://www.advisori.de/services/digital-transformation/ki-kuenstliche-intelligenz" TargetMode="External"/><Relationship Id="rId1588" Type="http://schemas.openxmlformats.org/officeDocument/2006/relationships/hyperlink" Target="http://advisori.de" TargetMode="External"/><Relationship Id="rId1589" Type="http://schemas.openxmlformats.org/officeDocument/2006/relationships/hyperlink" Target="https://www.adzine.de/techfinder/marketing/" TargetMode="External"/><Relationship Id="rId998" Type="http://schemas.openxmlformats.org/officeDocument/2006/relationships/hyperlink" Target="https://dripagency.de/markets/germany" TargetMode="External"/><Relationship Id="rId997" Type="http://schemas.openxmlformats.org/officeDocument/2006/relationships/hyperlink" Target="http://dreikon.de" TargetMode="External"/><Relationship Id="rId996" Type="http://schemas.openxmlformats.org/officeDocument/2006/relationships/hyperlink" Target="https://www.dreikon.de/aktuell/online-marketing-wissen/die-10-besten-seo-und-geo-agenturen-2026/" TargetMode="External"/><Relationship Id="rId995" Type="http://schemas.openxmlformats.org/officeDocument/2006/relationships/hyperlink" Target="http://deptagency.com" TargetMode="External"/><Relationship Id="rId999" Type="http://schemas.openxmlformats.org/officeDocument/2006/relationships/hyperlink" Target="http://dripagency.de" TargetMode="External"/><Relationship Id="rId990" Type="http://schemas.openxmlformats.org/officeDocument/2006/relationships/hyperlink" Target="https://de.linkedin.com/company/the-boutique-agency-de" TargetMode="External"/><Relationship Id="rId1580" Type="http://schemas.openxmlformats.org/officeDocument/2006/relationships/hyperlink" Target="http://adswerve.com" TargetMode="External"/><Relationship Id="rId1581" Type="http://schemas.openxmlformats.org/officeDocument/2006/relationships/hyperlink" Target="https://www.advanced-television.com/2026/03/17/smartly-acquires-incrmntal-measurement-platform/" TargetMode="External"/><Relationship Id="rId1582" Type="http://schemas.openxmlformats.org/officeDocument/2006/relationships/hyperlink" Target="http://advanced-television.com" TargetMode="External"/><Relationship Id="rId994" Type="http://schemas.openxmlformats.org/officeDocument/2006/relationships/hyperlink" Target="https://www.deptagency.com/de-dach/partner/google-marketing-platform/" TargetMode="External"/><Relationship Id="rId1583" Type="http://schemas.openxmlformats.org/officeDocument/2006/relationships/hyperlink" Target="https://www.advertace.de/tiktok-ads-agentur" TargetMode="External"/><Relationship Id="rId993" Type="http://schemas.openxmlformats.org/officeDocument/2006/relationships/hyperlink" Target="http://deloitte.com" TargetMode="External"/><Relationship Id="rId1584" Type="http://schemas.openxmlformats.org/officeDocument/2006/relationships/hyperlink" Target="http://advertace.de" TargetMode="External"/><Relationship Id="rId992" Type="http://schemas.openxmlformats.org/officeDocument/2006/relationships/hyperlink" Target="https://www.deloitte.com/de/de/services/consulting/services/ki-transformation.html" TargetMode="External"/><Relationship Id="rId1585" Type="http://schemas.openxmlformats.org/officeDocument/2006/relationships/hyperlink" Target="https://www.advertal.de/wissen/marketing-attribution-software-dach-vergleich" TargetMode="External"/><Relationship Id="rId991" Type="http://schemas.openxmlformats.org/officeDocument/2006/relationships/hyperlink" Target="http://linkedin.com" TargetMode="External"/><Relationship Id="rId1586" Type="http://schemas.openxmlformats.org/officeDocument/2006/relationships/hyperlink" Target="http://advertal.de" TargetMode="External"/><Relationship Id="rId1532" Type="http://schemas.openxmlformats.org/officeDocument/2006/relationships/hyperlink" Target="http://webnique.de" TargetMode="External"/><Relationship Id="rId2863" Type="http://schemas.openxmlformats.org/officeDocument/2006/relationships/hyperlink" Target="https://www.sortlist.com/s/artificial-intelligence/hamburg-de" TargetMode="External"/><Relationship Id="rId1533" Type="http://schemas.openxmlformats.org/officeDocument/2006/relationships/hyperlink" Target="https://www.webtonic.io/blog/best-performance-marketing-agencies" TargetMode="External"/><Relationship Id="rId2864" Type="http://schemas.openxmlformats.org/officeDocument/2006/relationships/hyperlink" Target="http://sortlist.com" TargetMode="External"/><Relationship Id="rId1534" Type="http://schemas.openxmlformats.org/officeDocument/2006/relationships/hyperlink" Target="http://webtonic.io" TargetMode="External"/><Relationship Id="rId2865" Type="http://schemas.openxmlformats.org/officeDocument/2006/relationships/hyperlink" Target="https://www.sortlist.com/s/brand-experience/germany-de" TargetMode="External"/><Relationship Id="rId1535" Type="http://schemas.openxmlformats.org/officeDocument/2006/relationships/hyperlink" Target="https://www.webtonic.io/blog/top-creative-performance-agencies" TargetMode="External"/><Relationship Id="rId2866" Type="http://schemas.openxmlformats.org/officeDocument/2006/relationships/hyperlink" Target="http://sortlist.com" TargetMode="External"/><Relationship Id="rId1536" Type="http://schemas.openxmlformats.org/officeDocument/2006/relationships/hyperlink" Target="http://webtonic.io" TargetMode="External"/><Relationship Id="rId2867" Type="http://schemas.openxmlformats.org/officeDocument/2006/relationships/hyperlink" Target="https://www.sortlist.com/s/data-driven-marketing/berlin-de" TargetMode="External"/><Relationship Id="rId1537" Type="http://schemas.openxmlformats.org/officeDocument/2006/relationships/hyperlink" Target="https://www.werankle.com/en" TargetMode="External"/><Relationship Id="rId2868" Type="http://schemas.openxmlformats.org/officeDocument/2006/relationships/hyperlink" Target="http://sortlist.com" TargetMode="External"/><Relationship Id="rId1538" Type="http://schemas.openxmlformats.org/officeDocument/2006/relationships/hyperlink" Target="http://werankle.com" TargetMode="External"/><Relationship Id="rId2869" Type="http://schemas.openxmlformats.org/officeDocument/2006/relationships/hyperlink" Target="https://www.sortlist.com/s/international-marketing/hamburg-de" TargetMode="External"/><Relationship Id="rId1539" Type="http://schemas.openxmlformats.org/officeDocument/2006/relationships/hyperlink" Target="https://www.werbeagentur.de/en/scoring/programmatic-advertising" TargetMode="External"/><Relationship Id="rId949" Type="http://schemas.openxmlformats.org/officeDocument/2006/relationships/hyperlink" Target="http://semrush.com" TargetMode="External"/><Relationship Id="rId948" Type="http://schemas.openxmlformats.org/officeDocument/2006/relationships/hyperlink" Target="https://agencies.semrush.com/list/display-advertising/ecommerce/germany/mid-business/" TargetMode="External"/><Relationship Id="rId943" Type="http://schemas.openxmlformats.org/officeDocument/2006/relationships/hyperlink" Target="http://semrush.com" TargetMode="External"/><Relationship Id="rId942" Type="http://schemas.openxmlformats.org/officeDocument/2006/relationships/hyperlink" Target="https://agencies.semrush.com/list/ai-optimization/hamburg/" TargetMode="External"/><Relationship Id="rId941" Type="http://schemas.openxmlformats.org/officeDocument/2006/relationships/hyperlink" Target="http://semrush.com" TargetMode="External"/><Relationship Id="rId940" Type="http://schemas.openxmlformats.org/officeDocument/2006/relationships/hyperlink" Target="https://agencies.semrush.com/de/list/display-advertising/ecommerce/germany/" TargetMode="External"/><Relationship Id="rId947" Type="http://schemas.openxmlformats.org/officeDocument/2006/relationships/hyperlink" Target="http://semrush.com" TargetMode="External"/><Relationship Id="rId946" Type="http://schemas.openxmlformats.org/officeDocument/2006/relationships/hyperlink" Target="https://agencies.semrush.com/list/display-advertising/arts-entertainment/germany/" TargetMode="External"/><Relationship Id="rId945" Type="http://schemas.openxmlformats.org/officeDocument/2006/relationships/hyperlink" Target="http://semrush.com" TargetMode="External"/><Relationship Id="rId944" Type="http://schemas.openxmlformats.org/officeDocument/2006/relationships/hyperlink" Target="https://agencies.semrush.com/list/content-marketing/business-professional-services/germany/" TargetMode="External"/><Relationship Id="rId2860" Type="http://schemas.openxmlformats.org/officeDocument/2006/relationships/hyperlink" Target="http://sortlist.com" TargetMode="External"/><Relationship Id="rId1530" Type="http://schemas.openxmlformats.org/officeDocument/2006/relationships/hyperlink" Target="http://warc.com" TargetMode="External"/><Relationship Id="rId2861" Type="http://schemas.openxmlformats.org/officeDocument/2006/relationships/hyperlink" Target="https://www.sortlist.com/s/ai-agents/germany-de" TargetMode="External"/><Relationship Id="rId1531" Type="http://schemas.openxmlformats.org/officeDocument/2006/relationships/hyperlink" Target="https://www.webnique.de/en/webdesign-services/tracking-data-analytics" TargetMode="External"/><Relationship Id="rId2862" Type="http://schemas.openxmlformats.org/officeDocument/2006/relationships/hyperlink" Target="http://sortlist.com" TargetMode="External"/><Relationship Id="rId1521" Type="http://schemas.openxmlformats.org/officeDocument/2006/relationships/hyperlink" Target="https://www.trkkn.com/" TargetMode="External"/><Relationship Id="rId2852" Type="http://schemas.openxmlformats.org/officeDocument/2006/relationships/hyperlink" Target="http://sortlist.com" TargetMode="External"/><Relationship Id="rId1522" Type="http://schemas.openxmlformats.org/officeDocument/2006/relationships/hyperlink" Target="http://trkkn.com" TargetMode="External"/><Relationship Id="rId2853" Type="http://schemas.openxmlformats.org/officeDocument/2006/relationships/hyperlink" Target="https://www.sortlist.com/i/s/big-data-analytics/germany-de" TargetMode="External"/><Relationship Id="rId1523" Type="http://schemas.openxmlformats.org/officeDocument/2006/relationships/hyperlink" Target="https://www.upliftgtm.com/blog/best-geo-agencies" TargetMode="External"/><Relationship Id="rId2854" Type="http://schemas.openxmlformats.org/officeDocument/2006/relationships/hyperlink" Target="http://sortlist.com" TargetMode="External"/><Relationship Id="rId1524" Type="http://schemas.openxmlformats.org/officeDocument/2006/relationships/hyperlink" Target="http://upliftgtm.com" TargetMode="External"/><Relationship Id="rId2855" Type="http://schemas.openxmlformats.org/officeDocument/2006/relationships/hyperlink" Target="https://www.sortlist.com/i/s/linkedin-advertising/germany-de" TargetMode="External"/><Relationship Id="rId1525" Type="http://schemas.openxmlformats.org/officeDocument/2006/relationships/hyperlink" Target="https://upmore.com/blog/who-are-google-partners-how-to-become-a-google-certified-partner" TargetMode="External"/><Relationship Id="rId2856" Type="http://schemas.openxmlformats.org/officeDocument/2006/relationships/hyperlink" Target="http://sortlist.com" TargetMode="External"/><Relationship Id="rId1526" Type="http://schemas.openxmlformats.org/officeDocument/2006/relationships/hyperlink" Target="http://upmore.com" TargetMode="External"/><Relationship Id="rId2857" Type="http://schemas.openxmlformats.org/officeDocument/2006/relationships/hyperlink" Target="https://www.sortlist.com/i/s/ppc-marketing/germany-de" TargetMode="External"/><Relationship Id="rId1527" Type="http://schemas.openxmlformats.org/officeDocument/2006/relationships/hyperlink" Target="https://wamdigital.com/blog/top-5-creative-and-web-development-agencies-for-scalable-production-in-2026" TargetMode="External"/><Relationship Id="rId2858" Type="http://schemas.openxmlformats.org/officeDocument/2006/relationships/hyperlink" Target="http://sortlist.com" TargetMode="External"/><Relationship Id="rId1528" Type="http://schemas.openxmlformats.org/officeDocument/2006/relationships/hyperlink" Target="http://wamdigital.com" TargetMode="External"/><Relationship Id="rId2859" Type="http://schemas.openxmlformats.org/officeDocument/2006/relationships/hyperlink" Target="https://www.sortlist.com/media-planning" TargetMode="External"/><Relationship Id="rId1529" Type="http://schemas.openxmlformats.org/officeDocument/2006/relationships/hyperlink" Target="https://www.warc.com/en/rankings/creative-100" TargetMode="External"/><Relationship Id="rId939" Type="http://schemas.openxmlformats.org/officeDocument/2006/relationships/hyperlink" Target="http://aeoagencyservices.com" TargetMode="External"/><Relationship Id="rId938" Type="http://schemas.openxmlformats.org/officeDocument/2006/relationships/hyperlink" Target="https://aeoagencyservices.com/aeo-agency-europe" TargetMode="External"/><Relationship Id="rId937" Type="http://schemas.openxmlformats.org/officeDocument/2006/relationships/hyperlink" Target="http://aeoagencyservices.com" TargetMode="External"/><Relationship Id="rId932" Type="http://schemas.openxmlformats.org/officeDocument/2006/relationships/hyperlink" Target="https://www.adspecialist.de/en/channel-data-driven-marketing-agentur/" TargetMode="External"/><Relationship Id="rId931" Type="http://schemas.openxmlformats.org/officeDocument/2006/relationships/hyperlink" Target="http://adcountable.com" TargetMode="External"/><Relationship Id="rId930" Type="http://schemas.openxmlformats.org/officeDocument/2006/relationships/hyperlink" Target="https://www.adcountable.com/" TargetMode="External"/><Relationship Id="rId936" Type="http://schemas.openxmlformats.org/officeDocument/2006/relationships/hyperlink" Target="https://aeoagencyservices.com/Blog-Page/european-aeo-agency-landscape-answer-engine-optimization-providers-across-eu" TargetMode="External"/><Relationship Id="rId935" Type="http://schemas.openxmlformats.org/officeDocument/2006/relationships/hyperlink" Target="http://adstrat.de" TargetMode="External"/><Relationship Id="rId934" Type="http://schemas.openxmlformats.org/officeDocument/2006/relationships/hyperlink" Target="https://www.adstrat.de/" TargetMode="External"/><Relationship Id="rId933" Type="http://schemas.openxmlformats.org/officeDocument/2006/relationships/hyperlink" Target="http://adspecialist.de" TargetMode="External"/><Relationship Id="rId2850" Type="http://schemas.openxmlformats.org/officeDocument/2006/relationships/hyperlink" Target="http://sortlist.com" TargetMode="External"/><Relationship Id="rId1520" Type="http://schemas.openxmlformats.org/officeDocument/2006/relationships/hyperlink" Target="http://tofuhq.com" TargetMode="External"/><Relationship Id="rId2851" Type="http://schemas.openxmlformats.org/officeDocument/2006/relationships/hyperlink" Target="https://www.sortlist.com/i/branding/germany-de" TargetMode="External"/><Relationship Id="rId1554" Type="http://schemas.openxmlformats.org/officeDocument/2006/relationships/hyperlink" Target="http://aargroup.co.uk" TargetMode="External"/><Relationship Id="rId2885" Type="http://schemas.openxmlformats.org/officeDocument/2006/relationships/hyperlink" Target="https://www.sortlist.de/s/display-werbung/hamburg-de" TargetMode="External"/><Relationship Id="rId1555" Type="http://schemas.openxmlformats.org/officeDocument/2006/relationships/hyperlink" Target="https://www.adc.de/2023/12/04/serviceplan-bleibt-auf-platz-1-des-adc-kreativrankings/" TargetMode="External"/><Relationship Id="rId2886" Type="http://schemas.openxmlformats.org/officeDocument/2006/relationships/hyperlink" Target="http://sortlist.de" TargetMode="External"/><Relationship Id="rId1556" Type="http://schemas.openxmlformats.org/officeDocument/2006/relationships/hyperlink" Target="http://adc.de" TargetMode="External"/><Relationship Id="rId2887" Type="http://schemas.openxmlformats.org/officeDocument/2006/relationships/hyperlink" Target="https://www.sortlist.de/s/display-werbung/hamburg-hh-de" TargetMode="External"/><Relationship Id="rId1557" Type="http://schemas.openxmlformats.org/officeDocument/2006/relationships/hyperlink" Target="https://www.adcologne.de/" TargetMode="External"/><Relationship Id="rId2888" Type="http://schemas.openxmlformats.org/officeDocument/2006/relationships/hyperlink" Target="http://sortlist.de" TargetMode="External"/><Relationship Id="rId1558" Type="http://schemas.openxmlformats.org/officeDocument/2006/relationships/hyperlink" Target="http://adcologne.de" TargetMode="External"/><Relationship Id="rId2889" Type="http://schemas.openxmlformats.org/officeDocument/2006/relationships/hyperlink" Target="https://www.sortlist.de/s/facebook-advertising/deutschland-de" TargetMode="External"/><Relationship Id="rId1559" Type="http://schemas.openxmlformats.org/officeDocument/2006/relationships/hyperlink" Target="https://www.adito.de/knowhow/blog/performance-marketing" TargetMode="External"/><Relationship Id="rId965" Type="http://schemas.openxmlformats.org/officeDocument/2006/relationships/hyperlink" Target="http://awisee.com" TargetMode="External"/><Relationship Id="rId964" Type="http://schemas.openxmlformats.org/officeDocument/2006/relationships/hyperlink" Target="https://awisee.com/blog/social-media-marketing-agencies-germany/" TargetMode="External"/><Relationship Id="rId963" Type="http://schemas.openxmlformats.org/officeDocument/2006/relationships/hyperlink" Target="http://attributy.de" TargetMode="External"/><Relationship Id="rId962" Type="http://schemas.openxmlformats.org/officeDocument/2006/relationships/hyperlink" Target="https://attributy.de/about" TargetMode="External"/><Relationship Id="rId969" Type="http://schemas.openxmlformats.org/officeDocument/2006/relationships/hyperlink" Target="http://bconic.com" TargetMode="External"/><Relationship Id="rId968" Type="http://schemas.openxmlformats.org/officeDocument/2006/relationships/hyperlink" Target="https://bconic.com/" TargetMode="External"/><Relationship Id="rId967" Type="http://schemas.openxmlformats.org/officeDocument/2006/relationships/hyperlink" Target="http://awisee.com" TargetMode="External"/><Relationship Id="rId966" Type="http://schemas.openxmlformats.org/officeDocument/2006/relationships/hyperlink" Target="https://awisee.com/us/blog/digital-marketing-agencies-germany/" TargetMode="External"/><Relationship Id="rId2880" Type="http://schemas.openxmlformats.org/officeDocument/2006/relationships/hyperlink" Target="http://sortlist.com" TargetMode="External"/><Relationship Id="rId961" Type="http://schemas.openxmlformats.org/officeDocument/2006/relationships/hyperlink" Target="http://arxiv.org" TargetMode="External"/><Relationship Id="rId1550" Type="http://schemas.openxmlformats.org/officeDocument/2006/relationships/hyperlink" Target="http://zupo.co" TargetMode="External"/><Relationship Id="rId2881" Type="http://schemas.openxmlformats.org/officeDocument/2006/relationships/hyperlink" Target="https://www.sortlist.com/social-media-optimization" TargetMode="External"/><Relationship Id="rId960" Type="http://schemas.openxmlformats.org/officeDocument/2006/relationships/hyperlink" Target="https://arxiv.org/abs/2604.07585" TargetMode="External"/><Relationship Id="rId1551" Type="http://schemas.openxmlformats.org/officeDocument/2006/relationships/hyperlink" Target="https://www.2pointagency.com/glossary/data-activation-and-first-party-data-strategy-a-comprehensive-guide-for-businesses/" TargetMode="External"/><Relationship Id="rId2882" Type="http://schemas.openxmlformats.org/officeDocument/2006/relationships/hyperlink" Target="http://sortlist.com" TargetMode="External"/><Relationship Id="rId1552" Type="http://schemas.openxmlformats.org/officeDocument/2006/relationships/hyperlink" Target="http://2pointagency.com" TargetMode="External"/><Relationship Id="rId2883" Type="http://schemas.openxmlformats.org/officeDocument/2006/relationships/hyperlink" Target="https://www.sortlist.de/s/display-werbung/bayern-by-de" TargetMode="External"/><Relationship Id="rId1553" Type="http://schemas.openxmlformats.org/officeDocument/2006/relationships/hyperlink" Target="https://aargroup.co.uk/services-for-marketers/platform-readiness/genai-readiness-assessment/" TargetMode="External"/><Relationship Id="rId2884" Type="http://schemas.openxmlformats.org/officeDocument/2006/relationships/hyperlink" Target="http://sortlist.de" TargetMode="External"/><Relationship Id="rId1543" Type="http://schemas.openxmlformats.org/officeDocument/2006/relationships/hyperlink" Target="https://www.wuv.de/Themen/Agentur/BVDW-Kreativranking-Welche-Agenturen-2024-Massstaebe-setzten" TargetMode="External"/><Relationship Id="rId2874" Type="http://schemas.openxmlformats.org/officeDocument/2006/relationships/hyperlink" Target="http://sortlist.com" TargetMode="External"/><Relationship Id="rId1544" Type="http://schemas.openxmlformats.org/officeDocument/2006/relationships/hyperlink" Target="http://wuv.de" TargetMode="External"/><Relationship Id="rId2875" Type="http://schemas.openxmlformats.org/officeDocument/2006/relationships/hyperlink" Target="https://www.sortlist.com/s/performance-marketing/munich-by-de" TargetMode="External"/><Relationship Id="rId1545" Type="http://schemas.openxmlformats.org/officeDocument/2006/relationships/hyperlink" Target="https://www.wuv.deamp.wuv.de/Themen/Agentur/Das-sind-Deutschlands-meistausgezeichnete-Agenturen" TargetMode="External"/><Relationship Id="rId2876" Type="http://schemas.openxmlformats.org/officeDocument/2006/relationships/hyperlink" Target="http://sortlist.com" TargetMode="External"/><Relationship Id="rId1546" Type="http://schemas.openxmlformats.org/officeDocument/2006/relationships/hyperlink" Target="http://wuv.de" TargetMode="External"/><Relationship Id="rId2877" Type="http://schemas.openxmlformats.org/officeDocument/2006/relationships/hyperlink" Target="https://www.sortlist.com/s/programmatic-advertising/berlin-de" TargetMode="External"/><Relationship Id="rId1547" Type="http://schemas.openxmlformats.org/officeDocument/2006/relationships/hyperlink" Target="https://zipdo.co/service/attribution/" TargetMode="External"/><Relationship Id="rId2878" Type="http://schemas.openxmlformats.org/officeDocument/2006/relationships/hyperlink" Target="http://sortlist.com" TargetMode="External"/><Relationship Id="rId1548" Type="http://schemas.openxmlformats.org/officeDocument/2006/relationships/hyperlink" Target="http://zipdo.co" TargetMode="External"/><Relationship Id="rId2879" Type="http://schemas.openxmlformats.org/officeDocument/2006/relationships/hyperlink" Target="https://www.sortlist.com/s/roi-optimization/germany-de" TargetMode="External"/><Relationship Id="rId1549" Type="http://schemas.openxmlformats.org/officeDocument/2006/relationships/hyperlink" Target="https://zupo.co/best-aeo-agencies/" TargetMode="External"/><Relationship Id="rId959" Type="http://schemas.openxmlformats.org/officeDocument/2006/relationships/hyperlink" Target="http://artefact.com" TargetMode="External"/><Relationship Id="rId954" Type="http://schemas.openxmlformats.org/officeDocument/2006/relationships/hyperlink" Target="https://anyleads.com/geo-agencies-ai-search-visibility" TargetMode="External"/><Relationship Id="rId953" Type="http://schemas.openxmlformats.org/officeDocument/2006/relationships/hyperlink" Target="http://semrush.com" TargetMode="External"/><Relationship Id="rId952" Type="http://schemas.openxmlformats.org/officeDocument/2006/relationships/hyperlink" Target="https://agencies.semrush.com/list/llm-optimization/germany/" TargetMode="External"/><Relationship Id="rId951" Type="http://schemas.openxmlformats.org/officeDocument/2006/relationships/hyperlink" Target="http://semrush.com" TargetMode="External"/><Relationship Id="rId958" Type="http://schemas.openxmlformats.org/officeDocument/2006/relationships/hyperlink" Target="https://www.artefact.com/offers/marketing-data-driven/gmp-certified-reseller/" TargetMode="External"/><Relationship Id="rId957" Type="http://schemas.openxmlformats.org/officeDocument/2006/relationships/hyperlink" Target="http://appfillip.com" TargetMode="External"/><Relationship Id="rId956" Type="http://schemas.openxmlformats.org/officeDocument/2006/relationships/hyperlink" Target="https://appfillip.com/advanced-paid-marketing/in/germany" TargetMode="External"/><Relationship Id="rId955" Type="http://schemas.openxmlformats.org/officeDocument/2006/relationships/hyperlink" Target="http://anyleads.com" TargetMode="External"/><Relationship Id="rId950" Type="http://schemas.openxmlformats.org/officeDocument/2006/relationships/hyperlink" Target="https://agencies.semrush.com/list/display-advertising/germany/enterprise-business/" TargetMode="External"/><Relationship Id="rId2870" Type="http://schemas.openxmlformats.org/officeDocument/2006/relationships/hyperlink" Target="http://sortlist.com" TargetMode="External"/><Relationship Id="rId1540" Type="http://schemas.openxmlformats.org/officeDocument/2006/relationships/hyperlink" Target="http://werbeagentur.de" TargetMode="External"/><Relationship Id="rId2871" Type="http://schemas.openxmlformats.org/officeDocument/2006/relationships/hyperlink" Target="https://www.sortlist.com/s/paid-media/munich-by-de" TargetMode="External"/><Relationship Id="rId1541" Type="http://schemas.openxmlformats.org/officeDocument/2006/relationships/hyperlink" Target="https://wpseoai.com/blog/best-geo-llm-agency-in-hamburg-with-geo-llm-optimization-technology/" TargetMode="External"/><Relationship Id="rId2872" Type="http://schemas.openxmlformats.org/officeDocument/2006/relationships/hyperlink" Target="http://sortlist.com" TargetMode="External"/><Relationship Id="rId1542" Type="http://schemas.openxmlformats.org/officeDocument/2006/relationships/hyperlink" Target="http://wpseoai.com" TargetMode="External"/><Relationship Id="rId2873" Type="http://schemas.openxmlformats.org/officeDocument/2006/relationships/hyperlink" Target="https://www.sortlist.com/s/performance-marketing/frankfurt-he-de" TargetMode="External"/><Relationship Id="rId2027" Type="http://schemas.openxmlformats.org/officeDocument/2006/relationships/hyperlink" Target="http://elementor.com" TargetMode="External"/><Relationship Id="rId2028" Type="http://schemas.openxmlformats.org/officeDocument/2006/relationships/hyperlink" Target="https://www.eliya.io/" TargetMode="External"/><Relationship Id="rId2029" Type="http://schemas.openxmlformats.org/officeDocument/2006/relationships/hyperlink" Target="http://eliya.io" TargetMode="External"/><Relationship Id="rId107" Type="http://schemas.openxmlformats.org/officeDocument/2006/relationships/hyperlink" Target="http://goodfirms.co" TargetMode="External"/><Relationship Id="rId106" Type="http://schemas.openxmlformats.org/officeDocument/2006/relationships/hyperlink" Target="https://www.goodfirms.co/advertising-companies/creative/germany" TargetMode="External"/><Relationship Id="rId105" Type="http://schemas.openxmlformats.org/officeDocument/2006/relationships/hyperlink" Target="http://clutch.co" TargetMode="External"/><Relationship Id="rId104" Type="http://schemas.openxmlformats.org/officeDocument/2006/relationships/hyperlink" Target="https://clutch.co/de/agencies/market-research" TargetMode="External"/><Relationship Id="rId109" Type="http://schemas.openxmlformats.org/officeDocument/2006/relationships/hyperlink" Target="http://sourceforge.net" TargetMode="External"/><Relationship Id="rId108" Type="http://schemas.openxmlformats.org/officeDocument/2006/relationships/hyperlink" Target="https://sourceforge.net/software/marketing-attribution/germany/" TargetMode="External"/><Relationship Id="rId2020" Type="http://schemas.openxmlformats.org/officeDocument/2006/relationships/hyperlink" Target="https://ecosystem.hubspot.com/marketplace/solutions/saphirsolution" TargetMode="External"/><Relationship Id="rId2021" Type="http://schemas.openxmlformats.org/officeDocument/2006/relationships/hyperlink" Target="http://hubspot.com" TargetMode="External"/><Relationship Id="rId2022" Type="http://schemas.openxmlformats.org/officeDocument/2006/relationships/hyperlink" Target="https://ecosystem.hubspot.com/marketplace/solutions/social-media/germany" TargetMode="External"/><Relationship Id="rId103" Type="http://schemas.openxmlformats.org/officeDocument/2006/relationships/hyperlink" Target="http://aeovision.ai" TargetMode="External"/><Relationship Id="rId2023" Type="http://schemas.openxmlformats.org/officeDocument/2006/relationships/hyperlink" Target="http://hubspot.com" TargetMode="External"/><Relationship Id="rId102" Type="http://schemas.openxmlformats.org/officeDocument/2006/relationships/hyperlink" Target="https://aeovision.ai/articles/best-aeo-geo-agencies-2026/" TargetMode="External"/><Relationship Id="rId2024" Type="http://schemas.openxmlformats.org/officeDocument/2006/relationships/hyperlink" Target="https://www.ecowiseagency.com/" TargetMode="External"/><Relationship Id="rId101" Type="http://schemas.openxmlformats.org/officeDocument/2006/relationships/hyperlink" Target="http://magiclibrary.co" TargetMode="External"/><Relationship Id="rId2025" Type="http://schemas.openxmlformats.org/officeDocument/2006/relationships/hyperlink" Target="http://ecowiseagency.com" TargetMode="External"/><Relationship Id="rId100" Type="http://schemas.openxmlformats.org/officeDocument/2006/relationships/hyperlink" Target="https://www.magiclibrary.co/blog/best-b2b-saas-marketing-agencies-in-germany" TargetMode="External"/><Relationship Id="rId2026" Type="http://schemas.openxmlformats.org/officeDocument/2006/relationships/hyperlink" Target="https://elementor.com/blog/best-seo-geo-agencies/" TargetMode="External"/><Relationship Id="rId2016" Type="http://schemas.openxmlformats.org/officeDocument/2006/relationships/hyperlink" Target="https://ecommercegermany.com/blog/top-ecommerce-startups-in-dach/" TargetMode="External"/><Relationship Id="rId2017" Type="http://schemas.openxmlformats.org/officeDocument/2006/relationships/hyperlink" Target="http://ecommercegermany.com" TargetMode="External"/><Relationship Id="rId2018" Type="http://schemas.openxmlformats.org/officeDocument/2006/relationships/hyperlink" Target="https://www.econworks.de/" TargetMode="External"/><Relationship Id="rId2019" Type="http://schemas.openxmlformats.org/officeDocument/2006/relationships/hyperlink" Target="http://econworks.de" TargetMode="External"/><Relationship Id="rId2010" Type="http://schemas.openxmlformats.org/officeDocument/2006/relationships/hyperlink" Target="https://ecom-unity.partnerpage.io/mawave-marketing" TargetMode="External"/><Relationship Id="rId2011" Type="http://schemas.openxmlformats.org/officeDocument/2006/relationships/hyperlink" Target="http://partnerpage.io" TargetMode="External"/><Relationship Id="rId2012" Type="http://schemas.openxmlformats.org/officeDocument/2006/relationships/hyperlink" Target="https://ecommercefastlane.com/best-geo-agencies-dach-region-expert-guide/" TargetMode="External"/><Relationship Id="rId2013" Type="http://schemas.openxmlformats.org/officeDocument/2006/relationships/hyperlink" Target="http://ecommercefastlane.com" TargetMode="External"/><Relationship Id="rId2014" Type="http://schemas.openxmlformats.org/officeDocument/2006/relationships/hyperlink" Target="https://ecommercegermany.com/blog/top-29-german-saas-companies-in-2021/" TargetMode="External"/><Relationship Id="rId2015" Type="http://schemas.openxmlformats.org/officeDocument/2006/relationships/hyperlink" Target="http://ecommercegermany.com" TargetMode="External"/><Relationship Id="rId2049" Type="http://schemas.openxmlformats.org/officeDocument/2006/relationships/hyperlink" Target="https://www.etracker.com/" TargetMode="External"/><Relationship Id="rId129" Type="http://schemas.openxmlformats.org/officeDocument/2006/relationships/hyperlink" Target="http://semrush.com" TargetMode="External"/><Relationship Id="rId128" Type="http://schemas.openxmlformats.org/officeDocument/2006/relationships/hyperlink" Target="https://agencies.semrush.com/list/display-advertising/germany/small-business/" TargetMode="External"/><Relationship Id="rId127" Type="http://schemas.openxmlformats.org/officeDocument/2006/relationships/hyperlink" Target="http://techbehemoths.com" TargetMode="External"/><Relationship Id="rId126" Type="http://schemas.openxmlformats.org/officeDocument/2006/relationships/hyperlink" Target="https://techbehemoths.com/companies/media-planning-buying/germany" TargetMode="External"/><Relationship Id="rId2040" Type="http://schemas.openxmlformats.org/officeDocument/2006/relationships/hyperlink" Target="https://ensun.io/search/web-analytics/germany" TargetMode="External"/><Relationship Id="rId121" Type="http://schemas.openxmlformats.org/officeDocument/2006/relationships/hyperlink" Target="http://xmethod.de" TargetMode="External"/><Relationship Id="rId2041" Type="http://schemas.openxmlformats.org/officeDocument/2006/relationships/hyperlink" Target="http://ensun.io" TargetMode="External"/><Relationship Id="rId120" Type="http://schemas.openxmlformats.org/officeDocument/2006/relationships/hyperlink" Target="https://www.xmethod.de/en/blog/besten-ki-agenturen" TargetMode="External"/><Relationship Id="rId2042" Type="http://schemas.openxmlformats.org/officeDocument/2006/relationships/hyperlink" Target="https://enterprise.google.com/marketing-platform/partners/" TargetMode="External"/><Relationship Id="rId2043" Type="http://schemas.openxmlformats.org/officeDocument/2006/relationships/hyperlink" Target="http://google.com" TargetMode="External"/><Relationship Id="rId2044" Type="http://schemas.openxmlformats.org/officeDocument/2006/relationships/hyperlink" Target="https://enterprisemarketingportal.google/find-a-partner/trkkngermany%2528trakken%2529-de?certificationsFilters=Tag%20Manager" TargetMode="External"/><Relationship Id="rId125" Type="http://schemas.openxmlformats.org/officeDocument/2006/relationships/hyperlink" Target="http://dreikon.de" TargetMode="External"/><Relationship Id="rId2045" Type="http://schemas.openxmlformats.org/officeDocument/2006/relationships/hyperlink" Target="https://www.entrans.ai/blog/top-ai-development-companies" TargetMode="External"/><Relationship Id="rId124" Type="http://schemas.openxmlformats.org/officeDocument/2006/relationships/hyperlink" Target="https://www.dreikon.de/en/news/online-marketing-knowledge/best-online-marketing-agency-in-germany/" TargetMode="External"/><Relationship Id="rId2046" Type="http://schemas.openxmlformats.org/officeDocument/2006/relationships/hyperlink" Target="http://entrans.ai" TargetMode="External"/><Relationship Id="rId123" Type="http://schemas.openxmlformats.org/officeDocument/2006/relationships/hyperlink" Target="http://zendikt.com" TargetMode="External"/><Relationship Id="rId2047" Type="http://schemas.openxmlformats.org/officeDocument/2006/relationships/hyperlink" Target="https://www.esparkinfo.com/cloud/top-companies" TargetMode="External"/><Relationship Id="rId122" Type="http://schemas.openxmlformats.org/officeDocument/2006/relationships/hyperlink" Target="https://www.zendikt.com/top-10-marketing-analytics-software/germany" TargetMode="External"/><Relationship Id="rId2048" Type="http://schemas.openxmlformats.org/officeDocument/2006/relationships/hyperlink" Target="http://esparkinfo.com" TargetMode="External"/><Relationship Id="rId2038" Type="http://schemas.openxmlformats.org/officeDocument/2006/relationships/hyperlink" Target="https://ensun.io/search/data-analytics/germany" TargetMode="External"/><Relationship Id="rId2039" Type="http://schemas.openxmlformats.org/officeDocument/2006/relationships/hyperlink" Target="http://ensun.io" TargetMode="External"/><Relationship Id="rId118" Type="http://schemas.openxmlformats.org/officeDocument/2006/relationships/hyperlink" Target="https://techbehemoths.com/companies/google-marketing-platform/germany" TargetMode="External"/><Relationship Id="rId117" Type="http://schemas.openxmlformats.org/officeDocument/2006/relationships/hyperlink" Target="http://sortlist.de" TargetMode="External"/><Relationship Id="rId116" Type="http://schemas.openxmlformats.org/officeDocument/2006/relationships/hyperlink" Target="https://www.sortlist.de/s/bezahlte-media/deutschland-de" TargetMode="External"/><Relationship Id="rId115" Type="http://schemas.openxmlformats.org/officeDocument/2006/relationships/hyperlink" Target="http://hikemytraffic.com" TargetMode="External"/><Relationship Id="rId119" Type="http://schemas.openxmlformats.org/officeDocument/2006/relationships/hyperlink" Target="http://techbehemoths.com" TargetMode="External"/><Relationship Id="rId110" Type="http://schemas.openxmlformats.org/officeDocument/2006/relationships/hyperlink" Target="https://digitalagencynetwork.com/agencies/berlin/" TargetMode="External"/><Relationship Id="rId2030" Type="http://schemas.openxmlformats.org/officeDocument/2006/relationships/hyperlink" Target="https://www.emarketer.com/content/faq-on-ai-media-buying--platform-tools--agency-strategy--how-win-2026" TargetMode="External"/><Relationship Id="rId2031" Type="http://schemas.openxmlformats.org/officeDocument/2006/relationships/hyperlink" Target="http://emarketer.com" TargetMode="External"/><Relationship Id="rId2032" Type="http://schemas.openxmlformats.org/officeDocument/2006/relationships/hyperlink" Target="https://en.analyticaa.com/" TargetMode="External"/><Relationship Id="rId2033" Type="http://schemas.openxmlformats.org/officeDocument/2006/relationships/hyperlink" Target="http://analyticaa.com" TargetMode="External"/><Relationship Id="rId114" Type="http://schemas.openxmlformats.org/officeDocument/2006/relationships/hyperlink" Target="https://hikemytraffic.com/ai-digital-marketing-services-in-germany/" TargetMode="External"/><Relationship Id="rId2034" Type="http://schemas.openxmlformats.org/officeDocument/2006/relationships/hyperlink" Target="https://en.wikipedia.org/wiki/Serviceplan_Group" TargetMode="External"/><Relationship Id="rId113" Type="http://schemas.openxmlformats.org/officeDocument/2006/relationships/hyperlink" Target="http://feedbax.ai" TargetMode="External"/><Relationship Id="rId2035" Type="http://schemas.openxmlformats.org/officeDocument/2006/relationships/hyperlink" Target="http://wikipedia.org" TargetMode="External"/><Relationship Id="rId112" Type="http://schemas.openxmlformats.org/officeDocument/2006/relationships/hyperlink" Target="https://feedbax.ai/performance-marketing/germany" TargetMode="External"/><Relationship Id="rId2036" Type="http://schemas.openxmlformats.org/officeDocument/2006/relationships/hyperlink" Target="https://ensun.io/search/ab-testing/germany" TargetMode="External"/><Relationship Id="rId111" Type="http://schemas.openxmlformats.org/officeDocument/2006/relationships/hyperlink" Target="http://digitalagencynetwork.com" TargetMode="External"/><Relationship Id="rId2037" Type="http://schemas.openxmlformats.org/officeDocument/2006/relationships/hyperlink" Target="http://ensun.io" TargetMode="External"/><Relationship Id="rId2005" Type="http://schemas.openxmlformats.org/officeDocument/2006/relationships/hyperlink" Target="http://easyinsights.ai" TargetMode="External"/><Relationship Id="rId2006" Type="http://schemas.openxmlformats.org/officeDocument/2006/relationships/hyperlink" Target="https://ebiquity.com/solutions/grow/testmatch/" TargetMode="External"/><Relationship Id="rId2007" Type="http://schemas.openxmlformats.org/officeDocument/2006/relationships/hyperlink" Target="http://ebiquity.com" TargetMode="External"/><Relationship Id="rId2008" Type="http://schemas.openxmlformats.org/officeDocument/2006/relationships/hyperlink" Target="https://ecimediamanagement.com/media-performance-consulting" TargetMode="External"/><Relationship Id="rId2009" Type="http://schemas.openxmlformats.org/officeDocument/2006/relationships/hyperlink" Target="http://ecimediamanagement.com" TargetMode="External"/><Relationship Id="rId2000" Type="http://schemas.openxmlformats.org/officeDocument/2006/relationships/hyperlink" Target="https://e-dialog.group/en/google-sales-partner/search-ads-360/" TargetMode="External"/><Relationship Id="rId2001" Type="http://schemas.openxmlformats.org/officeDocument/2006/relationships/hyperlink" Target="https://e-dialog.group/en/technologies/" TargetMode="External"/><Relationship Id="rId2002" Type="http://schemas.openxmlformats.org/officeDocument/2006/relationships/hyperlink" Target="https://www.e-dynamics.de/homepage/" TargetMode="External"/><Relationship Id="rId2003" Type="http://schemas.openxmlformats.org/officeDocument/2006/relationships/hyperlink" Target="http://e-dynamics.de" TargetMode="External"/><Relationship Id="rId2004" Type="http://schemas.openxmlformats.org/officeDocument/2006/relationships/hyperlink" Target="https://easyinsights.ai/blog/first-party-data-activation-platforms/" TargetMode="External"/><Relationship Id="rId2090" Type="http://schemas.openxmlformats.org/officeDocument/2006/relationships/hyperlink" Target="https://www.fibbler.co/blog/b2b-marketing-attribution-software" TargetMode="External"/><Relationship Id="rId2091" Type="http://schemas.openxmlformats.org/officeDocument/2006/relationships/hyperlink" Target="http://fibbler.co" TargetMode="External"/><Relationship Id="rId2092" Type="http://schemas.openxmlformats.org/officeDocument/2006/relationships/hyperlink" Target="https://www.fieldtrip.agency/post/best-creative-agencies-for-global-brands" TargetMode="External"/><Relationship Id="rId2093" Type="http://schemas.openxmlformats.org/officeDocument/2006/relationships/hyperlink" Target="https://www.fieldtrip.agency/post/best-digital-marketing-agencies-for-large-companies" TargetMode="External"/><Relationship Id="rId2094" Type="http://schemas.openxmlformats.org/officeDocument/2006/relationships/hyperlink" Target="https://www.fifty-five.com/" TargetMode="External"/><Relationship Id="rId2095" Type="http://schemas.openxmlformats.org/officeDocument/2006/relationships/hyperlink" Target="http://fifty-five.com" TargetMode="External"/><Relationship Id="rId2096" Type="http://schemas.openxmlformats.org/officeDocument/2006/relationships/hyperlink" Target="https://finance-seo.de/ratgeber/beste-geo-agenturen" TargetMode="External"/><Relationship Id="rId2097" Type="http://schemas.openxmlformats.org/officeDocument/2006/relationships/hyperlink" Target="http://finance-seo.de" TargetMode="External"/><Relationship Id="rId2098" Type="http://schemas.openxmlformats.org/officeDocument/2006/relationships/hyperlink" Target="https://firmeneintrag.creditreform.de/80331/2151366579/INCUBETA_GERMANY_GMBH" TargetMode="External"/><Relationship Id="rId2099" Type="http://schemas.openxmlformats.org/officeDocument/2006/relationships/hyperlink" Target="http://creditreform.de" TargetMode="External"/><Relationship Id="rId2060" Type="http://schemas.openxmlformats.org/officeDocument/2006/relationships/hyperlink" Target="https://www.expatrio.com/about-germany/study-marketing-in-germany" TargetMode="External"/><Relationship Id="rId2061" Type="http://schemas.openxmlformats.org/officeDocument/2006/relationships/hyperlink" Target="http://expatrio.com" TargetMode="External"/><Relationship Id="rId2062" Type="http://schemas.openxmlformats.org/officeDocument/2006/relationships/hyperlink" Target="https://www.experian.com/blogs/marketing-forward/first-party-data-activation-2026/" TargetMode="External"/><Relationship Id="rId2063" Type="http://schemas.openxmlformats.org/officeDocument/2006/relationships/hyperlink" Target="http://experian.com" TargetMode="External"/><Relationship Id="rId2064" Type="http://schemas.openxmlformats.org/officeDocument/2006/relationships/hyperlink" Target="https://www.experian.com/business/solutions/marketing-solutions/marketing-measurement-tools" TargetMode="External"/><Relationship Id="rId2065" Type="http://schemas.openxmlformats.org/officeDocument/2006/relationships/hyperlink" Target="http://experian.com" TargetMode="External"/><Relationship Id="rId2066" Type="http://schemas.openxmlformats.org/officeDocument/2006/relationships/hyperlink" Target="https://www.f6s.com/software/category/first-party-data-activation" TargetMode="External"/><Relationship Id="rId2067" Type="http://schemas.openxmlformats.org/officeDocument/2006/relationships/hyperlink" Target="http://f6s.com" TargetMode="External"/><Relationship Id="rId2068" Type="http://schemas.openxmlformats.org/officeDocument/2006/relationships/hyperlink" Target="https://www.facebook.com/incrmntal/" TargetMode="External"/><Relationship Id="rId2069" Type="http://schemas.openxmlformats.org/officeDocument/2006/relationships/hyperlink" Target="http://facebook.com" TargetMode="External"/><Relationship Id="rId2050" Type="http://schemas.openxmlformats.org/officeDocument/2006/relationships/hyperlink" Target="http://etracker.com" TargetMode="External"/><Relationship Id="rId2051" Type="http://schemas.openxmlformats.org/officeDocument/2006/relationships/hyperlink" Target="https://euro-security.de/en/germany-establishes-centre-of-excellence-for-ai-security/" TargetMode="External"/><Relationship Id="rId2052" Type="http://schemas.openxmlformats.org/officeDocument/2006/relationships/hyperlink" Target="http://euro-security.de" TargetMode="External"/><Relationship Id="rId2053" Type="http://schemas.openxmlformats.org/officeDocument/2006/relationships/hyperlink" Target="https://www.evergreen.media/en/" TargetMode="External"/><Relationship Id="rId2054" Type="http://schemas.openxmlformats.org/officeDocument/2006/relationships/hyperlink" Target="https://www.evergreen.media/en/guide/answer-engine-optimization/" TargetMode="External"/><Relationship Id="rId2055" Type="http://schemas.openxmlformats.org/officeDocument/2006/relationships/hyperlink" Target="https://evolved.marketing/conversion-management-hub/ai-agents/" TargetMode="External"/><Relationship Id="rId2056" Type="http://schemas.openxmlformats.org/officeDocument/2006/relationships/hyperlink" Target="https://www.ewrdigital.com/blog/best-ai-seo-aeo-agencies-2026" TargetMode="External"/><Relationship Id="rId2057" Type="http://schemas.openxmlformats.org/officeDocument/2006/relationships/hyperlink" Target="http://ewrdigital.com" TargetMode="External"/><Relationship Id="rId2058" Type="http://schemas.openxmlformats.org/officeDocument/2006/relationships/hyperlink" Target="https://www.existenzgruender-jungunternehmer.de/p/gruendung/besten-geo-experten-finden.html" TargetMode="External"/><Relationship Id="rId2059" Type="http://schemas.openxmlformats.org/officeDocument/2006/relationships/hyperlink" Target="http://existenzgruender-jungunternehmer.de" TargetMode="External"/><Relationship Id="rId2080" Type="http://schemas.openxmlformats.org/officeDocument/2006/relationships/hyperlink" Target="https://feedbax.ai/google-ads/dach" TargetMode="External"/><Relationship Id="rId2081" Type="http://schemas.openxmlformats.org/officeDocument/2006/relationships/hyperlink" Target="http://feedbax.ai" TargetMode="External"/><Relationship Id="rId2082" Type="http://schemas.openxmlformats.org/officeDocument/2006/relationships/hyperlink" Target="https://feedbax.ai/performance-marketing/dach" TargetMode="External"/><Relationship Id="rId2083" Type="http://schemas.openxmlformats.org/officeDocument/2006/relationships/hyperlink" Target="http://feedbax.ai" TargetMode="External"/><Relationship Id="rId2084" Type="http://schemas.openxmlformats.org/officeDocument/2006/relationships/hyperlink" Target="https://feedbax.ai/performance-marketing/frankfurt" TargetMode="External"/><Relationship Id="rId2085" Type="http://schemas.openxmlformats.org/officeDocument/2006/relationships/hyperlink" Target="http://feedbax.ai" TargetMode="External"/><Relationship Id="rId2086" Type="http://schemas.openxmlformats.org/officeDocument/2006/relationships/hyperlink" Target="https://www.feld-m.de/en/events/data-gap-marketing-measurement-event/" TargetMode="External"/><Relationship Id="rId2087" Type="http://schemas.openxmlformats.org/officeDocument/2006/relationships/hyperlink" Target="http://feld-m.de" TargetMode="External"/><Relationship Id="rId2088" Type="http://schemas.openxmlformats.org/officeDocument/2006/relationships/hyperlink" Target="https://www.feld-m.de/kontakt/" TargetMode="External"/><Relationship Id="rId2089" Type="http://schemas.openxmlformats.org/officeDocument/2006/relationships/hyperlink" Target="http://feld-m.de" TargetMode="External"/><Relationship Id="rId2070" Type="http://schemas.openxmlformats.org/officeDocument/2006/relationships/hyperlink" Target="https://www.factorygruppe.com/" TargetMode="External"/><Relationship Id="rId2071" Type="http://schemas.openxmlformats.org/officeDocument/2006/relationships/hyperlink" Target="http://factorygruppe.com" TargetMode="External"/><Relationship Id="rId2072" Type="http://schemas.openxmlformats.org/officeDocument/2006/relationships/hyperlink" Target="https://www.featuredcustomers.com/software/first-party-data-solutions" TargetMode="External"/><Relationship Id="rId2073" Type="http://schemas.openxmlformats.org/officeDocument/2006/relationships/hyperlink" Target="http://featuredcustomers.com" TargetMode="External"/><Relationship Id="rId2074" Type="http://schemas.openxmlformats.org/officeDocument/2006/relationships/hyperlink" Target="https://feedbax.ai/ai/germany" TargetMode="External"/><Relationship Id="rId2075" Type="http://schemas.openxmlformats.org/officeDocument/2006/relationships/hyperlink" Target="http://feedbax.ai" TargetMode="External"/><Relationship Id="rId2076" Type="http://schemas.openxmlformats.org/officeDocument/2006/relationships/hyperlink" Target="https://feedbax.ai/conversion-optimization" TargetMode="External"/><Relationship Id="rId2077" Type="http://schemas.openxmlformats.org/officeDocument/2006/relationships/hyperlink" Target="http://feedbax.ai" TargetMode="External"/><Relationship Id="rId2078" Type="http://schemas.openxmlformats.org/officeDocument/2006/relationships/hyperlink" Target="https://feedbax.ai/google-ads" TargetMode="External"/><Relationship Id="rId2079" Type="http://schemas.openxmlformats.org/officeDocument/2006/relationships/hyperlink" Target="http://feedbax.ai" TargetMode="External"/><Relationship Id="rId2940" Type="http://schemas.openxmlformats.org/officeDocument/2006/relationships/hyperlink" Target="http://superbcompanies.com" TargetMode="External"/><Relationship Id="rId1610" Type="http://schemas.openxmlformats.org/officeDocument/2006/relationships/hyperlink" Target="http://semrush.com" TargetMode="External"/><Relationship Id="rId2941" Type="http://schemas.openxmlformats.org/officeDocument/2006/relationships/hyperlink" Target="https://superbcompanies.com/categories/digital-marketing-companies-in-germany/" TargetMode="External"/><Relationship Id="rId1611" Type="http://schemas.openxmlformats.org/officeDocument/2006/relationships/hyperlink" Target="https://agencies.semrush.com/list/analytics-data-science/ecommerce/germany/" TargetMode="External"/><Relationship Id="rId2942" Type="http://schemas.openxmlformats.org/officeDocument/2006/relationships/hyperlink" Target="http://superbcompanies.com" TargetMode="External"/><Relationship Id="rId1612" Type="http://schemas.openxmlformats.org/officeDocument/2006/relationships/hyperlink" Target="http://semrush.com" TargetMode="External"/><Relationship Id="rId2943" Type="http://schemas.openxmlformats.org/officeDocument/2006/relationships/hyperlink" Target="https://www.superside.com/blog/ad-creative-agencies" TargetMode="External"/><Relationship Id="rId1613" Type="http://schemas.openxmlformats.org/officeDocument/2006/relationships/hyperlink" Target="https://agencies.semrush.com/list/business-professional-services/germany/" TargetMode="External"/><Relationship Id="rId2944" Type="http://schemas.openxmlformats.org/officeDocument/2006/relationships/hyperlink" Target="http://superside.com" TargetMode="External"/><Relationship Id="rId1614" Type="http://schemas.openxmlformats.org/officeDocument/2006/relationships/hyperlink" Target="http://semrush.com" TargetMode="External"/><Relationship Id="rId2945" Type="http://schemas.openxmlformats.org/officeDocument/2006/relationships/hyperlink" Target="https://www.superside.com/blog/ai-powered-agencies" TargetMode="External"/><Relationship Id="rId1615" Type="http://schemas.openxmlformats.org/officeDocument/2006/relationships/hyperlink" Target="https://agencies.semrush.com/list/display-advertising/north-rhine-westphalia/" TargetMode="External"/><Relationship Id="rId2946" Type="http://schemas.openxmlformats.org/officeDocument/2006/relationships/hyperlink" Target="http://superside.com" TargetMode="External"/><Relationship Id="rId1616" Type="http://schemas.openxmlformats.org/officeDocument/2006/relationships/hyperlink" Target="http://semrush.com" TargetMode="External"/><Relationship Id="rId2947" Type="http://schemas.openxmlformats.org/officeDocument/2006/relationships/hyperlink" Target="https://www.superside.com/blog/creative-at-scale" TargetMode="External"/><Relationship Id="rId907" Type="http://schemas.openxmlformats.org/officeDocument/2006/relationships/hyperlink" Target="http://think11.de" TargetMode="External"/><Relationship Id="rId1617" Type="http://schemas.openxmlformats.org/officeDocument/2006/relationships/hyperlink" Target="https://agencies.semrush.com/list/facebook-advertising/germany/" TargetMode="External"/><Relationship Id="rId2948" Type="http://schemas.openxmlformats.org/officeDocument/2006/relationships/hyperlink" Target="http://superside.com" TargetMode="External"/><Relationship Id="rId906" Type="http://schemas.openxmlformats.org/officeDocument/2006/relationships/hyperlink" Target="https://think11.de/unternehmen/zertifikate/" TargetMode="External"/><Relationship Id="rId1618" Type="http://schemas.openxmlformats.org/officeDocument/2006/relationships/hyperlink" Target="http://semrush.com" TargetMode="External"/><Relationship Id="rId2949" Type="http://schemas.openxmlformats.org/officeDocument/2006/relationships/hyperlink" Target="https://www.superside.com/blog/creative-strategy-agencies-examples" TargetMode="External"/><Relationship Id="rId905" Type="http://schemas.openxmlformats.org/officeDocument/2006/relationships/hyperlink" Target="http://the-boutique-agency.de" TargetMode="External"/><Relationship Id="rId1619" Type="http://schemas.openxmlformats.org/officeDocument/2006/relationships/hyperlink" Target="https://agencies.semrush.com/list/llm-optimization/germany/mid-business/" TargetMode="External"/><Relationship Id="rId904" Type="http://schemas.openxmlformats.org/officeDocument/2006/relationships/hyperlink" Target="https://www.the-boutique-agency.de/en/search-ads-360" TargetMode="External"/><Relationship Id="rId909" Type="http://schemas.openxmlformats.org/officeDocument/2006/relationships/hyperlink" Target="http://threebestrated.de" TargetMode="External"/><Relationship Id="rId908" Type="http://schemas.openxmlformats.org/officeDocument/2006/relationships/hyperlink" Target="https://threebestrated.de/advertising-agencies-in-munich" TargetMode="External"/><Relationship Id="rId903" Type="http://schemas.openxmlformats.org/officeDocument/2006/relationships/hyperlink" Target="http://thatware.co" TargetMode="External"/><Relationship Id="rId902" Type="http://schemas.openxmlformats.org/officeDocument/2006/relationships/hyperlink" Target="https://thatware.co/top-10-geo-companies-in-germany/" TargetMode="External"/><Relationship Id="rId901" Type="http://schemas.openxmlformats.org/officeDocument/2006/relationships/hyperlink" Target="http://google.com" TargetMode="External"/><Relationship Id="rId900" Type="http://schemas.openxmlformats.org/officeDocument/2006/relationships/hyperlink" Target="https://support.google.com/tagmanager/answer/7237700?hl=en-GB" TargetMode="External"/><Relationship Id="rId2930" Type="http://schemas.openxmlformats.org/officeDocument/2006/relationships/hyperlink" Target="https://www.studiocherie.net/en/content-studio" TargetMode="External"/><Relationship Id="rId1600" Type="http://schemas.openxmlformats.org/officeDocument/2006/relationships/hyperlink" Target="http://aeoera.com" TargetMode="External"/><Relationship Id="rId2931" Type="http://schemas.openxmlformats.org/officeDocument/2006/relationships/hyperlink" Target="http://studiocherie.net" TargetMode="External"/><Relationship Id="rId1601" Type="http://schemas.openxmlformats.org/officeDocument/2006/relationships/hyperlink" Target="https://agencies.semrush.com/baseplus-digital-media-gmbh/" TargetMode="External"/><Relationship Id="rId2932" Type="http://schemas.openxmlformats.org/officeDocument/2006/relationships/hyperlink" Target="https://studiohawk.com.au/seo-services/ai-seo/" TargetMode="External"/><Relationship Id="rId1602" Type="http://schemas.openxmlformats.org/officeDocument/2006/relationships/hyperlink" Target="http://semrush.com" TargetMode="External"/><Relationship Id="rId2933" Type="http://schemas.openxmlformats.org/officeDocument/2006/relationships/hyperlink" Target="http://studiohawk.com.au" TargetMode="External"/><Relationship Id="rId1603" Type="http://schemas.openxmlformats.org/officeDocument/2006/relationships/hyperlink" Target="https://agencies.semrush.com/de/hecht-ins-gefecht/" TargetMode="External"/><Relationship Id="rId2934" Type="http://schemas.openxmlformats.org/officeDocument/2006/relationships/hyperlink" Target="https://submerge.digital/measurement/marketing-attribution-agency/" TargetMode="External"/><Relationship Id="rId1604" Type="http://schemas.openxmlformats.org/officeDocument/2006/relationships/hyperlink" Target="http://semrush.com" TargetMode="External"/><Relationship Id="rId2935" Type="http://schemas.openxmlformats.org/officeDocument/2006/relationships/hyperlink" Target="https://www.suchhelden.de/beste-geo-agenturen-deutschlands.php" TargetMode="External"/><Relationship Id="rId1605" Type="http://schemas.openxmlformats.org/officeDocument/2006/relationships/hyperlink" Target="https://agencies.semrush.com/de/list/ai-optimization/germany/" TargetMode="External"/><Relationship Id="rId2936" Type="http://schemas.openxmlformats.org/officeDocument/2006/relationships/hyperlink" Target="http://suchhelden.de" TargetMode="External"/><Relationship Id="rId1606" Type="http://schemas.openxmlformats.org/officeDocument/2006/relationships/hyperlink" Target="http://semrush.com" TargetMode="External"/><Relationship Id="rId2937" Type="http://schemas.openxmlformats.org/officeDocument/2006/relationships/hyperlink" Target="https://www.suchhelden.de/google-ads-agentur.php" TargetMode="External"/><Relationship Id="rId1607" Type="http://schemas.openxmlformats.org/officeDocument/2006/relationships/hyperlink" Target="https://agencies.semrush.com/list/ai-optimization/wuppertal/" TargetMode="External"/><Relationship Id="rId2938" Type="http://schemas.openxmlformats.org/officeDocument/2006/relationships/hyperlink" Target="http://suchhelden.de" TargetMode="External"/><Relationship Id="rId1608" Type="http://schemas.openxmlformats.org/officeDocument/2006/relationships/hyperlink" Target="http://semrush.com" TargetMode="External"/><Relationship Id="rId2939" Type="http://schemas.openxmlformats.org/officeDocument/2006/relationships/hyperlink" Target="https://superbcompanies.com/categories/advertising-agencies-in-germany/" TargetMode="External"/><Relationship Id="rId1609" Type="http://schemas.openxmlformats.org/officeDocument/2006/relationships/hyperlink" Target="https://agencies.semrush.com/list/analytics-data-science/business-professional-services/germany/enterprise-business/" TargetMode="External"/><Relationship Id="rId1631" Type="http://schemas.openxmlformats.org/officeDocument/2006/relationships/hyperlink" Target="https://agencies.semrush.com/list/programmatic-advertising/germany/mid-business/" TargetMode="External"/><Relationship Id="rId2962" Type="http://schemas.openxmlformats.org/officeDocument/2006/relationships/hyperlink" Target="http://swcpartnership.com" TargetMode="External"/><Relationship Id="rId1632" Type="http://schemas.openxmlformats.org/officeDocument/2006/relationships/hyperlink" Target="http://semrush.com" TargetMode="External"/><Relationship Id="rId2963" Type="http://schemas.openxmlformats.org/officeDocument/2006/relationships/hyperlink" Target="https://syncgtm.com/blog/best-gtm-agencies-in-germany" TargetMode="External"/><Relationship Id="rId1633" Type="http://schemas.openxmlformats.org/officeDocument/2006/relationships/hyperlink" Target="https://www.agenciesformarketing.com/post/navigating-the-landscape-your-guide-to-top-marketing-agencies-in-germany-for-2025" TargetMode="External"/><Relationship Id="rId2964" Type="http://schemas.openxmlformats.org/officeDocument/2006/relationships/hyperlink" Target="http://syncgtm.com" TargetMode="External"/><Relationship Id="rId1634" Type="http://schemas.openxmlformats.org/officeDocument/2006/relationships/hyperlink" Target="http://agenciesformarketing.com" TargetMode="External"/><Relationship Id="rId2965" Type="http://schemas.openxmlformats.org/officeDocument/2006/relationships/hyperlink" Target="https://www.takevalue.de/branchen/software-it/" TargetMode="External"/><Relationship Id="rId1635" Type="http://schemas.openxmlformats.org/officeDocument/2006/relationships/hyperlink" Target="https://agency.geolign.com/" TargetMode="External"/><Relationship Id="rId2966" Type="http://schemas.openxmlformats.org/officeDocument/2006/relationships/hyperlink" Target="http://takevalue.de" TargetMode="External"/><Relationship Id="rId1636" Type="http://schemas.openxmlformats.org/officeDocument/2006/relationships/hyperlink" Target="http://geolign.com" TargetMode="External"/><Relationship Id="rId2967" Type="http://schemas.openxmlformats.org/officeDocument/2006/relationships/hyperlink" Target="https://www.tdwi-konferenz.de/de/programm/konferenzprogramm/academic-track-5" TargetMode="External"/><Relationship Id="rId1637" Type="http://schemas.openxmlformats.org/officeDocument/2006/relationships/hyperlink" Target="https://agencylist.com/services/analytics-reporting/de/" TargetMode="External"/><Relationship Id="rId2968" Type="http://schemas.openxmlformats.org/officeDocument/2006/relationships/hyperlink" Target="http://tdwi-konferenz.de" TargetMode="External"/><Relationship Id="rId1638" Type="http://schemas.openxmlformats.org/officeDocument/2006/relationships/hyperlink" Target="http://agencylist.com" TargetMode="External"/><Relationship Id="rId2969" Type="http://schemas.openxmlformats.org/officeDocument/2006/relationships/hyperlink" Target="https://teamai.com/blog/generative-ai-and-business/top-geo-agencies-for-ai-visibility/" TargetMode="External"/><Relationship Id="rId929" Type="http://schemas.openxmlformats.org/officeDocument/2006/relationships/hyperlink" Target="http://adc.de" TargetMode="External"/><Relationship Id="rId1639" Type="http://schemas.openxmlformats.org/officeDocument/2006/relationships/hyperlink" Target="https://agencyvista.com/agency/eprofessional-gmbh/marketing-agency-hamburg-de" TargetMode="External"/><Relationship Id="rId928" Type="http://schemas.openxmlformats.org/officeDocument/2006/relationships/hyperlink" Target="https://www.adc.de/2022/12/16/serviceplan-auf-platz-1-des-adc-kreativrankings/" TargetMode="External"/><Relationship Id="rId927" Type="http://schemas.openxmlformats.org/officeDocument/2006/relationships/hyperlink" Target="http://zendikt.com" TargetMode="External"/><Relationship Id="rId926" Type="http://schemas.openxmlformats.org/officeDocument/2006/relationships/hyperlink" Target="https://www.zendikt.com/top-10-marketing-attribution-software/germany" TargetMode="External"/><Relationship Id="rId921" Type="http://schemas.openxmlformats.org/officeDocument/2006/relationships/hyperlink" Target="http://werbeagentur.de" TargetMode="External"/><Relationship Id="rId920" Type="http://schemas.openxmlformats.org/officeDocument/2006/relationships/hyperlink" Target="https://www.werbeagentur.de/en/scoring/performance-marketing" TargetMode="External"/><Relationship Id="rId925" Type="http://schemas.openxmlformats.org/officeDocument/2006/relationships/hyperlink" Target="http://youtube.com" TargetMode="External"/><Relationship Id="rId924" Type="http://schemas.openxmlformats.org/officeDocument/2006/relationships/hyperlink" Target="https://www.youtube.com/watch?v=JmDHPizWIOA" TargetMode="External"/><Relationship Id="rId923" Type="http://schemas.openxmlformats.org/officeDocument/2006/relationships/hyperlink" Target="http://youtube.com" TargetMode="External"/><Relationship Id="rId922" Type="http://schemas.openxmlformats.org/officeDocument/2006/relationships/hyperlink" Target="https://www.youtube.com/watch?v=7pP2AGlSn50" TargetMode="External"/><Relationship Id="rId2960" Type="http://schemas.openxmlformats.org/officeDocument/2006/relationships/hyperlink" Target="http://suxeedo.de" TargetMode="External"/><Relationship Id="rId1630" Type="http://schemas.openxmlformats.org/officeDocument/2006/relationships/hyperlink" Target="http://semrush.com" TargetMode="External"/><Relationship Id="rId2961" Type="http://schemas.openxmlformats.org/officeDocument/2006/relationships/hyperlink" Target="https://swcpartnership.com/solutions" TargetMode="External"/><Relationship Id="rId1620" Type="http://schemas.openxmlformats.org/officeDocument/2006/relationships/hyperlink" Target="http://semrush.com" TargetMode="External"/><Relationship Id="rId2951" Type="http://schemas.openxmlformats.org/officeDocument/2006/relationships/hyperlink" Target="https://support.google.com/google-ads/answer/11410677?hl=en" TargetMode="External"/><Relationship Id="rId1621" Type="http://schemas.openxmlformats.org/officeDocument/2006/relationships/hyperlink" Target="https://agencies.semrush.com/list/los-angeles/" TargetMode="External"/><Relationship Id="rId2952" Type="http://schemas.openxmlformats.org/officeDocument/2006/relationships/hyperlink" Target="http://google.com" TargetMode="External"/><Relationship Id="rId1622" Type="http://schemas.openxmlformats.org/officeDocument/2006/relationships/hyperlink" Target="http://semrush.com" TargetMode="External"/><Relationship Id="rId2953" Type="http://schemas.openxmlformats.org/officeDocument/2006/relationships/hyperlink" Target="https://support.google.com/google-ads/answer/9029203?hl=en" TargetMode="External"/><Relationship Id="rId1623" Type="http://schemas.openxmlformats.org/officeDocument/2006/relationships/hyperlink" Target="https://agencies.semrush.com/list/machine-learning-and-ai/germany/enterprise-business/" TargetMode="External"/><Relationship Id="rId2954" Type="http://schemas.openxmlformats.org/officeDocument/2006/relationships/hyperlink" Target="http://google.com" TargetMode="External"/><Relationship Id="rId1624" Type="http://schemas.openxmlformats.org/officeDocument/2006/relationships/hyperlink" Target="http://semrush.com" TargetMode="External"/><Relationship Id="rId2955" Type="http://schemas.openxmlformats.org/officeDocument/2006/relationships/hyperlink" Target="https://support.google.com/google-ads/answer/9702452?hl=de" TargetMode="External"/><Relationship Id="rId1625" Type="http://schemas.openxmlformats.org/officeDocument/2006/relationships/hyperlink" Target="https://agencies.semrush.com/list/machine-learning-and-ai/germany/mid-business/" TargetMode="External"/><Relationship Id="rId2956" Type="http://schemas.openxmlformats.org/officeDocument/2006/relationships/hyperlink" Target="http://google.com" TargetMode="External"/><Relationship Id="rId1626" Type="http://schemas.openxmlformats.org/officeDocument/2006/relationships/hyperlink" Target="http://semrush.com" TargetMode="External"/><Relationship Id="rId2957" Type="http://schemas.openxmlformats.org/officeDocument/2006/relationships/hyperlink" Target="https://support.google.com/tagmanager/answer/7237700?hl=en" TargetMode="External"/><Relationship Id="rId1627" Type="http://schemas.openxmlformats.org/officeDocument/2006/relationships/hyperlink" Target="https://agencies.semrush.com/list/machine-learning-and-ai/germany/small-business/" TargetMode="External"/><Relationship Id="rId2958" Type="http://schemas.openxmlformats.org/officeDocument/2006/relationships/hyperlink" Target="http://google.com" TargetMode="External"/><Relationship Id="rId918" Type="http://schemas.openxmlformats.org/officeDocument/2006/relationships/hyperlink" Target="https://www.werbeagentur.de/en/scoring/ab-testing" TargetMode="External"/><Relationship Id="rId1628" Type="http://schemas.openxmlformats.org/officeDocument/2006/relationships/hyperlink" Target="http://semrush.com" TargetMode="External"/><Relationship Id="rId2959" Type="http://schemas.openxmlformats.org/officeDocument/2006/relationships/hyperlink" Target="https://suxeedo.de/en/services/b2b-marketing/" TargetMode="External"/><Relationship Id="rId917" Type="http://schemas.openxmlformats.org/officeDocument/2006/relationships/hyperlink" Target="http://werbeagentur.de" TargetMode="External"/><Relationship Id="rId1629" Type="http://schemas.openxmlformats.org/officeDocument/2006/relationships/hyperlink" Target="https://agencies.semrush.com/list/ppc/munich/" TargetMode="External"/><Relationship Id="rId916" Type="http://schemas.openxmlformats.org/officeDocument/2006/relationships/hyperlink" Target="https://www.werbeagentur.de/de/scoring/performance-marketing" TargetMode="External"/><Relationship Id="rId915" Type="http://schemas.openxmlformats.org/officeDocument/2006/relationships/hyperlink" Target="http://warc.com" TargetMode="External"/><Relationship Id="rId919" Type="http://schemas.openxmlformats.org/officeDocument/2006/relationships/hyperlink" Target="http://werbeagentur.de" TargetMode="External"/><Relationship Id="rId910" Type="http://schemas.openxmlformats.org/officeDocument/2006/relationships/hyperlink" Target="https://www.trkkn.com/company/" TargetMode="External"/><Relationship Id="rId914" Type="http://schemas.openxmlformats.org/officeDocument/2006/relationships/hyperlink" Target="https://www.warc.com/en/data-benchmarks/rankings-creative-100-overview" TargetMode="External"/><Relationship Id="rId913" Type="http://schemas.openxmlformats.org/officeDocument/2006/relationships/hyperlink" Target="http://unfuture.de" TargetMode="External"/><Relationship Id="rId912" Type="http://schemas.openxmlformats.org/officeDocument/2006/relationships/hyperlink" Target="https://www.unfuture.de/en/" TargetMode="External"/><Relationship Id="rId911" Type="http://schemas.openxmlformats.org/officeDocument/2006/relationships/hyperlink" Target="http://trkkn.com" TargetMode="External"/><Relationship Id="rId2950" Type="http://schemas.openxmlformats.org/officeDocument/2006/relationships/hyperlink" Target="http://superside.com" TargetMode="External"/><Relationship Id="rId2900" Type="http://schemas.openxmlformats.org/officeDocument/2006/relationships/hyperlink" Target="http://sortlist.de" TargetMode="External"/><Relationship Id="rId2901" Type="http://schemas.openxmlformats.org/officeDocument/2006/relationships/hyperlink" Target="https://www.sortlist.de/s/tiktok/deutschland-de?page=2" TargetMode="External"/><Relationship Id="rId2902" Type="http://schemas.openxmlformats.org/officeDocument/2006/relationships/hyperlink" Target="http://sortlist.de" TargetMode="External"/><Relationship Id="rId2903" Type="http://schemas.openxmlformats.org/officeDocument/2006/relationships/hyperlink" Target="https://www.sortlist.de/social-media/deutschland-de" TargetMode="External"/><Relationship Id="rId2904" Type="http://schemas.openxmlformats.org/officeDocument/2006/relationships/hyperlink" Target="http://sortlist.de" TargetMode="External"/><Relationship Id="rId2905" Type="http://schemas.openxmlformats.org/officeDocument/2006/relationships/hyperlink" Target="https://sourceforge.net/software/incrementality-testing/europe/" TargetMode="External"/><Relationship Id="rId2906" Type="http://schemas.openxmlformats.org/officeDocument/2006/relationships/hyperlink" Target="http://sourceforge.net" TargetMode="External"/><Relationship Id="rId2907" Type="http://schemas.openxmlformats.org/officeDocument/2006/relationships/hyperlink" Target="https://www.spacedealer.de/en/" TargetMode="External"/><Relationship Id="rId2908" Type="http://schemas.openxmlformats.org/officeDocument/2006/relationships/hyperlink" Target="http://spacedealer.de" TargetMode="External"/><Relationship Id="rId2909" Type="http://schemas.openxmlformats.org/officeDocument/2006/relationships/hyperlink" Target="https://www.spaceo.ai/ai-agent/" TargetMode="External"/><Relationship Id="rId2920" Type="http://schemas.openxmlformats.org/officeDocument/2006/relationships/hyperlink" Target="https://www.statworx.com/daten-und-ki-loesungen" TargetMode="External"/><Relationship Id="rId2921" Type="http://schemas.openxmlformats.org/officeDocument/2006/relationships/hyperlink" Target="http://statworx.com" TargetMode="External"/><Relationship Id="rId2922" Type="http://schemas.openxmlformats.org/officeDocument/2006/relationships/hyperlink" Target="https://www.statworx.com/en/ecosystem" TargetMode="External"/><Relationship Id="rId2923" Type="http://schemas.openxmlformats.org/officeDocument/2006/relationships/hyperlink" Target="http://statworx.com" TargetMode="External"/><Relationship Id="rId2924" Type="http://schemas.openxmlformats.org/officeDocument/2006/relationships/hyperlink" Target="https://steinbeis-ifem.de/certified-expert-eu-ai-act/" TargetMode="External"/><Relationship Id="rId2925" Type="http://schemas.openxmlformats.org/officeDocument/2006/relationships/hyperlink" Target="http://steinbeis-ifem.de" TargetMode="External"/><Relationship Id="rId2926" Type="http://schemas.openxmlformats.org/officeDocument/2006/relationships/hyperlink" Target="https://strativera.com/insights/best-seo-aeo-geo-marketing-agencies/" TargetMode="External"/><Relationship Id="rId2927" Type="http://schemas.openxmlformats.org/officeDocument/2006/relationships/hyperlink" Target="http://strativera.com" TargetMode="External"/><Relationship Id="rId2928" Type="http://schemas.openxmlformats.org/officeDocument/2006/relationships/hyperlink" Target="https://www.striped-giraffe.com/en/expertise/data-management/ai-readiness/" TargetMode="External"/><Relationship Id="rId2929" Type="http://schemas.openxmlformats.org/officeDocument/2006/relationships/hyperlink" Target="http://striped-giraffe.com" TargetMode="External"/><Relationship Id="rId2910" Type="http://schemas.openxmlformats.org/officeDocument/2006/relationships/hyperlink" Target="http://spaceo.ai" TargetMode="External"/><Relationship Id="rId2911" Type="http://schemas.openxmlformats.org/officeDocument/2006/relationships/hyperlink" Target="https://www.spie.ch/de/data-ai/ai-readiness-consulting/" TargetMode="External"/><Relationship Id="rId2912" Type="http://schemas.openxmlformats.org/officeDocument/2006/relationships/hyperlink" Target="http://spie.ch" TargetMode="External"/><Relationship Id="rId2913" Type="http://schemas.openxmlformats.org/officeDocument/2006/relationships/hyperlink" Target="https://www.stackadapt.com/resources/blog/first-party-data-strategy" TargetMode="External"/><Relationship Id="rId2914" Type="http://schemas.openxmlformats.org/officeDocument/2006/relationships/hyperlink" Target="http://stackadapt.com" TargetMode="External"/><Relationship Id="rId2915" Type="http://schemas.openxmlformats.org/officeDocument/2006/relationships/hyperlink" Target="https://stamp.productions/" TargetMode="External"/><Relationship Id="rId2916" Type="http://schemas.openxmlformats.org/officeDocument/2006/relationships/hyperlink" Target="https://stape.io/blog/marketing-attribution-models" TargetMode="External"/><Relationship Id="rId2917" Type="http://schemas.openxmlformats.org/officeDocument/2006/relationships/hyperlink" Target="http://stape.io" TargetMode="External"/><Relationship Id="rId2918" Type="http://schemas.openxmlformats.org/officeDocument/2006/relationships/hyperlink" Target="https://www.statista.com/topics/12476/%25E2%2580%259Cbig-six%25E2%2580%259D-ad-agency-groups-worldwide/" TargetMode="External"/><Relationship Id="rId2919" Type="http://schemas.openxmlformats.org/officeDocument/2006/relationships/hyperlink" Target="http://statista.com" TargetMode="External"/><Relationship Id="rId1697" Type="http://schemas.openxmlformats.org/officeDocument/2006/relationships/hyperlink" Target="https://arxiv.org/abs/2606.16878" TargetMode="External"/><Relationship Id="rId1698" Type="http://schemas.openxmlformats.org/officeDocument/2006/relationships/hyperlink" Target="http://arxiv.org" TargetMode="External"/><Relationship Id="rId1699" Type="http://schemas.openxmlformats.org/officeDocument/2006/relationships/hyperlink" Target="https://www.aschendorff-next.de/en/portfolio.php" TargetMode="External"/><Relationship Id="rId866" Type="http://schemas.openxmlformats.org/officeDocument/2006/relationships/hyperlink" Target="https://omr.com/de/reviews/service/smarketer-group" TargetMode="External"/><Relationship Id="rId865" Type="http://schemas.openxmlformats.org/officeDocument/2006/relationships/hyperlink" Target="http://monks.com" TargetMode="External"/><Relationship Id="rId864" Type="http://schemas.openxmlformats.org/officeDocument/2006/relationships/hyperlink" Target="https://www.monks.com/google-partnership" TargetMode="External"/><Relationship Id="rId863" Type="http://schemas.openxmlformats.org/officeDocument/2006/relationships/hyperlink" Target="http://mmaglobal.com" TargetMode="External"/><Relationship Id="rId869" Type="http://schemas.openxmlformats.org/officeDocument/2006/relationships/hyperlink" Target="http://performance-marketing-agency-berlin.com" TargetMode="External"/><Relationship Id="rId868" Type="http://schemas.openxmlformats.org/officeDocument/2006/relationships/hyperlink" Target="https://performance-marketing-agency-berlin.com/attribution-marketing/berlin" TargetMode="External"/><Relationship Id="rId867" Type="http://schemas.openxmlformats.org/officeDocument/2006/relationships/hyperlink" Target="http://omr.com" TargetMode="External"/><Relationship Id="rId1690" Type="http://schemas.openxmlformats.org/officeDocument/2006/relationships/hyperlink" Target="http://artefact.com" TargetMode="External"/><Relationship Id="rId1691" Type="http://schemas.openxmlformats.org/officeDocument/2006/relationships/hyperlink" Target="https://www.artefact.com/news/unified-global-brand-experience-metapeople-germany-rebrands-to-artefact/" TargetMode="External"/><Relationship Id="rId1692" Type="http://schemas.openxmlformats.org/officeDocument/2006/relationships/hyperlink" Target="http://artefact.com" TargetMode="External"/><Relationship Id="rId862" Type="http://schemas.openxmlformats.org/officeDocument/2006/relationships/hyperlink" Target="https://mmaglobal.com/smarties/business-impact-index?category=Agency+Network&amp;region=Germany&amp;year=2024" TargetMode="External"/><Relationship Id="rId1693" Type="http://schemas.openxmlformats.org/officeDocument/2006/relationships/hyperlink" Target="https://arxiv.org/abs/2403.14674" TargetMode="External"/><Relationship Id="rId861" Type="http://schemas.openxmlformats.org/officeDocument/2006/relationships/hyperlink" Target="http://meedia.de" TargetMode="External"/><Relationship Id="rId1694" Type="http://schemas.openxmlformats.org/officeDocument/2006/relationships/hyperlink" Target="http://arxiv.org" TargetMode="External"/><Relationship Id="rId860" Type="http://schemas.openxmlformats.org/officeDocument/2006/relationships/hyperlink" Target="https://meedia.de/news/beitrag/19725-das-sind-die-15-groessten-mediaagenturen-in-deutschland.html" TargetMode="External"/><Relationship Id="rId1695" Type="http://schemas.openxmlformats.org/officeDocument/2006/relationships/hyperlink" Target="https://arxiv.org/abs/2604.16369" TargetMode="External"/><Relationship Id="rId1696" Type="http://schemas.openxmlformats.org/officeDocument/2006/relationships/hyperlink" Target="http://arxiv.org" TargetMode="External"/><Relationship Id="rId1686" Type="http://schemas.openxmlformats.org/officeDocument/2006/relationships/hyperlink" Target="http://artefact.com" TargetMode="External"/><Relationship Id="rId1687" Type="http://schemas.openxmlformats.org/officeDocument/2006/relationships/hyperlink" Target="https://www.artefact.com/de/offers/marketing-data-driven/measurements-mroi-insights/" TargetMode="External"/><Relationship Id="rId1688" Type="http://schemas.openxmlformats.org/officeDocument/2006/relationships/hyperlink" Target="http://artefact.com" TargetMode="External"/><Relationship Id="rId1689" Type="http://schemas.openxmlformats.org/officeDocument/2006/relationships/hyperlink" Target="https://www.artefact.com/de/offers/marketing-data-driven/media-services-and-certifications/" TargetMode="External"/><Relationship Id="rId855" Type="http://schemas.openxmlformats.org/officeDocument/2006/relationships/hyperlink" Target="http://marketing-companies-in-germany.com" TargetMode="External"/><Relationship Id="rId854" Type="http://schemas.openxmlformats.org/officeDocument/2006/relationships/hyperlink" Target="https://www.marketing-companies-in-germany.com/data-driven-marketing" TargetMode="External"/><Relationship Id="rId853" Type="http://schemas.openxmlformats.org/officeDocument/2006/relationships/hyperlink" Target="http://linea-analytics.com" TargetMode="External"/><Relationship Id="rId852" Type="http://schemas.openxmlformats.org/officeDocument/2006/relationships/hyperlink" Target="https://linea-analytics.com/" TargetMode="External"/><Relationship Id="rId859" Type="http://schemas.openxmlformats.org/officeDocument/2006/relationships/hyperlink" Target="http://mediaroi.io" TargetMode="External"/><Relationship Id="rId858" Type="http://schemas.openxmlformats.org/officeDocument/2006/relationships/hyperlink" Target="https://www.mediaroi.io/en" TargetMode="External"/><Relationship Id="rId857" Type="http://schemas.openxmlformats.org/officeDocument/2006/relationships/hyperlink" Target="http://mediacharge.com" TargetMode="External"/><Relationship Id="rId856" Type="http://schemas.openxmlformats.org/officeDocument/2006/relationships/hyperlink" Target="https://mediacharge.com/" TargetMode="External"/><Relationship Id="rId1680" Type="http://schemas.openxmlformats.org/officeDocument/2006/relationships/hyperlink" Target="http://artefact.com" TargetMode="External"/><Relationship Id="rId1681" Type="http://schemas.openxmlformats.org/officeDocument/2006/relationships/hyperlink" Target="https://www.artefact.com/de/" TargetMode="External"/><Relationship Id="rId851" Type="http://schemas.openxmlformats.org/officeDocument/2006/relationships/hyperlink" Target="http://lengreo.com" TargetMode="External"/><Relationship Id="rId1682" Type="http://schemas.openxmlformats.org/officeDocument/2006/relationships/hyperlink" Target="http://artefact.com" TargetMode="External"/><Relationship Id="rId850" Type="http://schemas.openxmlformats.org/officeDocument/2006/relationships/hyperlink" Target="https://lengreo.com/best-meta-ads-agencies-in-germany/" TargetMode="External"/><Relationship Id="rId1683" Type="http://schemas.openxmlformats.org/officeDocument/2006/relationships/hyperlink" Target="https://www.artefact.com/de/offers/cx-consumer-experience-digital/media-certifications/" TargetMode="External"/><Relationship Id="rId1684" Type="http://schemas.openxmlformats.org/officeDocument/2006/relationships/hyperlink" Target="http://artefact.com" TargetMode="External"/><Relationship Id="rId1685" Type="http://schemas.openxmlformats.org/officeDocument/2006/relationships/hyperlink" Target="https://www.artefact.com/de/offers/marketing-data-driven/gmp-certified-reseller/" TargetMode="External"/><Relationship Id="rId888" Type="http://schemas.openxmlformats.org/officeDocument/2006/relationships/hyperlink" Target="https://www.sortlist.com/s/marketing-analytics/berlin-de" TargetMode="External"/><Relationship Id="rId887" Type="http://schemas.openxmlformats.org/officeDocument/2006/relationships/hyperlink" Target="http://sortlist.com" TargetMode="External"/><Relationship Id="rId886" Type="http://schemas.openxmlformats.org/officeDocument/2006/relationships/hyperlink" Target="https://www.sortlist.com/s/google-ads/germany-de" TargetMode="External"/><Relationship Id="rId885" Type="http://schemas.openxmlformats.org/officeDocument/2006/relationships/hyperlink" Target="http://sortlist.com" TargetMode="External"/><Relationship Id="rId889" Type="http://schemas.openxmlformats.org/officeDocument/2006/relationships/hyperlink" Target="http://sortlist.com" TargetMode="External"/><Relationship Id="rId880" Type="http://schemas.openxmlformats.org/officeDocument/2006/relationships/hyperlink" Target="https://seranking.com/agencies/location/germany/" TargetMode="External"/><Relationship Id="rId884" Type="http://schemas.openxmlformats.org/officeDocument/2006/relationships/hyperlink" Target="https://www.sortlist.com/s/b2b-marketing/germany-de" TargetMode="External"/><Relationship Id="rId883" Type="http://schemas.openxmlformats.org/officeDocument/2006/relationships/hyperlink" Target="http://sortlist.com" TargetMode="External"/><Relationship Id="rId882" Type="http://schemas.openxmlformats.org/officeDocument/2006/relationships/hyperlink" Target="https://www.sortlist.com/de/performance-marketing" TargetMode="External"/><Relationship Id="rId881" Type="http://schemas.openxmlformats.org/officeDocument/2006/relationships/hyperlink" Target="http://seranking.com" TargetMode="External"/><Relationship Id="rId877" Type="http://schemas.openxmlformats.org/officeDocument/2006/relationships/hyperlink" Target="http://ruleranalytics.com" TargetMode="External"/><Relationship Id="rId876" Type="http://schemas.openxmlformats.org/officeDocument/2006/relationships/hyperlink" Target="https://www.ruleranalytics.com/" TargetMode="External"/><Relationship Id="rId875" Type="http://schemas.openxmlformats.org/officeDocument/2006/relationships/hyperlink" Target="http://revolutions.de" TargetMode="External"/><Relationship Id="rId874" Type="http://schemas.openxmlformats.org/officeDocument/2006/relationships/hyperlink" Target="https://revolutions.de/die-5-besten-ai-agenturen-fur-den-deutschen-mittelstand-2026/" TargetMode="External"/><Relationship Id="rId879" Type="http://schemas.openxmlformats.org/officeDocument/2006/relationships/hyperlink" Target="http://segmentstream.com" TargetMode="External"/><Relationship Id="rId878" Type="http://schemas.openxmlformats.org/officeDocument/2006/relationships/hyperlink" Target="https://segmentstream.com/blog/articles/incrmntal-alternatives" TargetMode="External"/><Relationship Id="rId873" Type="http://schemas.openxmlformats.org/officeDocument/2006/relationships/hyperlink" Target="http://reuters.com" TargetMode="External"/><Relationship Id="rId872" Type="http://schemas.openxmlformats.org/officeDocument/2006/relationships/hyperlink" Target="https://www.reuters.com/business/publicis-raises-growth-target-ai-driven-marketing-demand-stays-strong-2026-07-16/" TargetMode="External"/><Relationship Id="rId871" Type="http://schemas.openxmlformats.org/officeDocument/2006/relationships/hyperlink" Target="http://reddit.com" TargetMode="External"/><Relationship Id="rId870" Type="http://schemas.openxmlformats.org/officeDocument/2006/relationships/hyperlink" Target="https://www.reddit.com/r/agency/comments/1ok212i/performance_marketing_incrementality/" TargetMode="External"/><Relationship Id="rId1653" Type="http://schemas.openxmlformats.org/officeDocument/2006/relationships/hyperlink" Target="https://aimers.io/blog/top-10-llm-optimization-agencies" TargetMode="External"/><Relationship Id="rId2984" Type="http://schemas.openxmlformats.org/officeDocument/2006/relationships/hyperlink" Target="http://techradar.com" TargetMode="External"/><Relationship Id="rId1654" Type="http://schemas.openxmlformats.org/officeDocument/2006/relationships/hyperlink" Target="http://aimers.io" TargetMode="External"/><Relationship Id="rId2985" Type="http://schemas.openxmlformats.org/officeDocument/2006/relationships/hyperlink" Target="https://www.techradar.com/pro/hubspot-increased-leads-by-1850-percent-and-we-asked-them-how-the-aeo-playbook" TargetMode="External"/><Relationship Id="rId1655" Type="http://schemas.openxmlformats.org/officeDocument/2006/relationships/hyperlink" Target="https://aimers.io/blog/top-11-saas-content-marketing-agencies" TargetMode="External"/><Relationship Id="rId2986" Type="http://schemas.openxmlformats.org/officeDocument/2006/relationships/hyperlink" Target="http://techradar.com" TargetMode="External"/><Relationship Id="rId1656" Type="http://schemas.openxmlformats.org/officeDocument/2006/relationships/hyperlink" Target="http://aimers.io" TargetMode="External"/><Relationship Id="rId2987" Type="http://schemas.openxmlformats.org/officeDocument/2006/relationships/hyperlink" Target="https://techradiant.co/agencies/generative-engine-optimization/" TargetMode="External"/><Relationship Id="rId1657" Type="http://schemas.openxmlformats.org/officeDocument/2006/relationships/hyperlink" Target="https://aimonk.com/top-genai-development-services/" TargetMode="External"/><Relationship Id="rId2988" Type="http://schemas.openxmlformats.org/officeDocument/2006/relationships/hyperlink" Target="http://techradiant.co" TargetMode="External"/><Relationship Id="rId1658" Type="http://schemas.openxmlformats.org/officeDocument/2006/relationships/hyperlink" Target="http://aimonk.com" TargetMode="External"/><Relationship Id="rId2989" Type="http://schemas.openxmlformats.org/officeDocument/2006/relationships/hyperlink" Target="https://terratern.com/blog/civil-engineering-companies-in-germany/" TargetMode="External"/><Relationship Id="rId1659" Type="http://schemas.openxmlformats.org/officeDocument/2006/relationships/hyperlink" Target="https://airankvision.com/consulting/germany" TargetMode="External"/><Relationship Id="rId829" Type="http://schemas.openxmlformats.org/officeDocument/2006/relationships/hyperlink" Target="http://geo-agentur.pro" TargetMode="External"/><Relationship Id="rId828" Type="http://schemas.openxmlformats.org/officeDocument/2006/relationships/hyperlink" Target="https://geo-agentur.pro/magazin/geo-ai-search/ai-search-seo-agenturen-deutschland" TargetMode="External"/><Relationship Id="rId827" Type="http://schemas.openxmlformats.org/officeDocument/2006/relationships/hyperlink" Target="http://fusepointinsights.com" TargetMode="External"/><Relationship Id="rId822" Type="http://schemas.openxmlformats.org/officeDocument/2006/relationships/hyperlink" Target="https://feedbax.ai/geo-agencies" TargetMode="External"/><Relationship Id="rId821" Type="http://schemas.openxmlformats.org/officeDocument/2006/relationships/hyperlink" Target="http://hubspot.com" TargetMode="External"/><Relationship Id="rId820" Type="http://schemas.openxmlformats.org/officeDocument/2006/relationships/hyperlink" Target="https://ecosystem.hubspot.com/marketplace/solutions/paid-advertising/media-publishing/germany?limit=15" TargetMode="External"/><Relationship Id="rId826" Type="http://schemas.openxmlformats.org/officeDocument/2006/relationships/hyperlink" Target="https://fusepointinsights.com/service/incrementality-experiments/" TargetMode="External"/><Relationship Id="rId825" Type="http://schemas.openxmlformats.org/officeDocument/2006/relationships/hyperlink" Target="http://feedbax.ai" TargetMode="External"/><Relationship Id="rId824" Type="http://schemas.openxmlformats.org/officeDocument/2006/relationships/hyperlink" Target="https://feedbax.ai/performance-marketing/berlin" TargetMode="External"/><Relationship Id="rId823" Type="http://schemas.openxmlformats.org/officeDocument/2006/relationships/hyperlink" Target="http://feedbax.ai" TargetMode="External"/><Relationship Id="rId2980" Type="http://schemas.openxmlformats.org/officeDocument/2006/relationships/hyperlink" Target="http://techbehemoths.com" TargetMode="External"/><Relationship Id="rId1650" Type="http://schemas.openxmlformats.org/officeDocument/2006/relationships/hyperlink" Target="http://aiadvantageagency.com" TargetMode="External"/><Relationship Id="rId2981" Type="http://schemas.openxmlformats.org/officeDocument/2006/relationships/hyperlink" Target="https://technologyarch.com/it-consulting/ai-adoption/" TargetMode="External"/><Relationship Id="rId1651" Type="http://schemas.openxmlformats.org/officeDocument/2006/relationships/hyperlink" Target="https://aidolsgroup.com/en/ai-consulting/berlin/" TargetMode="External"/><Relationship Id="rId2982" Type="http://schemas.openxmlformats.org/officeDocument/2006/relationships/hyperlink" Target="http://technologyarch.com" TargetMode="External"/><Relationship Id="rId1652" Type="http://schemas.openxmlformats.org/officeDocument/2006/relationships/hyperlink" Target="http://aidolsgroup.com" TargetMode="External"/><Relationship Id="rId2983" Type="http://schemas.openxmlformats.org/officeDocument/2006/relationships/hyperlink" Target="https://www.techradar.com/pro/agentic-search-optimization-reshapes-brand-visibility-in-ai-search" TargetMode="External"/><Relationship Id="rId1642" Type="http://schemas.openxmlformats.org/officeDocument/2006/relationships/hyperlink" Target="http://agenturtipp.de" TargetMode="External"/><Relationship Id="rId2973" Type="http://schemas.openxmlformats.org/officeDocument/2006/relationships/hyperlink" Target="https://tech-now.io/en/blogs/top-10-best-it-companies-in-dusseldorf/" TargetMode="External"/><Relationship Id="rId1643" Type="http://schemas.openxmlformats.org/officeDocument/2006/relationships/hyperlink" Target="https://www.agenturtipp.de/werbeagenturen/" TargetMode="External"/><Relationship Id="rId2974" Type="http://schemas.openxmlformats.org/officeDocument/2006/relationships/hyperlink" Target="http://tech-now.io" TargetMode="External"/><Relationship Id="rId1644" Type="http://schemas.openxmlformats.org/officeDocument/2006/relationships/hyperlink" Target="http://agenturtipp.de" TargetMode="External"/><Relationship Id="rId2975" Type="http://schemas.openxmlformats.org/officeDocument/2006/relationships/hyperlink" Target="https://tech.us/blog/top-ai-agent-development-companies-usa" TargetMode="External"/><Relationship Id="rId1645" Type="http://schemas.openxmlformats.org/officeDocument/2006/relationships/hyperlink" Target="https://ai-solutions.daviesmeyer.com/de/blog/marketing-measurement-2026-guide" TargetMode="External"/><Relationship Id="rId2976" Type="http://schemas.openxmlformats.org/officeDocument/2006/relationships/hyperlink" Target="http://tech.us" TargetMode="External"/><Relationship Id="rId1646" Type="http://schemas.openxmlformats.org/officeDocument/2006/relationships/hyperlink" Target="http://daviesmeyer.com" TargetMode="External"/><Relationship Id="rId2977" Type="http://schemas.openxmlformats.org/officeDocument/2006/relationships/hyperlink" Target="https://www.techaheadcorp.com/services/ai-development/" TargetMode="External"/><Relationship Id="rId1647" Type="http://schemas.openxmlformats.org/officeDocument/2006/relationships/hyperlink" Target="https://ai-solutions.daviesmeyer.com/en/blog/marketing-measurement-2026-guide" TargetMode="External"/><Relationship Id="rId2978" Type="http://schemas.openxmlformats.org/officeDocument/2006/relationships/hyperlink" Target="http://techaheadcorp.com" TargetMode="External"/><Relationship Id="rId1648" Type="http://schemas.openxmlformats.org/officeDocument/2006/relationships/hyperlink" Target="http://daviesmeyer.com" TargetMode="External"/><Relationship Id="rId2979" Type="http://schemas.openxmlformats.org/officeDocument/2006/relationships/hyperlink" Target="https://techbehemoths.com/companies/outdoor-advertising/germany" TargetMode="External"/><Relationship Id="rId1649" Type="http://schemas.openxmlformats.org/officeDocument/2006/relationships/hyperlink" Target="https://aiadvantageagency.com/first-party-data-strategy/" TargetMode="External"/><Relationship Id="rId819" Type="http://schemas.openxmlformats.org/officeDocument/2006/relationships/hyperlink" Target="http://hubspot.com" TargetMode="External"/><Relationship Id="rId818" Type="http://schemas.openxmlformats.org/officeDocument/2006/relationships/hyperlink" Target="https://ecosystem.hubspot.com/marketplace/solutions/paid-advertising/germany?eco_language=en&amp;eco_agency_tier=diamond" TargetMode="External"/><Relationship Id="rId817" Type="http://schemas.openxmlformats.org/officeDocument/2006/relationships/hyperlink" Target="http://designrush.com" TargetMode="External"/><Relationship Id="rId816" Type="http://schemas.openxmlformats.org/officeDocument/2006/relationships/hyperlink" Target="https://www.designrush.com/agency/digital-marketing/artificial-intelligence" TargetMode="External"/><Relationship Id="rId811" Type="http://schemas.openxmlformats.org/officeDocument/2006/relationships/hyperlink" Target="http://wikipedia.org" TargetMode="External"/><Relationship Id="rId810" Type="http://schemas.openxmlformats.org/officeDocument/2006/relationships/hyperlink" Target="https://de.wikipedia.org/wiki/Scholz_%26_Friends" TargetMode="External"/><Relationship Id="rId815" Type="http://schemas.openxmlformats.org/officeDocument/2006/relationships/hyperlink" Target="http://deptagency.com" TargetMode="External"/><Relationship Id="rId814" Type="http://schemas.openxmlformats.org/officeDocument/2006/relationships/hyperlink" Target="https://www.deptagency.com/de-dach/loesungen/ai-transformation/future-of-work-beratung/" TargetMode="External"/><Relationship Id="rId813" Type="http://schemas.openxmlformats.org/officeDocument/2006/relationships/hyperlink" Target="http://decisionfoundry.com" TargetMode="External"/><Relationship Id="rId812" Type="http://schemas.openxmlformats.org/officeDocument/2006/relationships/hyperlink" Target="https://www.decisionfoundry.com/marketing-measurement-analytics-services/" TargetMode="External"/><Relationship Id="rId2970" Type="http://schemas.openxmlformats.org/officeDocument/2006/relationships/hyperlink" Target="http://teamai.com" TargetMode="External"/><Relationship Id="rId1640" Type="http://schemas.openxmlformats.org/officeDocument/2006/relationships/hyperlink" Target="http://agencyvista.com" TargetMode="External"/><Relationship Id="rId2971" Type="http://schemas.openxmlformats.org/officeDocument/2006/relationships/hyperlink" Target="https://tech-now.io/en/blogs/top-10-app-development-companies-in-germany/" TargetMode="External"/><Relationship Id="rId1641" Type="http://schemas.openxmlformats.org/officeDocument/2006/relationships/hyperlink" Target="https://www.agenturtipp.de/agentur/smarketer-gmbh-google-ads-agentur/" TargetMode="External"/><Relationship Id="rId2972" Type="http://schemas.openxmlformats.org/officeDocument/2006/relationships/hyperlink" Target="http://tech-now.io" TargetMode="External"/><Relationship Id="rId1675" Type="http://schemas.openxmlformats.org/officeDocument/2006/relationships/hyperlink" Target="https://www.arboro.de/partner/google" TargetMode="External"/><Relationship Id="rId1676" Type="http://schemas.openxmlformats.org/officeDocument/2006/relationships/hyperlink" Target="http://arboro.de" TargetMode="External"/><Relationship Id="rId1677" Type="http://schemas.openxmlformats.org/officeDocument/2006/relationships/hyperlink" Target="https://www.arcintermedia.com/knowledge-base/seo-and-organic-reach/what-are-the-top-answer-engine-optimization-aeo-agencies/" TargetMode="External"/><Relationship Id="rId1678" Type="http://schemas.openxmlformats.org/officeDocument/2006/relationships/hyperlink" Target="http://arcintermedia.com" TargetMode="External"/><Relationship Id="rId1679" Type="http://schemas.openxmlformats.org/officeDocument/2006/relationships/hyperlink" Target="https://www.artefact.com/" TargetMode="External"/><Relationship Id="rId849" Type="http://schemas.openxmlformats.org/officeDocument/2006/relationships/hyperlink" Target="http://jadasquad.com" TargetMode="External"/><Relationship Id="rId844" Type="http://schemas.openxmlformats.org/officeDocument/2006/relationships/hyperlink" Target="https://www.influencer-hero.com/fr/blogs/top-pay-per-click-agencies-in-germany" TargetMode="External"/><Relationship Id="rId843" Type="http://schemas.openxmlformats.org/officeDocument/2006/relationships/hyperlink" Target="http://icoda.io" TargetMode="External"/><Relationship Id="rId842" Type="http://schemas.openxmlformats.org/officeDocument/2006/relationships/hyperlink" Target="https://icoda.io/de/ai/best-ai-seo-agency-germany/" TargetMode="External"/><Relationship Id="rId841" Type="http://schemas.openxmlformats.org/officeDocument/2006/relationships/hyperlink" Target="http://ibusiness.de" TargetMode="External"/><Relationship Id="rId848" Type="http://schemas.openxmlformats.org/officeDocument/2006/relationships/hyperlink" Target="https://www.jadasquad.com/blog/top-ai-agent-development-companies-in-munich" TargetMode="External"/><Relationship Id="rId847" Type="http://schemas.openxmlformats.org/officeDocument/2006/relationships/hyperlink" Target="http://influencer-hero.com" TargetMode="External"/><Relationship Id="rId846" Type="http://schemas.openxmlformats.org/officeDocument/2006/relationships/hyperlink" Target="https://www.influencer-hero.com/kr/blogs/top-pay-per-click-agencies-in-germany" TargetMode="External"/><Relationship Id="rId845" Type="http://schemas.openxmlformats.org/officeDocument/2006/relationships/hyperlink" Target="http://influencer-hero.com" TargetMode="External"/><Relationship Id="rId1670" Type="http://schemas.openxmlformats.org/officeDocument/2006/relationships/hyperlink" Target="http://amworldgroup.com" TargetMode="External"/><Relationship Id="rId840" Type="http://schemas.openxmlformats.org/officeDocument/2006/relationships/hyperlink" Target="https://www.ibusiness.de/performance-ranking/performance_2023" TargetMode="External"/><Relationship Id="rId1671" Type="http://schemas.openxmlformats.org/officeDocument/2006/relationships/hyperlink" Target="https://analyticpartners.com/" TargetMode="External"/><Relationship Id="rId1672" Type="http://schemas.openxmlformats.org/officeDocument/2006/relationships/hyperlink" Target="http://analyticpartners.com" TargetMode="External"/><Relationship Id="rId1673" Type="http://schemas.openxmlformats.org/officeDocument/2006/relationships/hyperlink" Target="https://www.and-marketing.com/future-of-ai-in-marketing-analytics/" TargetMode="External"/><Relationship Id="rId1674" Type="http://schemas.openxmlformats.org/officeDocument/2006/relationships/hyperlink" Target="http://and-marketing.com" TargetMode="External"/><Relationship Id="rId1664" Type="http://schemas.openxmlformats.org/officeDocument/2006/relationships/hyperlink" Target="http://alicelabs.ai" TargetMode="External"/><Relationship Id="rId2995" Type="http://schemas.openxmlformats.org/officeDocument/2006/relationships/hyperlink" Target="https://www.theadfirm.net/ai-seo/" TargetMode="External"/><Relationship Id="rId1665" Type="http://schemas.openxmlformats.org/officeDocument/2006/relationships/hyperlink" Target="https://www.amplework.com/blog/top-ai-agent-development-companies/" TargetMode="External"/><Relationship Id="rId2996" Type="http://schemas.openxmlformats.org/officeDocument/2006/relationships/hyperlink" Target="http://theadfirm.net" TargetMode="External"/><Relationship Id="rId1666" Type="http://schemas.openxmlformats.org/officeDocument/2006/relationships/hyperlink" Target="http://amplework.com" TargetMode="External"/><Relationship Id="rId2997" Type="http://schemas.openxmlformats.org/officeDocument/2006/relationships/hyperlink" Target="https://www.thebusinessrover.com/blog/media-buying-agencies" TargetMode="External"/><Relationship Id="rId1667" Type="http://schemas.openxmlformats.org/officeDocument/2006/relationships/hyperlink" Target="https://amplitude.com/explore/experiment/incrementality-testing" TargetMode="External"/><Relationship Id="rId2998" Type="http://schemas.openxmlformats.org/officeDocument/2006/relationships/hyperlink" Target="http://thebusinessrover.com" TargetMode="External"/><Relationship Id="rId1668" Type="http://schemas.openxmlformats.org/officeDocument/2006/relationships/hyperlink" Target="http://amplitude.com" TargetMode="External"/><Relationship Id="rId2999" Type="http://schemas.openxmlformats.org/officeDocument/2006/relationships/hyperlink" Target="https://www.thebusinessrover.com/de/blog/growth-marketing-agencies" TargetMode="External"/><Relationship Id="rId1669" Type="http://schemas.openxmlformats.org/officeDocument/2006/relationships/hyperlink" Target="https://amworldgroup.com/best/ai-marketing-agencies" TargetMode="External"/><Relationship Id="rId839" Type="http://schemas.openxmlformats.org/officeDocument/2006/relationships/hyperlink" Target="http://hopmann.com" TargetMode="External"/><Relationship Id="rId838" Type="http://schemas.openxmlformats.org/officeDocument/2006/relationships/hyperlink" Target="https://www.hopmann.com/en/marketing-analytics/marketing-science/mmm/" TargetMode="External"/><Relationship Id="rId833" Type="http://schemas.openxmlformats.org/officeDocument/2006/relationships/hyperlink" Target="http://getrecast.com" TargetMode="External"/><Relationship Id="rId832" Type="http://schemas.openxmlformats.org/officeDocument/2006/relationships/hyperlink" Target="https://getrecast.com/" TargetMode="External"/><Relationship Id="rId831" Type="http://schemas.openxmlformats.org/officeDocument/2006/relationships/hyperlink" Target="http://geoagenturen.de" TargetMode="External"/><Relationship Id="rId830" Type="http://schemas.openxmlformats.org/officeDocument/2006/relationships/hyperlink" Target="https://www.geoagenturen.de/directory?location=Berlin" TargetMode="External"/><Relationship Id="rId837" Type="http://schemas.openxmlformats.org/officeDocument/2006/relationships/hyperlink" Target="http://gwa.de" TargetMode="External"/><Relationship Id="rId836" Type="http://schemas.openxmlformats.org/officeDocument/2006/relationships/hyperlink" Target="https://www.gwa.de/agentur/scholz-friends-rec6exos7k6ou0wlx/" TargetMode="External"/><Relationship Id="rId835" Type="http://schemas.openxmlformats.org/officeDocument/2006/relationships/hyperlink" Target="http://getrecast.com" TargetMode="External"/><Relationship Id="rId834" Type="http://schemas.openxmlformats.org/officeDocument/2006/relationships/hyperlink" Target="https://getrecast.com/recast-llm-information/" TargetMode="External"/><Relationship Id="rId2990" Type="http://schemas.openxmlformats.org/officeDocument/2006/relationships/hyperlink" Target="http://terratern.com" TargetMode="External"/><Relationship Id="rId1660" Type="http://schemas.openxmlformats.org/officeDocument/2006/relationships/hyperlink" Target="http://airankvision.com" TargetMode="External"/><Relationship Id="rId2991" Type="http://schemas.openxmlformats.org/officeDocument/2006/relationships/hyperlink" Target="https://thatware.co/aeo-seo-services-germany/" TargetMode="External"/><Relationship Id="rId1661" Type="http://schemas.openxmlformats.org/officeDocument/2006/relationships/hyperlink" Target="https://www.akqa.com/studios/berlin/" TargetMode="External"/><Relationship Id="rId2992" Type="http://schemas.openxmlformats.org/officeDocument/2006/relationships/hyperlink" Target="http://thatware.co" TargetMode="External"/><Relationship Id="rId1662" Type="http://schemas.openxmlformats.org/officeDocument/2006/relationships/hyperlink" Target="http://akqa.com" TargetMode="External"/><Relationship Id="rId2993" Type="http://schemas.openxmlformats.org/officeDocument/2006/relationships/hyperlink" Target="https://www.the-boutique-agency.de/de/seo" TargetMode="External"/><Relationship Id="rId1663" Type="http://schemas.openxmlformats.org/officeDocument/2006/relationships/hyperlink" Target="https://alicelabs.ai/en/enterprise-ai-consulting" TargetMode="External"/><Relationship Id="rId2994" Type="http://schemas.openxmlformats.org/officeDocument/2006/relationships/hyperlink" Target="http://the-boutique-agency.de" TargetMode="External"/><Relationship Id="rId2148" Type="http://schemas.openxmlformats.org/officeDocument/2006/relationships/hyperlink" Target="https://getklar.com/partner-program" TargetMode="External"/><Relationship Id="rId2149" Type="http://schemas.openxmlformats.org/officeDocument/2006/relationships/hyperlink" Target="http://getklar.com" TargetMode="External"/><Relationship Id="rId2140" Type="http://schemas.openxmlformats.org/officeDocument/2006/relationships/hyperlink" Target="https://www.get-ryze.ai/blog/how-agencies-scale-ad-creative-production" TargetMode="External"/><Relationship Id="rId2141" Type="http://schemas.openxmlformats.org/officeDocument/2006/relationships/hyperlink" Target="http://get-ryze.ai" TargetMode="External"/><Relationship Id="rId2142" Type="http://schemas.openxmlformats.org/officeDocument/2006/relationships/hyperlink" Target="https://www.getapexanalytics.com/" TargetMode="External"/><Relationship Id="rId2143" Type="http://schemas.openxmlformats.org/officeDocument/2006/relationships/hyperlink" Target="http://getapexanalytics.com" TargetMode="External"/><Relationship Id="rId2144" Type="http://schemas.openxmlformats.org/officeDocument/2006/relationships/hyperlink" Target="https://getdigitalresults.com/digital-advertising/display-ads/" TargetMode="External"/><Relationship Id="rId2145" Type="http://schemas.openxmlformats.org/officeDocument/2006/relationships/hyperlink" Target="http://getdigitalresults.com" TargetMode="External"/><Relationship Id="rId2146" Type="http://schemas.openxmlformats.org/officeDocument/2006/relationships/hyperlink" Target="https://getklar.com/features/unified-marketing-measurement" TargetMode="External"/><Relationship Id="rId2147" Type="http://schemas.openxmlformats.org/officeDocument/2006/relationships/hyperlink" Target="http://getklar.com" TargetMode="External"/><Relationship Id="rId2137" Type="http://schemas.openxmlformats.org/officeDocument/2006/relationships/hyperlink" Target="http://geoagenturen.de" TargetMode="External"/><Relationship Id="rId2138" Type="http://schemas.openxmlformats.org/officeDocument/2006/relationships/hyperlink" Target="https://gerlach-customs.com/customs-consultancy/" TargetMode="External"/><Relationship Id="rId2139" Type="http://schemas.openxmlformats.org/officeDocument/2006/relationships/hyperlink" Target="http://gerlach-customs.com" TargetMode="External"/><Relationship Id="rId2130" Type="http://schemas.openxmlformats.org/officeDocument/2006/relationships/hyperlink" Target="https://www.gen-optima.com/geo/top-generative-ai-search-engine-optimization-agencies-2026/" TargetMode="External"/><Relationship Id="rId2131" Type="http://schemas.openxmlformats.org/officeDocument/2006/relationships/hyperlink" Target="http://gen-optima.com" TargetMode="External"/><Relationship Id="rId2132" Type="http://schemas.openxmlformats.org/officeDocument/2006/relationships/hyperlink" Target="https://genedge.co/newsletter" TargetMode="External"/><Relationship Id="rId2133" Type="http://schemas.openxmlformats.org/officeDocument/2006/relationships/hyperlink" Target="http://genedge.co" TargetMode="External"/><Relationship Id="rId2134" Type="http://schemas.openxmlformats.org/officeDocument/2006/relationships/hyperlink" Target="https://geo-spezialisten.de/" TargetMode="External"/><Relationship Id="rId2135" Type="http://schemas.openxmlformats.org/officeDocument/2006/relationships/hyperlink" Target="http://geo-spezialisten.de" TargetMode="External"/><Relationship Id="rId2136" Type="http://schemas.openxmlformats.org/officeDocument/2006/relationships/hyperlink" Target="https://www.geoagenturen.de/berlin" TargetMode="External"/><Relationship Id="rId2160" Type="http://schemas.openxmlformats.org/officeDocument/2006/relationships/hyperlink" Target="https://globaldev.tech/case-studies/recruiting-ai-avatar" TargetMode="External"/><Relationship Id="rId2161" Type="http://schemas.openxmlformats.org/officeDocument/2006/relationships/hyperlink" Target="https://globaldev.tech/services/ai-development-services" TargetMode="External"/><Relationship Id="rId2162" Type="http://schemas.openxmlformats.org/officeDocument/2006/relationships/hyperlink" Target="https://www.globalists.de/leistungen/sea-agentur" TargetMode="External"/><Relationship Id="rId2163" Type="http://schemas.openxmlformats.org/officeDocument/2006/relationships/hyperlink" Target="http://globalists.de" TargetMode="External"/><Relationship Id="rId2164" Type="http://schemas.openxmlformats.org/officeDocument/2006/relationships/hyperlink" Target="https://www.globalmediainsight.com/attribution-modeling/" TargetMode="External"/><Relationship Id="rId2165" Type="http://schemas.openxmlformats.org/officeDocument/2006/relationships/hyperlink" Target="http://globalmediainsight.com" TargetMode="External"/><Relationship Id="rId2166" Type="http://schemas.openxmlformats.org/officeDocument/2006/relationships/hyperlink" Target="https://gofishdigital.com/blog/generative-engine-optimization-agencies/" TargetMode="External"/><Relationship Id="rId2167" Type="http://schemas.openxmlformats.org/officeDocument/2006/relationships/hyperlink" Target="http://gofishdigital.com" TargetMode="External"/><Relationship Id="rId2168" Type="http://schemas.openxmlformats.org/officeDocument/2006/relationships/hyperlink" Target="https://www.goldorange.com/" TargetMode="External"/><Relationship Id="rId2169" Type="http://schemas.openxmlformats.org/officeDocument/2006/relationships/hyperlink" Target="http://goldorange.com" TargetMode="External"/><Relationship Id="rId2159" Type="http://schemas.openxmlformats.org/officeDocument/2006/relationships/hyperlink" Target="http://glassroom.ca" TargetMode="External"/><Relationship Id="rId2150" Type="http://schemas.openxmlformats.org/officeDocument/2006/relationships/hyperlink" Target="https://getklar.com/try-klar" TargetMode="External"/><Relationship Id="rId2151" Type="http://schemas.openxmlformats.org/officeDocument/2006/relationships/hyperlink" Target="http://getklar.com" TargetMode="External"/><Relationship Id="rId2152" Type="http://schemas.openxmlformats.org/officeDocument/2006/relationships/hyperlink" Target="https://gigawattgroup.com/insights/best-geo-agencies-in-2026-who-actually-drives-ai-visibility-and-citations/" TargetMode="External"/><Relationship Id="rId2153" Type="http://schemas.openxmlformats.org/officeDocument/2006/relationships/hyperlink" Target="http://gigawattgroup.com" TargetMode="External"/><Relationship Id="rId2154" Type="http://schemas.openxmlformats.org/officeDocument/2006/relationships/hyperlink" Target="https://www.glassdoor.com/Overview/Working-at-Jung-von-Matt-EI_IE473243.11,24.htm" TargetMode="External"/><Relationship Id="rId2155" Type="http://schemas.openxmlformats.org/officeDocument/2006/relationships/hyperlink" Target="http://glassdoor.com" TargetMode="External"/><Relationship Id="rId2156" Type="http://schemas.openxmlformats.org/officeDocument/2006/relationships/hyperlink" Target="https://www.glassix.com/article/best-seo-geo-aeo-agencies-saas" TargetMode="External"/><Relationship Id="rId2157" Type="http://schemas.openxmlformats.org/officeDocument/2006/relationships/hyperlink" Target="http://glassix.com" TargetMode="External"/><Relationship Id="rId2158" Type="http://schemas.openxmlformats.org/officeDocument/2006/relationships/hyperlink" Target="https://www.glassroom.ca/article/first-party-data-activation" TargetMode="External"/><Relationship Id="rId2104" Type="http://schemas.openxmlformats.org/officeDocument/2006/relationships/hyperlink" Target="https://www.forrester.com/blogs/picking-an-agency-to-maximize-the-value-of-your-first-party-data/" TargetMode="External"/><Relationship Id="rId2105" Type="http://schemas.openxmlformats.org/officeDocument/2006/relationships/hyperlink" Target="http://forrester.com" TargetMode="External"/><Relationship Id="rId2106" Type="http://schemas.openxmlformats.org/officeDocument/2006/relationships/hyperlink" Target="https://www.forrester.com/report/the-forrester-wave-tm-marketing-measurement-and-optimization-services-q1-2026/RES190293" TargetMode="External"/><Relationship Id="rId2107" Type="http://schemas.openxmlformats.org/officeDocument/2006/relationships/hyperlink" Target="http://forrester.com" TargetMode="External"/><Relationship Id="rId2108" Type="http://schemas.openxmlformats.org/officeDocument/2006/relationships/hyperlink" Target="https://www.fortismedia.com/en/articles/roi-marketing-agency/" TargetMode="External"/><Relationship Id="rId2109" Type="http://schemas.openxmlformats.org/officeDocument/2006/relationships/hyperlink" Target="http://fortismedia.com" TargetMode="External"/><Relationship Id="rId2100" Type="http://schemas.openxmlformats.org/officeDocument/2006/relationships/hyperlink" Target="https://www.firststars.ai/" TargetMode="External"/><Relationship Id="rId2101" Type="http://schemas.openxmlformats.org/officeDocument/2006/relationships/hyperlink" Target="http://firststars.ai" TargetMode="External"/><Relationship Id="rId2102" Type="http://schemas.openxmlformats.org/officeDocument/2006/relationships/hyperlink" Target="https://www.flyingvgroup.com/ai-marketing-agency/" TargetMode="External"/><Relationship Id="rId2103" Type="http://schemas.openxmlformats.org/officeDocument/2006/relationships/hyperlink" Target="http://flyingvgroup.com" TargetMode="External"/><Relationship Id="rId899" Type="http://schemas.openxmlformats.org/officeDocument/2006/relationships/hyperlink" Target="http://supermetrics.com" TargetMode="External"/><Relationship Id="rId898" Type="http://schemas.openxmlformats.org/officeDocument/2006/relationships/hyperlink" Target="https://supermetrics.com/blog/incrementality-testing" TargetMode="External"/><Relationship Id="rId897" Type="http://schemas.openxmlformats.org/officeDocument/2006/relationships/hyperlink" Target="http://sortlist.de" TargetMode="External"/><Relationship Id="rId896" Type="http://schemas.openxmlformats.org/officeDocument/2006/relationships/hyperlink" Target="https://www.sortlist.de/s/programmatic-advertising/deutschland-de" TargetMode="External"/><Relationship Id="rId891" Type="http://schemas.openxmlformats.org/officeDocument/2006/relationships/hyperlink" Target="http://sortlist.de" TargetMode="External"/><Relationship Id="rId890" Type="http://schemas.openxmlformats.org/officeDocument/2006/relationships/hyperlink" Target="https://www.sortlist.de/s/ai-marketing/baden-wuerttemberg-bw-de" TargetMode="External"/><Relationship Id="rId895" Type="http://schemas.openxmlformats.org/officeDocument/2006/relationships/hyperlink" Target="http://sortlist.de" TargetMode="External"/><Relationship Id="rId894" Type="http://schemas.openxmlformats.org/officeDocument/2006/relationships/hyperlink" Target="https://www.sortlist.de/s/google-analytics/deutschland-de" TargetMode="External"/><Relationship Id="rId893" Type="http://schemas.openxmlformats.org/officeDocument/2006/relationships/hyperlink" Target="http://sortlist.de" TargetMode="External"/><Relationship Id="rId892" Type="http://schemas.openxmlformats.org/officeDocument/2006/relationships/hyperlink" Target="https://www.sortlist.de/s/ai-marketing/muenchen-by-de" TargetMode="External"/><Relationship Id="rId2126" Type="http://schemas.openxmlformats.org/officeDocument/2006/relationships/hyperlink" Target="https://gemfind.com/blogs/digital-marketing/google-marketing-partner" TargetMode="External"/><Relationship Id="rId2127" Type="http://schemas.openxmlformats.org/officeDocument/2006/relationships/hyperlink" Target="http://gemfind.com" TargetMode="External"/><Relationship Id="rId2128" Type="http://schemas.openxmlformats.org/officeDocument/2006/relationships/hyperlink" Target="https://www.gen-optima.com/geo/top-7-generative-engine-optimization-service-providers-ranked/" TargetMode="External"/><Relationship Id="rId2129" Type="http://schemas.openxmlformats.org/officeDocument/2006/relationships/hyperlink" Target="http://gen-optima.com" TargetMode="External"/><Relationship Id="rId2120" Type="http://schemas.openxmlformats.org/officeDocument/2006/relationships/hyperlink" Target="https://funnel.io/legal/adtriba/service-description" TargetMode="External"/><Relationship Id="rId2121" Type="http://schemas.openxmlformats.org/officeDocument/2006/relationships/hyperlink" Target="http://funnel.io" TargetMode="External"/><Relationship Id="rId2122" Type="http://schemas.openxmlformats.org/officeDocument/2006/relationships/hyperlink" Target="https://www.futuresupply.io/" TargetMode="External"/><Relationship Id="rId2123" Type="http://schemas.openxmlformats.org/officeDocument/2006/relationships/hyperlink" Target="http://futuresupply.io" TargetMode="External"/><Relationship Id="rId2124" Type="http://schemas.openxmlformats.org/officeDocument/2006/relationships/hyperlink" Target="https://www.gartner.com/reviews/market/b2b-multitouch-attribution-tools" TargetMode="External"/><Relationship Id="rId2125" Type="http://schemas.openxmlformats.org/officeDocument/2006/relationships/hyperlink" Target="http://gartner.com" TargetMode="External"/><Relationship Id="rId2115" Type="http://schemas.openxmlformats.org/officeDocument/2006/relationships/hyperlink" Target="http://foundersworkshop.com" TargetMode="External"/><Relationship Id="rId2116" Type="http://schemas.openxmlformats.org/officeDocument/2006/relationships/hyperlink" Target="https://www.frac.tl/digital-pr-agencies/" TargetMode="External"/><Relationship Id="rId2117" Type="http://schemas.openxmlformats.org/officeDocument/2006/relationships/hyperlink" Target="http://frac.tl" TargetMode="External"/><Relationship Id="rId2118" Type="http://schemas.openxmlformats.org/officeDocument/2006/relationships/hyperlink" Target="https://www.frontieraiconsulting.com/" TargetMode="External"/><Relationship Id="rId2119" Type="http://schemas.openxmlformats.org/officeDocument/2006/relationships/hyperlink" Target="http://frontieraiconsulting.com" TargetMode="External"/><Relationship Id="rId2110" Type="http://schemas.openxmlformats.org/officeDocument/2006/relationships/hyperlink" Target="https://www.found.co.uk/services/seo/ai-seo/" TargetMode="External"/><Relationship Id="rId2111" Type="http://schemas.openxmlformats.org/officeDocument/2006/relationships/hyperlink" Target="http://found.co.uk" TargetMode="External"/><Relationship Id="rId2112" Type="http://schemas.openxmlformats.org/officeDocument/2006/relationships/hyperlink" Target="https://founderoperator.com/marketing/top-ai-marketing-agencies-germany-amazon-success" TargetMode="External"/><Relationship Id="rId2113" Type="http://schemas.openxmlformats.org/officeDocument/2006/relationships/hyperlink" Target="http://founderoperator.com" TargetMode="External"/><Relationship Id="rId2114" Type="http://schemas.openxmlformats.org/officeDocument/2006/relationships/hyperlink" Target="https://foundersworkshop.com/feeds/service/ai-adoption-readiness-consulting-enterprises"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feedbax.ai/google-ads/western-europe" TargetMode="External"/><Relationship Id="rId391" Type="http://schemas.openxmlformats.org/officeDocument/2006/relationships/hyperlink" Target="http://feedbax.ai" TargetMode="External"/><Relationship Id="rId390" Type="http://schemas.openxmlformats.org/officeDocument/2006/relationships/hyperlink" Target="https://feedbax.ai/geo-agencies/dach" TargetMode="External"/><Relationship Id="rId385" Type="http://schemas.openxmlformats.org/officeDocument/2006/relationships/hyperlink" Target="http://awisee.com" TargetMode="External"/><Relationship Id="rId384" Type="http://schemas.openxmlformats.org/officeDocument/2006/relationships/hyperlink" Target="https://awisee.com/pt/blog/digital-marketing-agencies-germany/" TargetMode="External"/><Relationship Id="rId383" Type="http://schemas.openxmlformats.org/officeDocument/2006/relationships/hyperlink" Target="http://alphaapexgroup.com" TargetMode="External"/><Relationship Id="rId382" Type="http://schemas.openxmlformats.org/officeDocument/2006/relationships/hyperlink" Target="https://www.alphaapexgroup.com/blog/top-ai-consulting-firms" TargetMode="External"/><Relationship Id="rId389" Type="http://schemas.openxmlformats.org/officeDocument/2006/relationships/hyperlink" Target="http://ensun.io" TargetMode="External"/><Relationship Id="rId388" Type="http://schemas.openxmlformats.org/officeDocument/2006/relationships/hyperlink" Target="https://ensun.io/search/display-advertising/germany" TargetMode="External"/><Relationship Id="rId387" Type="http://schemas.openxmlformats.org/officeDocument/2006/relationships/hyperlink" Target="http://clutch.co" TargetMode="External"/><Relationship Id="rId386" Type="http://schemas.openxmlformats.org/officeDocument/2006/relationships/hyperlink" Target="https://clutch.co/de/consulting/ai/strategy?page=1" TargetMode="External"/><Relationship Id="rId381" Type="http://schemas.openxmlformats.org/officeDocument/2006/relationships/hyperlink" Target="http://semrush.com" TargetMode="External"/><Relationship Id="rId380" Type="http://schemas.openxmlformats.org/officeDocument/2006/relationships/hyperlink" Target="https://agencies.semrush.com/list/seo/germany/" TargetMode="External"/><Relationship Id="rId379" Type="http://schemas.openxmlformats.org/officeDocument/2006/relationships/hyperlink" Target="http://semrush.com" TargetMode="External"/><Relationship Id="rId374" Type="http://schemas.openxmlformats.org/officeDocument/2006/relationships/hyperlink" Target="https://aeo-copilot.com/partners/agencies/germany/berlin" TargetMode="External"/><Relationship Id="rId373" Type="http://schemas.openxmlformats.org/officeDocument/2006/relationships/hyperlink" Target="http://youtube.com" TargetMode="External"/><Relationship Id="rId372" Type="http://schemas.openxmlformats.org/officeDocument/2006/relationships/hyperlink" Target="https://www.youtube.com/watch?v=4L7On3IGqKQ" TargetMode="External"/><Relationship Id="rId371" Type="http://schemas.openxmlformats.org/officeDocument/2006/relationships/hyperlink" Target="http://websenor.com" TargetMode="External"/><Relationship Id="rId378" Type="http://schemas.openxmlformats.org/officeDocument/2006/relationships/hyperlink" Target="https://agencies.semrush.com/list/display-advertising/germany/mid-business/" TargetMode="External"/><Relationship Id="rId377" Type="http://schemas.openxmlformats.org/officeDocument/2006/relationships/hyperlink" Target="http://aeo-copilot.com" TargetMode="External"/><Relationship Id="rId376" Type="http://schemas.openxmlformats.org/officeDocument/2006/relationships/hyperlink" Target="https://aeo-copilot.com/partners/agencies/germany/frankfurt" TargetMode="External"/><Relationship Id="rId375" Type="http://schemas.openxmlformats.org/officeDocument/2006/relationships/hyperlink" Target="http://aeo-copilot.com" TargetMode="External"/><Relationship Id="rId396" Type="http://schemas.openxmlformats.org/officeDocument/2006/relationships/hyperlink" Target="https://www.gtm8020.com/blog/best-aeo-agencies" TargetMode="External"/><Relationship Id="rId395" Type="http://schemas.openxmlformats.org/officeDocument/2006/relationships/hyperlink" Target="http://goodfirms.co" TargetMode="External"/><Relationship Id="rId394" Type="http://schemas.openxmlformats.org/officeDocument/2006/relationships/hyperlink" Target="https://www.goodfirms.co/directory/country/top-digital-marketing-companies/advertising-ppc/germany" TargetMode="External"/><Relationship Id="rId393" Type="http://schemas.openxmlformats.org/officeDocument/2006/relationships/hyperlink" Target="http://feedbax.ai" TargetMode="External"/><Relationship Id="rId399" Type="http://schemas.openxmlformats.org/officeDocument/2006/relationships/hyperlink" Target="http://loudface.co" TargetMode="External"/><Relationship Id="rId398" Type="http://schemas.openxmlformats.org/officeDocument/2006/relationships/hyperlink" Target="https://www.loudface.co/blog/best-aeo-agencies-b2b-saas-2026" TargetMode="External"/><Relationship Id="rId397" Type="http://schemas.openxmlformats.org/officeDocument/2006/relationships/hyperlink" Target="http://gtm8020.com" TargetMode="External"/><Relationship Id="rId40" Type="http://schemas.openxmlformats.org/officeDocument/2006/relationships/hyperlink" Target="http://sortlist.com" TargetMode="External"/><Relationship Id="rId42" Type="http://schemas.openxmlformats.org/officeDocument/2006/relationships/hyperlink" Target="http://sortlist.com" TargetMode="External"/><Relationship Id="rId41" Type="http://schemas.openxmlformats.org/officeDocument/2006/relationships/hyperlink" Target="https://www.sortlist.com/s/marketing-analytics/germany-de" TargetMode="External"/><Relationship Id="rId44" Type="http://schemas.openxmlformats.org/officeDocument/2006/relationships/hyperlink" Target="http://influencer-hero.com" TargetMode="External"/><Relationship Id="rId43" Type="http://schemas.openxmlformats.org/officeDocument/2006/relationships/hyperlink" Target="https://www.influencer-hero.com/blogs/top-social-media-agencies-in-germany" TargetMode="External"/><Relationship Id="rId46" Type="http://schemas.openxmlformats.org/officeDocument/2006/relationships/hyperlink" Target="http://clutch.co" TargetMode="External"/><Relationship Id="rId45" Type="http://schemas.openxmlformats.org/officeDocument/2006/relationships/hyperlink" Target="https://clutch.co/de/agencies/social-media-marketing" TargetMode="External"/><Relationship Id="rId48" Type="http://schemas.openxmlformats.org/officeDocument/2006/relationships/hyperlink" Target="http://measured.com" TargetMode="External"/><Relationship Id="rId47" Type="http://schemas.openxmlformats.org/officeDocument/2006/relationships/hyperlink" Target="https://www.measured.com/faq/best-incrementality-testing-companies-software-for-marketing-2026/" TargetMode="External"/><Relationship Id="rId49" Type="http://schemas.openxmlformats.org/officeDocument/2006/relationships/hyperlink" Target="https://www.radigitalworld.com/2026/03/best-performance-marketing-companies-in.html" TargetMode="External"/><Relationship Id="rId31" Type="http://schemas.openxmlformats.org/officeDocument/2006/relationships/hyperlink" Target="http://sortlist.com" TargetMode="External"/><Relationship Id="rId30" Type="http://schemas.openxmlformats.org/officeDocument/2006/relationships/hyperlink" Target="https://www.sortlist.com/s/display-advertising/germany-de" TargetMode="External"/><Relationship Id="rId33" Type="http://schemas.openxmlformats.org/officeDocument/2006/relationships/hyperlink" Target="http://influencer-hero.com" TargetMode="External"/><Relationship Id="rId32" Type="http://schemas.openxmlformats.org/officeDocument/2006/relationships/hyperlink" Target="https://www.influencer-hero.com/blogs/top-advertising-agencies-in-germany" TargetMode="External"/><Relationship Id="rId35" Type="http://schemas.openxmlformats.org/officeDocument/2006/relationships/hyperlink" Target="http://goodfirms.co" TargetMode="External"/><Relationship Id="rId34" Type="http://schemas.openxmlformats.org/officeDocument/2006/relationships/hyperlink" Target="https://www.goodfirms.co/directory/country/top-digital-marketing-companies/de" TargetMode="External"/><Relationship Id="rId37" Type="http://schemas.openxmlformats.org/officeDocument/2006/relationships/hyperlink" Target="http://techbehemoths.com" TargetMode="External"/><Relationship Id="rId36" Type="http://schemas.openxmlformats.org/officeDocument/2006/relationships/hyperlink" Target="https://techbehemoths.com/companies/marketing-analytics/germany" TargetMode="External"/><Relationship Id="rId39" Type="http://schemas.openxmlformats.org/officeDocument/2006/relationships/hyperlink" Target="https://www.sortlist.com/i/digital-marketing/germany-de" TargetMode="External"/><Relationship Id="rId38" Type="http://schemas.openxmlformats.org/officeDocument/2006/relationships/hyperlink" Target="https://creatif.agency/the-best-branding-agencies-in-germany/" TargetMode="External"/><Relationship Id="rId20" Type="http://schemas.openxmlformats.org/officeDocument/2006/relationships/hyperlink" Target="https://www.influencer-hero.com/blogs/top-10-creative-agencies-in-germany" TargetMode="External"/><Relationship Id="rId22" Type="http://schemas.openxmlformats.org/officeDocument/2006/relationships/hyperlink" Target="https://www.radyant.io/comparison/6-best-geo-agencies-in-germany" TargetMode="External"/><Relationship Id="rId21" Type="http://schemas.openxmlformats.org/officeDocument/2006/relationships/hyperlink" Target="http://influencer-hero.com" TargetMode="External"/><Relationship Id="rId24" Type="http://schemas.openxmlformats.org/officeDocument/2006/relationships/hyperlink" Target="https://www.dreikon.de/en/news/online-marketing-knowledge/10-best-seo-and-geo-agencies-2026/" TargetMode="External"/><Relationship Id="rId23" Type="http://schemas.openxmlformats.org/officeDocument/2006/relationships/hyperlink" Target="http://radyant.io" TargetMode="External"/><Relationship Id="rId26" Type="http://schemas.openxmlformats.org/officeDocument/2006/relationships/hyperlink" Target="https://www.sortlist.com/s/artificial-intelligence/germany-de" TargetMode="External"/><Relationship Id="rId25" Type="http://schemas.openxmlformats.org/officeDocument/2006/relationships/hyperlink" Target="http://dreikon.de" TargetMode="External"/><Relationship Id="rId28" Type="http://schemas.openxmlformats.org/officeDocument/2006/relationships/hyperlink" Target="https://agencies.semrush.com/list/ai-optimization/germany/" TargetMode="External"/><Relationship Id="rId27" Type="http://schemas.openxmlformats.org/officeDocument/2006/relationships/hyperlink" Target="http://sortlist.com" TargetMode="External"/><Relationship Id="rId29" Type="http://schemas.openxmlformats.org/officeDocument/2006/relationships/hyperlink" Target="http://semrush.com" TargetMode="External"/><Relationship Id="rId11" Type="http://schemas.openxmlformats.org/officeDocument/2006/relationships/hyperlink" Target="http://influencer-hero.com" TargetMode="External"/><Relationship Id="rId10" Type="http://schemas.openxmlformats.org/officeDocument/2006/relationships/hyperlink" Target="https://www.influencer-hero.com/blogs/top-digital-advertising-agencies-in-germany" TargetMode="External"/><Relationship Id="rId13" Type="http://schemas.openxmlformats.org/officeDocument/2006/relationships/hyperlink" Target="http://sortlist.com" TargetMode="External"/><Relationship Id="rId12" Type="http://schemas.openxmlformats.org/officeDocument/2006/relationships/hyperlink" Target="https://www.sortlist.com/s/marketing/germany-de"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digital-marketing/de" TargetMode="External"/><Relationship Id="rId17" Type="http://schemas.openxmlformats.org/officeDocument/2006/relationships/hyperlink" Target="http://influencer-hero.com" TargetMode="External"/><Relationship Id="rId16" Type="http://schemas.openxmlformats.org/officeDocument/2006/relationships/hyperlink" Target="https://www.influencer-hero.com/blogs/top-digital-marketing-agencies-in-germany" TargetMode="External"/><Relationship Id="rId19" Type="http://schemas.openxmlformats.org/officeDocument/2006/relationships/hyperlink" Target="http://sortlist.com" TargetMode="External"/><Relationship Id="rId18" Type="http://schemas.openxmlformats.org/officeDocument/2006/relationships/hyperlink" Target="https://www.sortlist.com/s/performance-marketing/germany-de" TargetMode="External"/><Relationship Id="rId84" Type="http://schemas.openxmlformats.org/officeDocument/2006/relationships/hyperlink" Target="http://magiclibrary.co" TargetMode="External"/><Relationship Id="rId83" Type="http://schemas.openxmlformats.org/officeDocument/2006/relationships/hyperlink" Target="https://www.magiclibrary.co/blog/best-b2b-saas-marketing-agencies-in-germany" TargetMode="External"/><Relationship Id="rId86" Type="http://schemas.openxmlformats.org/officeDocument/2006/relationships/hyperlink" Target="http://aeovision.ai" TargetMode="External"/><Relationship Id="rId85" Type="http://schemas.openxmlformats.org/officeDocument/2006/relationships/hyperlink" Target="https://aeovision.ai/articles/best-aeo-geo-agencies-2026/" TargetMode="External"/><Relationship Id="rId88" Type="http://schemas.openxmlformats.org/officeDocument/2006/relationships/hyperlink" Target="http://clutch.co" TargetMode="External"/><Relationship Id="rId87" Type="http://schemas.openxmlformats.org/officeDocument/2006/relationships/hyperlink" Target="https://clutch.co/de/agencies/market-research" TargetMode="External"/><Relationship Id="rId89" Type="http://schemas.openxmlformats.org/officeDocument/2006/relationships/hyperlink" Target="https://www.goodfirms.co/advertising-companies/creative/germany" TargetMode="External"/><Relationship Id="rId80" Type="http://schemas.openxmlformats.org/officeDocument/2006/relationships/hyperlink" Target="http://sourceforge.net" TargetMode="External"/><Relationship Id="rId82" Type="http://schemas.openxmlformats.org/officeDocument/2006/relationships/hyperlink" Target="http://semrush.com" TargetMode="External"/><Relationship Id="rId81" Type="http://schemas.openxmlformats.org/officeDocument/2006/relationships/hyperlink" Target="https://agencies.semrush.com/list/advertising/germany/" TargetMode="External"/><Relationship Id="rId73" Type="http://schemas.openxmlformats.org/officeDocument/2006/relationships/hyperlink" Target="https://agencies.semrush.com/list/smm/germany/" TargetMode="External"/><Relationship Id="rId72" Type="http://schemas.openxmlformats.org/officeDocument/2006/relationships/hyperlink" Target="http://influencer-hero.com" TargetMode="External"/><Relationship Id="rId75" Type="http://schemas.openxmlformats.org/officeDocument/2006/relationships/hyperlink" Target="https://www.cometly.com/post/best-marketing-attribution-agencies-in-europe" TargetMode="External"/><Relationship Id="rId74" Type="http://schemas.openxmlformats.org/officeDocument/2006/relationships/hyperlink" Target="http://semrush.com" TargetMode="External"/><Relationship Id="rId77" Type="http://schemas.openxmlformats.org/officeDocument/2006/relationships/hyperlink" Target="https://www.designrush.com/agency/creative-agencies/de" TargetMode="External"/><Relationship Id="rId76" Type="http://schemas.openxmlformats.org/officeDocument/2006/relationships/hyperlink" Target="http://cometly.com" TargetMode="External"/><Relationship Id="rId79" Type="http://schemas.openxmlformats.org/officeDocument/2006/relationships/hyperlink" Target="https://sourceforge.net/software/incrementality-testing/germany/" TargetMode="External"/><Relationship Id="rId78" Type="http://schemas.openxmlformats.org/officeDocument/2006/relationships/hyperlink" Target="http://designrush.com" TargetMode="External"/><Relationship Id="rId71" Type="http://schemas.openxmlformats.org/officeDocument/2006/relationships/hyperlink" Target="https://www.influencer-hero.com/blogs/top-pay-per-click-agencies-in-germany" TargetMode="External"/><Relationship Id="rId70" Type="http://schemas.openxmlformats.org/officeDocument/2006/relationships/hyperlink" Target="http://hikemytraffic.com" TargetMode="External"/><Relationship Id="rId62" Type="http://schemas.openxmlformats.org/officeDocument/2006/relationships/hyperlink" Target="http://dreikon.de" TargetMode="External"/><Relationship Id="rId61" Type="http://schemas.openxmlformats.org/officeDocument/2006/relationships/hyperlink" Target="https://www.dreikon.de/en/news/social-media/the-10-best-agencies-in-germany-2026/" TargetMode="External"/><Relationship Id="rId64" Type="http://schemas.openxmlformats.org/officeDocument/2006/relationships/hyperlink" Target="http://sortlist.com" TargetMode="External"/><Relationship Id="rId63" Type="http://schemas.openxmlformats.org/officeDocument/2006/relationships/hyperlink" Target="https://www.sortlist.com/i/s/creative/germany-de" TargetMode="External"/><Relationship Id="rId66" Type="http://schemas.openxmlformats.org/officeDocument/2006/relationships/hyperlink" Target="http://sortlist.com" TargetMode="External"/><Relationship Id="rId65" Type="http://schemas.openxmlformats.org/officeDocument/2006/relationships/hyperlink" Target="https://www.sortlist.com/s/ai-marketing/germany-de" TargetMode="External"/><Relationship Id="rId68" Type="http://schemas.openxmlformats.org/officeDocument/2006/relationships/hyperlink" Target="http://clutch.co" TargetMode="External"/><Relationship Id="rId67" Type="http://schemas.openxmlformats.org/officeDocument/2006/relationships/hyperlink" Target="https://clutch.co/de/consulting/ai" TargetMode="External"/><Relationship Id="rId60" Type="http://schemas.openxmlformats.org/officeDocument/2006/relationships/hyperlink" Target="http://clutch.co" TargetMode="External"/><Relationship Id="rId69" Type="http://schemas.openxmlformats.org/officeDocument/2006/relationships/hyperlink" Target="https://hikemytraffic.com/ai-digital-marketing-agencies-in-germany/" TargetMode="External"/><Relationship Id="rId51" Type="http://schemas.openxmlformats.org/officeDocument/2006/relationships/hyperlink" Target="https://www.reddit.com/r/branding/comments/1s5trnk/top_10_best_international_seo_agency_in_germany/" TargetMode="External"/><Relationship Id="rId50" Type="http://schemas.openxmlformats.org/officeDocument/2006/relationships/hyperlink" Target="http://radigitalworld.com" TargetMode="External"/><Relationship Id="rId53" Type="http://schemas.openxmlformats.org/officeDocument/2006/relationships/hyperlink" Target="https://www.sortlist.com/i/social-media/germany-de" TargetMode="External"/><Relationship Id="rId52" Type="http://schemas.openxmlformats.org/officeDocument/2006/relationships/hyperlink" Target="http://reddit.com" TargetMode="External"/><Relationship Id="rId55" Type="http://schemas.openxmlformats.org/officeDocument/2006/relationships/hyperlink" Target="https://www.sortlist.com/s/paid-media/germany-de" TargetMode="External"/><Relationship Id="rId54" Type="http://schemas.openxmlformats.org/officeDocument/2006/relationships/hyperlink" Target="http://sortlist.com" TargetMode="External"/><Relationship Id="rId57" Type="http://schemas.openxmlformats.org/officeDocument/2006/relationships/hyperlink" Target="https://www.xmethod.de/en/blog/best-ai-agencies" TargetMode="External"/><Relationship Id="rId56" Type="http://schemas.openxmlformats.org/officeDocument/2006/relationships/hyperlink" Target="http://sortlist.com" TargetMode="External"/><Relationship Id="rId59" Type="http://schemas.openxmlformats.org/officeDocument/2006/relationships/hyperlink" Target="https://clutch.co/de/agencies/creative" TargetMode="External"/><Relationship Id="rId58" Type="http://schemas.openxmlformats.org/officeDocument/2006/relationships/hyperlink" Target="http://xmethod.de" TargetMode="External"/><Relationship Id="rId349" Type="http://schemas.openxmlformats.org/officeDocument/2006/relationships/hyperlink" Target="http://dejaoffice.com" TargetMode="External"/><Relationship Id="rId348" Type="http://schemas.openxmlformats.org/officeDocument/2006/relationships/hyperlink" Target="https://www.dejaoffice.com/blog/2026/06/15/9-best-aeo-agencies-helping-brands-win-in-the-age-of-ai/" TargetMode="External"/><Relationship Id="rId347" Type="http://schemas.openxmlformats.org/officeDocument/2006/relationships/hyperlink" Target="http://clutch.co" TargetMode="External"/><Relationship Id="rId346" Type="http://schemas.openxmlformats.org/officeDocument/2006/relationships/hyperlink" Target="https://clutch.co/de/agencies/ppc/advertising-industry?page=2" TargetMode="External"/><Relationship Id="rId341" Type="http://schemas.openxmlformats.org/officeDocument/2006/relationships/hyperlink" Target="http://thatware.co" TargetMode="External"/><Relationship Id="rId340" Type="http://schemas.openxmlformats.org/officeDocument/2006/relationships/hyperlink" Target="https://thatware.co/top-10-aeo-companies-in-germany/" TargetMode="External"/><Relationship Id="rId345" Type="http://schemas.openxmlformats.org/officeDocument/2006/relationships/hyperlink" Target="http://ultragrowthmedia.com" TargetMode="External"/><Relationship Id="rId344" Type="http://schemas.openxmlformats.org/officeDocument/2006/relationships/hyperlink" Target="https://ultragrowthmedia.com/best-b2b-marketing-agencies-germany/" TargetMode="External"/><Relationship Id="rId343" Type="http://schemas.openxmlformats.org/officeDocument/2006/relationships/hyperlink" Target="http://thedigitalelevator.com" TargetMode="External"/><Relationship Id="rId342" Type="http://schemas.openxmlformats.org/officeDocument/2006/relationships/hyperlink" Target="https://thedigitalelevator.com/blog/best-generative-engine-optimization-geo-agencies/" TargetMode="External"/><Relationship Id="rId338" Type="http://schemas.openxmlformats.org/officeDocument/2006/relationships/hyperlink" Target="https://sourceforge.net/software/marketing-attribution/germany/?page=2" TargetMode="External"/><Relationship Id="rId337" Type="http://schemas.openxmlformats.org/officeDocument/2006/relationships/hyperlink" Target="http://sortlist.com" TargetMode="External"/><Relationship Id="rId336" Type="http://schemas.openxmlformats.org/officeDocument/2006/relationships/hyperlink" Target="https://www.sortlist.com/s/marketing-automation/germany-de" TargetMode="External"/><Relationship Id="rId335" Type="http://schemas.openxmlformats.org/officeDocument/2006/relationships/hyperlink" Target="http://sortlist.com" TargetMode="External"/><Relationship Id="rId339" Type="http://schemas.openxmlformats.org/officeDocument/2006/relationships/hyperlink" Target="http://sourceforge.net" TargetMode="External"/><Relationship Id="rId330" Type="http://schemas.openxmlformats.org/officeDocument/2006/relationships/hyperlink" Target="https://www.semrush.com/agencies/list/display-advertising/ecommerce/germany/" TargetMode="External"/><Relationship Id="rId334" Type="http://schemas.openxmlformats.org/officeDocument/2006/relationships/hyperlink" Target="https://www.sortlist.com/display-advertising" TargetMode="External"/><Relationship Id="rId333" Type="http://schemas.openxmlformats.org/officeDocument/2006/relationships/hyperlink" Target="http://silicon.de" TargetMode="External"/><Relationship Id="rId332" Type="http://schemas.openxmlformats.org/officeDocument/2006/relationships/hyperlink" Target="https://www.silicon.de/41722409/geo-agentur-vergleich-empfehlungen-beste-15-geo-agenturen-2026/amp" TargetMode="External"/><Relationship Id="rId331" Type="http://schemas.openxmlformats.org/officeDocument/2006/relationships/hyperlink" Target="http://semrush.com" TargetMode="External"/><Relationship Id="rId370" Type="http://schemas.openxmlformats.org/officeDocument/2006/relationships/hyperlink" Target="https://websenor.com/top-10-ai-agencies-in-germany/" TargetMode="External"/><Relationship Id="rId369" Type="http://schemas.openxmlformats.org/officeDocument/2006/relationships/hyperlink" Target="http://upliftgtm.com" TargetMode="External"/><Relationship Id="rId368" Type="http://schemas.openxmlformats.org/officeDocument/2006/relationships/hyperlink" Target="https://www.upliftgtm.com/blog/best-aeo-agencies" TargetMode="External"/><Relationship Id="rId363" Type="http://schemas.openxmlformats.org/officeDocument/2006/relationships/hyperlink" Target="http://sortlist.com" TargetMode="External"/><Relationship Id="rId362" Type="http://schemas.openxmlformats.org/officeDocument/2006/relationships/hyperlink" Target="https://www.sortlist.com/s/marketing-analytics/frankfurt-he-de" TargetMode="External"/><Relationship Id="rId361" Type="http://schemas.openxmlformats.org/officeDocument/2006/relationships/hyperlink" Target="http://sortlist.com" TargetMode="External"/><Relationship Id="rId360" Type="http://schemas.openxmlformats.org/officeDocument/2006/relationships/hyperlink" Target="https://www.sortlist.com/s/international-marketing/germany-de" TargetMode="External"/><Relationship Id="rId367" Type="http://schemas.openxmlformats.org/officeDocument/2006/relationships/hyperlink" Target="http://thedrum.com" TargetMode="External"/><Relationship Id="rId366" Type="http://schemas.openxmlformats.org/officeDocument/2006/relationships/hyperlink" Target="https://www.thedrum.com/news/serviceplan-reclaims-emea-agency-top-spot-in-2026-world-creative-rankings" TargetMode="External"/><Relationship Id="rId365" Type="http://schemas.openxmlformats.org/officeDocument/2006/relationships/hyperlink" Target="http://sortlist.com" TargetMode="External"/><Relationship Id="rId364" Type="http://schemas.openxmlformats.org/officeDocument/2006/relationships/hyperlink" Target="https://www.sortlist.com/s/sm-analytics/germany-de" TargetMode="External"/><Relationship Id="rId95" Type="http://schemas.openxmlformats.org/officeDocument/2006/relationships/hyperlink" Target="https://feedbax.ai/performance-marketing/germany" TargetMode="External"/><Relationship Id="rId94" Type="http://schemas.openxmlformats.org/officeDocument/2006/relationships/hyperlink" Target="http://digitalagencynetwork.com" TargetMode="External"/><Relationship Id="rId97" Type="http://schemas.openxmlformats.org/officeDocument/2006/relationships/hyperlink" Target="https://hikemytraffic.com/ai-digital-marketing-services-in-germany/" TargetMode="External"/><Relationship Id="rId96" Type="http://schemas.openxmlformats.org/officeDocument/2006/relationships/hyperlink" Target="http://feedbax.ai" TargetMode="External"/><Relationship Id="rId99" Type="http://schemas.openxmlformats.org/officeDocument/2006/relationships/hyperlink" Target="https://techbehemoths.com/companies/google-marketing-platform/germany" TargetMode="External"/><Relationship Id="rId98" Type="http://schemas.openxmlformats.org/officeDocument/2006/relationships/hyperlink" Target="http://hikemytraffic.com" TargetMode="External"/><Relationship Id="rId91" Type="http://schemas.openxmlformats.org/officeDocument/2006/relationships/hyperlink" Target="https://sourceforge.net/software/marketing-attribution/germany/" TargetMode="External"/><Relationship Id="rId90" Type="http://schemas.openxmlformats.org/officeDocument/2006/relationships/hyperlink" Target="http://goodfirms.co" TargetMode="External"/><Relationship Id="rId93" Type="http://schemas.openxmlformats.org/officeDocument/2006/relationships/hyperlink" Target="https://digitalagencynetwork.com/agencies/berlin/" TargetMode="External"/><Relationship Id="rId92" Type="http://schemas.openxmlformats.org/officeDocument/2006/relationships/hyperlink" Target="http://sourceforge.net" TargetMode="External"/><Relationship Id="rId359" Type="http://schemas.openxmlformats.org/officeDocument/2006/relationships/hyperlink" Target="http://sortlist.com" TargetMode="External"/><Relationship Id="rId358" Type="http://schemas.openxmlformats.org/officeDocument/2006/relationships/hyperlink" Target="https://www.sortlist.com/i/web-analytics/germany-de" TargetMode="External"/><Relationship Id="rId357" Type="http://schemas.openxmlformats.org/officeDocument/2006/relationships/hyperlink" Target="http://reddit.com" TargetMode="External"/><Relationship Id="rId352" Type="http://schemas.openxmlformats.org/officeDocument/2006/relationships/hyperlink" Target="https://feedbax.ai/creative-agencies/germany" TargetMode="External"/><Relationship Id="rId351" Type="http://schemas.openxmlformats.org/officeDocument/2006/relationships/hyperlink" Target="http://designrush.com" TargetMode="External"/><Relationship Id="rId350" Type="http://schemas.openxmlformats.org/officeDocument/2006/relationships/hyperlink" Target="https://www.designrush.com/agency/social-media-marketing/de" TargetMode="External"/><Relationship Id="rId356" Type="http://schemas.openxmlformats.org/officeDocument/2006/relationships/hyperlink" Target="https://www.reddit.com/r/Superframeworks/comments/1twfxf1/10_best_ai_seo_geoaeo_agencies_for_2026_no/" TargetMode="External"/><Relationship Id="rId355" Type="http://schemas.openxmlformats.org/officeDocument/2006/relationships/hyperlink" Target="http://lifesight.io" TargetMode="External"/><Relationship Id="rId354" Type="http://schemas.openxmlformats.org/officeDocument/2006/relationships/hyperlink" Target="https://lifesight.io/blog/best-incrementality-testing-tools/" TargetMode="External"/><Relationship Id="rId353" Type="http://schemas.openxmlformats.org/officeDocument/2006/relationships/hyperlink" Target="http://feedbax.ai" TargetMode="External"/><Relationship Id="rId305" Type="http://schemas.openxmlformats.org/officeDocument/2006/relationships/hyperlink" Target="http://sourceforge.net" TargetMode="External"/><Relationship Id="rId304" Type="http://schemas.openxmlformats.org/officeDocument/2006/relationships/hyperlink" Target="https://sourceforge.net/software/marketing-attribution/germany/?page=4" TargetMode="External"/><Relationship Id="rId303" Type="http://schemas.openxmlformats.org/officeDocument/2006/relationships/hyperlink" Target="http://sortlist.com" TargetMode="External"/><Relationship Id="rId302" Type="http://schemas.openxmlformats.org/officeDocument/2006/relationships/hyperlink" Target="https://www.sortlist.com/paid-media" TargetMode="External"/><Relationship Id="rId309" Type="http://schemas.openxmlformats.org/officeDocument/2006/relationships/hyperlink" Target="http://aeo-copilot.com" TargetMode="External"/><Relationship Id="rId308" Type="http://schemas.openxmlformats.org/officeDocument/2006/relationships/hyperlink" Target="https://aeo-copilot.com/partners/agencies/germany" TargetMode="External"/><Relationship Id="rId307" Type="http://schemas.openxmlformats.org/officeDocument/2006/relationships/hyperlink" Target="http://topgeoagencies.com" TargetMode="External"/><Relationship Id="rId306" Type="http://schemas.openxmlformats.org/officeDocument/2006/relationships/hyperlink" Target="https://topgeoagencies.com/" TargetMode="External"/><Relationship Id="rId301" Type="http://schemas.openxmlformats.org/officeDocument/2006/relationships/hyperlink" Target="http://sortlist.com" TargetMode="External"/><Relationship Id="rId300" Type="http://schemas.openxmlformats.org/officeDocument/2006/relationships/hyperlink" Target="https://www.sortlist.com/marketing-analytics" TargetMode="External"/><Relationship Id="rId327" Type="http://schemas.openxmlformats.org/officeDocument/2006/relationships/hyperlink" Target="http://omr.com" TargetMode="External"/><Relationship Id="rId326" Type="http://schemas.openxmlformats.org/officeDocument/2006/relationships/hyperlink" Target="https://omr.com/de/reviews/service-category/geo-agenturen" TargetMode="External"/><Relationship Id="rId325" Type="http://schemas.openxmlformats.org/officeDocument/2006/relationships/hyperlink" Target="http://invademarketing.com" TargetMode="External"/><Relationship Id="rId324" Type="http://schemas.openxmlformats.org/officeDocument/2006/relationships/hyperlink" Target="https://invademarketing.com/best-data-driven-marketing-agencies-in-europe/" TargetMode="External"/><Relationship Id="rId329" Type="http://schemas.openxmlformats.org/officeDocument/2006/relationships/hyperlink" Target="http://seeders.com" TargetMode="External"/><Relationship Id="rId328" Type="http://schemas.openxmlformats.org/officeDocument/2006/relationships/hyperlink" Target="https://seeders.com/blog/top-10-digital-pr-agencies-germany/" TargetMode="External"/><Relationship Id="rId323" Type="http://schemas.openxmlformats.org/officeDocument/2006/relationships/hyperlink" Target="http://intentcliq.com" TargetMode="External"/><Relationship Id="rId322" Type="http://schemas.openxmlformats.org/officeDocument/2006/relationships/hyperlink" Target="https://intentcliq.com/google-ads-agencies-in-germany/" TargetMode="External"/><Relationship Id="rId321" Type="http://schemas.openxmlformats.org/officeDocument/2006/relationships/hyperlink" Target="http://influencer-hero.com" TargetMode="External"/><Relationship Id="rId320" Type="http://schemas.openxmlformats.org/officeDocument/2006/relationships/hyperlink" Target="https://www.influencer-hero.com/fr/blogs/top-facebook-advertising-agencies-in-germany" TargetMode="External"/><Relationship Id="rId316" Type="http://schemas.openxmlformats.org/officeDocument/2006/relationships/hyperlink" Target="https://www.ekipa.ai/ekipa-labs/end-to-end-ai-consulting-companies" TargetMode="External"/><Relationship Id="rId315" Type="http://schemas.openxmlformats.org/officeDocument/2006/relationships/hyperlink" Target="http://brandcrock.com" TargetMode="External"/><Relationship Id="rId314" Type="http://schemas.openxmlformats.org/officeDocument/2006/relationships/hyperlink" Target="https://www.brandcrock.com/ai-services/" TargetMode="External"/><Relationship Id="rId313" Type="http://schemas.openxmlformats.org/officeDocument/2006/relationships/hyperlink" Target="http://aijourn.com" TargetMode="External"/><Relationship Id="rId319" Type="http://schemas.openxmlformats.org/officeDocument/2006/relationships/hyperlink" Target="http://influencer-hero.com" TargetMode="External"/><Relationship Id="rId318" Type="http://schemas.openxmlformats.org/officeDocument/2006/relationships/hyperlink" Target="https://www.influencer-hero.com/de/blogs/top-10-creative-agencies-in-germany" TargetMode="External"/><Relationship Id="rId317" Type="http://schemas.openxmlformats.org/officeDocument/2006/relationships/hyperlink" Target="http://ekipa.ai" TargetMode="External"/><Relationship Id="rId312" Type="http://schemas.openxmlformats.org/officeDocument/2006/relationships/hyperlink" Target="https://aijourn.com/top-ai-driven-amazon-marketing-agencies-in-germany-2026/" TargetMode="External"/><Relationship Id="rId311" Type="http://schemas.openxmlformats.org/officeDocument/2006/relationships/hyperlink" Target="http://semrush.com" TargetMode="External"/><Relationship Id="rId310" Type="http://schemas.openxmlformats.org/officeDocument/2006/relationships/hyperlink" Target="https://agencies.semrush.com/list/ai-optimization/germany/small-business/" TargetMode="External"/><Relationship Id="rId297" Type="http://schemas.openxmlformats.org/officeDocument/2006/relationships/hyperlink" Target="http://orm-tech.com" TargetMode="External"/><Relationship Id="rId296" Type="http://schemas.openxmlformats.org/officeDocument/2006/relationships/hyperlink" Target="https://orm-tech.com/blog/best-marketing-attribution-software/" TargetMode="External"/><Relationship Id="rId295" Type="http://schemas.openxmlformats.org/officeDocument/2006/relationships/hyperlink" Target="http://marketing-companies-in-germany.com" TargetMode="External"/><Relationship Id="rId294" Type="http://schemas.openxmlformats.org/officeDocument/2006/relationships/hyperlink" Target="https://www.marketing-companies-in-germany.com/google-ads" TargetMode="External"/><Relationship Id="rId299" Type="http://schemas.openxmlformats.org/officeDocument/2006/relationships/hyperlink" Target="http://rankshift.ai" TargetMode="External"/><Relationship Id="rId298" Type="http://schemas.openxmlformats.org/officeDocument/2006/relationships/hyperlink" Target="https://www.rankshift.ai/blog/best-geo-agencies/" TargetMode="External"/><Relationship Id="rId271" Type="http://schemas.openxmlformats.org/officeDocument/2006/relationships/hyperlink" Target="http://sortlist.com" TargetMode="External"/><Relationship Id="rId270" Type="http://schemas.openxmlformats.org/officeDocument/2006/relationships/hyperlink" Target="https://www.sortlist.com/i/advertising/germany-de" TargetMode="External"/><Relationship Id="rId269" Type="http://schemas.openxmlformats.org/officeDocument/2006/relationships/hyperlink" Target="https://mobian.studio/ai-consulting-companies-germany/" TargetMode="External"/><Relationship Id="rId264" Type="http://schemas.openxmlformats.org/officeDocument/2006/relationships/hyperlink" Target="http://semrush.com" TargetMode="External"/><Relationship Id="rId263" Type="http://schemas.openxmlformats.org/officeDocument/2006/relationships/hyperlink" Target="https://agencies.semrush.com/list/display-advertising/berlin/small-business/" TargetMode="External"/><Relationship Id="rId262" Type="http://schemas.openxmlformats.org/officeDocument/2006/relationships/hyperlink" Target="http://sortlist.com" TargetMode="External"/><Relationship Id="rId261" Type="http://schemas.openxmlformats.org/officeDocument/2006/relationships/hyperlink" Target="https://www.sortlist.com/s/performance-marketing/berlin-de" TargetMode="External"/><Relationship Id="rId268" Type="http://schemas.openxmlformats.org/officeDocument/2006/relationships/hyperlink" Target="http://hockeystack.com" TargetMode="External"/><Relationship Id="rId267" Type="http://schemas.openxmlformats.org/officeDocument/2006/relationships/hyperlink" Target="https://www.hockeystack.com/blog-posts/best-marketing-attribution-software" TargetMode="External"/><Relationship Id="rId266" Type="http://schemas.openxmlformats.org/officeDocument/2006/relationships/hyperlink" Target="http://ensun.io" TargetMode="External"/><Relationship Id="rId265" Type="http://schemas.openxmlformats.org/officeDocument/2006/relationships/hyperlink" Target="https://ensun.io/search/marketing-analytics/germany" TargetMode="External"/><Relationship Id="rId260" Type="http://schemas.openxmlformats.org/officeDocument/2006/relationships/hyperlink" Target="http://radigitalworld.com" TargetMode="External"/><Relationship Id="rId259" Type="http://schemas.openxmlformats.org/officeDocument/2006/relationships/hyperlink" Target="https://www.radigitalworld.com/2025/06/top-10-digital-marketing-agencies-in.html" TargetMode="External"/><Relationship Id="rId258" Type="http://schemas.openxmlformats.org/officeDocument/2006/relationships/hyperlink" Target="http://influencer-hero.com" TargetMode="External"/><Relationship Id="rId253" Type="http://schemas.openxmlformats.org/officeDocument/2006/relationships/hyperlink" Target="https://feedbax.ai/advertising" TargetMode="External"/><Relationship Id="rId252" Type="http://schemas.openxmlformats.org/officeDocument/2006/relationships/hyperlink" Target="http://digital-marketing-agencies.de" TargetMode="External"/><Relationship Id="rId251" Type="http://schemas.openxmlformats.org/officeDocument/2006/relationships/hyperlink" Target="https://digital-marketing-agencies.de/" TargetMode="External"/><Relationship Id="rId250" Type="http://schemas.openxmlformats.org/officeDocument/2006/relationships/hyperlink" Target="http://digipims.com" TargetMode="External"/><Relationship Id="rId257" Type="http://schemas.openxmlformats.org/officeDocument/2006/relationships/hyperlink" Target="https://www.influencer-hero.com/blogs/top-facebook-advertising-agencies-in-germany" TargetMode="External"/><Relationship Id="rId256" Type="http://schemas.openxmlformats.org/officeDocument/2006/relationships/hyperlink" Target="http://icoda.io" TargetMode="External"/><Relationship Id="rId255" Type="http://schemas.openxmlformats.org/officeDocument/2006/relationships/hyperlink" Target="https://icoda.io/ai/best-ai-seo-agency-germany/" TargetMode="External"/><Relationship Id="rId254" Type="http://schemas.openxmlformats.org/officeDocument/2006/relationships/hyperlink" Target="http://feedbax.ai" TargetMode="External"/><Relationship Id="rId293" Type="http://schemas.openxmlformats.org/officeDocument/2006/relationships/hyperlink" Target="http://lengreo.com" TargetMode="External"/><Relationship Id="rId292" Type="http://schemas.openxmlformats.org/officeDocument/2006/relationships/hyperlink" Target="https://lengreo.com/germany-dusseldorf-aeo-geo-llmo-companies/" TargetMode="External"/><Relationship Id="rId291" Type="http://schemas.openxmlformats.org/officeDocument/2006/relationships/hyperlink" Target="http://influencer-hero.com" TargetMode="External"/><Relationship Id="rId290" Type="http://schemas.openxmlformats.org/officeDocument/2006/relationships/hyperlink" Target="https://www.influencer-hero.com/it/blogs/top-facebook-advertising-agencies-in-germany" TargetMode="External"/><Relationship Id="rId286" Type="http://schemas.openxmlformats.org/officeDocument/2006/relationships/hyperlink" Target="https://www.influencer-hero.com/fr/blogs/top-10-creative-agencies-in-germany" TargetMode="External"/><Relationship Id="rId285" Type="http://schemas.openxmlformats.org/officeDocument/2006/relationships/hyperlink" Target="http://gaper.io" TargetMode="External"/><Relationship Id="rId284" Type="http://schemas.openxmlformats.org/officeDocument/2006/relationships/hyperlink" Target="https://gaper.io/best-aeo-agencies" TargetMode="External"/><Relationship Id="rId283" Type="http://schemas.openxmlformats.org/officeDocument/2006/relationships/hyperlink" Target="http://founderpal.ai" TargetMode="External"/><Relationship Id="rId289" Type="http://schemas.openxmlformats.org/officeDocument/2006/relationships/hyperlink" Target="http://influencer-hero.com" TargetMode="External"/><Relationship Id="rId288" Type="http://schemas.openxmlformats.org/officeDocument/2006/relationships/hyperlink" Target="https://www.influencer-hero.com/it/blogs/top-10-creative-agencies-in-germany" TargetMode="External"/><Relationship Id="rId287" Type="http://schemas.openxmlformats.org/officeDocument/2006/relationships/hyperlink" Target="http://influencer-hero.com" TargetMode="External"/><Relationship Id="rId282" Type="http://schemas.openxmlformats.org/officeDocument/2006/relationships/hyperlink" Target="https://founderpal.ai/best-marketing-agencies/germany" TargetMode="External"/><Relationship Id="rId281" Type="http://schemas.openxmlformats.org/officeDocument/2006/relationships/hyperlink" Target="http://dreikon.de" TargetMode="External"/><Relationship Id="rId280" Type="http://schemas.openxmlformats.org/officeDocument/2006/relationships/hyperlink" Target="https://www.dreikon.de/en/news/online-marketing-knowledge/top-10-google-ads-agencies/" TargetMode="External"/><Relationship Id="rId275" Type="http://schemas.openxmlformats.org/officeDocument/2006/relationships/hyperlink" Target="http://aeoagency.org" TargetMode="External"/><Relationship Id="rId274" Type="http://schemas.openxmlformats.org/officeDocument/2006/relationships/hyperlink" Target="https://aeoagency.org/best-aeo-agencies/" TargetMode="External"/><Relationship Id="rId273" Type="http://schemas.openxmlformats.org/officeDocument/2006/relationships/hyperlink" Target="http://youtube.com" TargetMode="External"/><Relationship Id="rId272" Type="http://schemas.openxmlformats.org/officeDocument/2006/relationships/hyperlink" Target="https://www.youtube.com/watch?v=iUNdeZPBkbk" TargetMode="External"/><Relationship Id="rId279" Type="http://schemas.openxmlformats.org/officeDocument/2006/relationships/hyperlink" Target="http://clutch.co" TargetMode="External"/><Relationship Id="rId278" Type="http://schemas.openxmlformats.org/officeDocument/2006/relationships/hyperlink" Target="https://clutch.co/de/consulting/ai?page=1" TargetMode="External"/><Relationship Id="rId277" Type="http://schemas.openxmlformats.org/officeDocument/2006/relationships/hyperlink" Target="http://semrush.com" TargetMode="External"/><Relationship Id="rId276" Type="http://schemas.openxmlformats.org/officeDocument/2006/relationships/hyperlink" Target="https://agencies.semrush.com/list/ai-optimization/germany/mid-business/" TargetMode="External"/><Relationship Id="rId1059" Type="http://schemas.openxmlformats.org/officeDocument/2006/relationships/hyperlink" Target="http://marketerhire.com" TargetMode="External"/><Relationship Id="rId228" Type="http://schemas.openxmlformats.org/officeDocument/2006/relationships/hyperlink" Target="http://hikemytraffic.com" TargetMode="External"/><Relationship Id="rId227" Type="http://schemas.openxmlformats.org/officeDocument/2006/relationships/hyperlink" Target="https://hikemytraffic.com/ai-digital-marketing-companies-in-germany/" TargetMode="External"/><Relationship Id="rId226" Type="http://schemas.openxmlformats.org/officeDocument/2006/relationships/hyperlink" Target="http://ensun.io" TargetMode="External"/><Relationship Id="rId225" Type="http://schemas.openxmlformats.org/officeDocument/2006/relationships/hyperlink" Target="https://ensun.io/search/ai-marketing/germany" TargetMode="External"/><Relationship Id="rId229" Type="http://schemas.openxmlformats.org/officeDocument/2006/relationships/hyperlink" Target="https://indeedseo.com/directories/ai-marketing-agencies-germany/" TargetMode="External"/><Relationship Id="rId1050" Type="http://schemas.openxmlformats.org/officeDocument/2006/relationships/hyperlink" Target="https://www.lyfemarketing.com/blog/top-performance-marketing-agencies-us/" TargetMode="External"/><Relationship Id="rId220" Type="http://schemas.openxmlformats.org/officeDocument/2006/relationships/hyperlink" Target="http://clutch.co" TargetMode="External"/><Relationship Id="rId1051" Type="http://schemas.openxmlformats.org/officeDocument/2006/relationships/hyperlink" Target="http://lyfemarketing.com" TargetMode="External"/><Relationship Id="rId1052" Type="http://schemas.openxmlformats.org/officeDocument/2006/relationships/hyperlink" Target="https://madebyevoke.com/blog/top-web-design-agencies-berlin" TargetMode="External"/><Relationship Id="rId1053" Type="http://schemas.openxmlformats.org/officeDocument/2006/relationships/hyperlink" Target="http://madebyevoke.com" TargetMode="External"/><Relationship Id="rId1054" Type="http://schemas.openxmlformats.org/officeDocument/2006/relationships/hyperlink" Target="https://madgicx.com/blog/ai-powered-marketing-tools-performance-ads" TargetMode="External"/><Relationship Id="rId224" Type="http://schemas.openxmlformats.org/officeDocument/2006/relationships/hyperlink" Target="http://digiscorp.com" TargetMode="External"/><Relationship Id="rId1055" Type="http://schemas.openxmlformats.org/officeDocument/2006/relationships/hyperlink" Target="http://madgicx.com" TargetMode="External"/><Relationship Id="rId223" Type="http://schemas.openxmlformats.org/officeDocument/2006/relationships/hyperlink" Target="https://digiscorp.com/top-ai-consulting-companies-in-berlin/" TargetMode="External"/><Relationship Id="rId1056" Type="http://schemas.openxmlformats.org/officeDocument/2006/relationships/hyperlink" Target="https://www.magier.com/blog/best-creative-agency" TargetMode="External"/><Relationship Id="rId222" Type="http://schemas.openxmlformats.org/officeDocument/2006/relationships/hyperlink" Target="http://clutch.co" TargetMode="External"/><Relationship Id="rId1057" Type="http://schemas.openxmlformats.org/officeDocument/2006/relationships/hyperlink" Target="http://magier.com" TargetMode="External"/><Relationship Id="rId221" Type="http://schemas.openxmlformats.org/officeDocument/2006/relationships/hyperlink" Target="https://clutch.co/de/agencies/ppc" TargetMode="External"/><Relationship Id="rId1058" Type="http://schemas.openxmlformats.org/officeDocument/2006/relationships/hyperlink" Target="https://marketerhire.com/blog/ai-content-marketing-tools" TargetMode="External"/><Relationship Id="rId1048" Type="http://schemas.openxmlformats.org/officeDocument/2006/relationships/hyperlink" Target="https://lunarailab.com/blog/2026/03/04/top-5-ai-agent-adoption-agencies-in-2026/" TargetMode="External"/><Relationship Id="rId1049" Type="http://schemas.openxmlformats.org/officeDocument/2006/relationships/hyperlink" Target="http://lunarailab.com" TargetMode="External"/><Relationship Id="rId217" Type="http://schemas.openxmlformats.org/officeDocument/2006/relationships/hyperlink" Target="https://agencies.semrush.com/list/display-advertising/ecommerce/germany/small-business/" TargetMode="External"/><Relationship Id="rId216" Type="http://schemas.openxmlformats.org/officeDocument/2006/relationships/hyperlink" Target="http://themanifest.com" TargetMode="External"/><Relationship Id="rId215" Type="http://schemas.openxmlformats.org/officeDocument/2006/relationships/hyperlink" Target="https://themanifest.com/de/creative/agencies" TargetMode="External"/><Relationship Id="rId214" Type="http://schemas.openxmlformats.org/officeDocument/2006/relationships/hyperlink" Target="http://superbcompanies.com" TargetMode="External"/><Relationship Id="rId219" Type="http://schemas.openxmlformats.org/officeDocument/2006/relationships/hyperlink" Target="https://clutch.co/de/agencies/branding" TargetMode="External"/><Relationship Id="rId218" Type="http://schemas.openxmlformats.org/officeDocument/2006/relationships/hyperlink" Target="http://semrush.com" TargetMode="External"/><Relationship Id="rId1040" Type="http://schemas.openxmlformats.org/officeDocument/2006/relationships/hyperlink" Target="http://lengreo.com" TargetMode="External"/><Relationship Id="rId1041" Type="http://schemas.openxmlformats.org/officeDocument/2006/relationships/hyperlink" Target="https://www.leonar.app/blog/gem-alternatives/" TargetMode="External"/><Relationship Id="rId1042" Type="http://schemas.openxmlformats.org/officeDocument/2006/relationships/hyperlink" Target="https://lifesight.io/blog/marketing-mix-modeling-software/" TargetMode="External"/><Relationship Id="rId1043" Type="http://schemas.openxmlformats.org/officeDocument/2006/relationships/hyperlink" Target="http://lifesight.io" TargetMode="External"/><Relationship Id="rId213" Type="http://schemas.openxmlformats.org/officeDocument/2006/relationships/hyperlink" Target="https://superbcompanies.com/categories/creative-agencies-in-germany/" TargetMode="External"/><Relationship Id="rId1044" Type="http://schemas.openxmlformats.org/officeDocument/2006/relationships/hyperlink" Target="https://www.linkedin.com/pulse/google-ads-marketing-companies-farhan-ali-tbtwf" TargetMode="External"/><Relationship Id="rId212" Type="http://schemas.openxmlformats.org/officeDocument/2006/relationships/hyperlink" Target="http://slashdot.org" TargetMode="External"/><Relationship Id="rId1045" Type="http://schemas.openxmlformats.org/officeDocument/2006/relationships/hyperlink" Target="http://linkedin.com" TargetMode="External"/><Relationship Id="rId211" Type="http://schemas.openxmlformats.org/officeDocument/2006/relationships/hyperlink" Target="https://slashdot.org/software/marketing-attribution/in-germany/" TargetMode="External"/><Relationship Id="rId1046" Type="http://schemas.openxmlformats.org/officeDocument/2006/relationships/hyperlink" Target="https://www.linkedin.com/pulse/top-15-performance-marketing-companies-clutch-global-spring-kbaae" TargetMode="External"/><Relationship Id="rId210" Type="http://schemas.openxmlformats.org/officeDocument/2006/relationships/hyperlink" Target="http://silicon.de" TargetMode="External"/><Relationship Id="rId1047" Type="http://schemas.openxmlformats.org/officeDocument/2006/relationships/hyperlink" Target="http://linkedin.com" TargetMode="External"/><Relationship Id="rId249" Type="http://schemas.openxmlformats.org/officeDocument/2006/relationships/hyperlink" Target="https://www.digipims.com/social-media-marketing-agencies-in-germany/" TargetMode="External"/><Relationship Id="rId248" Type="http://schemas.openxmlformats.org/officeDocument/2006/relationships/hyperlink" Target="http://clutch.co" TargetMode="External"/><Relationship Id="rId247" Type="http://schemas.openxmlformats.org/officeDocument/2006/relationships/hyperlink" Target="https://clutch.co/de/consulting/ai/deployment" TargetMode="External"/><Relationship Id="rId1070" Type="http://schemas.openxmlformats.org/officeDocument/2006/relationships/hyperlink" Target="https://mingma.io/journal/best-ai-automation-agencies-mid-market/" TargetMode="External"/><Relationship Id="rId1071" Type="http://schemas.openxmlformats.org/officeDocument/2006/relationships/hyperlink" Target="http://mingma.io" TargetMode="External"/><Relationship Id="rId1072" Type="http://schemas.openxmlformats.org/officeDocument/2006/relationships/hyperlink" Target="https://www.mintcopywritingstudios.com/blog/ai-search-optimization-geo-agencies" TargetMode="External"/><Relationship Id="rId242" Type="http://schemas.openxmlformats.org/officeDocument/2006/relationships/hyperlink" Target="http://semrush.com" TargetMode="External"/><Relationship Id="rId1073" Type="http://schemas.openxmlformats.org/officeDocument/2006/relationships/hyperlink" Target="http://mintcopywritingstudios.com" TargetMode="External"/><Relationship Id="rId241" Type="http://schemas.openxmlformats.org/officeDocument/2006/relationships/hyperlink" Target="https://agencies.semrush.com/list/machine-learning-and-ai/germany/" TargetMode="External"/><Relationship Id="rId1074" Type="http://schemas.openxmlformats.org/officeDocument/2006/relationships/hyperlink" Target="https://www.mintzoro.com/ai-marketing-agency-in-germany/" TargetMode="External"/><Relationship Id="rId240" Type="http://schemas.openxmlformats.org/officeDocument/2006/relationships/hyperlink" Target="http://themanifest.com" TargetMode="External"/><Relationship Id="rId1075" Type="http://schemas.openxmlformats.org/officeDocument/2006/relationships/hyperlink" Target="http://mintzoro.com" TargetMode="External"/><Relationship Id="rId1076" Type="http://schemas.openxmlformats.org/officeDocument/2006/relationships/hyperlink" Target="https://minuttia.com/best-aeo-agencies/" TargetMode="External"/><Relationship Id="rId246" Type="http://schemas.openxmlformats.org/officeDocument/2006/relationships/hyperlink" Target="http://clutch.co" TargetMode="External"/><Relationship Id="rId1077" Type="http://schemas.openxmlformats.org/officeDocument/2006/relationships/hyperlink" Target="http://minuttia.com" TargetMode="External"/><Relationship Id="rId245" Type="http://schemas.openxmlformats.org/officeDocument/2006/relationships/hyperlink" Target="https://clutch.co/de/agencies/conversion-optimization" TargetMode="External"/><Relationship Id="rId1078" Type="http://schemas.openxmlformats.org/officeDocument/2006/relationships/hyperlink" Target="https://modall.ca/blog/top-ai-software-development-integration-agencies" TargetMode="External"/><Relationship Id="rId244" Type="http://schemas.openxmlformats.org/officeDocument/2006/relationships/hyperlink" Target="http://awisee.com" TargetMode="External"/><Relationship Id="rId1079" Type="http://schemas.openxmlformats.org/officeDocument/2006/relationships/hyperlink" Target="http://modall.ca" TargetMode="External"/><Relationship Id="rId243" Type="http://schemas.openxmlformats.org/officeDocument/2006/relationships/hyperlink" Target="https://awisee.com/blog/social-media-agencies-germany/" TargetMode="External"/><Relationship Id="rId239" Type="http://schemas.openxmlformats.org/officeDocument/2006/relationships/hyperlink" Target="https://themanifest.com/de/digital-marketing/agencies" TargetMode="External"/><Relationship Id="rId238" Type="http://schemas.openxmlformats.org/officeDocument/2006/relationships/hyperlink" Target="http://tech-now.io" TargetMode="External"/><Relationship Id="rId237" Type="http://schemas.openxmlformats.org/officeDocument/2006/relationships/hyperlink" Target="https://tech-now.io/en/blogs/top-10-best-e-commerce-seo-agencies-in-germany/" TargetMode="External"/><Relationship Id="rId236" Type="http://schemas.openxmlformats.org/officeDocument/2006/relationships/hyperlink" Target="http://sortlist.com" TargetMode="External"/><Relationship Id="rId1060" Type="http://schemas.openxmlformats.org/officeDocument/2006/relationships/hyperlink" Target="https://www.marketingattributionsoftware.com/" TargetMode="External"/><Relationship Id="rId1061" Type="http://schemas.openxmlformats.org/officeDocument/2006/relationships/hyperlink" Target="http://marketingattributionsoftware.com" TargetMode="External"/><Relationship Id="rId231" Type="http://schemas.openxmlformats.org/officeDocument/2006/relationships/hyperlink" Target="https://www.openpr.com/news/4378626/these-are-the-top-10-seo-geo-agencies-in-germany" TargetMode="External"/><Relationship Id="rId1062" Type="http://schemas.openxmlformats.org/officeDocument/2006/relationships/hyperlink" Target="https://www.markt-kom.com/en/dexat/adc-kreativranking-das-sind-deutschlands-top-agenturen/" TargetMode="External"/><Relationship Id="rId230" Type="http://schemas.openxmlformats.org/officeDocument/2006/relationships/hyperlink" Target="http://indeedseo.com" TargetMode="External"/><Relationship Id="rId1063" Type="http://schemas.openxmlformats.org/officeDocument/2006/relationships/hyperlink" Target="http://markt-kom.com" TargetMode="External"/><Relationship Id="rId1064" Type="http://schemas.openxmlformats.org/officeDocument/2006/relationships/hyperlink" Target="https://www.measured.com/faq/top-11-best-media-mix-modeling-companies-software-for-2026/" TargetMode="External"/><Relationship Id="rId1065" Type="http://schemas.openxmlformats.org/officeDocument/2006/relationships/hyperlink" Target="http://measured.com" TargetMode="External"/><Relationship Id="rId235" Type="http://schemas.openxmlformats.org/officeDocument/2006/relationships/hyperlink" Target="https://www.sortlist.com/s/attribution-marketing/germany-de" TargetMode="External"/><Relationship Id="rId1066" Type="http://schemas.openxmlformats.org/officeDocument/2006/relationships/hyperlink" Target="https://metehan.ai/articles/best-aeo-geo-agencies/" TargetMode="External"/><Relationship Id="rId234" Type="http://schemas.openxmlformats.org/officeDocument/2006/relationships/hyperlink" Target="http://sortlist.com" TargetMode="External"/><Relationship Id="rId1067" Type="http://schemas.openxmlformats.org/officeDocument/2006/relationships/hyperlink" Target="http://metehan.ai" TargetMode="External"/><Relationship Id="rId233" Type="http://schemas.openxmlformats.org/officeDocument/2006/relationships/hyperlink" Target="https://www.sortlist.com/s/attribution-marketing/berlin-de" TargetMode="External"/><Relationship Id="rId1068" Type="http://schemas.openxmlformats.org/officeDocument/2006/relationships/hyperlink" Target="https://mingma.io/compare/ai-automation-agencies/" TargetMode="External"/><Relationship Id="rId232" Type="http://schemas.openxmlformats.org/officeDocument/2006/relationships/hyperlink" Target="http://openpr.com" TargetMode="External"/><Relationship Id="rId1069" Type="http://schemas.openxmlformats.org/officeDocument/2006/relationships/hyperlink" Target="http://mingma.io" TargetMode="External"/><Relationship Id="rId1015" Type="http://schemas.openxmlformats.org/officeDocument/2006/relationships/hyperlink" Target="https://www.hustlermarketing.com/best-email-marketing-agencies-2026-comparison-guide/" TargetMode="External"/><Relationship Id="rId1016" Type="http://schemas.openxmlformats.org/officeDocument/2006/relationships/hyperlink" Target="http://hustlermarketing.com" TargetMode="External"/><Relationship Id="rId1017" Type="http://schemas.openxmlformats.org/officeDocument/2006/relationships/hyperlink" Target="https://icoda.io/de/ai/best-ai-digital-marketing-agencies/" TargetMode="External"/><Relationship Id="rId1018" Type="http://schemas.openxmlformats.org/officeDocument/2006/relationships/hyperlink" Target="http://icoda.io" TargetMode="External"/><Relationship Id="rId1019" Type="http://schemas.openxmlformats.org/officeDocument/2006/relationships/hyperlink" Target="https://www.inbeat.co/articles/top-performance-marketing-agencies/" TargetMode="External"/><Relationship Id="rId1010" Type="http://schemas.openxmlformats.org/officeDocument/2006/relationships/hyperlink" Target="http://hirefrontenddeveloperindia.com" TargetMode="External"/><Relationship Id="rId1011" Type="http://schemas.openxmlformats.org/officeDocument/2006/relationships/hyperlink" Target="https://hourlydeveloper.io/blog/best-ai-powered-machine-learning-development-firms-in-germany" TargetMode="External"/><Relationship Id="rId1012" Type="http://schemas.openxmlformats.org/officeDocument/2006/relationships/hyperlink" Target="http://hourlydeveloper.io" TargetMode="External"/><Relationship Id="rId1013" Type="http://schemas.openxmlformats.org/officeDocument/2006/relationships/hyperlink" Target="https://www.housesofgrowth.com/post/ai-digital-marketing-agencies" TargetMode="External"/><Relationship Id="rId1014" Type="http://schemas.openxmlformats.org/officeDocument/2006/relationships/hyperlink" Target="http://housesofgrowth.com" TargetMode="External"/><Relationship Id="rId1004" Type="http://schemas.openxmlformats.org/officeDocument/2006/relationships/hyperlink" Target="http://heydigital.co" TargetMode="External"/><Relationship Id="rId1005" Type="http://schemas.openxmlformats.org/officeDocument/2006/relationships/hyperlink" Target="https://higoodie.com/blog/ai-search-visibility-services/" TargetMode="External"/><Relationship Id="rId1006" Type="http://schemas.openxmlformats.org/officeDocument/2006/relationships/hyperlink" Target="http://higoodie.com" TargetMode="External"/><Relationship Id="rId1007" Type="http://schemas.openxmlformats.org/officeDocument/2006/relationships/hyperlink" Target="https://hikemytraffic.com/ppc-agencies-in-germany/" TargetMode="External"/><Relationship Id="rId1008" Type="http://schemas.openxmlformats.org/officeDocument/2006/relationships/hyperlink" Target="http://hikemytraffic.com" TargetMode="External"/><Relationship Id="rId1009" Type="http://schemas.openxmlformats.org/officeDocument/2006/relationships/hyperlink" Target="https://www.hirefrontenddeveloperindia.com/best-ai-powered-frontend-development-companies-italy" TargetMode="External"/><Relationship Id="rId1000" Type="http://schemas.openxmlformats.org/officeDocument/2006/relationships/hyperlink" Target="http://herohunt.ai" TargetMode="External"/><Relationship Id="rId1001" Type="http://schemas.openxmlformats.org/officeDocument/2006/relationships/hyperlink" Target="https://www.heydigital.co/blog/best-saas-performance-marketing-agencies" TargetMode="External"/><Relationship Id="rId1002" Type="http://schemas.openxmlformats.org/officeDocument/2006/relationships/hyperlink" Target="http://heydigital.co" TargetMode="External"/><Relationship Id="rId1003" Type="http://schemas.openxmlformats.org/officeDocument/2006/relationships/hyperlink" Target="https://www.heydigital.co/blog/saas-marketing-agencies" TargetMode="External"/><Relationship Id="rId1037" Type="http://schemas.openxmlformats.org/officeDocument/2006/relationships/hyperlink" Target="https://www.leewayhertz.com/top-enterprise-ai-development-companies/" TargetMode="External"/><Relationship Id="rId1038" Type="http://schemas.openxmlformats.org/officeDocument/2006/relationships/hyperlink" Target="http://leewayhertz.com" TargetMode="External"/><Relationship Id="rId1039" Type="http://schemas.openxmlformats.org/officeDocument/2006/relationships/hyperlink" Target="https://lengreo.com/germany-leipzig-aeo-geo-llmo-companies/" TargetMode="External"/><Relationship Id="rId206" Type="http://schemas.openxmlformats.org/officeDocument/2006/relationships/hyperlink" Target="https://oski.site/blog/ai-consulting-companies-germany/" TargetMode="External"/><Relationship Id="rId205" Type="http://schemas.openxmlformats.org/officeDocument/2006/relationships/hyperlink" Target="http://aisuperior.com" TargetMode="External"/><Relationship Id="rId204" Type="http://schemas.openxmlformats.org/officeDocument/2006/relationships/hyperlink" Target="https://aisuperior.com/ai-consulting-companies-in-germany/" TargetMode="External"/><Relationship Id="rId203" Type="http://schemas.openxmlformats.org/officeDocument/2006/relationships/hyperlink" Target="http://semrush.com" TargetMode="External"/><Relationship Id="rId209" Type="http://schemas.openxmlformats.org/officeDocument/2006/relationships/hyperlink" Target="https://www.silicon.de/41722409/geo-agentur-vergleich-empfehlungen-beste-15-geo-agenturen-2026" TargetMode="External"/><Relationship Id="rId208" Type="http://schemas.openxmlformats.org/officeDocument/2006/relationships/hyperlink" Target="http://segmentstream.com" TargetMode="External"/><Relationship Id="rId207" Type="http://schemas.openxmlformats.org/officeDocument/2006/relationships/hyperlink" Target="https://segmentstream.com/blog/articles/top-10-incrementality-testing-tools" TargetMode="External"/><Relationship Id="rId1030" Type="http://schemas.openxmlformats.org/officeDocument/2006/relationships/hyperlink" Target="http://intellectyx.com" TargetMode="External"/><Relationship Id="rId1031" Type="http://schemas.openxmlformats.org/officeDocument/2006/relationships/hyperlink" Target="https://invademarketing.com/best-rated-media-planning-agencies-in-performance-marketing/" TargetMode="External"/><Relationship Id="rId1032" Type="http://schemas.openxmlformats.org/officeDocument/2006/relationships/hyperlink" Target="http://invademarketing.com" TargetMode="External"/><Relationship Id="rId202" Type="http://schemas.openxmlformats.org/officeDocument/2006/relationships/hyperlink" Target="https://agencies.semrush.com/list/display-advertising/germany/" TargetMode="External"/><Relationship Id="rId1033" Type="http://schemas.openxmlformats.org/officeDocument/2006/relationships/hyperlink" Target="https://www.kingfluencers.com/en/blog/top-50-social-media-agenturen-in-europa-in-2025" TargetMode="External"/><Relationship Id="rId201" Type="http://schemas.openxmlformats.org/officeDocument/2006/relationships/hyperlink" Target="http://adbeacon.com" TargetMode="External"/><Relationship Id="rId1034" Type="http://schemas.openxmlformats.org/officeDocument/2006/relationships/hyperlink" Target="http://kingfluencers.com" TargetMode="External"/><Relationship Id="rId200" Type="http://schemas.openxmlformats.org/officeDocument/2006/relationships/hyperlink" Target="https://www.adbeacon.com/7-best-marketing-attribution-tools-compared-2026/" TargetMode="External"/><Relationship Id="rId1035" Type="http://schemas.openxmlformats.org/officeDocument/2006/relationships/hyperlink" Target="https://kunalkankaria.com/best-ai-consultant-germany/" TargetMode="External"/><Relationship Id="rId1036" Type="http://schemas.openxmlformats.org/officeDocument/2006/relationships/hyperlink" Target="http://kunalkankaria.com" TargetMode="External"/><Relationship Id="rId1026" Type="http://schemas.openxmlformats.org/officeDocument/2006/relationships/hyperlink" Target="http://influencer-hero.com" TargetMode="External"/><Relationship Id="rId1027" Type="http://schemas.openxmlformats.org/officeDocument/2006/relationships/hyperlink" Target="https://influencermarketinghub.com/de/social-media-marketing-agenturen/" TargetMode="External"/><Relationship Id="rId1028" Type="http://schemas.openxmlformats.org/officeDocument/2006/relationships/hyperlink" Target="http://influencermarketinghub.com" TargetMode="External"/><Relationship Id="rId1029" Type="http://schemas.openxmlformats.org/officeDocument/2006/relationships/hyperlink" Target="https://www.intellectyx.com/ai-agent-development-companies-in-usa/" TargetMode="External"/><Relationship Id="rId1020" Type="http://schemas.openxmlformats.org/officeDocument/2006/relationships/hyperlink" Target="http://inbeat.co" TargetMode="External"/><Relationship Id="rId1021" Type="http://schemas.openxmlformats.org/officeDocument/2006/relationships/hyperlink" Target="https://www.incrmntal.com/resources/incrementality-software" TargetMode="External"/><Relationship Id="rId1022" Type="http://schemas.openxmlformats.org/officeDocument/2006/relationships/hyperlink" Target="http://incrmntal.com" TargetMode="External"/><Relationship Id="rId1023" Type="http://schemas.openxmlformats.org/officeDocument/2006/relationships/hyperlink" Target="https://www.influencer-hero.com/de/blogs/top-digital-marketing-agencies-in-germany" TargetMode="External"/><Relationship Id="rId1024" Type="http://schemas.openxmlformats.org/officeDocument/2006/relationships/hyperlink" Target="http://influencer-hero.com" TargetMode="External"/><Relationship Id="rId1025" Type="http://schemas.openxmlformats.org/officeDocument/2006/relationships/hyperlink" Target="https://www.influencer-hero.com/fr/blogs/top-advertising-agencies-in-germany" TargetMode="External"/><Relationship Id="rId1090" Type="http://schemas.openxmlformats.org/officeDocument/2006/relationships/hyperlink" Target="https://ninjapromo.io/best-ai-marketing-agencies" TargetMode="External"/><Relationship Id="rId1091" Type="http://schemas.openxmlformats.org/officeDocument/2006/relationships/hyperlink" Target="http://ninjapromo.io" TargetMode="External"/><Relationship Id="rId1092" Type="http://schemas.openxmlformats.org/officeDocument/2006/relationships/hyperlink" Target="https://nogood.io/blog/performance-marketing-agencies/" TargetMode="External"/><Relationship Id="rId1093" Type="http://schemas.openxmlformats.org/officeDocument/2006/relationships/hyperlink" Target="http://nogood.io" TargetMode="External"/><Relationship Id="rId1094" Type="http://schemas.openxmlformats.org/officeDocument/2006/relationships/hyperlink" Target="https://www.novusvistatech.com/blog/digital-transformation-companies.html" TargetMode="External"/><Relationship Id="rId1095" Type="http://schemas.openxmlformats.org/officeDocument/2006/relationships/hyperlink" Target="http://novusvistatech.com" TargetMode="External"/><Relationship Id="rId1096" Type="http://schemas.openxmlformats.org/officeDocument/2006/relationships/hyperlink" Target="https://www.nutshell.com/blog/top-geo-agencies" TargetMode="External"/><Relationship Id="rId1097" Type="http://schemas.openxmlformats.org/officeDocument/2006/relationships/hyperlink" Target="http://nutshell.com" TargetMode="External"/><Relationship Id="rId1098" Type="http://schemas.openxmlformats.org/officeDocument/2006/relationships/hyperlink" Target="https://oakpool.xyz/drift/top-10-geo-aeo-ai-search-agencies/" TargetMode="External"/><Relationship Id="rId1099" Type="http://schemas.openxmlformats.org/officeDocument/2006/relationships/hyperlink" Target="http://oakpool.xyz" TargetMode="External"/><Relationship Id="rId1080" Type="http://schemas.openxmlformats.org/officeDocument/2006/relationships/hyperlink" Target="https://www.munro.agency/top-10-paid-media-agencies/" TargetMode="External"/><Relationship Id="rId1081" Type="http://schemas.openxmlformats.org/officeDocument/2006/relationships/hyperlink" Target="https://www.munro.agency/top-marketing-data-science-agencies/" TargetMode="External"/><Relationship Id="rId1082" Type="http://schemas.openxmlformats.org/officeDocument/2006/relationships/hyperlink" Target="https://nativz.io/best-ai-seo-tools-2025-top-10-platforms-for-aeo-chatgpt-llm-visibility/" TargetMode="External"/><Relationship Id="rId1083" Type="http://schemas.openxmlformats.org/officeDocument/2006/relationships/hyperlink" Target="http://nativz.io" TargetMode="External"/><Relationship Id="rId1084" Type="http://schemas.openxmlformats.org/officeDocument/2006/relationships/hyperlink" Target="https://nealschaffer.com/ai-marketing-agency/" TargetMode="External"/><Relationship Id="rId1085" Type="http://schemas.openxmlformats.org/officeDocument/2006/relationships/hyperlink" Target="http://nealschaffer.com" TargetMode="External"/><Relationship Id="rId1086" Type="http://schemas.openxmlformats.org/officeDocument/2006/relationships/hyperlink" Target="https://nealschaffer.com/digital-marketing-agencies/" TargetMode="External"/><Relationship Id="rId1087" Type="http://schemas.openxmlformats.org/officeDocument/2006/relationships/hyperlink" Target="http://nealschaffer.com" TargetMode="External"/><Relationship Id="rId1088" Type="http://schemas.openxmlformats.org/officeDocument/2006/relationships/hyperlink" Target="https://www.nikaconsulting.co.nz/advertising-agencies-auckland/" TargetMode="External"/><Relationship Id="rId1089" Type="http://schemas.openxmlformats.org/officeDocument/2006/relationships/hyperlink" Target="http://nikaconsulting.co.nz" TargetMode="External"/><Relationship Id="rId509" Type="http://schemas.openxmlformats.org/officeDocument/2006/relationships/hyperlink" Target="https://www.werbeagentur.de/en/scoring/ab-testing" TargetMode="External"/><Relationship Id="rId508" Type="http://schemas.openxmlformats.org/officeDocument/2006/relationships/hyperlink" Target="http://werbeagentur.de" TargetMode="External"/><Relationship Id="rId503" Type="http://schemas.openxmlformats.org/officeDocument/2006/relationships/hyperlink" Target="https://thatware.co/top-10-geo-companies-in-germany/" TargetMode="External"/><Relationship Id="rId502" Type="http://schemas.openxmlformats.org/officeDocument/2006/relationships/hyperlink" Target="http://sortlist.com" TargetMode="External"/><Relationship Id="rId501" Type="http://schemas.openxmlformats.org/officeDocument/2006/relationships/hyperlink" Target="https://www.sortlist.com/s/marketing-analytics/berlin-de" TargetMode="External"/><Relationship Id="rId500" Type="http://schemas.openxmlformats.org/officeDocument/2006/relationships/hyperlink" Target="http://sortlist.com" TargetMode="External"/><Relationship Id="rId507" Type="http://schemas.openxmlformats.org/officeDocument/2006/relationships/hyperlink" Target="https://www.werbeagentur.de/de/scoring/performance-marketing" TargetMode="External"/><Relationship Id="rId506" Type="http://schemas.openxmlformats.org/officeDocument/2006/relationships/hyperlink" Target="http://threebestrated.de" TargetMode="External"/><Relationship Id="rId505" Type="http://schemas.openxmlformats.org/officeDocument/2006/relationships/hyperlink" Target="https://threebestrated.de/advertising-agencies-in-munich" TargetMode="External"/><Relationship Id="rId504" Type="http://schemas.openxmlformats.org/officeDocument/2006/relationships/hyperlink" Target="http://thatware.co" TargetMode="External"/><Relationship Id="rId1114" Type="http://schemas.openxmlformats.org/officeDocument/2006/relationships/hyperlink" Target="https://www.outrightcrm.com/blog/roi-focused-digital-marketing-agencies/" TargetMode="External"/><Relationship Id="rId1115" Type="http://schemas.openxmlformats.org/officeDocument/2006/relationships/hyperlink" Target="http://outrightcrm.com" TargetMode="External"/><Relationship Id="rId1116" Type="http://schemas.openxmlformats.org/officeDocument/2006/relationships/hyperlink" Target="https://p3adaptive.com/the-10-best-ai-consulting-companies-for-enterprise-in-2026/" TargetMode="External"/><Relationship Id="rId1117" Type="http://schemas.openxmlformats.org/officeDocument/2006/relationships/hyperlink" Target="http://p3adaptive.com" TargetMode="External"/><Relationship Id="rId1118" Type="http://schemas.openxmlformats.org/officeDocument/2006/relationships/hyperlink" Target="https://pikaseo.com/articles/best-ai-seo-agencies" TargetMode="External"/><Relationship Id="rId1119" Type="http://schemas.openxmlformats.org/officeDocument/2006/relationships/hyperlink" Target="http://pikaseo.com" TargetMode="External"/><Relationship Id="rId525" Type="http://schemas.openxmlformats.org/officeDocument/2006/relationships/hyperlink" Target="https://agencies.semrush.com/list/display-advertising/arts-entertainment/germany/" TargetMode="External"/><Relationship Id="rId524" Type="http://schemas.openxmlformats.org/officeDocument/2006/relationships/hyperlink" Target="http://semrush.com" TargetMode="External"/><Relationship Id="rId523" Type="http://schemas.openxmlformats.org/officeDocument/2006/relationships/hyperlink" Target="https://agencies.semrush.com/list/content-marketing/business-professional-services/germany/" TargetMode="External"/><Relationship Id="rId522" Type="http://schemas.openxmlformats.org/officeDocument/2006/relationships/hyperlink" Target="http://semrush.com" TargetMode="External"/><Relationship Id="rId529" Type="http://schemas.openxmlformats.org/officeDocument/2006/relationships/hyperlink" Target="https://agencies.semrush.com/list/display-advertising/germany/enterprise-business/" TargetMode="External"/><Relationship Id="rId528" Type="http://schemas.openxmlformats.org/officeDocument/2006/relationships/hyperlink" Target="http://semrush.com" TargetMode="External"/><Relationship Id="rId527" Type="http://schemas.openxmlformats.org/officeDocument/2006/relationships/hyperlink" Target="https://agencies.semrush.com/list/display-advertising/ecommerce/germany/mid-business/" TargetMode="External"/><Relationship Id="rId526" Type="http://schemas.openxmlformats.org/officeDocument/2006/relationships/hyperlink" Target="http://semrush.com" TargetMode="External"/><Relationship Id="rId521" Type="http://schemas.openxmlformats.org/officeDocument/2006/relationships/hyperlink" Target="https://agencies.semrush.com/list/ai-optimization/hamburg/" TargetMode="External"/><Relationship Id="rId1110" Type="http://schemas.openxmlformats.org/officeDocument/2006/relationships/hyperlink" Target="https://origami.chat/blog/best-ai-marketing-analytics-tools" TargetMode="External"/><Relationship Id="rId520" Type="http://schemas.openxmlformats.org/officeDocument/2006/relationships/hyperlink" Target="http://aeoagencyservices.com" TargetMode="External"/><Relationship Id="rId1111" Type="http://schemas.openxmlformats.org/officeDocument/2006/relationships/hyperlink" Target="https://oski.site/blog/analytics-strategy-consulting-companies-germany/" TargetMode="External"/><Relationship Id="rId1112" Type="http://schemas.openxmlformats.org/officeDocument/2006/relationships/hyperlink" Target="https://outreachz.com/blog/best-ai-marketing-agencies-2026/" TargetMode="External"/><Relationship Id="rId1113" Type="http://schemas.openxmlformats.org/officeDocument/2006/relationships/hyperlink" Target="http://outreachz.com" TargetMode="External"/><Relationship Id="rId1103" Type="http://schemas.openxmlformats.org/officeDocument/2006/relationships/hyperlink" Target="http://omr.com" TargetMode="External"/><Relationship Id="rId1104" Type="http://schemas.openxmlformats.org/officeDocument/2006/relationships/hyperlink" Target="https://www.onely.com/blog/best-b2b-seo-agencies/" TargetMode="External"/><Relationship Id="rId1105" Type="http://schemas.openxmlformats.org/officeDocument/2006/relationships/hyperlink" Target="http://onely.com" TargetMode="External"/><Relationship Id="rId1106" Type="http://schemas.openxmlformats.org/officeDocument/2006/relationships/hyperlink" Target="https://www.onely.com/blog/best-digital-marketing-agencies/" TargetMode="External"/><Relationship Id="rId1107" Type="http://schemas.openxmlformats.org/officeDocument/2006/relationships/hyperlink" Target="http://onely.com" TargetMode="External"/><Relationship Id="rId1108" Type="http://schemas.openxmlformats.org/officeDocument/2006/relationships/hyperlink" Target="https://www.openassistantgpt.io/blogs/aeo-geo-llm-ranking-tool-enterprise" TargetMode="External"/><Relationship Id="rId1109" Type="http://schemas.openxmlformats.org/officeDocument/2006/relationships/hyperlink" Target="http://openassistantgpt.io" TargetMode="External"/><Relationship Id="rId519" Type="http://schemas.openxmlformats.org/officeDocument/2006/relationships/hyperlink" Target="https://aeoagencyservices.com/aeo-agency-europe" TargetMode="External"/><Relationship Id="rId514" Type="http://schemas.openxmlformats.org/officeDocument/2006/relationships/hyperlink" Target="http://youtube.com" TargetMode="External"/><Relationship Id="rId513" Type="http://schemas.openxmlformats.org/officeDocument/2006/relationships/hyperlink" Target="https://www.youtube.com/watch?v=7pP2AGlSn50" TargetMode="External"/><Relationship Id="rId512" Type="http://schemas.openxmlformats.org/officeDocument/2006/relationships/hyperlink" Target="http://werbeagentur.de" TargetMode="External"/><Relationship Id="rId511" Type="http://schemas.openxmlformats.org/officeDocument/2006/relationships/hyperlink" Target="https://www.werbeagentur.de/en/scoring/performance-marketing" TargetMode="External"/><Relationship Id="rId518" Type="http://schemas.openxmlformats.org/officeDocument/2006/relationships/hyperlink" Target="http://zendikt.com" TargetMode="External"/><Relationship Id="rId517" Type="http://schemas.openxmlformats.org/officeDocument/2006/relationships/hyperlink" Target="https://www.zendikt.com/top-10-marketing-attribution-software/germany" TargetMode="External"/><Relationship Id="rId516" Type="http://schemas.openxmlformats.org/officeDocument/2006/relationships/hyperlink" Target="http://youtube.com" TargetMode="External"/><Relationship Id="rId515" Type="http://schemas.openxmlformats.org/officeDocument/2006/relationships/hyperlink" Target="https://www.youtube.com/watch?v=JmDHPizWIOA" TargetMode="External"/><Relationship Id="rId510" Type="http://schemas.openxmlformats.org/officeDocument/2006/relationships/hyperlink" Target="http://werbeagentur.de" TargetMode="External"/><Relationship Id="rId1100" Type="http://schemas.openxmlformats.org/officeDocument/2006/relationships/hyperlink" Target="https://omr.com/de/reviews/service-category/google-ads-agencies" TargetMode="External"/><Relationship Id="rId1101" Type="http://schemas.openxmlformats.org/officeDocument/2006/relationships/hyperlink" Target="http://omr.com" TargetMode="External"/><Relationship Id="rId1102" Type="http://schemas.openxmlformats.org/officeDocument/2006/relationships/hyperlink" Target="https://omr.com/de/reviews/service-category/performance-marketing-agenturen/berlin" TargetMode="External"/><Relationship Id="rId590" Type="http://schemas.openxmlformats.org/officeDocument/2006/relationships/hyperlink" Target="http://humandeluxe.com" TargetMode="External"/><Relationship Id="rId589" Type="http://schemas.openxmlformats.org/officeDocument/2006/relationships/hyperlink" Target="https://toolbox.humandeluxe.com/best-design-studios/" TargetMode="External"/><Relationship Id="rId588" Type="http://schemas.openxmlformats.org/officeDocument/2006/relationships/hyperlink" Target="http://themanifest.com" TargetMode="External"/><Relationship Id="rId1170" Type="http://schemas.openxmlformats.org/officeDocument/2006/relationships/hyperlink" Target="http://sellforte.com" TargetMode="External"/><Relationship Id="rId1171" Type="http://schemas.openxmlformats.org/officeDocument/2006/relationships/hyperlink" Target="https://semnexus.com/the-top-10-aeo-agencies-in-2026-dominating-ai-search" TargetMode="External"/><Relationship Id="rId583" Type="http://schemas.openxmlformats.org/officeDocument/2006/relationships/hyperlink" Target="https://thatware.co/top-10-llm-seo-companies-in-germany/" TargetMode="External"/><Relationship Id="rId1172" Type="http://schemas.openxmlformats.org/officeDocument/2006/relationships/hyperlink" Target="http://semnexus.com" TargetMode="External"/><Relationship Id="rId582" Type="http://schemas.openxmlformats.org/officeDocument/2006/relationships/hyperlink" Target="http://sourceforge.net" TargetMode="External"/><Relationship Id="rId1173" Type="http://schemas.openxmlformats.org/officeDocument/2006/relationships/hyperlink" Target="https://www.seoworks.com/lists/the-20-best-geo-agencies/" TargetMode="External"/><Relationship Id="rId581" Type="http://schemas.openxmlformats.org/officeDocument/2006/relationships/hyperlink" Target="https://sourceforge.net/software/answer-engine-optimization-aeo/germany/" TargetMode="External"/><Relationship Id="rId1174" Type="http://schemas.openxmlformats.org/officeDocument/2006/relationships/hyperlink" Target="http://seoworks.com" TargetMode="External"/><Relationship Id="rId580" Type="http://schemas.openxmlformats.org/officeDocument/2006/relationships/hyperlink" Target="http://sortlist.com" TargetMode="External"/><Relationship Id="rId1175" Type="http://schemas.openxmlformats.org/officeDocument/2006/relationships/hyperlink" Target="https://www.siegemedia.com/strategy/best-content-marketing-agencies" TargetMode="External"/><Relationship Id="rId587" Type="http://schemas.openxmlformats.org/officeDocument/2006/relationships/hyperlink" Target="https://themanifest.com/de/programmatic/agencies" TargetMode="External"/><Relationship Id="rId1176" Type="http://schemas.openxmlformats.org/officeDocument/2006/relationships/hyperlink" Target="http://siegemedia.com" TargetMode="External"/><Relationship Id="rId586" Type="http://schemas.openxmlformats.org/officeDocument/2006/relationships/hyperlink" Target="http://themanifest.com" TargetMode="External"/><Relationship Id="rId1177" Type="http://schemas.openxmlformats.org/officeDocument/2006/relationships/hyperlink" Target="https://www.singlegrain.com/artificial-intelligence/top-14-ai-marketing-agencies-in-2025/" TargetMode="External"/><Relationship Id="rId585" Type="http://schemas.openxmlformats.org/officeDocument/2006/relationships/hyperlink" Target="https://themanifest.com/de/digital/agencies" TargetMode="External"/><Relationship Id="rId1178" Type="http://schemas.openxmlformats.org/officeDocument/2006/relationships/hyperlink" Target="http://singlegrain.com" TargetMode="External"/><Relationship Id="rId584" Type="http://schemas.openxmlformats.org/officeDocument/2006/relationships/hyperlink" Target="http://thatware.co" TargetMode="External"/><Relationship Id="rId1179" Type="http://schemas.openxmlformats.org/officeDocument/2006/relationships/hyperlink" Target="https://www.sixpathsconsulting.com/top-ai-consulting-companies/" TargetMode="External"/><Relationship Id="rId1169" Type="http://schemas.openxmlformats.org/officeDocument/2006/relationships/hyperlink" Target="https://sellforte.com/blog/real-time-mmm-tools-ecommerce" TargetMode="External"/><Relationship Id="rId579" Type="http://schemas.openxmlformats.org/officeDocument/2006/relationships/hyperlink" Target="https://www.sortlist.com/s/programmatic-advertising/germany-de" TargetMode="External"/><Relationship Id="rId578" Type="http://schemas.openxmlformats.org/officeDocument/2006/relationships/hyperlink" Target="http://sortlist.com" TargetMode="External"/><Relationship Id="rId577" Type="http://schemas.openxmlformats.org/officeDocument/2006/relationships/hyperlink" Target="https://www.sortlist.com/s/display-advertising/munich-by-de" TargetMode="External"/><Relationship Id="rId1160" Type="http://schemas.openxmlformats.org/officeDocument/2006/relationships/hyperlink" Target="https://scopicstudios.com/blog/top-performance-marketing-agencies/" TargetMode="External"/><Relationship Id="rId572" Type="http://schemas.openxmlformats.org/officeDocument/2006/relationships/hyperlink" Target="http://seoworks.com" TargetMode="External"/><Relationship Id="rId1161" Type="http://schemas.openxmlformats.org/officeDocument/2006/relationships/hyperlink" Target="http://scopicstudios.com" TargetMode="External"/><Relationship Id="rId571" Type="http://schemas.openxmlformats.org/officeDocument/2006/relationships/hyperlink" Target="https://www.seoworks.com/lists/best-aeo-answer-engine-optimisation-agencies/" TargetMode="External"/><Relationship Id="rId1162" Type="http://schemas.openxmlformats.org/officeDocument/2006/relationships/hyperlink" Target="https://www.searchbloom.com/strategy/best-ai-seo-agency-companies-services-usa/" TargetMode="External"/><Relationship Id="rId570" Type="http://schemas.openxmlformats.org/officeDocument/2006/relationships/hyperlink" Target="http://semrush.com" TargetMode="External"/><Relationship Id="rId1163" Type="http://schemas.openxmlformats.org/officeDocument/2006/relationships/hyperlink" Target="http://searchbloom.com" TargetMode="External"/><Relationship Id="rId1164" Type="http://schemas.openxmlformats.org/officeDocument/2006/relationships/hyperlink" Target="https://www.secureleap.tech/blog/best-penetration-testing-companies-europe-startups" TargetMode="External"/><Relationship Id="rId576" Type="http://schemas.openxmlformats.org/officeDocument/2006/relationships/hyperlink" Target="http://sortlist.com" TargetMode="External"/><Relationship Id="rId1165" Type="http://schemas.openxmlformats.org/officeDocument/2006/relationships/hyperlink" Target="https://seeders.com/blog/10-best-link-building-agencies-in-germany-2026-ranked/" TargetMode="External"/><Relationship Id="rId575" Type="http://schemas.openxmlformats.org/officeDocument/2006/relationships/hyperlink" Target="https://www.sortlist.com/s/data-driven-marketing/germany-de" TargetMode="External"/><Relationship Id="rId1166" Type="http://schemas.openxmlformats.org/officeDocument/2006/relationships/hyperlink" Target="http://seeders.com" TargetMode="External"/><Relationship Id="rId574" Type="http://schemas.openxmlformats.org/officeDocument/2006/relationships/hyperlink" Target="http://sortlist.com" TargetMode="External"/><Relationship Id="rId1167" Type="http://schemas.openxmlformats.org/officeDocument/2006/relationships/hyperlink" Target="https://segmentstream.com/blog/articles/northbeam-alternatives" TargetMode="External"/><Relationship Id="rId573" Type="http://schemas.openxmlformats.org/officeDocument/2006/relationships/hyperlink" Target="https://www.sortlist.com/i/s/creative/berlin-de" TargetMode="External"/><Relationship Id="rId1168" Type="http://schemas.openxmlformats.org/officeDocument/2006/relationships/hyperlink" Target="http://segmentstream.com" TargetMode="External"/><Relationship Id="rId1190" Type="http://schemas.openxmlformats.org/officeDocument/2006/relationships/hyperlink" Target="http://sortlist.com" TargetMode="External"/><Relationship Id="rId1191" Type="http://schemas.openxmlformats.org/officeDocument/2006/relationships/hyperlink" Target="https://www.sortlist.com/i/s/linkedin-advertising/germany-de" TargetMode="External"/><Relationship Id="rId1192" Type="http://schemas.openxmlformats.org/officeDocument/2006/relationships/hyperlink" Target="http://sortlist.com" TargetMode="External"/><Relationship Id="rId1193" Type="http://schemas.openxmlformats.org/officeDocument/2006/relationships/hyperlink" Target="https://www.sortlist.com/i/s/ppc-marketing/germany-de" TargetMode="External"/><Relationship Id="rId1194" Type="http://schemas.openxmlformats.org/officeDocument/2006/relationships/hyperlink" Target="http://sortlist.com" TargetMode="External"/><Relationship Id="rId1195" Type="http://schemas.openxmlformats.org/officeDocument/2006/relationships/hyperlink" Target="https://www.sortlist.com/media-planning" TargetMode="External"/><Relationship Id="rId1196" Type="http://schemas.openxmlformats.org/officeDocument/2006/relationships/hyperlink" Target="http://sortlist.com" TargetMode="External"/><Relationship Id="rId1197" Type="http://schemas.openxmlformats.org/officeDocument/2006/relationships/hyperlink" Target="https://www.sortlist.com/s/ai-agents/germany-de" TargetMode="External"/><Relationship Id="rId1198" Type="http://schemas.openxmlformats.org/officeDocument/2006/relationships/hyperlink" Target="http://sortlist.com" TargetMode="External"/><Relationship Id="rId1199" Type="http://schemas.openxmlformats.org/officeDocument/2006/relationships/hyperlink" Target="https://www.sortlist.com/s/artificial-intelligence/hamburg-de" TargetMode="External"/><Relationship Id="rId599" Type="http://schemas.openxmlformats.org/officeDocument/2006/relationships/hyperlink" Target="https://www.10seos.com/de/display-advertising-companies-in-germany?page=3" TargetMode="External"/><Relationship Id="rId1180" Type="http://schemas.openxmlformats.org/officeDocument/2006/relationships/hyperlink" Target="http://sixpathsconsulting.com" TargetMode="External"/><Relationship Id="rId1181" Type="http://schemas.openxmlformats.org/officeDocument/2006/relationships/hyperlink" Target="https://socialsamurai.de/blog/top-marketing-branding-agenturen-deutschlands/" TargetMode="External"/><Relationship Id="rId1182" Type="http://schemas.openxmlformats.org/officeDocument/2006/relationships/hyperlink" Target="http://socialsamurai.de" TargetMode="External"/><Relationship Id="rId594" Type="http://schemas.openxmlformats.org/officeDocument/2006/relationships/hyperlink" Target="http://visionone.co.uk" TargetMode="External"/><Relationship Id="rId1183" Type="http://schemas.openxmlformats.org/officeDocument/2006/relationships/hyperlink" Target="https://www.soenkesproll.de/blog/die-besten-social-media-agenturen" TargetMode="External"/><Relationship Id="rId593" Type="http://schemas.openxmlformats.org/officeDocument/2006/relationships/hyperlink" Target="https://visionone.co.uk/news/the-best-international-research-agencies/" TargetMode="External"/><Relationship Id="rId1184" Type="http://schemas.openxmlformats.org/officeDocument/2006/relationships/hyperlink" Target="http://soenkesproll.de" TargetMode="External"/><Relationship Id="rId592" Type="http://schemas.openxmlformats.org/officeDocument/2006/relationships/hyperlink" Target="http://topseobrands.com" TargetMode="External"/><Relationship Id="rId1185" Type="http://schemas.openxmlformats.org/officeDocument/2006/relationships/hyperlink" Target="https://www.softwareadvice.com/marketing-attribution/" TargetMode="External"/><Relationship Id="rId591" Type="http://schemas.openxmlformats.org/officeDocument/2006/relationships/hyperlink" Target="https://www.topseobrands.com/de/best-display-advertising-firms-in-germany" TargetMode="External"/><Relationship Id="rId1186" Type="http://schemas.openxmlformats.org/officeDocument/2006/relationships/hyperlink" Target="http://softwareadvice.com" TargetMode="External"/><Relationship Id="rId598" Type="http://schemas.openxmlformats.org/officeDocument/2006/relationships/hyperlink" Target="http://zipdo.co" TargetMode="External"/><Relationship Id="rId1187" Type="http://schemas.openxmlformats.org/officeDocument/2006/relationships/hyperlink" Target="https://www.sortlist.com/i/branding/germany-de" TargetMode="External"/><Relationship Id="rId597" Type="http://schemas.openxmlformats.org/officeDocument/2006/relationships/hyperlink" Target="https://zipdo.co/service/marketing-attribution/" TargetMode="External"/><Relationship Id="rId1188" Type="http://schemas.openxmlformats.org/officeDocument/2006/relationships/hyperlink" Target="http://sortlist.com" TargetMode="External"/><Relationship Id="rId596" Type="http://schemas.openxmlformats.org/officeDocument/2006/relationships/hyperlink" Target="http://youtube.com" TargetMode="External"/><Relationship Id="rId1189" Type="http://schemas.openxmlformats.org/officeDocument/2006/relationships/hyperlink" Target="https://www.sortlist.com/i/s/big-data-analytics/germany-de" TargetMode="External"/><Relationship Id="rId595" Type="http://schemas.openxmlformats.org/officeDocument/2006/relationships/hyperlink" Target="https://www.youtube.com/watch?v=00C1PZt8bLw&amp;vl=en" TargetMode="External"/><Relationship Id="rId1136" Type="http://schemas.openxmlformats.org/officeDocument/2006/relationships/hyperlink" Target="https://www.reddit.com/r/Topagencies/comments/1spi6ov/top_ppc_agencies_in_berlin_packages_pricing_cost/" TargetMode="External"/><Relationship Id="rId1137" Type="http://schemas.openxmlformats.org/officeDocument/2006/relationships/hyperlink" Target="http://reddit.com" TargetMode="External"/><Relationship Id="rId1138" Type="http://schemas.openxmlformats.org/officeDocument/2006/relationships/hyperlink" Target="https://www.reddit.com/r/Topagencies/comments/1srfjwq/top_ppc_services_agencies_in_frankfurt_package/" TargetMode="External"/><Relationship Id="rId1139" Type="http://schemas.openxmlformats.org/officeDocument/2006/relationships/hyperlink" Target="http://reddit.com" TargetMode="External"/><Relationship Id="rId547" Type="http://schemas.openxmlformats.org/officeDocument/2006/relationships/hyperlink" Target="https://www.crystalinfoway.com/blogs/view/top-10-digital-marketing-companies-in-germany" TargetMode="External"/><Relationship Id="rId546" Type="http://schemas.openxmlformats.org/officeDocument/2006/relationships/hyperlink" Target="http://cornerstonecontent.com" TargetMode="External"/><Relationship Id="rId545" Type="http://schemas.openxmlformats.org/officeDocument/2006/relationships/hyperlink" Target="https://cornerstonecontent.com/best-answer-engine-optimization-aeo-agencies/" TargetMode="External"/><Relationship Id="rId544" Type="http://schemas.openxmlformats.org/officeDocument/2006/relationships/hyperlink" Target="http://clutch.co" TargetMode="External"/><Relationship Id="rId549" Type="http://schemas.openxmlformats.org/officeDocument/2006/relationships/hyperlink" Target="https://dtile-marketing.de/performance-marketing/" TargetMode="External"/><Relationship Id="rId548" Type="http://schemas.openxmlformats.org/officeDocument/2006/relationships/hyperlink" Target="http://crystalinfoway.com" TargetMode="External"/><Relationship Id="rId1130" Type="http://schemas.openxmlformats.org/officeDocument/2006/relationships/hyperlink" Target="https://www.quoleady.com/growth-marketing-agencies/" TargetMode="External"/><Relationship Id="rId1131" Type="http://schemas.openxmlformats.org/officeDocument/2006/relationships/hyperlink" Target="http://quoleady.com" TargetMode="External"/><Relationship Id="rId543" Type="http://schemas.openxmlformats.org/officeDocument/2006/relationships/hyperlink" Target="https://clutch.co/de/seo-firms/international" TargetMode="External"/><Relationship Id="rId1132" Type="http://schemas.openxmlformats.org/officeDocument/2006/relationships/hyperlink" Target="https://www.radyant.io/comparison/the-6-best-ai-seo-agencies-for-b2b-startups" TargetMode="External"/><Relationship Id="rId542" Type="http://schemas.openxmlformats.org/officeDocument/2006/relationships/hyperlink" Target="http://clutch.co" TargetMode="External"/><Relationship Id="rId1133" Type="http://schemas.openxmlformats.org/officeDocument/2006/relationships/hyperlink" Target="http://radyant.io" TargetMode="External"/><Relationship Id="rId541" Type="http://schemas.openxmlformats.org/officeDocument/2006/relationships/hyperlink" Target="https://clutch.co/de/agencies/demand-generation-marketing" TargetMode="External"/><Relationship Id="rId1134" Type="http://schemas.openxmlformats.org/officeDocument/2006/relationships/hyperlink" Target="https://www.reddit.com/r/DigitalMarketing/comments/1tn7zll/which_digital_marketing_agencies_are_best_at/" TargetMode="External"/><Relationship Id="rId540" Type="http://schemas.openxmlformats.org/officeDocument/2006/relationships/hyperlink" Target="http://beyond-media.de" TargetMode="External"/><Relationship Id="rId1135" Type="http://schemas.openxmlformats.org/officeDocument/2006/relationships/hyperlink" Target="http://reddit.com" TargetMode="External"/><Relationship Id="rId1125" Type="http://schemas.openxmlformats.org/officeDocument/2006/relationships/hyperlink" Target="http://platypusseo.com" TargetMode="External"/><Relationship Id="rId1126" Type="http://schemas.openxmlformats.org/officeDocument/2006/relationships/hyperlink" Target="https://www.promodo.com/blog/best-geo-agencies" TargetMode="External"/><Relationship Id="rId1127" Type="http://schemas.openxmlformats.org/officeDocument/2006/relationships/hyperlink" Target="http://promodo.com" TargetMode="External"/><Relationship Id="rId1128" Type="http://schemas.openxmlformats.org/officeDocument/2006/relationships/hyperlink" Target="https://qoulomb.com/best-answer-engine-optimization-agencies/" TargetMode="External"/><Relationship Id="rId1129" Type="http://schemas.openxmlformats.org/officeDocument/2006/relationships/hyperlink" Target="http://qoulomb.com" TargetMode="External"/><Relationship Id="rId536" Type="http://schemas.openxmlformats.org/officeDocument/2006/relationships/hyperlink" Target="http://awisee.com" TargetMode="External"/><Relationship Id="rId535" Type="http://schemas.openxmlformats.org/officeDocument/2006/relationships/hyperlink" Target="https://awisee.com/us/blog/digital-marketing-agencies-germany/" TargetMode="External"/><Relationship Id="rId534" Type="http://schemas.openxmlformats.org/officeDocument/2006/relationships/hyperlink" Target="http://awisee.com" TargetMode="External"/><Relationship Id="rId533" Type="http://schemas.openxmlformats.org/officeDocument/2006/relationships/hyperlink" Target="https://awisee.com/blog/social-media-marketing-agencies-germany/" TargetMode="External"/><Relationship Id="rId539" Type="http://schemas.openxmlformats.org/officeDocument/2006/relationships/hyperlink" Target="https://www.beyond-media.de/agentur/google-premier-partner/" TargetMode="External"/><Relationship Id="rId538" Type="http://schemas.openxmlformats.org/officeDocument/2006/relationships/hyperlink" Target="http://beomniscient.com" TargetMode="External"/><Relationship Id="rId537" Type="http://schemas.openxmlformats.org/officeDocument/2006/relationships/hyperlink" Target="https://beomniscient.com/blog/best-ai-marketing-agencies/" TargetMode="External"/><Relationship Id="rId1120" Type="http://schemas.openxmlformats.org/officeDocument/2006/relationships/hyperlink" Target="https://pipeline.zoominfo.com/sales/intent-data-platform" TargetMode="External"/><Relationship Id="rId532" Type="http://schemas.openxmlformats.org/officeDocument/2006/relationships/hyperlink" Target="http://semrush.com" TargetMode="External"/><Relationship Id="rId1121" Type="http://schemas.openxmlformats.org/officeDocument/2006/relationships/hyperlink" Target="http://zoominfo.com" TargetMode="External"/><Relationship Id="rId531" Type="http://schemas.openxmlformats.org/officeDocument/2006/relationships/hyperlink" Target="https://agencies.semrush.com/list/llm-optimization/germany/" TargetMode="External"/><Relationship Id="rId1122" Type="http://schemas.openxmlformats.org/officeDocument/2006/relationships/hyperlink" Target="https://www.pixelmojo.io/best-ai-visibility-agencies" TargetMode="External"/><Relationship Id="rId530" Type="http://schemas.openxmlformats.org/officeDocument/2006/relationships/hyperlink" Target="http://semrush.com" TargetMode="External"/><Relationship Id="rId1123" Type="http://schemas.openxmlformats.org/officeDocument/2006/relationships/hyperlink" Target="http://pixelmojo.io" TargetMode="External"/><Relationship Id="rId1124" Type="http://schemas.openxmlformats.org/officeDocument/2006/relationships/hyperlink" Target="https://platypusseo.com/blog/best-european-seo-agencies/" TargetMode="External"/><Relationship Id="rId1158" Type="http://schemas.openxmlformats.org/officeDocument/2006/relationships/hyperlink" Target="https://www.schalk-and-friends.de/en/magazine/modern-marketing-winners/" TargetMode="External"/><Relationship Id="rId1159" Type="http://schemas.openxmlformats.org/officeDocument/2006/relationships/hyperlink" Target="http://schalk-and-friends.de" TargetMode="External"/><Relationship Id="rId569" Type="http://schemas.openxmlformats.org/officeDocument/2006/relationships/hyperlink" Target="https://www.semrush.com/agencies/list/display-advertising/germany/" TargetMode="External"/><Relationship Id="rId568" Type="http://schemas.openxmlformats.org/officeDocument/2006/relationships/hyperlink" Target="http://reddit.com" TargetMode="External"/><Relationship Id="rId567" Type="http://schemas.openxmlformats.org/officeDocument/2006/relationships/hyperlink" Target="https://www.reddit.com/r/GenEngineOptimization/comments/1qab4rt/what_are_the_top_geo_agencies_and_what_softwares/" TargetMode="External"/><Relationship Id="rId566" Type="http://schemas.openxmlformats.org/officeDocument/2006/relationships/hyperlink" Target="http://procloser.ai" TargetMode="External"/><Relationship Id="rId561" Type="http://schemas.openxmlformats.org/officeDocument/2006/relationships/hyperlink" Target="https://meedia.de/news/beitrag/20776-serviceplan-dominiert-das-ranking-der-top-50-kreativagenturen-in-deutschland.html" TargetMode="External"/><Relationship Id="rId1150" Type="http://schemas.openxmlformats.org/officeDocument/2006/relationships/hyperlink" Target="https://sageitinc.com/reference-center/best-ai-consulting-companies" TargetMode="External"/><Relationship Id="rId560" Type="http://schemas.openxmlformats.org/officeDocument/2006/relationships/hyperlink" Target="http://marketinglens.com" TargetMode="External"/><Relationship Id="rId1151" Type="http://schemas.openxmlformats.org/officeDocument/2006/relationships/hyperlink" Target="http://sageitinc.com" TargetMode="External"/><Relationship Id="rId1152" Type="http://schemas.openxmlformats.org/officeDocument/2006/relationships/hyperlink" Target="https://www.sanmiguel.io/en/the-best-b2b-brand-agencies-for-smes/" TargetMode="External"/><Relationship Id="rId1153" Type="http://schemas.openxmlformats.org/officeDocument/2006/relationships/hyperlink" Target="http://sanmiguel.io" TargetMode="External"/><Relationship Id="rId565" Type="http://schemas.openxmlformats.org/officeDocument/2006/relationships/hyperlink" Target="https://procloser.ai/blog/best-aeo-agencies-2026/" TargetMode="External"/><Relationship Id="rId1154" Type="http://schemas.openxmlformats.org/officeDocument/2006/relationships/hyperlink" Target="https://www.scaled2c.com/services/germany/geo-services-germany" TargetMode="External"/><Relationship Id="rId564" Type="http://schemas.openxmlformats.org/officeDocument/2006/relationships/hyperlink" Target="http://omnius.so" TargetMode="External"/><Relationship Id="rId1155" Type="http://schemas.openxmlformats.org/officeDocument/2006/relationships/hyperlink" Target="http://scaled2c.com" TargetMode="External"/><Relationship Id="rId563" Type="http://schemas.openxmlformats.org/officeDocument/2006/relationships/hyperlink" Target="https://www.omnius.so/blog/german-seo-agencies" TargetMode="External"/><Relationship Id="rId1156" Type="http://schemas.openxmlformats.org/officeDocument/2006/relationships/hyperlink" Target="https://scandiweb.com/blog/top-ai-agencies/" TargetMode="External"/><Relationship Id="rId562" Type="http://schemas.openxmlformats.org/officeDocument/2006/relationships/hyperlink" Target="http://meedia.de" TargetMode="External"/><Relationship Id="rId1157" Type="http://schemas.openxmlformats.org/officeDocument/2006/relationships/hyperlink" Target="http://scandiweb.com" TargetMode="External"/><Relationship Id="rId1147" Type="http://schemas.openxmlformats.org/officeDocument/2006/relationships/hyperlink" Target="http://revenuezen.com" TargetMode="External"/><Relationship Id="rId1148" Type="http://schemas.openxmlformats.org/officeDocument/2006/relationships/hyperlink" Target="https://s-pro.io/generative-ai-development-companies" TargetMode="External"/><Relationship Id="rId1149" Type="http://schemas.openxmlformats.org/officeDocument/2006/relationships/hyperlink" Target="http://s-pro.io" TargetMode="External"/><Relationship Id="rId558" Type="http://schemas.openxmlformats.org/officeDocument/2006/relationships/hyperlink" Target="http://mammoth.io" TargetMode="External"/><Relationship Id="rId557" Type="http://schemas.openxmlformats.org/officeDocument/2006/relationships/hyperlink" Target="https://mammoth.io/blog/marketing-attribution-software/" TargetMode="External"/><Relationship Id="rId556" Type="http://schemas.openxmlformats.org/officeDocument/2006/relationships/hyperlink" Target="http://magiclibrary.co" TargetMode="External"/><Relationship Id="rId555" Type="http://schemas.openxmlformats.org/officeDocument/2006/relationships/hyperlink" Target="https://www.magiclibrary.co/blog/best-linkedin-ads-agency-in-germany" TargetMode="External"/><Relationship Id="rId559" Type="http://schemas.openxmlformats.org/officeDocument/2006/relationships/hyperlink" Target="https://marketinglens.com/top-10/top-10-ppc-agencies-in-europe/" TargetMode="External"/><Relationship Id="rId550" Type="http://schemas.openxmlformats.org/officeDocument/2006/relationships/hyperlink" Target="http://dtile-marketing.de" TargetMode="External"/><Relationship Id="rId1140" Type="http://schemas.openxmlformats.org/officeDocument/2006/relationships/hyperlink" Target="https://www.reddit.com/r/analytics/comments/1q5d8wc/advice_for_the_best_customer_data_platforms_2026/" TargetMode="External"/><Relationship Id="rId1141" Type="http://schemas.openxmlformats.org/officeDocument/2006/relationships/hyperlink" Target="http://reddit.com" TargetMode="External"/><Relationship Id="rId1142" Type="http://schemas.openxmlformats.org/officeDocument/2006/relationships/hyperlink" Target="https://www.reddit.com/r/b2bmarketing/comments/1rl47cr/the_10_best_visibility_companies_and_agencies_for/" TargetMode="External"/><Relationship Id="rId554" Type="http://schemas.openxmlformats.org/officeDocument/2006/relationships/hyperlink" Target="http://m1-project.com" TargetMode="External"/><Relationship Id="rId1143" Type="http://schemas.openxmlformats.org/officeDocument/2006/relationships/hyperlink" Target="http://reddit.com" TargetMode="External"/><Relationship Id="rId553" Type="http://schemas.openxmlformats.org/officeDocument/2006/relationships/hyperlink" Target="https://www.m1-project.com/blog/10-best-ai-marketing-agencies-in-depth-comparison" TargetMode="External"/><Relationship Id="rId1144" Type="http://schemas.openxmlformats.org/officeDocument/2006/relationships/hyperlink" Target="https://www.reddit.com/r/u_Emkutis/comments/1u2d4ma/the_best_geo_ai_search_agencies_in_europe_in_2026/" TargetMode="External"/><Relationship Id="rId552" Type="http://schemas.openxmlformats.org/officeDocument/2006/relationships/hyperlink" Target="http://housesofgrowth.com" TargetMode="External"/><Relationship Id="rId1145" Type="http://schemas.openxmlformats.org/officeDocument/2006/relationships/hyperlink" Target="http://reddit.com" TargetMode="External"/><Relationship Id="rId551" Type="http://schemas.openxmlformats.org/officeDocument/2006/relationships/hyperlink" Target="https://www.housesofgrowth.com/post/aeo-agencies-in-europe" TargetMode="External"/><Relationship Id="rId1146" Type="http://schemas.openxmlformats.org/officeDocument/2006/relationships/hyperlink" Target="https://revenuezen.com/top-answer-engine-optimization-aeo-agencies/" TargetMode="External"/><Relationship Id="rId495" Type="http://schemas.openxmlformats.org/officeDocument/2006/relationships/hyperlink" Target="https://seranking.com/agencies/location/germany/" TargetMode="External"/><Relationship Id="rId494" Type="http://schemas.openxmlformats.org/officeDocument/2006/relationships/hyperlink" Target="http://performance-marketing-agency-berlin.com" TargetMode="External"/><Relationship Id="rId493" Type="http://schemas.openxmlformats.org/officeDocument/2006/relationships/hyperlink" Target="https://performance-marketing-agency-berlin.com/attribution-marketing/berlin" TargetMode="External"/><Relationship Id="rId492" Type="http://schemas.openxmlformats.org/officeDocument/2006/relationships/hyperlink" Target="http://lengreo.com" TargetMode="External"/><Relationship Id="rId499" Type="http://schemas.openxmlformats.org/officeDocument/2006/relationships/hyperlink" Target="https://www.sortlist.com/s/google-ads/germany-de" TargetMode="External"/><Relationship Id="rId498" Type="http://schemas.openxmlformats.org/officeDocument/2006/relationships/hyperlink" Target="http://sortlist.com" TargetMode="External"/><Relationship Id="rId497" Type="http://schemas.openxmlformats.org/officeDocument/2006/relationships/hyperlink" Target="https://www.sortlist.com/s/b2b-marketing/germany-de" TargetMode="External"/><Relationship Id="rId496" Type="http://schemas.openxmlformats.org/officeDocument/2006/relationships/hyperlink" Target="http://seranking.com" TargetMode="External"/><Relationship Id="rId1213" Type="http://schemas.openxmlformats.org/officeDocument/2006/relationships/hyperlink" Target="https://www.sortlist.com/s/programmatic-advertising/berlin-de" TargetMode="External"/><Relationship Id="rId1214" Type="http://schemas.openxmlformats.org/officeDocument/2006/relationships/hyperlink" Target="http://sortlist.com" TargetMode="External"/><Relationship Id="rId1215" Type="http://schemas.openxmlformats.org/officeDocument/2006/relationships/hyperlink" Target="https://www.sortlist.com/s/roi-optimization/germany-de" TargetMode="External"/><Relationship Id="rId1216" Type="http://schemas.openxmlformats.org/officeDocument/2006/relationships/hyperlink" Target="http://sortlist.com" TargetMode="External"/><Relationship Id="rId1217" Type="http://schemas.openxmlformats.org/officeDocument/2006/relationships/hyperlink" Target="https://www.sortlist.com/social-media-optimization" TargetMode="External"/><Relationship Id="rId1218" Type="http://schemas.openxmlformats.org/officeDocument/2006/relationships/hyperlink" Target="http://sortlist.com" TargetMode="External"/><Relationship Id="rId1219" Type="http://schemas.openxmlformats.org/officeDocument/2006/relationships/hyperlink" Target="https://sourceforge.net/software/incrementality-testing/europe/" TargetMode="External"/><Relationship Id="rId1210" Type="http://schemas.openxmlformats.org/officeDocument/2006/relationships/hyperlink" Target="http://sortlist.com" TargetMode="External"/><Relationship Id="rId1211" Type="http://schemas.openxmlformats.org/officeDocument/2006/relationships/hyperlink" Target="https://www.sortlist.com/s/performance-marketing/munich-by-de" TargetMode="External"/><Relationship Id="rId1212" Type="http://schemas.openxmlformats.org/officeDocument/2006/relationships/hyperlink" Target="http://sortlist.com" TargetMode="External"/><Relationship Id="rId1202" Type="http://schemas.openxmlformats.org/officeDocument/2006/relationships/hyperlink" Target="http://sortlist.com" TargetMode="External"/><Relationship Id="rId1203" Type="http://schemas.openxmlformats.org/officeDocument/2006/relationships/hyperlink" Target="https://www.sortlist.com/s/data-driven-marketing/berlin-de" TargetMode="External"/><Relationship Id="rId1204" Type="http://schemas.openxmlformats.org/officeDocument/2006/relationships/hyperlink" Target="http://sortlist.com" TargetMode="External"/><Relationship Id="rId1205" Type="http://schemas.openxmlformats.org/officeDocument/2006/relationships/hyperlink" Target="https://www.sortlist.com/s/international-marketing/hamburg-de" TargetMode="External"/><Relationship Id="rId1206" Type="http://schemas.openxmlformats.org/officeDocument/2006/relationships/hyperlink" Target="http://sortlist.com" TargetMode="External"/><Relationship Id="rId1207" Type="http://schemas.openxmlformats.org/officeDocument/2006/relationships/hyperlink" Target="https://www.sortlist.com/s/paid-media/munich-by-de" TargetMode="External"/><Relationship Id="rId1208" Type="http://schemas.openxmlformats.org/officeDocument/2006/relationships/hyperlink" Target="http://sortlist.com" TargetMode="External"/><Relationship Id="rId1209" Type="http://schemas.openxmlformats.org/officeDocument/2006/relationships/hyperlink" Target="https://www.sortlist.com/s/performance-marketing/frankfurt-he-de" TargetMode="External"/><Relationship Id="rId1200" Type="http://schemas.openxmlformats.org/officeDocument/2006/relationships/hyperlink" Target="http://sortlist.com" TargetMode="External"/><Relationship Id="rId1201" Type="http://schemas.openxmlformats.org/officeDocument/2006/relationships/hyperlink" Target="https://www.sortlist.com/s/brand-experience/germany-de" TargetMode="External"/><Relationship Id="rId1235" Type="http://schemas.openxmlformats.org/officeDocument/2006/relationships/hyperlink" Target="https://teamai.com/blog/generative-ai-and-business/top-geo-agencies-for-ai-visibility/" TargetMode="External"/><Relationship Id="rId1236" Type="http://schemas.openxmlformats.org/officeDocument/2006/relationships/hyperlink" Target="http://teamai.com" TargetMode="External"/><Relationship Id="rId1237" Type="http://schemas.openxmlformats.org/officeDocument/2006/relationships/hyperlink" Target="https://tech-now.io/en/blogs/top-10-app-development-companies-in-germany/" TargetMode="External"/><Relationship Id="rId1238" Type="http://schemas.openxmlformats.org/officeDocument/2006/relationships/hyperlink" Target="http://tech-now.io" TargetMode="External"/><Relationship Id="rId1239" Type="http://schemas.openxmlformats.org/officeDocument/2006/relationships/hyperlink" Target="https://tech-now.io/en/blogs/top-10-best-it-companies-in-dusseldorf/" TargetMode="External"/><Relationship Id="rId409" Type="http://schemas.openxmlformats.org/officeDocument/2006/relationships/hyperlink" Target="http://aio.com.ai" TargetMode="External"/><Relationship Id="rId404" Type="http://schemas.openxmlformats.org/officeDocument/2006/relationships/hyperlink" Target="https://ziuma.com/Thread-Best-AI-Digital-Marketing-Agency-in-Germany-and-Beyond" TargetMode="External"/><Relationship Id="rId403" Type="http://schemas.openxmlformats.org/officeDocument/2006/relationships/hyperlink" Target="http://topdevelopers.co" TargetMode="External"/><Relationship Id="rId402" Type="http://schemas.openxmlformats.org/officeDocument/2006/relationships/hyperlink" Target="https://www.topdevelopers.co/directory/digital-marketing-agencies-in-germany" TargetMode="External"/><Relationship Id="rId401" Type="http://schemas.openxmlformats.org/officeDocument/2006/relationships/hyperlink" Target="http://reddit.com" TargetMode="External"/><Relationship Id="rId408" Type="http://schemas.openxmlformats.org/officeDocument/2006/relationships/hyperlink" Target="https://aio.com.ai/blog/13498-best-seo-company-in-germany-ai-optimized-aio-guide" TargetMode="External"/><Relationship Id="rId407" Type="http://schemas.openxmlformats.org/officeDocument/2006/relationships/hyperlink" Target="http://semrush.com" TargetMode="External"/><Relationship Id="rId406" Type="http://schemas.openxmlformats.org/officeDocument/2006/relationships/hyperlink" Target="https://agencies.semrush.com/list/ai-optimization/germany/enterprise-business/" TargetMode="External"/><Relationship Id="rId405" Type="http://schemas.openxmlformats.org/officeDocument/2006/relationships/hyperlink" Target="http://ziuma.com" TargetMode="External"/><Relationship Id="rId1230" Type="http://schemas.openxmlformats.org/officeDocument/2006/relationships/hyperlink" Target="http://superside.com" TargetMode="External"/><Relationship Id="rId400" Type="http://schemas.openxmlformats.org/officeDocument/2006/relationships/hyperlink" Target="https://www.reddit.com/r/Topagencies/comments/1sv50o9/top_ppc_services_agencies_in_germany_ppc_cost/" TargetMode="External"/><Relationship Id="rId1231" Type="http://schemas.openxmlformats.org/officeDocument/2006/relationships/hyperlink" Target="https://www.superside.com/blog/creative-strategy-agencies-examples" TargetMode="External"/><Relationship Id="rId1232" Type="http://schemas.openxmlformats.org/officeDocument/2006/relationships/hyperlink" Target="http://superside.com" TargetMode="External"/><Relationship Id="rId1233" Type="http://schemas.openxmlformats.org/officeDocument/2006/relationships/hyperlink" Target="https://syncgtm.com/blog/best-gtm-agencies-in-germany" TargetMode="External"/><Relationship Id="rId1234" Type="http://schemas.openxmlformats.org/officeDocument/2006/relationships/hyperlink" Target="http://syncgtm.com" TargetMode="External"/><Relationship Id="rId1224" Type="http://schemas.openxmlformats.org/officeDocument/2006/relationships/hyperlink" Target="http://suchhelden.de" TargetMode="External"/><Relationship Id="rId1225" Type="http://schemas.openxmlformats.org/officeDocument/2006/relationships/hyperlink" Target="https://superbcompanies.com/categories/advertising-agencies-in-germany/" TargetMode="External"/><Relationship Id="rId1226" Type="http://schemas.openxmlformats.org/officeDocument/2006/relationships/hyperlink" Target="http://superbcompanies.com" TargetMode="External"/><Relationship Id="rId1227" Type="http://schemas.openxmlformats.org/officeDocument/2006/relationships/hyperlink" Target="https://superbcompanies.com/categories/digital-marketing-companies-in-germany/" TargetMode="External"/><Relationship Id="rId1228" Type="http://schemas.openxmlformats.org/officeDocument/2006/relationships/hyperlink" Target="http://superbcompanies.com" TargetMode="External"/><Relationship Id="rId1229" Type="http://schemas.openxmlformats.org/officeDocument/2006/relationships/hyperlink" Target="https://www.superside.com/blog/ad-creative-agencies" TargetMode="External"/><Relationship Id="rId1220" Type="http://schemas.openxmlformats.org/officeDocument/2006/relationships/hyperlink" Target="http://sourceforge.net" TargetMode="External"/><Relationship Id="rId1221" Type="http://schemas.openxmlformats.org/officeDocument/2006/relationships/hyperlink" Target="https://strativera.com/insights/best-seo-aeo-geo-marketing-agencies/" TargetMode="External"/><Relationship Id="rId1222" Type="http://schemas.openxmlformats.org/officeDocument/2006/relationships/hyperlink" Target="http://strativera.com" TargetMode="External"/><Relationship Id="rId1223" Type="http://schemas.openxmlformats.org/officeDocument/2006/relationships/hyperlink" Target="https://www.suchhelden.de/beste-geo-agenturen-deutschlands.php" TargetMode="External"/><Relationship Id="rId469" Type="http://schemas.openxmlformats.org/officeDocument/2006/relationships/hyperlink" Target="http://answermaniac.ai" TargetMode="External"/><Relationship Id="rId468" Type="http://schemas.openxmlformats.org/officeDocument/2006/relationships/hyperlink" Target="https://www.answermaniac.ai/best-geo-agencies" TargetMode="External"/><Relationship Id="rId467" Type="http://schemas.openxmlformats.org/officeDocument/2006/relationships/hyperlink" Target="http://semrush.com" TargetMode="External"/><Relationship Id="rId1290" Type="http://schemas.openxmlformats.org/officeDocument/2006/relationships/hyperlink" Target="http://tripledart.com" TargetMode="External"/><Relationship Id="rId1291" Type="http://schemas.openxmlformats.org/officeDocument/2006/relationships/hyperlink" Target="https://www.tripledart.com/ai-seo/best-generative-engine-optimization-agencies" TargetMode="External"/><Relationship Id="rId1292" Type="http://schemas.openxmlformats.org/officeDocument/2006/relationships/hyperlink" Target="http://tripledart.com" TargetMode="External"/><Relationship Id="rId462" Type="http://schemas.openxmlformats.org/officeDocument/2006/relationships/hyperlink" Target="https://agencies.semrush.com/list/analytics-data-science/business-professional-services/germany/" TargetMode="External"/><Relationship Id="rId1293" Type="http://schemas.openxmlformats.org/officeDocument/2006/relationships/hyperlink" Target="https://www.tripledart.com/blog/best-aeo-agencies" TargetMode="External"/><Relationship Id="rId461" Type="http://schemas.openxmlformats.org/officeDocument/2006/relationships/hyperlink" Target="http://thebestagency.de" TargetMode="External"/><Relationship Id="rId1294" Type="http://schemas.openxmlformats.org/officeDocument/2006/relationships/hyperlink" Target="http://tripledart.com" TargetMode="External"/><Relationship Id="rId460" Type="http://schemas.openxmlformats.org/officeDocument/2006/relationships/hyperlink" Target="https://thebestagency.de/the-best-agency-ranking/" TargetMode="External"/><Relationship Id="rId1295" Type="http://schemas.openxmlformats.org/officeDocument/2006/relationships/hyperlink" Target="https://www.tryseo.de/en/online-marketing-en/best-b2b-seo-agencies-germany/" TargetMode="External"/><Relationship Id="rId1296" Type="http://schemas.openxmlformats.org/officeDocument/2006/relationships/hyperlink" Target="http://tryseo.de" TargetMode="External"/><Relationship Id="rId466" Type="http://schemas.openxmlformats.org/officeDocument/2006/relationships/hyperlink" Target="https://agencies.semrush.com/list/ppc/germany/" TargetMode="External"/><Relationship Id="rId1297" Type="http://schemas.openxmlformats.org/officeDocument/2006/relationships/hyperlink" Target="https://www.unfoldmart.com/blogs/top-branding-agencies-germany-2026" TargetMode="External"/><Relationship Id="rId465" Type="http://schemas.openxmlformats.org/officeDocument/2006/relationships/hyperlink" Target="http://semrush.com" TargetMode="External"/><Relationship Id="rId1298" Type="http://schemas.openxmlformats.org/officeDocument/2006/relationships/hyperlink" Target="http://unfoldmart.com" TargetMode="External"/><Relationship Id="rId464" Type="http://schemas.openxmlformats.org/officeDocument/2006/relationships/hyperlink" Target="https://agencies.semrush.com/list/analytics-data-science/germany/small-business/" TargetMode="External"/><Relationship Id="rId1299" Type="http://schemas.openxmlformats.org/officeDocument/2006/relationships/hyperlink" Target="https://www.uptech.team/blog/ai-development-companies" TargetMode="External"/><Relationship Id="rId463" Type="http://schemas.openxmlformats.org/officeDocument/2006/relationships/hyperlink" Target="http://semrush.com" TargetMode="External"/><Relationship Id="rId459" Type="http://schemas.openxmlformats.org/officeDocument/2006/relationships/hyperlink" Target="http://thebestagency.de" TargetMode="External"/><Relationship Id="rId458" Type="http://schemas.openxmlformats.org/officeDocument/2006/relationships/hyperlink" Target="https://thebestagency.de/news/serviceplan-stuermt-an-die-spitze-des-rankings-von-the-best-agency/?media_link=1" TargetMode="External"/><Relationship Id="rId457" Type="http://schemas.openxmlformats.org/officeDocument/2006/relationships/hyperlink" Target="http://sourceforge.net" TargetMode="External"/><Relationship Id="rId456" Type="http://schemas.openxmlformats.org/officeDocument/2006/relationships/hyperlink" Target="https://sourceforge.net/software/ai-marketing/germany/" TargetMode="External"/><Relationship Id="rId1280" Type="http://schemas.openxmlformats.org/officeDocument/2006/relationships/hyperlink" Target="http://todaymade.com" TargetMode="External"/><Relationship Id="rId1281" Type="http://schemas.openxmlformats.org/officeDocument/2006/relationships/hyperlink" Target="https://toolradar.com/best/attribution" TargetMode="External"/><Relationship Id="rId451" Type="http://schemas.openxmlformats.org/officeDocument/2006/relationships/hyperlink" Target="http://phable.io" TargetMode="External"/><Relationship Id="rId1282" Type="http://schemas.openxmlformats.org/officeDocument/2006/relationships/hyperlink" Target="http://toolradar.com" TargetMode="External"/><Relationship Id="rId450" Type="http://schemas.openxmlformats.org/officeDocument/2006/relationships/hyperlink" Target="https://www.phable.io/top-creative-agencies/ty64guv22ftctcjddgh9avb7ywb85q" TargetMode="External"/><Relationship Id="rId1283" Type="http://schemas.openxmlformats.org/officeDocument/2006/relationships/hyperlink" Target="https://www.topinteractiveagencies.com/digital/agency/profile/europe/germany-deutschland/munich/serviceplan-group/" TargetMode="External"/><Relationship Id="rId1284" Type="http://schemas.openxmlformats.org/officeDocument/2006/relationships/hyperlink" Target="http://topinteractiveagencies.com" TargetMode="External"/><Relationship Id="rId1285" Type="http://schemas.openxmlformats.org/officeDocument/2006/relationships/hyperlink" Target="https://touchstoneresearch.com/top-10-global-market-research-companies/" TargetMode="External"/><Relationship Id="rId455" Type="http://schemas.openxmlformats.org/officeDocument/2006/relationships/hyperlink" Target="http://sortlist.com" TargetMode="External"/><Relationship Id="rId1286" Type="http://schemas.openxmlformats.org/officeDocument/2006/relationships/hyperlink" Target="http://touchstoneresearch.com" TargetMode="External"/><Relationship Id="rId454" Type="http://schemas.openxmlformats.org/officeDocument/2006/relationships/hyperlink" Target="https://www.sortlist.com/s/artificial-intelligence/munich-by-de" TargetMode="External"/><Relationship Id="rId1287" Type="http://schemas.openxmlformats.org/officeDocument/2006/relationships/hyperlink" Target="https://www.traqer.ai/blog/ai-visibility-tool" TargetMode="External"/><Relationship Id="rId453" Type="http://schemas.openxmlformats.org/officeDocument/2006/relationships/hyperlink" Target="http://segmentstream.com" TargetMode="External"/><Relationship Id="rId1288" Type="http://schemas.openxmlformats.org/officeDocument/2006/relationships/hyperlink" Target="http://traqer.ai" TargetMode="External"/><Relationship Id="rId452" Type="http://schemas.openxmlformats.org/officeDocument/2006/relationships/hyperlink" Target="https://segmentstream.com/blog/articles/top-enterprise-marketing-analytics-and-attribution-platforms" TargetMode="External"/><Relationship Id="rId1289" Type="http://schemas.openxmlformats.org/officeDocument/2006/relationships/hyperlink" Target="https://www.tripledart.com/ai-seo/best-aeo-agencies" TargetMode="External"/><Relationship Id="rId491" Type="http://schemas.openxmlformats.org/officeDocument/2006/relationships/hyperlink" Target="https://lengreo.com/best-meta-ads-agencies-in-germany/" TargetMode="External"/><Relationship Id="rId490" Type="http://schemas.openxmlformats.org/officeDocument/2006/relationships/hyperlink" Target="http://jadasquad.com" TargetMode="External"/><Relationship Id="rId489" Type="http://schemas.openxmlformats.org/officeDocument/2006/relationships/hyperlink" Target="https://www.jadasquad.com/blog/top-ai-agent-development-companies-in-munich" TargetMode="External"/><Relationship Id="rId484" Type="http://schemas.openxmlformats.org/officeDocument/2006/relationships/hyperlink" Target="http://feedbax.ai" TargetMode="External"/><Relationship Id="rId483" Type="http://schemas.openxmlformats.org/officeDocument/2006/relationships/hyperlink" Target="https://feedbax.ai/performance-marketing/berlin" TargetMode="External"/><Relationship Id="rId482" Type="http://schemas.openxmlformats.org/officeDocument/2006/relationships/hyperlink" Target="http://feedbax.ai" TargetMode="External"/><Relationship Id="rId481" Type="http://schemas.openxmlformats.org/officeDocument/2006/relationships/hyperlink" Target="https://feedbax.ai/geo-agencies" TargetMode="External"/><Relationship Id="rId488" Type="http://schemas.openxmlformats.org/officeDocument/2006/relationships/hyperlink" Target="http://influencer-hero.com" TargetMode="External"/><Relationship Id="rId487" Type="http://schemas.openxmlformats.org/officeDocument/2006/relationships/hyperlink" Target="https://www.influencer-hero.com/fr/blogs/top-pay-per-click-agencies-in-germany" TargetMode="External"/><Relationship Id="rId486" Type="http://schemas.openxmlformats.org/officeDocument/2006/relationships/hyperlink" Target="http://icoda.io" TargetMode="External"/><Relationship Id="rId485" Type="http://schemas.openxmlformats.org/officeDocument/2006/relationships/hyperlink" Target="https://icoda.io/de/ai/best-ai-seo-agency-germany/" TargetMode="External"/><Relationship Id="rId480" Type="http://schemas.openxmlformats.org/officeDocument/2006/relationships/hyperlink" Target="http://designrush.com" TargetMode="External"/><Relationship Id="rId479" Type="http://schemas.openxmlformats.org/officeDocument/2006/relationships/hyperlink" Target="https://www.designrush.com/agency/digital-marketing/artificial-intelligence" TargetMode="External"/><Relationship Id="rId478" Type="http://schemas.openxmlformats.org/officeDocument/2006/relationships/hyperlink" Target="http://statista.com" TargetMode="External"/><Relationship Id="rId473" Type="http://schemas.openxmlformats.org/officeDocument/2006/relationships/hyperlink" Target="http://clutch.co" TargetMode="External"/><Relationship Id="rId472" Type="http://schemas.openxmlformats.org/officeDocument/2006/relationships/hyperlink" Target="https://clutch.co/de/seo-firms" TargetMode="External"/><Relationship Id="rId471" Type="http://schemas.openxmlformats.org/officeDocument/2006/relationships/hyperlink" Target="http://clutch.co" TargetMode="External"/><Relationship Id="rId470" Type="http://schemas.openxmlformats.org/officeDocument/2006/relationships/hyperlink" Target="https://clutch.co/de/agencies/social-media-marketing/influencer" TargetMode="External"/><Relationship Id="rId477" Type="http://schemas.openxmlformats.org/officeDocument/2006/relationships/hyperlink" Target="https://de.statista.com/statistik/daten/studie/168621/umfrage/top-30-kommunikationsagenturen-in-deutschland/" TargetMode="External"/><Relationship Id="rId476" Type="http://schemas.openxmlformats.org/officeDocument/2006/relationships/hyperlink" Target="https://csw.agency/en/the-best-geo-agencies-duesseldorf/" TargetMode="External"/><Relationship Id="rId475" Type="http://schemas.openxmlformats.org/officeDocument/2006/relationships/hyperlink" Target="http://contextstudios.ai" TargetMode="External"/><Relationship Id="rId474" Type="http://schemas.openxmlformats.org/officeDocument/2006/relationships/hyperlink" Target="https://www.contextstudios.ai/blog/best-ai-agencies-berlin-2026-the-ultimate-comparison" TargetMode="External"/><Relationship Id="rId1257" Type="http://schemas.openxmlformats.org/officeDocument/2006/relationships/hyperlink" Target="https://thecxlead.com/services/best-customer-data-platform-consulting/" TargetMode="External"/><Relationship Id="rId1258" Type="http://schemas.openxmlformats.org/officeDocument/2006/relationships/hyperlink" Target="http://thecxlead.com" TargetMode="External"/><Relationship Id="rId1259" Type="http://schemas.openxmlformats.org/officeDocument/2006/relationships/hyperlink" Target="https://www.thedrum.com/news/world-creative-rankings-2023-adland-s-top-independent-agencies-revealed" TargetMode="External"/><Relationship Id="rId426" Type="http://schemas.openxmlformats.org/officeDocument/2006/relationships/hyperlink" Target="https://themanifest.com/de/advertising/agencies" TargetMode="External"/><Relationship Id="rId425" Type="http://schemas.openxmlformats.org/officeDocument/2006/relationships/hyperlink" Target="http://minuttia.com" TargetMode="External"/><Relationship Id="rId424" Type="http://schemas.openxmlformats.org/officeDocument/2006/relationships/hyperlink" Target="https://minuttia.com/best-geo-agencies/" TargetMode="External"/><Relationship Id="rId423" Type="http://schemas.openxmlformats.org/officeDocument/2006/relationships/hyperlink" Target="http://measured.com" TargetMode="External"/><Relationship Id="rId429" Type="http://schemas.openxmlformats.org/officeDocument/2006/relationships/hyperlink" Target="http://semrush.com" TargetMode="External"/><Relationship Id="rId428" Type="http://schemas.openxmlformats.org/officeDocument/2006/relationships/hyperlink" Target="https://agencies.semrush.com/list/information-technology/germany/" TargetMode="External"/><Relationship Id="rId427" Type="http://schemas.openxmlformats.org/officeDocument/2006/relationships/hyperlink" Target="http://themanifest.com" TargetMode="External"/><Relationship Id="rId1250" Type="http://schemas.openxmlformats.org/officeDocument/2006/relationships/hyperlink" Target="http://terratern.com" TargetMode="External"/><Relationship Id="rId1251" Type="http://schemas.openxmlformats.org/officeDocument/2006/relationships/hyperlink" Target="https://www.theadfirm.net/ai-seo/" TargetMode="External"/><Relationship Id="rId1252" Type="http://schemas.openxmlformats.org/officeDocument/2006/relationships/hyperlink" Target="http://theadfirm.net" TargetMode="External"/><Relationship Id="rId422" Type="http://schemas.openxmlformats.org/officeDocument/2006/relationships/hyperlink" Target="https://www.measured.com/faq/best-incrementality-testing-companies-software-for-marketing-2025/" TargetMode="External"/><Relationship Id="rId1253" Type="http://schemas.openxmlformats.org/officeDocument/2006/relationships/hyperlink" Target="https://www.thebusinessrover.com/blog/media-buying-agencies" TargetMode="External"/><Relationship Id="rId421" Type="http://schemas.openxmlformats.org/officeDocument/2006/relationships/hyperlink" Target="http://hikemytraffic.com" TargetMode="External"/><Relationship Id="rId1254" Type="http://schemas.openxmlformats.org/officeDocument/2006/relationships/hyperlink" Target="http://thebusinessrover.com" TargetMode="External"/><Relationship Id="rId420" Type="http://schemas.openxmlformats.org/officeDocument/2006/relationships/hyperlink" Target="https://hikemytraffic.com/ai-social-media-marketing-agencies-in-germany/" TargetMode="External"/><Relationship Id="rId1255" Type="http://schemas.openxmlformats.org/officeDocument/2006/relationships/hyperlink" Target="https://www.thebusinessrover.com/de/blog/growth-marketing-agencies" TargetMode="External"/><Relationship Id="rId1256" Type="http://schemas.openxmlformats.org/officeDocument/2006/relationships/hyperlink" Target="http://thebusinessrover.com" TargetMode="External"/><Relationship Id="rId1246" Type="http://schemas.openxmlformats.org/officeDocument/2006/relationships/hyperlink" Target="http://techbehemoths.com" TargetMode="External"/><Relationship Id="rId1247" Type="http://schemas.openxmlformats.org/officeDocument/2006/relationships/hyperlink" Target="https://techradiant.co/agencies/generative-engine-optimization/" TargetMode="External"/><Relationship Id="rId1248" Type="http://schemas.openxmlformats.org/officeDocument/2006/relationships/hyperlink" Target="http://techradiant.co" TargetMode="External"/><Relationship Id="rId1249" Type="http://schemas.openxmlformats.org/officeDocument/2006/relationships/hyperlink" Target="https://terratern.com/blog/civil-engineering-companies-in-germany/" TargetMode="External"/><Relationship Id="rId415" Type="http://schemas.openxmlformats.org/officeDocument/2006/relationships/hyperlink" Target="http://ensun.io" TargetMode="External"/><Relationship Id="rId414" Type="http://schemas.openxmlformats.org/officeDocument/2006/relationships/hyperlink" Target="https://ensun.io/search/market-intelligence/germany" TargetMode="External"/><Relationship Id="rId413" Type="http://schemas.openxmlformats.org/officeDocument/2006/relationships/hyperlink" Target="http://clutch.co" TargetMode="External"/><Relationship Id="rId412" Type="http://schemas.openxmlformats.org/officeDocument/2006/relationships/hyperlink" Target="https://clutch.co/de/agencies?page=6" TargetMode="External"/><Relationship Id="rId419" Type="http://schemas.openxmlformats.org/officeDocument/2006/relationships/hyperlink" Target="http://flypix.ai" TargetMode="External"/><Relationship Id="rId418" Type="http://schemas.openxmlformats.org/officeDocument/2006/relationships/hyperlink" Target="https://flypix.ai/geospatial-companies-in-germany/" TargetMode="External"/><Relationship Id="rId417" Type="http://schemas.openxmlformats.org/officeDocument/2006/relationships/hyperlink" Target="http://feedbax.ai" TargetMode="External"/><Relationship Id="rId416" Type="http://schemas.openxmlformats.org/officeDocument/2006/relationships/hyperlink" Target="https://feedbax.ai/creative-agencies" TargetMode="External"/><Relationship Id="rId1240" Type="http://schemas.openxmlformats.org/officeDocument/2006/relationships/hyperlink" Target="http://tech-now.io" TargetMode="External"/><Relationship Id="rId1241" Type="http://schemas.openxmlformats.org/officeDocument/2006/relationships/hyperlink" Target="https://tech.us/blog/top-ai-agent-development-companies-usa" TargetMode="External"/><Relationship Id="rId411" Type="http://schemas.openxmlformats.org/officeDocument/2006/relationships/hyperlink" Target="http://callboxinc.com" TargetMode="External"/><Relationship Id="rId1242" Type="http://schemas.openxmlformats.org/officeDocument/2006/relationships/hyperlink" Target="http://tech.us" TargetMode="External"/><Relationship Id="rId410" Type="http://schemas.openxmlformats.org/officeDocument/2006/relationships/hyperlink" Target="https://www.callboxinc.com/growth-hacking/best-aeo-agencies/" TargetMode="External"/><Relationship Id="rId1243" Type="http://schemas.openxmlformats.org/officeDocument/2006/relationships/hyperlink" Target="https://www.techaheadcorp.com/services/ai-development/" TargetMode="External"/><Relationship Id="rId1244" Type="http://schemas.openxmlformats.org/officeDocument/2006/relationships/hyperlink" Target="http://techaheadcorp.com" TargetMode="External"/><Relationship Id="rId1245" Type="http://schemas.openxmlformats.org/officeDocument/2006/relationships/hyperlink" Target="https://techbehemoths.com/companies/outdoor-advertising/germany" TargetMode="External"/><Relationship Id="rId1279" Type="http://schemas.openxmlformats.org/officeDocument/2006/relationships/hyperlink" Target="https://www.todaymade.com/blog/top-creative-agencies" TargetMode="External"/><Relationship Id="rId448" Type="http://schemas.openxmlformats.org/officeDocument/2006/relationships/hyperlink" Target="https://gemprogrammers.com/best-digital-marketing-agency-germany/" TargetMode="External"/><Relationship Id="rId447" Type="http://schemas.openxmlformats.org/officeDocument/2006/relationships/hyperlink" Target="http://firstpagesage.com" TargetMode="External"/><Relationship Id="rId446" Type="http://schemas.openxmlformats.org/officeDocument/2006/relationships/hyperlink" Target="https://firstpagesage.com/seo-blog/the-top-answer-engine-optimization-aeo-companies/" TargetMode="External"/><Relationship Id="rId445" Type="http://schemas.openxmlformats.org/officeDocument/2006/relationships/hyperlink" Target="http://designrush.com" TargetMode="External"/><Relationship Id="rId449" Type="http://schemas.openxmlformats.org/officeDocument/2006/relationships/hyperlink" Target="http://gemprogrammers.com" TargetMode="External"/><Relationship Id="rId1270" Type="http://schemas.openxmlformats.org/officeDocument/2006/relationships/hyperlink" Target="http://therankmasters.com" TargetMode="External"/><Relationship Id="rId440" Type="http://schemas.openxmlformats.org/officeDocument/2006/relationships/hyperlink" Target="https://clutch.co/de/developers/artificial-intelligence" TargetMode="External"/><Relationship Id="rId1271" Type="http://schemas.openxmlformats.org/officeDocument/2006/relationships/hyperlink" Target="https://thesocialshepherd.com/blog/top-creative-agencies-us" TargetMode="External"/><Relationship Id="rId1272" Type="http://schemas.openxmlformats.org/officeDocument/2006/relationships/hyperlink" Target="http://thesocialshepherd.com" TargetMode="External"/><Relationship Id="rId1273" Type="http://schemas.openxmlformats.org/officeDocument/2006/relationships/hyperlink" Target="https://thetechfounders.co.uk/guides/10-best-ai-readiness-assessment-platforms-available-in-2026/" TargetMode="External"/><Relationship Id="rId1274" Type="http://schemas.openxmlformats.org/officeDocument/2006/relationships/hyperlink" Target="http://thetechfounders.co.uk" TargetMode="External"/><Relationship Id="rId444" Type="http://schemas.openxmlformats.org/officeDocument/2006/relationships/hyperlink" Target="https://www.designrush.com/agency/ai-companies/de" TargetMode="External"/><Relationship Id="rId1275" Type="http://schemas.openxmlformats.org/officeDocument/2006/relationships/hyperlink" Target="https://thinkwithalec.com/2025/03/02/best-marketing-platforms-for-tracking-first-party-data/" TargetMode="External"/><Relationship Id="rId443" Type="http://schemas.openxmlformats.org/officeDocument/2006/relationships/hyperlink" Target="http://clutch.co" TargetMode="External"/><Relationship Id="rId1276" Type="http://schemas.openxmlformats.org/officeDocument/2006/relationships/hyperlink" Target="http://thinkwithalec.com" TargetMode="External"/><Relationship Id="rId442" Type="http://schemas.openxmlformats.org/officeDocument/2006/relationships/hyperlink" Target="https://clutch.co/de/developers/artificial-intelligence/generative" TargetMode="External"/><Relationship Id="rId1277" Type="http://schemas.openxmlformats.org/officeDocument/2006/relationships/hyperlink" Target="https://threebestrated.de/advertising-agencies-in-frankfurt" TargetMode="External"/><Relationship Id="rId441" Type="http://schemas.openxmlformats.org/officeDocument/2006/relationships/hyperlink" Target="http://clutch.co" TargetMode="External"/><Relationship Id="rId1278" Type="http://schemas.openxmlformats.org/officeDocument/2006/relationships/hyperlink" Target="http://threebestrated.de" TargetMode="External"/><Relationship Id="rId1268" Type="http://schemas.openxmlformats.org/officeDocument/2006/relationships/hyperlink" Target="http://themanifest.com" TargetMode="External"/><Relationship Id="rId1269" Type="http://schemas.openxmlformats.org/officeDocument/2006/relationships/hyperlink" Target="https://www.therankmasters.com/insights/vendors/best-aeo-agencies" TargetMode="External"/><Relationship Id="rId437" Type="http://schemas.openxmlformats.org/officeDocument/2006/relationships/hyperlink" Target="http://clutch.co" TargetMode="External"/><Relationship Id="rId436" Type="http://schemas.openxmlformats.org/officeDocument/2006/relationships/hyperlink" Target="https://clutch.co/de/agencies/programmatic" TargetMode="External"/><Relationship Id="rId435" Type="http://schemas.openxmlformats.org/officeDocument/2006/relationships/hyperlink" Target="http://clutch.co" TargetMode="External"/><Relationship Id="rId434" Type="http://schemas.openxmlformats.org/officeDocument/2006/relationships/hyperlink" Target="https://clutch.co/agencies/ppc/display" TargetMode="External"/><Relationship Id="rId439" Type="http://schemas.openxmlformats.org/officeDocument/2006/relationships/hyperlink" Target="http://clutch.co" TargetMode="External"/><Relationship Id="rId438" Type="http://schemas.openxmlformats.org/officeDocument/2006/relationships/hyperlink" Target="https://clutch.co/de/consulting/ai/maturation" TargetMode="External"/><Relationship Id="rId1260" Type="http://schemas.openxmlformats.org/officeDocument/2006/relationships/hyperlink" Target="http://thedrum.com" TargetMode="External"/><Relationship Id="rId1261" Type="http://schemas.openxmlformats.org/officeDocument/2006/relationships/hyperlink" Target="https://www.thekeenfolks.com/blog-article/best-performance-marketing-agencies" TargetMode="External"/><Relationship Id="rId1262" Type="http://schemas.openxmlformats.org/officeDocument/2006/relationships/hyperlink" Target="http://thekeenfolks.com" TargetMode="External"/><Relationship Id="rId1263" Type="http://schemas.openxmlformats.org/officeDocument/2006/relationships/hyperlink" Target="https://themanifest.com/de/artificial-intelligence/companies" TargetMode="External"/><Relationship Id="rId433" Type="http://schemas.openxmlformats.org/officeDocument/2006/relationships/hyperlink" Target="http://applabx.com" TargetMode="External"/><Relationship Id="rId1264" Type="http://schemas.openxmlformats.org/officeDocument/2006/relationships/hyperlink" Target="http://themanifest.com" TargetMode="External"/><Relationship Id="rId432" Type="http://schemas.openxmlformats.org/officeDocument/2006/relationships/hyperlink" Target="https://blog.applabx.com/top-10-best-digital-marketing-agencies-in-germany-in-2026/" TargetMode="External"/><Relationship Id="rId1265" Type="http://schemas.openxmlformats.org/officeDocument/2006/relationships/hyperlink" Target="https://themanifest.com/de/social-media/linkedin/agencies" TargetMode="External"/><Relationship Id="rId431" Type="http://schemas.openxmlformats.org/officeDocument/2006/relationships/hyperlink" Target="http://semrush.com" TargetMode="External"/><Relationship Id="rId1266" Type="http://schemas.openxmlformats.org/officeDocument/2006/relationships/hyperlink" Target="http://themanifest.com" TargetMode="External"/><Relationship Id="rId430" Type="http://schemas.openxmlformats.org/officeDocument/2006/relationships/hyperlink" Target="https://agencies.semrush.com/list/programmatic-advertising/germany/" TargetMode="External"/><Relationship Id="rId1267" Type="http://schemas.openxmlformats.org/officeDocument/2006/relationships/hyperlink" Target="https://themanifest.com/de/social-media/tiktok/agencies" TargetMode="External"/><Relationship Id="rId1" Type="http://schemas.openxmlformats.org/officeDocument/2006/relationships/hyperlink" Target="http://clutch.co" TargetMode="External"/><Relationship Id="rId2" Type="http://schemas.openxmlformats.org/officeDocument/2006/relationships/hyperlink" Target="https://www.bakedwith.com/en/blog/the-best-geo-agencies-in-germany-an-overview" TargetMode="External"/><Relationship Id="rId3" Type="http://schemas.openxmlformats.org/officeDocument/2006/relationships/hyperlink" Target="http://bakedwith.com" TargetMode="External"/><Relationship Id="rId4" Type="http://schemas.openxmlformats.org/officeDocument/2006/relationships/hyperlink" Target="https://vitasoft.co/best/geo-agency-germany/" TargetMode="External"/><Relationship Id="rId9" Type="http://schemas.openxmlformats.org/officeDocument/2006/relationships/hyperlink" Target="http://clutch.co" TargetMode="External"/><Relationship Id="rId5" Type="http://schemas.openxmlformats.org/officeDocument/2006/relationships/hyperlink" Target="http://vitasoft.co" TargetMode="External"/><Relationship Id="rId6" Type="http://schemas.openxmlformats.org/officeDocument/2006/relationships/hyperlink" Target="https://agencies.semrush.com/list/germany/" TargetMode="External"/><Relationship Id="rId7" Type="http://schemas.openxmlformats.org/officeDocument/2006/relationships/hyperlink" Target="http://semrush.com" TargetMode="External"/><Relationship Id="rId8" Type="http://schemas.openxmlformats.org/officeDocument/2006/relationships/hyperlink" Target="https://clutch.co/de/agencies" TargetMode="External"/><Relationship Id="rId808" Type="http://schemas.openxmlformats.org/officeDocument/2006/relationships/hyperlink" Target="https://aimonk.com/top-genai-development-services/" TargetMode="External"/><Relationship Id="rId807" Type="http://schemas.openxmlformats.org/officeDocument/2006/relationships/hyperlink" Target="http://aimers.io" TargetMode="External"/><Relationship Id="rId806" Type="http://schemas.openxmlformats.org/officeDocument/2006/relationships/hyperlink" Target="https://aimers.io/blog/top-11-saas-content-marketing-agencies" TargetMode="External"/><Relationship Id="rId805" Type="http://schemas.openxmlformats.org/officeDocument/2006/relationships/hyperlink" Target="http://aimers.io" TargetMode="External"/><Relationship Id="rId809" Type="http://schemas.openxmlformats.org/officeDocument/2006/relationships/hyperlink" Target="http://aimonk.com" TargetMode="External"/><Relationship Id="rId800" Type="http://schemas.openxmlformats.org/officeDocument/2006/relationships/hyperlink" Target="https://agencylist.com/services/analytics-reporting/de/" TargetMode="External"/><Relationship Id="rId804" Type="http://schemas.openxmlformats.org/officeDocument/2006/relationships/hyperlink" Target="https://aimers.io/blog/top-10-llm-optimization-agencies" TargetMode="External"/><Relationship Id="rId803" Type="http://schemas.openxmlformats.org/officeDocument/2006/relationships/hyperlink" Target="http://agenturtipp.de" TargetMode="External"/><Relationship Id="rId802" Type="http://schemas.openxmlformats.org/officeDocument/2006/relationships/hyperlink" Target="https://www.agenturtipp.de/werbeagenturen/" TargetMode="External"/><Relationship Id="rId801" Type="http://schemas.openxmlformats.org/officeDocument/2006/relationships/hyperlink" Target="http://agencylist.com" TargetMode="External"/><Relationship Id="rId1334" Type="http://schemas.openxmlformats.org/officeDocument/2006/relationships/hyperlink" Target="http://werbeagentur.de" TargetMode="External"/><Relationship Id="rId1335" Type="http://schemas.openxmlformats.org/officeDocument/2006/relationships/hyperlink" Target="https://westoperators.com/blog/top-7-aeo-agencies" TargetMode="External"/><Relationship Id="rId1336" Type="http://schemas.openxmlformats.org/officeDocument/2006/relationships/hyperlink" Target="http://westoperators.com" TargetMode="External"/><Relationship Id="rId1337" Type="http://schemas.openxmlformats.org/officeDocument/2006/relationships/hyperlink" Target="https://wifitalents.com/service/ai-adoption/" TargetMode="External"/><Relationship Id="rId1338" Type="http://schemas.openxmlformats.org/officeDocument/2006/relationships/hyperlink" Target="http://wifitalents.com" TargetMode="External"/><Relationship Id="rId1339" Type="http://schemas.openxmlformats.org/officeDocument/2006/relationships/hyperlink" Target="https://www.wmtips.com/technologies/marketing-attribution/" TargetMode="External"/><Relationship Id="rId745" Type="http://schemas.openxmlformats.org/officeDocument/2006/relationships/hyperlink" Target="http://tofuhq.com" TargetMode="External"/><Relationship Id="rId744" Type="http://schemas.openxmlformats.org/officeDocument/2006/relationships/hyperlink" Target="https://www.tofuhq.com/post/best-ai-agents-for-marketing" TargetMode="External"/><Relationship Id="rId743" Type="http://schemas.openxmlformats.org/officeDocument/2006/relationships/hyperlink" Target="http://themanifest.com" TargetMode="External"/><Relationship Id="rId742" Type="http://schemas.openxmlformats.org/officeDocument/2006/relationships/hyperlink" Target="https://themanifest.com/de/media-buying/agencies" TargetMode="External"/><Relationship Id="rId749" Type="http://schemas.openxmlformats.org/officeDocument/2006/relationships/hyperlink" Target="http://wamdigital.com" TargetMode="External"/><Relationship Id="rId748" Type="http://schemas.openxmlformats.org/officeDocument/2006/relationships/hyperlink" Target="https://wamdigital.com/blog/top-5-creative-and-web-development-agencies-for-scalable-production-in-2026" TargetMode="External"/><Relationship Id="rId747" Type="http://schemas.openxmlformats.org/officeDocument/2006/relationships/hyperlink" Target="http://upliftgtm.com" TargetMode="External"/><Relationship Id="rId746" Type="http://schemas.openxmlformats.org/officeDocument/2006/relationships/hyperlink" Target="https://www.upliftgtm.com/blog/best-geo-agencies" TargetMode="External"/><Relationship Id="rId741" Type="http://schemas.openxmlformats.org/officeDocument/2006/relationships/hyperlink" Target="http://themanifest.com" TargetMode="External"/><Relationship Id="rId1330" Type="http://schemas.openxmlformats.org/officeDocument/2006/relationships/hyperlink" Target="http://wellows.com" TargetMode="External"/><Relationship Id="rId740" Type="http://schemas.openxmlformats.org/officeDocument/2006/relationships/hyperlink" Target="https://themanifest.com/de/big-data/companies" TargetMode="External"/><Relationship Id="rId1331" Type="http://schemas.openxmlformats.org/officeDocument/2006/relationships/hyperlink" Target="https://www.werbeagentur.de/de/scoring/ab-testing" TargetMode="External"/><Relationship Id="rId1332" Type="http://schemas.openxmlformats.org/officeDocument/2006/relationships/hyperlink" Target="http://werbeagentur.de" TargetMode="External"/><Relationship Id="rId1333" Type="http://schemas.openxmlformats.org/officeDocument/2006/relationships/hyperlink" Target="https://www.werbeagentur.de/de/scoring/digital-online-agentur" TargetMode="External"/><Relationship Id="rId1323" Type="http://schemas.openxmlformats.org/officeDocument/2006/relationships/hyperlink" Target="https://webguruz.in/blog/best-google-ads-agencies-india" TargetMode="External"/><Relationship Id="rId1324" Type="http://schemas.openxmlformats.org/officeDocument/2006/relationships/hyperlink" Target="http://webguruz.in" TargetMode="External"/><Relationship Id="rId1325" Type="http://schemas.openxmlformats.org/officeDocument/2006/relationships/hyperlink" Target="https://www.webtonic.io/blog/best-performance-marketing-agencies-2026" TargetMode="External"/><Relationship Id="rId1326" Type="http://schemas.openxmlformats.org/officeDocument/2006/relationships/hyperlink" Target="http://webtonic.io" TargetMode="External"/><Relationship Id="rId1327" Type="http://schemas.openxmlformats.org/officeDocument/2006/relationships/hyperlink" Target="https://weframetech.com/blog/top-ai-seo-agencies-in-berlin-7-firms-leading-in-2026" TargetMode="External"/><Relationship Id="rId1328" Type="http://schemas.openxmlformats.org/officeDocument/2006/relationships/hyperlink" Target="http://weframetech.com" TargetMode="External"/><Relationship Id="rId1329" Type="http://schemas.openxmlformats.org/officeDocument/2006/relationships/hyperlink" Target="https://wellows.com/blog/top-ai-seo-agencies/" TargetMode="External"/><Relationship Id="rId739" Type="http://schemas.openxmlformats.org/officeDocument/2006/relationships/hyperlink" Target="http://thegrowthsyndicate.com" TargetMode="External"/><Relationship Id="rId734" Type="http://schemas.openxmlformats.org/officeDocument/2006/relationships/hyperlink" Target="https://www.suchhelden.de/beste-google-ads-agenturen-deutschlands.php" TargetMode="External"/><Relationship Id="rId733" Type="http://schemas.openxmlformats.org/officeDocument/2006/relationships/hyperlink" Target="http://sourceforge.net" TargetMode="External"/><Relationship Id="rId732" Type="http://schemas.openxmlformats.org/officeDocument/2006/relationships/hyperlink" Target="https://sourceforge.net/software/marketing-analytics/germany/" TargetMode="External"/><Relationship Id="rId731" Type="http://schemas.openxmlformats.org/officeDocument/2006/relationships/hyperlink" Target="http://sortlist.com" TargetMode="External"/><Relationship Id="rId738" Type="http://schemas.openxmlformats.org/officeDocument/2006/relationships/hyperlink" Target="https://www.thegrowthsyndicate.com/agencies/best-digital-marketing-agencies-europe" TargetMode="External"/><Relationship Id="rId737" Type="http://schemas.openxmlformats.org/officeDocument/2006/relationships/hyperlink" Target="http://superside.com" TargetMode="External"/><Relationship Id="rId736" Type="http://schemas.openxmlformats.org/officeDocument/2006/relationships/hyperlink" Target="https://www.superside.com/blog/creative-agencies" TargetMode="External"/><Relationship Id="rId735" Type="http://schemas.openxmlformats.org/officeDocument/2006/relationships/hyperlink" Target="http://suchhelden.de" TargetMode="External"/><Relationship Id="rId730" Type="http://schemas.openxmlformats.org/officeDocument/2006/relationships/hyperlink" Target="https://www.sortlist.com/s/tiktok-advertising/germany-de" TargetMode="External"/><Relationship Id="rId1320" Type="http://schemas.openxmlformats.org/officeDocument/2006/relationships/hyperlink" Target="http://wearetenet.com" TargetMode="External"/><Relationship Id="rId1321" Type="http://schemas.openxmlformats.org/officeDocument/2006/relationships/hyperlink" Target="https://www.webfx.com/digital-marketing/learn/top-martech-companies/" TargetMode="External"/><Relationship Id="rId1322" Type="http://schemas.openxmlformats.org/officeDocument/2006/relationships/hyperlink" Target="http://webfx.com" TargetMode="External"/><Relationship Id="rId1356" Type="http://schemas.openxmlformats.org/officeDocument/2006/relationships/hyperlink" Target="http://yotpo.com" TargetMode="External"/><Relationship Id="rId1357" Type="http://schemas.openxmlformats.org/officeDocument/2006/relationships/hyperlink" Target="https://www.youfinddigital.com/blog/best-geo-agency-for-ai-search.html" TargetMode="External"/><Relationship Id="rId1358" Type="http://schemas.openxmlformats.org/officeDocument/2006/relationships/hyperlink" Target="http://youfinddigital.com" TargetMode="External"/><Relationship Id="rId1359" Type="http://schemas.openxmlformats.org/officeDocument/2006/relationships/hyperlink" Target="https://www.youtube.com/watch?v=GCuRtQenQ80&amp;t=153" TargetMode="External"/><Relationship Id="rId767" Type="http://schemas.openxmlformats.org/officeDocument/2006/relationships/hyperlink" Target="http://adstellar.ai" TargetMode="External"/><Relationship Id="rId766" Type="http://schemas.openxmlformats.org/officeDocument/2006/relationships/hyperlink" Target="https://www.adstellar.ai/blog/media-buying-automation-tools" TargetMode="External"/><Relationship Id="rId765" Type="http://schemas.openxmlformats.org/officeDocument/2006/relationships/hyperlink" Target="http://adoptify.ai" TargetMode="External"/><Relationship Id="rId764" Type="http://schemas.openxmlformats.org/officeDocument/2006/relationships/hyperlink" Target="https://www.adoptify.ai/blogs/top-enterprise-ai-adoption-consulting-firms-2026-comparison/" TargetMode="External"/><Relationship Id="rId769" Type="http://schemas.openxmlformats.org/officeDocument/2006/relationships/hyperlink" Target="http://aeo-collective.com" TargetMode="External"/><Relationship Id="rId768" Type="http://schemas.openxmlformats.org/officeDocument/2006/relationships/hyperlink" Target="https://aeo-collective.com/blog/top-10-aeo-geo-aio-marketing-agencies-in-april-2026/" TargetMode="External"/><Relationship Id="rId1350" Type="http://schemas.openxmlformats.org/officeDocument/2006/relationships/hyperlink" Target="http://xmethod.de" TargetMode="External"/><Relationship Id="rId1351" Type="http://schemas.openxmlformats.org/officeDocument/2006/relationships/hyperlink" Target="https://www.xmethod.de/en/blog/top-10-app-development-companies" TargetMode="External"/><Relationship Id="rId763" Type="http://schemas.openxmlformats.org/officeDocument/2006/relationships/hyperlink" Target="http://2pointagency.com" TargetMode="External"/><Relationship Id="rId1352" Type="http://schemas.openxmlformats.org/officeDocument/2006/relationships/hyperlink" Target="http://xmethod.de" TargetMode="External"/><Relationship Id="rId762" Type="http://schemas.openxmlformats.org/officeDocument/2006/relationships/hyperlink" Target="https://www.2pointagency.com/glossary/data-activation-and-first-party-data-strategy-a-comprehensive-guide-for-businesses/" TargetMode="External"/><Relationship Id="rId1353" Type="http://schemas.openxmlformats.org/officeDocument/2006/relationships/hyperlink" Target="https://www.yesoptimist.com/best-geo-agencies/" TargetMode="External"/><Relationship Id="rId761" Type="http://schemas.openxmlformats.org/officeDocument/2006/relationships/hyperlink" Target="http://zupo.co" TargetMode="External"/><Relationship Id="rId1354" Type="http://schemas.openxmlformats.org/officeDocument/2006/relationships/hyperlink" Target="http://yesoptimist.com" TargetMode="External"/><Relationship Id="rId760" Type="http://schemas.openxmlformats.org/officeDocument/2006/relationships/hyperlink" Target="https://zupo.co/best-aeo-agencies/" TargetMode="External"/><Relationship Id="rId1355" Type="http://schemas.openxmlformats.org/officeDocument/2006/relationships/hyperlink" Target="https://www.yotpo.com/blog/aeo-vs-seo-strategy/" TargetMode="External"/><Relationship Id="rId1345" Type="http://schemas.openxmlformats.org/officeDocument/2006/relationships/hyperlink" Target="https://www1.varify.io/en/blog/cro-agencies/" TargetMode="External"/><Relationship Id="rId1346" Type="http://schemas.openxmlformats.org/officeDocument/2006/relationships/hyperlink" Target="http://varify.io" TargetMode="External"/><Relationship Id="rId1347" Type="http://schemas.openxmlformats.org/officeDocument/2006/relationships/hyperlink" Target="https://xcelacore.com/ai-consultants-for-mid-sized-companies/" TargetMode="External"/><Relationship Id="rId1348" Type="http://schemas.openxmlformats.org/officeDocument/2006/relationships/hyperlink" Target="http://xcelacore.com" TargetMode="External"/><Relationship Id="rId1349" Type="http://schemas.openxmlformats.org/officeDocument/2006/relationships/hyperlink" Target="https://www.xmethod.de/en/blog/best-flutter-app-development-companies" TargetMode="External"/><Relationship Id="rId756" Type="http://schemas.openxmlformats.org/officeDocument/2006/relationships/hyperlink" Target="https://wpseoai.com/blog/best-geo-llm-agency-in-hamburg-with-geo-llm-optimization-technology/" TargetMode="External"/><Relationship Id="rId755" Type="http://schemas.openxmlformats.org/officeDocument/2006/relationships/hyperlink" Target="http://werbeagentur.de" TargetMode="External"/><Relationship Id="rId754" Type="http://schemas.openxmlformats.org/officeDocument/2006/relationships/hyperlink" Target="https://www.werbeagentur.de/en/scoring/programmatic-advertising" TargetMode="External"/><Relationship Id="rId753" Type="http://schemas.openxmlformats.org/officeDocument/2006/relationships/hyperlink" Target="http://webtonic.io" TargetMode="External"/><Relationship Id="rId759" Type="http://schemas.openxmlformats.org/officeDocument/2006/relationships/hyperlink" Target="http://zipdo.co" TargetMode="External"/><Relationship Id="rId758" Type="http://schemas.openxmlformats.org/officeDocument/2006/relationships/hyperlink" Target="https://zipdo.co/service/attribution/" TargetMode="External"/><Relationship Id="rId757" Type="http://schemas.openxmlformats.org/officeDocument/2006/relationships/hyperlink" Target="http://wpseoai.com" TargetMode="External"/><Relationship Id="rId1340" Type="http://schemas.openxmlformats.org/officeDocument/2006/relationships/hyperlink" Target="http://wmtips.com" TargetMode="External"/><Relationship Id="rId752" Type="http://schemas.openxmlformats.org/officeDocument/2006/relationships/hyperlink" Target="https://www.webtonic.io/blog/top-creative-performance-agencies" TargetMode="External"/><Relationship Id="rId1341" Type="http://schemas.openxmlformats.org/officeDocument/2006/relationships/hyperlink" Target="https://worldmetrics.org/service/ai-adoption/" TargetMode="External"/><Relationship Id="rId751" Type="http://schemas.openxmlformats.org/officeDocument/2006/relationships/hyperlink" Target="http://webtonic.io" TargetMode="External"/><Relationship Id="rId1342" Type="http://schemas.openxmlformats.org/officeDocument/2006/relationships/hyperlink" Target="http://worldmetrics.org" TargetMode="External"/><Relationship Id="rId750" Type="http://schemas.openxmlformats.org/officeDocument/2006/relationships/hyperlink" Target="https://www.webtonic.io/blog/best-performance-marketing-agencies" TargetMode="External"/><Relationship Id="rId1343" Type="http://schemas.openxmlformats.org/officeDocument/2006/relationships/hyperlink" Target="https://worldmetrics.org/service/data-marketing/" TargetMode="External"/><Relationship Id="rId1344" Type="http://schemas.openxmlformats.org/officeDocument/2006/relationships/hyperlink" Target="http://worldmetrics.org" TargetMode="External"/><Relationship Id="rId709" Type="http://schemas.openxmlformats.org/officeDocument/2006/relationships/hyperlink" Target="http://segmentstream.com" TargetMode="External"/><Relationship Id="rId708" Type="http://schemas.openxmlformats.org/officeDocument/2006/relationships/hyperlink" Target="https://segmentstream.com/blog/articles/measured-com-alternatives" TargetMode="External"/><Relationship Id="rId707" Type="http://schemas.openxmlformats.org/officeDocument/2006/relationships/hyperlink" Target="http://segmentstream.com" TargetMode="External"/><Relationship Id="rId706" Type="http://schemas.openxmlformats.org/officeDocument/2006/relationships/hyperlink" Target="https://segmentstream.com/blog/articles/best-attribution-tools" TargetMode="External"/><Relationship Id="rId701" Type="http://schemas.openxmlformats.org/officeDocument/2006/relationships/hyperlink" Target="http://rzlt.io" TargetMode="External"/><Relationship Id="rId700" Type="http://schemas.openxmlformats.org/officeDocument/2006/relationships/hyperlink" Target="https://www.rzlt.io/blog/best-ai-marketing-agencies-in-2026-the-definitive-guide-by-specialty" TargetMode="External"/><Relationship Id="rId705" Type="http://schemas.openxmlformats.org/officeDocument/2006/relationships/hyperlink" Target="http://scopicstudios.com" TargetMode="External"/><Relationship Id="rId704" Type="http://schemas.openxmlformats.org/officeDocument/2006/relationships/hyperlink" Target="https://scopicstudios.com/blog/best-incrementality-testing-tools-2026/" TargetMode="External"/><Relationship Id="rId703" Type="http://schemas.openxmlformats.org/officeDocument/2006/relationships/hyperlink" Target="http://scalixai.com" TargetMode="External"/><Relationship Id="rId702" Type="http://schemas.openxmlformats.org/officeDocument/2006/relationships/hyperlink" Target="https://scalixai.com/blog/best-performance-marketing-agencies" TargetMode="External"/><Relationship Id="rId1312" Type="http://schemas.openxmlformats.org/officeDocument/2006/relationships/hyperlink" Target="http://vitasoft.co" TargetMode="External"/><Relationship Id="rId1313" Type="http://schemas.openxmlformats.org/officeDocument/2006/relationships/hyperlink" Target="https://vitasoft.co/de/best/geo-agentur-deutschland/" TargetMode="External"/><Relationship Id="rId1314" Type="http://schemas.openxmlformats.org/officeDocument/2006/relationships/hyperlink" Target="http://vitasoft.co" TargetMode="External"/><Relationship Id="rId1315" Type="http://schemas.openxmlformats.org/officeDocument/2006/relationships/hyperlink" Target="https://www.weareqry.com/blog/best-paid-media-agencies" TargetMode="External"/><Relationship Id="rId1316" Type="http://schemas.openxmlformats.org/officeDocument/2006/relationships/hyperlink" Target="http://weareqry.com" TargetMode="External"/><Relationship Id="rId1317" Type="http://schemas.openxmlformats.org/officeDocument/2006/relationships/hyperlink" Target="https://www.weareqry.com/blog/best-performance-marketing-agencies" TargetMode="External"/><Relationship Id="rId1318" Type="http://schemas.openxmlformats.org/officeDocument/2006/relationships/hyperlink" Target="http://weareqry.com" TargetMode="External"/><Relationship Id="rId1319" Type="http://schemas.openxmlformats.org/officeDocument/2006/relationships/hyperlink" Target="https://www.wearetenet.com/blog/best-ai-seo-agencies" TargetMode="External"/><Relationship Id="rId729" Type="http://schemas.openxmlformats.org/officeDocument/2006/relationships/hyperlink" Target="http://sortlist.com" TargetMode="External"/><Relationship Id="rId728" Type="http://schemas.openxmlformats.org/officeDocument/2006/relationships/hyperlink" Target="https://www.sortlist.com/s/online-marketing/germany-de" TargetMode="External"/><Relationship Id="rId723" Type="http://schemas.openxmlformats.org/officeDocument/2006/relationships/hyperlink" Target="http://sortlist.com" TargetMode="External"/><Relationship Id="rId722" Type="http://schemas.openxmlformats.org/officeDocument/2006/relationships/hyperlink" Target="https://www.sortlist.com/s/b2b-digital-marketing/germany-de" TargetMode="External"/><Relationship Id="rId721" Type="http://schemas.openxmlformats.org/officeDocument/2006/relationships/hyperlink" Target="http://sortlist.com" TargetMode="External"/><Relationship Id="rId720" Type="http://schemas.openxmlformats.org/officeDocument/2006/relationships/hyperlink" Target="https://www.sortlist.com/performance-marketing" TargetMode="External"/><Relationship Id="rId727" Type="http://schemas.openxmlformats.org/officeDocument/2006/relationships/hyperlink" Target="http://sortlist.com" TargetMode="External"/><Relationship Id="rId726" Type="http://schemas.openxmlformats.org/officeDocument/2006/relationships/hyperlink" Target="https://www.sortlist.com/s/creative-design/germany-de" TargetMode="External"/><Relationship Id="rId725" Type="http://schemas.openxmlformats.org/officeDocument/2006/relationships/hyperlink" Target="http://sortlist.com" TargetMode="External"/><Relationship Id="rId724" Type="http://schemas.openxmlformats.org/officeDocument/2006/relationships/hyperlink" Target="https://www.sortlist.com/s/brand-creation/germany-de" TargetMode="External"/><Relationship Id="rId1310" Type="http://schemas.openxmlformats.org/officeDocument/2006/relationships/hyperlink" Target="https://viston.tech/top-10-ai-integration-consulting-firms-in-germany-for-2026/" TargetMode="External"/><Relationship Id="rId1311" Type="http://schemas.openxmlformats.org/officeDocument/2006/relationships/hyperlink" Target="https://vitasoft.co/best/geo-agentur-deutschland" TargetMode="External"/><Relationship Id="rId1301" Type="http://schemas.openxmlformats.org/officeDocument/2006/relationships/hyperlink" Target="http://upwork.com" TargetMode="External"/><Relationship Id="rId1302" Type="http://schemas.openxmlformats.org/officeDocument/2006/relationships/hyperlink" Target="https://varify.io/en/blog/cro-agencies/" TargetMode="External"/><Relationship Id="rId1303" Type="http://schemas.openxmlformats.org/officeDocument/2006/relationships/hyperlink" Target="http://varify.io" TargetMode="External"/><Relationship Id="rId1304" Type="http://schemas.openxmlformats.org/officeDocument/2006/relationships/hyperlink" Target="https://venngage.com/blog/ai-marketing-tools/" TargetMode="External"/><Relationship Id="rId1305" Type="http://schemas.openxmlformats.org/officeDocument/2006/relationships/hyperlink" Target="http://venngage.com" TargetMode="External"/><Relationship Id="rId1306" Type="http://schemas.openxmlformats.org/officeDocument/2006/relationships/hyperlink" Target="https://vertriebspilot.ai/en/blog/best-german-ai-automation-agencies-2026.html" TargetMode="External"/><Relationship Id="rId1307" Type="http://schemas.openxmlformats.org/officeDocument/2006/relationships/hyperlink" Target="http://vertriebspilot.ai" TargetMode="External"/><Relationship Id="rId1308" Type="http://schemas.openxmlformats.org/officeDocument/2006/relationships/hyperlink" Target="https://vibebranding.com/blog/best-performance-marketing-agencies/" TargetMode="External"/><Relationship Id="rId1309" Type="http://schemas.openxmlformats.org/officeDocument/2006/relationships/hyperlink" Target="http://vibebranding.com" TargetMode="External"/><Relationship Id="rId719" Type="http://schemas.openxmlformats.org/officeDocument/2006/relationships/hyperlink" Target="http://sortlist.com" TargetMode="External"/><Relationship Id="rId718" Type="http://schemas.openxmlformats.org/officeDocument/2006/relationships/hyperlink" Target="https://www.sortlist.com/i/s/growth-marketing/germany-de" TargetMode="External"/><Relationship Id="rId717" Type="http://schemas.openxmlformats.org/officeDocument/2006/relationships/hyperlink" Target="http://social-media-agency-germany.com" TargetMode="External"/><Relationship Id="rId712" Type="http://schemas.openxmlformats.org/officeDocument/2006/relationships/hyperlink" Target="https://www.seoworks.com/lists/top-b2b-geo-and-aeo-agencies/" TargetMode="External"/><Relationship Id="rId711" Type="http://schemas.openxmlformats.org/officeDocument/2006/relationships/hyperlink" Target="http://segmentstream.com" TargetMode="External"/><Relationship Id="rId710" Type="http://schemas.openxmlformats.org/officeDocument/2006/relationships/hyperlink" Target="https://segmentstream.com/blog/articles/top-haus-io-alternatives-for-geo-lift-incrementality-testing" TargetMode="External"/><Relationship Id="rId716" Type="http://schemas.openxmlformats.org/officeDocument/2006/relationships/hyperlink" Target="https://social-media-agency-germany.com/social-media-growth-agencies" TargetMode="External"/><Relationship Id="rId715" Type="http://schemas.openxmlformats.org/officeDocument/2006/relationships/hyperlink" Target="http://silverspoonagency.com" TargetMode="External"/><Relationship Id="rId714" Type="http://schemas.openxmlformats.org/officeDocument/2006/relationships/hyperlink" Target="https://silverspoonagency.com/best-performance-marketing-agencies/" TargetMode="External"/><Relationship Id="rId713" Type="http://schemas.openxmlformats.org/officeDocument/2006/relationships/hyperlink" Target="http://seoworks.com" TargetMode="External"/><Relationship Id="rId1300" Type="http://schemas.openxmlformats.org/officeDocument/2006/relationships/hyperlink" Target="https://www.upwork.com/resources/generative-ai-applications" TargetMode="External"/><Relationship Id="rId789" Type="http://schemas.openxmlformats.org/officeDocument/2006/relationships/hyperlink" Target="http://semrush.com" TargetMode="External"/><Relationship Id="rId788" Type="http://schemas.openxmlformats.org/officeDocument/2006/relationships/hyperlink" Target="https://agencies.semrush.com/list/machine-learning-and-ai/germany/enterprise-business/" TargetMode="External"/><Relationship Id="rId787" Type="http://schemas.openxmlformats.org/officeDocument/2006/relationships/hyperlink" Target="http://semrush.com" TargetMode="External"/><Relationship Id="rId786" Type="http://schemas.openxmlformats.org/officeDocument/2006/relationships/hyperlink" Target="https://agencies.semrush.com/list/los-angeles/" TargetMode="External"/><Relationship Id="rId781" Type="http://schemas.openxmlformats.org/officeDocument/2006/relationships/hyperlink" Target="http://semrush.com" TargetMode="External"/><Relationship Id="rId1370" Type="http://schemas.openxmlformats.org/officeDocument/2006/relationships/hyperlink" Target="http://zipdo.co" TargetMode="External"/><Relationship Id="rId780" Type="http://schemas.openxmlformats.org/officeDocument/2006/relationships/hyperlink" Target="https://agencies.semrush.com/list/display-advertising/north-rhine-westphalia/" TargetMode="External"/><Relationship Id="rId1371" Type="http://schemas.openxmlformats.org/officeDocument/2006/relationships/hyperlink" Target="https://zipdo.co/service/marketing-data-analytics/" TargetMode="External"/><Relationship Id="rId1372" Type="http://schemas.openxmlformats.org/officeDocument/2006/relationships/hyperlink" Target="http://zipdo.co" TargetMode="External"/><Relationship Id="rId1373" Type="http://schemas.openxmlformats.org/officeDocument/2006/relationships/drawing" Target="../drawings/drawing3.xml"/><Relationship Id="rId785" Type="http://schemas.openxmlformats.org/officeDocument/2006/relationships/hyperlink" Target="http://semrush.com" TargetMode="External"/><Relationship Id="rId784" Type="http://schemas.openxmlformats.org/officeDocument/2006/relationships/hyperlink" Target="https://agencies.semrush.com/list/llm-optimization/germany/mid-business/" TargetMode="External"/><Relationship Id="rId783" Type="http://schemas.openxmlformats.org/officeDocument/2006/relationships/hyperlink" Target="http://semrush.com" TargetMode="External"/><Relationship Id="rId782" Type="http://schemas.openxmlformats.org/officeDocument/2006/relationships/hyperlink" Target="https://agencies.semrush.com/list/facebook-advertising/germany/" TargetMode="External"/><Relationship Id="rId1367" Type="http://schemas.openxmlformats.org/officeDocument/2006/relationships/hyperlink" Target="https://zipdo.co/service/customer-data-platform/" TargetMode="External"/><Relationship Id="rId1368" Type="http://schemas.openxmlformats.org/officeDocument/2006/relationships/hyperlink" Target="http://zipdo.co" TargetMode="External"/><Relationship Id="rId1369" Type="http://schemas.openxmlformats.org/officeDocument/2006/relationships/hyperlink" Target="https://zipdo.co/service/first-party-data/" TargetMode="External"/><Relationship Id="rId778" Type="http://schemas.openxmlformats.org/officeDocument/2006/relationships/hyperlink" Target="https://agencies.semrush.com/list/business-professional-services/germany/" TargetMode="External"/><Relationship Id="rId777" Type="http://schemas.openxmlformats.org/officeDocument/2006/relationships/hyperlink" Target="http://semrush.com" TargetMode="External"/><Relationship Id="rId776" Type="http://schemas.openxmlformats.org/officeDocument/2006/relationships/hyperlink" Target="https://agencies.semrush.com/list/analytics-data-science/ecommerce/germany/" TargetMode="External"/><Relationship Id="rId775" Type="http://schemas.openxmlformats.org/officeDocument/2006/relationships/hyperlink" Target="http://semrush.com" TargetMode="External"/><Relationship Id="rId779" Type="http://schemas.openxmlformats.org/officeDocument/2006/relationships/hyperlink" Target="http://semrush.com" TargetMode="External"/><Relationship Id="rId770" Type="http://schemas.openxmlformats.org/officeDocument/2006/relationships/hyperlink" Target="https://aeo-copilot.com/partners/agencies/germany/hamburg" TargetMode="External"/><Relationship Id="rId1360" Type="http://schemas.openxmlformats.org/officeDocument/2006/relationships/hyperlink" Target="http://youtube.com" TargetMode="External"/><Relationship Id="rId1361" Type="http://schemas.openxmlformats.org/officeDocument/2006/relationships/hyperlink" Target="https://www.youtube.com/watch?v=NXkXQbQ9-kk&amp;vl=de-DE" TargetMode="External"/><Relationship Id="rId1362" Type="http://schemas.openxmlformats.org/officeDocument/2006/relationships/hyperlink" Target="http://youtube.com" TargetMode="External"/><Relationship Id="rId774" Type="http://schemas.openxmlformats.org/officeDocument/2006/relationships/hyperlink" Target="https://agencies.semrush.com/list/analytics-data-science/business-professional-services/germany/enterprise-business/" TargetMode="External"/><Relationship Id="rId1363" Type="http://schemas.openxmlformats.org/officeDocument/2006/relationships/hyperlink" Target="https://www.zemith.com/blogs/best-ai-assistant-app" TargetMode="External"/><Relationship Id="rId773" Type="http://schemas.openxmlformats.org/officeDocument/2006/relationships/hyperlink" Target="http://semrush.com" TargetMode="External"/><Relationship Id="rId1364" Type="http://schemas.openxmlformats.org/officeDocument/2006/relationships/hyperlink" Target="http://zemith.com" TargetMode="External"/><Relationship Id="rId772" Type="http://schemas.openxmlformats.org/officeDocument/2006/relationships/hyperlink" Target="https://agencies.semrush.com/list/ai-optimization/wuppertal/" TargetMode="External"/><Relationship Id="rId1365" Type="http://schemas.openxmlformats.org/officeDocument/2006/relationships/hyperlink" Target="https://www.zendikt.com/top-10-ab-testing-software/germany/" TargetMode="External"/><Relationship Id="rId771" Type="http://schemas.openxmlformats.org/officeDocument/2006/relationships/hyperlink" Target="http://aeo-copilot.com" TargetMode="External"/><Relationship Id="rId1366" Type="http://schemas.openxmlformats.org/officeDocument/2006/relationships/hyperlink" Target="http://zendikt.com" TargetMode="External"/><Relationship Id="rId799" Type="http://schemas.openxmlformats.org/officeDocument/2006/relationships/hyperlink" Target="http://agenciesformarketing.com" TargetMode="External"/><Relationship Id="rId798" Type="http://schemas.openxmlformats.org/officeDocument/2006/relationships/hyperlink" Target="https://www.agenciesformarketing.com/post/navigating-the-landscape-your-guide-to-top-marketing-agencies-in-germany-for-2025" TargetMode="External"/><Relationship Id="rId797" Type="http://schemas.openxmlformats.org/officeDocument/2006/relationships/hyperlink" Target="http://semrush.com" TargetMode="External"/><Relationship Id="rId792" Type="http://schemas.openxmlformats.org/officeDocument/2006/relationships/hyperlink" Target="https://agencies.semrush.com/list/machine-learning-and-ai/germany/small-business/" TargetMode="External"/><Relationship Id="rId791" Type="http://schemas.openxmlformats.org/officeDocument/2006/relationships/hyperlink" Target="http://semrush.com" TargetMode="External"/><Relationship Id="rId790" Type="http://schemas.openxmlformats.org/officeDocument/2006/relationships/hyperlink" Target="https://agencies.semrush.com/list/machine-learning-and-ai/germany/mid-business/" TargetMode="External"/><Relationship Id="rId796" Type="http://schemas.openxmlformats.org/officeDocument/2006/relationships/hyperlink" Target="https://agencies.semrush.com/list/programmatic-advertising/germany/mid-business/" TargetMode="External"/><Relationship Id="rId795" Type="http://schemas.openxmlformats.org/officeDocument/2006/relationships/hyperlink" Target="http://semrush.com" TargetMode="External"/><Relationship Id="rId794" Type="http://schemas.openxmlformats.org/officeDocument/2006/relationships/hyperlink" Target="https://agencies.semrush.com/list/ppc/munich/" TargetMode="External"/><Relationship Id="rId793" Type="http://schemas.openxmlformats.org/officeDocument/2006/relationships/hyperlink" Target="http://semrush.com" TargetMode="External"/><Relationship Id="rId629" Type="http://schemas.openxmlformats.org/officeDocument/2006/relationships/hyperlink" Target="https://clicksgeek.com/best-roi-focused-marketing-agencies/" TargetMode="External"/><Relationship Id="rId624" Type="http://schemas.openxmlformats.org/officeDocument/2006/relationships/hyperlink" Target="http://cabinco.com" TargetMode="External"/><Relationship Id="rId623" Type="http://schemas.openxmlformats.org/officeDocument/2006/relationships/hyperlink" Target="https://cabinco.com/best-ai-consulting-firms/" TargetMode="External"/><Relationship Id="rId622" Type="http://schemas.openxmlformats.org/officeDocument/2006/relationships/hyperlink" Target="http://bonanza-studios.com" TargetMode="External"/><Relationship Id="rId621" Type="http://schemas.openxmlformats.org/officeDocument/2006/relationships/hyperlink" Target="https://www.bonanza-studios.com/blog/10-best-branding-agencies-in-berlin-to-look-for-in-2025" TargetMode="External"/><Relationship Id="rId628" Type="http://schemas.openxmlformats.org/officeDocument/2006/relationships/hyperlink" Target="http://clicksgeek.com" TargetMode="External"/><Relationship Id="rId627" Type="http://schemas.openxmlformats.org/officeDocument/2006/relationships/hyperlink" Target="https://clicksgeek.com/best-roi-digital-marketing-agencies/" TargetMode="External"/><Relationship Id="rId626" Type="http://schemas.openxmlformats.org/officeDocument/2006/relationships/hyperlink" Target="http://com.de" TargetMode="External"/><Relationship Id="rId625" Type="http://schemas.openxmlformats.org/officeDocument/2006/relationships/hyperlink" Target="https://www.capterra.com.de/directory/31081/marketing-attribution/software" TargetMode="External"/><Relationship Id="rId620" Type="http://schemas.openxmlformats.org/officeDocument/2006/relationships/hyperlink" Target="http://betteranswer.ai" TargetMode="External"/><Relationship Id="rId619" Type="http://schemas.openxmlformats.org/officeDocument/2006/relationships/hyperlink" Target="https://betteranswer.ai/blogs/best-aeo-agencies" TargetMode="External"/><Relationship Id="rId618" Type="http://schemas.openxmlformats.org/officeDocument/2006/relationships/hyperlink" Target="http://ayautomate.com" TargetMode="External"/><Relationship Id="rId613" Type="http://schemas.openxmlformats.org/officeDocument/2006/relationships/hyperlink" Target="https://agenturjobs.de/beste-marketing-agenturen-deutschland-2026/" TargetMode="External"/><Relationship Id="rId612" Type="http://schemas.openxmlformats.org/officeDocument/2006/relationships/hyperlink" Target="http://semrush.com" TargetMode="External"/><Relationship Id="rId611" Type="http://schemas.openxmlformats.org/officeDocument/2006/relationships/hyperlink" Target="https://agencies.semrush.com/list/marketing-strategy/germany/" TargetMode="External"/><Relationship Id="rId610" Type="http://schemas.openxmlformats.org/officeDocument/2006/relationships/hyperlink" Target="http://semrush.com" TargetMode="External"/><Relationship Id="rId617" Type="http://schemas.openxmlformats.org/officeDocument/2006/relationships/hyperlink" Target="https://www.ayautomate.com/blog/best-ai-automation-agencies" TargetMode="External"/><Relationship Id="rId616" Type="http://schemas.openxmlformats.org/officeDocument/2006/relationships/hyperlink" Target="http://ai-heroes.co" TargetMode="External"/><Relationship Id="rId615" Type="http://schemas.openxmlformats.org/officeDocument/2006/relationships/hyperlink" Target="https://www.ai-heroes.co/en-us/blog/best-ai-search-agencies-2026" TargetMode="External"/><Relationship Id="rId614" Type="http://schemas.openxmlformats.org/officeDocument/2006/relationships/hyperlink" Target="http://agenturjobs.de" TargetMode="External"/><Relationship Id="rId646" Type="http://schemas.openxmlformats.org/officeDocument/2006/relationships/hyperlink" Target="http://digitalagencynetwork.com" TargetMode="External"/><Relationship Id="rId645" Type="http://schemas.openxmlformats.org/officeDocument/2006/relationships/hyperlink" Target="https://digitalagencynetwork.com/agencies/usa/ai-marketing/" TargetMode="External"/><Relationship Id="rId644" Type="http://schemas.openxmlformats.org/officeDocument/2006/relationships/hyperlink" Target="http://digitalagencynetwork.com" TargetMode="External"/><Relationship Id="rId643" Type="http://schemas.openxmlformats.org/officeDocument/2006/relationships/hyperlink" Target="https://digitalagencynetwork.com/agencies/berlin/geo/" TargetMode="External"/><Relationship Id="rId649" Type="http://schemas.openxmlformats.org/officeDocument/2006/relationships/hyperlink" Target="https://directiveconsulting.com/blog/top-performance-marketing-agencies/" TargetMode="External"/><Relationship Id="rId648" Type="http://schemas.openxmlformats.org/officeDocument/2006/relationships/hyperlink" Target="http://directiveconsulting.com" TargetMode="External"/><Relationship Id="rId647" Type="http://schemas.openxmlformats.org/officeDocument/2006/relationships/hyperlink" Target="https://directiveconsulting.com/blog/25-best-advertising-agencies-built-for-media-momentum/" TargetMode="External"/><Relationship Id="rId642" Type="http://schemas.openxmlformats.org/officeDocument/2006/relationships/hyperlink" Target="http://digitalagencynetwork.com" TargetMode="External"/><Relationship Id="rId641" Type="http://schemas.openxmlformats.org/officeDocument/2006/relationships/hyperlink" Target="https://digitalagencynetwork.com/agencies/berlin/creative/" TargetMode="External"/><Relationship Id="rId640" Type="http://schemas.openxmlformats.org/officeDocument/2006/relationships/hyperlink" Target="http://cometly.com" TargetMode="External"/><Relationship Id="rId635" Type="http://schemas.openxmlformats.org/officeDocument/2006/relationships/hyperlink" Target="https://clutch.co/de/agencies/social-media-marketing/tik-tok" TargetMode="External"/><Relationship Id="rId634" Type="http://schemas.openxmlformats.org/officeDocument/2006/relationships/hyperlink" Target="http://clutch.co" TargetMode="External"/><Relationship Id="rId633" Type="http://schemas.openxmlformats.org/officeDocument/2006/relationships/hyperlink" Target="https://clutch.co/de/agencies/digital-marketing/munich" TargetMode="External"/><Relationship Id="rId632" Type="http://schemas.openxmlformats.org/officeDocument/2006/relationships/hyperlink" Target="http://clutch.co" TargetMode="External"/><Relationship Id="rId639" Type="http://schemas.openxmlformats.org/officeDocument/2006/relationships/hyperlink" Target="https://www.cometly.com/post/marketing-attribution-tools-for-agencies" TargetMode="External"/><Relationship Id="rId638" Type="http://schemas.openxmlformats.org/officeDocument/2006/relationships/hyperlink" Target="http://clutch.co" TargetMode="External"/><Relationship Id="rId637" Type="http://schemas.openxmlformats.org/officeDocument/2006/relationships/hyperlink" Target="https://clutch.co/de/it-services/analytics" TargetMode="External"/><Relationship Id="rId636" Type="http://schemas.openxmlformats.org/officeDocument/2006/relationships/hyperlink" Target="http://clutch.co" TargetMode="External"/><Relationship Id="rId631" Type="http://schemas.openxmlformats.org/officeDocument/2006/relationships/hyperlink" Target="https://clutch.co/de/agencies/digital-marketing/ecommerce-industry/berlin" TargetMode="External"/><Relationship Id="rId630" Type="http://schemas.openxmlformats.org/officeDocument/2006/relationships/hyperlink" Target="http://clicksgeek.com" TargetMode="External"/><Relationship Id="rId609" Type="http://schemas.openxmlformats.org/officeDocument/2006/relationships/hyperlink" Target="https://agencies.semrush.com/list/display-advertising/dusseldorf/" TargetMode="External"/><Relationship Id="rId608" Type="http://schemas.openxmlformats.org/officeDocument/2006/relationships/hyperlink" Target="http://semrush.com" TargetMode="External"/><Relationship Id="rId607" Type="http://schemas.openxmlformats.org/officeDocument/2006/relationships/hyperlink" Target="https://agencies.semrush.com/list/data-visualization/germany/" TargetMode="External"/><Relationship Id="rId602" Type="http://schemas.openxmlformats.org/officeDocument/2006/relationships/hyperlink" Target="http://adspyder.io" TargetMode="External"/><Relationship Id="rId601" Type="http://schemas.openxmlformats.org/officeDocument/2006/relationships/hyperlink" Target="https://adspyder.io/blog/top-25-global-ad-agencies/" TargetMode="External"/><Relationship Id="rId600" Type="http://schemas.openxmlformats.org/officeDocument/2006/relationships/hyperlink" Target="http://10seos.com" TargetMode="External"/><Relationship Id="rId606" Type="http://schemas.openxmlformats.org/officeDocument/2006/relationships/hyperlink" Target="http://semrush.com" TargetMode="External"/><Relationship Id="rId605" Type="http://schemas.openxmlformats.org/officeDocument/2006/relationships/hyperlink" Target="https://agencies.semrush.com/list/analytics-data-science/germany/mid-business/" TargetMode="External"/><Relationship Id="rId604" Type="http://schemas.openxmlformats.org/officeDocument/2006/relationships/hyperlink" Target="http://semrush.com" TargetMode="External"/><Relationship Id="rId603" Type="http://schemas.openxmlformats.org/officeDocument/2006/relationships/hyperlink" Target="https://agencies.semrush.com/list/analytics-data-science/germany/enterprise-business/" TargetMode="External"/><Relationship Id="rId699" Type="http://schemas.openxmlformats.org/officeDocument/2006/relationships/hyperlink" Target="http://rocketium.ai" TargetMode="External"/><Relationship Id="rId698" Type="http://schemas.openxmlformats.org/officeDocument/2006/relationships/hyperlink" Target="https://rocketium.ai/academy/all/ai-tools-scaling-creative-production" TargetMode="External"/><Relationship Id="rId693" Type="http://schemas.openxmlformats.org/officeDocument/2006/relationships/hyperlink" Target="http://outsourceaccelerator.com" TargetMode="External"/><Relationship Id="rId692" Type="http://schemas.openxmlformats.org/officeDocument/2006/relationships/hyperlink" Target="https://www.outsourceaccelerator.com/guide/top-advertising-agencies-in-europe/" TargetMode="External"/><Relationship Id="rId691" Type="http://schemas.openxmlformats.org/officeDocument/2006/relationships/hyperlink" Target="http://onelittleweb.com" TargetMode="External"/><Relationship Id="rId690" Type="http://schemas.openxmlformats.org/officeDocument/2006/relationships/hyperlink" Target="https://onelittleweb.com/top-agencies/top-performance-marketing-agencies/" TargetMode="External"/><Relationship Id="rId697" Type="http://schemas.openxmlformats.org/officeDocument/2006/relationships/hyperlink" Target="http://reddit.com" TargetMode="External"/><Relationship Id="rId696" Type="http://schemas.openxmlformats.org/officeDocument/2006/relationships/hyperlink" Target="https://www.reddit.com/r/aeo/comments/1twcbr2/best_aeo_agency_guide_what_to_look_for_in_an/" TargetMode="External"/><Relationship Id="rId695" Type="http://schemas.openxmlformats.org/officeDocument/2006/relationships/hyperlink" Target="http://reddit.com" TargetMode="External"/><Relationship Id="rId694" Type="http://schemas.openxmlformats.org/officeDocument/2006/relationships/hyperlink" Target="https://www.reddit.com/r/PPC/comments/1tkc7rr/which_ppc_agencies_are_actually_considered_the/" TargetMode="External"/><Relationship Id="rId668" Type="http://schemas.openxmlformats.org/officeDocument/2006/relationships/hyperlink" Target="https://www.influencer-hero.com/blogs/top-social-media-agencies-in-munich" TargetMode="External"/><Relationship Id="rId667" Type="http://schemas.openxmlformats.org/officeDocument/2006/relationships/hyperlink" Target="https://inbeat.agency/blog/top-marketing-measurement-and-analytics-companies" TargetMode="External"/><Relationship Id="rId666" Type="http://schemas.openxmlformats.org/officeDocument/2006/relationships/hyperlink" Target="http://growthmarketingpro.com" TargetMode="External"/><Relationship Id="rId665" Type="http://schemas.openxmlformats.org/officeDocument/2006/relationships/hyperlink" Target="https://www.growthmarketingpro.com/best-aeo-marketing-agencies/" TargetMode="External"/><Relationship Id="rId669" Type="http://schemas.openxmlformats.org/officeDocument/2006/relationships/hyperlink" Target="http://influencer-hero.com" TargetMode="External"/><Relationship Id="rId660" Type="http://schemas.openxmlformats.org/officeDocument/2006/relationships/hyperlink" Target="http://feedbax.ai" TargetMode="External"/><Relationship Id="rId664" Type="http://schemas.openxmlformats.org/officeDocument/2006/relationships/hyperlink" Target="http://growthmanager.ai" TargetMode="External"/><Relationship Id="rId663" Type="http://schemas.openxmlformats.org/officeDocument/2006/relationships/hyperlink" Target="https://growthmanager.ai/best-geo-agency" TargetMode="External"/><Relationship Id="rId662" Type="http://schemas.openxmlformats.org/officeDocument/2006/relationships/hyperlink" Target="http://gaim-solutions.com" TargetMode="External"/><Relationship Id="rId661" Type="http://schemas.openxmlformats.org/officeDocument/2006/relationships/hyperlink" Target="https://gaim-solutions.com/en/blog-system/top-ai-agencies-munich-2026-faq-guide" TargetMode="External"/><Relationship Id="rId657" Type="http://schemas.openxmlformats.org/officeDocument/2006/relationships/hyperlink" Target="https://feedbax.ai/google-ads/berlin" TargetMode="External"/><Relationship Id="rId656" Type="http://schemas.openxmlformats.org/officeDocument/2006/relationships/hyperlink" Target="http://f6s.com" TargetMode="External"/><Relationship Id="rId655" Type="http://schemas.openxmlformats.org/officeDocument/2006/relationships/hyperlink" Target="https://www.f6s.com/companies/advertising/germany/co" TargetMode="External"/><Relationship Id="rId654" Type="http://schemas.openxmlformats.org/officeDocument/2006/relationships/hyperlink" Target="http://europeanbusinessreview.com" TargetMode="External"/><Relationship Id="rId659" Type="http://schemas.openxmlformats.org/officeDocument/2006/relationships/hyperlink" Target="https://feedbax.ai/performance-marketing" TargetMode="External"/><Relationship Id="rId658" Type="http://schemas.openxmlformats.org/officeDocument/2006/relationships/hyperlink" Target="http://feedbax.ai" TargetMode="External"/><Relationship Id="rId653" Type="http://schemas.openxmlformats.org/officeDocument/2006/relationships/hyperlink" Target="https://www.europeanbusinessreview.com/top-10-b2b-aeo-geo-companies-that-help-generate-leads-from-ai-search/" TargetMode="External"/><Relationship Id="rId652" Type="http://schemas.openxmlformats.org/officeDocument/2006/relationships/hyperlink" Target="http://eology.de" TargetMode="External"/><Relationship Id="rId651" Type="http://schemas.openxmlformats.org/officeDocument/2006/relationships/hyperlink" Target="https://www.eology.de/presse/google-premier-partner-2025" TargetMode="External"/><Relationship Id="rId650" Type="http://schemas.openxmlformats.org/officeDocument/2006/relationships/hyperlink" Target="http://directiveconsulting.com" TargetMode="External"/><Relationship Id="rId689" Type="http://schemas.openxmlformats.org/officeDocument/2006/relationships/hyperlink" Target="http://oneclub.org" TargetMode="External"/><Relationship Id="rId688" Type="http://schemas.openxmlformats.org/officeDocument/2006/relationships/hyperlink" Target="https://www.oneclub.org/press/-adc100-rankings" TargetMode="External"/><Relationship Id="rId687" Type="http://schemas.openxmlformats.org/officeDocument/2006/relationships/hyperlink" Target="http://nogood.io" TargetMode="External"/><Relationship Id="rId682" Type="http://schemas.openxmlformats.org/officeDocument/2006/relationships/hyperlink" Target="https://mystrika.com/directory/agencies/best/paid-advertising-ppc-in-country-germany" TargetMode="External"/><Relationship Id="rId681" Type="http://schemas.openxmlformats.org/officeDocument/2006/relationships/hyperlink" Target="http://mir.de" TargetMode="External"/><Relationship Id="rId680" Type="http://schemas.openxmlformats.org/officeDocument/2006/relationships/hyperlink" Target="https://www.mir.de/en/top10" TargetMode="External"/><Relationship Id="rId686" Type="http://schemas.openxmlformats.org/officeDocument/2006/relationships/hyperlink" Target="https://nogood.io/blog/best-answer-engine-optimization-agencies/" TargetMode="External"/><Relationship Id="rId685" Type="http://schemas.openxmlformats.org/officeDocument/2006/relationships/hyperlink" Target="http://nogood.io" TargetMode="External"/><Relationship Id="rId684" Type="http://schemas.openxmlformats.org/officeDocument/2006/relationships/hyperlink" Target="https://nogood.io/blog/ai-marketing-agency/" TargetMode="External"/><Relationship Id="rId683" Type="http://schemas.openxmlformats.org/officeDocument/2006/relationships/hyperlink" Target="http://mystrika.com" TargetMode="External"/><Relationship Id="rId679" Type="http://schemas.openxmlformats.org/officeDocument/2006/relationships/hyperlink" Target="http://marketingexpertshub.com" TargetMode="External"/><Relationship Id="rId678" Type="http://schemas.openxmlformats.org/officeDocument/2006/relationships/hyperlink" Target="https://marketingexpertshub.com/de/seo/best-aeo-agencies/" TargetMode="External"/><Relationship Id="rId677" Type="http://schemas.openxmlformats.org/officeDocument/2006/relationships/hyperlink" Target="http://magier.com" TargetMode="External"/><Relationship Id="rId676" Type="http://schemas.openxmlformats.org/officeDocument/2006/relationships/hyperlink" Target="https://www.magier.com/blog/top-aeo-agencies" TargetMode="External"/><Relationship Id="rId671" Type="http://schemas.openxmlformats.org/officeDocument/2006/relationships/hyperlink" Target="http://influencermarketinghub.com" TargetMode="External"/><Relationship Id="rId670" Type="http://schemas.openxmlformats.org/officeDocument/2006/relationships/hyperlink" Target="https://influencermarketinghub.com/ai-marketing-agencies/" TargetMode="External"/><Relationship Id="rId675" Type="http://schemas.openxmlformats.org/officeDocument/2006/relationships/hyperlink" Target="http://madebyevoke.com" TargetMode="External"/><Relationship Id="rId674" Type="http://schemas.openxmlformats.org/officeDocument/2006/relationships/hyperlink" Target="https://madebyevoke.com/blog/top-branding-agencies-berlin" TargetMode="External"/><Relationship Id="rId673" Type="http://schemas.openxmlformats.org/officeDocument/2006/relationships/hyperlink" Target="http://linkedin.com" TargetMode="External"/><Relationship Id="rId672" Type="http://schemas.openxmlformats.org/officeDocument/2006/relationships/hyperlink" Target="https://www.linkedin.com/posts/landwehr_most-seo-agencies-are-now-geo-agencies-activity-7440030279630680064-yR88" TargetMode="External"/><Relationship Id="rId190" Type="http://schemas.openxmlformats.org/officeDocument/2006/relationships/hyperlink" Target="https://www.gartner.com/reviews/market/incrementality-measurement-platforms" TargetMode="External"/><Relationship Id="rId194" Type="http://schemas.openxmlformats.org/officeDocument/2006/relationships/hyperlink" Target="https://lengreo.com/top-google-ads-agencies-in-germany/" TargetMode="External"/><Relationship Id="rId193" Type="http://schemas.openxmlformats.org/officeDocument/2006/relationships/hyperlink" Target="http://lengreo.com" TargetMode="External"/><Relationship Id="rId192" Type="http://schemas.openxmlformats.org/officeDocument/2006/relationships/hyperlink" Target="https://lengreo.com/germany-aeo-geo-llmo-companies/" TargetMode="External"/><Relationship Id="rId191" Type="http://schemas.openxmlformats.org/officeDocument/2006/relationships/hyperlink" Target="http://gartner.com" TargetMode="External"/><Relationship Id="rId187" Type="http://schemas.openxmlformats.org/officeDocument/2006/relationships/hyperlink" Target="http://feedbax.ai" TargetMode="External"/><Relationship Id="rId186" Type="http://schemas.openxmlformats.org/officeDocument/2006/relationships/hyperlink" Target="https://feedbax.ai/advertising/germany" TargetMode="External"/><Relationship Id="rId185" Type="http://schemas.openxmlformats.org/officeDocument/2006/relationships/hyperlink" Target="http://btelligent.com" TargetMode="External"/><Relationship Id="rId184" Type="http://schemas.openxmlformats.org/officeDocument/2006/relationships/hyperlink" Target="https://www.btelligent.com/en/news-posts/btelligent-brandeins-2026-best-consultancies-germany" TargetMode="External"/><Relationship Id="rId189" Type="http://schemas.openxmlformats.org/officeDocument/2006/relationships/hyperlink" Target="http://feedbax.ai" TargetMode="External"/><Relationship Id="rId188" Type="http://schemas.openxmlformats.org/officeDocument/2006/relationships/hyperlink" Target="https://feedbax.ai/geo-agencies/germany" TargetMode="External"/><Relationship Id="rId183" Type="http://schemas.openxmlformats.org/officeDocument/2006/relationships/hyperlink" Target="http://slashdot.org" TargetMode="External"/><Relationship Id="rId182" Type="http://schemas.openxmlformats.org/officeDocument/2006/relationships/hyperlink" Target="https://slashdot.org/software/incrementality-testing/in-germany/" TargetMode="External"/><Relationship Id="rId181" Type="http://schemas.openxmlformats.org/officeDocument/2006/relationships/hyperlink" Target="http://omnius.so" TargetMode="External"/><Relationship Id="rId180" Type="http://schemas.openxmlformats.org/officeDocument/2006/relationships/hyperlink" Target="https://www.omnius.so/blog/best-answer-engine-optimization-agencies" TargetMode="External"/><Relationship Id="rId176" Type="http://schemas.openxmlformats.org/officeDocument/2006/relationships/hyperlink" Target="https://ensun.io/search/multi-touch-attribution/germany" TargetMode="External"/><Relationship Id="rId175" Type="http://schemas.openxmlformats.org/officeDocument/2006/relationships/hyperlink" Target="http://clutch.co" TargetMode="External"/><Relationship Id="rId174" Type="http://schemas.openxmlformats.org/officeDocument/2006/relationships/hyperlink" Target="https://clutch.co/de/agencies/digital" TargetMode="External"/><Relationship Id="rId173" Type="http://schemas.openxmlformats.org/officeDocument/2006/relationships/hyperlink" Target="http://triplewhale.com" TargetMode="External"/><Relationship Id="rId179" Type="http://schemas.openxmlformats.org/officeDocument/2006/relationships/hyperlink" Target="http://feedbax.ai" TargetMode="External"/><Relationship Id="rId178" Type="http://schemas.openxmlformats.org/officeDocument/2006/relationships/hyperlink" Target="https://feedbax.ai/digital-marketing/germany" TargetMode="External"/><Relationship Id="rId177" Type="http://schemas.openxmlformats.org/officeDocument/2006/relationships/hyperlink" Target="http://ensun.io" TargetMode="External"/><Relationship Id="rId198" Type="http://schemas.openxmlformats.org/officeDocument/2006/relationships/hyperlink" Target="https://www.adbeacon.com/19-best-marketing-attribution-software-solutions-in-2026/" TargetMode="External"/><Relationship Id="rId197" Type="http://schemas.openxmlformats.org/officeDocument/2006/relationships/hyperlink" Target="http://loudface.co" TargetMode="External"/><Relationship Id="rId196" Type="http://schemas.openxmlformats.org/officeDocument/2006/relationships/hyperlink" Target="https://www.loudface.co/blog/best-aeo-agencies-2026" TargetMode="External"/><Relationship Id="rId195" Type="http://schemas.openxmlformats.org/officeDocument/2006/relationships/hyperlink" Target="http://lengreo.com" TargetMode="External"/><Relationship Id="rId199" Type="http://schemas.openxmlformats.org/officeDocument/2006/relationships/hyperlink" Target="http://adbeacon.com" TargetMode="External"/><Relationship Id="rId150" Type="http://schemas.openxmlformats.org/officeDocument/2006/relationships/hyperlink" Target="https://clutch.co/de/agencies/ppc/display" TargetMode="External"/><Relationship Id="rId149" Type="http://schemas.openxmlformats.org/officeDocument/2006/relationships/hyperlink" Target="http://awisee.com" TargetMode="External"/><Relationship Id="rId148" Type="http://schemas.openxmlformats.org/officeDocument/2006/relationships/hyperlink" Target="https://awisee.com/blog/digital-marketing-agencies-germany/" TargetMode="External"/><Relationship Id="rId143" Type="http://schemas.openxmlformats.org/officeDocument/2006/relationships/hyperlink" Target="http://sellforte.com" TargetMode="External"/><Relationship Id="rId142" Type="http://schemas.openxmlformats.org/officeDocument/2006/relationships/hyperlink" Target="https://sellforte.com/blog/best-incrementality-testing-tools" TargetMode="External"/><Relationship Id="rId141" Type="http://schemas.openxmlformats.org/officeDocument/2006/relationships/hyperlink" Target="http://lengreo.com" TargetMode="External"/><Relationship Id="rId140" Type="http://schemas.openxmlformats.org/officeDocument/2006/relationships/hyperlink" Target="https://lengreo.com/germany-berlin-aeo-geo-llmo-companies/" TargetMode="External"/><Relationship Id="rId147" Type="http://schemas.openxmlformats.org/officeDocument/2006/relationships/hyperlink" Target="http://aeo-copilot.com" TargetMode="External"/><Relationship Id="rId146" Type="http://schemas.openxmlformats.org/officeDocument/2006/relationships/hyperlink" Target="https://aeo-copilot.com/partners/agencies/germany/munich" TargetMode="External"/><Relationship Id="rId145" Type="http://schemas.openxmlformats.org/officeDocument/2006/relationships/hyperlink" Target="http://techbehemoths.com" TargetMode="External"/><Relationship Id="rId144" Type="http://schemas.openxmlformats.org/officeDocument/2006/relationships/hyperlink" Target="https://techbehemoths.com/companies/digital-marketing/germany" TargetMode="External"/><Relationship Id="rId139" Type="http://schemas.openxmlformats.org/officeDocument/2006/relationships/hyperlink" Target="http://clutch.co" TargetMode="External"/><Relationship Id="rId138" Type="http://schemas.openxmlformats.org/officeDocument/2006/relationships/hyperlink" Target="https://clutch.co/de/agencies/media-buying" TargetMode="External"/><Relationship Id="rId137" Type="http://schemas.openxmlformats.org/officeDocument/2006/relationships/hyperlink" Target="https://oski.site/blog/sales-and-marketing-analytics-companies-germany/" TargetMode="External"/><Relationship Id="rId132" Type="http://schemas.openxmlformats.org/officeDocument/2006/relationships/hyperlink" Target="http://clutch.co" TargetMode="External"/><Relationship Id="rId131" Type="http://schemas.openxmlformats.org/officeDocument/2006/relationships/hyperlink" Target="https://clutch.co/de/agencies/business-services-industry" TargetMode="External"/><Relationship Id="rId130" Type="http://schemas.openxmlformats.org/officeDocument/2006/relationships/hyperlink" Target="http://thegrowthsyndicate.com" TargetMode="External"/><Relationship Id="rId136" Type="http://schemas.openxmlformats.org/officeDocument/2006/relationships/hyperlink" Target="http://nevolearn.com" TargetMode="External"/><Relationship Id="rId135" Type="http://schemas.openxmlformats.org/officeDocument/2006/relationships/hyperlink" Target="https://nevolearn.com/blog/social-media-marketing-agencies-germany" TargetMode="External"/><Relationship Id="rId134" Type="http://schemas.openxmlformats.org/officeDocument/2006/relationships/hyperlink" Target="http://clutch.co" TargetMode="External"/><Relationship Id="rId133" Type="http://schemas.openxmlformats.org/officeDocument/2006/relationships/hyperlink" Target="https://clutch.co/de/agencies/ppc/advertising-industry" TargetMode="External"/><Relationship Id="rId172" Type="http://schemas.openxmlformats.org/officeDocument/2006/relationships/hyperlink" Target="https://www.triplewhale.com/blog/best-incrementality-testing-tools" TargetMode="External"/><Relationship Id="rId171" Type="http://schemas.openxmlformats.org/officeDocument/2006/relationships/hyperlink" Target="http://themanifest.com" TargetMode="External"/><Relationship Id="rId170" Type="http://schemas.openxmlformats.org/officeDocument/2006/relationships/hyperlink" Target="https://themanifest.com/de/social-media/agencies" TargetMode="External"/><Relationship Id="rId165" Type="http://schemas.openxmlformats.org/officeDocument/2006/relationships/hyperlink" Target="http://performance-marketing-agency-berlin.com" TargetMode="External"/><Relationship Id="rId164" Type="http://schemas.openxmlformats.org/officeDocument/2006/relationships/hyperlink" Target="https://performance-marketing-agency-berlin.com/marketing-analytics/berlin" TargetMode="External"/><Relationship Id="rId163" Type="http://schemas.openxmlformats.org/officeDocument/2006/relationships/hyperlink" Target="http://omr.com" TargetMode="External"/><Relationship Id="rId162" Type="http://schemas.openxmlformats.org/officeDocument/2006/relationships/hyperlink" Target="https://omr.com/de/reviews/service-category/performance-marketing-agenturen" TargetMode="External"/><Relationship Id="rId169" Type="http://schemas.openxmlformats.org/officeDocument/2006/relationships/hyperlink" Target="http://sortlist.com" TargetMode="External"/><Relationship Id="rId168" Type="http://schemas.openxmlformats.org/officeDocument/2006/relationships/hyperlink" Target="https://www.sortlist.com/s/media-planning/germany-de" TargetMode="External"/><Relationship Id="rId167" Type="http://schemas.openxmlformats.org/officeDocument/2006/relationships/hyperlink" Target="http://sortlist.com" TargetMode="External"/><Relationship Id="rId166" Type="http://schemas.openxmlformats.org/officeDocument/2006/relationships/hyperlink" Target="https://www.sortlist.com/s/digital-advertising/germany-de" TargetMode="External"/><Relationship Id="rId161" Type="http://schemas.openxmlformats.org/officeDocument/2006/relationships/hyperlink" Target="http://clutch.co" TargetMode="External"/><Relationship Id="rId160" Type="http://schemas.openxmlformats.org/officeDocument/2006/relationships/hyperlink" Target="https://clutch.co/de/consulting/ai/strategy" TargetMode="External"/><Relationship Id="rId159" Type="http://schemas.openxmlformats.org/officeDocument/2006/relationships/hyperlink" Target="http://semrush.com" TargetMode="External"/><Relationship Id="rId154" Type="http://schemas.openxmlformats.org/officeDocument/2006/relationships/hyperlink" Target="https://seeders.com/blog/top-10-generative-engine-optimization-geo-agencies-in-europe/" TargetMode="External"/><Relationship Id="rId153" Type="http://schemas.openxmlformats.org/officeDocument/2006/relationships/hyperlink" Target="http://radyant.io" TargetMode="External"/><Relationship Id="rId152" Type="http://schemas.openxmlformats.org/officeDocument/2006/relationships/hyperlink" Target="https://www.radyant.io/comparison/the-7-best-ai-search-optimization-agencies-in-europe" TargetMode="External"/><Relationship Id="rId151" Type="http://schemas.openxmlformats.org/officeDocument/2006/relationships/hyperlink" Target="http://clutch.co" TargetMode="External"/><Relationship Id="rId158" Type="http://schemas.openxmlformats.org/officeDocument/2006/relationships/hyperlink" Target="https://agencies.semrush.com/list/analytics-data-science/germany/" TargetMode="External"/><Relationship Id="rId157" Type="http://schemas.openxmlformats.org/officeDocument/2006/relationships/hyperlink" Target="http://zyppy.com" TargetMode="External"/><Relationship Id="rId156" Type="http://schemas.openxmlformats.org/officeDocument/2006/relationships/hyperlink" Target="https://zyppy.com/companies/c/generative-ai-seo/germany/" TargetMode="External"/><Relationship Id="rId155" Type="http://schemas.openxmlformats.org/officeDocument/2006/relationships/hyperlink" Target="http://seeders.com" TargetMode="External"/><Relationship Id="rId987" Type="http://schemas.openxmlformats.org/officeDocument/2006/relationships/hyperlink" Target="https://growthmanager.ai/best-ai-seo-agency/in/berlin" TargetMode="External"/><Relationship Id="rId986" Type="http://schemas.openxmlformats.org/officeDocument/2006/relationships/hyperlink" Target="http://growthmanager.ai" TargetMode="External"/><Relationship Id="rId985" Type="http://schemas.openxmlformats.org/officeDocument/2006/relationships/hyperlink" Target="https://growthmanager.ai/best-aeo-agency/in/munich" TargetMode="External"/><Relationship Id="rId984" Type="http://schemas.openxmlformats.org/officeDocument/2006/relationships/hyperlink" Target="http://growthcurve.co" TargetMode="External"/><Relationship Id="rId989" Type="http://schemas.openxmlformats.org/officeDocument/2006/relationships/hyperlink" Target="https://www.growthspreeofficial.com/blogs/top-6-ai-powered-b2b-saas-marketing-agencies-in-the-united-states-2026" TargetMode="External"/><Relationship Id="rId988" Type="http://schemas.openxmlformats.org/officeDocument/2006/relationships/hyperlink" Target="http://growthmanager.ai" TargetMode="External"/><Relationship Id="rId983" Type="http://schemas.openxmlformats.org/officeDocument/2006/relationships/hyperlink" Target="https://growthcurve.co/agency/digital-marketing-agency/best-new-york-digital-agency" TargetMode="External"/><Relationship Id="rId982" Type="http://schemas.openxmlformats.org/officeDocument/2006/relationships/hyperlink" Target="http://growffic.com" TargetMode="External"/><Relationship Id="rId981" Type="http://schemas.openxmlformats.org/officeDocument/2006/relationships/hyperlink" Target="https://growffic.com/blog/generative-engine-optimization-agencies/" TargetMode="External"/><Relationship Id="rId980" Type="http://schemas.openxmlformats.org/officeDocument/2006/relationships/hyperlink" Target="http://goodfirms.co" TargetMode="External"/><Relationship Id="rId976" Type="http://schemas.openxmlformats.org/officeDocument/2006/relationships/hyperlink" Target="http://gigawattgroup.com" TargetMode="External"/><Relationship Id="rId975" Type="http://schemas.openxmlformats.org/officeDocument/2006/relationships/hyperlink" Target="https://gigawattgroup.com/insights/best-geo-agencies-in-2026-who-actually-drives-ai-visibility-and-citations/" TargetMode="External"/><Relationship Id="rId974" Type="http://schemas.openxmlformats.org/officeDocument/2006/relationships/hyperlink" Target="http://gen-optima.com" TargetMode="External"/><Relationship Id="rId973" Type="http://schemas.openxmlformats.org/officeDocument/2006/relationships/hyperlink" Target="https://www.gen-optima.com/geo/top-generative-ai-search-engine-optimization-agencies-2026/" TargetMode="External"/><Relationship Id="rId979" Type="http://schemas.openxmlformats.org/officeDocument/2006/relationships/hyperlink" Target="https://www.goodfirms.co/directory/city/top-digital-marketing-companies/hamburg" TargetMode="External"/><Relationship Id="rId978" Type="http://schemas.openxmlformats.org/officeDocument/2006/relationships/hyperlink" Target="http://glassix.com" TargetMode="External"/><Relationship Id="rId977" Type="http://schemas.openxmlformats.org/officeDocument/2006/relationships/hyperlink" Target="https://www.glassix.com/article/best-seo-geo-aeo-agencies-saas" TargetMode="External"/><Relationship Id="rId972" Type="http://schemas.openxmlformats.org/officeDocument/2006/relationships/hyperlink" Target="http://gen-optima.com" TargetMode="External"/><Relationship Id="rId971" Type="http://schemas.openxmlformats.org/officeDocument/2006/relationships/hyperlink" Target="https://www.gen-optima.com/geo/top-7-generative-engine-optimization-service-providers-ranked/" TargetMode="External"/><Relationship Id="rId970" Type="http://schemas.openxmlformats.org/officeDocument/2006/relationships/hyperlink" Target="http://gartner.com" TargetMode="External"/><Relationship Id="rId998" Type="http://schemas.openxmlformats.org/officeDocument/2006/relationships/hyperlink" Target="http://heeet.io" TargetMode="External"/><Relationship Id="rId997" Type="http://schemas.openxmlformats.org/officeDocument/2006/relationships/hyperlink" Target="https://www.heeet.io/blog/15-best-multi-touch-marketing-attribution-platforms-in-2026-compared-in-depth" TargetMode="External"/><Relationship Id="rId996" Type="http://schemas.openxmlformats.org/officeDocument/2006/relationships/hyperlink" Target="http://hawksem.com" TargetMode="External"/><Relationship Id="rId995" Type="http://schemas.openxmlformats.org/officeDocument/2006/relationships/hyperlink" Target="https://hawksem.com/blog/performance-marketing-agency-list/" TargetMode="External"/><Relationship Id="rId999" Type="http://schemas.openxmlformats.org/officeDocument/2006/relationships/hyperlink" Target="https://www.herohunt.ai/recruitment-agency-countries/germany/" TargetMode="External"/><Relationship Id="rId990" Type="http://schemas.openxmlformats.org/officeDocument/2006/relationships/hyperlink" Target="http://growthspreeofficial.com" TargetMode="External"/><Relationship Id="rId994" Type="http://schemas.openxmlformats.org/officeDocument/2006/relationships/hyperlink" Target="http://hawkemedia.com" TargetMode="External"/><Relationship Id="rId993" Type="http://schemas.openxmlformats.org/officeDocument/2006/relationships/hyperlink" Target="https://hawkemedia.com/insights/top-performance-marketing-agencies/" TargetMode="External"/><Relationship Id="rId992" Type="http://schemas.openxmlformats.org/officeDocument/2006/relationships/hyperlink" Target="http://haus.io" TargetMode="External"/><Relationship Id="rId991" Type="http://schemas.openxmlformats.org/officeDocument/2006/relationships/hyperlink" Target="https://haus.io/blog/choosing-the-best-incrementality-testing-tool" TargetMode="External"/><Relationship Id="rId949" Type="http://schemas.openxmlformats.org/officeDocument/2006/relationships/hyperlink" Target="http://featuredcustomers.com" TargetMode="External"/><Relationship Id="rId948" Type="http://schemas.openxmlformats.org/officeDocument/2006/relationships/hyperlink" Target="https://www.featuredcustomers.com/software/first-party-data-solutions" TargetMode="External"/><Relationship Id="rId943" Type="http://schemas.openxmlformats.org/officeDocument/2006/relationships/hyperlink" Target="http://esparkinfo.com" TargetMode="External"/><Relationship Id="rId942" Type="http://schemas.openxmlformats.org/officeDocument/2006/relationships/hyperlink" Target="https://www.esparkinfo.com/cloud/top-companies" TargetMode="External"/><Relationship Id="rId941" Type="http://schemas.openxmlformats.org/officeDocument/2006/relationships/hyperlink" Target="http://entrans.ai" TargetMode="External"/><Relationship Id="rId940" Type="http://schemas.openxmlformats.org/officeDocument/2006/relationships/hyperlink" Target="https://www.entrans.ai/blog/top-ai-development-companies" TargetMode="External"/><Relationship Id="rId947" Type="http://schemas.openxmlformats.org/officeDocument/2006/relationships/hyperlink" Target="http://f6s.com" TargetMode="External"/><Relationship Id="rId946" Type="http://schemas.openxmlformats.org/officeDocument/2006/relationships/hyperlink" Target="https://www.f6s.com/software/category/first-party-data-activation" TargetMode="External"/><Relationship Id="rId945" Type="http://schemas.openxmlformats.org/officeDocument/2006/relationships/hyperlink" Target="http://ewrdigital.com" TargetMode="External"/><Relationship Id="rId944" Type="http://schemas.openxmlformats.org/officeDocument/2006/relationships/hyperlink" Target="https://www.ewrdigital.com/blog/best-ai-seo-aeo-agencies-2026" TargetMode="External"/><Relationship Id="rId939" Type="http://schemas.openxmlformats.org/officeDocument/2006/relationships/hyperlink" Target="http://ensun.io" TargetMode="External"/><Relationship Id="rId938" Type="http://schemas.openxmlformats.org/officeDocument/2006/relationships/hyperlink" Target="https://ensun.io/search/web-analytics/germany" TargetMode="External"/><Relationship Id="rId937" Type="http://schemas.openxmlformats.org/officeDocument/2006/relationships/hyperlink" Target="http://ensun.io" TargetMode="External"/><Relationship Id="rId932" Type="http://schemas.openxmlformats.org/officeDocument/2006/relationships/hyperlink" Target="https://elementor.com/blog/best-seo-geo-agencies/" TargetMode="External"/><Relationship Id="rId931" Type="http://schemas.openxmlformats.org/officeDocument/2006/relationships/hyperlink" Target="http://ecommercegermany.com" TargetMode="External"/><Relationship Id="rId930" Type="http://schemas.openxmlformats.org/officeDocument/2006/relationships/hyperlink" Target="https://ecommercegermany.com/blog/top-ecommerce-startups-in-dach/" TargetMode="External"/><Relationship Id="rId936" Type="http://schemas.openxmlformats.org/officeDocument/2006/relationships/hyperlink" Target="https://ensun.io/search/data-analytics/germany" TargetMode="External"/><Relationship Id="rId935" Type="http://schemas.openxmlformats.org/officeDocument/2006/relationships/hyperlink" Target="http://ensun.io" TargetMode="External"/><Relationship Id="rId934" Type="http://schemas.openxmlformats.org/officeDocument/2006/relationships/hyperlink" Target="https://ensun.io/search/ab-testing/germany" TargetMode="External"/><Relationship Id="rId933" Type="http://schemas.openxmlformats.org/officeDocument/2006/relationships/hyperlink" Target="http://elementor.com" TargetMode="External"/><Relationship Id="rId965" Type="http://schemas.openxmlformats.org/officeDocument/2006/relationships/hyperlink" Target="https://www.flyingvgroup.com/ai-marketing-agency/" TargetMode="External"/><Relationship Id="rId964" Type="http://schemas.openxmlformats.org/officeDocument/2006/relationships/hyperlink" Target="https://www.fieldtrip.agency/post/best-creative-agencies-for-global-brands" TargetMode="External"/><Relationship Id="rId963" Type="http://schemas.openxmlformats.org/officeDocument/2006/relationships/hyperlink" Target="http://fibbler.co" TargetMode="External"/><Relationship Id="rId962" Type="http://schemas.openxmlformats.org/officeDocument/2006/relationships/hyperlink" Target="https://www.fibbler.co/blog/b2b-marketing-attribution-software" TargetMode="External"/><Relationship Id="rId969" Type="http://schemas.openxmlformats.org/officeDocument/2006/relationships/hyperlink" Target="https://www.gartner.com/reviews/market/b2b-multitouch-attribution-tools" TargetMode="External"/><Relationship Id="rId968" Type="http://schemas.openxmlformats.org/officeDocument/2006/relationships/hyperlink" Target="http://frac.tl" TargetMode="External"/><Relationship Id="rId967" Type="http://schemas.openxmlformats.org/officeDocument/2006/relationships/hyperlink" Target="https://www.frac.tl/digital-pr-agencies/" TargetMode="External"/><Relationship Id="rId966" Type="http://schemas.openxmlformats.org/officeDocument/2006/relationships/hyperlink" Target="http://flyingvgroup.com" TargetMode="External"/><Relationship Id="rId961" Type="http://schemas.openxmlformats.org/officeDocument/2006/relationships/hyperlink" Target="http://feedbax.ai" TargetMode="External"/><Relationship Id="rId960" Type="http://schemas.openxmlformats.org/officeDocument/2006/relationships/hyperlink" Target="https://feedbax.ai/performance-marketing/frankfurt" TargetMode="External"/><Relationship Id="rId959" Type="http://schemas.openxmlformats.org/officeDocument/2006/relationships/hyperlink" Target="http://feedbax.ai" TargetMode="External"/><Relationship Id="rId954" Type="http://schemas.openxmlformats.org/officeDocument/2006/relationships/hyperlink" Target="https://feedbax.ai/google-ads" TargetMode="External"/><Relationship Id="rId953" Type="http://schemas.openxmlformats.org/officeDocument/2006/relationships/hyperlink" Target="http://feedbax.ai" TargetMode="External"/><Relationship Id="rId952" Type="http://schemas.openxmlformats.org/officeDocument/2006/relationships/hyperlink" Target="https://feedbax.ai/conversion-optimization" TargetMode="External"/><Relationship Id="rId951" Type="http://schemas.openxmlformats.org/officeDocument/2006/relationships/hyperlink" Target="http://feedbax.ai" TargetMode="External"/><Relationship Id="rId958" Type="http://schemas.openxmlformats.org/officeDocument/2006/relationships/hyperlink" Target="https://feedbax.ai/performance-marketing/dach" TargetMode="External"/><Relationship Id="rId957" Type="http://schemas.openxmlformats.org/officeDocument/2006/relationships/hyperlink" Target="http://feedbax.ai" TargetMode="External"/><Relationship Id="rId956" Type="http://schemas.openxmlformats.org/officeDocument/2006/relationships/hyperlink" Target="https://feedbax.ai/google-ads/dach" TargetMode="External"/><Relationship Id="rId955" Type="http://schemas.openxmlformats.org/officeDocument/2006/relationships/hyperlink" Target="http://feedbax.ai" TargetMode="External"/><Relationship Id="rId950" Type="http://schemas.openxmlformats.org/officeDocument/2006/relationships/hyperlink" Target="https://feedbax.ai/ai/germany" TargetMode="External"/><Relationship Id="rId107" Type="http://schemas.openxmlformats.org/officeDocument/2006/relationships/hyperlink" Target="https://techbehemoths.com/companies/media-planning-buying/germany" TargetMode="External"/><Relationship Id="rId106" Type="http://schemas.openxmlformats.org/officeDocument/2006/relationships/hyperlink" Target="http://dreikon.de" TargetMode="External"/><Relationship Id="rId105" Type="http://schemas.openxmlformats.org/officeDocument/2006/relationships/hyperlink" Target="https://www.dreikon.de/en/news/online-marketing-knowledge/best-online-marketing-agency-in-germany/" TargetMode="External"/><Relationship Id="rId104" Type="http://schemas.openxmlformats.org/officeDocument/2006/relationships/hyperlink" Target="http://zendikt.com" TargetMode="External"/><Relationship Id="rId109" Type="http://schemas.openxmlformats.org/officeDocument/2006/relationships/hyperlink" Target="https://agencies.semrush.com/list/display-advertising/germany/small-business/" TargetMode="External"/><Relationship Id="rId108" Type="http://schemas.openxmlformats.org/officeDocument/2006/relationships/hyperlink" Target="http://techbehemoths.com" TargetMode="External"/><Relationship Id="rId103" Type="http://schemas.openxmlformats.org/officeDocument/2006/relationships/hyperlink" Target="https://www.zendikt.com/top-10-marketing-analytics-software/germany" TargetMode="External"/><Relationship Id="rId102" Type="http://schemas.openxmlformats.org/officeDocument/2006/relationships/hyperlink" Target="http://xmethod.de" TargetMode="External"/><Relationship Id="rId101" Type="http://schemas.openxmlformats.org/officeDocument/2006/relationships/hyperlink" Target="https://www.xmethod.de/en/blog/besten-ki-agenturen" TargetMode="External"/><Relationship Id="rId100" Type="http://schemas.openxmlformats.org/officeDocument/2006/relationships/hyperlink" Target="http://techbehemoths.com" TargetMode="External"/><Relationship Id="rId129" Type="http://schemas.openxmlformats.org/officeDocument/2006/relationships/hyperlink" Target="https://www.thegrowthsyndicate.com/agencies/best-b2b-performance-marketing-agencies-europe" TargetMode="External"/><Relationship Id="rId128" Type="http://schemas.openxmlformats.org/officeDocument/2006/relationships/hyperlink" Target="http://seeders.com" TargetMode="External"/><Relationship Id="rId127" Type="http://schemas.openxmlformats.org/officeDocument/2006/relationships/hyperlink" Target="https://seeders.com/blog/8-best-seo-agencies-in-germany-2026-ranked/" TargetMode="External"/><Relationship Id="rId126" Type="http://schemas.openxmlformats.org/officeDocument/2006/relationships/hyperlink" Target="http://greenbook.org" TargetMode="External"/><Relationship Id="rId121" Type="http://schemas.openxmlformats.org/officeDocument/2006/relationships/hyperlink" Target="https://www.agenturtipp.de/performance-marketing-agenturen/" TargetMode="External"/><Relationship Id="rId120" Type="http://schemas.openxmlformats.org/officeDocument/2006/relationships/hyperlink" Target="http://semrush.com" TargetMode="External"/><Relationship Id="rId125" Type="http://schemas.openxmlformats.org/officeDocument/2006/relationships/hyperlink" Target="https://greenbook.org/market-research-companies/germany" TargetMode="External"/><Relationship Id="rId124" Type="http://schemas.openxmlformats.org/officeDocument/2006/relationships/hyperlink" Target="http://digitalagencynetwork.com" TargetMode="External"/><Relationship Id="rId123" Type="http://schemas.openxmlformats.org/officeDocument/2006/relationships/hyperlink" Target="https://digitalagencynetwork.com/agencies/berlin/ai-marketing/" TargetMode="External"/><Relationship Id="rId122" Type="http://schemas.openxmlformats.org/officeDocument/2006/relationships/hyperlink" Target="http://agenturtipp.de" TargetMode="External"/><Relationship Id="rId118" Type="http://schemas.openxmlformats.org/officeDocument/2006/relationships/hyperlink" Target="http://northquery.com" TargetMode="External"/><Relationship Id="rId117" Type="http://schemas.openxmlformats.org/officeDocument/2006/relationships/hyperlink" Target="https://northquery.com/best-aeo-agency/europe" TargetMode="External"/><Relationship Id="rId116" Type="http://schemas.openxmlformats.org/officeDocument/2006/relationships/hyperlink" Target="http://lengreo.com" TargetMode="External"/><Relationship Id="rId115" Type="http://schemas.openxmlformats.org/officeDocument/2006/relationships/hyperlink" Target="https://lengreo.com/best-llm-seo-agencies-in-germany/" TargetMode="External"/><Relationship Id="rId119" Type="http://schemas.openxmlformats.org/officeDocument/2006/relationships/hyperlink" Target="https://agencies.semrush.com/list/market-analysis/germany/" TargetMode="External"/><Relationship Id="rId110" Type="http://schemas.openxmlformats.org/officeDocument/2006/relationships/hyperlink" Target="http://semrush.com" TargetMode="External"/><Relationship Id="rId114" Type="http://schemas.openxmlformats.org/officeDocument/2006/relationships/hyperlink" Target="http://hikemytraffic.com" TargetMode="External"/><Relationship Id="rId113" Type="http://schemas.openxmlformats.org/officeDocument/2006/relationships/hyperlink" Target="https://hikemytraffic.com/ai-seo-agencies-in-germany/" TargetMode="External"/><Relationship Id="rId112" Type="http://schemas.openxmlformats.org/officeDocument/2006/relationships/hyperlink" Target="http://cometly.com" TargetMode="External"/><Relationship Id="rId111" Type="http://schemas.openxmlformats.org/officeDocument/2006/relationships/hyperlink" Target="https://www.cometly.com/post/marketing-incrementality-testing-tools" TargetMode="External"/><Relationship Id="rId907" Type="http://schemas.openxmlformats.org/officeDocument/2006/relationships/hyperlink" Target="http://designrush.com" TargetMode="External"/><Relationship Id="rId906" Type="http://schemas.openxmlformats.org/officeDocument/2006/relationships/hyperlink" Target="https://www.designrush.com/agency/digital-marketing/performance-marketing-agencies" TargetMode="External"/><Relationship Id="rId905" Type="http://schemas.openxmlformats.org/officeDocument/2006/relationships/hyperlink" Target="http://designrush.com" TargetMode="External"/><Relationship Id="rId904" Type="http://schemas.openxmlformats.org/officeDocument/2006/relationships/hyperlink" Target="https://www.designrush.com/agency/digital-marketing/analytics" TargetMode="External"/><Relationship Id="rId909" Type="http://schemas.openxmlformats.org/officeDocument/2006/relationships/hyperlink" Target="http://digitalagencynetwork.com" TargetMode="External"/><Relationship Id="rId908" Type="http://schemas.openxmlformats.org/officeDocument/2006/relationships/hyperlink" Target="https://digitalagencynetwork.com/agencies/berlin/social-media-marketing/" TargetMode="External"/><Relationship Id="rId903" Type="http://schemas.openxmlformats.org/officeDocument/2006/relationships/hyperlink" Target="http://dejanmarketing.com" TargetMode="External"/><Relationship Id="rId902" Type="http://schemas.openxmlformats.org/officeDocument/2006/relationships/hyperlink" Target="https://dejanmarketing.com/best-ai-seo-agencies/" TargetMode="External"/><Relationship Id="rId901" Type="http://schemas.openxmlformats.org/officeDocument/2006/relationships/hyperlink" Target="http://dataally.ai" TargetMode="External"/><Relationship Id="rId900" Type="http://schemas.openxmlformats.org/officeDocument/2006/relationships/hyperlink" Target="https://www.dataally.ai/blog/top-paid-media-agencies" TargetMode="External"/><Relationship Id="rId929" Type="http://schemas.openxmlformats.org/officeDocument/2006/relationships/hyperlink" Target="http://ecommercegermany.com" TargetMode="External"/><Relationship Id="rId928" Type="http://schemas.openxmlformats.org/officeDocument/2006/relationships/hyperlink" Target="https://ecommercegermany.com/blog/top-29-german-saas-companies-in-2021/" TargetMode="External"/><Relationship Id="rId927" Type="http://schemas.openxmlformats.org/officeDocument/2006/relationships/hyperlink" Target="http://ecommercefastlane.com" TargetMode="External"/><Relationship Id="rId926" Type="http://schemas.openxmlformats.org/officeDocument/2006/relationships/hyperlink" Target="https://ecommercefastlane.com/best-geo-agencies-dach-region-expert-guide/" TargetMode="External"/><Relationship Id="rId921" Type="http://schemas.openxmlformats.org/officeDocument/2006/relationships/hyperlink" Target="http://directiveconsulting.com" TargetMode="External"/><Relationship Id="rId920" Type="http://schemas.openxmlformats.org/officeDocument/2006/relationships/hyperlink" Target="https://directiveconsulting.com/blog/creative-strategy-agency/" TargetMode="External"/><Relationship Id="rId925" Type="http://schemas.openxmlformats.org/officeDocument/2006/relationships/hyperlink" Target="http://dwao.in" TargetMode="External"/><Relationship Id="rId924" Type="http://schemas.openxmlformats.org/officeDocument/2006/relationships/hyperlink" Target="https://dwao.in/blog/best-gcp-partner" TargetMode="External"/><Relationship Id="rId923" Type="http://schemas.openxmlformats.org/officeDocument/2006/relationships/hyperlink" Target="http://directiveconsulting.com" TargetMode="External"/><Relationship Id="rId922" Type="http://schemas.openxmlformats.org/officeDocument/2006/relationships/hyperlink" Target="https://directiveconsulting.com/uk/blog/25-best-advertising-agencies-built-for-media-momentum/" TargetMode="External"/><Relationship Id="rId918" Type="http://schemas.openxmlformats.org/officeDocument/2006/relationships/hyperlink" Target="https://directiveconsulting.com/blog/best-marketing-data-agency/" TargetMode="External"/><Relationship Id="rId917" Type="http://schemas.openxmlformats.org/officeDocument/2006/relationships/hyperlink" Target="http://directiveconsulting.com" TargetMode="External"/><Relationship Id="rId916" Type="http://schemas.openxmlformats.org/officeDocument/2006/relationships/hyperlink" Target="https://directiveconsulting.com/blog/25-best-paid-media-agencies-that-turn-ad-spend-into-revenue/" TargetMode="External"/><Relationship Id="rId915" Type="http://schemas.openxmlformats.org/officeDocument/2006/relationships/hyperlink" Target="http://digitalmarketingsupermarket.com" TargetMode="External"/><Relationship Id="rId919" Type="http://schemas.openxmlformats.org/officeDocument/2006/relationships/hyperlink" Target="http://directiveconsulting.com" TargetMode="External"/><Relationship Id="rId910" Type="http://schemas.openxmlformats.org/officeDocument/2006/relationships/hyperlink" Target="https://digitalagencynetwork.com/agencies/europe/ai-marketing/" TargetMode="External"/><Relationship Id="rId914" Type="http://schemas.openxmlformats.org/officeDocument/2006/relationships/hyperlink" Target="https://digitalmarketingsupermarket.com/blog/best-ai-marketing-agencies/" TargetMode="External"/><Relationship Id="rId913" Type="http://schemas.openxmlformats.org/officeDocument/2006/relationships/hyperlink" Target="http://digitalagencynetwork.com" TargetMode="External"/><Relationship Id="rId912" Type="http://schemas.openxmlformats.org/officeDocument/2006/relationships/hyperlink" Target="https://digitalagencynetwork.com/agencies/europe/geo/" TargetMode="External"/><Relationship Id="rId911" Type="http://schemas.openxmlformats.org/officeDocument/2006/relationships/hyperlink" Target="http://digitalagencynetwork.com" TargetMode="External"/><Relationship Id="rId866" Type="http://schemas.openxmlformats.org/officeDocument/2006/relationships/hyperlink" Target="https://clutch.co/de/agencies/ppc/berlin" TargetMode="External"/><Relationship Id="rId865" Type="http://schemas.openxmlformats.org/officeDocument/2006/relationships/hyperlink" Target="http://clutch.co" TargetMode="External"/><Relationship Id="rId864" Type="http://schemas.openxmlformats.org/officeDocument/2006/relationships/hyperlink" Target="https://clutch.co/de/agencies/market-research/berlin" TargetMode="External"/><Relationship Id="rId863" Type="http://schemas.openxmlformats.org/officeDocument/2006/relationships/hyperlink" Target="http://clutch.co" TargetMode="External"/><Relationship Id="rId869" Type="http://schemas.openxmlformats.org/officeDocument/2006/relationships/hyperlink" Target="http://clutch.co" TargetMode="External"/><Relationship Id="rId868" Type="http://schemas.openxmlformats.org/officeDocument/2006/relationships/hyperlink" Target="https://clutch.co/de/agencies/ppc/google-adwords" TargetMode="External"/><Relationship Id="rId867" Type="http://schemas.openxmlformats.org/officeDocument/2006/relationships/hyperlink" Target="http://clutch.co" TargetMode="External"/><Relationship Id="rId862" Type="http://schemas.openxmlformats.org/officeDocument/2006/relationships/hyperlink" Target="https://clutch.co/de/agencies/digital-marketing?page=3" TargetMode="External"/><Relationship Id="rId861" Type="http://schemas.openxmlformats.org/officeDocument/2006/relationships/hyperlink" Target="http://clutch.co" TargetMode="External"/><Relationship Id="rId860" Type="http://schemas.openxmlformats.org/officeDocument/2006/relationships/hyperlink" Target="https://clutch.co/de/agencies/app-marketing" TargetMode="External"/><Relationship Id="rId855" Type="http://schemas.openxmlformats.org/officeDocument/2006/relationships/hyperlink" Target="http://clutch.co" TargetMode="External"/><Relationship Id="rId854" Type="http://schemas.openxmlformats.org/officeDocument/2006/relationships/hyperlink" Target="https://clutch.co/agencies/performance-marketing" TargetMode="External"/><Relationship Id="rId853" Type="http://schemas.openxmlformats.org/officeDocument/2006/relationships/hyperlink" Target="http://clutch.co" TargetMode="External"/><Relationship Id="rId852" Type="http://schemas.openxmlformats.org/officeDocument/2006/relationships/hyperlink" Target="https://clutch.co/agencies/media-buying" TargetMode="External"/><Relationship Id="rId859" Type="http://schemas.openxmlformats.org/officeDocument/2006/relationships/hyperlink" Target="http://clutch.co" TargetMode="External"/><Relationship Id="rId858" Type="http://schemas.openxmlformats.org/officeDocument/2006/relationships/hyperlink" Target="https://clutch.co/agencies/ppc" TargetMode="External"/><Relationship Id="rId857" Type="http://schemas.openxmlformats.org/officeDocument/2006/relationships/hyperlink" Target="http://clutch.co" TargetMode="External"/><Relationship Id="rId856" Type="http://schemas.openxmlformats.org/officeDocument/2006/relationships/hyperlink" Target="https://clutch.co/agencies/performance-marketing%3Fpage%3D0" TargetMode="External"/><Relationship Id="rId851" Type="http://schemas.openxmlformats.org/officeDocument/2006/relationships/hyperlink" Target="http://clutch.co" TargetMode="External"/><Relationship Id="rId850" Type="http://schemas.openxmlformats.org/officeDocument/2006/relationships/hyperlink" Target="https://clutch.co/agencies/experiential?page=9" TargetMode="External"/><Relationship Id="rId888" Type="http://schemas.openxmlformats.org/officeDocument/2006/relationships/hyperlink" Target="https://www.cometly.com/post/marketing-attribution-companies" TargetMode="External"/><Relationship Id="rId887" Type="http://schemas.openxmlformats.org/officeDocument/2006/relationships/hyperlink" Target="http://cometly.com" TargetMode="External"/><Relationship Id="rId886" Type="http://schemas.openxmlformats.org/officeDocument/2006/relationships/hyperlink" Target="https://www.cometly.com/post/ai-powered-marketing-analytics-tools" TargetMode="External"/><Relationship Id="rId885" Type="http://schemas.openxmlformats.org/officeDocument/2006/relationships/hyperlink" Target="http://cometly.com" TargetMode="External"/><Relationship Id="rId889" Type="http://schemas.openxmlformats.org/officeDocument/2006/relationships/hyperlink" Target="http://cometly.com" TargetMode="External"/><Relationship Id="rId880" Type="http://schemas.openxmlformats.org/officeDocument/2006/relationships/hyperlink" Target="https://coinbound.io/top-ai-marketing-agencies/" TargetMode="External"/><Relationship Id="rId884" Type="http://schemas.openxmlformats.org/officeDocument/2006/relationships/hyperlink" Target="https://www.cometly.com/post/ai-powered-ad-optimization-platform" TargetMode="External"/><Relationship Id="rId883" Type="http://schemas.openxmlformats.org/officeDocument/2006/relationships/hyperlink" Target="http://cometly.com" TargetMode="External"/><Relationship Id="rId882" Type="http://schemas.openxmlformats.org/officeDocument/2006/relationships/hyperlink" Target="https://www.cometly.com/post/agency-marketing-attribution-tools" TargetMode="External"/><Relationship Id="rId881" Type="http://schemas.openxmlformats.org/officeDocument/2006/relationships/hyperlink" Target="http://coinbound.io" TargetMode="External"/><Relationship Id="rId877" Type="http://schemas.openxmlformats.org/officeDocument/2006/relationships/hyperlink" Target="http://clutch.co" TargetMode="External"/><Relationship Id="rId876" Type="http://schemas.openxmlformats.org/officeDocument/2006/relationships/hyperlink" Target="https://clutch.co/de/it-services/master-data-management-consulting" TargetMode="External"/><Relationship Id="rId875" Type="http://schemas.openxmlformats.org/officeDocument/2006/relationships/hyperlink" Target="http://clutch.co" TargetMode="External"/><Relationship Id="rId874" Type="http://schemas.openxmlformats.org/officeDocument/2006/relationships/hyperlink" Target="https://clutch.co/de/agencies/social-media-marketing?page=3" TargetMode="External"/><Relationship Id="rId879" Type="http://schemas.openxmlformats.org/officeDocument/2006/relationships/hyperlink" Target="http://coefficient.io" TargetMode="External"/><Relationship Id="rId878" Type="http://schemas.openxmlformats.org/officeDocument/2006/relationships/hyperlink" Target="https://coefficient.io/marketing-analytics-tools" TargetMode="External"/><Relationship Id="rId873" Type="http://schemas.openxmlformats.org/officeDocument/2006/relationships/hyperlink" Target="http://clutch.co" TargetMode="External"/><Relationship Id="rId872" Type="http://schemas.openxmlformats.org/officeDocument/2006/relationships/hyperlink" Target="https://clutch.co/de/agencies/social-media-marketing/influencer/tiktok" TargetMode="External"/><Relationship Id="rId871" Type="http://schemas.openxmlformats.org/officeDocument/2006/relationships/hyperlink" Target="http://clutch.co" TargetMode="External"/><Relationship Id="rId870" Type="http://schemas.openxmlformats.org/officeDocument/2006/relationships/hyperlink" Target="https://clutch.co/de/agencies/social-media-marketing/berlin" TargetMode="External"/><Relationship Id="rId829" Type="http://schemas.openxmlformats.org/officeDocument/2006/relationships/hyperlink" Target="http://brentonway.com" TargetMode="External"/><Relationship Id="rId828" Type="http://schemas.openxmlformats.org/officeDocument/2006/relationships/hyperlink" Target="https://brentonway.com/blog/ai-marketing-agencies" TargetMode="External"/><Relationship Id="rId827" Type="http://schemas.openxmlformats.org/officeDocument/2006/relationships/hyperlink" Target="http://brandigochina.com" TargetMode="External"/><Relationship Id="rId822" Type="http://schemas.openxmlformats.org/officeDocument/2006/relationships/hyperlink" Target="https://beomniscient.com/blog/marketing-agencies/" TargetMode="External"/><Relationship Id="rId821" Type="http://schemas.openxmlformats.org/officeDocument/2006/relationships/hyperlink" Target="http://beomniscient.com" TargetMode="External"/><Relationship Id="rId820" Type="http://schemas.openxmlformats.org/officeDocument/2006/relationships/hyperlink" Target="https://beomniscient.com/blog/growth-marketing-agency/" TargetMode="External"/><Relationship Id="rId826" Type="http://schemas.openxmlformats.org/officeDocument/2006/relationships/hyperlink" Target="https://www.brandigochina.com/the-best-marketing-agencies-in-china--2026" TargetMode="External"/><Relationship Id="rId825" Type="http://schemas.openxmlformats.org/officeDocument/2006/relationships/hyperlink" Target="http://blueconic.com" TargetMode="External"/><Relationship Id="rId824" Type="http://schemas.openxmlformats.org/officeDocument/2006/relationships/hyperlink" Target="https://www.blueconic.com/resources/best-cdps" TargetMode="External"/><Relationship Id="rId823" Type="http://schemas.openxmlformats.org/officeDocument/2006/relationships/hyperlink" Target="http://beomniscient.com" TargetMode="External"/><Relationship Id="rId819" Type="http://schemas.openxmlformats.org/officeDocument/2006/relationships/hyperlink" Target="http://back9.co.nz" TargetMode="External"/><Relationship Id="rId818" Type="http://schemas.openxmlformats.org/officeDocument/2006/relationships/hyperlink" Target="https://www.back9.co.nz/how-to-find-a-certified-google-partner/" TargetMode="External"/><Relationship Id="rId817" Type="http://schemas.openxmlformats.org/officeDocument/2006/relationships/hyperlink" Target="http://awisee.com" TargetMode="External"/><Relationship Id="rId816" Type="http://schemas.openxmlformats.org/officeDocument/2006/relationships/hyperlink" Target="https://awisee.com/hu/blog/digital-marketing-agencies-germany/" TargetMode="External"/><Relationship Id="rId811" Type="http://schemas.openxmlformats.org/officeDocument/2006/relationships/hyperlink" Target="http://amworldgroup.com" TargetMode="External"/><Relationship Id="rId810" Type="http://schemas.openxmlformats.org/officeDocument/2006/relationships/hyperlink" Target="https://amworldgroup.com/best/ai-marketing-agencies" TargetMode="External"/><Relationship Id="rId815" Type="http://schemas.openxmlformats.org/officeDocument/2006/relationships/hyperlink" Target="http://awisee.com" TargetMode="External"/><Relationship Id="rId814" Type="http://schemas.openxmlformats.org/officeDocument/2006/relationships/hyperlink" Target="https://awisee.com/blog/marketing-agencies-europe/" TargetMode="External"/><Relationship Id="rId813" Type="http://schemas.openxmlformats.org/officeDocument/2006/relationships/hyperlink" Target="http://arcintermedia.com" TargetMode="External"/><Relationship Id="rId812" Type="http://schemas.openxmlformats.org/officeDocument/2006/relationships/hyperlink" Target="https://www.arcintermedia.com/knowledge-base/seo-and-organic-reach/what-are-the-top-answer-engine-optimization-aeo-agencies/" TargetMode="External"/><Relationship Id="rId849" Type="http://schemas.openxmlformats.org/officeDocument/2006/relationships/hyperlink" Target="http://clutch.co" TargetMode="External"/><Relationship Id="rId844" Type="http://schemas.openxmlformats.org/officeDocument/2006/relationships/hyperlink" Target="https://clicksgeek.com/best-roi-marketing-agencies/" TargetMode="External"/><Relationship Id="rId843" Type="http://schemas.openxmlformats.org/officeDocument/2006/relationships/hyperlink" Target="http://clicksgeek.com" TargetMode="External"/><Relationship Id="rId842" Type="http://schemas.openxmlformats.org/officeDocument/2006/relationships/hyperlink" Target="https://clicksgeek.com/best-roi-focused-marketing-agency/" TargetMode="External"/><Relationship Id="rId841" Type="http://schemas.openxmlformats.org/officeDocument/2006/relationships/hyperlink" Target="http://clicksgeek.com" TargetMode="External"/><Relationship Id="rId848" Type="http://schemas.openxmlformats.org/officeDocument/2006/relationships/hyperlink" Target="https://clutch.co/agencies" TargetMode="External"/><Relationship Id="rId847" Type="http://schemas.openxmlformats.org/officeDocument/2006/relationships/hyperlink" Target="http://clicksgeek.com" TargetMode="External"/><Relationship Id="rId846" Type="http://schemas.openxmlformats.org/officeDocument/2006/relationships/hyperlink" Target="https://clicksgeek.com/marketing-attribution-tracking-services/" TargetMode="External"/><Relationship Id="rId845" Type="http://schemas.openxmlformats.org/officeDocument/2006/relationships/hyperlink" Target="http://clicksgeek.com" TargetMode="External"/><Relationship Id="rId840" Type="http://schemas.openxmlformats.org/officeDocument/2006/relationships/hyperlink" Target="https://clicksgeek.com/best-paid-advertising-platforms-for-businesses/" TargetMode="External"/><Relationship Id="rId839" Type="http://schemas.openxmlformats.org/officeDocument/2006/relationships/hyperlink" Target="http://clicksgeek.com" TargetMode="External"/><Relationship Id="rId838" Type="http://schemas.openxmlformats.org/officeDocument/2006/relationships/hyperlink" Target="https://clicksgeek.com/best-marketing-agency-for-roi/" TargetMode="External"/><Relationship Id="rId833" Type="http://schemas.openxmlformats.org/officeDocument/2006/relationships/hyperlink" Target="http://businessofapps.com" TargetMode="External"/><Relationship Id="rId832" Type="http://schemas.openxmlformats.org/officeDocument/2006/relationships/hyperlink" Target="https://www.businessofapps.com/marketplace/performance-marketing/" TargetMode="External"/><Relationship Id="rId831" Type="http://schemas.openxmlformats.org/officeDocument/2006/relationships/hyperlink" Target="http://businessofapps.com" TargetMode="External"/><Relationship Id="rId830" Type="http://schemas.openxmlformats.org/officeDocument/2006/relationships/hyperlink" Target="https://www.businessofapps.com/marketplace/ai-marketing/" TargetMode="External"/><Relationship Id="rId837" Type="http://schemas.openxmlformats.org/officeDocument/2006/relationships/hyperlink" Target="http://clicksgeek.com" TargetMode="External"/><Relationship Id="rId836" Type="http://schemas.openxmlformats.org/officeDocument/2006/relationships/hyperlink" Target="https://clicksgeek.com/best-digital-marketing-agency-for-roi/" TargetMode="External"/><Relationship Id="rId835" Type="http://schemas.openxmlformats.org/officeDocument/2006/relationships/hyperlink" Target="http://clarista.io" TargetMode="External"/><Relationship Id="rId834" Type="http://schemas.openxmlformats.org/officeDocument/2006/relationships/hyperlink" Target="https://www.clarista.io/blog/top-ai-solution-providers-2026" TargetMode="External"/><Relationship Id="rId899" Type="http://schemas.openxmlformats.org/officeDocument/2006/relationships/hyperlink" Target="http://darkroomagency.com" TargetMode="External"/><Relationship Id="rId898" Type="http://schemas.openxmlformats.org/officeDocument/2006/relationships/hyperlink" Target="https://www.darkroomagency.com/observatory/best-performance-marketing-agencies-in-2026" TargetMode="External"/><Relationship Id="rId897" Type="http://schemas.openxmlformats.org/officeDocument/2006/relationships/hyperlink" Target="https://creatif.agency/the-best-web-design-agencies-in-berlin-in-2026/" TargetMode="External"/><Relationship Id="rId896" Type="http://schemas.openxmlformats.org/officeDocument/2006/relationships/hyperlink" Target="http://coolnerdsmarketing.com" TargetMode="External"/><Relationship Id="rId891" Type="http://schemas.openxmlformats.org/officeDocument/2006/relationships/hyperlink" Target="http://cometly.com" TargetMode="External"/><Relationship Id="rId890" Type="http://schemas.openxmlformats.org/officeDocument/2006/relationships/hyperlink" Target="https://www.cometly.com/post/marketing-attribution-platform-for-agencies" TargetMode="External"/><Relationship Id="rId895" Type="http://schemas.openxmlformats.org/officeDocument/2006/relationships/hyperlink" Target="https://coolnerdsmarketing.com/top-creative-agencies-us/" TargetMode="External"/><Relationship Id="rId894" Type="http://schemas.openxmlformats.org/officeDocument/2006/relationships/hyperlink" Target="https://www.consultancy.eu/news/7008/googles-top-emea-premier-partner-digital-marketing-consultancies" TargetMode="External"/><Relationship Id="rId893" Type="http://schemas.openxmlformats.org/officeDocument/2006/relationships/hyperlink" Target="http://cometly.com" TargetMode="External"/><Relationship Id="rId892" Type="http://schemas.openxmlformats.org/officeDocument/2006/relationships/hyperlink" Target="https://www.cometly.com/post/media-buying-optimization-tool"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youtube.com" TargetMode="External"/><Relationship Id="rId30" Type="http://schemas.openxmlformats.org/officeDocument/2006/relationships/hyperlink" Target="https://www.youtube.com/watch?v=kfjxG-B28VY&amp;t=53" TargetMode="External"/><Relationship Id="rId32" Type="http://schemas.openxmlformats.org/officeDocument/2006/relationships/drawing" Target="../drawings/drawing4.xml"/><Relationship Id="rId20" Type="http://schemas.openxmlformats.org/officeDocument/2006/relationships/hyperlink" Target="https://www.youtube.com/watch?v=LPvRUxJ5J1E&amp;t=45" TargetMode="External"/><Relationship Id="rId22" Type="http://schemas.openxmlformats.org/officeDocument/2006/relationships/hyperlink" Target="https://www.youtube.com/watch?v=NXkXQbQ9-kk&amp;vl=de-DE" TargetMode="External"/><Relationship Id="rId21" Type="http://schemas.openxmlformats.org/officeDocument/2006/relationships/hyperlink" Target="http://youtube.com" TargetMode="External"/><Relationship Id="rId24" Type="http://schemas.openxmlformats.org/officeDocument/2006/relationships/hyperlink" Target="https://www.youtube.com/watch?v=WD-3boLVluY&amp;vl=de&amp;t=368" TargetMode="External"/><Relationship Id="rId23" Type="http://schemas.openxmlformats.org/officeDocument/2006/relationships/hyperlink" Target="http://youtube.com" TargetMode="External"/><Relationship Id="rId26" Type="http://schemas.openxmlformats.org/officeDocument/2006/relationships/hyperlink" Target="https://www.youtube.com/watch?v=XhMbeN7cH34&amp;vl=de&amp;t=707" TargetMode="External"/><Relationship Id="rId25" Type="http://schemas.openxmlformats.org/officeDocument/2006/relationships/hyperlink" Target="http://youtube.com" TargetMode="External"/><Relationship Id="rId28" Type="http://schemas.openxmlformats.org/officeDocument/2006/relationships/hyperlink" Target="https://www.youtube.com/watch?v=dtlZTULGX4A" TargetMode="External"/><Relationship Id="rId27" Type="http://schemas.openxmlformats.org/officeDocument/2006/relationships/hyperlink" Target="http://youtube.com" TargetMode="External"/><Relationship Id="rId29" Type="http://schemas.openxmlformats.org/officeDocument/2006/relationships/hyperlink" Target="http://youtube.com" TargetMode="External"/><Relationship Id="rId11" Type="http://schemas.openxmlformats.org/officeDocument/2006/relationships/hyperlink" Target="http://youtube.com" TargetMode="External"/><Relationship Id="rId10" Type="http://schemas.openxmlformats.org/officeDocument/2006/relationships/hyperlink" Target="https://www.youtube.com/watch?v=JmDHPizWIOA" TargetMode="External"/><Relationship Id="rId13" Type="http://schemas.openxmlformats.org/officeDocument/2006/relationships/hyperlink" Target="http://youtube.com" TargetMode="External"/><Relationship Id="rId12" Type="http://schemas.openxmlformats.org/officeDocument/2006/relationships/hyperlink" Target="https://www.youtube.com/watch?v=00C1PZt8bLw&amp;vl=en" TargetMode="External"/><Relationship Id="rId15" Type="http://schemas.openxmlformats.org/officeDocument/2006/relationships/hyperlink" Target="http://youtube.com" TargetMode="External"/><Relationship Id="rId14" Type="http://schemas.openxmlformats.org/officeDocument/2006/relationships/hyperlink" Target="https://www.youtube.com/watch?v=CS31tb_2rCc&amp;t=389" TargetMode="External"/><Relationship Id="rId17" Type="http://schemas.openxmlformats.org/officeDocument/2006/relationships/hyperlink" Target="http://youtube.com" TargetMode="External"/><Relationship Id="rId16" Type="http://schemas.openxmlformats.org/officeDocument/2006/relationships/hyperlink" Target="https://www.youtube.com/watch?v=GCuRtQenQ80&amp;t=153" TargetMode="External"/><Relationship Id="rId19" Type="http://schemas.openxmlformats.org/officeDocument/2006/relationships/hyperlink" Target="http://youtube.com" TargetMode="External"/><Relationship Id="rId18" Type="http://schemas.openxmlformats.org/officeDocument/2006/relationships/hyperlink" Target="https://www.youtube.com/watch?v=JwCJmenpGKQ&amp;t=75" TargetMode="External"/><Relationship Id="rId1" Type="http://schemas.openxmlformats.org/officeDocument/2006/relationships/hyperlink" Target="http://youtube.com" TargetMode="External"/><Relationship Id="rId2" Type="http://schemas.openxmlformats.org/officeDocument/2006/relationships/hyperlink" Target="https://www.youtube.com/watch?v=iUNdeZPBkbk" TargetMode="External"/><Relationship Id="rId3" Type="http://schemas.openxmlformats.org/officeDocument/2006/relationships/hyperlink" Target="http://youtube.com" TargetMode="External"/><Relationship Id="rId4" Type="http://schemas.openxmlformats.org/officeDocument/2006/relationships/hyperlink" Target="https://www.youtube.com/watch?v=4L7On3IGqKQ" TargetMode="External"/><Relationship Id="rId9" Type="http://schemas.openxmlformats.org/officeDocument/2006/relationships/hyperlink" Target="http://youtube.com" TargetMode="External"/><Relationship Id="rId5" Type="http://schemas.openxmlformats.org/officeDocument/2006/relationships/hyperlink" Target="http://youtube.com" TargetMode="External"/><Relationship Id="rId6" Type="http://schemas.openxmlformats.org/officeDocument/2006/relationships/hyperlink" Target="https://www.youtube.com/watch?v=yqAWlB2swWU" TargetMode="External"/><Relationship Id="rId7" Type="http://schemas.openxmlformats.org/officeDocument/2006/relationships/hyperlink" Target="http://youtube.com" TargetMode="External"/><Relationship Id="rId8" Type="http://schemas.openxmlformats.org/officeDocument/2006/relationships/hyperlink" Target="https://www.youtube.com/watch?v=7pP2AGlSn50"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incubeta.com" TargetMode="External"/><Relationship Id="rId10" Type="http://schemas.openxmlformats.org/officeDocument/2006/relationships/hyperlink" Target="https://incubeta.com/news-and-resources/incubeta-dach-gcp-certification/" TargetMode="External"/><Relationship Id="rId13" Type="http://schemas.openxmlformats.org/officeDocument/2006/relationships/hyperlink" Target="http://incubeta.com" TargetMode="External"/><Relationship Id="rId12" Type="http://schemas.openxmlformats.org/officeDocument/2006/relationships/hyperlink" Target="https://incubeta.com/our-work/delivering-incrementality-for-superdrug/" TargetMode="External"/><Relationship Id="rId14" Type="http://schemas.openxmlformats.org/officeDocument/2006/relationships/drawing" Target="../drawings/drawing5.xml"/><Relationship Id="rId1" Type="http://schemas.openxmlformats.org/officeDocument/2006/relationships/hyperlink" Target="http://incubeta.com" TargetMode="External"/><Relationship Id="rId2" Type="http://schemas.openxmlformats.org/officeDocument/2006/relationships/hyperlink" Target="https://incubeta.com/capabilities/marketing-intelligence/" TargetMode="External"/><Relationship Id="rId3" Type="http://schemas.openxmlformats.org/officeDocument/2006/relationships/hyperlink" Target="http://incubeta.com" TargetMode="External"/><Relationship Id="rId4" Type="http://schemas.openxmlformats.org/officeDocument/2006/relationships/hyperlink" Target="https://incubeta.com/de/about-us/" TargetMode="External"/><Relationship Id="rId9" Type="http://schemas.openxmlformats.org/officeDocument/2006/relationships/hyperlink" Target="http://incubeta.com" TargetMode="External"/><Relationship Id="rId5" Type="http://schemas.openxmlformats.org/officeDocument/2006/relationships/hyperlink" Target="http://incubeta.com" TargetMode="External"/><Relationship Id="rId6" Type="http://schemas.openxmlformats.org/officeDocument/2006/relationships/hyperlink" Target="https://incubeta.com/de/find-us/berlin-germany/" TargetMode="External"/><Relationship Id="rId7" Type="http://schemas.openxmlformats.org/officeDocument/2006/relationships/hyperlink" Target="http://incubeta.com" TargetMode="External"/><Relationship Id="rId8" Type="http://schemas.openxmlformats.org/officeDocument/2006/relationships/hyperlink" Target="https://incubeta.com/find-us/munich-german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ortlist.de" TargetMode="External"/><Relationship Id="rId2" Type="http://schemas.openxmlformats.org/officeDocument/2006/relationships/hyperlink" Target="https://www.instagram.com/serviceplan/" TargetMode="External"/><Relationship Id="rId3" Type="http://schemas.openxmlformats.org/officeDocument/2006/relationships/hyperlink" Target="http://instagram.com" TargetMode="External"/><Relationship Id="rId4" Type="http://schemas.openxmlformats.org/officeDocument/2006/relationships/hyperlink" Target="https://www.instagram.com/thjnk/" TargetMode="External"/><Relationship Id="rId5" Type="http://schemas.openxmlformats.org/officeDocument/2006/relationships/hyperlink" Target="http://instagram.com"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sortlist.de/s/performance-marketing/deutschland-de" TargetMode="External"/><Relationship Id="rId42" Type="http://schemas.openxmlformats.org/officeDocument/2006/relationships/hyperlink" Target="https://www.sortlist.com/marketing-analytics" TargetMode="External"/><Relationship Id="rId41" Type="http://schemas.openxmlformats.org/officeDocument/2006/relationships/hyperlink" Target="http://sortlist.de" TargetMode="External"/><Relationship Id="rId44" Type="http://schemas.openxmlformats.org/officeDocument/2006/relationships/hyperlink" Target="https://www.sortlist.com/paid-media" TargetMode="External"/><Relationship Id="rId43" Type="http://schemas.openxmlformats.org/officeDocument/2006/relationships/hyperlink" Target="http://sortlist.com" TargetMode="External"/><Relationship Id="rId46" Type="http://schemas.openxmlformats.org/officeDocument/2006/relationships/hyperlink" Target="https://www.sortlist.com/display-advertising" TargetMode="External"/><Relationship Id="rId45" Type="http://schemas.openxmlformats.org/officeDocument/2006/relationships/hyperlink" Target="http://sortlist.com" TargetMode="External"/><Relationship Id="rId48" Type="http://schemas.openxmlformats.org/officeDocument/2006/relationships/hyperlink" Target="https://www.sortlist.com/s/marketing-automation/germany-de" TargetMode="External"/><Relationship Id="rId47" Type="http://schemas.openxmlformats.org/officeDocument/2006/relationships/hyperlink" Target="http://sortlist.com" TargetMode="External"/><Relationship Id="rId49" Type="http://schemas.openxmlformats.org/officeDocument/2006/relationships/hyperlink" Target="http://sortlist.com" TargetMode="External"/><Relationship Id="rId31" Type="http://schemas.openxmlformats.org/officeDocument/2006/relationships/hyperlink" Target="http://sortlist.de" TargetMode="External"/><Relationship Id="rId30" Type="http://schemas.openxmlformats.org/officeDocument/2006/relationships/hyperlink" Target="https://www.sortlist.de/s/display-werbung/deutschland-de" TargetMode="External"/><Relationship Id="rId33" Type="http://schemas.openxmlformats.org/officeDocument/2006/relationships/hyperlink" Target="http://sortlist.com" TargetMode="External"/><Relationship Id="rId32" Type="http://schemas.openxmlformats.org/officeDocument/2006/relationships/hyperlink" Target="https://www.sortlist.com/s/attribution-marketing/berlin-de" TargetMode="External"/><Relationship Id="rId35" Type="http://schemas.openxmlformats.org/officeDocument/2006/relationships/hyperlink" Target="http://sortlist.com" TargetMode="External"/><Relationship Id="rId34" Type="http://schemas.openxmlformats.org/officeDocument/2006/relationships/hyperlink" Target="https://www.sortlist.com/s/attribution-marketing/germany-de" TargetMode="External"/><Relationship Id="rId37" Type="http://schemas.openxmlformats.org/officeDocument/2006/relationships/hyperlink" Target="http://sortlist.com" TargetMode="External"/><Relationship Id="rId36" Type="http://schemas.openxmlformats.org/officeDocument/2006/relationships/hyperlink" Target="https://www.sortlist.com/s/performance-marketing/berlin-de" TargetMode="External"/><Relationship Id="rId39" Type="http://schemas.openxmlformats.org/officeDocument/2006/relationships/hyperlink" Target="http://sortlist.com" TargetMode="External"/><Relationship Id="rId38" Type="http://schemas.openxmlformats.org/officeDocument/2006/relationships/hyperlink" Target="https://www.sortlist.com/i/advertising/germany-de" TargetMode="External"/><Relationship Id="rId20" Type="http://schemas.openxmlformats.org/officeDocument/2006/relationships/hyperlink" Target="https://www.sortlist.de/s/bezahlte-media/deutschland-de" TargetMode="External"/><Relationship Id="rId22" Type="http://schemas.openxmlformats.org/officeDocument/2006/relationships/hyperlink" Target="https://www.sortlist.com/s/digital-advertising/germany-de" TargetMode="External"/><Relationship Id="rId21" Type="http://schemas.openxmlformats.org/officeDocument/2006/relationships/hyperlink" Target="http://sortlist.de" TargetMode="External"/><Relationship Id="rId24" Type="http://schemas.openxmlformats.org/officeDocument/2006/relationships/hyperlink" Target="https://www.sortlist.com/s/media-planning/germany-de" TargetMode="External"/><Relationship Id="rId23" Type="http://schemas.openxmlformats.org/officeDocument/2006/relationships/hyperlink" Target="http://sortlist.com" TargetMode="External"/><Relationship Id="rId26" Type="http://schemas.openxmlformats.org/officeDocument/2006/relationships/hyperlink" Target="https://www.sortlist.de/s/marketing-analytik/deutschland-de" TargetMode="External"/><Relationship Id="rId25" Type="http://schemas.openxmlformats.org/officeDocument/2006/relationships/hyperlink" Target="http://sortlist.com" TargetMode="External"/><Relationship Id="rId28" Type="http://schemas.openxmlformats.org/officeDocument/2006/relationships/hyperlink" Target="https://www.sortlist.de/s/ai-marketing/deutschland-de" TargetMode="External"/><Relationship Id="rId27" Type="http://schemas.openxmlformats.org/officeDocument/2006/relationships/hyperlink" Target="http://sortlist.de" TargetMode="External"/><Relationship Id="rId29" Type="http://schemas.openxmlformats.org/officeDocument/2006/relationships/hyperlink" Target="http://sortlist.de" TargetMode="External"/><Relationship Id="rId11" Type="http://schemas.openxmlformats.org/officeDocument/2006/relationships/hyperlink" Target="http://sortlist.com" TargetMode="External"/><Relationship Id="rId10" Type="http://schemas.openxmlformats.org/officeDocument/2006/relationships/hyperlink" Target="https://www.sortlist.com/s/marketing-analytics/germany-de" TargetMode="External"/><Relationship Id="rId13" Type="http://schemas.openxmlformats.org/officeDocument/2006/relationships/hyperlink" Target="http://sortlist.com" TargetMode="External"/><Relationship Id="rId12" Type="http://schemas.openxmlformats.org/officeDocument/2006/relationships/hyperlink" Target="https://www.sortlist.com/i/social-media/germany-de" TargetMode="External"/><Relationship Id="rId15" Type="http://schemas.openxmlformats.org/officeDocument/2006/relationships/hyperlink" Target="http://sortlist.com" TargetMode="External"/><Relationship Id="rId14" Type="http://schemas.openxmlformats.org/officeDocument/2006/relationships/hyperlink" Target="https://www.sortlist.com/s/paid-media/germany-de" TargetMode="External"/><Relationship Id="rId17" Type="http://schemas.openxmlformats.org/officeDocument/2006/relationships/hyperlink" Target="http://sortlist.com" TargetMode="External"/><Relationship Id="rId16" Type="http://schemas.openxmlformats.org/officeDocument/2006/relationships/hyperlink" Target="https://www.sortlist.com/i/s/creative/germany-de" TargetMode="External"/><Relationship Id="rId19" Type="http://schemas.openxmlformats.org/officeDocument/2006/relationships/hyperlink" Target="http://sortlist.com" TargetMode="External"/><Relationship Id="rId18" Type="http://schemas.openxmlformats.org/officeDocument/2006/relationships/hyperlink" Target="https://www.sortlist.com/s/ai-marketing/germany-de" TargetMode="External"/><Relationship Id="rId84" Type="http://schemas.openxmlformats.org/officeDocument/2006/relationships/hyperlink" Target="https://www.sortlist.com/i/s/creative/berlin-de" TargetMode="External"/><Relationship Id="rId83" Type="http://schemas.openxmlformats.org/officeDocument/2006/relationships/hyperlink" Target="http://sortlist.de" TargetMode="External"/><Relationship Id="rId86" Type="http://schemas.openxmlformats.org/officeDocument/2006/relationships/hyperlink" Target="https://www.sortlist.com/s/data-driven-marketing/germany-de" TargetMode="External"/><Relationship Id="rId85" Type="http://schemas.openxmlformats.org/officeDocument/2006/relationships/hyperlink" Target="http://sortlist.com" TargetMode="External"/><Relationship Id="rId88" Type="http://schemas.openxmlformats.org/officeDocument/2006/relationships/hyperlink" Target="https://www.sortlist.com/s/display-advertising/munich-by-de" TargetMode="External"/><Relationship Id="rId87" Type="http://schemas.openxmlformats.org/officeDocument/2006/relationships/hyperlink" Target="http://sortlist.com" TargetMode="External"/><Relationship Id="rId89" Type="http://schemas.openxmlformats.org/officeDocument/2006/relationships/hyperlink" Target="http://sortlist.com" TargetMode="External"/><Relationship Id="rId80" Type="http://schemas.openxmlformats.org/officeDocument/2006/relationships/hyperlink" Target="https://www.sortlist.de/s/google-analytics/deutschland-de" TargetMode="External"/><Relationship Id="rId82" Type="http://schemas.openxmlformats.org/officeDocument/2006/relationships/hyperlink" Target="https://www.sortlist.de/s/programmatic-advertising/deutschland-de" TargetMode="External"/><Relationship Id="rId81" Type="http://schemas.openxmlformats.org/officeDocument/2006/relationships/hyperlink" Target="http://sortlist.de" TargetMode="External"/><Relationship Id="rId73" Type="http://schemas.openxmlformats.org/officeDocument/2006/relationships/hyperlink" Target="http://sortlist.com" TargetMode="External"/><Relationship Id="rId72" Type="http://schemas.openxmlformats.org/officeDocument/2006/relationships/hyperlink" Target="https://www.sortlist.com/s/google-ads/germany-de" TargetMode="External"/><Relationship Id="rId75" Type="http://schemas.openxmlformats.org/officeDocument/2006/relationships/hyperlink" Target="http://sortlist.com" TargetMode="External"/><Relationship Id="rId74" Type="http://schemas.openxmlformats.org/officeDocument/2006/relationships/hyperlink" Target="https://www.sortlist.com/s/marketing-analytics/berlin-de" TargetMode="External"/><Relationship Id="rId77" Type="http://schemas.openxmlformats.org/officeDocument/2006/relationships/hyperlink" Target="http://sortlist.de" TargetMode="External"/><Relationship Id="rId76" Type="http://schemas.openxmlformats.org/officeDocument/2006/relationships/hyperlink" Target="https://www.sortlist.de/s/ai-marketing/baden-wuerttemberg-bw-de" TargetMode="External"/><Relationship Id="rId79" Type="http://schemas.openxmlformats.org/officeDocument/2006/relationships/hyperlink" Target="http://sortlist.de" TargetMode="External"/><Relationship Id="rId78" Type="http://schemas.openxmlformats.org/officeDocument/2006/relationships/hyperlink" Target="https://www.sortlist.de/s/ai-marketing/muenchen-by-de" TargetMode="External"/><Relationship Id="rId71" Type="http://schemas.openxmlformats.org/officeDocument/2006/relationships/hyperlink" Target="http://sortlist.com" TargetMode="External"/><Relationship Id="rId70" Type="http://schemas.openxmlformats.org/officeDocument/2006/relationships/hyperlink" Target="https://www.sortlist.com/s/b2b-marketing/germany-de" TargetMode="External"/><Relationship Id="rId62" Type="http://schemas.openxmlformats.org/officeDocument/2006/relationships/hyperlink" Target="https://www.sortlist.de/s/attributionsmarketing/deutschland-de" TargetMode="External"/><Relationship Id="rId61" Type="http://schemas.openxmlformats.org/officeDocument/2006/relationships/hyperlink" Target="http://sortlist.com" TargetMode="External"/><Relationship Id="rId64" Type="http://schemas.openxmlformats.org/officeDocument/2006/relationships/hyperlink" Target="https://www.sortlist.de/s/kunstliche-intelligenz/deutschland-de" TargetMode="External"/><Relationship Id="rId63" Type="http://schemas.openxmlformats.org/officeDocument/2006/relationships/hyperlink" Target="http://sortlist.de" TargetMode="External"/><Relationship Id="rId66" Type="http://schemas.openxmlformats.org/officeDocument/2006/relationships/hyperlink" Target="https://www.sortlist.de/web-analytics/deutschland-de" TargetMode="External"/><Relationship Id="rId65" Type="http://schemas.openxmlformats.org/officeDocument/2006/relationships/hyperlink" Target="http://sortlist.de" TargetMode="External"/><Relationship Id="rId68" Type="http://schemas.openxmlformats.org/officeDocument/2006/relationships/hyperlink" Target="https://www.sortlist.com/de/performance-marketing" TargetMode="External"/><Relationship Id="rId67" Type="http://schemas.openxmlformats.org/officeDocument/2006/relationships/hyperlink" Target="http://sortlist.de" TargetMode="External"/><Relationship Id="rId60" Type="http://schemas.openxmlformats.org/officeDocument/2006/relationships/hyperlink" Target="https://www.sortlist.com/s/artificial-intelligence/munich-by-de" TargetMode="External"/><Relationship Id="rId69" Type="http://schemas.openxmlformats.org/officeDocument/2006/relationships/hyperlink" Target="http://sortlist.com" TargetMode="External"/><Relationship Id="rId51" Type="http://schemas.openxmlformats.org/officeDocument/2006/relationships/hyperlink" Target="http://sortlist.com" TargetMode="External"/><Relationship Id="rId50" Type="http://schemas.openxmlformats.org/officeDocument/2006/relationships/hyperlink" Target="https://www.sortlist.com/i/web-analytics/germany-de" TargetMode="External"/><Relationship Id="rId53" Type="http://schemas.openxmlformats.org/officeDocument/2006/relationships/hyperlink" Target="http://sortlist.com" TargetMode="External"/><Relationship Id="rId52" Type="http://schemas.openxmlformats.org/officeDocument/2006/relationships/hyperlink" Target="https://www.sortlist.com/s/international-marketing/germany-de" TargetMode="External"/><Relationship Id="rId55" Type="http://schemas.openxmlformats.org/officeDocument/2006/relationships/hyperlink" Target="http://sortlist.com" TargetMode="External"/><Relationship Id="rId54" Type="http://schemas.openxmlformats.org/officeDocument/2006/relationships/hyperlink" Target="https://www.sortlist.com/s/marketing-analytics/frankfurt-he-de" TargetMode="External"/><Relationship Id="rId57" Type="http://schemas.openxmlformats.org/officeDocument/2006/relationships/hyperlink" Target="http://sortlist.com" TargetMode="External"/><Relationship Id="rId56" Type="http://schemas.openxmlformats.org/officeDocument/2006/relationships/hyperlink" Target="https://www.sortlist.com/s/sm-analytics/germany-de" TargetMode="External"/><Relationship Id="rId59" Type="http://schemas.openxmlformats.org/officeDocument/2006/relationships/hyperlink" Target="http://sortlist.de" TargetMode="External"/><Relationship Id="rId58" Type="http://schemas.openxmlformats.org/officeDocument/2006/relationships/hyperlink" Target="https://www.sortlist.de/s/bezahlte-media/deutschland-de?page=2" TargetMode="External"/><Relationship Id="rId95" Type="http://schemas.openxmlformats.org/officeDocument/2006/relationships/hyperlink" Target="http://sortlist.de" TargetMode="External"/><Relationship Id="rId94" Type="http://schemas.openxmlformats.org/officeDocument/2006/relationships/hyperlink" Target="https://www.sortlist.de/s/big-data-analytics/deutschland-de" TargetMode="External"/><Relationship Id="rId97" Type="http://schemas.openxmlformats.org/officeDocument/2006/relationships/hyperlink" Target="http://sortlist.de" TargetMode="External"/><Relationship Id="rId96" Type="http://schemas.openxmlformats.org/officeDocument/2006/relationships/hyperlink" Target="https://www.sortlist.de/s/big-data-marketing/deutschland-de" TargetMode="External"/><Relationship Id="rId99" Type="http://schemas.openxmlformats.org/officeDocument/2006/relationships/hyperlink" Target="http://sortlist.de" TargetMode="External"/><Relationship Id="rId98" Type="http://schemas.openxmlformats.org/officeDocument/2006/relationships/hyperlink" Target="https://www.sortlist.de/s/instagram-werbung/deutschland-de" TargetMode="External"/><Relationship Id="rId91" Type="http://schemas.openxmlformats.org/officeDocument/2006/relationships/hyperlink" Target="http://sortlist.com" TargetMode="External"/><Relationship Id="rId90" Type="http://schemas.openxmlformats.org/officeDocument/2006/relationships/hyperlink" Target="https://www.sortlist.com/s/programmatic-advertising/germany-de" TargetMode="External"/><Relationship Id="rId93" Type="http://schemas.openxmlformats.org/officeDocument/2006/relationships/hyperlink" Target="http://sortlist.de" TargetMode="External"/><Relationship Id="rId92" Type="http://schemas.openxmlformats.org/officeDocument/2006/relationships/hyperlink" Target="https://www.sortlist.de/s/ai-marketing/berlin-de" TargetMode="External"/><Relationship Id="rId1" Type="http://schemas.openxmlformats.org/officeDocument/2006/relationships/hyperlink" Target="http://sortlist.com" TargetMode="External"/><Relationship Id="rId2" Type="http://schemas.openxmlformats.org/officeDocument/2006/relationships/hyperlink" Target="https://www.sortlist.com/s/performance-marketing/germany-de" TargetMode="External"/><Relationship Id="rId3" Type="http://schemas.openxmlformats.org/officeDocument/2006/relationships/hyperlink" Target="http://sortlist.com" TargetMode="External"/><Relationship Id="rId4" Type="http://schemas.openxmlformats.org/officeDocument/2006/relationships/hyperlink" Target="https://www.sortlist.com/s/artificial-intelligence/germany-de"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sortlist.com/s/display-advertising/germany-de" TargetMode="External"/><Relationship Id="rId7" Type="http://schemas.openxmlformats.org/officeDocument/2006/relationships/hyperlink" Target="http://sortlist.com" TargetMode="External"/><Relationship Id="rId8" Type="http://schemas.openxmlformats.org/officeDocument/2006/relationships/hyperlink" Target="https://www.sortlist.com/i/digital-marketing/germany-de" TargetMode="External"/><Relationship Id="rId176" Type="http://schemas.openxmlformats.org/officeDocument/2006/relationships/drawing" Target="../drawings/drawing7.xml"/><Relationship Id="rId175" Type="http://schemas.openxmlformats.org/officeDocument/2006/relationships/hyperlink" Target="http://sortlist.de" TargetMode="External"/><Relationship Id="rId174" Type="http://schemas.openxmlformats.org/officeDocument/2006/relationships/hyperlink" Target="https://www.sortlist.de/social-media/deutschland-de" TargetMode="External"/><Relationship Id="rId173" Type="http://schemas.openxmlformats.org/officeDocument/2006/relationships/hyperlink" Target="http://sortlist.de" TargetMode="External"/><Relationship Id="rId150" Type="http://schemas.openxmlformats.org/officeDocument/2006/relationships/hyperlink" Target="https://www.sortlist.com/s/roi-optimization/germany-de" TargetMode="External"/><Relationship Id="rId149" Type="http://schemas.openxmlformats.org/officeDocument/2006/relationships/hyperlink" Target="http://sortlist.com" TargetMode="External"/><Relationship Id="rId148" Type="http://schemas.openxmlformats.org/officeDocument/2006/relationships/hyperlink" Target="https://www.sortlist.com/s/programmatic-advertising/berlin-de" TargetMode="External"/><Relationship Id="rId143" Type="http://schemas.openxmlformats.org/officeDocument/2006/relationships/hyperlink" Target="http://sortlist.com" TargetMode="External"/><Relationship Id="rId142" Type="http://schemas.openxmlformats.org/officeDocument/2006/relationships/hyperlink" Target="https://www.sortlist.com/s/paid-media/munich-by-de" TargetMode="External"/><Relationship Id="rId141" Type="http://schemas.openxmlformats.org/officeDocument/2006/relationships/hyperlink" Target="http://sortlist.com" TargetMode="External"/><Relationship Id="rId140" Type="http://schemas.openxmlformats.org/officeDocument/2006/relationships/hyperlink" Target="https://www.sortlist.com/s/international-marketing/hamburg-de" TargetMode="External"/><Relationship Id="rId147" Type="http://schemas.openxmlformats.org/officeDocument/2006/relationships/hyperlink" Target="http://sortlist.com" TargetMode="External"/><Relationship Id="rId146" Type="http://schemas.openxmlformats.org/officeDocument/2006/relationships/hyperlink" Target="https://www.sortlist.com/s/performance-marketing/munich-by-de" TargetMode="External"/><Relationship Id="rId145" Type="http://schemas.openxmlformats.org/officeDocument/2006/relationships/hyperlink" Target="http://sortlist.com" TargetMode="External"/><Relationship Id="rId144" Type="http://schemas.openxmlformats.org/officeDocument/2006/relationships/hyperlink" Target="https://www.sortlist.com/s/performance-marketing/frankfurt-he-de" TargetMode="External"/><Relationship Id="rId139" Type="http://schemas.openxmlformats.org/officeDocument/2006/relationships/hyperlink" Target="http://sortlist.com" TargetMode="External"/><Relationship Id="rId138" Type="http://schemas.openxmlformats.org/officeDocument/2006/relationships/hyperlink" Target="https://www.sortlist.com/s/data-driven-marketing/berlin-de" TargetMode="External"/><Relationship Id="rId137" Type="http://schemas.openxmlformats.org/officeDocument/2006/relationships/hyperlink" Target="http://sortlist.com" TargetMode="External"/><Relationship Id="rId132" Type="http://schemas.openxmlformats.org/officeDocument/2006/relationships/hyperlink" Target="https://www.sortlist.com/s/ai-agents/germany-de" TargetMode="External"/><Relationship Id="rId131" Type="http://schemas.openxmlformats.org/officeDocument/2006/relationships/hyperlink" Target="http://sortlist.com" TargetMode="External"/><Relationship Id="rId130" Type="http://schemas.openxmlformats.org/officeDocument/2006/relationships/hyperlink" Target="https://www.sortlist.com/media-planning" TargetMode="External"/><Relationship Id="rId136" Type="http://schemas.openxmlformats.org/officeDocument/2006/relationships/hyperlink" Target="https://www.sortlist.com/s/brand-experience/germany-de" TargetMode="External"/><Relationship Id="rId135" Type="http://schemas.openxmlformats.org/officeDocument/2006/relationships/hyperlink" Target="http://sortlist.com" TargetMode="External"/><Relationship Id="rId134" Type="http://schemas.openxmlformats.org/officeDocument/2006/relationships/hyperlink" Target="https://www.sortlist.com/s/artificial-intelligence/hamburg-de" TargetMode="External"/><Relationship Id="rId133" Type="http://schemas.openxmlformats.org/officeDocument/2006/relationships/hyperlink" Target="http://sortlist.com" TargetMode="External"/><Relationship Id="rId172" Type="http://schemas.openxmlformats.org/officeDocument/2006/relationships/hyperlink" Target="https://www.sortlist.de/s/tiktok/deutschland-de?page=2" TargetMode="External"/><Relationship Id="rId171" Type="http://schemas.openxmlformats.org/officeDocument/2006/relationships/hyperlink" Target="http://sortlist.de" TargetMode="External"/><Relationship Id="rId170" Type="http://schemas.openxmlformats.org/officeDocument/2006/relationships/hyperlink" Target="https://www.sortlist.de/s/tiktok/deutschland-de" TargetMode="External"/><Relationship Id="rId165" Type="http://schemas.openxmlformats.org/officeDocument/2006/relationships/hyperlink" Target="http://sortlist.de" TargetMode="External"/><Relationship Id="rId164" Type="http://schemas.openxmlformats.org/officeDocument/2006/relationships/hyperlink" Target="https://www.sortlist.de/s/marketing-analytik/hamburg-de" TargetMode="External"/><Relationship Id="rId163" Type="http://schemas.openxmlformats.org/officeDocument/2006/relationships/hyperlink" Target="http://sortlist.de" TargetMode="External"/><Relationship Id="rId162" Type="http://schemas.openxmlformats.org/officeDocument/2006/relationships/hyperlink" Target="https://www.sortlist.de/s/linkedin-ads/deutschland-de" TargetMode="External"/><Relationship Id="rId169" Type="http://schemas.openxmlformats.org/officeDocument/2006/relationships/hyperlink" Target="http://sortlist.de" TargetMode="External"/><Relationship Id="rId168" Type="http://schemas.openxmlformats.org/officeDocument/2006/relationships/hyperlink" Target="https://www.sortlist.de/s/programmatic-advertising/deutschland-de?page=2" TargetMode="External"/><Relationship Id="rId167" Type="http://schemas.openxmlformats.org/officeDocument/2006/relationships/hyperlink" Target="http://sortlist.de" TargetMode="External"/><Relationship Id="rId166" Type="http://schemas.openxmlformats.org/officeDocument/2006/relationships/hyperlink" Target="https://www.sortlist.de/s/pay-per-click/deutschland-de" TargetMode="External"/><Relationship Id="rId161" Type="http://schemas.openxmlformats.org/officeDocument/2006/relationships/hyperlink" Target="http://sortlist.de" TargetMode="External"/><Relationship Id="rId160" Type="http://schemas.openxmlformats.org/officeDocument/2006/relationships/hyperlink" Target="https://www.sortlist.de/s/facebook-advertising/deutschland-de" TargetMode="External"/><Relationship Id="rId159" Type="http://schemas.openxmlformats.org/officeDocument/2006/relationships/hyperlink" Target="http://sortlist.de" TargetMode="External"/><Relationship Id="rId154" Type="http://schemas.openxmlformats.org/officeDocument/2006/relationships/hyperlink" Target="https://www.sortlist.de/s/display-werbung/bayern-by-de" TargetMode="External"/><Relationship Id="rId153" Type="http://schemas.openxmlformats.org/officeDocument/2006/relationships/hyperlink" Target="http://sortlist.com" TargetMode="External"/><Relationship Id="rId152" Type="http://schemas.openxmlformats.org/officeDocument/2006/relationships/hyperlink" Target="https://www.sortlist.com/social-media-optimization" TargetMode="External"/><Relationship Id="rId151" Type="http://schemas.openxmlformats.org/officeDocument/2006/relationships/hyperlink" Target="http://sortlist.com" TargetMode="External"/><Relationship Id="rId158" Type="http://schemas.openxmlformats.org/officeDocument/2006/relationships/hyperlink" Target="https://www.sortlist.de/s/display-werbung/hamburg-hh-de" TargetMode="External"/><Relationship Id="rId157" Type="http://schemas.openxmlformats.org/officeDocument/2006/relationships/hyperlink" Target="http://sortlist.de" TargetMode="External"/><Relationship Id="rId156" Type="http://schemas.openxmlformats.org/officeDocument/2006/relationships/hyperlink" Target="https://www.sortlist.de/s/display-werbung/hamburg-de" TargetMode="External"/><Relationship Id="rId155" Type="http://schemas.openxmlformats.org/officeDocument/2006/relationships/hyperlink" Target="http://sortlist.de" TargetMode="External"/><Relationship Id="rId107" Type="http://schemas.openxmlformats.org/officeDocument/2006/relationships/hyperlink" Target="http://sortlist.com" TargetMode="External"/><Relationship Id="rId106" Type="http://schemas.openxmlformats.org/officeDocument/2006/relationships/hyperlink" Target="https://www.sortlist.com/s/brand-creation/germany-de" TargetMode="External"/><Relationship Id="rId105" Type="http://schemas.openxmlformats.org/officeDocument/2006/relationships/hyperlink" Target="http://sortlist.com" TargetMode="External"/><Relationship Id="rId104" Type="http://schemas.openxmlformats.org/officeDocument/2006/relationships/hyperlink" Target="https://www.sortlist.com/s/b2b-digital-marketing/germany-de" TargetMode="External"/><Relationship Id="rId109" Type="http://schemas.openxmlformats.org/officeDocument/2006/relationships/hyperlink" Target="http://sortlist.com" TargetMode="External"/><Relationship Id="rId108" Type="http://schemas.openxmlformats.org/officeDocument/2006/relationships/hyperlink" Target="https://www.sortlist.com/s/creative-design/germany-de" TargetMode="External"/><Relationship Id="rId103" Type="http://schemas.openxmlformats.org/officeDocument/2006/relationships/hyperlink" Target="http://sortlist.com" TargetMode="External"/><Relationship Id="rId102" Type="http://schemas.openxmlformats.org/officeDocument/2006/relationships/hyperlink" Target="https://www.sortlist.com/performance-marketing" TargetMode="External"/><Relationship Id="rId101" Type="http://schemas.openxmlformats.org/officeDocument/2006/relationships/hyperlink" Target="http://sortlist.com" TargetMode="External"/><Relationship Id="rId100" Type="http://schemas.openxmlformats.org/officeDocument/2006/relationships/hyperlink" Target="https://www.sortlist.com/i/s/growth-marketing/germany-de" TargetMode="External"/><Relationship Id="rId129" Type="http://schemas.openxmlformats.org/officeDocument/2006/relationships/hyperlink" Target="http://sortlist.com" TargetMode="External"/><Relationship Id="rId128" Type="http://schemas.openxmlformats.org/officeDocument/2006/relationships/hyperlink" Target="https://www.sortlist.com/i/s/ppc-marketing/germany-de" TargetMode="External"/><Relationship Id="rId127" Type="http://schemas.openxmlformats.org/officeDocument/2006/relationships/hyperlink" Target="http://sortlist.com" TargetMode="External"/><Relationship Id="rId126" Type="http://schemas.openxmlformats.org/officeDocument/2006/relationships/hyperlink" Target="https://www.sortlist.com/i/s/linkedin-advertising/germany-de" TargetMode="External"/><Relationship Id="rId121" Type="http://schemas.openxmlformats.org/officeDocument/2006/relationships/hyperlink" Target="http://sortlist.com" TargetMode="External"/><Relationship Id="rId120" Type="http://schemas.openxmlformats.org/officeDocument/2006/relationships/hyperlink" Target="https://www.sortlist.com/de/ai-marketing" TargetMode="External"/><Relationship Id="rId125" Type="http://schemas.openxmlformats.org/officeDocument/2006/relationships/hyperlink" Target="http://sortlist.com" TargetMode="External"/><Relationship Id="rId124" Type="http://schemas.openxmlformats.org/officeDocument/2006/relationships/hyperlink" Target="https://www.sortlist.com/i/s/big-data-analytics/germany-de" TargetMode="External"/><Relationship Id="rId123" Type="http://schemas.openxmlformats.org/officeDocument/2006/relationships/hyperlink" Target="http://sortlist.com" TargetMode="External"/><Relationship Id="rId122" Type="http://schemas.openxmlformats.org/officeDocument/2006/relationships/hyperlink" Target="https://www.sortlist.com/i/branding/germany-de" TargetMode="External"/><Relationship Id="rId118" Type="http://schemas.openxmlformats.org/officeDocument/2006/relationships/hyperlink" Target="https://www.sortlist.de/s/display-werbung/duesseldorf-de" TargetMode="External"/><Relationship Id="rId117" Type="http://schemas.openxmlformats.org/officeDocument/2006/relationships/hyperlink" Target="http://sortlist.de" TargetMode="External"/><Relationship Id="rId116" Type="http://schemas.openxmlformats.org/officeDocument/2006/relationships/hyperlink" Target="https://www.sortlist.de/s/ai-marketing/hamburg-de" TargetMode="External"/><Relationship Id="rId115" Type="http://schemas.openxmlformats.org/officeDocument/2006/relationships/hyperlink" Target="http://sortlist.de" TargetMode="External"/><Relationship Id="rId119" Type="http://schemas.openxmlformats.org/officeDocument/2006/relationships/hyperlink" Target="http://sortlist.de" TargetMode="External"/><Relationship Id="rId110" Type="http://schemas.openxmlformats.org/officeDocument/2006/relationships/hyperlink" Target="https://www.sortlist.com/s/online-marketing/germany-de" TargetMode="External"/><Relationship Id="rId114" Type="http://schemas.openxmlformats.org/officeDocument/2006/relationships/hyperlink" Target="https://www.sortlist.de/s/ai-marketing/bremen-hb-de" TargetMode="External"/><Relationship Id="rId113" Type="http://schemas.openxmlformats.org/officeDocument/2006/relationships/hyperlink" Target="http://sortlist.com" TargetMode="External"/><Relationship Id="rId112" Type="http://schemas.openxmlformats.org/officeDocument/2006/relationships/hyperlink" Target="https://www.sortlist.com/s/tiktok-advertising/germany-de" TargetMode="External"/><Relationship Id="rId111" Type="http://schemas.openxmlformats.org/officeDocument/2006/relationships/hyperlink" Target="http://sortlist.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clutch.co/agencies/ppc/display" TargetMode="External"/><Relationship Id="rId42" Type="http://schemas.openxmlformats.org/officeDocument/2006/relationships/hyperlink" Target="https://clutch.co/de/agencies/programmatic" TargetMode="External"/><Relationship Id="rId41" Type="http://schemas.openxmlformats.org/officeDocument/2006/relationships/hyperlink" Target="http://clutch.co" TargetMode="External"/><Relationship Id="rId44" Type="http://schemas.openxmlformats.org/officeDocument/2006/relationships/hyperlink" Target="https://clutch.co/de/consulting/ai/maturation" TargetMode="External"/><Relationship Id="rId43" Type="http://schemas.openxmlformats.org/officeDocument/2006/relationships/hyperlink" Target="http://clutch.co" TargetMode="External"/><Relationship Id="rId46" Type="http://schemas.openxmlformats.org/officeDocument/2006/relationships/hyperlink" Target="https://clutch.co/de/developers/artificial-intelligence" TargetMode="External"/><Relationship Id="rId45" Type="http://schemas.openxmlformats.org/officeDocument/2006/relationships/hyperlink" Target="http://clutch.co" TargetMode="External"/><Relationship Id="rId48" Type="http://schemas.openxmlformats.org/officeDocument/2006/relationships/hyperlink" Target="https://clutch.co/de/developers/artificial-intelligence/generative"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de/consulting/ai/deployment" TargetMode="External"/><Relationship Id="rId33" Type="http://schemas.openxmlformats.org/officeDocument/2006/relationships/hyperlink" Target="http://clutch.co" TargetMode="External"/><Relationship Id="rId32" Type="http://schemas.openxmlformats.org/officeDocument/2006/relationships/hyperlink" Target="https://clutch.co/de/consulting/ai?page=1" TargetMode="External"/><Relationship Id="rId35" Type="http://schemas.openxmlformats.org/officeDocument/2006/relationships/hyperlink" Target="http://clutch.co" TargetMode="External"/><Relationship Id="rId34" Type="http://schemas.openxmlformats.org/officeDocument/2006/relationships/hyperlink" Target="https://clutch.co/de/agencies/ppc/advertising-industry?page=2" TargetMode="External"/><Relationship Id="rId37" Type="http://schemas.openxmlformats.org/officeDocument/2006/relationships/hyperlink" Target="http://clutch.co" TargetMode="External"/><Relationship Id="rId36" Type="http://schemas.openxmlformats.org/officeDocument/2006/relationships/hyperlink" Target="https://clutch.co/de/consulting/ai/strategy?page=1" TargetMode="External"/><Relationship Id="rId39" Type="http://schemas.openxmlformats.org/officeDocument/2006/relationships/hyperlink" Target="http://clutch.co" TargetMode="External"/><Relationship Id="rId38" Type="http://schemas.openxmlformats.org/officeDocument/2006/relationships/hyperlink" Target="https://clutch.co/de/agencies?page=6" TargetMode="External"/><Relationship Id="rId20" Type="http://schemas.openxmlformats.org/officeDocument/2006/relationships/hyperlink" Target="https://clutch.co/de/consulting/ai/strategy" TargetMode="External"/><Relationship Id="rId22" Type="http://schemas.openxmlformats.org/officeDocument/2006/relationships/hyperlink" Target="https://clutch.co/de/agencies/digital" TargetMode="External"/><Relationship Id="rId21" Type="http://schemas.openxmlformats.org/officeDocument/2006/relationships/hyperlink" Target="http://clutch.co" TargetMode="External"/><Relationship Id="rId24" Type="http://schemas.openxmlformats.org/officeDocument/2006/relationships/hyperlink" Target="https://clutch.co/de/agencies/branding" TargetMode="External"/><Relationship Id="rId23" Type="http://schemas.openxmlformats.org/officeDocument/2006/relationships/hyperlink" Target="http://clutch.co" TargetMode="External"/><Relationship Id="rId26" Type="http://schemas.openxmlformats.org/officeDocument/2006/relationships/hyperlink" Target="https://clutch.co/de/agencies/ppc" TargetMode="External"/><Relationship Id="rId25" Type="http://schemas.openxmlformats.org/officeDocument/2006/relationships/hyperlink" Target="http://clutch.co" TargetMode="External"/><Relationship Id="rId28" Type="http://schemas.openxmlformats.org/officeDocument/2006/relationships/hyperlink" Target="https://clutch.co/de/agencies/conversion-optimization"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de/agencies/market-research" TargetMode="External"/><Relationship Id="rId13" Type="http://schemas.openxmlformats.org/officeDocument/2006/relationships/hyperlink" Target="http://clutch.co" TargetMode="External"/><Relationship Id="rId12" Type="http://schemas.openxmlformats.org/officeDocument/2006/relationships/hyperlink" Target="https://clutch.co/de/agencies/business-services-industry" TargetMode="External"/><Relationship Id="rId15" Type="http://schemas.openxmlformats.org/officeDocument/2006/relationships/hyperlink" Target="http://clutch.co" TargetMode="External"/><Relationship Id="rId14" Type="http://schemas.openxmlformats.org/officeDocument/2006/relationships/hyperlink" Target="https://clutch.co/de/agencies/ppc/advertising-industry" TargetMode="External"/><Relationship Id="rId17" Type="http://schemas.openxmlformats.org/officeDocument/2006/relationships/hyperlink" Target="http://clutch.co" TargetMode="External"/><Relationship Id="rId16" Type="http://schemas.openxmlformats.org/officeDocument/2006/relationships/hyperlink" Target="https://clutch.co/de/agencies/media-buying" TargetMode="External"/><Relationship Id="rId19" Type="http://schemas.openxmlformats.org/officeDocument/2006/relationships/hyperlink" Target="http://clutch.co" TargetMode="External"/><Relationship Id="rId18" Type="http://schemas.openxmlformats.org/officeDocument/2006/relationships/hyperlink" Target="https://clutch.co/de/agencies/ppc/display" TargetMode="External"/><Relationship Id="rId84" Type="http://schemas.openxmlformats.org/officeDocument/2006/relationships/hyperlink" Target="https://clutch.co/de/agencies/ppc/berlin" TargetMode="External"/><Relationship Id="rId83" Type="http://schemas.openxmlformats.org/officeDocument/2006/relationships/hyperlink" Target="http://clutch.co" TargetMode="External"/><Relationship Id="rId86" Type="http://schemas.openxmlformats.org/officeDocument/2006/relationships/hyperlink" Target="https://clutch.co/de/agencies/ppc/google-adwords" TargetMode="External"/><Relationship Id="rId85" Type="http://schemas.openxmlformats.org/officeDocument/2006/relationships/hyperlink" Target="http://clutch.co" TargetMode="External"/><Relationship Id="rId88" Type="http://schemas.openxmlformats.org/officeDocument/2006/relationships/hyperlink" Target="https://clutch.co/de/agencies/social-media-marketing/berlin" TargetMode="External"/><Relationship Id="rId87" Type="http://schemas.openxmlformats.org/officeDocument/2006/relationships/hyperlink" Target="http://clutch.co" TargetMode="External"/><Relationship Id="rId89" Type="http://schemas.openxmlformats.org/officeDocument/2006/relationships/hyperlink" Target="http://clutch.co" TargetMode="External"/><Relationship Id="rId80" Type="http://schemas.openxmlformats.org/officeDocument/2006/relationships/hyperlink" Target="https://clutch.co/de/agencies/digital-marketing?page=3" TargetMode="External"/><Relationship Id="rId82" Type="http://schemas.openxmlformats.org/officeDocument/2006/relationships/hyperlink" Target="https://clutch.co/de/agencies/market-research/berlin"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agencies/performance-marketing" TargetMode="External"/><Relationship Id="rId75" Type="http://schemas.openxmlformats.org/officeDocument/2006/relationships/hyperlink" Target="http://clutch.co" TargetMode="External"/><Relationship Id="rId74" Type="http://schemas.openxmlformats.org/officeDocument/2006/relationships/hyperlink" Target="https://clutch.co/agencies/performance-marketing%3Fpage%3D0" TargetMode="External"/><Relationship Id="rId77" Type="http://schemas.openxmlformats.org/officeDocument/2006/relationships/hyperlink" Target="http://clutch.co" TargetMode="External"/><Relationship Id="rId76" Type="http://schemas.openxmlformats.org/officeDocument/2006/relationships/hyperlink" Target="https://clutch.co/agencies/ppc" TargetMode="External"/><Relationship Id="rId79" Type="http://schemas.openxmlformats.org/officeDocument/2006/relationships/hyperlink" Target="http://clutch.co" TargetMode="External"/><Relationship Id="rId78" Type="http://schemas.openxmlformats.org/officeDocument/2006/relationships/hyperlink" Target="https://clutch.co/de/agencies/app-marketing" TargetMode="External"/><Relationship Id="rId71" Type="http://schemas.openxmlformats.org/officeDocument/2006/relationships/hyperlink" Target="http://clutch.co" TargetMode="External"/><Relationship Id="rId70" Type="http://schemas.openxmlformats.org/officeDocument/2006/relationships/hyperlink" Target="https://clutch.co/agencies/media-buying" TargetMode="External"/><Relationship Id="rId62" Type="http://schemas.openxmlformats.org/officeDocument/2006/relationships/hyperlink" Target="https://clutch.co/de/agencies/social-media-marketing/tik-tok" TargetMode="External"/><Relationship Id="rId61" Type="http://schemas.openxmlformats.org/officeDocument/2006/relationships/hyperlink" Target="http://clutch.co" TargetMode="External"/><Relationship Id="rId64" Type="http://schemas.openxmlformats.org/officeDocument/2006/relationships/hyperlink" Target="https://clutch.co/de/it-services/analytics" TargetMode="External"/><Relationship Id="rId63" Type="http://schemas.openxmlformats.org/officeDocument/2006/relationships/hyperlink" Target="http://clutch.co" TargetMode="External"/><Relationship Id="rId66" Type="http://schemas.openxmlformats.org/officeDocument/2006/relationships/hyperlink" Target="https://clutch.co/agencies" TargetMode="External"/><Relationship Id="rId65" Type="http://schemas.openxmlformats.org/officeDocument/2006/relationships/hyperlink" Target="http://clutch.co" TargetMode="External"/><Relationship Id="rId68" Type="http://schemas.openxmlformats.org/officeDocument/2006/relationships/hyperlink" Target="https://clutch.co/agencies/experiential?page=9" TargetMode="External"/><Relationship Id="rId67" Type="http://schemas.openxmlformats.org/officeDocument/2006/relationships/hyperlink" Target="http://clutch.co" TargetMode="External"/><Relationship Id="rId60" Type="http://schemas.openxmlformats.org/officeDocument/2006/relationships/hyperlink" Target="https://clutch.co/de/agencies/digital-marketing/munich"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de/agencies/social-media-marketing/influencer" TargetMode="External"/><Relationship Id="rId53" Type="http://schemas.openxmlformats.org/officeDocument/2006/relationships/hyperlink" Target="http://clutch.co" TargetMode="External"/><Relationship Id="rId52" Type="http://schemas.openxmlformats.org/officeDocument/2006/relationships/hyperlink" Target="https://clutch.co/de/seo-firms" TargetMode="External"/><Relationship Id="rId55" Type="http://schemas.openxmlformats.org/officeDocument/2006/relationships/hyperlink" Target="http://clutch.co" TargetMode="External"/><Relationship Id="rId54" Type="http://schemas.openxmlformats.org/officeDocument/2006/relationships/hyperlink" Target="https://clutch.co/de/agencies/demand-generation-marketing" TargetMode="External"/><Relationship Id="rId57" Type="http://schemas.openxmlformats.org/officeDocument/2006/relationships/hyperlink" Target="http://clutch.co" TargetMode="External"/><Relationship Id="rId56" Type="http://schemas.openxmlformats.org/officeDocument/2006/relationships/hyperlink" Target="https://clutch.co/de/seo-firms/international" TargetMode="External"/><Relationship Id="rId59" Type="http://schemas.openxmlformats.org/officeDocument/2006/relationships/hyperlink" Target="http://clutch.co" TargetMode="External"/><Relationship Id="rId58" Type="http://schemas.openxmlformats.org/officeDocument/2006/relationships/hyperlink" Target="https://clutch.co/de/agencies/digital-marketing/ecommerce-industry/berlin" TargetMode="External"/><Relationship Id="rId95" Type="http://schemas.openxmlformats.org/officeDocument/2006/relationships/hyperlink" Target="http://clutch.co" TargetMode="External"/><Relationship Id="rId94" Type="http://schemas.openxmlformats.org/officeDocument/2006/relationships/hyperlink" Target="https://clutch.co/de/it-services/master-data-management-consulting" TargetMode="External"/><Relationship Id="rId96" Type="http://schemas.openxmlformats.org/officeDocument/2006/relationships/drawing" Target="../drawings/drawing8.xml"/><Relationship Id="rId91" Type="http://schemas.openxmlformats.org/officeDocument/2006/relationships/hyperlink" Target="http://clutch.co" TargetMode="External"/><Relationship Id="rId90" Type="http://schemas.openxmlformats.org/officeDocument/2006/relationships/hyperlink" Target="https://clutch.co/de/agencies/social-media-marketing/influencer/tiktok" TargetMode="External"/><Relationship Id="rId93" Type="http://schemas.openxmlformats.org/officeDocument/2006/relationships/hyperlink" Target="http://clutch.co" TargetMode="External"/><Relationship Id="rId92" Type="http://schemas.openxmlformats.org/officeDocument/2006/relationships/hyperlink" Target="https://clutch.co/de/agencies/social-media-marketing?page=3" TargetMode="External"/><Relationship Id="rId1" Type="http://schemas.openxmlformats.org/officeDocument/2006/relationships/hyperlink" Target="http://clutch.co" TargetMode="External"/><Relationship Id="rId2" Type="http://schemas.openxmlformats.org/officeDocument/2006/relationships/hyperlink" Target="https://clutch.co/de/agencies" TargetMode="External"/><Relationship Id="rId3" Type="http://schemas.openxmlformats.org/officeDocument/2006/relationships/hyperlink" Target="http://clutch.co" TargetMode="External"/><Relationship Id="rId4" Type="http://schemas.openxmlformats.org/officeDocument/2006/relationships/hyperlink" Target="https://clutch.co/de/agencies/social-media-marketing"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de/agencies/creative" TargetMode="External"/><Relationship Id="rId7" Type="http://schemas.openxmlformats.org/officeDocument/2006/relationships/hyperlink" Target="http://clutch.co" TargetMode="External"/><Relationship Id="rId8" Type="http://schemas.openxmlformats.org/officeDocument/2006/relationships/hyperlink" Target="https://clutch.co/de/consulting/ai"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agencies.semrush.com/list/analytics-data-science/business-professional-services/germany/" TargetMode="External"/><Relationship Id="rId42" Type="http://schemas.openxmlformats.org/officeDocument/2006/relationships/hyperlink" Target="https://agencies.semrush.com/list/analytics-data-science/germany/small-business/" TargetMode="External"/><Relationship Id="rId41" Type="http://schemas.openxmlformats.org/officeDocument/2006/relationships/hyperlink" Target="http://semrush.com" TargetMode="External"/><Relationship Id="rId44" Type="http://schemas.openxmlformats.org/officeDocument/2006/relationships/hyperlink" Target="https://agencies.semrush.com/list/ppc/germany/" TargetMode="External"/><Relationship Id="rId43" Type="http://schemas.openxmlformats.org/officeDocument/2006/relationships/hyperlink" Target="http://semrush.com" TargetMode="External"/><Relationship Id="rId46" Type="http://schemas.openxmlformats.org/officeDocument/2006/relationships/hyperlink" Target="https://agencies.semrush.com/de/list/display-advertising/ecommerce/germany/" TargetMode="External"/><Relationship Id="rId45" Type="http://schemas.openxmlformats.org/officeDocument/2006/relationships/hyperlink" Target="http://semrush.com" TargetMode="External"/><Relationship Id="rId48" Type="http://schemas.openxmlformats.org/officeDocument/2006/relationships/hyperlink" Target="https://agencies.semrush.com/list/ai-optimization/hamburg/" TargetMode="External"/><Relationship Id="rId47" Type="http://schemas.openxmlformats.org/officeDocument/2006/relationships/hyperlink" Target="http://semrush.com" TargetMode="External"/><Relationship Id="rId49"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agencies.semrush.com/list/display-advertising/germany/mid-business/" TargetMode="External"/><Relationship Id="rId33" Type="http://schemas.openxmlformats.org/officeDocument/2006/relationships/hyperlink" Target="http://semrush.com" TargetMode="External"/><Relationship Id="rId32" Type="http://schemas.openxmlformats.org/officeDocument/2006/relationships/hyperlink" Target="https://agencies.semrush.com/list/seo/germany/" TargetMode="External"/><Relationship Id="rId35" Type="http://schemas.openxmlformats.org/officeDocument/2006/relationships/hyperlink" Target="http://semrush.com" TargetMode="External"/><Relationship Id="rId34" Type="http://schemas.openxmlformats.org/officeDocument/2006/relationships/hyperlink" Target="https://agencies.semrush.com/list/ai-optimization/germany/enterprise-business/" TargetMode="External"/><Relationship Id="rId37" Type="http://schemas.openxmlformats.org/officeDocument/2006/relationships/hyperlink" Target="http://semrush.com" TargetMode="External"/><Relationship Id="rId36" Type="http://schemas.openxmlformats.org/officeDocument/2006/relationships/hyperlink" Target="https://agencies.semrush.com/list/information-technology/germany/" TargetMode="External"/><Relationship Id="rId39" Type="http://schemas.openxmlformats.org/officeDocument/2006/relationships/hyperlink" Target="http://semrush.com" TargetMode="External"/><Relationship Id="rId38" Type="http://schemas.openxmlformats.org/officeDocument/2006/relationships/hyperlink" Target="https://agencies.semrush.com/list/programmatic-advertising/germany/" TargetMode="External"/><Relationship Id="rId20" Type="http://schemas.openxmlformats.org/officeDocument/2006/relationships/hyperlink" Target="https://agencies.semrush.com/list/display-advertising/berlin/small-business/" TargetMode="External"/><Relationship Id="rId22" Type="http://schemas.openxmlformats.org/officeDocument/2006/relationships/hyperlink" Target="https://agencies.semrush.com/de/list/display-advertising/germany/" TargetMode="External"/><Relationship Id="rId21" Type="http://schemas.openxmlformats.org/officeDocument/2006/relationships/hyperlink" Target="http://semrush.com" TargetMode="External"/><Relationship Id="rId24" Type="http://schemas.openxmlformats.org/officeDocument/2006/relationships/hyperlink" Target="https://agencies.semrush.com/list/ai-optimization/germany/mid-business/" TargetMode="External"/><Relationship Id="rId23" Type="http://schemas.openxmlformats.org/officeDocument/2006/relationships/hyperlink" Target="http://semrush.com" TargetMode="External"/><Relationship Id="rId26" Type="http://schemas.openxmlformats.org/officeDocument/2006/relationships/hyperlink" Target="https://agencies.semrush.com/list/ai-optimization/germany/small-business/" TargetMode="External"/><Relationship Id="rId25" Type="http://schemas.openxmlformats.org/officeDocument/2006/relationships/hyperlink" Target="http://semrush.com" TargetMode="External"/><Relationship Id="rId28" Type="http://schemas.openxmlformats.org/officeDocument/2006/relationships/hyperlink" Target="https://www.semrush.com/agencies/list/display-advertising/ecommerce/germany/"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market-analysis/germany/" TargetMode="External"/><Relationship Id="rId13" Type="http://schemas.openxmlformats.org/officeDocument/2006/relationships/hyperlink" Target="http://semrush.com" TargetMode="External"/><Relationship Id="rId12" Type="http://schemas.openxmlformats.org/officeDocument/2006/relationships/hyperlink" Target="https://agencies.semrush.com/list/analytics-data-science/germany/" TargetMode="External"/><Relationship Id="rId15" Type="http://schemas.openxmlformats.org/officeDocument/2006/relationships/hyperlink" Target="http://semrush.com" TargetMode="External"/><Relationship Id="rId14" Type="http://schemas.openxmlformats.org/officeDocument/2006/relationships/hyperlink" Target="https://agencies.semrush.com/list/display-advertising/germany/" TargetMode="External"/><Relationship Id="rId17" Type="http://schemas.openxmlformats.org/officeDocument/2006/relationships/hyperlink" Target="http://semrush.com" TargetMode="External"/><Relationship Id="rId16" Type="http://schemas.openxmlformats.org/officeDocument/2006/relationships/hyperlink" Target="https://agencies.semrush.com/list/display-advertising/ecommerce/germany/small-business/" TargetMode="External"/><Relationship Id="rId19" Type="http://schemas.openxmlformats.org/officeDocument/2006/relationships/hyperlink" Target="http://semrush.com" TargetMode="External"/><Relationship Id="rId18" Type="http://schemas.openxmlformats.org/officeDocument/2006/relationships/hyperlink" Target="https://agencies.semrush.com/list/machine-learning-and-ai/germany/" TargetMode="External"/><Relationship Id="rId84" Type="http://schemas.openxmlformats.org/officeDocument/2006/relationships/hyperlink" Target="https://agencies.semrush.com/list/business-professional-services/germany/" TargetMode="External"/><Relationship Id="rId83" Type="http://schemas.openxmlformats.org/officeDocument/2006/relationships/hyperlink" Target="http://semrush.com" TargetMode="External"/><Relationship Id="rId86" Type="http://schemas.openxmlformats.org/officeDocument/2006/relationships/hyperlink" Target="https://agencies.semrush.com/list/display-advertising/north-rhine-westphalia/" TargetMode="External"/><Relationship Id="rId85" Type="http://schemas.openxmlformats.org/officeDocument/2006/relationships/hyperlink" Target="http://semrush.com" TargetMode="External"/><Relationship Id="rId88" Type="http://schemas.openxmlformats.org/officeDocument/2006/relationships/hyperlink" Target="https://agencies.semrush.com/list/facebook-advertising/germany/" TargetMode="External"/><Relationship Id="rId87" Type="http://schemas.openxmlformats.org/officeDocument/2006/relationships/hyperlink" Target="http://semrush.com" TargetMode="External"/><Relationship Id="rId89" Type="http://schemas.openxmlformats.org/officeDocument/2006/relationships/hyperlink" Target="http://semrush.com" TargetMode="External"/><Relationship Id="rId80" Type="http://schemas.openxmlformats.org/officeDocument/2006/relationships/hyperlink" Target="https://agencies.semrush.com/list/analytics-data-science/business-professional-services/germany/enterprise-business/" TargetMode="External"/><Relationship Id="rId82" Type="http://schemas.openxmlformats.org/officeDocument/2006/relationships/hyperlink" Target="https://agencies.semrush.com/list/analytics-data-science/ecommerce/germany/" TargetMode="External"/><Relationship Id="rId81" Type="http://schemas.openxmlformats.org/officeDocument/2006/relationships/hyperlink" Target="http://semrush.com" TargetMode="External"/><Relationship Id="rId73" Type="http://schemas.openxmlformats.org/officeDocument/2006/relationships/hyperlink" Target="http://semrush.com" TargetMode="External"/><Relationship Id="rId72" Type="http://schemas.openxmlformats.org/officeDocument/2006/relationships/hyperlink" Target="https://agencies.semrush.com/baseplus-digital-media-gmbh/" TargetMode="External"/><Relationship Id="rId75" Type="http://schemas.openxmlformats.org/officeDocument/2006/relationships/hyperlink" Target="http://semrush.com" TargetMode="External"/><Relationship Id="rId74" Type="http://schemas.openxmlformats.org/officeDocument/2006/relationships/hyperlink" Target="https://agencies.semrush.com/de/hecht-ins-gefecht/" TargetMode="External"/><Relationship Id="rId77" Type="http://schemas.openxmlformats.org/officeDocument/2006/relationships/hyperlink" Target="http://semrush.com" TargetMode="External"/><Relationship Id="rId76" Type="http://schemas.openxmlformats.org/officeDocument/2006/relationships/hyperlink" Target="https://agencies.semrush.com/de/list/ai-optimization/germany/" TargetMode="External"/><Relationship Id="rId79" Type="http://schemas.openxmlformats.org/officeDocument/2006/relationships/hyperlink" Target="http://semrush.com" TargetMode="External"/><Relationship Id="rId78" Type="http://schemas.openxmlformats.org/officeDocument/2006/relationships/hyperlink" Target="https://agencies.semrush.com/list/ai-optimization/wuppertal/" TargetMode="External"/><Relationship Id="rId71" Type="http://schemas.openxmlformats.org/officeDocument/2006/relationships/hyperlink" Target="http://semrush.com" TargetMode="External"/><Relationship Id="rId70" Type="http://schemas.openxmlformats.org/officeDocument/2006/relationships/hyperlink" Target="https://agencies.semrush.com/list/marketing-strategy/germany/" TargetMode="External"/><Relationship Id="rId62" Type="http://schemas.openxmlformats.org/officeDocument/2006/relationships/hyperlink" Target="https://agencies.semrush.com/list/analytics-data-science/germany/enterprise-business/" TargetMode="External"/><Relationship Id="rId61" Type="http://schemas.openxmlformats.org/officeDocument/2006/relationships/hyperlink" Target="http://semrush.com" TargetMode="External"/><Relationship Id="rId64" Type="http://schemas.openxmlformats.org/officeDocument/2006/relationships/hyperlink" Target="https://agencies.semrush.com/list/analytics-data-science/germany/mid-business/" TargetMode="External"/><Relationship Id="rId63" Type="http://schemas.openxmlformats.org/officeDocument/2006/relationships/hyperlink" Target="http://semrush.com" TargetMode="External"/><Relationship Id="rId66" Type="http://schemas.openxmlformats.org/officeDocument/2006/relationships/hyperlink" Target="https://agencies.semrush.com/list/data-visualization/germany/" TargetMode="External"/><Relationship Id="rId65" Type="http://schemas.openxmlformats.org/officeDocument/2006/relationships/hyperlink" Target="http://semrush.com" TargetMode="External"/><Relationship Id="rId68" Type="http://schemas.openxmlformats.org/officeDocument/2006/relationships/hyperlink" Target="https://agencies.semrush.com/list/display-advertising/dusseldorf/" TargetMode="External"/><Relationship Id="rId67" Type="http://schemas.openxmlformats.org/officeDocument/2006/relationships/hyperlink" Target="http://semrush.com" TargetMode="External"/><Relationship Id="rId60" Type="http://schemas.openxmlformats.org/officeDocument/2006/relationships/hyperlink" Target="https://www.semrush.com/agencies/list/display-advertising/germany/" TargetMode="External"/><Relationship Id="rId69" Type="http://schemas.openxmlformats.org/officeDocument/2006/relationships/hyperlink" Target="http://semrush.com" TargetMode="External"/><Relationship Id="rId51" Type="http://schemas.openxmlformats.org/officeDocument/2006/relationships/hyperlink" Target="http://semrush.com" TargetMode="External"/><Relationship Id="rId50" Type="http://schemas.openxmlformats.org/officeDocument/2006/relationships/hyperlink" Target="https://agencies.semrush.com/list/content-marketing/business-professional-services/germany/" TargetMode="External"/><Relationship Id="rId53" Type="http://schemas.openxmlformats.org/officeDocument/2006/relationships/hyperlink" Target="http://semrush.com" TargetMode="External"/><Relationship Id="rId52" Type="http://schemas.openxmlformats.org/officeDocument/2006/relationships/hyperlink" Target="https://agencies.semrush.com/list/display-advertising/arts-entertainment/germany/" TargetMode="External"/><Relationship Id="rId55" Type="http://schemas.openxmlformats.org/officeDocument/2006/relationships/hyperlink" Target="http://semrush.com" TargetMode="External"/><Relationship Id="rId54" Type="http://schemas.openxmlformats.org/officeDocument/2006/relationships/hyperlink" Target="https://agencies.semrush.com/list/display-advertising/ecommerce/germany/mid-business/" TargetMode="External"/><Relationship Id="rId57" Type="http://schemas.openxmlformats.org/officeDocument/2006/relationships/hyperlink" Target="http://semrush.com" TargetMode="External"/><Relationship Id="rId56" Type="http://schemas.openxmlformats.org/officeDocument/2006/relationships/hyperlink" Target="https://agencies.semrush.com/list/display-advertising/germany/enterprise-business/" TargetMode="External"/><Relationship Id="rId59" Type="http://schemas.openxmlformats.org/officeDocument/2006/relationships/hyperlink" Target="http://semrush.com" TargetMode="External"/><Relationship Id="rId58" Type="http://schemas.openxmlformats.org/officeDocument/2006/relationships/hyperlink" Target="https://agencies.semrush.com/list/llm-optimization/germany/" TargetMode="External"/><Relationship Id="rId95" Type="http://schemas.openxmlformats.org/officeDocument/2006/relationships/hyperlink" Target="http://semrush.com" TargetMode="External"/><Relationship Id="rId94" Type="http://schemas.openxmlformats.org/officeDocument/2006/relationships/hyperlink" Target="https://agencies.semrush.com/list/machine-learning-and-ai/germany/enterprise-business/" TargetMode="External"/><Relationship Id="rId97" Type="http://schemas.openxmlformats.org/officeDocument/2006/relationships/hyperlink" Target="http://semrush.com" TargetMode="External"/><Relationship Id="rId96" Type="http://schemas.openxmlformats.org/officeDocument/2006/relationships/hyperlink" Target="https://agencies.semrush.com/list/machine-learning-and-ai/germany/mid-business/" TargetMode="External"/><Relationship Id="rId99" Type="http://schemas.openxmlformats.org/officeDocument/2006/relationships/hyperlink" Target="http://semrush.com" TargetMode="External"/><Relationship Id="rId98" Type="http://schemas.openxmlformats.org/officeDocument/2006/relationships/hyperlink" Target="https://agencies.semrush.com/list/machine-learning-and-ai/germany/small-business/" TargetMode="External"/><Relationship Id="rId91" Type="http://schemas.openxmlformats.org/officeDocument/2006/relationships/hyperlink" Target="http://semrush.com" TargetMode="External"/><Relationship Id="rId90" Type="http://schemas.openxmlformats.org/officeDocument/2006/relationships/hyperlink" Target="https://agencies.semrush.com/list/llm-optimization/germany/mid-business/" TargetMode="External"/><Relationship Id="rId93" Type="http://schemas.openxmlformats.org/officeDocument/2006/relationships/hyperlink" Target="http://semrush.com" TargetMode="External"/><Relationship Id="rId92" Type="http://schemas.openxmlformats.org/officeDocument/2006/relationships/hyperlink" Target="https://agencies.semrush.com/list/los-angeles/" TargetMode="External"/><Relationship Id="rId1" Type="http://schemas.openxmlformats.org/officeDocument/2006/relationships/hyperlink" Target="http://semrush.com" TargetMode="External"/><Relationship Id="rId2" Type="http://schemas.openxmlformats.org/officeDocument/2006/relationships/hyperlink" Target="https://agencies.semrush.com/list/ai-optimization/germany/" TargetMode="External"/><Relationship Id="rId3" Type="http://schemas.openxmlformats.org/officeDocument/2006/relationships/hyperlink" Target="http://semrush.com" TargetMode="External"/><Relationship Id="rId4" Type="http://schemas.openxmlformats.org/officeDocument/2006/relationships/hyperlink" Target="https://agencies.semrush.com/list/smm/germany/"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advertising/germany/" TargetMode="External"/><Relationship Id="rId7" Type="http://schemas.openxmlformats.org/officeDocument/2006/relationships/hyperlink" Target="http://semrush.com" TargetMode="External"/><Relationship Id="rId8" Type="http://schemas.openxmlformats.org/officeDocument/2006/relationships/hyperlink" Target="https://agencies.semrush.com/list/display-advertising/germany/small-business/" TargetMode="External"/><Relationship Id="rId106" Type="http://schemas.openxmlformats.org/officeDocument/2006/relationships/drawing" Target="../drawings/drawing9.xml"/><Relationship Id="rId105" Type="http://schemas.openxmlformats.org/officeDocument/2006/relationships/hyperlink" Target="http://pndigital.co.uk" TargetMode="External"/><Relationship Id="rId104" Type="http://schemas.openxmlformats.org/officeDocument/2006/relationships/hyperlink" Target="https://pndigital.co.uk/semrush-agency-partner/" TargetMode="External"/><Relationship Id="rId103" Type="http://schemas.openxmlformats.org/officeDocument/2006/relationships/hyperlink" Target="http://semrush.com" TargetMode="External"/><Relationship Id="rId102" Type="http://schemas.openxmlformats.org/officeDocument/2006/relationships/hyperlink" Target="https://agencies.semrush.com/list/programmatic-advertising/germany/mid-business/" TargetMode="External"/><Relationship Id="rId101" Type="http://schemas.openxmlformats.org/officeDocument/2006/relationships/hyperlink" Target="http://semrush.com" TargetMode="External"/><Relationship Id="rId100" Type="http://schemas.openxmlformats.org/officeDocument/2006/relationships/hyperlink" Target="https://agencies.semrush.com/list/ppc/munich/"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directiveconsulting.com" TargetMode="External"/><Relationship Id="rId10" Type="http://schemas.openxmlformats.org/officeDocument/2006/relationships/hyperlink" Target="https://directiveconsulting.com/uk/blog/25-best-advertising-agencies-built-for-media-momentum/" TargetMode="External"/><Relationship Id="rId12" Type="http://schemas.openxmlformats.org/officeDocument/2006/relationships/drawing" Target="../drawings/drawing10.xml"/><Relationship Id="rId1" Type="http://schemas.openxmlformats.org/officeDocument/2006/relationships/hyperlink" Target="http://directiveconsulting.com" TargetMode="External"/><Relationship Id="rId2" Type="http://schemas.openxmlformats.org/officeDocument/2006/relationships/hyperlink" Target="https://directiveconsulting.com/blog/top-performance-marketing-agencies/" TargetMode="External"/><Relationship Id="rId3" Type="http://schemas.openxmlformats.org/officeDocument/2006/relationships/hyperlink" Target="http://directiveconsulting.com" TargetMode="External"/><Relationship Id="rId4" Type="http://schemas.openxmlformats.org/officeDocument/2006/relationships/hyperlink" Target="https://directiveconsulting.com/blog/25-best-paid-media-agencies-that-turn-ad-spend-into-revenue/" TargetMode="External"/><Relationship Id="rId9" Type="http://schemas.openxmlformats.org/officeDocument/2006/relationships/hyperlink" Target="http://directiveconsulting.com" TargetMode="External"/><Relationship Id="rId5" Type="http://schemas.openxmlformats.org/officeDocument/2006/relationships/hyperlink" Target="http://directiveconsulting.com" TargetMode="External"/><Relationship Id="rId6" Type="http://schemas.openxmlformats.org/officeDocument/2006/relationships/hyperlink" Target="https://directiveconsulting.com/blog/best-marketing-data-agency/" TargetMode="External"/><Relationship Id="rId7" Type="http://schemas.openxmlformats.org/officeDocument/2006/relationships/hyperlink" Target="http://directiveconsulting.com" TargetMode="External"/><Relationship Id="rId8" Type="http://schemas.openxmlformats.org/officeDocument/2006/relationships/hyperlink" Target="https://directiveconsulting.com/blog/creative-strategy-agency/"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designrush.com" TargetMode="External"/><Relationship Id="rId10" Type="http://schemas.openxmlformats.org/officeDocument/2006/relationships/hyperlink" Target="https://www.designrush.com/agency/digital-marketing/analytics"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digital-marketing/performance-marketing-agencies" TargetMode="External"/><Relationship Id="rId14" Type="http://schemas.openxmlformats.org/officeDocument/2006/relationships/drawing" Target="../drawings/drawing11.xml"/><Relationship Id="rId1" Type="http://schemas.openxmlformats.org/officeDocument/2006/relationships/hyperlink" Target="http://designrush.com" TargetMode="External"/><Relationship Id="rId2" Type="http://schemas.openxmlformats.org/officeDocument/2006/relationships/hyperlink" Target="https://www.designrush.com/agency/creative-agencies/de"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social-media-marketing/de"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ai-companies/de"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digital-marketing/artificial-intelligence"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drawing" Target="../drawings/drawing13.xml"/><Relationship Id="rId31" Type="http://schemas.openxmlformats.org/officeDocument/2006/relationships/hyperlink" Target="http://reddit.com" TargetMode="External"/><Relationship Id="rId30" Type="http://schemas.openxmlformats.org/officeDocument/2006/relationships/hyperlink" Target="https://www.reddit.com/r/analytics/comments/1l4qcx4/what_is_incrementality_testing_and_how_is_it/?tl=de" TargetMode="External"/><Relationship Id="rId33" Type="http://schemas.openxmlformats.org/officeDocument/2006/relationships/hyperlink" Target="http://reddit.com" TargetMode="External"/><Relationship Id="rId32" Type="http://schemas.openxmlformats.org/officeDocument/2006/relationships/hyperlink" Target="https://www.reddit.com/r/analytics/comments/1q5d8wc/advice_for_the_best_customer_data_platforms_2026/" TargetMode="External"/><Relationship Id="rId35" Type="http://schemas.openxmlformats.org/officeDocument/2006/relationships/hyperlink" Target="http://reddit.com" TargetMode="External"/><Relationship Id="rId34" Type="http://schemas.openxmlformats.org/officeDocument/2006/relationships/hyperlink" Target="https://www.reddit.com/r/b2bmarketing/comments/1rl47cr/the_10_best_visibility_companies_and_agencies_for/" TargetMode="External"/><Relationship Id="rId37" Type="http://schemas.openxmlformats.org/officeDocument/2006/relationships/hyperlink" Target="http://reddit.com" TargetMode="External"/><Relationship Id="rId36" Type="http://schemas.openxmlformats.org/officeDocument/2006/relationships/hyperlink" Target="https://www.reddit.com/r/b2bmarketing/comments/1t546si/the_7_leading_ai_seo_agencies_for_modern_search/" TargetMode="External"/><Relationship Id="rId39" Type="http://schemas.openxmlformats.org/officeDocument/2006/relationships/hyperlink" Target="http://reddit.com" TargetMode="External"/><Relationship Id="rId38" Type="http://schemas.openxmlformats.org/officeDocument/2006/relationships/hyperlink" Target="https://www.reddit.com/r/u_Emkutis/comments/1u2d4ma/the_best_geo_ai_search_agencies_in_europe_in_2026/" TargetMode="External"/><Relationship Id="rId20" Type="http://schemas.openxmlformats.org/officeDocument/2006/relationships/hyperlink" Target="https://www.reddit.com/r/DigitalMarketing/comments/1tdo237/which_performance_marketing_agencies_specialize/" TargetMode="External"/><Relationship Id="rId22" Type="http://schemas.openxmlformats.org/officeDocument/2006/relationships/hyperlink" Target="https://www.reddit.com/r/DigitalMarketing/comments/1tn7zll/which_digital_marketing_agencies_are_best_at/" TargetMode="External"/><Relationship Id="rId21" Type="http://schemas.openxmlformats.org/officeDocument/2006/relationships/hyperlink" Target="http://reddit.com" TargetMode="External"/><Relationship Id="rId24" Type="http://schemas.openxmlformats.org/officeDocument/2006/relationships/hyperlink" Target="https://www.reddit.com/r/LLMTraffic/comments/1t44tn7/which_geo_marketing_agencies_are_actually_worth/" TargetMode="External"/><Relationship Id="rId23" Type="http://schemas.openxmlformats.org/officeDocument/2006/relationships/hyperlink" Target="http://reddit.com" TargetMode="External"/><Relationship Id="rId26" Type="http://schemas.openxmlformats.org/officeDocument/2006/relationships/hyperlink" Target="https://www.reddit.com/r/Topagencies/comments/1spi6ov/top_ppc_agencies_in_berlin_packages_pricing_cost/" TargetMode="External"/><Relationship Id="rId25" Type="http://schemas.openxmlformats.org/officeDocument/2006/relationships/hyperlink" Target="http://reddit.com" TargetMode="External"/><Relationship Id="rId28" Type="http://schemas.openxmlformats.org/officeDocument/2006/relationships/hyperlink" Target="https://www.reddit.com/r/Topagencies/comments/1srfjwq/top_ppc_services_agencies_in_frankfurt_package/"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adtech/comments/1u5mwrq/measurement_source_of_truth/" TargetMode="External"/><Relationship Id="rId13" Type="http://schemas.openxmlformats.org/officeDocument/2006/relationships/hyperlink" Target="http://reddit.com" TargetMode="External"/><Relationship Id="rId12" Type="http://schemas.openxmlformats.org/officeDocument/2006/relationships/hyperlink" Target="https://www.reddit.com/r/programmatic/comments/1nzh99f" TargetMode="External"/><Relationship Id="rId15" Type="http://schemas.openxmlformats.org/officeDocument/2006/relationships/hyperlink" Target="http://reddit.com" TargetMode="External"/><Relationship Id="rId14" Type="http://schemas.openxmlformats.org/officeDocument/2006/relationships/hyperlink" Target="https://www.reddit.com/r/GermanCompanies/comments/1rfxt68/top_10_ai_agencies_in_germany_2026/" TargetMode="External"/><Relationship Id="rId17" Type="http://schemas.openxmlformats.org/officeDocument/2006/relationships/hyperlink" Target="http://reddit.com" TargetMode="External"/><Relationship Id="rId16" Type="http://schemas.openxmlformats.org/officeDocument/2006/relationships/hyperlink" Target="https://www.reddit.com/r/PPC/comments/1tkc7rr/which_ppc_agencies_are_actually_considered_the/" TargetMode="External"/><Relationship Id="rId19" Type="http://schemas.openxmlformats.org/officeDocument/2006/relationships/hyperlink" Target="http://reddit.com" TargetMode="External"/><Relationship Id="rId18" Type="http://schemas.openxmlformats.org/officeDocument/2006/relationships/hyperlink" Target="https://www.reddit.com/r/aeo/comments/1twcbr2/best_aeo_agency_guide_what_to_look_for_in_an/" TargetMode="External"/><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Topagencies/comments/1sv50o9/top_ppc_services_agencies_in_germany_ppc_cost/"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agency/comments/1ok212i/performance_marketing_incrementality/" TargetMode="External"/><Relationship Id="rId7" Type="http://schemas.openxmlformats.org/officeDocument/2006/relationships/hyperlink" Target="http://reddit.com" TargetMode="External"/><Relationship Id="rId8" Type="http://schemas.openxmlformats.org/officeDocument/2006/relationships/hyperlink" Target="https://www.reddit.com/r/GenEngineOptimization/comments/1qab4rt/what_are_the_top_geo_agencies_and_what_software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quora.com"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crunchbase.com" TargetMode="External"/><Relationship Id="rId2" Type="http://schemas.openxmlformats.org/officeDocument/2006/relationships/hyperlink" Target="https://pipeline.zoominfo.com/sales/intent-data-platform" TargetMode="External"/><Relationship Id="rId3" Type="http://schemas.openxmlformats.org/officeDocument/2006/relationships/hyperlink" Target="http://zoominfo.com"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ortlist.de" TargetMode="External"/><Relationship Id="rId10" Type="http://schemas.openxmlformats.org/officeDocument/2006/relationships/hyperlink" Target="https://www.sortlist.de/s/facebook-advertising/deutschland-de" TargetMode="External"/><Relationship Id="rId12" Type="http://schemas.openxmlformats.org/officeDocument/2006/relationships/drawing" Target="../drawings/drawing17.xml"/><Relationship Id="rId1" Type="http://schemas.openxmlformats.org/officeDocument/2006/relationships/hyperlink" Target="http://influencer-hero.com" TargetMode="External"/><Relationship Id="rId2" Type="http://schemas.openxmlformats.org/officeDocument/2006/relationships/hyperlink" Target="https://www.influencer-hero.com/it/blogs/top-facebook-advertising-agencies-in-germany" TargetMode="External"/><Relationship Id="rId3" Type="http://schemas.openxmlformats.org/officeDocument/2006/relationships/hyperlink" Target="http://influencer-hero.com" TargetMode="External"/><Relationship Id="rId4" Type="http://schemas.openxmlformats.org/officeDocument/2006/relationships/hyperlink" Target="https://www.influencer-hero.com/fr/blogs/top-facebook-advertising-agencies-in-germany" TargetMode="External"/><Relationship Id="rId9" Type="http://schemas.openxmlformats.org/officeDocument/2006/relationships/hyperlink" Target="http://facebook.com" TargetMode="External"/><Relationship Id="rId5" Type="http://schemas.openxmlformats.org/officeDocument/2006/relationships/hyperlink" Target="http://influencer-hero.com" TargetMode="External"/><Relationship Id="rId6" Type="http://schemas.openxmlformats.org/officeDocument/2006/relationships/hyperlink" Target="https://agencies.semrush.com/list/facebook-advertising/germany/" TargetMode="External"/><Relationship Id="rId7" Type="http://schemas.openxmlformats.org/officeDocument/2006/relationships/hyperlink" Target="http://semrush.com" TargetMode="External"/><Relationship Id="rId8" Type="http://schemas.openxmlformats.org/officeDocument/2006/relationships/hyperlink" Target="https://www.facebook.com/incrmntal/"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linkedin.com/pulse/google-ads-marketing-companies-farhan-ali-tbtwf" TargetMode="External"/><Relationship Id="rId42" Type="http://schemas.openxmlformats.org/officeDocument/2006/relationships/hyperlink" Target="https://www.linkedin.com/pulse/top-15-performance-marketing-companies-clutch-global-spring-kbaae" TargetMode="External"/><Relationship Id="rId41" Type="http://schemas.openxmlformats.org/officeDocument/2006/relationships/hyperlink" Target="http://linkedin.com" TargetMode="External"/><Relationship Id="rId44" Type="http://schemas.openxmlformats.org/officeDocument/2006/relationships/hyperlink" Target="https://www.linkedin.com/pulse/what-sales-branding-value-adding-awareness-phase-your-daniel-opler" TargetMode="External"/><Relationship Id="rId43" Type="http://schemas.openxmlformats.org/officeDocument/2006/relationships/hyperlink" Target="http://linkedin.com" TargetMode="External"/><Relationship Id="rId46" Type="http://schemas.openxmlformats.org/officeDocument/2006/relationships/hyperlink" Target="https://www.linkedin.com/top-content/marketing/digital-advertising-metrics/incrementality-testing-in-ads/" TargetMode="External"/><Relationship Id="rId45" Type="http://schemas.openxmlformats.org/officeDocument/2006/relationships/hyperlink" Target="http://linkedin.com" TargetMode="External"/><Relationship Id="rId48" Type="http://schemas.openxmlformats.org/officeDocument/2006/relationships/hyperlink" Target="https://www.sortlist.com/i/s/linkedin-advertising/germany-de" TargetMode="External"/><Relationship Id="rId47" Type="http://schemas.openxmlformats.org/officeDocument/2006/relationships/hyperlink" Target="http://linkedin.com" TargetMode="External"/><Relationship Id="rId49" Type="http://schemas.openxmlformats.org/officeDocument/2006/relationships/hyperlink" Target="http://sortlist.com" TargetMode="External"/><Relationship Id="rId31" Type="http://schemas.openxmlformats.org/officeDocument/2006/relationships/hyperlink" Target="http://linkedin.com" TargetMode="External"/><Relationship Id="rId30" Type="http://schemas.openxmlformats.org/officeDocument/2006/relationships/hyperlink" Target="https://www.linkedin.com/posts/incrmntal_incrementality-martech-measurement-activity-7458138781590683648-ubwV" TargetMode="External"/><Relationship Id="rId33" Type="http://schemas.openxmlformats.org/officeDocument/2006/relationships/hyperlink" Target="http://linkedin.com" TargetMode="External"/><Relationship Id="rId32" Type="http://schemas.openxmlformats.org/officeDocument/2006/relationships/hyperlink" Target="https://www.linkedin.com/posts/karthik-banda-b8bb53246_digitalmarketing-marketingagencies-advertising-activity-7404477675702083584-oyVa" TargetMode="External"/><Relationship Id="rId35" Type="http://schemas.openxmlformats.org/officeDocument/2006/relationships/hyperlink" Target="http://linkedin.com" TargetMode="External"/><Relationship Id="rId34" Type="http://schemas.openxmlformats.org/officeDocument/2006/relationships/hyperlink" Target="https://www.linkedin.com/posts/s360digital_s360-is-the-first-partner-in-northern-europe-activity-7447540211539931137-Y8GK" TargetMode="External"/><Relationship Id="rId37" Type="http://schemas.openxmlformats.org/officeDocument/2006/relationships/hyperlink" Target="http://linkedin.com" TargetMode="External"/><Relationship Id="rId36" Type="http://schemas.openxmlformats.org/officeDocument/2006/relationships/hyperlink" Target="https://www.linkedin.com/posts/trkkn_were-proud-to-announce-that-trkkn-has-activity-7396834763552018432-MyUH" TargetMode="External"/><Relationship Id="rId39" Type="http://schemas.openxmlformats.org/officeDocument/2006/relationships/hyperlink" Target="http://linkedin.com" TargetMode="External"/><Relationship Id="rId38" Type="http://schemas.openxmlformats.org/officeDocument/2006/relationships/hyperlink" Target="https://www.linkedin.com/pulse/deconstructing-common-solutions-first-party-data-pierre-cholet-booce" TargetMode="External"/><Relationship Id="rId20" Type="http://schemas.openxmlformats.org/officeDocument/2006/relationships/hyperlink" Target="https://de.linkedin.com/company/scholz-&amp;-friends" TargetMode="External"/><Relationship Id="rId22" Type="http://schemas.openxmlformats.org/officeDocument/2006/relationships/hyperlink" Target="https://de.linkedin.com/company/serviceplan-group" TargetMode="External"/><Relationship Id="rId21" Type="http://schemas.openxmlformats.org/officeDocument/2006/relationships/hyperlink" Target="http://linkedin.com" TargetMode="External"/><Relationship Id="rId24" Type="http://schemas.openxmlformats.org/officeDocument/2006/relationships/hyperlink" Target="https://de.linkedin.com/in/jorngrunert" TargetMode="External"/><Relationship Id="rId23" Type="http://schemas.openxmlformats.org/officeDocument/2006/relationships/hyperlink" Target="http://linkedin.com" TargetMode="External"/><Relationship Id="rId26" Type="http://schemas.openxmlformats.org/officeDocument/2006/relationships/hyperlink" Target="https://www.linkedin.com/company/crealytics-gmbh" TargetMode="External"/><Relationship Id="rId25" Type="http://schemas.openxmlformats.org/officeDocument/2006/relationships/hyperlink" Target="http://linkedin.com" TargetMode="External"/><Relationship Id="rId28" Type="http://schemas.openxmlformats.org/officeDocument/2006/relationships/hyperlink" Target="https://www.linkedin.com/company/thjnk"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linkedin.com" TargetMode="External"/><Relationship Id="rId10" Type="http://schemas.openxmlformats.org/officeDocument/2006/relationships/hyperlink" Target="https://de.linkedin.com/company/trkkn" TargetMode="External"/><Relationship Id="rId13" Type="http://schemas.openxmlformats.org/officeDocument/2006/relationships/hyperlink" Target="http://linkedin.com" TargetMode="External"/><Relationship Id="rId12" Type="http://schemas.openxmlformats.org/officeDocument/2006/relationships/hyperlink" Target="https://www.linkedin.com/posts/landwehr_most-seo-agencies-are-now-geo-agencies-activity-7440030279630680064-yR88" TargetMode="External"/><Relationship Id="rId15" Type="http://schemas.openxmlformats.org/officeDocument/2006/relationships/hyperlink" Target="http://linkedin.com" TargetMode="External"/><Relationship Id="rId14" Type="http://schemas.openxmlformats.org/officeDocument/2006/relationships/hyperlink" Target="https://de.linkedin.com/company/ddb-germany" TargetMode="External"/><Relationship Id="rId17" Type="http://schemas.openxmlformats.org/officeDocument/2006/relationships/hyperlink" Target="http://linkedin.com" TargetMode="External"/><Relationship Id="rId16" Type="http://schemas.openxmlformats.org/officeDocument/2006/relationships/hyperlink" Target="https://de.linkedin.com/company/deptagency" TargetMode="External"/><Relationship Id="rId19" Type="http://schemas.openxmlformats.org/officeDocument/2006/relationships/hyperlink" Target="http://linkedin.com" TargetMode="External"/><Relationship Id="rId18" Type="http://schemas.openxmlformats.org/officeDocument/2006/relationships/hyperlink" Target="https://de.linkedin.com/company/hyamstudios" TargetMode="External"/><Relationship Id="rId51" Type="http://schemas.openxmlformats.org/officeDocument/2006/relationships/hyperlink" Target="http://sortlist.de" TargetMode="External"/><Relationship Id="rId50" Type="http://schemas.openxmlformats.org/officeDocument/2006/relationships/hyperlink" Target="https://www.sortlist.de/s/linkedin-ads/deutschland-de" TargetMode="External"/><Relationship Id="rId53" Type="http://schemas.openxmlformats.org/officeDocument/2006/relationships/hyperlink" Target="http://themanifest.com" TargetMode="External"/><Relationship Id="rId52" Type="http://schemas.openxmlformats.org/officeDocument/2006/relationships/hyperlink" Target="https://themanifest.com/de/social-media/linkedin/agencies" TargetMode="External"/><Relationship Id="rId54" Type="http://schemas.openxmlformats.org/officeDocument/2006/relationships/drawing" Target="../drawings/drawing18.xml"/><Relationship Id="rId1" Type="http://schemas.openxmlformats.org/officeDocument/2006/relationships/hyperlink" Target="http://linkedin.com" TargetMode="External"/><Relationship Id="rId2" Type="http://schemas.openxmlformats.org/officeDocument/2006/relationships/hyperlink" Target="https://de.linkedin.com/company/mawave-marketing" TargetMode="External"/><Relationship Id="rId3" Type="http://schemas.openxmlformats.org/officeDocument/2006/relationships/hyperlink" Target="http://linkedin.com" TargetMode="External"/><Relationship Id="rId4" Type="http://schemas.openxmlformats.org/officeDocument/2006/relationships/hyperlink" Target="https://de.linkedin.com/company/the-boutique-agency-de" TargetMode="External"/><Relationship Id="rId9" Type="http://schemas.openxmlformats.org/officeDocument/2006/relationships/hyperlink" Target="http://linkedin.com" TargetMode="External"/><Relationship Id="rId5" Type="http://schemas.openxmlformats.org/officeDocument/2006/relationships/hyperlink" Target="http://linkedin.com" TargetMode="External"/><Relationship Id="rId6" Type="http://schemas.openxmlformats.org/officeDocument/2006/relationships/hyperlink" Target="https://www.magiclibrary.co/blog/best-linkedin-ads-agency-in-germany" TargetMode="External"/><Relationship Id="rId7" Type="http://schemas.openxmlformats.org/officeDocument/2006/relationships/hyperlink" Target="http://magiclibrary.co" TargetMode="External"/><Relationship Id="rId8" Type="http://schemas.openxmlformats.org/officeDocument/2006/relationships/hyperlink" Target="https://de.linkedin.com/company/bbdo-holding-germany"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wikipedia.org" TargetMode="External"/><Relationship Id="rId10" Type="http://schemas.openxmlformats.org/officeDocument/2006/relationships/hyperlink" Target="https://de.wikipedia.org/wiki/Pilot_Group" TargetMode="External"/><Relationship Id="rId13" Type="http://schemas.openxmlformats.org/officeDocument/2006/relationships/hyperlink" Target="http://wikipedia.org" TargetMode="External"/><Relationship Id="rId12" Type="http://schemas.openxmlformats.org/officeDocument/2006/relationships/hyperlink" Target="https://en.wikipedia.org/wiki/Serviceplan_Group" TargetMode="External"/><Relationship Id="rId14" Type="http://schemas.openxmlformats.org/officeDocument/2006/relationships/drawing" Target="../drawings/drawing19.xml"/><Relationship Id="rId1" Type="http://schemas.openxmlformats.org/officeDocument/2006/relationships/hyperlink" Target="http://wikipedia.org" TargetMode="External"/><Relationship Id="rId2" Type="http://schemas.openxmlformats.org/officeDocument/2006/relationships/hyperlink" Target="https://de.wikipedia.org/wiki/Jung_von_Matt" TargetMode="External"/><Relationship Id="rId3" Type="http://schemas.openxmlformats.org/officeDocument/2006/relationships/hyperlink" Target="http://wikipedia.org" TargetMode="External"/><Relationship Id="rId4" Type="http://schemas.openxmlformats.org/officeDocument/2006/relationships/hyperlink" Target="https://de.wikipedia.org/wiki/Scholz_%26_Friends" TargetMode="External"/><Relationship Id="rId9" Type="http://schemas.openxmlformats.org/officeDocument/2006/relationships/hyperlink" Target="http://wikipedia.org" TargetMode="External"/><Relationship Id="rId5" Type="http://schemas.openxmlformats.org/officeDocument/2006/relationships/hyperlink" Target="http://wikipedia.org" TargetMode="External"/><Relationship Id="rId6" Type="http://schemas.openxmlformats.org/officeDocument/2006/relationships/hyperlink" Target="https://de.wikipedia.org/wiki/BBDO" TargetMode="External"/><Relationship Id="rId7" Type="http://schemas.openxmlformats.org/officeDocument/2006/relationships/hyperlink" Target="http://wikipedia.org" TargetMode="External"/><Relationship Id="rId8" Type="http://schemas.openxmlformats.org/officeDocument/2006/relationships/hyperlink" Target="https://de.wikipedia.org/wiki/DDB_%28Deutschland%29"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egmentstream.com" TargetMode="External"/><Relationship Id="rId2" Type="http://schemas.openxmlformats.org/officeDocument/2006/relationships/hyperlink" Target="https://segmentstream.com/blog/articles/measured-com-alternatives" TargetMode="External"/><Relationship Id="rId3" Type="http://schemas.openxmlformats.org/officeDocument/2006/relationships/hyperlink" Target="http://segmentstream.com" TargetMode="External"/><Relationship Id="rId4" Type="http://schemas.openxmlformats.org/officeDocument/2006/relationships/hyperlink" Target="https://segmentstream.com/blog/articles/top-haus-io-alternatives-for-geo-lift-incrementality-testing" TargetMode="External"/><Relationship Id="rId9" Type="http://schemas.openxmlformats.org/officeDocument/2006/relationships/drawing" Target="../drawings/drawing20.xml"/><Relationship Id="rId5" Type="http://schemas.openxmlformats.org/officeDocument/2006/relationships/hyperlink" Target="http://segmentstream.com" TargetMode="External"/><Relationship Id="rId6" Type="http://schemas.openxmlformats.org/officeDocument/2006/relationships/hyperlink" Target="https://www.leonar.app/blog/gem-alternatives/" TargetMode="External"/><Relationship Id="rId7" Type="http://schemas.openxmlformats.org/officeDocument/2006/relationships/hyperlink" Target="https://segmentstream.com/blog/articles/northbeam-alternatives" TargetMode="External"/><Relationship Id="rId8" Type="http://schemas.openxmlformats.org/officeDocument/2006/relationships/hyperlink" Target="http://segmentstream.com"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www.itpro.com/business/business-strategy/ai-projects-are-stalling-at-mid-market-firms-google-cloud-and-accenture-want-to-solve-that" TargetMode="External"/><Relationship Id="rId42" Type="http://schemas.openxmlformats.org/officeDocument/2006/relationships/hyperlink" Target="https://www.mir.de/en/top10" TargetMode="External"/><Relationship Id="rId41" Type="http://schemas.openxmlformats.org/officeDocument/2006/relationships/hyperlink" Target="http://itpro.com" TargetMode="External"/><Relationship Id="rId44" Type="http://schemas.openxmlformats.org/officeDocument/2006/relationships/hyperlink" Target="https://omnicommediagroup.de/news/germany/pressemitteilungen/nachster-meilenstein-trkkn-erhalt-google-cloud-spezialisierung-in-marketing-analytics/" TargetMode="External"/><Relationship Id="rId43" Type="http://schemas.openxmlformats.org/officeDocument/2006/relationships/hyperlink" Target="http://mir.de" TargetMode="External"/><Relationship Id="rId46" Type="http://schemas.openxmlformats.org/officeDocument/2006/relationships/hyperlink" Target="https://www.red-dot.org/magazine/accenture-song-is-red-dot-agency-of-the-year-2025" TargetMode="External"/><Relationship Id="rId45" Type="http://schemas.openxmlformats.org/officeDocument/2006/relationships/hyperlink" Target="http://omnicommediagroup.de" TargetMode="External"/><Relationship Id="rId48" Type="http://schemas.openxmlformats.org/officeDocument/2006/relationships/hyperlink" Target="https://www.thedrum.com/news/serviceplan-ceo-breaking-out-bavaria-and-climbing-the-world-creative-rankings" TargetMode="External"/><Relationship Id="rId47" Type="http://schemas.openxmlformats.org/officeDocument/2006/relationships/hyperlink" Target="http://red-dot.org" TargetMode="External"/><Relationship Id="rId49" Type="http://schemas.openxmlformats.org/officeDocument/2006/relationships/hyperlink" Target="http://thedrum.com" TargetMode="External"/><Relationship Id="rId31" Type="http://schemas.openxmlformats.org/officeDocument/2006/relationships/hyperlink" Target="http://axios.com" TargetMode="External"/><Relationship Id="rId30" Type="http://schemas.openxmlformats.org/officeDocument/2006/relationships/hyperlink" Target="https://www.axios.com/2025/01/07/new-groupm-ceo-unveils-5-year-plan" TargetMode="External"/><Relationship Id="rId33" Type="http://schemas.openxmlformats.org/officeDocument/2006/relationships/hyperlink" Target="http://google.com" TargetMode="External"/><Relationship Id="rId32" Type="http://schemas.openxmlformats.org/officeDocument/2006/relationships/hyperlink" Target="https://business.google.com/us/think/measurement/incrementality-testing/" TargetMode="External"/><Relationship Id="rId35" Type="http://schemas.openxmlformats.org/officeDocument/2006/relationships/hyperlink" Target="http://businessinsider.com" TargetMode="External"/><Relationship Id="rId34" Type="http://schemas.openxmlformats.org/officeDocument/2006/relationships/hyperlink" Target="https://www.businessinsider.com/ai-consulting-mckinsey-pwc-deloitte-bcg-kpmg-accenture-ey-ibm-2026-5" TargetMode="External"/><Relationship Id="rId37" Type="http://schemas.openxmlformats.org/officeDocument/2006/relationships/hyperlink" Target="http://businessinsider.com" TargetMode="External"/><Relationship Id="rId36" Type="http://schemas.openxmlformats.org/officeDocument/2006/relationships/hyperlink" Target="https://www.businessinsider.com/ai-search-reshapes-seo-fueling-geo-gold-rush-2025-11" TargetMode="External"/><Relationship Id="rId39" Type="http://schemas.openxmlformats.org/officeDocument/2006/relationships/hyperlink" Target="http://eology.de" TargetMode="External"/><Relationship Id="rId38" Type="http://schemas.openxmlformats.org/officeDocument/2006/relationships/hyperlink" Target="https://www.eology.de/presse/google-premier-partner-2025" TargetMode="External"/><Relationship Id="rId20" Type="http://schemas.openxmlformats.org/officeDocument/2006/relationships/hyperlink" Target="https://www.youtube.com/watch?v=JmDHPizWIOA" TargetMode="External"/><Relationship Id="rId22" Type="http://schemas.openxmlformats.org/officeDocument/2006/relationships/hyperlink" Target="https://arxiv.org/abs/2604.07585" TargetMode="External"/><Relationship Id="rId21" Type="http://schemas.openxmlformats.org/officeDocument/2006/relationships/hyperlink" Target="http://youtube.com" TargetMode="External"/><Relationship Id="rId24" Type="http://schemas.openxmlformats.org/officeDocument/2006/relationships/hyperlink" Target="https://meedia.de/news/beitrag/20776-serviceplan-dominiert-das-ranking-der-top-50-kreativagenturen-in-deutschland.html" TargetMode="External"/><Relationship Id="rId23" Type="http://schemas.openxmlformats.org/officeDocument/2006/relationships/hyperlink" Target="http://arxiv.org" TargetMode="External"/><Relationship Id="rId26" Type="http://schemas.openxmlformats.org/officeDocument/2006/relationships/hyperlink" Target="https://s360digital.com/news/s360-enters-dach-through-a-strategic-minority-investment-in-dreifive/" TargetMode="External"/><Relationship Id="rId25" Type="http://schemas.openxmlformats.org/officeDocument/2006/relationships/hyperlink" Target="http://meedia.de" TargetMode="External"/><Relationship Id="rId28" Type="http://schemas.openxmlformats.org/officeDocument/2006/relationships/hyperlink" Target="https://www.adc.de/2024/12/05/adc-kreativranking-2024-serviceplan-auf-dem-ersten-platz/" TargetMode="External"/><Relationship Id="rId27" Type="http://schemas.openxmlformats.org/officeDocument/2006/relationships/hyperlink" Target="http://s360digital.com" TargetMode="External"/><Relationship Id="rId29" Type="http://schemas.openxmlformats.org/officeDocument/2006/relationships/hyperlink" Target="http://adc.de" TargetMode="External"/><Relationship Id="rId11" Type="http://schemas.openxmlformats.org/officeDocument/2006/relationships/hyperlink" Target="http://google.com" TargetMode="External"/><Relationship Id="rId10" Type="http://schemas.openxmlformats.org/officeDocument/2006/relationships/hyperlink" Target="https://business.google.com/in/think/marketing-strategies/incrementality-testing/" TargetMode="External"/><Relationship Id="rId13" Type="http://schemas.openxmlformats.org/officeDocument/2006/relationships/hyperlink" Target="http://wikipedia.org" TargetMode="External"/><Relationship Id="rId12" Type="http://schemas.openxmlformats.org/officeDocument/2006/relationships/hyperlink" Target="https://de.wikipedia.org/wiki/Jung_von_Matt" TargetMode="External"/><Relationship Id="rId15" Type="http://schemas.openxmlformats.org/officeDocument/2006/relationships/hyperlink" Target="http://reuters.com" TargetMode="External"/><Relationship Id="rId14" Type="http://schemas.openxmlformats.org/officeDocument/2006/relationships/hyperlink" Target="https://www.reuters.com/business/publicis-raises-growth-target-ai-driven-marketing-demand-stays-strong-2026-07-16/" TargetMode="External"/><Relationship Id="rId17" Type="http://schemas.openxmlformats.org/officeDocument/2006/relationships/hyperlink" Target="http://sortlist.com" TargetMode="External"/><Relationship Id="rId16" Type="http://schemas.openxmlformats.org/officeDocument/2006/relationships/hyperlink" Target="https://www.sortlist.com/de/performance-marketing" TargetMode="External"/><Relationship Id="rId19" Type="http://schemas.openxmlformats.org/officeDocument/2006/relationships/hyperlink" Target="http://supermetrics.com" TargetMode="External"/><Relationship Id="rId18" Type="http://schemas.openxmlformats.org/officeDocument/2006/relationships/hyperlink" Target="https://supermetrics.com/blog/incrementality-testing" TargetMode="External"/><Relationship Id="rId84" Type="http://schemas.openxmlformats.org/officeDocument/2006/relationships/hyperlink" Target="https://www.businessinsider.com/ai-questions-consulting-firms-are-answering-for-clients-2024-6" TargetMode="External"/><Relationship Id="rId83" Type="http://schemas.openxmlformats.org/officeDocument/2006/relationships/hyperlink" Target="http://businessinsider.com" TargetMode="External"/><Relationship Id="rId86" Type="http://schemas.openxmlformats.org/officeDocument/2006/relationships/hyperlink" Target="https://www.businessinsider.com/consulting-ai-mckinsey-bcg-deloitte-pwc-kpmg-chatbots-ai-tools-2025-4" TargetMode="External"/><Relationship Id="rId85" Type="http://schemas.openxmlformats.org/officeDocument/2006/relationships/hyperlink" Target="http://businessinsider.com" TargetMode="External"/><Relationship Id="rId88" Type="http://schemas.openxmlformats.org/officeDocument/2006/relationships/hyperlink" Target="https://www.businesswire.com/news/home/20260316251472/de" TargetMode="External"/><Relationship Id="rId87" Type="http://schemas.openxmlformats.org/officeDocument/2006/relationships/hyperlink" Target="http://businessinsider.com" TargetMode="External"/><Relationship Id="rId89" Type="http://schemas.openxmlformats.org/officeDocument/2006/relationships/hyperlink" Target="http://businesswire.com" TargetMode="External"/><Relationship Id="rId80" Type="http://schemas.openxmlformats.org/officeDocument/2006/relationships/hyperlink" Target="https://www.btelligent.com/en/news-posts/btelligent-again-best-ai-consultancy" TargetMode="External"/><Relationship Id="rId82" Type="http://schemas.openxmlformats.org/officeDocument/2006/relationships/hyperlink" Target="https://www.businessinsider.com/ai-adoption-strategies-companies-2026-7" TargetMode="External"/><Relationship Id="rId81" Type="http://schemas.openxmlformats.org/officeDocument/2006/relationships/hyperlink" Target="http://btelligent.com" TargetMode="External"/><Relationship Id="rId73" Type="http://schemas.openxmlformats.org/officeDocument/2006/relationships/hyperlink" Target="http://arxiv.org" TargetMode="External"/><Relationship Id="rId72" Type="http://schemas.openxmlformats.org/officeDocument/2006/relationships/hyperlink" Target="https://arxiv.org/abs/2606.16878" TargetMode="External"/><Relationship Id="rId75" Type="http://schemas.openxmlformats.org/officeDocument/2006/relationships/hyperlink" Target="http://axios.com" TargetMode="External"/><Relationship Id="rId74" Type="http://schemas.openxmlformats.org/officeDocument/2006/relationships/hyperlink" Target="https://www.axios.com/2026/07/16/geo-communications-marketing-strategy" TargetMode="External"/><Relationship Id="rId77" Type="http://schemas.openxmlformats.org/officeDocument/2006/relationships/hyperlink" Target="http://berlin.de" TargetMode="External"/><Relationship Id="rId76" Type="http://schemas.openxmlformats.org/officeDocument/2006/relationships/hyperlink" Target="https://www.berlin.de/sen/web/en/economics-and-technology/branches/creative-industries-and-communication/advertising/artikel.447824.en.php" TargetMode="External"/><Relationship Id="rId79" Type="http://schemas.openxmlformats.org/officeDocument/2006/relationships/hyperlink" Target="http://bluealpha.ai" TargetMode="External"/><Relationship Id="rId78" Type="http://schemas.openxmlformats.org/officeDocument/2006/relationships/hyperlink" Target="https://bluealpha.ai/articles/why-your-marketing-agency-needs-mmm-and-incrementality-testing" TargetMode="External"/><Relationship Id="rId71" Type="http://schemas.openxmlformats.org/officeDocument/2006/relationships/hyperlink" Target="http://arxiv.org" TargetMode="External"/><Relationship Id="rId70" Type="http://schemas.openxmlformats.org/officeDocument/2006/relationships/hyperlink" Target="https://arxiv.org/abs/2604.16369" TargetMode="External"/><Relationship Id="rId62" Type="http://schemas.openxmlformats.org/officeDocument/2006/relationships/hyperlink" Target="https://www.advanced-television.com/2026/03/17/smartly-acquires-incrmntal-measurement-platform/" TargetMode="External"/><Relationship Id="rId61" Type="http://schemas.openxmlformats.org/officeDocument/2006/relationships/hyperlink" Target="http://adito.de" TargetMode="External"/><Relationship Id="rId64" Type="http://schemas.openxmlformats.org/officeDocument/2006/relationships/hyperlink" Target="https://www.and-marketing.com/future-of-ai-in-marketing-analytics/" TargetMode="External"/><Relationship Id="rId63" Type="http://schemas.openxmlformats.org/officeDocument/2006/relationships/hyperlink" Target="http://advanced-television.com" TargetMode="External"/><Relationship Id="rId66" Type="http://schemas.openxmlformats.org/officeDocument/2006/relationships/hyperlink" Target="https://www.artefact.com/news/unified-global-brand-experience-metapeople-germany-rebrands-to-artefact/" TargetMode="External"/><Relationship Id="rId65" Type="http://schemas.openxmlformats.org/officeDocument/2006/relationships/hyperlink" Target="http://and-marketing.com" TargetMode="External"/><Relationship Id="rId68" Type="http://schemas.openxmlformats.org/officeDocument/2006/relationships/hyperlink" Target="https://arxiv.org/abs/2403.14674" TargetMode="External"/><Relationship Id="rId67" Type="http://schemas.openxmlformats.org/officeDocument/2006/relationships/hyperlink" Target="http://artefact.com" TargetMode="External"/><Relationship Id="rId60" Type="http://schemas.openxmlformats.org/officeDocument/2006/relationships/hyperlink" Target="https://www.adito.de/knowhow/blog/performance-marketing" TargetMode="External"/><Relationship Id="rId69" Type="http://schemas.openxmlformats.org/officeDocument/2006/relationships/hyperlink" Target="http://arxiv.org" TargetMode="External"/><Relationship Id="rId51" Type="http://schemas.openxmlformats.org/officeDocument/2006/relationships/hyperlink" Target="http://theverge.com" TargetMode="External"/><Relationship Id="rId50" Type="http://schemas.openxmlformats.org/officeDocument/2006/relationships/hyperlink" Target="https://www.theverge.com/podcast/959792/digitas-ceo-amy-lanzi-cannes-ad-industry-marketing-ai-creators" TargetMode="External"/><Relationship Id="rId53" Type="http://schemas.openxmlformats.org/officeDocument/2006/relationships/hyperlink" Target="http://theverge.com" TargetMode="External"/><Relationship Id="rId52" Type="http://schemas.openxmlformats.org/officeDocument/2006/relationships/hyperlink" Target="https://www.theverge.com/tech/900302/ai-seo-industry-google-search-chatgpt-gemini-marketing" TargetMode="External"/><Relationship Id="rId55" Type="http://schemas.openxmlformats.org/officeDocument/2006/relationships/hyperlink" Target="http://werbeagentur.de" TargetMode="External"/><Relationship Id="rId54" Type="http://schemas.openxmlformats.org/officeDocument/2006/relationships/hyperlink" Target="https://www.werbeagentur.de/en/scoring/programmatic-advertising" TargetMode="External"/><Relationship Id="rId57" Type="http://schemas.openxmlformats.org/officeDocument/2006/relationships/hyperlink" Target="http://wpseoai.com" TargetMode="External"/><Relationship Id="rId56" Type="http://schemas.openxmlformats.org/officeDocument/2006/relationships/hyperlink" Target="https://wpseoai.com/blog/best-geo-llm-agency-in-hamburg-with-geo-llm-optimization-technology/" TargetMode="External"/><Relationship Id="rId59" Type="http://schemas.openxmlformats.org/officeDocument/2006/relationships/hyperlink" Target="http://adc.de" TargetMode="External"/><Relationship Id="rId58" Type="http://schemas.openxmlformats.org/officeDocument/2006/relationships/hyperlink" Target="https://www.adc.de/2023/12/04/serviceplan-bleibt-auf-platz-1-des-adc-kreativrankings/" TargetMode="External"/><Relationship Id="rId95" Type="http://schemas.openxmlformats.org/officeDocument/2006/relationships/hyperlink" Target="https://de.finance.yahoo.com/nachrichten/bias-recruiting-ki-beratungsunternehmen-statworx-070000538.html" TargetMode="External"/><Relationship Id="rId94" Type="http://schemas.openxmlformats.org/officeDocument/2006/relationships/hyperlink" Target="https://www.consultancy.eu/news/7008/googles-top-emea-premier-partner-digital-marketing-consultancies" TargetMode="External"/><Relationship Id="rId97" Type="http://schemas.openxmlformats.org/officeDocument/2006/relationships/hyperlink" Target="https://www.deptagency.com/insight/embracing-creative-automation-for-scaling-asset-creation/" TargetMode="External"/><Relationship Id="rId96" Type="http://schemas.openxmlformats.org/officeDocument/2006/relationships/hyperlink" Target="http://yahoo.com" TargetMode="External"/><Relationship Id="rId99" Type="http://schemas.openxmlformats.org/officeDocument/2006/relationships/hyperlink" Target="https://www.deptagency.com/insight/leading-german-digital-agencies-unite-to-form-dept/" TargetMode="External"/><Relationship Id="rId98" Type="http://schemas.openxmlformats.org/officeDocument/2006/relationships/hyperlink" Target="http://deptagency.com" TargetMode="External"/><Relationship Id="rId91" Type="http://schemas.openxmlformats.org/officeDocument/2006/relationships/hyperlink" Target="http://bvdw.org" TargetMode="External"/><Relationship Id="rId90" Type="http://schemas.openxmlformats.org/officeDocument/2006/relationships/hyperlink" Target="https://www.bvdw.org/news-und-publikationen/deep-dive-retail-mediaagenturen/" TargetMode="External"/><Relationship Id="rId93" Type="http://schemas.openxmlformats.org/officeDocument/2006/relationships/hyperlink" Target="http://campaignme.com" TargetMode="External"/><Relationship Id="rId92" Type="http://schemas.openxmlformats.org/officeDocument/2006/relationships/hyperlink" Target="https://campaignme.com/publicis-groupes-performics-secures-gmp-partner-reseller-status/" TargetMode="External"/><Relationship Id="rId203" Type="http://schemas.openxmlformats.org/officeDocument/2006/relationships/drawing" Target="../drawings/drawing21.xml"/><Relationship Id="rId202" Type="http://schemas.openxmlformats.org/officeDocument/2006/relationships/hyperlink" Target="http://zetaglobal.com" TargetMode="External"/><Relationship Id="rId201" Type="http://schemas.openxmlformats.org/officeDocument/2006/relationships/hyperlink" Target="https://zetaglobal.com/resource-center/ai-first-party-data-agency-growth/" TargetMode="External"/><Relationship Id="rId200" Type="http://schemas.openxmlformats.org/officeDocument/2006/relationships/hyperlink" Target="http://zeotap.com" TargetMode="External"/><Relationship Id="rId1" Type="http://schemas.openxmlformats.org/officeDocument/2006/relationships/hyperlink" Target="http://btelligent.com" TargetMode="External"/><Relationship Id="rId2" Type="http://schemas.openxmlformats.org/officeDocument/2006/relationships/hyperlink" Target="https://www.adc.de/2025/12/09/adc-kreativranking-2025/" TargetMode="External"/><Relationship Id="rId3" Type="http://schemas.openxmlformats.org/officeDocument/2006/relationships/hyperlink" Target="http://adc.de" TargetMode="External"/><Relationship Id="rId4" Type="http://schemas.openxmlformats.org/officeDocument/2006/relationships/hyperlink" Target="https://www.architecturaldigest.com/story/is-your-business-ready-for-the-ai-overview-era" TargetMode="External"/><Relationship Id="rId9" Type="http://schemas.openxmlformats.org/officeDocument/2006/relationships/hyperlink" Target="http://arxiv.org" TargetMode="External"/><Relationship Id="rId5" Type="http://schemas.openxmlformats.org/officeDocument/2006/relationships/hyperlink" Target="http://architecturaldigest.com" TargetMode="External"/><Relationship Id="rId6" Type="http://schemas.openxmlformats.org/officeDocument/2006/relationships/hyperlink" Target="https://thebestagency.de/news/serviceplan-stuermt-an-die-spitze-des-rankings-von-the-best-agency/?media_link=1" TargetMode="External"/><Relationship Id="rId7" Type="http://schemas.openxmlformats.org/officeDocument/2006/relationships/hyperlink" Target="http://thebestagency.de" TargetMode="External"/><Relationship Id="rId8" Type="http://schemas.openxmlformats.org/officeDocument/2006/relationships/hyperlink" Target="https://arxiv.org/abs/2509.08919" TargetMode="External"/><Relationship Id="rId190" Type="http://schemas.openxmlformats.org/officeDocument/2006/relationships/hyperlink" Target="http://wsj.com" TargetMode="External"/><Relationship Id="rId194" Type="http://schemas.openxmlformats.org/officeDocument/2006/relationships/hyperlink" Target="http://youtube.com" TargetMode="External"/><Relationship Id="rId193" Type="http://schemas.openxmlformats.org/officeDocument/2006/relationships/hyperlink" Target="https://www.youtube.com/watch?v=LPvRUxJ5J1E&amp;t=45" TargetMode="External"/><Relationship Id="rId192" Type="http://schemas.openxmlformats.org/officeDocument/2006/relationships/hyperlink" Target="http://wuv.de" TargetMode="External"/><Relationship Id="rId191" Type="http://schemas.openxmlformats.org/officeDocument/2006/relationships/hyperlink" Target="https://www.wuv.de/Archiv/Jung-von-Matt-ist-kreativste-Agentur-Deutschlands" TargetMode="External"/><Relationship Id="rId187" Type="http://schemas.openxmlformats.org/officeDocument/2006/relationships/hyperlink" Target="https://www.wsj.com/business/earnings/publicis-raises-guidance-citing-new-business-wins-ad4f0d98" TargetMode="External"/><Relationship Id="rId186" Type="http://schemas.openxmlformats.org/officeDocument/2006/relationships/hyperlink" Target="http://valtech.com" TargetMode="External"/><Relationship Id="rId185" Type="http://schemas.openxmlformats.org/officeDocument/2006/relationships/hyperlink" Target="https://www.valtech.com/blog/closing-the-ai-readiness-gap/" TargetMode="External"/><Relationship Id="rId184" Type="http://schemas.openxmlformats.org/officeDocument/2006/relationships/hyperlink" Target="http://thjnk.de" TargetMode="External"/><Relationship Id="rId189" Type="http://schemas.openxmlformats.org/officeDocument/2006/relationships/hyperlink" Target="https://www.wsj.com/cio-journal/the-ai-superfans-companies-count-on-to-convert-the-skeptics-5b301a90" TargetMode="External"/><Relationship Id="rId188" Type="http://schemas.openxmlformats.org/officeDocument/2006/relationships/hyperlink" Target="http://wsj.com" TargetMode="External"/><Relationship Id="rId183" Type="http://schemas.openxmlformats.org/officeDocument/2006/relationships/hyperlink" Target="https://www.thjnk.de/en/post/thjnk-and-ogilvy-launch-a-unique-partnership-on-equal-footing-a-significant-step-in-the-german-agen" TargetMode="External"/><Relationship Id="rId182" Type="http://schemas.openxmlformats.org/officeDocument/2006/relationships/hyperlink" Target="http://techradar.com" TargetMode="External"/><Relationship Id="rId181" Type="http://schemas.openxmlformats.org/officeDocument/2006/relationships/hyperlink" Target="https://www.techradar.com/pro/hubspot-increased-leads-by-1850-percent-and-we-asked-them-how-the-aeo-playbook" TargetMode="External"/><Relationship Id="rId180" Type="http://schemas.openxmlformats.org/officeDocument/2006/relationships/hyperlink" Target="http://techradar.com" TargetMode="External"/><Relationship Id="rId176" Type="http://schemas.openxmlformats.org/officeDocument/2006/relationships/hyperlink" Target="http://superside.com" TargetMode="External"/><Relationship Id="rId175" Type="http://schemas.openxmlformats.org/officeDocument/2006/relationships/hyperlink" Target="https://www.superside.com/blog/creative-at-scale" TargetMode="External"/><Relationship Id="rId174" Type="http://schemas.openxmlformats.org/officeDocument/2006/relationships/hyperlink" Target="http://stape.io" TargetMode="External"/><Relationship Id="rId173" Type="http://schemas.openxmlformats.org/officeDocument/2006/relationships/hyperlink" Target="https://stape.io/blog/marketing-attribution-models" TargetMode="External"/><Relationship Id="rId179" Type="http://schemas.openxmlformats.org/officeDocument/2006/relationships/hyperlink" Target="https://www.techradar.com/pro/agentic-search-optimization-reshapes-brand-visibility-in-ai-search" TargetMode="External"/><Relationship Id="rId178" Type="http://schemas.openxmlformats.org/officeDocument/2006/relationships/hyperlink" Target="http://google.com" TargetMode="External"/><Relationship Id="rId177" Type="http://schemas.openxmlformats.org/officeDocument/2006/relationships/hyperlink" Target="https://support.google.com/google-ads/answer/9029203?hl=en" TargetMode="External"/><Relationship Id="rId198" Type="http://schemas.openxmlformats.org/officeDocument/2006/relationships/hyperlink" Target="http://youtube.com" TargetMode="External"/><Relationship Id="rId197" Type="http://schemas.openxmlformats.org/officeDocument/2006/relationships/hyperlink" Target="https://www.youtube.com/watch?v=kfjxG-B28VY&amp;t=53" TargetMode="External"/><Relationship Id="rId196" Type="http://schemas.openxmlformats.org/officeDocument/2006/relationships/hyperlink" Target="http://youtube.com" TargetMode="External"/><Relationship Id="rId195" Type="http://schemas.openxmlformats.org/officeDocument/2006/relationships/hyperlink" Target="https://www.youtube.com/watch?v=XhMbeN7cH34&amp;vl=de&amp;t=707" TargetMode="External"/><Relationship Id="rId199" Type="http://schemas.openxmlformats.org/officeDocument/2006/relationships/hyperlink" Target="https://zeotap.com/blog/how-zeotap-and-pwc-germany-are-transforming-enterprise-customer-intelligence/" TargetMode="External"/><Relationship Id="rId150" Type="http://schemas.openxmlformats.org/officeDocument/2006/relationships/hyperlink" Target="http://prescientai.com" TargetMode="External"/><Relationship Id="rId149" Type="http://schemas.openxmlformats.org/officeDocument/2006/relationships/hyperlink" Target="https://prescientai.com/blog/incrementality-testing-guide" TargetMode="External"/><Relationship Id="rId148" Type="http://schemas.openxmlformats.org/officeDocument/2006/relationships/hyperlink" Target="http://oneclub.org" TargetMode="External"/><Relationship Id="rId143" Type="http://schemas.openxmlformats.org/officeDocument/2006/relationships/hyperlink" Target="https://meedia.de/news/beitrag/18957-bvdw-ranking-das-sind-die-kreativsten-agenturen-kampagnen-und-marken.html" TargetMode="External"/><Relationship Id="rId142" Type="http://schemas.openxmlformats.org/officeDocument/2006/relationships/hyperlink" Target="http://media-marketing.com" TargetMode="External"/><Relationship Id="rId141" Type="http://schemas.openxmlformats.org/officeDocument/2006/relationships/hyperlink" Target="https://www.media-marketing.com/en/news/the-global-and-regional-creative-rankings-of-the-one-club-for-2025-have-been-announced/" TargetMode="External"/><Relationship Id="rId140" Type="http://schemas.openxmlformats.org/officeDocument/2006/relationships/hyperlink" Target="http://marketing-boerse.de" TargetMode="External"/><Relationship Id="rId147" Type="http://schemas.openxmlformats.org/officeDocument/2006/relationships/hyperlink" Target="https://www.oneclub.org/press/-toc-2025-global-rankings" TargetMode="External"/><Relationship Id="rId146" Type="http://schemas.openxmlformats.org/officeDocument/2006/relationships/hyperlink" Target="http://most2414.com" TargetMode="External"/><Relationship Id="rId145" Type="http://schemas.openxmlformats.org/officeDocument/2006/relationships/hyperlink" Target="https://most2414.com/insights-ai-agents/" TargetMode="External"/><Relationship Id="rId144" Type="http://schemas.openxmlformats.org/officeDocument/2006/relationships/hyperlink" Target="http://meedia.de" TargetMode="External"/><Relationship Id="rId139" Type="http://schemas.openxmlformats.org/officeDocument/2006/relationships/hyperlink" Target="https://www.marketing-boerse.de/news/details/2513-bvdw-kreativranking-2024-neue-gewinner-grosse-verlierer/200049" TargetMode="External"/><Relationship Id="rId138" Type="http://schemas.openxmlformats.org/officeDocument/2006/relationships/hyperlink" Target="http://liveramp.com" TargetMode="External"/><Relationship Id="rId137" Type="http://schemas.openxmlformats.org/officeDocument/2006/relationships/hyperlink" Target="https://liveramp.com/blog/first-party-data-strategy" TargetMode="External"/><Relationship Id="rId132" Type="http://schemas.openxmlformats.org/officeDocument/2006/relationships/hyperlink" Target="http://leansummits.com" TargetMode="External"/><Relationship Id="rId131" Type="http://schemas.openxmlformats.org/officeDocument/2006/relationships/hyperlink" Target="https://www.leansummits.com/how-marketing-teams-are-using-ai-agents-to-automate-campaign-management" TargetMode="External"/><Relationship Id="rId130" Type="http://schemas.openxmlformats.org/officeDocument/2006/relationships/hyperlink" Target="http://krick.com" TargetMode="External"/><Relationship Id="rId136" Type="http://schemas.openxmlformats.org/officeDocument/2006/relationships/hyperlink" Target="http://linkedin.com" TargetMode="External"/><Relationship Id="rId135" Type="http://schemas.openxmlformats.org/officeDocument/2006/relationships/hyperlink" Target="https://www.linkedin.com/pulse/what-sales-branding-value-adding-awareness-phase-your-daniel-opler" TargetMode="External"/><Relationship Id="rId134" Type="http://schemas.openxmlformats.org/officeDocument/2006/relationships/hyperlink" Target="http://linkedin.com" TargetMode="External"/><Relationship Id="rId133" Type="http://schemas.openxmlformats.org/officeDocument/2006/relationships/hyperlink" Target="https://www.linkedin.com/pulse/deconstructing-common-solutions-first-party-data-pierre-cholet-booce" TargetMode="External"/><Relationship Id="rId172" Type="http://schemas.openxmlformats.org/officeDocument/2006/relationships/hyperlink" Target="http://smarketer.co.uk" TargetMode="External"/><Relationship Id="rId171" Type="http://schemas.openxmlformats.org/officeDocument/2006/relationships/hyperlink" Target="https://www.smarketer.co.uk/google-shopping/css/" TargetMode="External"/><Relationship Id="rId170" Type="http://schemas.openxmlformats.org/officeDocument/2006/relationships/hyperlink" Target="http://skai.io" TargetMode="External"/><Relationship Id="rId165" Type="http://schemas.openxmlformats.org/officeDocument/2006/relationships/hyperlink" Target="https://sellforte.com/customer-news/case-study-released-brand-alley-x-sellforte" TargetMode="External"/><Relationship Id="rId164" Type="http://schemas.openxmlformats.org/officeDocument/2006/relationships/hyperlink" Target="http://schalk-and-friends.de" TargetMode="External"/><Relationship Id="rId163" Type="http://schemas.openxmlformats.org/officeDocument/2006/relationships/hyperlink" Target="https://www.schalk-and-friends.de/en/magazine/modern-marketing-winners/" TargetMode="External"/><Relationship Id="rId162" Type="http://schemas.openxmlformats.org/officeDocument/2006/relationships/hyperlink" Target="http://s360digital.com" TargetMode="External"/><Relationship Id="rId169" Type="http://schemas.openxmlformats.org/officeDocument/2006/relationships/hyperlink" Target="https://skai.io/blog/retail-media-incrementality/" TargetMode="External"/><Relationship Id="rId168" Type="http://schemas.openxmlformats.org/officeDocument/2006/relationships/hyperlink" Target="http://seosupport.de" TargetMode="External"/><Relationship Id="rId167" Type="http://schemas.openxmlformats.org/officeDocument/2006/relationships/hyperlink" Target="https://seosupport.de/generative-engine-optimization/" TargetMode="External"/><Relationship Id="rId166" Type="http://schemas.openxmlformats.org/officeDocument/2006/relationships/hyperlink" Target="http://sellforte.com" TargetMode="External"/><Relationship Id="rId161" Type="http://schemas.openxmlformats.org/officeDocument/2006/relationships/hyperlink" Target="https://s360digital.com/news/s360-becomes-one-of-the-first-smartly-certified-agencies/" TargetMode="External"/><Relationship Id="rId160" Type="http://schemas.openxmlformats.org/officeDocument/2006/relationships/hyperlink" Target="http://reuters.com" TargetMode="External"/><Relationship Id="rId159" Type="http://schemas.openxmlformats.org/officeDocument/2006/relationships/hyperlink" Target="https://www.reuters.com/sustainability/boards-policy-regulation/ad-group-wpp-says-mark-read-retire-ceo-end-year-2025-06-09/" TargetMode="External"/><Relationship Id="rId154" Type="http://schemas.openxmlformats.org/officeDocument/2006/relationships/hyperlink" Target="http://red-dot.org" TargetMode="External"/><Relationship Id="rId153" Type="http://schemas.openxmlformats.org/officeDocument/2006/relationships/hyperlink" Target="https://www.red-dot.org/magazine/interview-with-jung-von-matt" TargetMode="External"/><Relationship Id="rId152" Type="http://schemas.openxmlformats.org/officeDocument/2006/relationships/hyperlink" Target="http://rajeshjain.com" TargetMode="External"/><Relationship Id="rId151" Type="http://schemas.openxmlformats.org/officeDocument/2006/relationships/hyperlink" Target="https://rajeshjain.com/progency-the-ai-first-agency-of-the-future/" TargetMode="External"/><Relationship Id="rId158" Type="http://schemas.openxmlformats.org/officeDocument/2006/relationships/hyperlink" Target="http://reuters.com" TargetMode="External"/><Relationship Id="rId157" Type="http://schemas.openxmlformats.org/officeDocument/2006/relationships/hyperlink" Target="https://www.reuters.com/business/media-telecom/frances-publicis-buy-us-data-firm-liveramp-22-billion-2026-05-17/" TargetMode="External"/><Relationship Id="rId156" Type="http://schemas.openxmlformats.org/officeDocument/2006/relationships/hyperlink" Target="http://reply.com" TargetMode="External"/><Relationship Id="rId155" Type="http://schemas.openxmlformats.org/officeDocument/2006/relationships/hyperlink" Target="https://www.reply.com/en/newsroom/news/luenendonk-dxs-study-2025" TargetMode="External"/><Relationship Id="rId107" Type="http://schemas.openxmlformats.org/officeDocument/2006/relationships/hyperlink" Target="https://www.experian.com/blogs/marketing-forward/first-party-data-activation-2026/" TargetMode="External"/><Relationship Id="rId106" Type="http://schemas.openxmlformats.org/officeDocument/2006/relationships/hyperlink" Target="http://emarketer.com" TargetMode="External"/><Relationship Id="rId105" Type="http://schemas.openxmlformats.org/officeDocument/2006/relationships/hyperlink" Target="https://www.emarketer.com/content/faq-on-ai-media-buying--platform-tools--agency-strategy--how-win-2026" TargetMode="External"/><Relationship Id="rId104" Type="http://schemas.openxmlformats.org/officeDocument/2006/relationships/hyperlink" Target="http://directiveconsulting.com" TargetMode="External"/><Relationship Id="rId109" Type="http://schemas.openxmlformats.org/officeDocument/2006/relationships/hyperlink" Target="https://www.fortismedia.com/en/articles/roi-marketing-agency/" TargetMode="External"/><Relationship Id="rId108" Type="http://schemas.openxmlformats.org/officeDocument/2006/relationships/hyperlink" Target="http://experian.com" TargetMode="External"/><Relationship Id="rId103" Type="http://schemas.openxmlformats.org/officeDocument/2006/relationships/hyperlink" Target="https://directiveconsulting.com/blog/creative-strategy-agency/" TargetMode="External"/><Relationship Id="rId102" Type="http://schemas.openxmlformats.org/officeDocument/2006/relationships/hyperlink" Target="http://digitalrhetoric.in" TargetMode="External"/><Relationship Id="rId101" Type="http://schemas.openxmlformats.org/officeDocument/2006/relationships/hyperlink" Target="https://digitalrhetoric.in/which-digital-marketing-agency-offers-the-best-roi-for-small-businesses/" TargetMode="External"/><Relationship Id="rId100" Type="http://schemas.openxmlformats.org/officeDocument/2006/relationships/hyperlink" Target="http://deptagency.com" TargetMode="External"/><Relationship Id="rId129" Type="http://schemas.openxmlformats.org/officeDocument/2006/relationships/hyperlink" Target="https://www.krick.com/unternehmen/news/auch-2026-krickcom-ist-erneut-google-premier-partner" TargetMode="External"/><Relationship Id="rId128" Type="http://schemas.openxmlformats.org/officeDocument/2006/relationships/hyperlink" Target="http://jaeckert-odaniel.com" TargetMode="External"/><Relationship Id="rId127" Type="http://schemas.openxmlformats.org/officeDocument/2006/relationships/hyperlink" Target="https://www.jaeckert-odaniel.com/en/geo-case-study-46-7-ai-visibility-in-7-days/" TargetMode="External"/><Relationship Id="rId126" Type="http://schemas.openxmlformats.org/officeDocument/2006/relationships/hyperlink" Target="http://incubeta.com" TargetMode="External"/><Relationship Id="rId121" Type="http://schemas.openxmlformats.org/officeDocument/2006/relationships/hyperlink" Target="http://imrg.org" TargetMode="External"/><Relationship Id="rId120" Type="http://schemas.openxmlformats.org/officeDocument/2006/relationships/hyperlink" Target="https://www.imrg.org/blog/why-incrementality-testing-is-essential-for-multi-channel-retailers/" TargetMode="External"/><Relationship Id="rId125" Type="http://schemas.openxmlformats.org/officeDocument/2006/relationships/hyperlink" Target="https://incubeta.com/our-work/delivering-incrementality-for-superdrug/" TargetMode="External"/><Relationship Id="rId124" Type="http://schemas.openxmlformats.org/officeDocument/2006/relationships/hyperlink" Target="http://incrmntal.com" TargetMode="External"/><Relationship Id="rId123" Type="http://schemas.openxmlformats.org/officeDocument/2006/relationships/hyperlink" Target="https://www.incrmntal.com/resources/incrementality-software" TargetMode="External"/><Relationship Id="rId122" Type="http://schemas.openxmlformats.org/officeDocument/2006/relationships/hyperlink" Target="https://inbeat.agency/blog/incrementality-testing" TargetMode="External"/><Relationship Id="rId118" Type="http://schemas.openxmlformats.org/officeDocument/2006/relationships/hyperlink" Target="https://www.ibusiness.de/aktuell/db/446658jg.html" TargetMode="External"/><Relationship Id="rId117" Type="http://schemas.openxmlformats.org/officeDocument/2006/relationships/hyperlink" Target="http://house-of-communication.com" TargetMode="External"/><Relationship Id="rId116" Type="http://schemas.openxmlformats.org/officeDocument/2006/relationships/hyperlink" Target="https://www.house-of-communication.com/de/de/newsroom/2025/07/serviceplan-group-2024-2025-fiscal-year.html" TargetMode="External"/><Relationship Id="rId115" Type="http://schemas.openxmlformats.org/officeDocument/2006/relationships/hyperlink" Target="http://haus.io" TargetMode="External"/><Relationship Id="rId119" Type="http://schemas.openxmlformats.org/officeDocument/2006/relationships/hyperlink" Target="http://ibusiness.de" TargetMode="External"/><Relationship Id="rId110" Type="http://schemas.openxmlformats.org/officeDocument/2006/relationships/hyperlink" Target="http://fortismedia.com" TargetMode="External"/><Relationship Id="rId114" Type="http://schemas.openxmlformats.org/officeDocument/2006/relationships/hyperlink" Target="https://www.haus.io/article/incrementality-testing-frameworks-for-health-brands" TargetMode="External"/><Relationship Id="rId113" Type="http://schemas.openxmlformats.org/officeDocument/2006/relationships/hyperlink" Target="http://handelsblatt.com" TargetMode="External"/><Relationship Id="rId112" Type="http://schemas.openxmlformats.org/officeDocument/2006/relationships/hyperlink" Target="https://www.handelsblatt.com/adv/firmen/beste-geo-agentur.html" TargetMode="External"/><Relationship Id="rId111" Type="http://schemas.openxmlformats.org/officeDocument/2006/relationships/hyperlink" Target="https://globaldev.tech/case-studies/recruiting-ai-avatar" TargetMode="External"/></Relationships>
</file>

<file path=xl/worksheets/_rels/sheet22.xml.rels><?xml version="1.0" encoding="UTF-8" standalone="yes"?><Relationships xmlns="http://schemas.openxmlformats.org/package/2006/relationships"><Relationship Id="rId392" Type="http://schemas.openxmlformats.org/officeDocument/2006/relationships/hyperlink" Target="https://clutch.co/de/agencies/social-media-marketing?page=3" TargetMode="External"/><Relationship Id="rId391" Type="http://schemas.openxmlformats.org/officeDocument/2006/relationships/hyperlink" Target="http://clutch.co" TargetMode="External"/><Relationship Id="rId390" Type="http://schemas.openxmlformats.org/officeDocument/2006/relationships/hyperlink" Target="https://clutch.co/de/agencies/social-media-marketing/influencer/tiktok" TargetMode="External"/><Relationship Id="rId385" Type="http://schemas.openxmlformats.org/officeDocument/2006/relationships/hyperlink" Target="http://clutch.co" TargetMode="External"/><Relationship Id="rId384" Type="http://schemas.openxmlformats.org/officeDocument/2006/relationships/hyperlink" Target="https://clutch.co/de/agencies/ppc/berlin" TargetMode="External"/><Relationship Id="rId383" Type="http://schemas.openxmlformats.org/officeDocument/2006/relationships/hyperlink" Target="http://clutch.co" TargetMode="External"/><Relationship Id="rId382" Type="http://schemas.openxmlformats.org/officeDocument/2006/relationships/hyperlink" Target="https://clutch.co/de/agencies/market-research/berlin" TargetMode="External"/><Relationship Id="rId389" Type="http://schemas.openxmlformats.org/officeDocument/2006/relationships/hyperlink" Target="http://clutch.co" TargetMode="External"/><Relationship Id="rId388" Type="http://schemas.openxmlformats.org/officeDocument/2006/relationships/hyperlink" Target="https://clutch.co/de/agencies/social-media-marketing/berlin" TargetMode="External"/><Relationship Id="rId387" Type="http://schemas.openxmlformats.org/officeDocument/2006/relationships/hyperlink" Target="http://clutch.co" TargetMode="External"/><Relationship Id="rId386" Type="http://schemas.openxmlformats.org/officeDocument/2006/relationships/hyperlink" Target="https://clutch.co/de/agencies/ppc/google-adwords" TargetMode="External"/><Relationship Id="rId381" Type="http://schemas.openxmlformats.org/officeDocument/2006/relationships/hyperlink" Target="http://clutch.co" TargetMode="External"/><Relationship Id="rId380" Type="http://schemas.openxmlformats.org/officeDocument/2006/relationships/hyperlink" Target="https://clutch.co/de/agencies/digital-marketing?page=3" TargetMode="External"/><Relationship Id="rId379" Type="http://schemas.openxmlformats.org/officeDocument/2006/relationships/hyperlink" Target="http://clutch.co" TargetMode="External"/><Relationship Id="rId374" Type="http://schemas.openxmlformats.org/officeDocument/2006/relationships/hyperlink" Target="https://clutch.co/agencies/performance-marketing" TargetMode="External"/><Relationship Id="rId373" Type="http://schemas.openxmlformats.org/officeDocument/2006/relationships/hyperlink" Target="http://clutch.co" TargetMode="External"/><Relationship Id="rId372" Type="http://schemas.openxmlformats.org/officeDocument/2006/relationships/hyperlink" Target="https://clutch.co/agencies/media-buying" TargetMode="External"/><Relationship Id="rId371" Type="http://schemas.openxmlformats.org/officeDocument/2006/relationships/hyperlink" Target="http://clutch.co" TargetMode="External"/><Relationship Id="rId378" Type="http://schemas.openxmlformats.org/officeDocument/2006/relationships/hyperlink" Target="https://clutch.co/de/agencies/app-marketing" TargetMode="External"/><Relationship Id="rId377" Type="http://schemas.openxmlformats.org/officeDocument/2006/relationships/hyperlink" Target="http://clutch.co" TargetMode="External"/><Relationship Id="rId376" Type="http://schemas.openxmlformats.org/officeDocument/2006/relationships/hyperlink" Target="https://clutch.co/agencies/ppc" TargetMode="External"/><Relationship Id="rId375" Type="http://schemas.openxmlformats.org/officeDocument/2006/relationships/hyperlink" Target="http://clutch.co" TargetMode="External"/><Relationship Id="rId396" Type="http://schemas.openxmlformats.org/officeDocument/2006/relationships/hyperlink" Target="https://www.consulting.de/unternehmensberatungen/unternehmensberatungen-in-deutschland/unternehmensliste/c/kuenstliche-intelligenz/" TargetMode="External"/><Relationship Id="rId395" Type="http://schemas.openxmlformats.org/officeDocument/2006/relationships/hyperlink" Target="http://clutch.co" TargetMode="External"/><Relationship Id="rId394" Type="http://schemas.openxmlformats.org/officeDocument/2006/relationships/hyperlink" Target="https://clutch.co/de/it-services/master-data-management-consulting" TargetMode="External"/><Relationship Id="rId393" Type="http://schemas.openxmlformats.org/officeDocument/2006/relationships/hyperlink" Target="http://clutch.co" TargetMode="External"/><Relationship Id="rId399" Type="http://schemas.openxmlformats.org/officeDocument/2006/relationships/hyperlink" Target="http://ryte.com" TargetMode="External"/><Relationship Id="rId398" Type="http://schemas.openxmlformats.org/officeDocument/2006/relationships/hyperlink" Target="https://de.ryte.com/partner/hire-a-ryte-partner/" TargetMode="External"/><Relationship Id="rId397" Type="http://schemas.openxmlformats.org/officeDocument/2006/relationships/hyperlink" Target="http://consulting.de" TargetMode="External"/><Relationship Id="rId40" Type="http://schemas.openxmlformats.org/officeDocument/2006/relationships/hyperlink" Target="https://www.designrush.com/agency/creative-agencies/de" TargetMode="External"/><Relationship Id="rId42" Type="http://schemas.openxmlformats.org/officeDocument/2006/relationships/hyperlink" Target="https://sourceforge.net/software/incrementality-testing/germany/" TargetMode="External"/><Relationship Id="rId41" Type="http://schemas.openxmlformats.org/officeDocument/2006/relationships/hyperlink" Target="http://designrush.com" TargetMode="External"/><Relationship Id="rId44" Type="http://schemas.openxmlformats.org/officeDocument/2006/relationships/hyperlink" Target="https://agencies.semrush.com/list/advertising/germany/" TargetMode="External"/><Relationship Id="rId43" Type="http://schemas.openxmlformats.org/officeDocument/2006/relationships/hyperlink" Target="http://sourceforge.net" TargetMode="External"/><Relationship Id="rId46" Type="http://schemas.openxmlformats.org/officeDocument/2006/relationships/hyperlink" Target="https://clutch.co/de/agencies/market-research" TargetMode="External"/><Relationship Id="rId45" Type="http://schemas.openxmlformats.org/officeDocument/2006/relationships/hyperlink" Target="http://semrush.com" TargetMode="External"/><Relationship Id="rId48" Type="http://schemas.openxmlformats.org/officeDocument/2006/relationships/hyperlink" Target="https://www.goodfirms.co/advertising-companies/creative/germany" TargetMode="External"/><Relationship Id="rId47" Type="http://schemas.openxmlformats.org/officeDocument/2006/relationships/hyperlink" Target="http://clutch.co" TargetMode="External"/><Relationship Id="rId49" Type="http://schemas.openxmlformats.org/officeDocument/2006/relationships/hyperlink" Target="http://goodfirms.co" TargetMode="External"/><Relationship Id="rId31" Type="http://schemas.openxmlformats.org/officeDocument/2006/relationships/hyperlink" Target="http://clutch.co" TargetMode="External"/><Relationship Id="rId30" Type="http://schemas.openxmlformats.org/officeDocument/2006/relationships/hyperlink" Target="https://clutch.co/de/agencies/creative" TargetMode="External"/><Relationship Id="rId33" Type="http://schemas.openxmlformats.org/officeDocument/2006/relationships/hyperlink" Target="http://sortlist.com" TargetMode="External"/><Relationship Id="rId32" Type="http://schemas.openxmlformats.org/officeDocument/2006/relationships/hyperlink" Target="https://www.sortlist.com/i/s/creative/germany-de" TargetMode="External"/><Relationship Id="rId35" Type="http://schemas.openxmlformats.org/officeDocument/2006/relationships/hyperlink" Target="http://sortlist.com" TargetMode="External"/><Relationship Id="rId34" Type="http://schemas.openxmlformats.org/officeDocument/2006/relationships/hyperlink" Target="https://www.sortlist.com/s/ai-marketing/germany-de" TargetMode="External"/><Relationship Id="rId37" Type="http://schemas.openxmlformats.org/officeDocument/2006/relationships/hyperlink" Target="http://clutch.co" TargetMode="External"/><Relationship Id="rId36" Type="http://schemas.openxmlformats.org/officeDocument/2006/relationships/hyperlink" Target="https://clutch.co/de/consulting/ai" TargetMode="External"/><Relationship Id="rId39" Type="http://schemas.openxmlformats.org/officeDocument/2006/relationships/hyperlink" Target="http://semrush.com" TargetMode="External"/><Relationship Id="rId38" Type="http://schemas.openxmlformats.org/officeDocument/2006/relationships/hyperlink" Target="https://agencies.semrush.com/list/smm/germany/" TargetMode="External"/><Relationship Id="rId20" Type="http://schemas.openxmlformats.org/officeDocument/2006/relationships/hyperlink" Target="https://www.ziya.de/en/locations/deutschland" TargetMode="External"/><Relationship Id="rId22" Type="http://schemas.openxmlformats.org/officeDocument/2006/relationships/hyperlink" Target="https://www.sortlist.com/s/marketing-analytics/germany-de" TargetMode="External"/><Relationship Id="rId21" Type="http://schemas.openxmlformats.org/officeDocument/2006/relationships/hyperlink" Target="http://ziya.de" TargetMode="External"/><Relationship Id="rId24" Type="http://schemas.openxmlformats.org/officeDocument/2006/relationships/hyperlink" Target="https://clutch.co/de/agencies/social-media-marketing" TargetMode="External"/><Relationship Id="rId23" Type="http://schemas.openxmlformats.org/officeDocument/2006/relationships/hyperlink" Target="http://sortlist.com" TargetMode="External"/><Relationship Id="rId26" Type="http://schemas.openxmlformats.org/officeDocument/2006/relationships/hyperlink" Target="https://www.sortlist.com/i/social-media/germany-de" TargetMode="External"/><Relationship Id="rId25" Type="http://schemas.openxmlformats.org/officeDocument/2006/relationships/hyperlink" Target="http://clutch.co" TargetMode="External"/><Relationship Id="rId28" Type="http://schemas.openxmlformats.org/officeDocument/2006/relationships/hyperlink" Target="https://www.sortlist.com/s/paid-media/germany-de" TargetMode="External"/><Relationship Id="rId27" Type="http://schemas.openxmlformats.org/officeDocument/2006/relationships/hyperlink" Target="http://sortlist.com" TargetMode="External"/><Relationship Id="rId29" Type="http://schemas.openxmlformats.org/officeDocument/2006/relationships/hyperlink" Target="http://sortlist.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ai-optimization/germany/" TargetMode="External"/><Relationship Id="rId13" Type="http://schemas.openxmlformats.org/officeDocument/2006/relationships/hyperlink" Target="http://sortlist.com" TargetMode="External"/><Relationship Id="rId12" Type="http://schemas.openxmlformats.org/officeDocument/2006/relationships/hyperlink" Target="https://www.sortlist.com/s/display-advertising/germany-de" TargetMode="External"/><Relationship Id="rId15" Type="http://schemas.openxmlformats.org/officeDocument/2006/relationships/hyperlink" Target="http://goodfirms.co" TargetMode="External"/><Relationship Id="rId14" Type="http://schemas.openxmlformats.org/officeDocument/2006/relationships/hyperlink" Target="https://www.goodfirms.co/directory/country/top-digital-marketing-companies/de" TargetMode="External"/><Relationship Id="rId17" Type="http://schemas.openxmlformats.org/officeDocument/2006/relationships/hyperlink" Target="http://techbehemoths.com" TargetMode="External"/><Relationship Id="rId16" Type="http://schemas.openxmlformats.org/officeDocument/2006/relationships/hyperlink" Target="https://techbehemoths.com/companies/marketing-analytics/germany" TargetMode="External"/><Relationship Id="rId19" Type="http://schemas.openxmlformats.org/officeDocument/2006/relationships/hyperlink" Target="http://sortlist.com" TargetMode="External"/><Relationship Id="rId18" Type="http://schemas.openxmlformats.org/officeDocument/2006/relationships/hyperlink" Target="https://www.sortlist.com/i/digital-marketing/germany-de" TargetMode="External"/><Relationship Id="rId84" Type="http://schemas.openxmlformats.org/officeDocument/2006/relationships/hyperlink" Target="https://ensun.io/search/multi-touch-attribution/germany" TargetMode="External"/><Relationship Id="rId83" Type="http://schemas.openxmlformats.org/officeDocument/2006/relationships/hyperlink" Target="http://clutch.co" TargetMode="External"/><Relationship Id="rId86" Type="http://schemas.openxmlformats.org/officeDocument/2006/relationships/hyperlink" Target="https://slashdot.org/software/incrementality-testing/in-germany/" TargetMode="External"/><Relationship Id="rId85" Type="http://schemas.openxmlformats.org/officeDocument/2006/relationships/hyperlink" Target="http://ensun.io" TargetMode="External"/><Relationship Id="rId88" Type="http://schemas.openxmlformats.org/officeDocument/2006/relationships/hyperlink" Target="https://enterprisemarketingportal.google/work-with-partners" TargetMode="External"/><Relationship Id="rId87" Type="http://schemas.openxmlformats.org/officeDocument/2006/relationships/hyperlink" Target="http://slashdot.org" TargetMode="External"/><Relationship Id="rId89" Type="http://schemas.openxmlformats.org/officeDocument/2006/relationships/hyperlink" Target="https://www.gartner.com/reviews/market/incrementality-measurement-platforms" TargetMode="External"/><Relationship Id="rId80" Type="http://schemas.openxmlformats.org/officeDocument/2006/relationships/hyperlink" Target="https://www.sortlist.de/s/marketing-analytik/deutschland-de" TargetMode="External"/><Relationship Id="rId82" Type="http://schemas.openxmlformats.org/officeDocument/2006/relationships/hyperlink" Target="https://clutch.co/de/agencies/digital" TargetMode="External"/><Relationship Id="rId81" Type="http://schemas.openxmlformats.org/officeDocument/2006/relationships/hyperlink" Target="http://sortlist.de" TargetMode="External"/><Relationship Id="rId73" Type="http://schemas.openxmlformats.org/officeDocument/2006/relationships/hyperlink" Target="http://omr.com" TargetMode="External"/><Relationship Id="rId72" Type="http://schemas.openxmlformats.org/officeDocument/2006/relationships/hyperlink" Target="https://omr.com/de/reviews/service-category/performance-marketing-agenturen" TargetMode="External"/><Relationship Id="rId75" Type="http://schemas.openxmlformats.org/officeDocument/2006/relationships/hyperlink" Target="http://omr.com" TargetMode="External"/><Relationship Id="rId74" Type="http://schemas.openxmlformats.org/officeDocument/2006/relationships/hyperlink" Target="https://omr.com/en/reviews/service-category/geo-agenturen" TargetMode="External"/><Relationship Id="rId77" Type="http://schemas.openxmlformats.org/officeDocument/2006/relationships/hyperlink" Target="http://sortlist.com" TargetMode="External"/><Relationship Id="rId76" Type="http://schemas.openxmlformats.org/officeDocument/2006/relationships/hyperlink" Target="https://www.sortlist.com/s/digital-advertising/germany-de" TargetMode="External"/><Relationship Id="rId79" Type="http://schemas.openxmlformats.org/officeDocument/2006/relationships/hyperlink" Target="http://sortlist.com" TargetMode="External"/><Relationship Id="rId78" Type="http://schemas.openxmlformats.org/officeDocument/2006/relationships/hyperlink" Target="https://www.sortlist.com/s/media-planning/germany-de" TargetMode="External"/><Relationship Id="rId71" Type="http://schemas.openxmlformats.org/officeDocument/2006/relationships/hyperlink" Target="http://clutch.co" TargetMode="External"/><Relationship Id="rId70" Type="http://schemas.openxmlformats.org/officeDocument/2006/relationships/hyperlink" Target="https://clutch.co/de/consulting/ai/strategy" TargetMode="External"/><Relationship Id="rId62" Type="http://schemas.openxmlformats.org/officeDocument/2006/relationships/hyperlink" Target="https://techbehemoths.com/companies/digital-marketing/germany" TargetMode="External"/><Relationship Id="rId61" Type="http://schemas.openxmlformats.org/officeDocument/2006/relationships/hyperlink" Target="http://clutch.co" TargetMode="External"/><Relationship Id="rId64" Type="http://schemas.openxmlformats.org/officeDocument/2006/relationships/hyperlink" Target="https://aeo-copilot.com/partners/agencies/germany/munich" TargetMode="External"/><Relationship Id="rId63" Type="http://schemas.openxmlformats.org/officeDocument/2006/relationships/hyperlink" Target="http://techbehemoths.com" TargetMode="External"/><Relationship Id="rId66" Type="http://schemas.openxmlformats.org/officeDocument/2006/relationships/hyperlink" Target="https://www.maibornwolff.de/en/ai-consulting/" TargetMode="External"/><Relationship Id="rId65" Type="http://schemas.openxmlformats.org/officeDocument/2006/relationships/hyperlink" Target="http://aeo-copilot.com" TargetMode="External"/><Relationship Id="rId68" Type="http://schemas.openxmlformats.org/officeDocument/2006/relationships/hyperlink" Target="https://agencies.semrush.com/list/analytics-data-science/germany/" TargetMode="External"/><Relationship Id="rId67" Type="http://schemas.openxmlformats.org/officeDocument/2006/relationships/hyperlink" Target="http://maibornwolff.de" TargetMode="External"/><Relationship Id="rId60" Type="http://schemas.openxmlformats.org/officeDocument/2006/relationships/hyperlink" Target="https://clutch.co/de/agencies/media-buying" TargetMode="External"/><Relationship Id="rId69" Type="http://schemas.openxmlformats.org/officeDocument/2006/relationships/hyperlink" Target="http://semrush.com" TargetMode="External"/><Relationship Id="rId51" Type="http://schemas.openxmlformats.org/officeDocument/2006/relationships/hyperlink" Target="http://semrush.com" TargetMode="External"/><Relationship Id="rId50" Type="http://schemas.openxmlformats.org/officeDocument/2006/relationships/hyperlink" Target="https://agencies.semrush.com/list/market-analysis/germany/" TargetMode="External"/><Relationship Id="rId53" Type="http://schemas.openxmlformats.org/officeDocument/2006/relationships/hyperlink" Target="http://digitalagencynetwork.com" TargetMode="External"/><Relationship Id="rId52" Type="http://schemas.openxmlformats.org/officeDocument/2006/relationships/hyperlink" Target="https://digitalagencynetwork.com/agencies/berlin/ai-marketing/" TargetMode="External"/><Relationship Id="rId55" Type="http://schemas.openxmlformats.org/officeDocument/2006/relationships/hyperlink" Target="http://greenbook.org" TargetMode="External"/><Relationship Id="rId54" Type="http://schemas.openxmlformats.org/officeDocument/2006/relationships/hyperlink" Target="https://greenbook.org/market-research-companies/germany" TargetMode="External"/><Relationship Id="rId57" Type="http://schemas.openxmlformats.org/officeDocument/2006/relationships/hyperlink" Target="http://clutch.co" TargetMode="External"/><Relationship Id="rId56" Type="http://schemas.openxmlformats.org/officeDocument/2006/relationships/hyperlink" Target="https://clutch.co/de/agencies/business-services-industry" TargetMode="External"/><Relationship Id="rId59" Type="http://schemas.openxmlformats.org/officeDocument/2006/relationships/hyperlink" Target="http://clutch.co" TargetMode="External"/><Relationship Id="rId58" Type="http://schemas.openxmlformats.org/officeDocument/2006/relationships/hyperlink" Target="https://clutch.co/de/agencies/ppc/advertising-industry" TargetMode="External"/><Relationship Id="rId349" Type="http://schemas.openxmlformats.org/officeDocument/2006/relationships/hyperlink" Target="http://semrush.com" TargetMode="External"/><Relationship Id="rId348" Type="http://schemas.openxmlformats.org/officeDocument/2006/relationships/hyperlink" Target="https://agencies.semrush.com/list/business-professional-services/germany/" TargetMode="External"/><Relationship Id="rId347" Type="http://schemas.openxmlformats.org/officeDocument/2006/relationships/hyperlink" Target="http://semrush.com" TargetMode="External"/><Relationship Id="rId346" Type="http://schemas.openxmlformats.org/officeDocument/2006/relationships/hyperlink" Target="https://agencies.semrush.com/de/list/ai-optimization/germany/" TargetMode="External"/><Relationship Id="rId341" Type="http://schemas.openxmlformats.org/officeDocument/2006/relationships/hyperlink" Target="http://sortlist.de" TargetMode="External"/><Relationship Id="rId340" Type="http://schemas.openxmlformats.org/officeDocument/2006/relationships/hyperlink" Target="https://www.sortlist.de/s/ai-marketing/bremen-hb-de" TargetMode="External"/><Relationship Id="rId345" Type="http://schemas.openxmlformats.org/officeDocument/2006/relationships/hyperlink" Target="http://adzine.de" TargetMode="External"/><Relationship Id="rId344" Type="http://schemas.openxmlformats.org/officeDocument/2006/relationships/hyperlink" Target="https://www.adzine.de/techfinder/marketing/attribution/" TargetMode="External"/><Relationship Id="rId343" Type="http://schemas.openxmlformats.org/officeDocument/2006/relationships/hyperlink" Target="http://sortlist.de" TargetMode="External"/><Relationship Id="rId342" Type="http://schemas.openxmlformats.org/officeDocument/2006/relationships/hyperlink" Target="https://www.sortlist.de/s/display-werbung/duesseldorf-de" TargetMode="External"/><Relationship Id="rId338" Type="http://schemas.openxmlformats.org/officeDocument/2006/relationships/hyperlink" Target="https://www.sortlist.com/s/tiktok-advertising/germany-de" TargetMode="External"/><Relationship Id="rId337" Type="http://schemas.openxmlformats.org/officeDocument/2006/relationships/hyperlink" Target="http://sortlist.com" TargetMode="External"/><Relationship Id="rId336" Type="http://schemas.openxmlformats.org/officeDocument/2006/relationships/hyperlink" Target="https://www.sortlist.com/s/online-marketing/germany-de" TargetMode="External"/><Relationship Id="rId335" Type="http://schemas.openxmlformats.org/officeDocument/2006/relationships/hyperlink" Target="http://sortlist.com" TargetMode="External"/><Relationship Id="rId339" Type="http://schemas.openxmlformats.org/officeDocument/2006/relationships/hyperlink" Target="http://sortlist.com" TargetMode="External"/><Relationship Id="rId330" Type="http://schemas.openxmlformats.org/officeDocument/2006/relationships/hyperlink" Target="https://www.sortlist.com/performance-marketing" TargetMode="External"/><Relationship Id="rId334" Type="http://schemas.openxmlformats.org/officeDocument/2006/relationships/hyperlink" Target="https://www.sortlist.com/s/creative-design/germany-de" TargetMode="External"/><Relationship Id="rId333" Type="http://schemas.openxmlformats.org/officeDocument/2006/relationships/hyperlink" Target="http://sortlist.com" TargetMode="External"/><Relationship Id="rId332" Type="http://schemas.openxmlformats.org/officeDocument/2006/relationships/hyperlink" Target="https://www.sortlist.com/s/brand-creation/germany-de" TargetMode="External"/><Relationship Id="rId331" Type="http://schemas.openxmlformats.org/officeDocument/2006/relationships/hyperlink" Target="http://sortlist.com" TargetMode="External"/><Relationship Id="rId370" Type="http://schemas.openxmlformats.org/officeDocument/2006/relationships/hyperlink" Target="https://clutch.co/agencies/experiential?page=9" TargetMode="External"/><Relationship Id="rId369" Type="http://schemas.openxmlformats.org/officeDocument/2006/relationships/hyperlink" Target="http://clutch.co" TargetMode="External"/><Relationship Id="rId368" Type="http://schemas.openxmlformats.org/officeDocument/2006/relationships/hyperlink" Target="https://clutch.co/agencies" TargetMode="External"/><Relationship Id="rId363" Type="http://schemas.openxmlformats.org/officeDocument/2006/relationships/hyperlink" Target="http://agenturtipp.de" TargetMode="External"/><Relationship Id="rId362" Type="http://schemas.openxmlformats.org/officeDocument/2006/relationships/hyperlink" Target="https://www.agenturtipp.de/werbeagenturen/" TargetMode="External"/><Relationship Id="rId361" Type="http://schemas.openxmlformats.org/officeDocument/2006/relationships/hyperlink" Target="http://agencylist.com" TargetMode="External"/><Relationship Id="rId360" Type="http://schemas.openxmlformats.org/officeDocument/2006/relationships/hyperlink" Target="https://agencylist.com/services/analytics-reporting/de/" TargetMode="External"/><Relationship Id="rId367" Type="http://schemas.openxmlformats.org/officeDocument/2006/relationships/hyperlink" Target="http://businessofapps.com" TargetMode="External"/><Relationship Id="rId366" Type="http://schemas.openxmlformats.org/officeDocument/2006/relationships/hyperlink" Target="https://www.businessofapps.com/marketplace/performance-marketing/" TargetMode="External"/><Relationship Id="rId365" Type="http://schemas.openxmlformats.org/officeDocument/2006/relationships/hyperlink" Target="http://batten-company.com" TargetMode="External"/><Relationship Id="rId364" Type="http://schemas.openxmlformats.org/officeDocument/2006/relationships/hyperlink" Target="https://www.batten-company.com/en/about-us/awards/" TargetMode="External"/><Relationship Id="rId95" Type="http://schemas.openxmlformats.org/officeDocument/2006/relationships/hyperlink" Target="https://slashdot.org/software/marketing-attribution/in-germany/" TargetMode="External"/><Relationship Id="rId94" Type="http://schemas.openxmlformats.org/officeDocument/2006/relationships/hyperlink" Target="http://omr.com" TargetMode="External"/><Relationship Id="rId97" Type="http://schemas.openxmlformats.org/officeDocument/2006/relationships/hyperlink" Target="https://www.sortlist.de/s/display-werbung/deutschland-de" TargetMode="External"/><Relationship Id="rId96" Type="http://schemas.openxmlformats.org/officeDocument/2006/relationships/hyperlink" Target="http://slashdot.org" TargetMode="External"/><Relationship Id="rId99" Type="http://schemas.openxmlformats.org/officeDocument/2006/relationships/hyperlink" Target="https://clutch.co/de/agencies/branding" TargetMode="External"/><Relationship Id="rId98" Type="http://schemas.openxmlformats.org/officeDocument/2006/relationships/hyperlink" Target="http://sortlist.de" TargetMode="External"/><Relationship Id="rId91" Type="http://schemas.openxmlformats.org/officeDocument/2006/relationships/hyperlink" Target="https://agencyvista.com/lists/google-marketing-platform-sales-partners/" TargetMode="External"/><Relationship Id="rId90" Type="http://schemas.openxmlformats.org/officeDocument/2006/relationships/hyperlink" Target="http://gartner.com" TargetMode="External"/><Relationship Id="rId93" Type="http://schemas.openxmlformats.org/officeDocument/2006/relationships/hyperlink" Target="https://omr.com/en/reviews/service-category/performance-marketing-agenturen/berlin" TargetMode="External"/><Relationship Id="rId92" Type="http://schemas.openxmlformats.org/officeDocument/2006/relationships/hyperlink" Target="http://agencyvista.com" TargetMode="External"/><Relationship Id="rId359" Type="http://schemas.openxmlformats.org/officeDocument/2006/relationships/hyperlink" Target="http://semrush.com" TargetMode="External"/><Relationship Id="rId358" Type="http://schemas.openxmlformats.org/officeDocument/2006/relationships/hyperlink" Target="https://agencies.semrush.com/list/ppc/munich/" TargetMode="External"/><Relationship Id="rId357" Type="http://schemas.openxmlformats.org/officeDocument/2006/relationships/hyperlink" Target="http://semrush.com" TargetMode="External"/><Relationship Id="rId352" Type="http://schemas.openxmlformats.org/officeDocument/2006/relationships/hyperlink" Target="https://agencies.semrush.com/list/llm-optimization/germany/mid-business/" TargetMode="External"/><Relationship Id="rId351" Type="http://schemas.openxmlformats.org/officeDocument/2006/relationships/hyperlink" Target="http://semrush.com" TargetMode="External"/><Relationship Id="rId350" Type="http://schemas.openxmlformats.org/officeDocument/2006/relationships/hyperlink" Target="https://agencies.semrush.com/list/facebook-advertising/germany/" TargetMode="External"/><Relationship Id="rId356" Type="http://schemas.openxmlformats.org/officeDocument/2006/relationships/hyperlink" Target="https://agencies.semrush.com/list/machine-learning-and-ai/germany/mid-business/" TargetMode="External"/><Relationship Id="rId355" Type="http://schemas.openxmlformats.org/officeDocument/2006/relationships/hyperlink" Target="http://semrush.com" TargetMode="External"/><Relationship Id="rId354" Type="http://schemas.openxmlformats.org/officeDocument/2006/relationships/hyperlink" Target="https://agencies.semrush.com/list/los-angeles/" TargetMode="External"/><Relationship Id="rId353" Type="http://schemas.openxmlformats.org/officeDocument/2006/relationships/hyperlink" Target="http://semrush.com" TargetMode="External"/><Relationship Id="rId305" Type="http://schemas.openxmlformats.org/officeDocument/2006/relationships/hyperlink" Target="http://agencyvista.com" TargetMode="External"/><Relationship Id="rId304" Type="http://schemas.openxmlformats.org/officeDocument/2006/relationships/hyperlink" Target="https://agencyvista.com/lists/google-marketing-platform-sales-partners/page/2/" TargetMode="External"/><Relationship Id="rId303" Type="http://schemas.openxmlformats.org/officeDocument/2006/relationships/hyperlink" Target="http://semrush.com" TargetMode="External"/><Relationship Id="rId302" Type="http://schemas.openxmlformats.org/officeDocument/2006/relationships/hyperlink" Target="https://agencies.semrush.com/list/analytics-data-science/germany/enterprise-business/" TargetMode="External"/><Relationship Id="rId309" Type="http://schemas.openxmlformats.org/officeDocument/2006/relationships/hyperlink" Target="http://clutch.co" TargetMode="External"/><Relationship Id="rId308" Type="http://schemas.openxmlformats.org/officeDocument/2006/relationships/hyperlink" Target="https://clutch.co/de/agencies/digital-marketing/ecommerce-industry/berlin" TargetMode="External"/><Relationship Id="rId307" Type="http://schemas.openxmlformats.org/officeDocument/2006/relationships/hyperlink" Target="http://com.de" TargetMode="External"/><Relationship Id="rId306" Type="http://schemas.openxmlformats.org/officeDocument/2006/relationships/hyperlink" Target="https://www.capterra.com.de/directory/31081/marketing-attribution/software" TargetMode="External"/><Relationship Id="rId301" Type="http://schemas.openxmlformats.org/officeDocument/2006/relationships/hyperlink" Target="http://ziya.de" TargetMode="External"/><Relationship Id="rId300" Type="http://schemas.openxmlformats.org/officeDocument/2006/relationships/hyperlink" Target="https://www.ziya.de/en/locations/berlin" TargetMode="External"/><Relationship Id="rId327" Type="http://schemas.openxmlformats.org/officeDocument/2006/relationships/hyperlink" Target="http://omr.com" TargetMode="External"/><Relationship Id="rId326" Type="http://schemas.openxmlformats.org/officeDocument/2006/relationships/hyperlink" Target="https://omr.com/en/reviews/service-category/google-ads-agencies" TargetMode="External"/><Relationship Id="rId325" Type="http://schemas.openxmlformats.org/officeDocument/2006/relationships/hyperlink" Target="http://omr.com" TargetMode="External"/><Relationship Id="rId324" Type="http://schemas.openxmlformats.org/officeDocument/2006/relationships/hyperlink" Target="https://omr.com/de/reviews/service-category/data-analytics-beratung" TargetMode="External"/><Relationship Id="rId329" Type="http://schemas.openxmlformats.org/officeDocument/2006/relationships/hyperlink" Target="http://scopicstudios.com" TargetMode="External"/><Relationship Id="rId328" Type="http://schemas.openxmlformats.org/officeDocument/2006/relationships/hyperlink" Target="https://scopicstudios.com/blog/best-incrementality-testing-tools-2026/" TargetMode="External"/><Relationship Id="rId323" Type="http://schemas.openxmlformats.org/officeDocument/2006/relationships/hyperlink" Target="http://google.de" TargetMode="External"/><Relationship Id="rId322" Type="http://schemas.openxmlformats.org/officeDocument/2006/relationships/hyperlink" Target="https://www.google.de/intl/en/ads/publisher/partners/find-a-partner/" TargetMode="External"/><Relationship Id="rId321" Type="http://schemas.openxmlformats.org/officeDocument/2006/relationships/hyperlink" Target="http://google.de" TargetMode="External"/><Relationship Id="rId320" Type="http://schemas.openxmlformats.org/officeDocument/2006/relationships/hyperlink" Target="https://www.google.de/intl/de/ads/publisher/partners/work-with-a-partner/" TargetMode="External"/><Relationship Id="rId316" Type="http://schemas.openxmlformats.org/officeDocument/2006/relationships/hyperlink" Target="https://digitalagencynetwork.com/agencies/berlin/creative/" TargetMode="External"/><Relationship Id="rId315" Type="http://schemas.openxmlformats.org/officeDocument/2006/relationships/hyperlink" Target="http://clutch.co" TargetMode="External"/><Relationship Id="rId314" Type="http://schemas.openxmlformats.org/officeDocument/2006/relationships/hyperlink" Target="https://clutch.co/de/it-services/analytics" TargetMode="External"/><Relationship Id="rId313" Type="http://schemas.openxmlformats.org/officeDocument/2006/relationships/hyperlink" Target="http://clutch.co" TargetMode="External"/><Relationship Id="rId319" Type="http://schemas.openxmlformats.org/officeDocument/2006/relationships/hyperlink" Target="http://feedbax.ai" TargetMode="External"/><Relationship Id="rId318" Type="http://schemas.openxmlformats.org/officeDocument/2006/relationships/hyperlink" Target="https://feedbax.ai/performance-marketing" TargetMode="External"/><Relationship Id="rId317" Type="http://schemas.openxmlformats.org/officeDocument/2006/relationships/hyperlink" Target="http://digitalagencynetwork.com" TargetMode="External"/><Relationship Id="rId312" Type="http://schemas.openxmlformats.org/officeDocument/2006/relationships/hyperlink" Target="https://clutch.co/de/agencies/social-media-marketing/tik-tok" TargetMode="External"/><Relationship Id="rId311" Type="http://schemas.openxmlformats.org/officeDocument/2006/relationships/hyperlink" Target="http://clutch.co" TargetMode="External"/><Relationship Id="rId310" Type="http://schemas.openxmlformats.org/officeDocument/2006/relationships/hyperlink" Target="https://clutch.co/de/agencies/digital-marketing/munich" TargetMode="External"/><Relationship Id="rId297" Type="http://schemas.openxmlformats.org/officeDocument/2006/relationships/hyperlink" Target="http://sortlist.de" TargetMode="External"/><Relationship Id="rId296" Type="http://schemas.openxmlformats.org/officeDocument/2006/relationships/hyperlink" Target="https://www.sortlist.de/s/instagram-werbung/deutschland-de" TargetMode="External"/><Relationship Id="rId295" Type="http://schemas.openxmlformats.org/officeDocument/2006/relationships/hyperlink" Target="http://sortlist.de" TargetMode="External"/><Relationship Id="rId294" Type="http://schemas.openxmlformats.org/officeDocument/2006/relationships/hyperlink" Target="https://www.sortlist.de/s/big-data-marketing/deutschland-de" TargetMode="External"/><Relationship Id="rId299" Type="http://schemas.openxmlformats.org/officeDocument/2006/relationships/hyperlink" Target="http://themanifest.com" TargetMode="External"/><Relationship Id="rId298" Type="http://schemas.openxmlformats.org/officeDocument/2006/relationships/hyperlink" Target="https://themanifest.com/de/digital/agencies" TargetMode="External"/><Relationship Id="rId271" Type="http://schemas.openxmlformats.org/officeDocument/2006/relationships/hyperlink" Target="http://clutch.co" TargetMode="External"/><Relationship Id="rId270" Type="http://schemas.openxmlformats.org/officeDocument/2006/relationships/hyperlink" Target="https://clutch.co/de/seo-firms/international" TargetMode="External"/><Relationship Id="rId269" Type="http://schemas.openxmlformats.org/officeDocument/2006/relationships/hyperlink" Target="http://clutch.co" TargetMode="External"/><Relationship Id="rId264" Type="http://schemas.openxmlformats.org/officeDocument/2006/relationships/hyperlink" Target="https://agencies.semrush.com/list/display-advertising/arts-entertainment/germany/" TargetMode="External"/><Relationship Id="rId263" Type="http://schemas.openxmlformats.org/officeDocument/2006/relationships/hyperlink" Target="http://semrush.com" TargetMode="External"/><Relationship Id="rId262" Type="http://schemas.openxmlformats.org/officeDocument/2006/relationships/hyperlink" Target="https://agencies.semrush.com/list/content-marketing/business-professional-services/germany/" TargetMode="External"/><Relationship Id="rId261" Type="http://schemas.openxmlformats.org/officeDocument/2006/relationships/hyperlink" Target="http://werbeagentur.de" TargetMode="External"/><Relationship Id="rId268" Type="http://schemas.openxmlformats.org/officeDocument/2006/relationships/hyperlink" Target="https://clutch.co/de/agencies/demand-generation-marketing" TargetMode="External"/><Relationship Id="rId267" Type="http://schemas.openxmlformats.org/officeDocument/2006/relationships/hyperlink" Target="http://semrush.com" TargetMode="External"/><Relationship Id="rId266" Type="http://schemas.openxmlformats.org/officeDocument/2006/relationships/hyperlink" Target="https://agencies.semrush.com/list/llm-optimization/germany/" TargetMode="External"/><Relationship Id="rId265" Type="http://schemas.openxmlformats.org/officeDocument/2006/relationships/hyperlink" Target="http://semrush.com" TargetMode="External"/><Relationship Id="rId260" Type="http://schemas.openxmlformats.org/officeDocument/2006/relationships/hyperlink" Target="https://www.werbeagentur.de/en/scoring/performance-marketing" TargetMode="External"/><Relationship Id="rId259" Type="http://schemas.openxmlformats.org/officeDocument/2006/relationships/hyperlink" Target="http://werbeagentur.de" TargetMode="External"/><Relationship Id="rId258" Type="http://schemas.openxmlformats.org/officeDocument/2006/relationships/hyperlink" Target="https://www.werbeagentur.de/de/scoring/performance-marketing" TargetMode="External"/><Relationship Id="rId253" Type="http://schemas.openxmlformats.org/officeDocument/2006/relationships/hyperlink" Target="http://sortlist.de" TargetMode="External"/><Relationship Id="rId252" Type="http://schemas.openxmlformats.org/officeDocument/2006/relationships/hyperlink" Target="https://www.sortlist.de/s/google-analytics/deutschland-de" TargetMode="External"/><Relationship Id="rId251" Type="http://schemas.openxmlformats.org/officeDocument/2006/relationships/hyperlink" Target="http://sortlist.de" TargetMode="External"/><Relationship Id="rId250" Type="http://schemas.openxmlformats.org/officeDocument/2006/relationships/hyperlink" Target="https://www.sortlist.de/s/ai-marketing/muenchen-by-de" TargetMode="External"/><Relationship Id="rId257" Type="http://schemas.openxmlformats.org/officeDocument/2006/relationships/hyperlink" Target="http://think11.de" TargetMode="External"/><Relationship Id="rId256" Type="http://schemas.openxmlformats.org/officeDocument/2006/relationships/hyperlink" Target="https://think11.de/unternehmen/zertifikate/" TargetMode="External"/><Relationship Id="rId255" Type="http://schemas.openxmlformats.org/officeDocument/2006/relationships/hyperlink" Target="http://sortlist.de" TargetMode="External"/><Relationship Id="rId254" Type="http://schemas.openxmlformats.org/officeDocument/2006/relationships/hyperlink" Target="https://www.sortlist.de/s/programmatic-advertising/deutschland-de" TargetMode="External"/><Relationship Id="rId293" Type="http://schemas.openxmlformats.org/officeDocument/2006/relationships/hyperlink" Target="http://sortlist.de" TargetMode="External"/><Relationship Id="rId292" Type="http://schemas.openxmlformats.org/officeDocument/2006/relationships/hyperlink" Target="https://www.sortlist.de/s/ai-marketing/berlin-de" TargetMode="External"/><Relationship Id="rId291" Type="http://schemas.openxmlformats.org/officeDocument/2006/relationships/hyperlink" Target="http://sortlist.com" TargetMode="External"/><Relationship Id="rId290" Type="http://schemas.openxmlformats.org/officeDocument/2006/relationships/hyperlink" Target="https://www.sortlist.com/s/programmatic-advertising/germany-de" TargetMode="External"/><Relationship Id="rId286" Type="http://schemas.openxmlformats.org/officeDocument/2006/relationships/hyperlink" Target="https://www.sortlist.com/i/s/creative/berlin-de" TargetMode="External"/><Relationship Id="rId285" Type="http://schemas.openxmlformats.org/officeDocument/2006/relationships/hyperlink" Target="http://sem-deutschland.de" TargetMode="External"/><Relationship Id="rId284" Type="http://schemas.openxmlformats.org/officeDocument/2006/relationships/hyperlink" Target="https://www.sem-deutschland.de/seo-glossar/generative-engine-optimierung-agentur-llmo-agentur/" TargetMode="External"/><Relationship Id="rId283" Type="http://schemas.openxmlformats.org/officeDocument/2006/relationships/hyperlink" Target="http://oneclub.org" TargetMode="External"/><Relationship Id="rId289" Type="http://schemas.openxmlformats.org/officeDocument/2006/relationships/hyperlink" Target="http://sortlist.com" TargetMode="External"/><Relationship Id="rId288" Type="http://schemas.openxmlformats.org/officeDocument/2006/relationships/hyperlink" Target="https://www.sortlist.com/s/display-advertising/munich-by-de" TargetMode="External"/><Relationship Id="rId287" Type="http://schemas.openxmlformats.org/officeDocument/2006/relationships/hyperlink" Target="http://sortlist.com" TargetMode="External"/><Relationship Id="rId282" Type="http://schemas.openxmlformats.org/officeDocument/2006/relationships/hyperlink" Target="https://www.oneclub.org/awards/adcawards/-archive/agency/2024/38/all/2/208" TargetMode="External"/><Relationship Id="rId281" Type="http://schemas.openxmlformats.org/officeDocument/2006/relationships/hyperlink" Target="http://omt.de" TargetMode="External"/><Relationship Id="rId280" Type="http://schemas.openxmlformats.org/officeDocument/2006/relationships/hyperlink" Target="https://www.omt.de/agentur-finden/ki-agentur/" TargetMode="External"/><Relationship Id="rId275" Type="http://schemas.openxmlformats.org/officeDocument/2006/relationships/hyperlink" Target="http://google.com" TargetMode="External"/><Relationship Id="rId274" Type="http://schemas.openxmlformats.org/officeDocument/2006/relationships/hyperlink" Target="https://marketingplatform.google.com/about/partners/?authuser=1" TargetMode="External"/><Relationship Id="rId273" Type="http://schemas.openxmlformats.org/officeDocument/2006/relationships/hyperlink" Target="http://deloitte.com" TargetMode="External"/><Relationship Id="rId272" Type="http://schemas.openxmlformats.org/officeDocument/2006/relationships/hyperlink" Target="https://www.deloitte.com/de/de/services/consulting/services/ki-transformation.html" TargetMode="External"/><Relationship Id="rId279" Type="http://schemas.openxmlformats.org/officeDocument/2006/relationships/hyperlink" Target="http://omt.de" TargetMode="External"/><Relationship Id="rId278" Type="http://schemas.openxmlformats.org/officeDocument/2006/relationships/hyperlink" Target="https://www.omt.de/agentur-finden/google-agentur/" TargetMode="External"/><Relationship Id="rId277" Type="http://schemas.openxmlformats.org/officeDocument/2006/relationships/hyperlink" Target="http://omr.com" TargetMode="External"/><Relationship Id="rId276" Type="http://schemas.openxmlformats.org/officeDocument/2006/relationships/hyperlink" Target="https://omr.com/en/reviews/service-category/performance-marketing-agenturen/frankfurt-am-main-82cbde3b-e695-4572-b23f-a50592fba3d4" TargetMode="External"/><Relationship Id="rId228" Type="http://schemas.openxmlformats.org/officeDocument/2006/relationships/hyperlink" Target="https://sourceforge.net/software/ai-marketing/germany/" TargetMode="External"/><Relationship Id="rId227" Type="http://schemas.openxmlformats.org/officeDocument/2006/relationships/hyperlink" Target="http://sortlist.de" TargetMode="External"/><Relationship Id="rId226" Type="http://schemas.openxmlformats.org/officeDocument/2006/relationships/hyperlink" Target="https://www.sortlist.de/web-analytics/deutschland-de" TargetMode="External"/><Relationship Id="rId225" Type="http://schemas.openxmlformats.org/officeDocument/2006/relationships/hyperlink" Target="http://sortlist.de" TargetMode="External"/><Relationship Id="rId229" Type="http://schemas.openxmlformats.org/officeDocument/2006/relationships/hyperlink" Target="http://sourceforge.net" TargetMode="External"/><Relationship Id="rId220" Type="http://schemas.openxmlformats.org/officeDocument/2006/relationships/hyperlink" Target="https://partnersdirectory.withgoogle.com/intl/de/" TargetMode="External"/><Relationship Id="rId224" Type="http://schemas.openxmlformats.org/officeDocument/2006/relationships/hyperlink" Target="https://www.sortlist.de/s/attributionsmarketing/deutschland-de" TargetMode="External"/><Relationship Id="rId223" Type="http://schemas.openxmlformats.org/officeDocument/2006/relationships/hyperlink" Target="http://sortlist.com" TargetMode="External"/><Relationship Id="rId222" Type="http://schemas.openxmlformats.org/officeDocument/2006/relationships/hyperlink" Target="https://www.sortlist.com/s/artificial-intelligence/munich-by-de" TargetMode="External"/><Relationship Id="rId221" Type="http://schemas.openxmlformats.org/officeDocument/2006/relationships/hyperlink" Target="http://withgoogle.com" TargetMode="External"/><Relationship Id="rId217" Type="http://schemas.openxmlformats.org/officeDocument/2006/relationships/hyperlink" Target="http://designrush.com" TargetMode="External"/><Relationship Id="rId216" Type="http://schemas.openxmlformats.org/officeDocument/2006/relationships/hyperlink" Target="https://www.designrush.com/agency/ai-companies/de" TargetMode="External"/><Relationship Id="rId215" Type="http://schemas.openxmlformats.org/officeDocument/2006/relationships/hyperlink" Target="http://clutch.co" TargetMode="External"/><Relationship Id="rId214" Type="http://schemas.openxmlformats.org/officeDocument/2006/relationships/hyperlink" Target="https://clutch.co/de/developers/artificial-intelligence/generative" TargetMode="External"/><Relationship Id="rId219" Type="http://schemas.openxmlformats.org/officeDocument/2006/relationships/hyperlink" Target="http://google.com" TargetMode="External"/><Relationship Id="rId218" Type="http://schemas.openxmlformats.org/officeDocument/2006/relationships/hyperlink" Target="https://marketingplatform.google.com/about/partners/?hl=de" TargetMode="External"/><Relationship Id="rId213" Type="http://schemas.openxmlformats.org/officeDocument/2006/relationships/hyperlink" Target="http://clutch.co" TargetMode="External"/><Relationship Id="rId212" Type="http://schemas.openxmlformats.org/officeDocument/2006/relationships/hyperlink" Target="https://clutch.co/de/developers/artificial-intelligence" TargetMode="External"/><Relationship Id="rId211" Type="http://schemas.openxmlformats.org/officeDocument/2006/relationships/hyperlink" Target="http://clutch.co" TargetMode="External"/><Relationship Id="rId210" Type="http://schemas.openxmlformats.org/officeDocument/2006/relationships/hyperlink" Target="https://clutch.co/de/agencies/programmatic" TargetMode="External"/><Relationship Id="rId249" Type="http://schemas.openxmlformats.org/officeDocument/2006/relationships/hyperlink" Target="http://sortlist.de" TargetMode="External"/><Relationship Id="rId248" Type="http://schemas.openxmlformats.org/officeDocument/2006/relationships/hyperlink" Target="https://www.sortlist.de/s/ai-marketing/baden-wuerttemberg-bw-de" TargetMode="External"/><Relationship Id="rId247" Type="http://schemas.openxmlformats.org/officeDocument/2006/relationships/hyperlink" Target="http://sortlist.com" TargetMode="External"/><Relationship Id="rId242" Type="http://schemas.openxmlformats.org/officeDocument/2006/relationships/hyperlink" Target="https://www.sortlist.com/s/b2b-marketing/germany-de" TargetMode="External"/><Relationship Id="rId241" Type="http://schemas.openxmlformats.org/officeDocument/2006/relationships/hyperlink" Target="http://seranking.com" TargetMode="External"/><Relationship Id="rId240" Type="http://schemas.openxmlformats.org/officeDocument/2006/relationships/hyperlink" Target="https://seranking.com/agencies/location/germany/" TargetMode="External"/><Relationship Id="rId246" Type="http://schemas.openxmlformats.org/officeDocument/2006/relationships/hyperlink" Target="https://www.sortlist.com/s/marketing-analytics/berlin-de" TargetMode="External"/><Relationship Id="rId245" Type="http://schemas.openxmlformats.org/officeDocument/2006/relationships/hyperlink" Target="http://sortlist.com" TargetMode="External"/><Relationship Id="rId244" Type="http://schemas.openxmlformats.org/officeDocument/2006/relationships/hyperlink" Target="https://www.sortlist.com/s/google-ads/germany-de" TargetMode="External"/><Relationship Id="rId243" Type="http://schemas.openxmlformats.org/officeDocument/2006/relationships/hyperlink" Target="http://sortlist.com" TargetMode="External"/><Relationship Id="rId239" Type="http://schemas.openxmlformats.org/officeDocument/2006/relationships/hyperlink" Target="http://feedbax.ai" TargetMode="External"/><Relationship Id="rId238" Type="http://schemas.openxmlformats.org/officeDocument/2006/relationships/hyperlink" Target="https://feedbax.ai/performance-marketing/berlin" TargetMode="External"/><Relationship Id="rId237" Type="http://schemas.openxmlformats.org/officeDocument/2006/relationships/hyperlink" Target="http://clutch.co" TargetMode="External"/><Relationship Id="rId236" Type="http://schemas.openxmlformats.org/officeDocument/2006/relationships/hyperlink" Target="https://clutch.co/de/agencies/social-media-marketing/influencer" TargetMode="External"/><Relationship Id="rId231" Type="http://schemas.openxmlformats.org/officeDocument/2006/relationships/hyperlink" Target="http://semrush.com" TargetMode="External"/><Relationship Id="rId230" Type="http://schemas.openxmlformats.org/officeDocument/2006/relationships/hyperlink" Target="https://agencies.semrush.com/list/analytics-data-science/business-professional-services/germany/" TargetMode="External"/><Relationship Id="rId235" Type="http://schemas.openxmlformats.org/officeDocument/2006/relationships/hyperlink" Target="http://artefact.com" TargetMode="External"/><Relationship Id="rId234" Type="http://schemas.openxmlformats.org/officeDocument/2006/relationships/hyperlink" Target="https://www.artefact.com/offers/marketing-data-driven/measurements-mroi-insights/" TargetMode="External"/><Relationship Id="rId233" Type="http://schemas.openxmlformats.org/officeDocument/2006/relationships/hyperlink" Target="http://semrush.com" TargetMode="External"/><Relationship Id="rId232" Type="http://schemas.openxmlformats.org/officeDocument/2006/relationships/hyperlink" Target="https://agencies.semrush.com/list/ppc/germany/" TargetMode="External"/><Relationship Id="rId206" Type="http://schemas.openxmlformats.org/officeDocument/2006/relationships/hyperlink" Target="https://agencies.semrush.com/list/programmatic-advertising/germany/" TargetMode="External"/><Relationship Id="rId205" Type="http://schemas.openxmlformats.org/officeDocument/2006/relationships/hyperlink" Target="http://semrush.com" TargetMode="External"/><Relationship Id="rId204" Type="http://schemas.openxmlformats.org/officeDocument/2006/relationships/hyperlink" Target="https://agencies.semrush.com/list/information-technology/germany/" TargetMode="External"/><Relationship Id="rId203" Type="http://schemas.openxmlformats.org/officeDocument/2006/relationships/hyperlink" Target="http://onetoone.de" TargetMode="External"/><Relationship Id="rId209" Type="http://schemas.openxmlformats.org/officeDocument/2006/relationships/hyperlink" Target="http://clutch.co" TargetMode="External"/><Relationship Id="rId208" Type="http://schemas.openxmlformats.org/officeDocument/2006/relationships/hyperlink" Target="https://clutch.co/agencies/ppc/display" TargetMode="External"/><Relationship Id="rId207" Type="http://schemas.openxmlformats.org/officeDocument/2006/relationships/hyperlink" Target="http://semrush.com" TargetMode="External"/><Relationship Id="rId202" Type="http://schemas.openxmlformats.org/officeDocument/2006/relationships/hyperlink" Target="https://www.onetoone.de/performance-ranking/performance_2024.html" TargetMode="External"/><Relationship Id="rId201" Type="http://schemas.openxmlformats.org/officeDocument/2006/relationships/hyperlink" Target="http://feedbax.ai" TargetMode="External"/><Relationship Id="rId200" Type="http://schemas.openxmlformats.org/officeDocument/2006/relationships/hyperlink" Target="https://feedbax.ai/creative-agencies" TargetMode="External"/><Relationship Id="rId503" Type="http://schemas.openxmlformats.org/officeDocument/2006/relationships/hyperlink" Target="http://usercentrics.com" TargetMode="External"/><Relationship Id="rId502" Type="http://schemas.openxmlformats.org/officeDocument/2006/relationships/hyperlink" Target="https://usercentrics.com/partner-network/" TargetMode="External"/><Relationship Id="rId501" Type="http://schemas.openxmlformats.org/officeDocument/2006/relationships/hyperlink" Target="http://usercentrics.com" TargetMode="External"/><Relationship Id="rId500" Type="http://schemas.openxmlformats.org/officeDocument/2006/relationships/hyperlink" Target="https://usercentrics.com/de/partner/" TargetMode="External"/><Relationship Id="rId506" Type="http://schemas.openxmlformats.org/officeDocument/2006/relationships/drawing" Target="../drawings/drawing22.xml"/><Relationship Id="rId505" Type="http://schemas.openxmlformats.org/officeDocument/2006/relationships/hyperlink" Target="http://wmtips.com" TargetMode="External"/><Relationship Id="rId504" Type="http://schemas.openxmlformats.org/officeDocument/2006/relationships/hyperlink" Target="https://www.wmtips.com/technologies/marketing-attribution/" TargetMode="External"/><Relationship Id="rId495" Type="http://schemas.openxmlformats.org/officeDocument/2006/relationships/hyperlink" Target="http://techradiant.co" TargetMode="External"/><Relationship Id="rId494" Type="http://schemas.openxmlformats.org/officeDocument/2006/relationships/hyperlink" Target="https://techradiant.co/agencies/generative-engine-optimization/" TargetMode="External"/><Relationship Id="rId493" Type="http://schemas.openxmlformats.org/officeDocument/2006/relationships/hyperlink" Target="http://tdwi-konferenz.de" TargetMode="External"/><Relationship Id="rId492" Type="http://schemas.openxmlformats.org/officeDocument/2006/relationships/hyperlink" Target="https://www.tdwi-konferenz.de/de/programm/konferenzprogramm/academic-track-5" TargetMode="External"/><Relationship Id="rId499" Type="http://schemas.openxmlformats.org/officeDocument/2006/relationships/hyperlink" Target="http://thinkwithgoogle.com" TargetMode="External"/><Relationship Id="rId498" Type="http://schemas.openxmlformats.org/officeDocument/2006/relationships/hyperlink" Target="https://www.thinkwithgoogle.com/intl/de-de/marketing-strategien/daten-und-messung/im-interview-mit-der-performance-agentur-hurra-communications/" TargetMode="External"/><Relationship Id="rId497" Type="http://schemas.openxmlformats.org/officeDocument/2006/relationships/hyperlink" Target="http://themanifest.com" TargetMode="External"/><Relationship Id="rId496" Type="http://schemas.openxmlformats.org/officeDocument/2006/relationships/hyperlink" Target="https://themanifest.com/de/social-media/linkedin/agencies" TargetMode="External"/><Relationship Id="rId409" Type="http://schemas.openxmlformats.org/officeDocument/2006/relationships/hyperlink" Target="http://ensun.io" TargetMode="External"/><Relationship Id="rId404" Type="http://schemas.openxmlformats.org/officeDocument/2006/relationships/hyperlink" Target="https://digitalagencynetwork.com/agencies/europe/ai-marketing/" TargetMode="External"/><Relationship Id="rId403" Type="http://schemas.openxmlformats.org/officeDocument/2006/relationships/hyperlink" Target="http://digitalagencynetwork.com" TargetMode="External"/><Relationship Id="rId402" Type="http://schemas.openxmlformats.org/officeDocument/2006/relationships/hyperlink" Target="https://digitalagencynetwork.com/agencies/berlin/social-media-marketing/" TargetMode="External"/><Relationship Id="rId401" Type="http://schemas.openxmlformats.org/officeDocument/2006/relationships/hyperlink" Target="http://designrush.com" TargetMode="External"/><Relationship Id="rId408" Type="http://schemas.openxmlformats.org/officeDocument/2006/relationships/hyperlink" Target="https://ensun.io/search/web-analytics/germany" TargetMode="External"/><Relationship Id="rId407" Type="http://schemas.openxmlformats.org/officeDocument/2006/relationships/hyperlink" Target="http://ensun.io" TargetMode="External"/><Relationship Id="rId406" Type="http://schemas.openxmlformats.org/officeDocument/2006/relationships/hyperlink" Target="https://ensun.io/search/data-analytics/germany" TargetMode="External"/><Relationship Id="rId405" Type="http://schemas.openxmlformats.org/officeDocument/2006/relationships/hyperlink" Target="http://digitalagencynetwork.com" TargetMode="External"/><Relationship Id="rId400" Type="http://schemas.openxmlformats.org/officeDocument/2006/relationships/hyperlink" Target="https://www.designrush.com/agency/digital-marketing/analytics" TargetMode="External"/><Relationship Id="rId469" Type="http://schemas.openxmlformats.org/officeDocument/2006/relationships/hyperlink" Target="http://sortlist.de" TargetMode="External"/><Relationship Id="rId468" Type="http://schemas.openxmlformats.org/officeDocument/2006/relationships/hyperlink" Target="https://www.sortlist.de/s/display-werbung/bayern-by-de" TargetMode="External"/><Relationship Id="rId467" Type="http://schemas.openxmlformats.org/officeDocument/2006/relationships/hyperlink" Target="http://sortlist.com" TargetMode="External"/><Relationship Id="rId462" Type="http://schemas.openxmlformats.org/officeDocument/2006/relationships/hyperlink" Target="https://www.sortlist.com/s/performance-marketing/munich-by-de" TargetMode="External"/><Relationship Id="rId461" Type="http://schemas.openxmlformats.org/officeDocument/2006/relationships/hyperlink" Target="http://sortlist.com" TargetMode="External"/><Relationship Id="rId460" Type="http://schemas.openxmlformats.org/officeDocument/2006/relationships/hyperlink" Target="https://www.sortlist.com/s/performance-marketing/frankfurt-he-de" TargetMode="External"/><Relationship Id="rId466" Type="http://schemas.openxmlformats.org/officeDocument/2006/relationships/hyperlink" Target="https://www.sortlist.com/social-media-optimization" TargetMode="External"/><Relationship Id="rId465" Type="http://schemas.openxmlformats.org/officeDocument/2006/relationships/hyperlink" Target="http://sortlist.com" TargetMode="External"/><Relationship Id="rId464" Type="http://schemas.openxmlformats.org/officeDocument/2006/relationships/hyperlink" Target="https://www.sortlist.com/s/roi-optimization/germany-de" TargetMode="External"/><Relationship Id="rId463" Type="http://schemas.openxmlformats.org/officeDocument/2006/relationships/hyperlink" Target="http://sortlist.com" TargetMode="External"/><Relationship Id="rId459" Type="http://schemas.openxmlformats.org/officeDocument/2006/relationships/hyperlink" Target="http://sortlist.com" TargetMode="External"/><Relationship Id="rId458" Type="http://schemas.openxmlformats.org/officeDocument/2006/relationships/hyperlink" Target="https://www.sortlist.com/s/paid-media/munich-by-de" TargetMode="External"/><Relationship Id="rId457" Type="http://schemas.openxmlformats.org/officeDocument/2006/relationships/hyperlink" Target="http://sortlist.com" TargetMode="External"/><Relationship Id="rId456" Type="http://schemas.openxmlformats.org/officeDocument/2006/relationships/hyperlink" Target="https://www.sortlist.com/s/international-marketing/hamburg-de" TargetMode="External"/><Relationship Id="rId451" Type="http://schemas.openxmlformats.org/officeDocument/2006/relationships/hyperlink" Target="http://sortlist.com" TargetMode="External"/><Relationship Id="rId450" Type="http://schemas.openxmlformats.org/officeDocument/2006/relationships/hyperlink" Target="https://www.sortlist.com/s/artificial-intelligence/hamburg-de" TargetMode="External"/><Relationship Id="rId455" Type="http://schemas.openxmlformats.org/officeDocument/2006/relationships/hyperlink" Target="http://sortlist.com" TargetMode="External"/><Relationship Id="rId454" Type="http://schemas.openxmlformats.org/officeDocument/2006/relationships/hyperlink" Target="https://www.sortlist.com/s/data-driven-marketing/berlin-de" TargetMode="External"/><Relationship Id="rId453" Type="http://schemas.openxmlformats.org/officeDocument/2006/relationships/hyperlink" Target="http://sortlist.com" TargetMode="External"/><Relationship Id="rId452" Type="http://schemas.openxmlformats.org/officeDocument/2006/relationships/hyperlink" Target="https://www.sortlist.com/s/brand-experience/germany-de" TargetMode="External"/><Relationship Id="rId491" Type="http://schemas.openxmlformats.org/officeDocument/2006/relationships/hyperlink" Target="http://superbcompanies.com" TargetMode="External"/><Relationship Id="rId490" Type="http://schemas.openxmlformats.org/officeDocument/2006/relationships/hyperlink" Target="https://superbcompanies.com/categories/digital-marketing-companies-in-germany/" TargetMode="External"/><Relationship Id="rId489" Type="http://schemas.openxmlformats.org/officeDocument/2006/relationships/hyperlink" Target="http://statworx.com" TargetMode="External"/><Relationship Id="rId484" Type="http://schemas.openxmlformats.org/officeDocument/2006/relationships/hyperlink" Target="https://www.statista.com/topics/12476/%25E2%2580%259Cbig-six%25E2%2580%259D-ad-agency-groups-worldwide/" TargetMode="External"/><Relationship Id="rId483" Type="http://schemas.openxmlformats.org/officeDocument/2006/relationships/hyperlink" Target="http://sortlist.de" TargetMode="External"/><Relationship Id="rId482" Type="http://schemas.openxmlformats.org/officeDocument/2006/relationships/hyperlink" Target="https://www.sortlist.de/social-media/deutschland-de" TargetMode="External"/><Relationship Id="rId481" Type="http://schemas.openxmlformats.org/officeDocument/2006/relationships/hyperlink" Target="http://sortlist.de" TargetMode="External"/><Relationship Id="rId488" Type="http://schemas.openxmlformats.org/officeDocument/2006/relationships/hyperlink" Target="https://www.statworx.com/en/ecosystem" TargetMode="External"/><Relationship Id="rId487" Type="http://schemas.openxmlformats.org/officeDocument/2006/relationships/hyperlink" Target="http://statworx.com" TargetMode="External"/><Relationship Id="rId486" Type="http://schemas.openxmlformats.org/officeDocument/2006/relationships/hyperlink" Target="https://www.statworx.com/daten-und-ki-loesungen" TargetMode="External"/><Relationship Id="rId485" Type="http://schemas.openxmlformats.org/officeDocument/2006/relationships/hyperlink" Target="http://statista.com" TargetMode="External"/><Relationship Id="rId480" Type="http://schemas.openxmlformats.org/officeDocument/2006/relationships/hyperlink" Target="https://www.sortlist.de/s/tiktok/deutschland-de?page=2" TargetMode="External"/><Relationship Id="rId479" Type="http://schemas.openxmlformats.org/officeDocument/2006/relationships/hyperlink" Target="http://sortlist.de" TargetMode="External"/><Relationship Id="rId478" Type="http://schemas.openxmlformats.org/officeDocument/2006/relationships/hyperlink" Target="https://www.sortlist.de/s/tiktok/deutschland-de" TargetMode="External"/><Relationship Id="rId473" Type="http://schemas.openxmlformats.org/officeDocument/2006/relationships/hyperlink" Target="http://sortlist.de" TargetMode="External"/><Relationship Id="rId472" Type="http://schemas.openxmlformats.org/officeDocument/2006/relationships/hyperlink" Target="https://www.sortlist.de/s/linkedin-ads/deutschland-de" TargetMode="External"/><Relationship Id="rId471" Type="http://schemas.openxmlformats.org/officeDocument/2006/relationships/hyperlink" Target="http://sortlist.de" TargetMode="External"/><Relationship Id="rId470" Type="http://schemas.openxmlformats.org/officeDocument/2006/relationships/hyperlink" Target="https://www.sortlist.de/s/facebook-advertising/deutschland-de" TargetMode="External"/><Relationship Id="rId477" Type="http://schemas.openxmlformats.org/officeDocument/2006/relationships/hyperlink" Target="http://sortlist.de" TargetMode="External"/><Relationship Id="rId476" Type="http://schemas.openxmlformats.org/officeDocument/2006/relationships/hyperlink" Target="https://www.sortlist.de/s/pay-per-click/deutschland-de" TargetMode="External"/><Relationship Id="rId475" Type="http://schemas.openxmlformats.org/officeDocument/2006/relationships/hyperlink" Target="http://sortlist.de" TargetMode="External"/><Relationship Id="rId474" Type="http://schemas.openxmlformats.org/officeDocument/2006/relationships/hyperlink" Target="https://www.sortlist.de/s/marketing-analytik/hamburg-de" TargetMode="External"/><Relationship Id="rId426" Type="http://schemas.openxmlformats.org/officeDocument/2006/relationships/hyperlink" Target="https://www.omt.de/agentur-finden/google-ads-agentur/" TargetMode="External"/><Relationship Id="rId425" Type="http://schemas.openxmlformats.org/officeDocument/2006/relationships/hyperlink" Target="http://omr.com" TargetMode="External"/><Relationship Id="rId424" Type="http://schemas.openxmlformats.org/officeDocument/2006/relationships/hyperlink" Target="https://omr.com/de/reviews/service-category/performance-marketing-agenturen/berlin" TargetMode="External"/><Relationship Id="rId423" Type="http://schemas.openxmlformats.org/officeDocument/2006/relationships/hyperlink" Target="http://omr.com" TargetMode="External"/><Relationship Id="rId429" Type="http://schemas.openxmlformats.org/officeDocument/2006/relationships/hyperlink" Target="http://omt.de" TargetMode="External"/><Relationship Id="rId428" Type="http://schemas.openxmlformats.org/officeDocument/2006/relationships/hyperlink" Target="https://www.omt.de/agentur-finden/programmatic-advertising-agentur/" TargetMode="External"/><Relationship Id="rId427" Type="http://schemas.openxmlformats.org/officeDocument/2006/relationships/hyperlink" Target="http://omt.de" TargetMode="External"/><Relationship Id="rId422" Type="http://schemas.openxmlformats.org/officeDocument/2006/relationships/hyperlink" Target="https://omr.com/de/reviews/service-category/google-ads-agencies" TargetMode="External"/><Relationship Id="rId421" Type="http://schemas.openxmlformats.org/officeDocument/2006/relationships/hyperlink" Target="http://goodfirms.co" TargetMode="External"/><Relationship Id="rId420" Type="http://schemas.openxmlformats.org/officeDocument/2006/relationships/hyperlink" Target="https://www.goodfirms.co/directory/city/top-digital-marketing-companies/hamburg" TargetMode="External"/><Relationship Id="rId415" Type="http://schemas.openxmlformats.org/officeDocument/2006/relationships/hyperlink" Target="http://feedbax.ai" TargetMode="External"/><Relationship Id="rId414" Type="http://schemas.openxmlformats.org/officeDocument/2006/relationships/hyperlink" Target="https://feedbax.ai/google-ads" TargetMode="External"/><Relationship Id="rId413" Type="http://schemas.openxmlformats.org/officeDocument/2006/relationships/hyperlink" Target="http://feedbax.ai" TargetMode="External"/><Relationship Id="rId412" Type="http://schemas.openxmlformats.org/officeDocument/2006/relationships/hyperlink" Target="https://feedbax.ai/conversion-optimization" TargetMode="External"/><Relationship Id="rId419" Type="http://schemas.openxmlformats.org/officeDocument/2006/relationships/hyperlink" Target="http://geoagenturen.de" TargetMode="External"/><Relationship Id="rId418" Type="http://schemas.openxmlformats.org/officeDocument/2006/relationships/hyperlink" Target="https://www.geoagenturen.de/berlin" TargetMode="External"/><Relationship Id="rId417" Type="http://schemas.openxmlformats.org/officeDocument/2006/relationships/hyperlink" Target="http://gartner.com" TargetMode="External"/><Relationship Id="rId416" Type="http://schemas.openxmlformats.org/officeDocument/2006/relationships/hyperlink" Target="https://www.gartner.com/reviews/market/b2b-multitouch-attribution-tools" TargetMode="External"/><Relationship Id="rId411" Type="http://schemas.openxmlformats.org/officeDocument/2006/relationships/hyperlink" Target="http://featuredcustomers.com" TargetMode="External"/><Relationship Id="rId410" Type="http://schemas.openxmlformats.org/officeDocument/2006/relationships/hyperlink" Target="https://www.featuredcustomers.com/software/first-party-data-solutions" TargetMode="External"/><Relationship Id="rId448" Type="http://schemas.openxmlformats.org/officeDocument/2006/relationships/hyperlink" Target="https://www.sortlist.com/s/ai-agents/germany-de" TargetMode="External"/><Relationship Id="rId447" Type="http://schemas.openxmlformats.org/officeDocument/2006/relationships/hyperlink" Target="http://sortlist.com" TargetMode="External"/><Relationship Id="rId446" Type="http://schemas.openxmlformats.org/officeDocument/2006/relationships/hyperlink" Target="https://www.sortlist.com/media-planning" TargetMode="External"/><Relationship Id="rId445" Type="http://schemas.openxmlformats.org/officeDocument/2006/relationships/hyperlink" Target="http://sortlist.com" TargetMode="External"/><Relationship Id="rId449" Type="http://schemas.openxmlformats.org/officeDocument/2006/relationships/hyperlink" Target="http://sortlist.com" TargetMode="External"/><Relationship Id="rId440" Type="http://schemas.openxmlformats.org/officeDocument/2006/relationships/hyperlink" Target="https://www.sortlist.com/i/s/big-data-analytics/germany-de" TargetMode="External"/><Relationship Id="rId444" Type="http://schemas.openxmlformats.org/officeDocument/2006/relationships/hyperlink" Target="https://www.sortlist.com/i/s/ppc-marketing/germany-de" TargetMode="External"/><Relationship Id="rId443" Type="http://schemas.openxmlformats.org/officeDocument/2006/relationships/hyperlink" Target="http://sortlist.com" TargetMode="External"/><Relationship Id="rId442" Type="http://schemas.openxmlformats.org/officeDocument/2006/relationships/hyperlink" Target="https://www.sortlist.com/i/s/linkedin-advertising/germany-de" TargetMode="External"/><Relationship Id="rId441" Type="http://schemas.openxmlformats.org/officeDocument/2006/relationships/hyperlink" Target="http://sortlist.com" TargetMode="External"/><Relationship Id="rId437" Type="http://schemas.openxmlformats.org/officeDocument/2006/relationships/hyperlink" Target="http://sortlist.com" TargetMode="External"/><Relationship Id="rId436" Type="http://schemas.openxmlformats.org/officeDocument/2006/relationships/hyperlink" Target="https://www.sortlist.com/de/ai-marketing" TargetMode="External"/><Relationship Id="rId435" Type="http://schemas.openxmlformats.org/officeDocument/2006/relationships/hyperlink" Target="http://product-marketing-agentur.de" TargetMode="External"/><Relationship Id="rId434" Type="http://schemas.openxmlformats.org/officeDocument/2006/relationships/hyperlink" Target="https://product-marketing-agentur.de/performance-marketing" TargetMode="External"/><Relationship Id="rId439" Type="http://schemas.openxmlformats.org/officeDocument/2006/relationships/hyperlink" Target="http://sortlist.com" TargetMode="External"/><Relationship Id="rId438" Type="http://schemas.openxmlformats.org/officeDocument/2006/relationships/hyperlink" Target="https://www.sortlist.com/i/branding/germany-de" TargetMode="External"/><Relationship Id="rId433" Type="http://schemas.openxmlformats.org/officeDocument/2006/relationships/hyperlink" Target="http://oneclub.org" TargetMode="External"/><Relationship Id="rId432" Type="http://schemas.openxmlformats.org/officeDocument/2006/relationships/hyperlink" Target="https://www.oneclub.org/awards/adceurope/-archive/agency/2024/251/all/all/276" TargetMode="External"/><Relationship Id="rId431" Type="http://schemas.openxmlformats.org/officeDocument/2006/relationships/hyperlink" Target="http://oneclub.org" TargetMode="External"/><Relationship Id="rId430" Type="http://schemas.openxmlformats.org/officeDocument/2006/relationships/hyperlink" Target="https://www.oneclub.org/awards/adceurope/-archive/agency/2024/247/all/all/276" TargetMode="External"/><Relationship Id="rId1" Type="http://schemas.openxmlformats.org/officeDocument/2006/relationships/hyperlink" Target="http://clutch.co" TargetMode="External"/><Relationship Id="rId2" Type="http://schemas.openxmlformats.org/officeDocument/2006/relationships/hyperlink" Target="https://clutch.co/de/agencies" TargetMode="External"/><Relationship Id="rId3" Type="http://schemas.openxmlformats.org/officeDocument/2006/relationships/hyperlink" Target="http://clutch.co" TargetMode="External"/><Relationship Id="rId4" Type="http://schemas.openxmlformats.org/officeDocument/2006/relationships/hyperlink" Target="https://www.sortlist.com/s/marketing/germany-de"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designrush.com/agency/digital-marketing/de" TargetMode="External"/><Relationship Id="rId7" Type="http://schemas.openxmlformats.org/officeDocument/2006/relationships/hyperlink" Target="http://designrush.com" TargetMode="External"/><Relationship Id="rId8" Type="http://schemas.openxmlformats.org/officeDocument/2006/relationships/hyperlink" Target="https://www.sortlist.com/s/artificial-intelligence/germany-de" TargetMode="External"/><Relationship Id="rId190" Type="http://schemas.openxmlformats.org/officeDocument/2006/relationships/hyperlink" Target="https://www.goodfirms.co/directory/country/top-digital-marketing-companies/advertising-ppc/germany" TargetMode="External"/><Relationship Id="rId194" Type="http://schemas.openxmlformats.org/officeDocument/2006/relationships/hyperlink" Target="https://www.topdevelopers.co/directory/digital-marketing-agencies-in-germany" TargetMode="External"/><Relationship Id="rId193" Type="http://schemas.openxmlformats.org/officeDocument/2006/relationships/hyperlink" Target="http://sortlist.de" TargetMode="External"/><Relationship Id="rId192" Type="http://schemas.openxmlformats.org/officeDocument/2006/relationships/hyperlink" Target="https://www.sortlist.de/s/bezahlte-media/deutschland-de?page=2" TargetMode="External"/><Relationship Id="rId191" Type="http://schemas.openxmlformats.org/officeDocument/2006/relationships/hyperlink" Target="http://goodfirms.co" TargetMode="External"/><Relationship Id="rId187" Type="http://schemas.openxmlformats.org/officeDocument/2006/relationships/hyperlink" Target="http://ensun.io" TargetMode="External"/><Relationship Id="rId186" Type="http://schemas.openxmlformats.org/officeDocument/2006/relationships/hyperlink" Target="https://ensun.io/search/display-advertising/germany" TargetMode="External"/><Relationship Id="rId185" Type="http://schemas.openxmlformats.org/officeDocument/2006/relationships/hyperlink" Target="http://hubspot.com" TargetMode="External"/><Relationship Id="rId184" Type="http://schemas.openxmlformats.org/officeDocument/2006/relationships/hyperlink" Target="https://ecosystem.hubspot.com/de/marketplace/solutions/marketing-services/germany" TargetMode="External"/><Relationship Id="rId189" Type="http://schemas.openxmlformats.org/officeDocument/2006/relationships/hyperlink" Target="http://feedbax.ai" TargetMode="External"/><Relationship Id="rId188" Type="http://schemas.openxmlformats.org/officeDocument/2006/relationships/hyperlink" Target="https://feedbax.ai/geo-agencies/dach" TargetMode="External"/><Relationship Id="rId183" Type="http://schemas.openxmlformats.org/officeDocument/2006/relationships/hyperlink" Target="http://clutch.co" TargetMode="External"/><Relationship Id="rId182" Type="http://schemas.openxmlformats.org/officeDocument/2006/relationships/hyperlink" Target="https://clutch.co/de/consulting/ai/strategy?page=1" TargetMode="External"/><Relationship Id="rId181" Type="http://schemas.openxmlformats.org/officeDocument/2006/relationships/hyperlink" Target="http://semrush.com" TargetMode="External"/><Relationship Id="rId180" Type="http://schemas.openxmlformats.org/officeDocument/2006/relationships/hyperlink" Target="https://agencies.semrush.com/list/seo/germany/" TargetMode="External"/><Relationship Id="rId176" Type="http://schemas.openxmlformats.org/officeDocument/2006/relationships/hyperlink" Target="https://www.aeodirectory.com/aeo/search/?country=Germany&amp;order_by=industry_sector&amp;page=162" TargetMode="External"/><Relationship Id="rId175" Type="http://schemas.openxmlformats.org/officeDocument/2006/relationships/hyperlink" Target="http://aeo-copilot.com" TargetMode="External"/><Relationship Id="rId174" Type="http://schemas.openxmlformats.org/officeDocument/2006/relationships/hyperlink" Target="https://aeo-copilot.com/partners/agencies/germany/berlin" TargetMode="External"/><Relationship Id="rId173" Type="http://schemas.openxmlformats.org/officeDocument/2006/relationships/hyperlink" Target="http://sortlist.com" TargetMode="External"/><Relationship Id="rId179" Type="http://schemas.openxmlformats.org/officeDocument/2006/relationships/hyperlink" Target="http://aeodirectory.com" TargetMode="External"/><Relationship Id="rId178" Type="http://schemas.openxmlformats.org/officeDocument/2006/relationships/hyperlink" Target="https://www.aeodirectory.com/aeo/search/?country=Germany&amp;order_by=registered_country_name&amp;page=33" TargetMode="External"/><Relationship Id="rId177" Type="http://schemas.openxmlformats.org/officeDocument/2006/relationships/hyperlink" Target="http://aeodirectory.com" TargetMode="External"/><Relationship Id="rId198" Type="http://schemas.openxmlformats.org/officeDocument/2006/relationships/hyperlink" Target="https://clutch.co/de/agencies?page=6" TargetMode="External"/><Relationship Id="rId197" Type="http://schemas.openxmlformats.org/officeDocument/2006/relationships/hyperlink" Target="http://semrush.com" TargetMode="External"/><Relationship Id="rId196" Type="http://schemas.openxmlformats.org/officeDocument/2006/relationships/hyperlink" Target="https://agencies.semrush.com/list/ai-optimization/germany/enterprise-business/" TargetMode="External"/><Relationship Id="rId195" Type="http://schemas.openxmlformats.org/officeDocument/2006/relationships/hyperlink" Target="http://topdevelopers.co" TargetMode="External"/><Relationship Id="rId199" Type="http://schemas.openxmlformats.org/officeDocument/2006/relationships/hyperlink" Target="http://clutch.co" TargetMode="External"/><Relationship Id="rId150" Type="http://schemas.openxmlformats.org/officeDocument/2006/relationships/hyperlink" Target="http://brandcrock.com" TargetMode="External"/><Relationship Id="rId149" Type="http://schemas.openxmlformats.org/officeDocument/2006/relationships/hyperlink" Target="https://www.brandcrock.com/ai-services/" TargetMode="External"/><Relationship Id="rId148" Type="http://schemas.openxmlformats.org/officeDocument/2006/relationships/hyperlink" Target="http://semrush.com" TargetMode="External"/><Relationship Id="rId143" Type="http://schemas.openxmlformats.org/officeDocument/2006/relationships/hyperlink" Target="https://www.sortlist.com/paid-media" TargetMode="External"/><Relationship Id="rId142" Type="http://schemas.openxmlformats.org/officeDocument/2006/relationships/hyperlink" Target="http://sortlist.com" TargetMode="External"/><Relationship Id="rId141" Type="http://schemas.openxmlformats.org/officeDocument/2006/relationships/hyperlink" Target="https://www.sortlist.com/marketing-analytics" TargetMode="External"/><Relationship Id="rId140" Type="http://schemas.openxmlformats.org/officeDocument/2006/relationships/hyperlink" Target="http://marketing-companies-in-germany.com" TargetMode="External"/><Relationship Id="rId147" Type="http://schemas.openxmlformats.org/officeDocument/2006/relationships/hyperlink" Target="https://agencies.semrush.com/list/ai-optimization/germany/small-business/" TargetMode="External"/><Relationship Id="rId146" Type="http://schemas.openxmlformats.org/officeDocument/2006/relationships/hyperlink" Target="http://sourceforge.net" TargetMode="External"/><Relationship Id="rId145" Type="http://schemas.openxmlformats.org/officeDocument/2006/relationships/hyperlink" Target="https://sourceforge.net/software/marketing-attribution/germany/?page=4" TargetMode="External"/><Relationship Id="rId144" Type="http://schemas.openxmlformats.org/officeDocument/2006/relationships/hyperlink" Target="http://sortlist.com" TargetMode="External"/><Relationship Id="rId139" Type="http://schemas.openxmlformats.org/officeDocument/2006/relationships/hyperlink" Target="https://www.marketing-companies-in-germany.com/google-ads" TargetMode="External"/><Relationship Id="rId138" Type="http://schemas.openxmlformats.org/officeDocument/2006/relationships/hyperlink" Target="http://google.de" TargetMode="External"/><Relationship Id="rId137" Type="http://schemas.openxmlformats.org/officeDocument/2006/relationships/hyperlink" Target="https://www.google.de/intl/de/ads/publisher/partners/find-a-partner/" TargetMode="External"/><Relationship Id="rId132" Type="http://schemas.openxmlformats.org/officeDocument/2006/relationships/hyperlink" Target="http://sortlist.com" TargetMode="External"/><Relationship Id="rId131" Type="http://schemas.openxmlformats.org/officeDocument/2006/relationships/hyperlink" Target="https://www.sortlist.com/i/advertising/germany-de" TargetMode="External"/><Relationship Id="rId130" Type="http://schemas.openxmlformats.org/officeDocument/2006/relationships/hyperlink" Target="http://google.com" TargetMode="External"/><Relationship Id="rId136" Type="http://schemas.openxmlformats.org/officeDocument/2006/relationships/hyperlink" Target="http://clutch.co" TargetMode="External"/><Relationship Id="rId135" Type="http://schemas.openxmlformats.org/officeDocument/2006/relationships/hyperlink" Target="https://clutch.co/de/consulting/ai?page=1" TargetMode="External"/><Relationship Id="rId134" Type="http://schemas.openxmlformats.org/officeDocument/2006/relationships/hyperlink" Target="http://semrush.com" TargetMode="External"/><Relationship Id="rId133" Type="http://schemas.openxmlformats.org/officeDocument/2006/relationships/hyperlink" Target="https://agencies.semrush.com/list/ai-optimization/germany/mid-business/" TargetMode="External"/><Relationship Id="rId172" Type="http://schemas.openxmlformats.org/officeDocument/2006/relationships/hyperlink" Target="https://www.sortlist.com/s/sm-analytics/germany-de" TargetMode="External"/><Relationship Id="rId171" Type="http://schemas.openxmlformats.org/officeDocument/2006/relationships/hyperlink" Target="http://sortlist.com" TargetMode="External"/><Relationship Id="rId170" Type="http://schemas.openxmlformats.org/officeDocument/2006/relationships/hyperlink" Target="https://www.sortlist.com/s/marketing-analytics/frankfurt-he-de" TargetMode="External"/><Relationship Id="rId165" Type="http://schemas.openxmlformats.org/officeDocument/2006/relationships/hyperlink" Target="http://designrush.com" TargetMode="External"/><Relationship Id="rId164" Type="http://schemas.openxmlformats.org/officeDocument/2006/relationships/hyperlink" Target="https://www.designrush.com/agency/social-media-marketing/de" TargetMode="External"/><Relationship Id="rId163" Type="http://schemas.openxmlformats.org/officeDocument/2006/relationships/hyperlink" Target="http://clutch.co" TargetMode="External"/><Relationship Id="rId162" Type="http://schemas.openxmlformats.org/officeDocument/2006/relationships/hyperlink" Target="https://clutch.co/de/agencies/ppc/advertising-industry?page=2" TargetMode="External"/><Relationship Id="rId169" Type="http://schemas.openxmlformats.org/officeDocument/2006/relationships/hyperlink" Target="http://sortlist.com" TargetMode="External"/><Relationship Id="rId168" Type="http://schemas.openxmlformats.org/officeDocument/2006/relationships/hyperlink" Target="https://www.sortlist.com/s/international-marketing/germany-de" TargetMode="External"/><Relationship Id="rId167" Type="http://schemas.openxmlformats.org/officeDocument/2006/relationships/hyperlink" Target="http://omr.com" TargetMode="External"/><Relationship Id="rId166" Type="http://schemas.openxmlformats.org/officeDocument/2006/relationships/hyperlink" Target="https://omr.com/en/reviews/service-category/performance-marketing-agenturen" TargetMode="External"/><Relationship Id="rId161" Type="http://schemas.openxmlformats.org/officeDocument/2006/relationships/hyperlink" Target="http://sourceforge.net" TargetMode="External"/><Relationship Id="rId160" Type="http://schemas.openxmlformats.org/officeDocument/2006/relationships/hyperlink" Target="https://sourceforge.net/software/marketing-attribution/germany/?page=2" TargetMode="External"/><Relationship Id="rId159" Type="http://schemas.openxmlformats.org/officeDocument/2006/relationships/hyperlink" Target="http://sortlist.com" TargetMode="External"/><Relationship Id="rId154" Type="http://schemas.openxmlformats.org/officeDocument/2006/relationships/hyperlink" Target="https://www.goodfirms.co/directory/country/top-digital-marketing-companies/market-research/germany" TargetMode="External"/><Relationship Id="rId153" Type="http://schemas.openxmlformats.org/officeDocument/2006/relationships/hyperlink" Target="http://feedbax.de" TargetMode="External"/><Relationship Id="rId152" Type="http://schemas.openxmlformats.org/officeDocument/2006/relationships/hyperlink" Target="https://feedbax.de/ki/deutschland" TargetMode="External"/><Relationship Id="rId151" Type="http://schemas.openxmlformats.org/officeDocument/2006/relationships/hyperlink" Target="https://enterprisemarketingportal.google/find-a-partner" TargetMode="External"/><Relationship Id="rId158" Type="http://schemas.openxmlformats.org/officeDocument/2006/relationships/hyperlink" Target="https://www.sortlist.com/s/marketing-automation/germany-de" TargetMode="External"/><Relationship Id="rId157" Type="http://schemas.openxmlformats.org/officeDocument/2006/relationships/hyperlink" Target="http://omr.com" TargetMode="External"/><Relationship Id="rId156" Type="http://schemas.openxmlformats.org/officeDocument/2006/relationships/hyperlink" Target="https://omr.com/de/reviews/service-category/geo-agenturen" TargetMode="External"/><Relationship Id="rId155" Type="http://schemas.openxmlformats.org/officeDocument/2006/relationships/hyperlink" Target="http://goodfirms.co" TargetMode="External"/><Relationship Id="rId107" Type="http://schemas.openxmlformats.org/officeDocument/2006/relationships/hyperlink" Target="https://www.sortlist.com/s/attribution-marketing/berlin-de" TargetMode="External"/><Relationship Id="rId106" Type="http://schemas.openxmlformats.org/officeDocument/2006/relationships/hyperlink" Target="http://feedbax.de" TargetMode="External"/><Relationship Id="rId105" Type="http://schemas.openxmlformats.org/officeDocument/2006/relationships/hyperlink" Target="https://feedbax.de/performance-marketing-agentur/deutschland" TargetMode="External"/><Relationship Id="rId104" Type="http://schemas.openxmlformats.org/officeDocument/2006/relationships/hyperlink" Target="http://ensun.io" TargetMode="External"/><Relationship Id="rId109" Type="http://schemas.openxmlformats.org/officeDocument/2006/relationships/hyperlink" Target="https://www.sortlist.com/s/attribution-marketing/germany-de" TargetMode="External"/><Relationship Id="rId108" Type="http://schemas.openxmlformats.org/officeDocument/2006/relationships/hyperlink" Target="http://sortlist.com" TargetMode="External"/><Relationship Id="rId103" Type="http://schemas.openxmlformats.org/officeDocument/2006/relationships/hyperlink" Target="https://ensun.io/search/ai-marketing/germany" TargetMode="External"/><Relationship Id="rId102" Type="http://schemas.openxmlformats.org/officeDocument/2006/relationships/hyperlink" Target="http://clutch.co" TargetMode="External"/><Relationship Id="rId101" Type="http://schemas.openxmlformats.org/officeDocument/2006/relationships/hyperlink" Target="https://clutch.co/de/agencies/ppc" TargetMode="External"/><Relationship Id="rId100" Type="http://schemas.openxmlformats.org/officeDocument/2006/relationships/hyperlink" Target="http://clutch.co" TargetMode="External"/><Relationship Id="rId129" Type="http://schemas.openxmlformats.org/officeDocument/2006/relationships/hyperlink" Target="https://www.google.com/ads/publisher/partners/find-a-partner/" TargetMode="External"/><Relationship Id="rId128" Type="http://schemas.openxmlformats.org/officeDocument/2006/relationships/hyperlink" Target="http://ensun.io" TargetMode="External"/><Relationship Id="rId127" Type="http://schemas.openxmlformats.org/officeDocument/2006/relationships/hyperlink" Target="https://ensun.io/search/marketing-analytics/germany" TargetMode="External"/><Relationship Id="rId126" Type="http://schemas.openxmlformats.org/officeDocument/2006/relationships/hyperlink" Target="http://bvdw.org" TargetMode="External"/><Relationship Id="rId121" Type="http://schemas.openxmlformats.org/officeDocument/2006/relationships/hyperlink" Target="https://www.sortlist.com/s/performance-marketing/berlin-de" TargetMode="External"/><Relationship Id="rId120" Type="http://schemas.openxmlformats.org/officeDocument/2006/relationships/hyperlink" Target="http://feedbax.ai" TargetMode="External"/><Relationship Id="rId125" Type="http://schemas.openxmlformats.org/officeDocument/2006/relationships/hyperlink" Target="https://www.bvdw.org/rankings/kreativranking-rankings/" TargetMode="External"/><Relationship Id="rId124" Type="http://schemas.openxmlformats.org/officeDocument/2006/relationships/hyperlink" Target="http://semrush.com" TargetMode="External"/><Relationship Id="rId123" Type="http://schemas.openxmlformats.org/officeDocument/2006/relationships/hyperlink" Target="https://agencies.semrush.com/list/display-advertising/berlin/small-business/" TargetMode="External"/><Relationship Id="rId122" Type="http://schemas.openxmlformats.org/officeDocument/2006/relationships/hyperlink" Target="http://sortlist.com" TargetMode="External"/><Relationship Id="rId118" Type="http://schemas.openxmlformats.org/officeDocument/2006/relationships/hyperlink" Target="http://clutch.co" TargetMode="External"/><Relationship Id="rId117" Type="http://schemas.openxmlformats.org/officeDocument/2006/relationships/hyperlink" Target="https://clutch.co/de/consulting/ai/deployment" TargetMode="External"/><Relationship Id="rId116" Type="http://schemas.openxmlformats.org/officeDocument/2006/relationships/hyperlink" Target="http://clutch.co" TargetMode="External"/><Relationship Id="rId115" Type="http://schemas.openxmlformats.org/officeDocument/2006/relationships/hyperlink" Target="https://clutch.co/de/agencies/conversion-optimization" TargetMode="External"/><Relationship Id="rId119" Type="http://schemas.openxmlformats.org/officeDocument/2006/relationships/hyperlink" Target="https://feedbax.ai/advertising" TargetMode="External"/><Relationship Id="rId110" Type="http://schemas.openxmlformats.org/officeDocument/2006/relationships/hyperlink" Target="http://sortlist.com" TargetMode="External"/><Relationship Id="rId114" Type="http://schemas.openxmlformats.org/officeDocument/2006/relationships/hyperlink" Target="http://semrush.com" TargetMode="External"/><Relationship Id="rId113" Type="http://schemas.openxmlformats.org/officeDocument/2006/relationships/hyperlink" Target="https://agencies.semrush.com/list/machine-learning-and-ai/germany/" TargetMode="External"/><Relationship Id="rId112" Type="http://schemas.openxmlformats.org/officeDocument/2006/relationships/hyperlink" Target="http://themanifest.com" TargetMode="External"/><Relationship Id="rId111" Type="http://schemas.openxmlformats.org/officeDocument/2006/relationships/hyperlink" Target="https://themanifest.com/de/digital-marketing/agencies"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jonas-rashedi.de" TargetMode="External"/><Relationship Id="rId42" Type="http://schemas.openxmlformats.org/officeDocument/2006/relationships/hyperlink" Target="http://jonas-rashedi.de" TargetMode="External"/><Relationship Id="rId41" Type="http://schemas.openxmlformats.org/officeDocument/2006/relationships/hyperlink" Target="https://www.jonas-rashedi.de/wissen/cdp/anbieter-vergleich/" TargetMode="External"/><Relationship Id="rId44" Type="http://schemas.openxmlformats.org/officeDocument/2006/relationships/hyperlink" Target="http://measured.com" TargetMode="External"/><Relationship Id="rId43" Type="http://schemas.openxmlformats.org/officeDocument/2006/relationships/hyperlink" Target="https://www.measured.com/faq/what-are-the-pros-and-cons-of-incrementality-testing-versus-mmm-or-mta/" TargetMode="External"/><Relationship Id="rId46" Type="http://schemas.openxmlformats.org/officeDocument/2006/relationships/hyperlink" Target="http://mingma.io" TargetMode="External"/><Relationship Id="rId45" Type="http://schemas.openxmlformats.org/officeDocument/2006/relationships/hyperlink" Target="https://mingma.io/compare/ai-automation-agencies/" TargetMode="External"/><Relationship Id="rId48" Type="http://schemas.openxmlformats.org/officeDocument/2006/relationships/hyperlink" Target="http://tripuls.de" TargetMode="External"/><Relationship Id="rId47" Type="http://schemas.openxmlformats.org/officeDocument/2006/relationships/hyperlink" Target="https://www.tripuls.de/online-marketing-attribution" TargetMode="External"/><Relationship Id="rId49" Type="http://schemas.openxmlformats.org/officeDocument/2006/relationships/hyperlink" Target="https://vertriebspilot.ai/en/blog/best-german-ai-automation-agencies-2026.html" TargetMode="External"/><Relationship Id="rId31" Type="http://schemas.openxmlformats.org/officeDocument/2006/relationships/hyperlink" Target="https://sellforte.com/about" TargetMode="External"/><Relationship Id="rId30" Type="http://schemas.openxmlformats.org/officeDocument/2006/relationships/hyperlink" Target="http://presenc.ai" TargetMode="External"/><Relationship Id="rId33" Type="http://schemas.openxmlformats.org/officeDocument/2006/relationships/hyperlink" Target="https://www.adoptify.ai/blogs/top-enterprise-ai-adoption-consulting-firms-2026-comparison/" TargetMode="External"/><Relationship Id="rId32" Type="http://schemas.openxmlformats.org/officeDocument/2006/relationships/hyperlink" Target="http://sellforte.com" TargetMode="External"/><Relationship Id="rId35" Type="http://schemas.openxmlformats.org/officeDocument/2006/relationships/hyperlink" Target="https://www.cometly.com/post/multi-touch-attribution-vs-marketing-mix-modeling" TargetMode="External"/><Relationship Id="rId34" Type="http://schemas.openxmlformats.org/officeDocument/2006/relationships/hyperlink" Target="http://adoptify.ai" TargetMode="External"/><Relationship Id="rId37" Type="http://schemas.openxmlformats.org/officeDocument/2006/relationships/hyperlink" Target="https://www.heeet.io/blog/15-best-multi-touch-marketing-attribution-platforms-in-2026-compared-in-depth" TargetMode="External"/><Relationship Id="rId36" Type="http://schemas.openxmlformats.org/officeDocument/2006/relationships/hyperlink" Target="http://cometly.com" TargetMode="External"/><Relationship Id="rId39" Type="http://schemas.openxmlformats.org/officeDocument/2006/relationships/hyperlink" Target="https://www.jonas-rashedi.de/vergleich/customer-data-platform/" TargetMode="External"/><Relationship Id="rId38" Type="http://schemas.openxmlformats.org/officeDocument/2006/relationships/hyperlink" Target="http://heeet.io" TargetMode="External"/><Relationship Id="rId20" Type="http://schemas.openxmlformats.org/officeDocument/2006/relationships/hyperlink" Target="http://feld-m.de" TargetMode="External"/><Relationship Id="rId22" Type="http://schemas.openxmlformats.org/officeDocument/2006/relationships/hyperlink" Target="http://sortlist.de" TargetMode="External"/><Relationship Id="rId21" Type="http://schemas.openxmlformats.org/officeDocument/2006/relationships/hyperlink" Target="https://www.sortlist.de/s/big-data-analytics/deutschland-de" TargetMode="External"/><Relationship Id="rId24" Type="http://schemas.openxmlformats.org/officeDocument/2006/relationships/hyperlink" Target="http://geoagenturen.de" TargetMode="External"/><Relationship Id="rId23" Type="http://schemas.openxmlformats.org/officeDocument/2006/relationships/hyperlink" Target="https://www.geoagenturen.de/blog/geo-agenturen-2026-ai-readiness-llmo-im-vergleich" TargetMode="External"/><Relationship Id="rId26" Type="http://schemas.openxmlformats.org/officeDocument/2006/relationships/hyperlink" Target="http://geoagenturen.de" TargetMode="External"/><Relationship Id="rId25" Type="http://schemas.openxmlformats.org/officeDocument/2006/relationships/hyperlink" Target="https://www.geoagenturen.de/blog/service-portfolio-vergleich-zwischen-geo-agenturen" TargetMode="External"/><Relationship Id="rId28" Type="http://schemas.openxmlformats.org/officeDocument/2006/relationships/hyperlink" Target="http://omt.de" TargetMode="External"/><Relationship Id="rId27" Type="http://schemas.openxmlformats.org/officeDocument/2006/relationships/hyperlink" Target="https://www.omt.de/online-marketing-tools/marketing-attribution-software/" TargetMode="External"/><Relationship Id="rId29" Type="http://schemas.openxmlformats.org/officeDocument/2006/relationships/hyperlink" Target="https://presenc.ai/compare/measured-vs-haus-vs-statsig" TargetMode="External"/><Relationship Id="rId11" Type="http://schemas.openxmlformats.org/officeDocument/2006/relationships/hyperlink" Target="http://aijourn.com" TargetMode="External"/><Relationship Id="rId10" Type="http://schemas.openxmlformats.org/officeDocument/2006/relationships/hyperlink" Target="https://aijourn.com/top-ai-driven-amazon-marketing-agencies-in-germany-2026/" TargetMode="External"/><Relationship Id="rId13" Type="http://schemas.openxmlformats.org/officeDocument/2006/relationships/hyperlink" Target="http://silicon.de" TargetMode="External"/><Relationship Id="rId12" Type="http://schemas.openxmlformats.org/officeDocument/2006/relationships/hyperlink" Target="https://www.silicon.de/41722409/geo-agentur-vergleich-empfehlungen-beste-15-geo-agenturen-2026/amp" TargetMode="External"/><Relationship Id="rId15" Type="http://schemas.openxmlformats.org/officeDocument/2006/relationships/hyperlink" Target="http://boostit.de" TargetMode="External"/><Relationship Id="rId14" Type="http://schemas.openxmlformats.org/officeDocument/2006/relationships/hyperlink" Target="https://boostit.de/en/geo-agentur-vergleich-2026" TargetMode="External"/><Relationship Id="rId17" Type="http://schemas.openxmlformats.org/officeDocument/2006/relationships/hyperlink" Target="https://geo-agentur.pro/magazin/geo-ai-search/ai-search-seo-agenturen-deutschland" TargetMode="External"/><Relationship Id="rId16" Type="http://schemas.openxmlformats.org/officeDocument/2006/relationships/hyperlink" Target="https://gerlach.media/ratgeber/top-geo-agenturen-in-deutschland/" TargetMode="External"/><Relationship Id="rId19" Type="http://schemas.openxmlformats.org/officeDocument/2006/relationships/hyperlink" Target="https://www.feld-m.de/en/blog/google-meridian-triangulation-future-marketing-measurement/" TargetMode="External"/><Relationship Id="rId18" Type="http://schemas.openxmlformats.org/officeDocument/2006/relationships/hyperlink" Target="http://geo-agentur.pro" TargetMode="External"/><Relationship Id="rId51" Type="http://schemas.openxmlformats.org/officeDocument/2006/relationships/drawing" Target="../drawings/drawing23.xml"/><Relationship Id="rId50" Type="http://schemas.openxmlformats.org/officeDocument/2006/relationships/hyperlink" Target="http://vertriebspilot.ai" TargetMode="External"/><Relationship Id="rId1" Type="http://schemas.openxmlformats.org/officeDocument/2006/relationships/hyperlink" Target="http://sellforte.com" TargetMode="External"/><Relationship Id="rId2" Type="http://schemas.openxmlformats.org/officeDocument/2006/relationships/hyperlink" Target="https://www.triplewhale.com/blog/best-incrementality-testing-tools" TargetMode="External"/><Relationship Id="rId3" Type="http://schemas.openxmlformats.org/officeDocument/2006/relationships/hyperlink" Target="http://triplewhale.com" TargetMode="External"/><Relationship Id="rId4" Type="http://schemas.openxmlformats.org/officeDocument/2006/relationships/hyperlink" Target="https://www.experics.de/vergleich/geo-agenturen" TargetMode="External"/><Relationship Id="rId9" Type="http://schemas.openxmlformats.org/officeDocument/2006/relationships/hyperlink" Target="http://silicon.de" TargetMode="External"/><Relationship Id="rId5" Type="http://schemas.openxmlformats.org/officeDocument/2006/relationships/hyperlink" Target="http://experics.de" TargetMode="External"/><Relationship Id="rId6" Type="http://schemas.openxmlformats.org/officeDocument/2006/relationships/hyperlink" Target="https://www.techradar.com/pro/aeo-vs-seo-whats-the-difference-and-do-you-need-both" TargetMode="External"/><Relationship Id="rId7" Type="http://schemas.openxmlformats.org/officeDocument/2006/relationships/hyperlink" Target="http://techradar.com" TargetMode="External"/><Relationship Id="rId8" Type="http://schemas.openxmlformats.org/officeDocument/2006/relationships/hyperlink" Target="https://www.silicon.de/41722409/geo-agentur-vergleich-empfehlungen-beste-15-geo-agenturen-2026"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reddit.com/r/Topagencies/comments/1spi6ov/top_ppc_agencies_in_berlin_packages_pricing_cost/" TargetMode="External"/><Relationship Id="rId42" Type="http://schemas.openxmlformats.org/officeDocument/2006/relationships/hyperlink" Target="https://www.reddit.com/r/Topagencies/comments/1srfjwq/top_ppc_services_agencies_in_frankfurt_package/" TargetMode="External"/><Relationship Id="rId41" Type="http://schemas.openxmlformats.org/officeDocument/2006/relationships/hyperlink" Target="http://reddit.com" TargetMode="External"/><Relationship Id="rId44" Type="http://schemas.openxmlformats.org/officeDocument/2006/relationships/hyperlink" Target="https://www.reddit.com/r/analytics/comments/1l4qcx4/what_is_incrementality_testing_and_how_is_it/?tl=de" TargetMode="External"/><Relationship Id="rId43" Type="http://schemas.openxmlformats.org/officeDocument/2006/relationships/hyperlink" Target="http://reddit.com" TargetMode="External"/><Relationship Id="rId46" Type="http://schemas.openxmlformats.org/officeDocument/2006/relationships/hyperlink" Target="https://www.reddit.com/r/analytics/comments/1q5d8wc/advice_for_the_best_customer_data_platforms_2026/" TargetMode="External"/><Relationship Id="rId45" Type="http://schemas.openxmlformats.org/officeDocument/2006/relationships/hyperlink" Target="http://reddit.com" TargetMode="External"/><Relationship Id="rId48" Type="http://schemas.openxmlformats.org/officeDocument/2006/relationships/hyperlink" Target="https://www.reddit.com/r/b2bmarketing/comments/1rl47cr/the_10_best_visibility_companies_and_agencies_for/" TargetMode="External"/><Relationship Id="rId47" Type="http://schemas.openxmlformats.org/officeDocument/2006/relationships/hyperlink" Target="http://reddit.com" TargetMode="External"/><Relationship Id="rId49" Type="http://schemas.openxmlformats.org/officeDocument/2006/relationships/hyperlink" Target="http://reddit.com" TargetMode="External"/><Relationship Id="rId31" Type="http://schemas.openxmlformats.org/officeDocument/2006/relationships/hyperlink" Target="http://linkedin.com" TargetMode="External"/><Relationship Id="rId30" Type="http://schemas.openxmlformats.org/officeDocument/2006/relationships/hyperlink" Target="https://www.linkedin.com/posts/trkkn_were-proud-to-announce-that-trkkn-has-activity-7396834763552018432-MyUH" TargetMode="External"/><Relationship Id="rId33" Type="http://schemas.openxmlformats.org/officeDocument/2006/relationships/hyperlink" Target="http://quora.com" TargetMode="External"/><Relationship Id="rId32" Type="http://schemas.openxmlformats.org/officeDocument/2006/relationships/hyperlink" Target="https://www.quora.com/What-are-Berlins-best-creative-agencies-in-advertising-digital-and-production" TargetMode="External"/><Relationship Id="rId35" Type="http://schemas.openxmlformats.org/officeDocument/2006/relationships/hyperlink" Target="http://reddit.com" TargetMode="External"/><Relationship Id="rId34" Type="http://schemas.openxmlformats.org/officeDocument/2006/relationships/hyperlink" Target="https://www.reddit.com/r/DigitalMarketing/comments/1tdo237/which_performance_marketing_agencies_specialize/" TargetMode="External"/><Relationship Id="rId37" Type="http://schemas.openxmlformats.org/officeDocument/2006/relationships/hyperlink" Target="http://reddit.com" TargetMode="External"/><Relationship Id="rId36" Type="http://schemas.openxmlformats.org/officeDocument/2006/relationships/hyperlink" Target="https://www.reddit.com/r/DigitalMarketing/comments/1tn7zll/which_digital_marketing_agencies_are_best_at/" TargetMode="External"/><Relationship Id="rId39" Type="http://schemas.openxmlformats.org/officeDocument/2006/relationships/hyperlink" Target="http://reddit.com" TargetMode="External"/><Relationship Id="rId38" Type="http://schemas.openxmlformats.org/officeDocument/2006/relationships/hyperlink" Target="https://www.reddit.com/r/LLMTraffic/comments/1t44tn7/which_geo_marketing_agencies_are_actually_worth/" TargetMode="External"/><Relationship Id="rId20" Type="http://schemas.openxmlformats.org/officeDocument/2006/relationships/hyperlink" Target="https://www.reddit.com/r/PPC/comments/1tkc7rr/which_ppc_agencies_are_actually_considered_the/" TargetMode="External"/><Relationship Id="rId22" Type="http://schemas.openxmlformats.org/officeDocument/2006/relationships/hyperlink" Target="https://www.reddit.com/r/aeo/comments/1twcbr2/best_aeo_agency_guide_what_to_look_for_in_an/" TargetMode="External"/><Relationship Id="rId21" Type="http://schemas.openxmlformats.org/officeDocument/2006/relationships/hyperlink" Target="http://reddit.com" TargetMode="External"/><Relationship Id="rId24" Type="http://schemas.openxmlformats.org/officeDocument/2006/relationships/hyperlink" Target="https://www.linkedin.com/posts/incrmntal_incrementality-martech-measurement-activity-7458138781590683648-ubwV" TargetMode="External"/><Relationship Id="rId23" Type="http://schemas.openxmlformats.org/officeDocument/2006/relationships/hyperlink" Target="http://reddit.com" TargetMode="External"/><Relationship Id="rId26" Type="http://schemas.openxmlformats.org/officeDocument/2006/relationships/hyperlink" Target="https://www.linkedin.com/posts/karthik-banda-b8bb53246_digitalmarketing-marketingagencies-advertising-activity-7404477675702083584-oyVa" TargetMode="External"/><Relationship Id="rId25" Type="http://schemas.openxmlformats.org/officeDocument/2006/relationships/hyperlink" Target="http://linkedin.com" TargetMode="External"/><Relationship Id="rId28" Type="http://schemas.openxmlformats.org/officeDocument/2006/relationships/hyperlink" Target="https://www.linkedin.com/posts/s360digital_s360-is-the-first-partner-in-northern-europe-activity-7447540211539931137-Y8GK"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reddit.com" TargetMode="External"/><Relationship Id="rId10" Type="http://schemas.openxmlformats.org/officeDocument/2006/relationships/hyperlink" Target="https://www.reddit.com/r/GenEngineOptimization/comments/1qab4rt/what_are_the_top_geo_agencies_and_what_softwares/" TargetMode="External"/><Relationship Id="rId13" Type="http://schemas.openxmlformats.org/officeDocument/2006/relationships/hyperlink" Target="http://reddit.com" TargetMode="External"/><Relationship Id="rId12" Type="http://schemas.openxmlformats.org/officeDocument/2006/relationships/hyperlink" Target="https://www.reddit.com/r/adtech/comments/1u5mwrq/measurement_source_of_truth/" TargetMode="External"/><Relationship Id="rId15" Type="http://schemas.openxmlformats.org/officeDocument/2006/relationships/hyperlink" Target="http://reddit.com" TargetMode="External"/><Relationship Id="rId14" Type="http://schemas.openxmlformats.org/officeDocument/2006/relationships/hyperlink" Target="https://www.reddit.com/r/programmatic/comments/1nzh99f" TargetMode="External"/><Relationship Id="rId17" Type="http://schemas.openxmlformats.org/officeDocument/2006/relationships/hyperlink" Target="http://linkedin.com" TargetMode="External"/><Relationship Id="rId16" Type="http://schemas.openxmlformats.org/officeDocument/2006/relationships/hyperlink" Target="https://www.linkedin.com/posts/landwehr_most-seo-agencies-are-now-geo-agencies-activity-7440030279630680064-yR88" TargetMode="External"/><Relationship Id="rId19" Type="http://schemas.openxmlformats.org/officeDocument/2006/relationships/hyperlink" Target="http://reddit.com" TargetMode="External"/><Relationship Id="rId18" Type="http://schemas.openxmlformats.org/officeDocument/2006/relationships/hyperlink" Target="https://www.reddit.com/r/GermanCompanies/comments/1rfxt68/top_10_ai_agencies_in_germany_2026/" TargetMode="External"/><Relationship Id="rId51" Type="http://schemas.openxmlformats.org/officeDocument/2006/relationships/hyperlink" Target="http://reddit.com" TargetMode="External"/><Relationship Id="rId50" Type="http://schemas.openxmlformats.org/officeDocument/2006/relationships/hyperlink" Target="https://www.reddit.com/r/b2bmarketing/comments/1t546si/the_7_leading_ai_seo_agencies_for_modern_search/" TargetMode="External"/><Relationship Id="rId53" Type="http://schemas.openxmlformats.org/officeDocument/2006/relationships/hyperlink" Target="http://reddit.com" TargetMode="External"/><Relationship Id="rId52" Type="http://schemas.openxmlformats.org/officeDocument/2006/relationships/hyperlink" Target="https://www.reddit.com/r/u_Emkutis/comments/1u2d4ma/the_best_geo_ai_search_agencies_in_europe_in_2026/" TargetMode="External"/><Relationship Id="rId54" Type="http://schemas.openxmlformats.org/officeDocument/2006/relationships/drawing" Target="../drawings/drawing24.xml"/><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Topagencies/comments/1sv50o9/top_ppc_services_agencies_in_germany_ppc_cost/"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ziuma.com/Thread-Best-AI-Digital-Marketing-Agency-in-Germany-and-Beyond" TargetMode="External"/><Relationship Id="rId7" Type="http://schemas.openxmlformats.org/officeDocument/2006/relationships/hyperlink" Target="http://ziuma.com" TargetMode="External"/><Relationship Id="rId8" Type="http://schemas.openxmlformats.org/officeDocument/2006/relationships/hyperlink" Target="https://www.reddit.com/r/agency/comments/1ok212i/performance_marketing_incrementality/"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www.house-of-communication.com/de/de.html" TargetMode="External"/><Relationship Id="rId42" Type="http://schemas.openxmlformats.org/officeDocument/2006/relationships/hyperlink" Target="https://sentinus-consulting.de/" TargetMode="External"/><Relationship Id="rId41" Type="http://schemas.openxmlformats.org/officeDocument/2006/relationships/hyperlink" Target="http://house-of-communication.com" TargetMode="External"/><Relationship Id="rId44" Type="http://schemas.openxmlformats.org/officeDocument/2006/relationships/hyperlink" Target="https://www.adbaker.de/" TargetMode="External"/><Relationship Id="rId43" Type="http://schemas.openxmlformats.org/officeDocument/2006/relationships/hyperlink" Target="http://sentinus-consulting.de" TargetMode="External"/><Relationship Id="rId46" Type="http://schemas.openxmlformats.org/officeDocument/2006/relationships/hyperlink" Target="https://easy-m.de/" TargetMode="External"/><Relationship Id="rId45" Type="http://schemas.openxmlformats.org/officeDocument/2006/relationships/hyperlink" Target="http://adbaker.de" TargetMode="External"/><Relationship Id="rId48" Type="http://schemas.openxmlformats.org/officeDocument/2006/relationships/hyperlink" Target="https://passion4it.de/en/ai/" TargetMode="External"/><Relationship Id="rId47" Type="http://schemas.openxmlformats.org/officeDocument/2006/relationships/hyperlink" Target="http://easy-m.de" TargetMode="External"/><Relationship Id="rId49" Type="http://schemas.openxmlformats.org/officeDocument/2006/relationships/hyperlink" Target="http://passion4it.de" TargetMode="External"/><Relationship Id="rId31" Type="http://schemas.openxmlformats.org/officeDocument/2006/relationships/hyperlink" Target="http://appliedai.de" TargetMode="External"/><Relationship Id="rId30" Type="http://schemas.openxmlformats.org/officeDocument/2006/relationships/hyperlink" Target="https://www.appliedai.de/en/" TargetMode="External"/><Relationship Id="rId33" Type="http://schemas.openxmlformats.org/officeDocument/2006/relationships/hyperlink" Target="http://deducive.com" TargetMode="External"/><Relationship Id="rId32" Type="http://schemas.openxmlformats.org/officeDocument/2006/relationships/hyperlink" Target="https://www.deducive.com/" TargetMode="External"/><Relationship Id="rId35" Type="http://schemas.openxmlformats.org/officeDocument/2006/relationships/hyperlink" Target="http://naointelligence.com" TargetMode="External"/><Relationship Id="rId34" Type="http://schemas.openxmlformats.org/officeDocument/2006/relationships/hyperlink" Target="https://naointelligence.com/en" TargetMode="External"/><Relationship Id="rId37" Type="http://schemas.openxmlformats.org/officeDocument/2006/relationships/hyperlink" Target="https://www.scability.de/" TargetMode="External"/><Relationship Id="rId36" Type="http://schemas.openxmlformats.org/officeDocument/2006/relationships/hyperlink" Target="https://www.s-f.family/" TargetMode="External"/><Relationship Id="rId39" Type="http://schemas.openxmlformats.org/officeDocument/2006/relationships/hyperlink" Target="https://www.foundry.berlin/" TargetMode="External"/><Relationship Id="rId38" Type="http://schemas.openxmlformats.org/officeDocument/2006/relationships/hyperlink" Target="http://scability.de" TargetMode="External"/><Relationship Id="rId20" Type="http://schemas.openxmlformats.org/officeDocument/2006/relationships/hyperlink" Target="https://topgeoagencies.com/" TargetMode="External"/><Relationship Id="rId22" Type="http://schemas.openxmlformats.org/officeDocument/2006/relationships/hyperlink" Target="https://kideconsult.de/" TargetMode="External"/><Relationship Id="rId21" Type="http://schemas.openxmlformats.org/officeDocument/2006/relationships/hyperlink" Target="http://topgeoagencies.com" TargetMode="External"/><Relationship Id="rId24" Type="http://schemas.openxmlformats.org/officeDocument/2006/relationships/hyperlink" Target="https://www.crispycontent.de/en/ai/" TargetMode="External"/><Relationship Id="rId23" Type="http://schemas.openxmlformats.org/officeDocument/2006/relationships/hyperlink" Target="http://kideconsult.de" TargetMode="External"/><Relationship Id="rId26" Type="http://schemas.openxmlformats.org/officeDocument/2006/relationships/hyperlink" Target="https://www.eichen.ai/" TargetMode="External"/><Relationship Id="rId25" Type="http://schemas.openxmlformats.org/officeDocument/2006/relationships/hyperlink" Target="http://crispycontent.de" TargetMode="External"/><Relationship Id="rId28" Type="http://schemas.openxmlformats.org/officeDocument/2006/relationships/hyperlink" Target="https://www.ratter-consulting.com/" TargetMode="External"/><Relationship Id="rId27" Type="http://schemas.openxmlformats.org/officeDocument/2006/relationships/hyperlink" Target="http://eichen.ai" TargetMode="External"/><Relationship Id="rId29" Type="http://schemas.openxmlformats.org/officeDocument/2006/relationships/hyperlink" Target="http://ratter-consulting.com" TargetMode="External"/><Relationship Id="rId11" Type="http://schemas.openxmlformats.org/officeDocument/2006/relationships/hyperlink" Target="http://beste-geo-agentur.de" TargetMode="External"/><Relationship Id="rId10" Type="http://schemas.openxmlformats.org/officeDocument/2006/relationships/hyperlink" Target="https://www.beste-geo-agentur.de/" TargetMode="External"/><Relationship Id="rId13" Type="http://schemas.openxmlformats.org/officeDocument/2006/relationships/hyperlink" Target="http://digital-marketing-agencies.de" TargetMode="External"/><Relationship Id="rId12" Type="http://schemas.openxmlformats.org/officeDocument/2006/relationships/hyperlink" Target="https://digital-marketing-agencies.de/" TargetMode="External"/><Relationship Id="rId15" Type="http://schemas.openxmlformats.org/officeDocument/2006/relationships/hyperlink" Target="http://pinemarsh.com" TargetMode="External"/><Relationship Id="rId14" Type="http://schemas.openxmlformats.org/officeDocument/2006/relationships/hyperlink" Target="https://pinemarsh.com/" TargetMode="External"/><Relationship Id="rId17" Type="http://schemas.openxmlformats.org/officeDocument/2006/relationships/hyperlink" Target="http://roover.de" TargetMode="External"/><Relationship Id="rId16" Type="http://schemas.openxmlformats.org/officeDocument/2006/relationships/hyperlink" Target="https://roover.de/en/" TargetMode="External"/><Relationship Id="rId19" Type="http://schemas.openxmlformats.org/officeDocument/2006/relationships/hyperlink" Target="http://dynamicsupport.de" TargetMode="External"/><Relationship Id="rId18" Type="http://schemas.openxmlformats.org/officeDocument/2006/relationships/hyperlink" Target="https://dynamicsupport.de/en/" TargetMode="External"/><Relationship Id="rId84" Type="http://schemas.openxmlformats.org/officeDocument/2006/relationships/hyperlink" Target="https://geosphaira.com/" TargetMode="External"/><Relationship Id="rId83" Type="http://schemas.openxmlformats.org/officeDocument/2006/relationships/hyperlink" Target="http://geoagency.net" TargetMode="External"/><Relationship Id="rId86" Type="http://schemas.openxmlformats.org/officeDocument/2006/relationships/hyperlink" Target="https://getklar.com/" TargetMode="External"/><Relationship Id="rId85" Type="http://schemas.openxmlformats.org/officeDocument/2006/relationships/hyperlink" Target="http://geosphaira.com" TargetMode="External"/><Relationship Id="rId88" Type="http://schemas.openxmlformats.org/officeDocument/2006/relationships/hyperlink" Target="https://www.hopmann.com/en/" TargetMode="External"/><Relationship Id="rId87" Type="http://schemas.openxmlformats.org/officeDocument/2006/relationships/hyperlink" Target="http://getklar.com" TargetMode="External"/><Relationship Id="rId89" Type="http://schemas.openxmlformats.org/officeDocument/2006/relationships/hyperlink" Target="http://hopmann.com" TargetMode="External"/><Relationship Id="rId80" Type="http://schemas.openxmlformats.org/officeDocument/2006/relationships/hyperlink" Target="https://echomotion.ai/?lang=en" TargetMode="External"/><Relationship Id="rId82" Type="http://schemas.openxmlformats.org/officeDocument/2006/relationships/hyperlink" Target="https://www.geoagency.net/" TargetMode="External"/><Relationship Id="rId81" Type="http://schemas.openxmlformats.org/officeDocument/2006/relationships/hyperlink" Target="http://echomotion.ai" TargetMode="External"/><Relationship Id="rId73" Type="http://schemas.openxmlformats.org/officeDocument/2006/relationships/hyperlink" Target="http://claneo.com" TargetMode="External"/><Relationship Id="rId72" Type="http://schemas.openxmlformats.org/officeDocument/2006/relationships/hyperlink" Target="https://www.claneo.com/en/" TargetMode="External"/><Relationship Id="rId75" Type="http://schemas.openxmlformats.org/officeDocument/2006/relationships/hyperlink" Target="http://datafirstsolutions.de" TargetMode="External"/><Relationship Id="rId74" Type="http://schemas.openxmlformats.org/officeDocument/2006/relationships/hyperlink" Target="https://www.datafirstsolutions.de/" TargetMode="External"/><Relationship Id="rId77" Type="http://schemas.openxmlformats.org/officeDocument/2006/relationships/hyperlink" Target="http://dynamicsupport.de" TargetMode="External"/><Relationship Id="rId76" Type="http://schemas.openxmlformats.org/officeDocument/2006/relationships/hyperlink" Target="https://dynamicsupport.de/it/" TargetMode="External"/><Relationship Id="rId79" Type="http://schemas.openxmlformats.org/officeDocument/2006/relationships/hyperlink" Target="http://echomotion.ai" TargetMode="External"/><Relationship Id="rId78" Type="http://schemas.openxmlformats.org/officeDocument/2006/relationships/hyperlink" Target="https://echomotion.ai/" TargetMode="External"/><Relationship Id="rId71" Type="http://schemas.openxmlformats.org/officeDocument/2006/relationships/hyperlink" Target="http://bconic.com" TargetMode="External"/><Relationship Id="rId70" Type="http://schemas.openxmlformats.org/officeDocument/2006/relationships/hyperlink" Target="https://bconic.com/" TargetMode="External"/><Relationship Id="rId62" Type="http://schemas.openxmlformats.org/officeDocument/2006/relationships/hyperlink" Target="https://www.ruleranalytics.com/" TargetMode="External"/><Relationship Id="rId61" Type="http://schemas.openxmlformats.org/officeDocument/2006/relationships/hyperlink" Target="http://mediaroi.io" TargetMode="External"/><Relationship Id="rId64" Type="http://schemas.openxmlformats.org/officeDocument/2006/relationships/hyperlink" Target="https://www.unfuture.de/en/" TargetMode="External"/><Relationship Id="rId63" Type="http://schemas.openxmlformats.org/officeDocument/2006/relationships/hyperlink" Target="http://ruleranalytics.com" TargetMode="External"/><Relationship Id="rId66" Type="http://schemas.openxmlformats.org/officeDocument/2006/relationships/hyperlink" Target="https://www.adcountable.com/" TargetMode="External"/><Relationship Id="rId65" Type="http://schemas.openxmlformats.org/officeDocument/2006/relationships/hyperlink" Target="http://unfuture.de" TargetMode="External"/><Relationship Id="rId68" Type="http://schemas.openxmlformats.org/officeDocument/2006/relationships/hyperlink" Target="https://www.adstrat.de/" TargetMode="External"/><Relationship Id="rId67" Type="http://schemas.openxmlformats.org/officeDocument/2006/relationships/hyperlink" Target="http://adcountable.com" TargetMode="External"/><Relationship Id="rId60" Type="http://schemas.openxmlformats.org/officeDocument/2006/relationships/hyperlink" Target="https://www.mediaroi.io/en" TargetMode="External"/><Relationship Id="rId69" Type="http://schemas.openxmlformats.org/officeDocument/2006/relationships/hyperlink" Target="http://adstrat.de" TargetMode="External"/><Relationship Id="rId51" Type="http://schemas.openxmlformats.org/officeDocument/2006/relationships/hyperlink" Target="http://ai-value-consulting.de" TargetMode="External"/><Relationship Id="rId50" Type="http://schemas.openxmlformats.org/officeDocument/2006/relationships/hyperlink" Target="https://www.ai-value-consulting.de/" TargetMode="External"/><Relationship Id="rId53" Type="http://schemas.openxmlformats.org/officeDocument/2006/relationships/hyperlink" Target="http://bimodal.io" TargetMode="External"/><Relationship Id="rId52" Type="http://schemas.openxmlformats.org/officeDocument/2006/relationships/hyperlink" Target="https://www.bimodal.io/" TargetMode="External"/><Relationship Id="rId55" Type="http://schemas.openxmlformats.org/officeDocument/2006/relationships/hyperlink" Target="http://getrecast.com" TargetMode="External"/><Relationship Id="rId54" Type="http://schemas.openxmlformats.org/officeDocument/2006/relationships/hyperlink" Target="https://getrecast.com/" TargetMode="External"/><Relationship Id="rId57" Type="http://schemas.openxmlformats.org/officeDocument/2006/relationships/hyperlink" Target="http://linea-analytics.com" TargetMode="External"/><Relationship Id="rId56" Type="http://schemas.openxmlformats.org/officeDocument/2006/relationships/hyperlink" Target="https://linea-analytics.com/" TargetMode="External"/><Relationship Id="rId59" Type="http://schemas.openxmlformats.org/officeDocument/2006/relationships/hyperlink" Target="http://mediacharge.com" TargetMode="External"/><Relationship Id="rId58" Type="http://schemas.openxmlformats.org/officeDocument/2006/relationships/hyperlink" Target="https://mediacharge.com/" TargetMode="External"/><Relationship Id="rId95" Type="http://schemas.openxmlformats.org/officeDocument/2006/relationships/hyperlink" Target="http://omnicommediagroup.de" TargetMode="External"/><Relationship Id="rId94" Type="http://schemas.openxmlformats.org/officeDocument/2006/relationships/hyperlink" Target="https://omnicommediagroup.de/" TargetMode="External"/><Relationship Id="rId97" Type="http://schemas.openxmlformats.org/officeDocument/2006/relationships/hyperlink" Target="http://prima-consulting.de" TargetMode="External"/><Relationship Id="rId96" Type="http://schemas.openxmlformats.org/officeDocument/2006/relationships/hyperlink" Target="https://www.prima-consulting.de/en" TargetMode="External"/><Relationship Id="rId99" Type="http://schemas.openxmlformats.org/officeDocument/2006/relationships/hyperlink" Target="http://superspring.de" TargetMode="External"/><Relationship Id="rId98" Type="http://schemas.openxmlformats.org/officeDocument/2006/relationships/hyperlink" Target="https://superspring.de/" TargetMode="External"/><Relationship Id="rId91" Type="http://schemas.openxmlformats.org/officeDocument/2006/relationships/hyperlink" Target="http://incrmntal.com" TargetMode="External"/><Relationship Id="rId90" Type="http://schemas.openxmlformats.org/officeDocument/2006/relationships/hyperlink" Target="https://www.incrmntal.com/" TargetMode="External"/><Relationship Id="rId93" Type="http://schemas.openxmlformats.org/officeDocument/2006/relationships/hyperlink" Target="http://liftlab.com" TargetMode="External"/><Relationship Id="rId92" Type="http://schemas.openxmlformats.org/officeDocument/2006/relationships/hyperlink" Target="https://liftlab.com/" TargetMode="External"/><Relationship Id="rId305" Type="http://schemas.openxmlformats.org/officeDocument/2006/relationships/hyperlink" Target="https://www.zweidigital.de/" TargetMode="External"/><Relationship Id="rId304" Type="http://schemas.openxmlformats.org/officeDocument/2006/relationships/hyperlink" Target="http://xmanmobi.com" TargetMode="External"/><Relationship Id="rId303" Type="http://schemas.openxmlformats.org/officeDocument/2006/relationships/hyperlink" Target="https://www.xmanmobi.com/" TargetMode="External"/><Relationship Id="rId302" Type="http://schemas.openxmlformats.org/officeDocument/2006/relationships/hyperlink" Target="http://workmagic.io" TargetMode="External"/><Relationship Id="rId307" Type="http://schemas.openxmlformats.org/officeDocument/2006/relationships/drawing" Target="../drawings/drawing25.xml"/><Relationship Id="rId306" Type="http://schemas.openxmlformats.org/officeDocument/2006/relationships/hyperlink" Target="http://zweidigital.de" TargetMode="External"/><Relationship Id="rId301" Type="http://schemas.openxmlformats.org/officeDocument/2006/relationships/hyperlink" Target="https://www.workmagic.io/" TargetMode="External"/><Relationship Id="rId300" Type="http://schemas.openxmlformats.org/officeDocument/2006/relationships/hyperlink" Target="http://xn--wie-findet-man-die-beste-agentur-fr-ki-suche-oue.de" TargetMode="External"/><Relationship Id="rId297" Type="http://schemas.openxmlformats.org/officeDocument/2006/relationships/hyperlink" Target="https://westlakepartners.de/" TargetMode="External"/><Relationship Id="rId296" Type="http://schemas.openxmlformats.org/officeDocument/2006/relationships/hyperlink" Target="http://weareaudiences.com" TargetMode="External"/><Relationship Id="rId295" Type="http://schemas.openxmlformats.org/officeDocument/2006/relationships/hyperlink" Target="https://weareaudiences.com/" TargetMode="External"/><Relationship Id="rId294" Type="http://schemas.openxmlformats.org/officeDocument/2006/relationships/hyperlink" Target="https://videofactory.agency/" TargetMode="External"/><Relationship Id="rId299" Type="http://schemas.openxmlformats.org/officeDocument/2006/relationships/hyperlink" Target="https://www.xn--wie-findet-man-die-beste-agentur-fr-ki-suche-oue.de/" TargetMode="External"/><Relationship Id="rId298" Type="http://schemas.openxmlformats.org/officeDocument/2006/relationships/hyperlink" Target="http://westlakepartners.de" TargetMode="External"/><Relationship Id="rId271" Type="http://schemas.openxmlformats.org/officeDocument/2006/relationships/hyperlink" Target="https://www.scalefox.de/" TargetMode="External"/><Relationship Id="rId270" Type="http://schemas.openxmlformats.org/officeDocument/2006/relationships/hyperlink" Target="http://scalecom.de" TargetMode="External"/><Relationship Id="rId269" Type="http://schemas.openxmlformats.org/officeDocument/2006/relationships/hyperlink" Target="https://www.scalecom.de/" TargetMode="External"/><Relationship Id="rId264" Type="http://schemas.openxmlformats.org/officeDocument/2006/relationships/hyperlink" Target="http://rheinwunder.com" TargetMode="External"/><Relationship Id="rId263" Type="http://schemas.openxmlformats.org/officeDocument/2006/relationships/hyperlink" Target="https://rheinwunder.com/en/" TargetMode="External"/><Relationship Id="rId262" Type="http://schemas.openxmlformats.org/officeDocument/2006/relationships/hyperlink" Target="http://publicisproduction.com" TargetMode="External"/><Relationship Id="rId261" Type="http://schemas.openxmlformats.org/officeDocument/2006/relationships/hyperlink" Target="https://publicisproduction.com/" TargetMode="External"/><Relationship Id="rId268" Type="http://schemas.openxmlformats.org/officeDocument/2006/relationships/hyperlink" Target="http://scaleandcompany.com" TargetMode="External"/><Relationship Id="rId267" Type="http://schemas.openxmlformats.org/officeDocument/2006/relationships/hyperlink" Target="https://www.scaleandcompany.com/" TargetMode="External"/><Relationship Id="rId266" Type="http://schemas.openxmlformats.org/officeDocument/2006/relationships/hyperlink" Target="http://saphirsolution.de" TargetMode="External"/><Relationship Id="rId265" Type="http://schemas.openxmlformats.org/officeDocument/2006/relationships/hyperlink" Target="https://www.saphirsolution.de/" TargetMode="External"/><Relationship Id="rId260" Type="http://schemas.openxmlformats.org/officeDocument/2006/relationships/hyperlink" Target="http://projecter.de" TargetMode="External"/><Relationship Id="rId259" Type="http://schemas.openxmlformats.org/officeDocument/2006/relationships/hyperlink" Target="https://www.projecter.de/" TargetMode="External"/><Relationship Id="rId258" Type="http://schemas.openxmlformats.org/officeDocument/2006/relationships/hyperlink" Target="http://opnrs.com" TargetMode="External"/><Relationship Id="rId253" Type="http://schemas.openxmlformats.org/officeDocument/2006/relationships/hyperlink" Target="https://www.ombera.de/" TargetMode="External"/><Relationship Id="rId252" Type="http://schemas.openxmlformats.org/officeDocument/2006/relationships/hyperlink" Target="http://nion-answers.com" TargetMode="External"/><Relationship Id="rId251" Type="http://schemas.openxmlformats.org/officeDocument/2006/relationships/hyperlink" Target="https://www.nion-answers.com/" TargetMode="External"/><Relationship Id="rId250" Type="http://schemas.openxmlformats.org/officeDocument/2006/relationships/hyperlink" Target="http://more-fire.com" TargetMode="External"/><Relationship Id="rId257" Type="http://schemas.openxmlformats.org/officeDocument/2006/relationships/hyperlink" Target="https://www.opnrs.com/" TargetMode="External"/><Relationship Id="rId256" Type="http://schemas.openxmlformats.org/officeDocument/2006/relationships/hyperlink" Target="http://omnicomprecisionmarketing.de" TargetMode="External"/><Relationship Id="rId255" Type="http://schemas.openxmlformats.org/officeDocument/2006/relationships/hyperlink" Target="https://omnicomprecisionmarketing.de/en/home/" TargetMode="External"/><Relationship Id="rId254" Type="http://schemas.openxmlformats.org/officeDocument/2006/relationships/hyperlink" Target="http://ombera.de" TargetMode="External"/><Relationship Id="rId293" Type="http://schemas.openxmlformats.org/officeDocument/2006/relationships/hyperlink" Target="http://unfuture.de" TargetMode="External"/><Relationship Id="rId292" Type="http://schemas.openxmlformats.org/officeDocument/2006/relationships/hyperlink" Target="https://www.unfuture.de/de/" TargetMode="External"/><Relationship Id="rId291" Type="http://schemas.openxmlformats.org/officeDocument/2006/relationships/hyperlink" Target="http://tracify.ai" TargetMode="External"/><Relationship Id="rId290" Type="http://schemas.openxmlformats.org/officeDocument/2006/relationships/hyperlink" Target="https://tracify.ai/en" TargetMode="External"/><Relationship Id="rId286" Type="http://schemas.openxmlformats.org/officeDocument/2006/relationships/hyperlink" Target="http://thecypress.de" TargetMode="External"/><Relationship Id="rId285" Type="http://schemas.openxmlformats.org/officeDocument/2006/relationships/hyperlink" Target="https://thecypress.de/" TargetMode="External"/><Relationship Id="rId284" Type="http://schemas.openxmlformats.org/officeDocument/2006/relationships/hyperlink" Target="http://theadfirm.net" TargetMode="External"/><Relationship Id="rId283" Type="http://schemas.openxmlformats.org/officeDocument/2006/relationships/hyperlink" Target="https://www.theadfirm.net/ai-seo/" TargetMode="External"/><Relationship Id="rId289" Type="http://schemas.openxmlformats.org/officeDocument/2006/relationships/hyperlink" Target="https://www.tppc.agency/" TargetMode="External"/><Relationship Id="rId288" Type="http://schemas.openxmlformats.org/officeDocument/2006/relationships/hyperlink" Target="http://thekeenfolks.com" TargetMode="External"/><Relationship Id="rId287" Type="http://schemas.openxmlformats.org/officeDocument/2006/relationships/hyperlink" Target="https://www.thekeenfolks.com/" TargetMode="External"/><Relationship Id="rId282" Type="http://schemas.openxmlformats.org/officeDocument/2006/relationships/hyperlink" Target="http://the-boutique-agency.de" TargetMode="External"/><Relationship Id="rId281" Type="http://schemas.openxmlformats.org/officeDocument/2006/relationships/hyperlink" Target="https://www.the-boutique-agency.de/de/seo" TargetMode="External"/><Relationship Id="rId280" Type="http://schemas.openxmlformats.org/officeDocument/2006/relationships/hyperlink" Target="https://stamp.productions/" TargetMode="External"/><Relationship Id="rId275" Type="http://schemas.openxmlformats.org/officeDocument/2006/relationships/hyperlink" Target="http://seybold.de" TargetMode="External"/><Relationship Id="rId274" Type="http://schemas.openxmlformats.org/officeDocument/2006/relationships/hyperlink" Target="https://seybold.de/en/" TargetMode="External"/><Relationship Id="rId273" Type="http://schemas.openxmlformats.org/officeDocument/2006/relationships/hyperlink" Target="https://search.agency/" TargetMode="External"/><Relationship Id="rId272" Type="http://schemas.openxmlformats.org/officeDocument/2006/relationships/hyperlink" Target="http://scalefox.de" TargetMode="External"/><Relationship Id="rId279" Type="http://schemas.openxmlformats.org/officeDocument/2006/relationships/hyperlink" Target="http://spacedealer.de" TargetMode="External"/><Relationship Id="rId278" Type="http://schemas.openxmlformats.org/officeDocument/2006/relationships/hyperlink" Target="https://www.spacedealer.de/en/" TargetMode="External"/><Relationship Id="rId277" Type="http://schemas.openxmlformats.org/officeDocument/2006/relationships/hyperlink" Target="http://signalandkairos.com" TargetMode="External"/><Relationship Id="rId276" Type="http://schemas.openxmlformats.org/officeDocument/2006/relationships/hyperlink" Target="https://www.signalandkairos.com/" TargetMode="External"/><Relationship Id="rId228" Type="http://schemas.openxmlformats.org/officeDocument/2006/relationships/hyperlink" Target="http://m-m-m.de" TargetMode="External"/><Relationship Id="rId227" Type="http://schemas.openxmlformats.org/officeDocument/2006/relationships/hyperlink" Target="https://www.m-m-m.de/" TargetMode="External"/><Relationship Id="rId226" Type="http://schemas.openxmlformats.org/officeDocument/2006/relationships/hyperlink" Target="http://kretschel-consulting.de" TargetMode="External"/><Relationship Id="rId225" Type="http://schemas.openxmlformats.org/officeDocument/2006/relationships/hyperlink" Target="https://kretschel-consulting.de/" TargetMode="External"/><Relationship Id="rId229" Type="http://schemas.openxmlformats.org/officeDocument/2006/relationships/hyperlink" Target="https://www.makingscience.com/" TargetMode="External"/><Relationship Id="rId220" Type="http://schemas.openxmlformats.org/officeDocument/2006/relationships/hyperlink" Target="http://jvm.com" TargetMode="External"/><Relationship Id="rId224" Type="http://schemas.openxmlformats.org/officeDocument/2006/relationships/hyperlink" Target="http://kochava.com" TargetMode="External"/><Relationship Id="rId223" Type="http://schemas.openxmlformats.org/officeDocument/2006/relationships/hyperlink" Target="https://www.kochava.com/de/" TargetMode="External"/><Relationship Id="rId222" Type="http://schemas.openxmlformats.org/officeDocument/2006/relationships/hyperlink" Target="http://ki-projexx.de" TargetMode="External"/><Relationship Id="rId221" Type="http://schemas.openxmlformats.org/officeDocument/2006/relationships/hyperlink" Target="https://www.ki-projexx.de/" TargetMode="External"/><Relationship Id="rId217" Type="http://schemas.openxmlformats.org/officeDocument/2006/relationships/hyperlink" Target="https://www.intentradar.com/" TargetMode="External"/><Relationship Id="rId216" Type="http://schemas.openxmlformats.org/officeDocument/2006/relationships/hyperlink" Target="http://instantwaves.de" TargetMode="External"/><Relationship Id="rId215" Type="http://schemas.openxmlformats.org/officeDocument/2006/relationships/hyperlink" Target="https://instantwaves.de/" TargetMode="External"/><Relationship Id="rId214" Type="http://schemas.openxmlformats.org/officeDocument/2006/relationships/hyperlink" Target="http://incubeta.com" TargetMode="External"/><Relationship Id="rId219" Type="http://schemas.openxmlformats.org/officeDocument/2006/relationships/hyperlink" Target="https://www.jvm.com/" TargetMode="External"/><Relationship Id="rId218" Type="http://schemas.openxmlformats.org/officeDocument/2006/relationships/hyperlink" Target="http://intentradar.com" TargetMode="External"/><Relationship Id="rId213" Type="http://schemas.openxmlformats.org/officeDocument/2006/relationships/hyperlink" Target="https://incubeta.com/" TargetMode="External"/><Relationship Id="rId212" Type="http://schemas.openxmlformats.org/officeDocument/2006/relationships/hyperlink" Target="http://house-of-communication.com" TargetMode="External"/><Relationship Id="rId211" Type="http://schemas.openxmlformats.org/officeDocument/2006/relationships/hyperlink" Target="https://www.house-of-communication.com/de/en.html" TargetMode="External"/><Relationship Id="rId210" Type="http://schemas.openxmlformats.org/officeDocument/2006/relationships/hyperlink" Target="http://hoerndlein-consulting.de" TargetMode="External"/><Relationship Id="rId249" Type="http://schemas.openxmlformats.org/officeDocument/2006/relationships/hyperlink" Target="https://www.more-fire.com/en/" TargetMode="External"/><Relationship Id="rId248" Type="http://schemas.openxmlformats.org/officeDocument/2006/relationships/hyperlink" Target="http://mmm-consulting.de" TargetMode="External"/><Relationship Id="rId247" Type="http://schemas.openxmlformats.org/officeDocument/2006/relationships/hyperlink" Target="https://www.mmm-consulting.de/" TargetMode="External"/><Relationship Id="rId242" Type="http://schemas.openxmlformats.org/officeDocument/2006/relationships/hyperlink" Target="http://measured.com" TargetMode="External"/><Relationship Id="rId241" Type="http://schemas.openxmlformats.org/officeDocument/2006/relationships/hyperlink" Target="https://www.measured.com/" TargetMode="External"/><Relationship Id="rId240" Type="http://schemas.openxmlformats.org/officeDocument/2006/relationships/hyperlink" Target="http://mawave.com" TargetMode="External"/><Relationship Id="rId246" Type="http://schemas.openxmlformats.org/officeDocument/2006/relationships/hyperlink" Target="http://mkt-sci.com" TargetMode="External"/><Relationship Id="rId245" Type="http://schemas.openxmlformats.org/officeDocument/2006/relationships/hyperlink" Target="https://www.mkt-sci.com/" TargetMode="External"/><Relationship Id="rId244" Type="http://schemas.openxmlformats.org/officeDocument/2006/relationships/hyperlink" Target="http://mediagroupww.com" TargetMode="External"/><Relationship Id="rId243" Type="http://schemas.openxmlformats.org/officeDocument/2006/relationships/hyperlink" Target="https://mediagroupww.com/de/" TargetMode="External"/><Relationship Id="rId239" Type="http://schemas.openxmlformats.org/officeDocument/2006/relationships/hyperlink" Target="https://www.mawave.com/" TargetMode="External"/><Relationship Id="rId238" Type="http://schemas.openxmlformats.org/officeDocument/2006/relationships/hyperlink" Target="http://matchpointmedia.de" TargetMode="External"/><Relationship Id="rId237" Type="http://schemas.openxmlformats.org/officeDocument/2006/relationships/hyperlink" Target="https://www.matchpointmedia.de/" TargetMode="External"/><Relationship Id="rId236" Type="http://schemas.openxmlformats.org/officeDocument/2006/relationships/hyperlink" Target="http://google.com" TargetMode="External"/><Relationship Id="rId231" Type="http://schemas.openxmlformats.org/officeDocument/2006/relationships/hyperlink" Target="https://www.makingscience.de/" TargetMode="External"/><Relationship Id="rId230" Type="http://schemas.openxmlformats.org/officeDocument/2006/relationships/hyperlink" Target="http://makingscience.com" TargetMode="External"/><Relationship Id="rId235" Type="http://schemas.openxmlformats.org/officeDocument/2006/relationships/hyperlink" Target="https://marketingplatform.google.com/intl/de/about/" TargetMode="External"/><Relationship Id="rId234" Type="http://schemas.openxmlformats.org/officeDocument/2006/relationships/hyperlink" Target="http://marketingattributionsoftware.com" TargetMode="External"/><Relationship Id="rId233" Type="http://schemas.openxmlformats.org/officeDocument/2006/relationships/hyperlink" Target="https://www.marketingattributionsoftware.com/" TargetMode="External"/><Relationship Id="rId232" Type="http://schemas.openxmlformats.org/officeDocument/2006/relationships/hyperlink" Target="http://makingscience.de" TargetMode="External"/><Relationship Id="rId206" Type="http://schemas.openxmlformats.org/officeDocument/2006/relationships/hyperlink" Target="http://getklar.com" TargetMode="External"/><Relationship Id="rId205" Type="http://schemas.openxmlformats.org/officeDocument/2006/relationships/hyperlink" Target="https://getklar.com/try-klar" TargetMode="External"/><Relationship Id="rId204" Type="http://schemas.openxmlformats.org/officeDocument/2006/relationships/hyperlink" Target="http://getapexanalytics.com" TargetMode="External"/><Relationship Id="rId203" Type="http://schemas.openxmlformats.org/officeDocument/2006/relationships/hyperlink" Target="https://www.getapexanalytics.com/" TargetMode="External"/><Relationship Id="rId209" Type="http://schemas.openxmlformats.org/officeDocument/2006/relationships/hyperlink" Target="https://hoerndlein-consulting.de/en/" TargetMode="External"/><Relationship Id="rId208" Type="http://schemas.openxmlformats.org/officeDocument/2006/relationships/hyperlink" Target="http://goldorange.com" TargetMode="External"/><Relationship Id="rId207" Type="http://schemas.openxmlformats.org/officeDocument/2006/relationships/hyperlink" Target="https://www.goldorange.com/" TargetMode="External"/><Relationship Id="rId202" Type="http://schemas.openxmlformats.org/officeDocument/2006/relationships/hyperlink" Target="http://geo-spezialisten.de" TargetMode="External"/><Relationship Id="rId201" Type="http://schemas.openxmlformats.org/officeDocument/2006/relationships/hyperlink" Target="https://geo-spezialisten.de/" TargetMode="External"/><Relationship Id="rId200" Type="http://schemas.openxmlformats.org/officeDocument/2006/relationships/hyperlink" Target="http://futuresupply.io" TargetMode="External"/><Relationship Id="rId1" Type="http://schemas.openxmlformats.org/officeDocument/2006/relationships/hyperlink" Target="http://the-boutique-agency.de" TargetMode="External"/><Relationship Id="rId2" Type="http://schemas.openxmlformats.org/officeDocument/2006/relationships/hyperlink" Target="https://www.geoagenturen.de/" TargetMode="External"/><Relationship Id="rId3" Type="http://schemas.openxmlformats.org/officeDocument/2006/relationships/hyperlink" Target="http://geoagenturen.de" TargetMode="External"/><Relationship Id="rId4" Type="http://schemas.openxmlformats.org/officeDocument/2006/relationships/hyperlink" Target="https://partnersdirectory.withgoogle.com/" TargetMode="External"/><Relationship Id="rId9" Type="http://schemas.openxmlformats.org/officeDocument/2006/relationships/hyperlink" Target="http://geoagentur.de" TargetMode="External"/><Relationship Id="rId5" Type="http://schemas.openxmlformats.org/officeDocument/2006/relationships/hyperlink" Target="http://withgoogle.com" TargetMode="External"/><Relationship Id="rId6" Type="http://schemas.openxmlformats.org/officeDocument/2006/relationships/hyperlink" Target="https://sellforte.com/" TargetMode="External"/><Relationship Id="rId7" Type="http://schemas.openxmlformats.org/officeDocument/2006/relationships/hyperlink" Target="http://sellforte.com" TargetMode="External"/><Relationship Id="rId8" Type="http://schemas.openxmlformats.org/officeDocument/2006/relationships/hyperlink" Target="https://geoagentur.de/" TargetMode="External"/><Relationship Id="rId190" Type="http://schemas.openxmlformats.org/officeDocument/2006/relationships/hyperlink" Target="https://www.evergreen.media/en/" TargetMode="External"/><Relationship Id="rId194" Type="http://schemas.openxmlformats.org/officeDocument/2006/relationships/hyperlink" Target="http://fifty-five.com" TargetMode="External"/><Relationship Id="rId193" Type="http://schemas.openxmlformats.org/officeDocument/2006/relationships/hyperlink" Target="https://www.fifty-five.com/" TargetMode="External"/><Relationship Id="rId192" Type="http://schemas.openxmlformats.org/officeDocument/2006/relationships/hyperlink" Target="http://factorygruppe.com" TargetMode="External"/><Relationship Id="rId191" Type="http://schemas.openxmlformats.org/officeDocument/2006/relationships/hyperlink" Target="https://www.factorygruppe.com/" TargetMode="External"/><Relationship Id="rId187" Type="http://schemas.openxmlformats.org/officeDocument/2006/relationships/hyperlink" Target="http://analyticaa.com" TargetMode="External"/><Relationship Id="rId186" Type="http://schemas.openxmlformats.org/officeDocument/2006/relationships/hyperlink" Target="https://en.analyticaa.com/" TargetMode="External"/><Relationship Id="rId185" Type="http://schemas.openxmlformats.org/officeDocument/2006/relationships/hyperlink" Target="http://eliya.io" TargetMode="External"/><Relationship Id="rId184" Type="http://schemas.openxmlformats.org/officeDocument/2006/relationships/hyperlink" Target="https://www.eliya.io/" TargetMode="External"/><Relationship Id="rId189" Type="http://schemas.openxmlformats.org/officeDocument/2006/relationships/hyperlink" Target="http://etracker.com" TargetMode="External"/><Relationship Id="rId188" Type="http://schemas.openxmlformats.org/officeDocument/2006/relationships/hyperlink" Target="https://www.etracker.com/" TargetMode="External"/><Relationship Id="rId183" Type="http://schemas.openxmlformats.org/officeDocument/2006/relationships/hyperlink" Target="http://ecowiseagency.com" TargetMode="External"/><Relationship Id="rId182" Type="http://schemas.openxmlformats.org/officeDocument/2006/relationships/hyperlink" Target="https://www.ecowiseagency.com/" TargetMode="External"/><Relationship Id="rId181" Type="http://schemas.openxmlformats.org/officeDocument/2006/relationships/hyperlink" Target="http://econworks.de" TargetMode="External"/><Relationship Id="rId180" Type="http://schemas.openxmlformats.org/officeDocument/2006/relationships/hyperlink" Target="https://www.econworks.de/" TargetMode="External"/><Relationship Id="rId176" Type="http://schemas.openxmlformats.org/officeDocument/2006/relationships/hyperlink" Target="http://digitalinsight.de" TargetMode="External"/><Relationship Id="rId175" Type="http://schemas.openxmlformats.org/officeDocument/2006/relationships/hyperlink" Target="https://www.digitalinsight.de/" TargetMode="External"/><Relationship Id="rId174" Type="http://schemas.openxmlformats.org/officeDocument/2006/relationships/hyperlink" Target="http://deptagency.com" TargetMode="External"/><Relationship Id="rId173" Type="http://schemas.openxmlformats.org/officeDocument/2006/relationships/hyperlink" Target="https://www.deptagency.com/de-dach/" TargetMode="External"/><Relationship Id="rId179" Type="http://schemas.openxmlformats.org/officeDocument/2006/relationships/hyperlink" Target="http://e-dynamics.de" TargetMode="External"/><Relationship Id="rId178" Type="http://schemas.openxmlformats.org/officeDocument/2006/relationships/hyperlink" Target="https://www.e-dynamics.de/homepage/" TargetMode="External"/><Relationship Id="rId177" Type="http://schemas.openxmlformats.org/officeDocument/2006/relationships/hyperlink" Target="https://e-dialog.group/en/" TargetMode="External"/><Relationship Id="rId198" Type="http://schemas.openxmlformats.org/officeDocument/2006/relationships/hyperlink" Target="http://frontieraiconsulting.com" TargetMode="External"/><Relationship Id="rId197" Type="http://schemas.openxmlformats.org/officeDocument/2006/relationships/hyperlink" Target="https://www.frontieraiconsulting.com/" TargetMode="External"/><Relationship Id="rId196" Type="http://schemas.openxmlformats.org/officeDocument/2006/relationships/hyperlink" Target="http://firststars.ai" TargetMode="External"/><Relationship Id="rId195" Type="http://schemas.openxmlformats.org/officeDocument/2006/relationships/hyperlink" Target="https://www.firststars.ai/" TargetMode="External"/><Relationship Id="rId199" Type="http://schemas.openxmlformats.org/officeDocument/2006/relationships/hyperlink" Target="https://www.futuresupply.io/" TargetMode="External"/><Relationship Id="rId150" Type="http://schemas.openxmlformats.org/officeDocument/2006/relationships/hyperlink" Target="http://geolign.com" TargetMode="External"/><Relationship Id="rId149" Type="http://schemas.openxmlformats.org/officeDocument/2006/relationships/hyperlink" Target="https://agency.geolign.com/" TargetMode="External"/><Relationship Id="rId148" Type="http://schemas.openxmlformats.org/officeDocument/2006/relationships/hyperlink" Target="http://aeoera.com" TargetMode="External"/><Relationship Id="rId143" Type="http://schemas.openxmlformats.org/officeDocument/2006/relationships/hyperlink" Target="https://www.adcologne.de/" TargetMode="External"/><Relationship Id="rId142" Type="http://schemas.openxmlformats.org/officeDocument/2006/relationships/hyperlink" Target="http://werankle.com" TargetMode="External"/><Relationship Id="rId141" Type="http://schemas.openxmlformats.org/officeDocument/2006/relationships/hyperlink" Target="https://www.werankle.com/en" TargetMode="External"/><Relationship Id="rId140" Type="http://schemas.openxmlformats.org/officeDocument/2006/relationships/hyperlink" Target="http://trkkn.com" TargetMode="External"/><Relationship Id="rId147" Type="http://schemas.openxmlformats.org/officeDocument/2006/relationships/hyperlink" Target="https://www.aeoera.com/" TargetMode="External"/><Relationship Id="rId146" Type="http://schemas.openxmlformats.org/officeDocument/2006/relationships/hyperlink" Target="http://aeoagency.org" TargetMode="External"/><Relationship Id="rId145" Type="http://schemas.openxmlformats.org/officeDocument/2006/relationships/hyperlink" Target="https://aeoagency.org/de/" TargetMode="External"/><Relationship Id="rId144" Type="http://schemas.openxmlformats.org/officeDocument/2006/relationships/hyperlink" Target="http://adcologne.de" TargetMode="External"/><Relationship Id="rId139" Type="http://schemas.openxmlformats.org/officeDocument/2006/relationships/hyperlink" Target="https://www.trkkn.com/" TargetMode="External"/><Relationship Id="rId138" Type="http://schemas.openxmlformats.org/officeDocument/2006/relationships/hyperlink" Target="http://superspring.de" TargetMode="External"/><Relationship Id="rId137" Type="http://schemas.openxmlformats.org/officeDocument/2006/relationships/hyperlink" Target="https://superspring.de/en/" TargetMode="External"/><Relationship Id="rId132" Type="http://schemas.openxmlformats.org/officeDocument/2006/relationships/hyperlink" Target="https://www.s-f.family/en" TargetMode="External"/><Relationship Id="rId131" Type="http://schemas.openxmlformats.org/officeDocument/2006/relationships/hyperlink" Target="http://withgoogle.com" TargetMode="External"/><Relationship Id="rId130" Type="http://schemas.openxmlformats.org/officeDocument/2006/relationships/hyperlink" Target="https://partnermarketinghub.withgoogle.com/" TargetMode="External"/><Relationship Id="rId136" Type="http://schemas.openxmlformats.org/officeDocument/2006/relationships/hyperlink" Target="http://smarketer.de" TargetMode="External"/><Relationship Id="rId135" Type="http://schemas.openxmlformats.org/officeDocument/2006/relationships/hyperlink" Target="https://www.smarketer.de/" TargetMode="External"/><Relationship Id="rId134" Type="http://schemas.openxmlformats.org/officeDocument/2006/relationships/hyperlink" Target="http://scholze-consulting.de" TargetMode="External"/><Relationship Id="rId133" Type="http://schemas.openxmlformats.org/officeDocument/2006/relationships/hyperlink" Target="https://www.scholze-consulting.de/" TargetMode="External"/><Relationship Id="rId172" Type="http://schemas.openxmlformats.org/officeDocument/2006/relationships/hyperlink" Target="http://cl-y.com" TargetMode="External"/><Relationship Id="rId171" Type="http://schemas.openxmlformats.org/officeDocument/2006/relationships/hyperlink" Target="https://www.cl-y.com/" TargetMode="External"/><Relationship Id="rId170" Type="http://schemas.openxmlformats.org/officeDocument/2006/relationships/hyperlink" Target="http://brainlabsdigital.com" TargetMode="External"/><Relationship Id="rId165" Type="http://schemas.openxmlformats.org/officeDocument/2006/relationships/hyperlink" Target="https://www.best-social-media-agency.com/" TargetMode="External"/><Relationship Id="rId164" Type="http://schemas.openxmlformats.org/officeDocument/2006/relationships/hyperlink" Target="http://bbdo.de" TargetMode="External"/><Relationship Id="rId163" Type="http://schemas.openxmlformats.org/officeDocument/2006/relationships/hyperlink" Target="https://bbdo.de/" TargetMode="External"/><Relationship Id="rId162" Type="http://schemas.openxmlformats.org/officeDocument/2006/relationships/hyperlink" Target="http://backhouse.com" TargetMode="External"/><Relationship Id="rId169" Type="http://schemas.openxmlformats.org/officeDocument/2006/relationships/hyperlink" Target="https://www.brainlabsdigital.com/" TargetMode="External"/><Relationship Id="rId168" Type="http://schemas.openxmlformats.org/officeDocument/2006/relationships/hyperlink" Target="http://blueshepherd.de" TargetMode="External"/><Relationship Id="rId167" Type="http://schemas.openxmlformats.org/officeDocument/2006/relationships/hyperlink" Target="https://blueshepherd.de/" TargetMode="External"/><Relationship Id="rId166" Type="http://schemas.openxmlformats.org/officeDocument/2006/relationships/hyperlink" Target="http://best-social-media-agency.com" TargetMode="External"/><Relationship Id="rId161" Type="http://schemas.openxmlformats.org/officeDocument/2006/relationships/hyperlink" Target="https://www.backhouse.com/" TargetMode="External"/><Relationship Id="rId160" Type="http://schemas.openxmlformats.org/officeDocument/2006/relationships/hyperlink" Target="http://aurelai.de" TargetMode="External"/><Relationship Id="rId159" Type="http://schemas.openxmlformats.org/officeDocument/2006/relationships/hyperlink" Target="https://www.aurelai.de/" TargetMode="External"/><Relationship Id="rId154" Type="http://schemas.openxmlformats.org/officeDocument/2006/relationships/hyperlink" Target="http://artefact.com" TargetMode="External"/><Relationship Id="rId153" Type="http://schemas.openxmlformats.org/officeDocument/2006/relationships/hyperlink" Target="https://www.artefact.com/" TargetMode="External"/><Relationship Id="rId152" Type="http://schemas.openxmlformats.org/officeDocument/2006/relationships/hyperlink" Target="http://analyticpartners.com" TargetMode="External"/><Relationship Id="rId151" Type="http://schemas.openxmlformats.org/officeDocument/2006/relationships/hyperlink" Target="https://analyticpartners.com/" TargetMode="External"/><Relationship Id="rId158" Type="http://schemas.openxmlformats.org/officeDocument/2006/relationships/hyperlink" Target="http://audigent.com" TargetMode="External"/><Relationship Id="rId157" Type="http://schemas.openxmlformats.org/officeDocument/2006/relationships/hyperlink" Target="https://audigent.com/" TargetMode="External"/><Relationship Id="rId156" Type="http://schemas.openxmlformats.org/officeDocument/2006/relationships/hyperlink" Target="http://artefact.com" TargetMode="External"/><Relationship Id="rId155" Type="http://schemas.openxmlformats.org/officeDocument/2006/relationships/hyperlink" Target="https://www.artefact.com/de/" TargetMode="External"/><Relationship Id="rId107" Type="http://schemas.openxmlformats.org/officeDocument/2006/relationships/hyperlink" Target="http://dataciders.com" TargetMode="External"/><Relationship Id="rId106" Type="http://schemas.openxmlformats.org/officeDocument/2006/relationships/hyperlink" Target="https://dataciders.com/en/" TargetMode="External"/><Relationship Id="rId105" Type="http://schemas.openxmlformats.org/officeDocument/2006/relationships/hyperlink" Target="http://baselinemix.com" TargetMode="External"/><Relationship Id="rId104" Type="http://schemas.openxmlformats.org/officeDocument/2006/relationships/hyperlink" Target="https://www.baselinemix.com/" TargetMode="External"/><Relationship Id="rId109" Type="http://schemas.openxmlformats.org/officeDocument/2006/relationships/hyperlink" Target="http://e-laborat.de" TargetMode="External"/><Relationship Id="rId108" Type="http://schemas.openxmlformats.org/officeDocument/2006/relationships/hyperlink" Target="https://www.e-laborat.de/" TargetMode="External"/><Relationship Id="rId103" Type="http://schemas.openxmlformats.org/officeDocument/2006/relationships/hyperlink" Target="http://aufgesang.de" TargetMode="External"/><Relationship Id="rId102" Type="http://schemas.openxmlformats.org/officeDocument/2006/relationships/hyperlink" Target="https://www.aufgesang.de/" TargetMode="External"/><Relationship Id="rId101" Type="http://schemas.openxmlformats.org/officeDocument/2006/relationships/hyperlink" Target="http://attributy.de" TargetMode="External"/><Relationship Id="rId100" Type="http://schemas.openxmlformats.org/officeDocument/2006/relationships/hyperlink" Target="https://attributy.de/" TargetMode="External"/><Relationship Id="rId129" Type="http://schemas.openxmlformats.org/officeDocument/2006/relationships/hyperlink" Target="http://omexa-strategy.com" TargetMode="External"/><Relationship Id="rId128" Type="http://schemas.openxmlformats.org/officeDocument/2006/relationships/hyperlink" Target="https://omexa-strategy.com/" TargetMode="External"/><Relationship Id="rId127" Type="http://schemas.openxmlformats.org/officeDocument/2006/relationships/hyperlink" Target="http://marketingattribution.com" TargetMode="External"/><Relationship Id="rId126" Type="http://schemas.openxmlformats.org/officeDocument/2006/relationships/hyperlink" Target="https://www.marketingattribution.com/" TargetMode="External"/><Relationship Id="rId121" Type="http://schemas.openxmlformats.org/officeDocument/2006/relationships/hyperlink" Target="http://incremental.com" TargetMode="External"/><Relationship Id="rId120" Type="http://schemas.openxmlformats.org/officeDocument/2006/relationships/hyperlink" Target="https://www.incremental.com/" TargetMode="External"/><Relationship Id="rId125" Type="http://schemas.openxmlformats.org/officeDocument/2006/relationships/hyperlink" Target="http://lifesight.io" TargetMode="External"/><Relationship Id="rId124" Type="http://schemas.openxmlformats.org/officeDocument/2006/relationships/hyperlink" Target="https://lifesight.io/" TargetMode="External"/><Relationship Id="rId123" Type="http://schemas.openxmlformats.org/officeDocument/2006/relationships/hyperlink" Target="http://kambria.de" TargetMode="External"/><Relationship Id="rId122" Type="http://schemas.openxmlformats.org/officeDocument/2006/relationships/hyperlink" Target="https://www.kambria.de/en" TargetMode="External"/><Relationship Id="rId118" Type="http://schemas.openxmlformats.org/officeDocument/2006/relationships/hyperlink" Target="https://www.hurra.com/de" TargetMode="External"/><Relationship Id="rId117" Type="http://schemas.openxmlformats.org/officeDocument/2006/relationships/hyperlink" Target="http://grabarz-group.de" TargetMode="External"/><Relationship Id="rId116" Type="http://schemas.openxmlformats.org/officeDocument/2006/relationships/hyperlink" Target="https://grabarz-group.de/en/" TargetMode="External"/><Relationship Id="rId115" Type="http://schemas.openxmlformats.org/officeDocument/2006/relationships/hyperlink" Target="http://geoagentur-hamburg.de" TargetMode="External"/><Relationship Id="rId119" Type="http://schemas.openxmlformats.org/officeDocument/2006/relationships/hyperlink" Target="http://hurra.com" TargetMode="External"/><Relationship Id="rId110" Type="http://schemas.openxmlformats.org/officeDocument/2006/relationships/hyperlink" Target="https://easeium.com/en/index.html" TargetMode="External"/><Relationship Id="rId114" Type="http://schemas.openxmlformats.org/officeDocument/2006/relationships/hyperlink" Target="https://www.geoagentur-hamburg.de/" TargetMode="External"/><Relationship Id="rId113" Type="http://schemas.openxmlformats.org/officeDocument/2006/relationships/hyperlink" Target="http://ebiquity.com" TargetMode="External"/><Relationship Id="rId112" Type="http://schemas.openxmlformats.org/officeDocument/2006/relationships/hyperlink" Target="https://ebiquity.com/" TargetMode="External"/><Relationship Id="rId111" Type="http://schemas.openxmlformats.org/officeDocument/2006/relationships/hyperlink" Target="http://easeium.com"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back9.co.nz" TargetMode="External"/><Relationship Id="rId42" Type="http://schemas.openxmlformats.org/officeDocument/2006/relationships/hyperlink" Target="http://blueduckagency.com" TargetMode="External"/><Relationship Id="rId41" Type="http://schemas.openxmlformats.org/officeDocument/2006/relationships/hyperlink" Target="https://www.blueduckagency.com/blog/incrementality" TargetMode="External"/><Relationship Id="rId44" Type="http://schemas.openxmlformats.org/officeDocument/2006/relationships/hyperlink" Target="http://c-n-t-a.com" TargetMode="External"/><Relationship Id="rId43" Type="http://schemas.openxmlformats.org/officeDocument/2006/relationships/hyperlink" Target="https://c-n-t-a.com/ai-lead-generation-triple-your-lead-quality-expert-tips/" TargetMode="External"/><Relationship Id="rId46" Type="http://schemas.openxmlformats.org/officeDocument/2006/relationships/hyperlink" Target="http://clicksgeek.com" TargetMode="External"/><Relationship Id="rId45" Type="http://schemas.openxmlformats.org/officeDocument/2006/relationships/hyperlink" Target="https://clicksgeek.com/best-digital-marketing-agency-for-roi/" TargetMode="External"/><Relationship Id="rId48" Type="http://schemas.openxmlformats.org/officeDocument/2006/relationships/hyperlink" Target="http://clicksgeek.com" TargetMode="External"/><Relationship Id="rId47" Type="http://schemas.openxmlformats.org/officeDocument/2006/relationships/hyperlink" Target="https://clicksgeek.com/best-marketing-agency-for-roi/" TargetMode="External"/><Relationship Id="rId49" Type="http://schemas.openxmlformats.org/officeDocument/2006/relationships/hyperlink" Target="https://www.cometly.com/post/how-to-calculate-marketing-attribution" TargetMode="External"/><Relationship Id="rId31" Type="http://schemas.openxmlformats.org/officeDocument/2006/relationships/hyperlink" Target="https://aiadvantageagency.com/first-party-data-strategy/" TargetMode="External"/><Relationship Id="rId30" Type="http://schemas.openxmlformats.org/officeDocument/2006/relationships/hyperlink" Target="http://microsoft.com" TargetMode="External"/><Relationship Id="rId33" Type="http://schemas.openxmlformats.org/officeDocument/2006/relationships/hyperlink" Target="https://amplitude.com/explore/experiment/incrementality-testing" TargetMode="External"/><Relationship Id="rId32" Type="http://schemas.openxmlformats.org/officeDocument/2006/relationships/hyperlink" Target="http://aiadvantageagency.com" TargetMode="External"/><Relationship Id="rId35" Type="http://schemas.openxmlformats.org/officeDocument/2006/relationships/hyperlink" Target="https://www.attnagency.com/blog/first-party-data-activation-cdp-ad-platform-strategy" TargetMode="External"/><Relationship Id="rId34" Type="http://schemas.openxmlformats.org/officeDocument/2006/relationships/hyperlink" Target="http://amplitude.com" TargetMode="External"/><Relationship Id="rId37" Type="http://schemas.openxmlformats.org/officeDocument/2006/relationships/hyperlink" Target="https://www.avaus.com/blog/how-media-agencies-can-utilize-first-party-data-to-drive-better-results/" TargetMode="External"/><Relationship Id="rId36" Type="http://schemas.openxmlformats.org/officeDocument/2006/relationships/hyperlink" Target="http://attnagency.com" TargetMode="External"/><Relationship Id="rId39" Type="http://schemas.openxmlformats.org/officeDocument/2006/relationships/hyperlink" Target="https://www.back9.co.nz/how-to-find-a-certified-google-partner/" TargetMode="External"/><Relationship Id="rId38" Type="http://schemas.openxmlformats.org/officeDocument/2006/relationships/hyperlink" Target="http://avaus.com" TargetMode="External"/><Relationship Id="rId20" Type="http://schemas.openxmlformats.org/officeDocument/2006/relationships/hyperlink" Target="http://partnerundsoehne.de" TargetMode="External"/><Relationship Id="rId22" Type="http://schemas.openxmlformats.org/officeDocument/2006/relationships/hyperlink" Target="http://sortlist.com" TargetMode="External"/><Relationship Id="rId21" Type="http://schemas.openxmlformats.org/officeDocument/2006/relationships/hyperlink" Target="https://www.sortlist.com/i/s/growth-marketing/germany-de" TargetMode="External"/><Relationship Id="rId24" Type="http://schemas.openxmlformats.org/officeDocument/2006/relationships/hyperlink" Target="http://stellaheystella.com" TargetMode="External"/><Relationship Id="rId23" Type="http://schemas.openxmlformats.org/officeDocument/2006/relationships/hyperlink" Target="https://www.stellaheystella.com/blog/how-to-integrate-geo-testing-into-your-marketing-strategy-a-step-by-step-guide" TargetMode="External"/><Relationship Id="rId26" Type="http://schemas.openxmlformats.org/officeDocument/2006/relationships/hyperlink" Target="http://upmore.com" TargetMode="External"/><Relationship Id="rId25" Type="http://schemas.openxmlformats.org/officeDocument/2006/relationships/hyperlink" Target="https://upmore.com/blog/who-are-google-partners-how-to-become-a-google-certified-partner" TargetMode="External"/><Relationship Id="rId28" Type="http://schemas.openxmlformats.org/officeDocument/2006/relationships/hyperlink" Target="http://2pointagency.com" TargetMode="External"/><Relationship Id="rId27" Type="http://schemas.openxmlformats.org/officeDocument/2006/relationships/hyperlink" Target="https://www.2pointagency.com/glossary/data-activation-and-first-party-data-strategy-a-comprehensive-guide-for-businesses/" TargetMode="External"/><Relationship Id="rId29" Type="http://schemas.openxmlformats.org/officeDocument/2006/relationships/hyperlink" Target="https://adoption.microsoft.com/en-us/ai-readiness-wizard/" TargetMode="External"/><Relationship Id="rId11" Type="http://schemas.openxmlformats.org/officeDocument/2006/relationships/hyperlink" Target="http://sellforte.com" TargetMode="External"/><Relationship Id="rId10" Type="http://schemas.openxmlformats.org/officeDocument/2006/relationships/hyperlink" Target="https://sellforte.com/support/sellforte-experiments-geo-lift" TargetMode="External"/><Relationship Id="rId13" Type="http://schemas.openxmlformats.org/officeDocument/2006/relationships/hyperlink" Target="http://google.com" TargetMode="External"/><Relationship Id="rId12" Type="http://schemas.openxmlformats.org/officeDocument/2006/relationships/hyperlink" Target="https://business.google.com/uk/think/measurement/incrementality-testing/" TargetMode="External"/><Relationship Id="rId15" Type="http://schemas.openxmlformats.org/officeDocument/2006/relationships/hyperlink" Target="http://bvdw.org" TargetMode="External"/><Relationship Id="rId14" Type="http://schemas.openxmlformats.org/officeDocument/2006/relationships/hyperlink" Target="https://www.bvdw.org/rankings/internetagentur-ranking-2025/" TargetMode="External"/><Relationship Id="rId17" Type="http://schemas.openxmlformats.org/officeDocument/2006/relationships/hyperlink" Target="http://consult.tv" TargetMode="External"/><Relationship Id="rId16" Type="http://schemas.openxmlformats.org/officeDocument/2006/relationships/hyperlink" Target="https://www.consult.tv/measuring-what-matters-a-c-suite-guide-to-incrementality-testing-in-programmatic-advertising/" TargetMode="External"/><Relationship Id="rId19" Type="http://schemas.openxmlformats.org/officeDocument/2006/relationships/hyperlink" Target="https://partnerundsoehne.de/en/magazine/inkrementelle-attribution/" TargetMode="External"/><Relationship Id="rId18" Type="http://schemas.openxmlformats.org/officeDocument/2006/relationships/hyperlink" Target="https://www.fieldtrip.agency/post/overcoming-creative-production-challenges-for-large-brand" TargetMode="External"/><Relationship Id="rId84" Type="http://schemas.openxmlformats.org/officeDocument/2006/relationships/hyperlink" Target="https://www.youtube.com/watch?v=dtlZTULGX4A" TargetMode="External"/><Relationship Id="rId83" Type="http://schemas.openxmlformats.org/officeDocument/2006/relationships/hyperlink" Target="http://youtube.com" TargetMode="External"/><Relationship Id="rId86" Type="http://schemas.openxmlformats.org/officeDocument/2006/relationships/drawing" Target="../drawings/drawing26.xml"/><Relationship Id="rId85" Type="http://schemas.openxmlformats.org/officeDocument/2006/relationships/hyperlink" Target="http://youtube.com" TargetMode="External"/><Relationship Id="rId80" Type="http://schemas.openxmlformats.org/officeDocument/2006/relationships/hyperlink" Target="https://www.yotpo.com/blog/aeo-vs-seo-strategy/" TargetMode="External"/><Relationship Id="rId82" Type="http://schemas.openxmlformats.org/officeDocument/2006/relationships/hyperlink" Target="https://www.youtube.com/watch?v=WD-3boLVluY&amp;vl=de&amp;t=368" TargetMode="External"/><Relationship Id="rId81" Type="http://schemas.openxmlformats.org/officeDocument/2006/relationships/hyperlink" Target="http://yotpo.com" TargetMode="External"/><Relationship Id="rId73" Type="http://schemas.openxmlformats.org/officeDocument/2006/relationships/hyperlink" Target="http://google.com" TargetMode="External"/><Relationship Id="rId72" Type="http://schemas.openxmlformats.org/officeDocument/2006/relationships/hyperlink" Target="https://support.google.com/google-ads/answer/11410677?hl=en" TargetMode="External"/><Relationship Id="rId75" Type="http://schemas.openxmlformats.org/officeDocument/2006/relationships/hyperlink" Target="http://google.com" TargetMode="External"/><Relationship Id="rId74" Type="http://schemas.openxmlformats.org/officeDocument/2006/relationships/hyperlink" Target="https://support.google.com/google-ads/answer/9702452?hl=de" TargetMode="External"/><Relationship Id="rId77" Type="http://schemas.openxmlformats.org/officeDocument/2006/relationships/hyperlink" Target="http://triplewhale.com" TargetMode="External"/><Relationship Id="rId76" Type="http://schemas.openxmlformats.org/officeDocument/2006/relationships/hyperlink" Target="https://www.triplewhale.com/blog/incrementality-testing-methods" TargetMode="External"/><Relationship Id="rId79" Type="http://schemas.openxmlformats.org/officeDocument/2006/relationships/hyperlink" Target="http://usercentrics.com" TargetMode="External"/><Relationship Id="rId78" Type="http://schemas.openxmlformats.org/officeDocument/2006/relationships/hyperlink" Target="https://usercentrics.com/guides/future-of-data-in-marketing/first-party-data-marketing/" TargetMode="External"/><Relationship Id="rId71" Type="http://schemas.openxmlformats.org/officeDocument/2006/relationships/hyperlink" Target="http://stackadapt.com" TargetMode="External"/><Relationship Id="rId70" Type="http://schemas.openxmlformats.org/officeDocument/2006/relationships/hyperlink" Target="https://www.stackadapt.com/resources/blog/first-party-data-strategy" TargetMode="External"/><Relationship Id="rId62" Type="http://schemas.openxmlformats.org/officeDocument/2006/relationships/hyperlink" Target="https://www.linkedin.com/top-content/marketing/digital-advertising-metrics/incrementality-testing-in-ads/" TargetMode="External"/><Relationship Id="rId61" Type="http://schemas.openxmlformats.org/officeDocument/2006/relationships/hyperlink" Target="http://haus.io" TargetMode="External"/><Relationship Id="rId64" Type="http://schemas.openxmlformats.org/officeDocument/2006/relationships/hyperlink" Target="https://madgicx.com/blog/ai-powered-marketing-tools-performance-ads" TargetMode="External"/><Relationship Id="rId63" Type="http://schemas.openxmlformats.org/officeDocument/2006/relationships/hyperlink" Target="http://linkedin.com" TargetMode="External"/><Relationship Id="rId66" Type="http://schemas.openxmlformats.org/officeDocument/2006/relationships/hyperlink" Target="https://www.osmos.ai/blog/first-party-data-in-retail-media-the-complete-targeting-guide" TargetMode="External"/><Relationship Id="rId65" Type="http://schemas.openxmlformats.org/officeDocument/2006/relationships/hyperlink" Target="http://madgicx.com" TargetMode="External"/><Relationship Id="rId68" Type="http://schemas.openxmlformats.org/officeDocument/2006/relationships/hyperlink" Target="https://simpli.fi/latest/how-to-build-a-winning-first-party-data-strategy-for-advertising" TargetMode="External"/><Relationship Id="rId67" Type="http://schemas.openxmlformats.org/officeDocument/2006/relationships/hyperlink" Target="http://osmos.ai" TargetMode="External"/><Relationship Id="rId60" Type="http://schemas.openxmlformats.org/officeDocument/2006/relationships/hyperlink" Target="https://haus.io/blog/choosing-the-best-incrementality-testing-tool" TargetMode="External"/><Relationship Id="rId69" Type="http://schemas.openxmlformats.org/officeDocument/2006/relationships/hyperlink" Target="http://simpli.fi" TargetMode="External"/><Relationship Id="rId51" Type="http://schemas.openxmlformats.org/officeDocument/2006/relationships/hyperlink" Target="https://www.cometly.com/post/incrementality-testing-for-paid-advertising" TargetMode="External"/><Relationship Id="rId50" Type="http://schemas.openxmlformats.org/officeDocument/2006/relationships/hyperlink" Target="http://cometly.com" TargetMode="External"/><Relationship Id="rId53" Type="http://schemas.openxmlformats.org/officeDocument/2006/relationships/hyperlink" Target="https://www.digitalapplied.com/blog/first-party-data-activation-2026-server-side-tracking-playbook" TargetMode="External"/><Relationship Id="rId52" Type="http://schemas.openxmlformats.org/officeDocument/2006/relationships/hyperlink" Target="http://cometly.com" TargetMode="External"/><Relationship Id="rId55" Type="http://schemas.openxmlformats.org/officeDocument/2006/relationships/hyperlink" Target="https://www.evergreen.media/en/guide/answer-engine-optimization/" TargetMode="External"/><Relationship Id="rId54" Type="http://schemas.openxmlformats.org/officeDocument/2006/relationships/hyperlink" Target="http://digitalapplied.com" TargetMode="External"/><Relationship Id="rId57" Type="http://schemas.openxmlformats.org/officeDocument/2006/relationships/hyperlink" Target="http://get-ryze.ai" TargetMode="External"/><Relationship Id="rId56" Type="http://schemas.openxmlformats.org/officeDocument/2006/relationships/hyperlink" Target="https://www.get-ryze.ai/blog/how-agencies-scale-ad-creative-production" TargetMode="External"/><Relationship Id="rId59" Type="http://schemas.openxmlformats.org/officeDocument/2006/relationships/hyperlink" Target="http://growth-rocket.com" TargetMode="External"/><Relationship Id="rId58" Type="http://schemas.openxmlformats.org/officeDocument/2006/relationships/hyperlink" Target="https://www.growth-rocket.com/blog/what-high-performing-agencies-do-differently-with-first-party-data-strategy/" TargetMode="External"/><Relationship Id="rId1" Type="http://schemas.openxmlformats.org/officeDocument/2006/relationships/hyperlink" Target="http://sortlist.de" TargetMode="External"/><Relationship Id="rId2" Type="http://schemas.openxmlformats.org/officeDocument/2006/relationships/hyperlink" Target="https://promoguy.nl/blog/2026/02/12/incrementality-testing-for-marketing-promotion/" TargetMode="External"/><Relationship Id="rId3" Type="http://schemas.openxmlformats.org/officeDocument/2006/relationships/hyperlink" Target="http://promoguy.nl" TargetMode="External"/><Relationship Id="rId4" Type="http://schemas.openxmlformats.org/officeDocument/2006/relationships/hyperlink" Target="https://aio.com.ai/blog/13498-best-seo-company-in-germany-ai-optimized-aio-guide" TargetMode="External"/><Relationship Id="rId9" Type="http://schemas.openxmlformats.org/officeDocument/2006/relationships/hyperlink" Target="http://youtube.com" TargetMode="External"/><Relationship Id="rId5" Type="http://schemas.openxmlformats.org/officeDocument/2006/relationships/hyperlink" Target="http://aio.com.ai" TargetMode="External"/><Relationship Id="rId6" Type="http://schemas.openxmlformats.org/officeDocument/2006/relationships/hyperlink" Target="https://gemprogrammers.com/best-digital-marketing-agency-germany/" TargetMode="External"/><Relationship Id="rId7" Type="http://schemas.openxmlformats.org/officeDocument/2006/relationships/hyperlink" Target="http://gemprogrammers.com" TargetMode="External"/><Relationship Id="rId8" Type="http://schemas.openxmlformats.org/officeDocument/2006/relationships/hyperlink" Target="https://www.youtube.com/watch?v=yqAWlB2swWU" TargetMode="External"/></Relationships>
</file>

<file path=xl/worksheets/_rels/sheet27.xml.rels><?xml version="1.0" encoding="UTF-8" standalone="yes"?><Relationships xmlns="http://schemas.openxmlformats.org/package/2006/relationships"><Relationship Id="rId392" Type="http://schemas.openxmlformats.org/officeDocument/2006/relationships/hyperlink" Target="https://www.neuhandeln.de/performance-ranking/performance_2025" TargetMode="External"/><Relationship Id="rId391" Type="http://schemas.openxmlformats.org/officeDocument/2006/relationships/hyperlink" Target="https://metaflow.life/blog/best-aeo-agencies-2026" TargetMode="External"/><Relationship Id="rId390" Type="http://schemas.openxmlformats.org/officeDocument/2006/relationships/hyperlink" Target="http://marketingexpertshub.com" TargetMode="External"/><Relationship Id="rId385" Type="http://schemas.openxmlformats.org/officeDocument/2006/relationships/hyperlink" Target="https://www.magier.com/blog/top-aeo-agencies" TargetMode="External"/><Relationship Id="rId384" Type="http://schemas.openxmlformats.org/officeDocument/2006/relationships/hyperlink" Target="http://madebyevoke.com" TargetMode="External"/><Relationship Id="rId383" Type="http://schemas.openxmlformats.org/officeDocument/2006/relationships/hyperlink" Target="https://madebyevoke.com/blog/top-branding-agencies-berlin" TargetMode="External"/><Relationship Id="rId382" Type="http://schemas.openxmlformats.org/officeDocument/2006/relationships/hyperlink" Target="http://influencermarketinghub.com" TargetMode="External"/><Relationship Id="rId389" Type="http://schemas.openxmlformats.org/officeDocument/2006/relationships/hyperlink" Target="https://marketingexpertshub.com/de/seo/best-aeo-agencies/" TargetMode="External"/><Relationship Id="rId388" Type="http://schemas.openxmlformats.org/officeDocument/2006/relationships/hyperlink" Target="http://magier.com" TargetMode="External"/><Relationship Id="rId387" Type="http://schemas.openxmlformats.org/officeDocument/2006/relationships/hyperlink" Target="https://www.magier.com/de/blog/besten-aeo-agenturen" TargetMode="External"/><Relationship Id="rId386" Type="http://schemas.openxmlformats.org/officeDocument/2006/relationships/hyperlink" Target="http://magier.com" TargetMode="External"/><Relationship Id="rId381" Type="http://schemas.openxmlformats.org/officeDocument/2006/relationships/hyperlink" Target="https://influencermarketinghub.com/ai-marketing-agencies/" TargetMode="External"/><Relationship Id="rId380" Type="http://schemas.openxmlformats.org/officeDocument/2006/relationships/hyperlink" Target="http://influencer-hero.com" TargetMode="External"/><Relationship Id="rId379" Type="http://schemas.openxmlformats.org/officeDocument/2006/relationships/hyperlink" Target="https://www.influencer-hero.com/blogs/top-social-media-agencies-in-munich" TargetMode="External"/><Relationship Id="rId374" Type="http://schemas.openxmlformats.org/officeDocument/2006/relationships/hyperlink" Target="http://growthmanager.ai" TargetMode="External"/><Relationship Id="rId373" Type="http://schemas.openxmlformats.org/officeDocument/2006/relationships/hyperlink" Target="https://growthmanager.ai/best-geo-agency" TargetMode="External"/><Relationship Id="rId372" Type="http://schemas.openxmlformats.org/officeDocument/2006/relationships/hyperlink" Target="https://www.evergreen.media/ratgeber/beste-geo-agentur/" TargetMode="External"/><Relationship Id="rId371" Type="http://schemas.openxmlformats.org/officeDocument/2006/relationships/hyperlink" Target="http://europeanbusinessreview.com" TargetMode="External"/><Relationship Id="rId378" Type="http://schemas.openxmlformats.org/officeDocument/2006/relationships/hyperlink" Target="https://inbeat.agency/blog/top-media-buying-agencies" TargetMode="External"/><Relationship Id="rId377" Type="http://schemas.openxmlformats.org/officeDocument/2006/relationships/hyperlink" Target="https://inbeat.agency/blog/top-marketing-measurement-and-analytics-companies" TargetMode="External"/><Relationship Id="rId376" Type="http://schemas.openxmlformats.org/officeDocument/2006/relationships/hyperlink" Target="http://growthmarketingpro.com" TargetMode="External"/><Relationship Id="rId375" Type="http://schemas.openxmlformats.org/officeDocument/2006/relationships/hyperlink" Target="https://www.growthmarketingpro.com/best-aeo-marketing-agencies/" TargetMode="External"/><Relationship Id="rId396" Type="http://schemas.openxmlformats.org/officeDocument/2006/relationships/hyperlink" Target="https://nogood.io/blog/best-answer-engine-optimization-agencies/" TargetMode="External"/><Relationship Id="rId395" Type="http://schemas.openxmlformats.org/officeDocument/2006/relationships/hyperlink" Target="http://nogood.io" TargetMode="External"/><Relationship Id="rId394" Type="http://schemas.openxmlformats.org/officeDocument/2006/relationships/hyperlink" Target="https://nogood.io/blog/ai-marketing-agency/" TargetMode="External"/><Relationship Id="rId393" Type="http://schemas.openxmlformats.org/officeDocument/2006/relationships/hyperlink" Target="http://neuhandeln.de" TargetMode="External"/><Relationship Id="rId399" Type="http://schemas.openxmlformats.org/officeDocument/2006/relationships/hyperlink" Target="http://oneclub.org" TargetMode="External"/><Relationship Id="rId398" Type="http://schemas.openxmlformats.org/officeDocument/2006/relationships/hyperlink" Target="https://www.oneclub.org/press/-adc100-rankings" TargetMode="External"/><Relationship Id="rId397" Type="http://schemas.openxmlformats.org/officeDocument/2006/relationships/hyperlink" Target="http://nogood.io" TargetMode="External"/><Relationship Id="rId40" Type="http://schemas.openxmlformats.org/officeDocument/2006/relationships/hyperlink" Target="http://aeovision.ai" TargetMode="External"/><Relationship Id="rId42" Type="http://schemas.openxmlformats.org/officeDocument/2006/relationships/hyperlink" Target="http://sourceforge.net" TargetMode="External"/><Relationship Id="rId41" Type="http://schemas.openxmlformats.org/officeDocument/2006/relationships/hyperlink" Target="https://sourceforge.net/software/marketing-attribution/germany/" TargetMode="External"/><Relationship Id="rId44" Type="http://schemas.openxmlformats.org/officeDocument/2006/relationships/hyperlink" Target="http://hikemytraffic.com" TargetMode="External"/><Relationship Id="rId43" Type="http://schemas.openxmlformats.org/officeDocument/2006/relationships/hyperlink" Target="https://hikemytraffic.com/ai-digital-marketing-services-in-germany/" TargetMode="External"/><Relationship Id="rId46" Type="http://schemas.openxmlformats.org/officeDocument/2006/relationships/hyperlink" Target="http://xmethod.de" TargetMode="External"/><Relationship Id="rId45" Type="http://schemas.openxmlformats.org/officeDocument/2006/relationships/hyperlink" Target="https://www.xmethod.de/en/blog/besten-ki-agenturen" TargetMode="External"/><Relationship Id="rId48" Type="http://schemas.openxmlformats.org/officeDocument/2006/relationships/hyperlink" Target="http://zendikt.com" TargetMode="External"/><Relationship Id="rId47" Type="http://schemas.openxmlformats.org/officeDocument/2006/relationships/hyperlink" Target="https://www.zendikt.com/top-10-marketing-analytics-software/germany" TargetMode="External"/><Relationship Id="rId49" Type="http://schemas.openxmlformats.org/officeDocument/2006/relationships/hyperlink" Target="https://www.dreikon.de/en/news/online-marketing-knowledge/best-online-marketing-agency-in-germany/" TargetMode="External"/><Relationship Id="rId31" Type="http://schemas.openxmlformats.org/officeDocument/2006/relationships/hyperlink" Target="https://hikemytraffic.com/ai-digital-marketing-agencies-in-germany/" TargetMode="External"/><Relationship Id="rId30" Type="http://schemas.openxmlformats.org/officeDocument/2006/relationships/hyperlink" Target="http://dreikon.de" TargetMode="External"/><Relationship Id="rId33" Type="http://schemas.openxmlformats.org/officeDocument/2006/relationships/hyperlink" Target="https://www.influencer-hero.com/blogs/top-pay-per-click-agencies-in-germany" TargetMode="External"/><Relationship Id="rId32" Type="http://schemas.openxmlformats.org/officeDocument/2006/relationships/hyperlink" Target="http://hikemytraffic.com" TargetMode="External"/><Relationship Id="rId35" Type="http://schemas.openxmlformats.org/officeDocument/2006/relationships/hyperlink" Target="https://www.cometly.com/post/best-marketing-attribution-agencies-in-europe" TargetMode="External"/><Relationship Id="rId34" Type="http://schemas.openxmlformats.org/officeDocument/2006/relationships/hyperlink" Target="http://influencer-hero.com" TargetMode="External"/><Relationship Id="rId37" Type="http://schemas.openxmlformats.org/officeDocument/2006/relationships/hyperlink" Target="https://www.magiclibrary.co/blog/best-b2b-saas-marketing-agencies-in-germany" TargetMode="External"/><Relationship Id="rId36" Type="http://schemas.openxmlformats.org/officeDocument/2006/relationships/hyperlink" Target="http://cometly.com" TargetMode="External"/><Relationship Id="rId39" Type="http://schemas.openxmlformats.org/officeDocument/2006/relationships/hyperlink" Target="https://aeovision.ai/articles/best-aeo-geo-agencies-2026/" TargetMode="External"/><Relationship Id="rId38" Type="http://schemas.openxmlformats.org/officeDocument/2006/relationships/hyperlink" Target="http://magiclibrary.co" TargetMode="External"/><Relationship Id="rId20" Type="http://schemas.openxmlformats.org/officeDocument/2006/relationships/hyperlink" Target="https://creatif.agency/the-best-branding-agencies-in-germany/" TargetMode="External"/><Relationship Id="rId22" Type="http://schemas.openxmlformats.org/officeDocument/2006/relationships/hyperlink" Target="http://influencer-hero.com" TargetMode="External"/><Relationship Id="rId21" Type="http://schemas.openxmlformats.org/officeDocument/2006/relationships/hyperlink" Target="https://www.influencer-hero.com/blogs/top-social-media-agencies-in-germany" TargetMode="External"/><Relationship Id="rId24" Type="http://schemas.openxmlformats.org/officeDocument/2006/relationships/hyperlink" Target="http://measured.com" TargetMode="External"/><Relationship Id="rId23" Type="http://schemas.openxmlformats.org/officeDocument/2006/relationships/hyperlink" Target="https://www.measured.com/faq/best-incrementality-testing-companies-software-for-marketing-2026/" TargetMode="External"/><Relationship Id="rId26" Type="http://schemas.openxmlformats.org/officeDocument/2006/relationships/hyperlink" Target="http://radigitalworld.com" TargetMode="External"/><Relationship Id="rId25" Type="http://schemas.openxmlformats.org/officeDocument/2006/relationships/hyperlink" Target="https://www.radigitalworld.com/2026/03/best-performance-marketing-companies-in.html" TargetMode="External"/><Relationship Id="rId28" Type="http://schemas.openxmlformats.org/officeDocument/2006/relationships/hyperlink" Target="http://xmethod.de" TargetMode="External"/><Relationship Id="rId27" Type="http://schemas.openxmlformats.org/officeDocument/2006/relationships/hyperlink" Target="https://www.xmethod.de/en/blog/best-ai-agencies" TargetMode="External"/><Relationship Id="rId29" Type="http://schemas.openxmlformats.org/officeDocument/2006/relationships/hyperlink" Target="https://www.dreikon.de/en/news/social-media/the-10-best-agencies-in-germany-2026/" TargetMode="External"/><Relationship Id="rId11" Type="http://schemas.openxmlformats.org/officeDocument/2006/relationships/hyperlink" Target="http://influencer-hero.com" TargetMode="External"/><Relationship Id="rId10" Type="http://schemas.openxmlformats.org/officeDocument/2006/relationships/hyperlink" Target="https://www.influencer-hero.com/blogs/top-10-creative-agencies-in-germany" TargetMode="External"/><Relationship Id="rId13" Type="http://schemas.openxmlformats.org/officeDocument/2006/relationships/hyperlink" Target="http://ibusiness.de" TargetMode="External"/><Relationship Id="rId12" Type="http://schemas.openxmlformats.org/officeDocument/2006/relationships/hyperlink" Target="https://www.ibusiness.de/performance-ranking/" TargetMode="External"/><Relationship Id="rId15" Type="http://schemas.openxmlformats.org/officeDocument/2006/relationships/hyperlink" Target="http://radyant.io" TargetMode="External"/><Relationship Id="rId14" Type="http://schemas.openxmlformats.org/officeDocument/2006/relationships/hyperlink" Target="https://www.radyant.io/comparison/6-best-geo-agencies-in-germany" TargetMode="External"/><Relationship Id="rId17" Type="http://schemas.openxmlformats.org/officeDocument/2006/relationships/hyperlink" Target="http://dreikon.de" TargetMode="External"/><Relationship Id="rId16" Type="http://schemas.openxmlformats.org/officeDocument/2006/relationships/hyperlink" Target="https://www.dreikon.de/en/news/online-marketing-knowledge/10-best-seo-and-geo-agencies-2026/" TargetMode="External"/><Relationship Id="rId19" Type="http://schemas.openxmlformats.org/officeDocument/2006/relationships/hyperlink" Target="http://influencer-hero.com" TargetMode="External"/><Relationship Id="rId18" Type="http://schemas.openxmlformats.org/officeDocument/2006/relationships/hyperlink" Target="https://www.influencer-hero.com/blogs/top-advertising-agencies-in-germany" TargetMode="External"/><Relationship Id="rId84" Type="http://schemas.openxmlformats.org/officeDocument/2006/relationships/hyperlink" Target="https://themanifest.com/de/social-media/agencies" TargetMode="External"/><Relationship Id="rId83" Type="http://schemas.openxmlformats.org/officeDocument/2006/relationships/hyperlink" Target="http://zyppy.com" TargetMode="External"/><Relationship Id="rId86" Type="http://schemas.openxmlformats.org/officeDocument/2006/relationships/hyperlink" Target="https://www.omnius.so/blog/best-answer-engine-optimization-agencies" TargetMode="External"/><Relationship Id="rId85" Type="http://schemas.openxmlformats.org/officeDocument/2006/relationships/hyperlink" Target="http://themanifest.com" TargetMode="External"/><Relationship Id="rId88" Type="http://schemas.openxmlformats.org/officeDocument/2006/relationships/hyperlink" Target="https://lengreo.com/germany-aeo-geo-llmo-companies/" TargetMode="External"/><Relationship Id="rId87" Type="http://schemas.openxmlformats.org/officeDocument/2006/relationships/hyperlink" Target="http://omnius.so" TargetMode="External"/><Relationship Id="rId89" Type="http://schemas.openxmlformats.org/officeDocument/2006/relationships/hyperlink" Target="http://lengreo.com" TargetMode="External"/><Relationship Id="rId80" Type="http://schemas.openxmlformats.org/officeDocument/2006/relationships/hyperlink" Target="https://seeders.com/blog/top-10-generative-engine-optimization-geo-agencies-in-europe/" TargetMode="External"/><Relationship Id="rId82" Type="http://schemas.openxmlformats.org/officeDocument/2006/relationships/hyperlink" Target="https://zyppy.com/companies/c/generative-ai-seo/germany/" TargetMode="External"/><Relationship Id="rId81" Type="http://schemas.openxmlformats.org/officeDocument/2006/relationships/hyperlink" Target="http://seeders.com" TargetMode="External"/><Relationship Id="rId73" Type="http://schemas.openxmlformats.org/officeDocument/2006/relationships/hyperlink" Target="http://lengreo.com" TargetMode="External"/><Relationship Id="rId72" Type="http://schemas.openxmlformats.org/officeDocument/2006/relationships/hyperlink" Target="https://lengreo.com/germany-berlin-aeo-geo-llmo-companies/" TargetMode="External"/><Relationship Id="rId75" Type="http://schemas.openxmlformats.org/officeDocument/2006/relationships/hyperlink" Target="http://youtube.com" TargetMode="External"/><Relationship Id="rId74" Type="http://schemas.openxmlformats.org/officeDocument/2006/relationships/hyperlink" Target="https://www.youtube.com/watch?v=00C1PZt8bLw&amp;vl=de&amp;t=116" TargetMode="External"/><Relationship Id="rId77" Type="http://schemas.openxmlformats.org/officeDocument/2006/relationships/hyperlink" Target="http://awisee.com" TargetMode="External"/><Relationship Id="rId76" Type="http://schemas.openxmlformats.org/officeDocument/2006/relationships/hyperlink" Target="https://awisee.com/blog/digital-marketing-agencies-germany/" TargetMode="External"/><Relationship Id="rId79" Type="http://schemas.openxmlformats.org/officeDocument/2006/relationships/hyperlink" Target="http://radyant.io" TargetMode="External"/><Relationship Id="rId78" Type="http://schemas.openxmlformats.org/officeDocument/2006/relationships/hyperlink" Target="https://www.radyant.io/comparison/the-7-best-ai-search-optimization-agencies-in-europe" TargetMode="External"/><Relationship Id="rId71" Type="http://schemas.openxmlformats.org/officeDocument/2006/relationships/hyperlink" Target="https://oski.site/blog/sales-and-marketing-analytics-companies-germany/" TargetMode="External"/><Relationship Id="rId70" Type="http://schemas.openxmlformats.org/officeDocument/2006/relationships/hyperlink" Target="http://nevolearn.com" TargetMode="External"/><Relationship Id="rId62" Type="http://schemas.openxmlformats.org/officeDocument/2006/relationships/hyperlink" Target="http://neuhandeln.de" TargetMode="External"/><Relationship Id="rId61" Type="http://schemas.openxmlformats.org/officeDocument/2006/relationships/hyperlink" Target="https://www.neuhandeln.de/performance-ranking/performance_2024" TargetMode="External"/><Relationship Id="rId64" Type="http://schemas.openxmlformats.org/officeDocument/2006/relationships/hyperlink" Target="http://seeders.com" TargetMode="External"/><Relationship Id="rId63" Type="http://schemas.openxmlformats.org/officeDocument/2006/relationships/hyperlink" Target="https://seeders.com/blog/8-best-seo-agencies-in-germany-2026-ranked/" TargetMode="External"/><Relationship Id="rId66" Type="http://schemas.openxmlformats.org/officeDocument/2006/relationships/hyperlink" Target="http://thegrowthsyndicate.com" TargetMode="External"/><Relationship Id="rId65" Type="http://schemas.openxmlformats.org/officeDocument/2006/relationships/hyperlink" Target="https://www.thegrowthsyndicate.com/agencies/best-b2b-performance-marketing-agencies-europe" TargetMode="External"/><Relationship Id="rId68" Type="http://schemas.openxmlformats.org/officeDocument/2006/relationships/hyperlink" Target="http://ibusiness.de" TargetMode="External"/><Relationship Id="rId67" Type="http://schemas.openxmlformats.org/officeDocument/2006/relationships/hyperlink" Target="https://www.ibusiness.de/performance-ranking/performance_2025" TargetMode="External"/><Relationship Id="rId60" Type="http://schemas.openxmlformats.org/officeDocument/2006/relationships/hyperlink" Target="http://agenturtipp.de" TargetMode="External"/><Relationship Id="rId69" Type="http://schemas.openxmlformats.org/officeDocument/2006/relationships/hyperlink" Target="https://nevolearn.com/blog/social-media-marketing-agencies-germany" TargetMode="External"/><Relationship Id="rId51" Type="http://schemas.openxmlformats.org/officeDocument/2006/relationships/hyperlink" Target="https://www.cometly.com/post/marketing-incrementality-testing-tools" TargetMode="External"/><Relationship Id="rId50" Type="http://schemas.openxmlformats.org/officeDocument/2006/relationships/hyperlink" Target="http://dreikon.de" TargetMode="External"/><Relationship Id="rId53" Type="http://schemas.openxmlformats.org/officeDocument/2006/relationships/hyperlink" Target="https://hikemytraffic.com/ai-seo-agencies-in-germany/" TargetMode="External"/><Relationship Id="rId52" Type="http://schemas.openxmlformats.org/officeDocument/2006/relationships/hyperlink" Target="http://cometly.com" TargetMode="External"/><Relationship Id="rId55" Type="http://schemas.openxmlformats.org/officeDocument/2006/relationships/hyperlink" Target="https://lengreo.com/best-llm-seo-agencies-in-germany/" TargetMode="External"/><Relationship Id="rId54" Type="http://schemas.openxmlformats.org/officeDocument/2006/relationships/hyperlink" Target="http://hikemytraffic.com" TargetMode="External"/><Relationship Id="rId57" Type="http://schemas.openxmlformats.org/officeDocument/2006/relationships/hyperlink" Target="https://northquery.com/best-aeo-agency/europe" TargetMode="External"/><Relationship Id="rId56" Type="http://schemas.openxmlformats.org/officeDocument/2006/relationships/hyperlink" Target="http://lengreo.com" TargetMode="External"/><Relationship Id="rId59" Type="http://schemas.openxmlformats.org/officeDocument/2006/relationships/hyperlink" Target="https://www.agenturtipp.de/performance-marketing-agenturen/" TargetMode="External"/><Relationship Id="rId58" Type="http://schemas.openxmlformats.org/officeDocument/2006/relationships/hyperlink" Target="http://northquery.com" TargetMode="External"/><Relationship Id="rId349" Type="http://schemas.openxmlformats.org/officeDocument/2006/relationships/hyperlink" Target="http://campaigngermany.de" TargetMode="External"/><Relationship Id="rId348" Type="http://schemas.openxmlformats.org/officeDocument/2006/relationships/hyperlink" Target="https://aoy.campaigngermany.de/shortlist/" TargetMode="External"/><Relationship Id="rId347" Type="http://schemas.openxmlformats.org/officeDocument/2006/relationships/hyperlink" Target="http://ai-heroes.co" TargetMode="External"/><Relationship Id="rId346" Type="http://schemas.openxmlformats.org/officeDocument/2006/relationships/hyperlink" Target="https://www.ai-heroes.co/en-us/blog/best-ai-search-agencies-2026" TargetMode="External"/><Relationship Id="rId341" Type="http://schemas.openxmlformats.org/officeDocument/2006/relationships/hyperlink" Target="http://zipdo.co" TargetMode="External"/><Relationship Id="rId340" Type="http://schemas.openxmlformats.org/officeDocument/2006/relationships/hyperlink" Target="https://zipdo.co/service/marketing-attribution/" TargetMode="External"/><Relationship Id="rId345" Type="http://schemas.openxmlformats.org/officeDocument/2006/relationships/hyperlink" Target="http://agenturjobs.de" TargetMode="External"/><Relationship Id="rId344" Type="http://schemas.openxmlformats.org/officeDocument/2006/relationships/hyperlink" Target="https://agenturjobs.de/beste-marketing-agenturen-deutschland-2026/" TargetMode="External"/><Relationship Id="rId343" Type="http://schemas.openxmlformats.org/officeDocument/2006/relationships/hyperlink" Target="http://adspyder.io" TargetMode="External"/><Relationship Id="rId342" Type="http://schemas.openxmlformats.org/officeDocument/2006/relationships/hyperlink" Target="https://adspyder.io/blog/top-25-global-ad-agencies/" TargetMode="External"/><Relationship Id="rId338" Type="http://schemas.openxmlformats.org/officeDocument/2006/relationships/hyperlink" Target="https://www.youtube.com/watch?v=00C1PZt8bLw&amp;vl=en" TargetMode="External"/><Relationship Id="rId337" Type="http://schemas.openxmlformats.org/officeDocument/2006/relationships/hyperlink" Target="http://visionone.co.uk" TargetMode="External"/><Relationship Id="rId336" Type="http://schemas.openxmlformats.org/officeDocument/2006/relationships/hyperlink" Target="https://visionone.co.uk/news/the-best-international-research-agencies/" TargetMode="External"/><Relationship Id="rId335" Type="http://schemas.openxmlformats.org/officeDocument/2006/relationships/hyperlink" Target="http://topseobrands.com" TargetMode="External"/><Relationship Id="rId339" Type="http://schemas.openxmlformats.org/officeDocument/2006/relationships/hyperlink" Target="http://youtube.com" TargetMode="External"/><Relationship Id="rId330" Type="http://schemas.openxmlformats.org/officeDocument/2006/relationships/hyperlink" Target="https://themanifest.com/de/programmatic/agencies" TargetMode="External"/><Relationship Id="rId334" Type="http://schemas.openxmlformats.org/officeDocument/2006/relationships/hyperlink" Target="https://www.topseobrands.com/de/best-display-advertising-firms-in-germany" TargetMode="External"/><Relationship Id="rId333" Type="http://schemas.openxmlformats.org/officeDocument/2006/relationships/hyperlink" Target="http://humandeluxe.com" TargetMode="External"/><Relationship Id="rId332" Type="http://schemas.openxmlformats.org/officeDocument/2006/relationships/hyperlink" Target="https://toolbox.humandeluxe.com/best-design-studios/" TargetMode="External"/><Relationship Id="rId331" Type="http://schemas.openxmlformats.org/officeDocument/2006/relationships/hyperlink" Target="http://themanifest.com" TargetMode="External"/><Relationship Id="rId370" Type="http://schemas.openxmlformats.org/officeDocument/2006/relationships/hyperlink" Target="https://www.europeanbusinessreview.com/top-10-b2b-aeo-geo-companies-that-help-generate-leads-from-ai-search/" TargetMode="External"/><Relationship Id="rId369" Type="http://schemas.openxmlformats.org/officeDocument/2006/relationships/hyperlink" Target="http://directiveconsulting.com" TargetMode="External"/><Relationship Id="rId368" Type="http://schemas.openxmlformats.org/officeDocument/2006/relationships/hyperlink" Target="https://directiveconsulting.com/blog/top-performance-marketing-agencies/" TargetMode="External"/><Relationship Id="rId363" Type="http://schemas.openxmlformats.org/officeDocument/2006/relationships/hyperlink" Target="http://cometly.com" TargetMode="External"/><Relationship Id="rId362" Type="http://schemas.openxmlformats.org/officeDocument/2006/relationships/hyperlink" Target="https://www.cometly.com/post/marketing-attribution-tools-for-agencies" TargetMode="External"/><Relationship Id="rId361" Type="http://schemas.openxmlformats.org/officeDocument/2006/relationships/hyperlink" Target="http://cmmodels.com" TargetMode="External"/><Relationship Id="rId360" Type="http://schemas.openxmlformats.org/officeDocument/2006/relationships/hyperlink" Target="https://cmmodels.com/10-fashion-advertising-agencies-in-germany/" TargetMode="External"/><Relationship Id="rId367" Type="http://schemas.openxmlformats.org/officeDocument/2006/relationships/hyperlink" Target="http://directiveconsulting.com" TargetMode="External"/><Relationship Id="rId366" Type="http://schemas.openxmlformats.org/officeDocument/2006/relationships/hyperlink" Target="https://directiveconsulting.com/blog/25-best-advertising-agencies-built-for-media-momentum/" TargetMode="External"/><Relationship Id="rId365" Type="http://schemas.openxmlformats.org/officeDocument/2006/relationships/hyperlink" Target="http://pr-journal.de" TargetMode="External"/><Relationship Id="rId364" Type="http://schemas.openxmlformats.org/officeDocument/2006/relationships/hyperlink" Target="https://datenbanken.pr-journal.de/pr-agenturrankings/kreativ-ranking.html" TargetMode="External"/><Relationship Id="rId95" Type="http://schemas.openxmlformats.org/officeDocument/2006/relationships/hyperlink" Target="http://adbeacon.com" TargetMode="External"/><Relationship Id="rId94" Type="http://schemas.openxmlformats.org/officeDocument/2006/relationships/hyperlink" Target="https://www.adbeacon.com/19-best-marketing-attribution-software-solutions-in-2026/" TargetMode="External"/><Relationship Id="rId97" Type="http://schemas.openxmlformats.org/officeDocument/2006/relationships/hyperlink" Target="http://adbeacon.com" TargetMode="External"/><Relationship Id="rId96" Type="http://schemas.openxmlformats.org/officeDocument/2006/relationships/hyperlink" Target="https://www.adbeacon.com/7-best-marketing-attribution-tools-compared-2026/" TargetMode="External"/><Relationship Id="rId99" Type="http://schemas.openxmlformats.org/officeDocument/2006/relationships/hyperlink" Target="http://aisuperior.com" TargetMode="External"/><Relationship Id="rId98" Type="http://schemas.openxmlformats.org/officeDocument/2006/relationships/hyperlink" Target="https://aisuperior.com/ai-consulting-companies-in-germany/" TargetMode="External"/><Relationship Id="rId91" Type="http://schemas.openxmlformats.org/officeDocument/2006/relationships/hyperlink" Target="http://lengreo.com" TargetMode="External"/><Relationship Id="rId90" Type="http://schemas.openxmlformats.org/officeDocument/2006/relationships/hyperlink" Target="https://lengreo.com/top-google-ads-agencies-in-germany/" TargetMode="External"/><Relationship Id="rId93" Type="http://schemas.openxmlformats.org/officeDocument/2006/relationships/hyperlink" Target="http://loudface.co" TargetMode="External"/><Relationship Id="rId92" Type="http://schemas.openxmlformats.org/officeDocument/2006/relationships/hyperlink" Target="https://www.loudface.co/blog/best-aeo-agencies-2026" TargetMode="External"/><Relationship Id="rId359" Type="http://schemas.openxmlformats.org/officeDocument/2006/relationships/hyperlink" Target="http://clicksgeek.com" TargetMode="External"/><Relationship Id="rId358" Type="http://schemas.openxmlformats.org/officeDocument/2006/relationships/hyperlink" Target="https://clicksgeek.com/best-roi-focused-marketing-agencies/" TargetMode="External"/><Relationship Id="rId357" Type="http://schemas.openxmlformats.org/officeDocument/2006/relationships/hyperlink" Target="http://clicksgeek.com" TargetMode="External"/><Relationship Id="rId352" Type="http://schemas.openxmlformats.org/officeDocument/2006/relationships/hyperlink" Target="https://www.bonanza-studios.com/blog/10-best-branding-agencies-in-berlin-to-look-for-in-2025" TargetMode="External"/><Relationship Id="rId351" Type="http://schemas.openxmlformats.org/officeDocument/2006/relationships/hyperlink" Target="http://betteranswer.ai" TargetMode="External"/><Relationship Id="rId350" Type="http://schemas.openxmlformats.org/officeDocument/2006/relationships/hyperlink" Target="https://betteranswer.ai/blogs/best-aeo-agencies" TargetMode="External"/><Relationship Id="rId356" Type="http://schemas.openxmlformats.org/officeDocument/2006/relationships/hyperlink" Target="https://clicksgeek.com/best-roi-digital-marketing-agencies/" TargetMode="External"/><Relationship Id="rId355" Type="http://schemas.openxmlformats.org/officeDocument/2006/relationships/hyperlink" Target="http://cabinco.com" TargetMode="External"/><Relationship Id="rId354" Type="http://schemas.openxmlformats.org/officeDocument/2006/relationships/hyperlink" Target="https://cabinco.com/best-ai-consulting-firms/" TargetMode="External"/><Relationship Id="rId353" Type="http://schemas.openxmlformats.org/officeDocument/2006/relationships/hyperlink" Target="http://bonanza-studios.com" TargetMode="External"/><Relationship Id="rId305" Type="http://schemas.openxmlformats.org/officeDocument/2006/relationships/hyperlink" Target="http://crystalinfoway.com" TargetMode="External"/><Relationship Id="rId304" Type="http://schemas.openxmlformats.org/officeDocument/2006/relationships/hyperlink" Target="https://www.crystalinfoway.com/blogs/view/top-10-digital-marketing-companies-in-germany" TargetMode="External"/><Relationship Id="rId303" Type="http://schemas.openxmlformats.org/officeDocument/2006/relationships/hyperlink" Target="http://cornerstonecontent.com" TargetMode="External"/><Relationship Id="rId302" Type="http://schemas.openxmlformats.org/officeDocument/2006/relationships/hyperlink" Target="https://cornerstonecontent.com/best-answer-engine-optimization-aeo-agencies/" TargetMode="External"/><Relationship Id="rId309" Type="http://schemas.openxmlformats.org/officeDocument/2006/relationships/hyperlink" Target="http://housesofgrowth.com" TargetMode="External"/><Relationship Id="rId308" Type="http://schemas.openxmlformats.org/officeDocument/2006/relationships/hyperlink" Target="https://www.housesofgrowth.com/post/aeo-agencies-in-europe" TargetMode="External"/><Relationship Id="rId307" Type="http://schemas.openxmlformats.org/officeDocument/2006/relationships/hyperlink" Target="http://dreikon.de" TargetMode="External"/><Relationship Id="rId306" Type="http://schemas.openxmlformats.org/officeDocument/2006/relationships/hyperlink" Target="https://www.dreikon.de/aktuell/online-marketing-wissen/die-10-besten-seo-und-geo-agenturen-2026/" TargetMode="External"/><Relationship Id="rId301" Type="http://schemas.openxmlformats.org/officeDocument/2006/relationships/hyperlink" Target="http://businessinsider.com" TargetMode="External"/><Relationship Id="rId300" Type="http://schemas.openxmlformats.org/officeDocument/2006/relationships/hyperlink" Target="https://www.businessinsider.com/mckinsey-bcg-and-deloitte-competition-small-boutique-specialized-ai-2025-4" TargetMode="External"/><Relationship Id="rId327" Type="http://schemas.openxmlformats.org/officeDocument/2006/relationships/hyperlink" Target="http://sourceforge.net" TargetMode="External"/><Relationship Id="rId326" Type="http://schemas.openxmlformats.org/officeDocument/2006/relationships/hyperlink" Target="https://sourceforge.net/software/answer-engine-optimization-aeo/germany/" TargetMode="External"/><Relationship Id="rId325" Type="http://schemas.openxmlformats.org/officeDocument/2006/relationships/hyperlink" Target="http://seoworks.com" TargetMode="External"/><Relationship Id="rId324" Type="http://schemas.openxmlformats.org/officeDocument/2006/relationships/hyperlink" Target="https://www.seoworks.com/lists/best-aeo-answer-engine-optimisation-agencies/" TargetMode="External"/><Relationship Id="rId329" Type="http://schemas.openxmlformats.org/officeDocument/2006/relationships/hyperlink" Target="http://thatware.co" TargetMode="External"/><Relationship Id="rId328" Type="http://schemas.openxmlformats.org/officeDocument/2006/relationships/hyperlink" Target="https://thatware.co/top-10-llm-seo-companies-in-germany/" TargetMode="External"/><Relationship Id="rId323" Type="http://schemas.openxmlformats.org/officeDocument/2006/relationships/hyperlink" Target="http://procloser.ai" TargetMode="External"/><Relationship Id="rId322" Type="http://schemas.openxmlformats.org/officeDocument/2006/relationships/hyperlink" Target="https://procloser.ai/blog/best-aeo-agencies-2026/" TargetMode="External"/><Relationship Id="rId321" Type="http://schemas.openxmlformats.org/officeDocument/2006/relationships/hyperlink" Target="http://omnius.so" TargetMode="External"/><Relationship Id="rId320" Type="http://schemas.openxmlformats.org/officeDocument/2006/relationships/hyperlink" Target="https://www.omnius.so/blog/german-seo-agencies" TargetMode="External"/><Relationship Id="rId316" Type="http://schemas.openxmlformats.org/officeDocument/2006/relationships/hyperlink" Target="https://mammoth.io/blog/marketing-attribution-software/" TargetMode="External"/><Relationship Id="rId315" Type="http://schemas.openxmlformats.org/officeDocument/2006/relationships/hyperlink" Target="http://magiclibrary.co" TargetMode="External"/><Relationship Id="rId314" Type="http://schemas.openxmlformats.org/officeDocument/2006/relationships/hyperlink" Target="https://www.magiclibrary.co/blog/best-linkedin-ads-agency-in-germany" TargetMode="External"/><Relationship Id="rId313" Type="http://schemas.openxmlformats.org/officeDocument/2006/relationships/hyperlink" Target="http://m1-project.com" TargetMode="External"/><Relationship Id="rId319" Type="http://schemas.openxmlformats.org/officeDocument/2006/relationships/hyperlink" Target="http://marketinglens.com" TargetMode="External"/><Relationship Id="rId318" Type="http://schemas.openxmlformats.org/officeDocument/2006/relationships/hyperlink" Target="https://marketinglens.com/top-10/top-10-ppc-agencies-in-europe/" TargetMode="External"/><Relationship Id="rId317" Type="http://schemas.openxmlformats.org/officeDocument/2006/relationships/hyperlink" Target="http://mammoth.io" TargetMode="External"/><Relationship Id="rId312" Type="http://schemas.openxmlformats.org/officeDocument/2006/relationships/hyperlink" Target="https://www.m1-project.com/blog/10-best-ai-marketing-agencies-in-depth-comparison" TargetMode="External"/><Relationship Id="rId311" Type="http://schemas.openxmlformats.org/officeDocument/2006/relationships/hyperlink" Target="http://kom.de" TargetMode="External"/><Relationship Id="rId310" Type="http://schemas.openxmlformats.org/officeDocument/2006/relationships/hyperlink" Target="https://www.kom.de/public-relations/kreativranking-jung-von-matt-vor-msl-und-serviceplan/" TargetMode="External"/><Relationship Id="rId297" Type="http://schemas.openxmlformats.org/officeDocument/2006/relationships/hyperlink" Target="http://awisee.com" TargetMode="External"/><Relationship Id="rId296" Type="http://schemas.openxmlformats.org/officeDocument/2006/relationships/hyperlink" Target="https://awisee.com/us/blog/digital-marketing-agencies-germany/" TargetMode="External"/><Relationship Id="rId295" Type="http://schemas.openxmlformats.org/officeDocument/2006/relationships/hyperlink" Target="http://awisee.com" TargetMode="External"/><Relationship Id="rId294" Type="http://schemas.openxmlformats.org/officeDocument/2006/relationships/hyperlink" Target="https://awisee.com/blog/social-media-marketing-agencies-germany/" TargetMode="External"/><Relationship Id="rId299" Type="http://schemas.openxmlformats.org/officeDocument/2006/relationships/hyperlink" Target="http://beomniscient.com" TargetMode="External"/><Relationship Id="rId298" Type="http://schemas.openxmlformats.org/officeDocument/2006/relationships/hyperlink" Target="https://beomniscient.com/blog/best-ai-marketing-agencies/" TargetMode="External"/><Relationship Id="rId271" Type="http://schemas.openxmlformats.org/officeDocument/2006/relationships/hyperlink" Target="http://jadasquad.com" TargetMode="External"/><Relationship Id="rId270" Type="http://schemas.openxmlformats.org/officeDocument/2006/relationships/hyperlink" Target="https://www.jadasquad.com/blog/top-ai-agent-development-companies-in-munich" TargetMode="External"/><Relationship Id="rId269" Type="http://schemas.openxmlformats.org/officeDocument/2006/relationships/hyperlink" Target="http://influencer-hero.com" TargetMode="External"/><Relationship Id="rId264" Type="http://schemas.openxmlformats.org/officeDocument/2006/relationships/hyperlink" Target="https://icoda.io/de/ai/best-ai-seo-agency-germany/" TargetMode="External"/><Relationship Id="rId263" Type="http://schemas.openxmlformats.org/officeDocument/2006/relationships/hyperlink" Target="http://designrush.com" TargetMode="External"/><Relationship Id="rId262" Type="http://schemas.openxmlformats.org/officeDocument/2006/relationships/hyperlink" Target="https://www.designrush.com/agency/digital-marketing/artificial-intelligence" TargetMode="External"/><Relationship Id="rId261" Type="http://schemas.openxmlformats.org/officeDocument/2006/relationships/hyperlink" Target="http://statista.com" TargetMode="External"/><Relationship Id="rId268" Type="http://schemas.openxmlformats.org/officeDocument/2006/relationships/hyperlink" Target="https://www.influencer-hero.com/kr/blogs/top-pay-per-click-agencies-in-germany" TargetMode="External"/><Relationship Id="rId267" Type="http://schemas.openxmlformats.org/officeDocument/2006/relationships/hyperlink" Target="http://influencer-hero.com" TargetMode="External"/><Relationship Id="rId266" Type="http://schemas.openxmlformats.org/officeDocument/2006/relationships/hyperlink" Target="https://www.influencer-hero.com/fr/blogs/top-pay-per-click-agencies-in-germany" TargetMode="External"/><Relationship Id="rId265" Type="http://schemas.openxmlformats.org/officeDocument/2006/relationships/hyperlink" Target="http://icoda.io" TargetMode="External"/><Relationship Id="rId260" Type="http://schemas.openxmlformats.org/officeDocument/2006/relationships/hyperlink" Target="https://de.statista.com/statistik/daten/studie/168621/umfrage/top-30-kommunikationsagenturen-in-deutschland/" TargetMode="External"/><Relationship Id="rId259" Type="http://schemas.openxmlformats.org/officeDocument/2006/relationships/hyperlink" Target="https://csw.agency/en/the-best-geo-agencies-duesseldorf/" TargetMode="External"/><Relationship Id="rId258" Type="http://schemas.openxmlformats.org/officeDocument/2006/relationships/hyperlink" Target="http://contextstudios.ai" TargetMode="External"/><Relationship Id="rId253" Type="http://schemas.openxmlformats.org/officeDocument/2006/relationships/hyperlink" Target="https://thebestagency.de/the-best-agency-ranking/" TargetMode="External"/><Relationship Id="rId252" Type="http://schemas.openxmlformats.org/officeDocument/2006/relationships/hyperlink" Target="http://segmentstream.com" TargetMode="External"/><Relationship Id="rId251" Type="http://schemas.openxmlformats.org/officeDocument/2006/relationships/hyperlink" Target="https://segmentstream.com/blog/articles/top-enterprise-marketing-analytics-and-attribution-platforms" TargetMode="External"/><Relationship Id="rId250" Type="http://schemas.openxmlformats.org/officeDocument/2006/relationships/hyperlink" Target="http://phable.io" TargetMode="External"/><Relationship Id="rId257" Type="http://schemas.openxmlformats.org/officeDocument/2006/relationships/hyperlink" Target="https://www.contextstudios.ai/blog/best-ai-agencies-berlin-2026-the-ultimate-comparison" TargetMode="External"/><Relationship Id="rId256" Type="http://schemas.openxmlformats.org/officeDocument/2006/relationships/hyperlink" Target="http://answermaniac.ai" TargetMode="External"/><Relationship Id="rId255" Type="http://schemas.openxmlformats.org/officeDocument/2006/relationships/hyperlink" Target="https://www.answermaniac.ai/best-geo-agencies" TargetMode="External"/><Relationship Id="rId254" Type="http://schemas.openxmlformats.org/officeDocument/2006/relationships/hyperlink" Target="http://thebestagency.de" TargetMode="External"/><Relationship Id="rId293" Type="http://schemas.openxmlformats.org/officeDocument/2006/relationships/hyperlink" Target="http://anyleads.com" TargetMode="External"/><Relationship Id="rId292" Type="http://schemas.openxmlformats.org/officeDocument/2006/relationships/hyperlink" Target="https://anyleads.com/geo-agencies-ai-search-visibility" TargetMode="External"/><Relationship Id="rId291" Type="http://schemas.openxmlformats.org/officeDocument/2006/relationships/hyperlink" Target="http://aeoagencyservices.com" TargetMode="External"/><Relationship Id="rId290" Type="http://schemas.openxmlformats.org/officeDocument/2006/relationships/hyperlink" Target="https://aeoagencyservices.com/Blog-Page/european-aeo-agency-landscape-answer-engine-optimization-providers-across-eu" TargetMode="External"/><Relationship Id="rId286" Type="http://schemas.openxmlformats.org/officeDocument/2006/relationships/hyperlink" Target="https://www.zendikt.com/top-10-marketing-attribution-software/germany" TargetMode="External"/><Relationship Id="rId285" Type="http://schemas.openxmlformats.org/officeDocument/2006/relationships/hyperlink" Target="http://youtube.com" TargetMode="External"/><Relationship Id="rId284" Type="http://schemas.openxmlformats.org/officeDocument/2006/relationships/hyperlink" Target="https://www.youtube.com/watch?v=7pP2AGlSn50" TargetMode="External"/><Relationship Id="rId283" Type="http://schemas.openxmlformats.org/officeDocument/2006/relationships/hyperlink" Target="http://warc.com" TargetMode="External"/><Relationship Id="rId289" Type="http://schemas.openxmlformats.org/officeDocument/2006/relationships/hyperlink" Target="http://adc.de" TargetMode="External"/><Relationship Id="rId288" Type="http://schemas.openxmlformats.org/officeDocument/2006/relationships/hyperlink" Target="https://www.adc.de/2022/12/16/serviceplan-auf-platz-1-des-adc-kreativrankings/" TargetMode="External"/><Relationship Id="rId287" Type="http://schemas.openxmlformats.org/officeDocument/2006/relationships/hyperlink" Target="http://zendikt.com" TargetMode="External"/><Relationship Id="rId282" Type="http://schemas.openxmlformats.org/officeDocument/2006/relationships/hyperlink" Target="https://www.warc.com/en/data-benchmarks/rankings-creative-100-overview" TargetMode="External"/><Relationship Id="rId281" Type="http://schemas.openxmlformats.org/officeDocument/2006/relationships/hyperlink" Target="http://threebestrated.de" TargetMode="External"/><Relationship Id="rId280" Type="http://schemas.openxmlformats.org/officeDocument/2006/relationships/hyperlink" Target="https://threebestrated.de/advertising-agencies-in-munich" TargetMode="External"/><Relationship Id="rId275" Type="http://schemas.openxmlformats.org/officeDocument/2006/relationships/hyperlink" Target="http://meedia.de" TargetMode="External"/><Relationship Id="rId274" Type="http://schemas.openxmlformats.org/officeDocument/2006/relationships/hyperlink" Target="https://meedia.de/news/beitrag/19725-das-sind-die-15-groessten-mediaagenturen-in-deutschland.html" TargetMode="External"/><Relationship Id="rId273" Type="http://schemas.openxmlformats.org/officeDocument/2006/relationships/hyperlink" Target="http://lengreo.com" TargetMode="External"/><Relationship Id="rId272" Type="http://schemas.openxmlformats.org/officeDocument/2006/relationships/hyperlink" Target="https://lengreo.com/best-meta-ads-agencies-in-germany/" TargetMode="External"/><Relationship Id="rId279" Type="http://schemas.openxmlformats.org/officeDocument/2006/relationships/hyperlink" Target="http://thatware.co" TargetMode="External"/><Relationship Id="rId278" Type="http://schemas.openxmlformats.org/officeDocument/2006/relationships/hyperlink" Target="https://thatware.co/top-10-geo-companies-in-germany/" TargetMode="External"/><Relationship Id="rId277" Type="http://schemas.openxmlformats.org/officeDocument/2006/relationships/hyperlink" Target="http://revolutions.de" TargetMode="External"/><Relationship Id="rId276" Type="http://schemas.openxmlformats.org/officeDocument/2006/relationships/hyperlink" Target="https://revolutions.de/die-5-besten-ai-agenturen-fur-den-deutschen-mittelstand-2026/" TargetMode="External"/><Relationship Id="rId228" Type="http://schemas.openxmlformats.org/officeDocument/2006/relationships/hyperlink" Target="https://www.madx.digital/learn/geo-aeo-agencies" TargetMode="External"/><Relationship Id="rId227" Type="http://schemas.openxmlformats.org/officeDocument/2006/relationships/hyperlink" Target="http://influencer-hero.com" TargetMode="External"/><Relationship Id="rId226" Type="http://schemas.openxmlformats.org/officeDocument/2006/relationships/hyperlink" Target="https://www.influencer-hero.com/jp/blogs/top-digital-marketing-agencies-in-germany" TargetMode="External"/><Relationship Id="rId225" Type="http://schemas.openxmlformats.org/officeDocument/2006/relationships/hyperlink" Target="http://hikemytraffic.com" TargetMode="External"/><Relationship Id="rId229" Type="http://schemas.openxmlformats.org/officeDocument/2006/relationships/hyperlink" Target="https://www.measured.com/faq/best-incrementality-testing-companies-software-for-marketing-2025/" TargetMode="External"/><Relationship Id="rId220" Type="http://schemas.openxmlformats.org/officeDocument/2006/relationships/hyperlink" Target="https://www.callboxinc.com/growth-hacking/best-aeo-agencies/" TargetMode="External"/><Relationship Id="rId224" Type="http://schemas.openxmlformats.org/officeDocument/2006/relationships/hyperlink" Target="https://hikemytraffic.com/ai-social-media-marketing-agencies-in-germany/" TargetMode="External"/><Relationship Id="rId223" Type="http://schemas.openxmlformats.org/officeDocument/2006/relationships/hyperlink" Target="http://flypix.ai" TargetMode="External"/><Relationship Id="rId222" Type="http://schemas.openxmlformats.org/officeDocument/2006/relationships/hyperlink" Target="https://flypix.ai/geospatial-companies-in-germany/" TargetMode="External"/><Relationship Id="rId221" Type="http://schemas.openxmlformats.org/officeDocument/2006/relationships/hyperlink" Target="http://callboxinc.com" TargetMode="External"/><Relationship Id="rId217" Type="http://schemas.openxmlformats.org/officeDocument/2006/relationships/hyperlink" Target="http://kom.de" TargetMode="External"/><Relationship Id="rId216" Type="http://schemas.openxmlformats.org/officeDocument/2006/relationships/hyperlink" Target="https://www.kom.de/analyse/das-sind-die-erfolgreichsten-kreativagenturen/" TargetMode="External"/><Relationship Id="rId215" Type="http://schemas.openxmlformats.org/officeDocument/2006/relationships/hyperlink" Target="http://gtm8020.com" TargetMode="External"/><Relationship Id="rId214" Type="http://schemas.openxmlformats.org/officeDocument/2006/relationships/hyperlink" Target="https://www.gtm8020.com/blog/best-aeo-agencies" TargetMode="External"/><Relationship Id="rId219" Type="http://schemas.openxmlformats.org/officeDocument/2006/relationships/hyperlink" Target="http://loudface.co" TargetMode="External"/><Relationship Id="rId218" Type="http://schemas.openxmlformats.org/officeDocument/2006/relationships/hyperlink" Target="https://www.loudface.co/blog/best-aeo-agencies-b2b-saas-2026" TargetMode="External"/><Relationship Id="rId213" Type="http://schemas.openxmlformats.org/officeDocument/2006/relationships/hyperlink" Target="http://awisee.com" TargetMode="External"/><Relationship Id="rId212" Type="http://schemas.openxmlformats.org/officeDocument/2006/relationships/hyperlink" Target="https://awisee.com/pt/blog/digital-marketing-agencies-germany/" TargetMode="External"/><Relationship Id="rId211" Type="http://schemas.openxmlformats.org/officeDocument/2006/relationships/hyperlink" Target="http://alphaapexgroup.com" TargetMode="External"/><Relationship Id="rId210" Type="http://schemas.openxmlformats.org/officeDocument/2006/relationships/hyperlink" Target="https://www.alphaapexgroup.com/blog/top-ai-consulting-firms" TargetMode="External"/><Relationship Id="rId249" Type="http://schemas.openxmlformats.org/officeDocument/2006/relationships/hyperlink" Target="https://www.phable.io/top-creative-agencies/ty64guv22ftctcjddgh9avb7ywb85q" TargetMode="External"/><Relationship Id="rId248" Type="http://schemas.openxmlformats.org/officeDocument/2006/relationships/hyperlink" Target="http://onlinemarketingagenturde.de" TargetMode="External"/><Relationship Id="rId247" Type="http://schemas.openxmlformats.org/officeDocument/2006/relationships/hyperlink" Target="https://www.onlinemarketingagenturde.de/beste-performance-marketing-agenturen-in-deutschland/" TargetMode="External"/><Relationship Id="rId242" Type="http://schemas.openxmlformats.org/officeDocument/2006/relationships/hyperlink" Target="http://bvdw.org" TargetMode="External"/><Relationship Id="rId241" Type="http://schemas.openxmlformats.org/officeDocument/2006/relationships/hyperlink" Target="https://www.bvdw.org/news-und-publikationen/bvdw-kreativranking-2025/" TargetMode="External"/><Relationship Id="rId240" Type="http://schemas.openxmlformats.org/officeDocument/2006/relationships/hyperlink" Target="http://applabx.com" TargetMode="External"/><Relationship Id="rId246" Type="http://schemas.openxmlformats.org/officeDocument/2006/relationships/hyperlink" Target="http://firstpagesage.com" TargetMode="External"/><Relationship Id="rId245" Type="http://schemas.openxmlformats.org/officeDocument/2006/relationships/hyperlink" Target="https://firstpagesage.com/seo-blog/the-top-answer-engine-optimization-aeo-companies/" TargetMode="External"/><Relationship Id="rId244" Type="http://schemas.openxmlformats.org/officeDocument/2006/relationships/hyperlink" Target="http://campaigngermany.de" TargetMode="External"/><Relationship Id="rId243" Type="http://schemas.openxmlformats.org/officeDocument/2006/relationships/hyperlink" Target="https://campaigngermany.de/news/beitrag/2502-bvdw-ranking-2025-das-sind-die-kreativsten-digitalagenturen-deutschlands.html" TargetMode="External"/><Relationship Id="rId239" Type="http://schemas.openxmlformats.org/officeDocument/2006/relationships/hyperlink" Target="https://blog.applabx.com/top-10-best-digital-marketing-agencies-in-germany-in-2026/" TargetMode="External"/><Relationship Id="rId238" Type="http://schemas.openxmlformats.org/officeDocument/2006/relationships/hyperlink" Target="http://absatzwirtschaft.de" TargetMode="External"/><Relationship Id="rId237" Type="http://schemas.openxmlformats.org/officeDocument/2006/relationships/hyperlink" Target="https://www.absatzwirtschaft.de/bvdw-kreativranking-2025-serviceplan-dominiert-die-deutsche-digitalkreation-mit-grossem-abstand-280339/" TargetMode="External"/><Relationship Id="rId236" Type="http://schemas.openxmlformats.org/officeDocument/2006/relationships/hyperlink" Target="http://online-marketing-guy.com" TargetMode="External"/><Relationship Id="rId231" Type="http://schemas.openxmlformats.org/officeDocument/2006/relationships/hyperlink" Target="https://minuttia.com/best-geo-agencies/" TargetMode="External"/><Relationship Id="rId230" Type="http://schemas.openxmlformats.org/officeDocument/2006/relationships/hyperlink" Target="http://measured.com" TargetMode="External"/><Relationship Id="rId235" Type="http://schemas.openxmlformats.org/officeDocument/2006/relationships/hyperlink" Target="https://online-marketing-guy.com/en/global-german-digital-marketing-agencies/" TargetMode="External"/><Relationship Id="rId234" Type="http://schemas.openxmlformats.org/officeDocument/2006/relationships/hyperlink" Target="http://onetoone.de" TargetMode="External"/><Relationship Id="rId233" Type="http://schemas.openxmlformats.org/officeDocument/2006/relationships/hyperlink" Target="https://www.onetoone.de/performance-ranking/performance_2025.html" TargetMode="External"/><Relationship Id="rId232" Type="http://schemas.openxmlformats.org/officeDocument/2006/relationships/hyperlink" Target="http://minuttia.com" TargetMode="External"/><Relationship Id="rId206" Type="http://schemas.openxmlformats.org/officeDocument/2006/relationships/hyperlink" Target="https://websenor.com/top-10-ai-agencies-in-germany/" TargetMode="External"/><Relationship Id="rId205" Type="http://schemas.openxmlformats.org/officeDocument/2006/relationships/hyperlink" Target="http://upliftgtm.com" TargetMode="External"/><Relationship Id="rId204" Type="http://schemas.openxmlformats.org/officeDocument/2006/relationships/hyperlink" Target="https://www.upliftgtm.com/blog/best-aeo-agencies" TargetMode="External"/><Relationship Id="rId203" Type="http://schemas.openxmlformats.org/officeDocument/2006/relationships/hyperlink" Target="http://thedrum.com" TargetMode="External"/><Relationship Id="rId209" Type="http://schemas.openxmlformats.org/officeDocument/2006/relationships/hyperlink" Target="http://youtube.com" TargetMode="External"/><Relationship Id="rId208" Type="http://schemas.openxmlformats.org/officeDocument/2006/relationships/hyperlink" Target="https://www.youtube.com/watch?v=4L7On3IGqKQ" TargetMode="External"/><Relationship Id="rId207" Type="http://schemas.openxmlformats.org/officeDocument/2006/relationships/hyperlink" Target="http://websenor.com" TargetMode="External"/><Relationship Id="rId202" Type="http://schemas.openxmlformats.org/officeDocument/2006/relationships/hyperlink" Target="https://www.thedrum.com/news/serviceplan-reclaims-emea-agency-top-spot-in-2026-world-creative-rankings" TargetMode="External"/><Relationship Id="rId201" Type="http://schemas.openxmlformats.org/officeDocument/2006/relationships/hyperlink" Target="http://lifesight.io" TargetMode="External"/><Relationship Id="rId200" Type="http://schemas.openxmlformats.org/officeDocument/2006/relationships/hyperlink" Target="https://lifesight.io/blog/best-incrementality-testing-tools/" TargetMode="External"/><Relationship Id="rId509" Type="http://schemas.openxmlformats.org/officeDocument/2006/relationships/hyperlink" Target="http://cometly.com" TargetMode="External"/><Relationship Id="rId508" Type="http://schemas.openxmlformats.org/officeDocument/2006/relationships/hyperlink" Target="https://www.cometly.com/post/ai-powered-marketing-analytics-tools" TargetMode="External"/><Relationship Id="rId503" Type="http://schemas.openxmlformats.org/officeDocument/2006/relationships/hyperlink" Target="http://cometly.com" TargetMode="External"/><Relationship Id="rId502" Type="http://schemas.openxmlformats.org/officeDocument/2006/relationships/hyperlink" Target="https://www.cometly.com/post/ad-campaign-performance-analysis-methods" TargetMode="External"/><Relationship Id="rId501" Type="http://schemas.openxmlformats.org/officeDocument/2006/relationships/hyperlink" Target="http://coinbound.io" TargetMode="External"/><Relationship Id="rId500" Type="http://schemas.openxmlformats.org/officeDocument/2006/relationships/hyperlink" Target="https://coinbound.io/top-ai-marketing-agencies/" TargetMode="External"/><Relationship Id="rId507" Type="http://schemas.openxmlformats.org/officeDocument/2006/relationships/hyperlink" Target="http://cometly.com" TargetMode="External"/><Relationship Id="rId506" Type="http://schemas.openxmlformats.org/officeDocument/2006/relationships/hyperlink" Target="https://www.cometly.com/post/ai-powered-ad-optimization-platform" TargetMode="External"/><Relationship Id="rId505" Type="http://schemas.openxmlformats.org/officeDocument/2006/relationships/hyperlink" Target="http://cometly.com" TargetMode="External"/><Relationship Id="rId504" Type="http://schemas.openxmlformats.org/officeDocument/2006/relationships/hyperlink" Target="https://www.cometly.com/post/agency-marketing-attribution-tools" TargetMode="External"/><Relationship Id="rId525" Type="http://schemas.openxmlformats.org/officeDocument/2006/relationships/hyperlink" Target="https://databox.com/marketing-agency-directories" TargetMode="External"/><Relationship Id="rId524" Type="http://schemas.openxmlformats.org/officeDocument/2006/relationships/hyperlink" Target="http://dataally.ai" TargetMode="External"/><Relationship Id="rId523" Type="http://schemas.openxmlformats.org/officeDocument/2006/relationships/hyperlink" Target="https://www.dataally.ai/blog/top-paid-media-agencies" TargetMode="External"/><Relationship Id="rId522" Type="http://schemas.openxmlformats.org/officeDocument/2006/relationships/hyperlink" Target="http://darkroomagency.com" TargetMode="External"/><Relationship Id="rId529" Type="http://schemas.openxmlformats.org/officeDocument/2006/relationships/hyperlink" Target="https://www.designrush.com/agency/digital-marketing/performance-marketing-agencies" TargetMode="External"/><Relationship Id="rId528" Type="http://schemas.openxmlformats.org/officeDocument/2006/relationships/hyperlink" Target="http://dejanmarketing.com" TargetMode="External"/><Relationship Id="rId527" Type="http://schemas.openxmlformats.org/officeDocument/2006/relationships/hyperlink" Target="https://dejanmarketing.com/best-ai-seo-agencies/" TargetMode="External"/><Relationship Id="rId526" Type="http://schemas.openxmlformats.org/officeDocument/2006/relationships/hyperlink" Target="http://databox.com" TargetMode="External"/><Relationship Id="rId521" Type="http://schemas.openxmlformats.org/officeDocument/2006/relationships/hyperlink" Target="https://www.darkroomagency.com/observatory/best-performance-marketing-agencies-in-2026" TargetMode="External"/><Relationship Id="rId520" Type="http://schemas.openxmlformats.org/officeDocument/2006/relationships/hyperlink" Target="http://dacgroup.com" TargetMode="External"/><Relationship Id="rId519" Type="http://schemas.openxmlformats.org/officeDocument/2006/relationships/hyperlink" Target="https://www.dacgroup.com/de/einblicke/blog/strategy/der-marketing-trendbericht-2026-26-massnahmen-die-performance-neu-definieren/" TargetMode="External"/><Relationship Id="rId514" Type="http://schemas.openxmlformats.org/officeDocument/2006/relationships/hyperlink" Target="https://www.cometly.com/post/media-buying-optimization-tool" TargetMode="External"/><Relationship Id="rId513" Type="http://schemas.openxmlformats.org/officeDocument/2006/relationships/hyperlink" Target="http://cometly.com" TargetMode="External"/><Relationship Id="rId512" Type="http://schemas.openxmlformats.org/officeDocument/2006/relationships/hyperlink" Target="https://www.cometly.com/post/marketing-attribution-platform-for-agencies" TargetMode="External"/><Relationship Id="rId511" Type="http://schemas.openxmlformats.org/officeDocument/2006/relationships/hyperlink" Target="http://cometly.com" TargetMode="External"/><Relationship Id="rId518" Type="http://schemas.openxmlformats.org/officeDocument/2006/relationships/hyperlink" Target="https://creatif.agency/the-best-web-design-agencies-in-berlin-in-2026/" TargetMode="External"/><Relationship Id="rId517" Type="http://schemas.openxmlformats.org/officeDocument/2006/relationships/hyperlink" Target="http://coolnerdsmarketing.com" TargetMode="External"/><Relationship Id="rId516" Type="http://schemas.openxmlformats.org/officeDocument/2006/relationships/hyperlink" Target="https://coolnerdsmarketing.com/top-creative-agencies-us/" TargetMode="External"/><Relationship Id="rId515" Type="http://schemas.openxmlformats.org/officeDocument/2006/relationships/hyperlink" Target="http://cometly.com" TargetMode="External"/><Relationship Id="rId510" Type="http://schemas.openxmlformats.org/officeDocument/2006/relationships/hyperlink" Target="https://www.cometly.com/post/marketing-attribution-companies" TargetMode="External"/><Relationship Id="rId590" Type="http://schemas.openxmlformats.org/officeDocument/2006/relationships/hyperlink" Target="http://hawkemedia.com" TargetMode="External"/><Relationship Id="rId589" Type="http://schemas.openxmlformats.org/officeDocument/2006/relationships/hyperlink" Target="https://hawkemedia.com/insights/top-performance-marketing-agencies/" TargetMode="External"/><Relationship Id="rId588" Type="http://schemas.openxmlformats.org/officeDocument/2006/relationships/hyperlink" Target="http://growthspreeofficial.com" TargetMode="External"/><Relationship Id="rId583" Type="http://schemas.openxmlformats.org/officeDocument/2006/relationships/hyperlink" Target="https://gofishdigital.com/blog/generative-engine-optimization-agencies/" TargetMode="External"/><Relationship Id="rId582" Type="http://schemas.openxmlformats.org/officeDocument/2006/relationships/hyperlink" Target="http://glassix.com" TargetMode="External"/><Relationship Id="rId581" Type="http://schemas.openxmlformats.org/officeDocument/2006/relationships/hyperlink" Target="https://www.glassix.com/article/best-seo-geo-aeo-agencies-saas" TargetMode="External"/><Relationship Id="rId580" Type="http://schemas.openxmlformats.org/officeDocument/2006/relationships/hyperlink" Target="http://gigawattgroup.com" TargetMode="External"/><Relationship Id="rId587" Type="http://schemas.openxmlformats.org/officeDocument/2006/relationships/hyperlink" Target="https://www.growthspreeofficial.com/blogs/top-6-ai-powered-b2b-saas-marketing-agencies-in-the-united-states-2026" TargetMode="External"/><Relationship Id="rId586" Type="http://schemas.openxmlformats.org/officeDocument/2006/relationships/hyperlink" Target="http://growffic.com" TargetMode="External"/><Relationship Id="rId585" Type="http://schemas.openxmlformats.org/officeDocument/2006/relationships/hyperlink" Target="https://growffic.com/blog/generative-engine-optimization-agencies/" TargetMode="External"/><Relationship Id="rId584" Type="http://schemas.openxmlformats.org/officeDocument/2006/relationships/hyperlink" Target="http://gofishdigital.com" TargetMode="External"/><Relationship Id="rId579" Type="http://schemas.openxmlformats.org/officeDocument/2006/relationships/hyperlink" Target="https://gigawattgroup.com/insights/best-geo-agencies-in-2026-who-actually-drives-ai-visibility-and-citations/" TargetMode="External"/><Relationship Id="rId578" Type="http://schemas.openxmlformats.org/officeDocument/2006/relationships/hyperlink" Target="http://gen-optima.com" TargetMode="External"/><Relationship Id="rId577" Type="http://schemas.openxmlformats.org/officeDocument/2006/relationships/hyperlink" Target="https://www.gen-optima.com/geo/top-generative-ai-search-engine-optimization-agencies-2026/" TargetMode="External"/><Relationship Id="rId572" Type="http://schemas.openxmlformats.org/officeDocument/2006/relationships/hyperlink" Target="http://frac.tl" TargetMode="External"/><Relationship Id="rId571" Type="http://schemas.openxmlformats.org/officeDocument/2006/relationships/hyperlink" Target="https://www.frac.tl/digital-pr-agencies/" TargetMode="External"/><Relationship Id="rId570" Type="http://schemas.openxmlformats.org/officeDocument/2006/relationships/hyperlink" Target="http://founderoperator.com" TargetMode="External"/><Relationship Id="rId576" Type="http://schemas.openxmlformats.org/officeDocument/2006/relationships/hyperlink" Target="http://gen-optima.com" TargetMode="External"/><Relationship Id="rId575" Type="http://schemas.openxmlformats.org/officeDocument/2006/relationships/hyperlink" Target="https://www.gen-optima.com/geo/top-7-generative-engine-optimization-service-providers-ranked/" TargetMode="External"/><Relationship Id="rId574" Type="http://schemas.openxmlformats.org/officeDocument/2006/relationships/hyperlink" Target="http://gemfind.com" TargetMode="External"/><Relationship Id="rId573" Type="http://schemas.openxmlformats.org/officeDocument/2006/relationships/hyperlink" Target="https://gemfind.com/blogs/digital-marketing/google-marketing-partner" TargetMode="External"/><Relationship Id="rId599" Type="http://schemas.openxmlformats.org/officeDocument/2006/relationships/hyperlink" Target="http://higoodie.com" TargetMode="External"/><Relationship Id="rId594" Type="http://schemas.openxmlformats.org/officeDocument/2006/relationships/hyperlink" Target="https://www.heydigital.co/blog/best-saas-performance-marketing-agencies" TargetMode="External"/><Relationship Id="rId593" Type="http://schemas.openxmlformats.org/officeDocument/2006/relationships/hyperlink" Target="https://helder.design/design-agentur/" TargetMode="External"/><Relationship Id="rId592" Type="http://schemas.openxmlformats.org/officeDocument/2006/relationships/hyperlink" Target="http://hawksem.com" TargetMode="External"/><Relationship Id="rId591" Type="http://schemas.openxmlformats.org/officeDocument/2006/relationships/hyperlink" Target="https://hawksem.com/blog/performance-marketing-agency-list/" TargetMode="External"/><Relationship Id="rId598" Type="http://schemas.openxmlformats.org/officeDocument/2006/relationships/hyperlink" Target="https://higoodie.com/blog/ai-search-visibility-services/" TargetMode="External"/><Relationship Id="rId597" Type="http://schemas.openxmlformats.org/officeDocument/2006/relationships/hyperlink" Target="http://heydigital.co" TargetMode="External"/><Relationship Id="rId596" Type="http://schemas.openxmlformats.org/officeDocument/2006/relationships/hyperlink" Target="https://www.heydigital.co/blog/saas-marketing-agencies" TargetMode="External"/><Relationship Id="rId595" Type="http://schemas.openxmlformats.org/officeDocument/2006/relationships/hyperlink" Target="http://heydigital.co" TargetMode="External"/><Relationship Id="rId547" Type="http://schemas.openxmlformats.org/officeDocument/2006/relationships/hyperlink" Target="https://elementor.com/blog/best-seo-geo-agencies/" TargetMode="External"/><Relationship Id="rId546" Type="http://schemas.openxmlformats.org/officeDocument/2006/relationships/hyperlink" Target="http://ecommercegermany.com" TargetMode="External"/><Relationship Id="rId545" Type="http://schemas.openxmlformats.org/officeDocument/2006/relationships/hyperlink" Target="https://ecommercegermany.com/blog/top-ecommerce-startups-in-dach/" TargetMode="External"/><Relationship Id="rId544" Type="http://schemas.openxmlformats.org/officeDocument/2006/relationships/hyperlink" Target="http://ecommercegermany.com" TargetMode="External"/><Relationship Id="rId549" Type="http://schemas.openxmlformats.org/officeDocument/2006/relationships/hyperlink" Target="https://www.entrans.ai/blog/top-ai-development-companies" TargetMode="External"/><Relationship Id="rId548" Type="http://schemas.openxmlformats.org/officeDocument/2006/relationships/hyperlink" Target="http://elementor.com" TargetMode="External"/><Relationship Id="rId543" Type="http://schemas.openxmlformats.org/officeDocument/2006/relationships/hyperlink" Target="https://ecommercegermany.com/blog/top-29-german-saas-companies-in-2021/" TargetMode="External"/><Relationship Id="rId542" Type="http://schemas.openxmlformats.org/officeDocument/2006/relationships/hyperlink" Target="http://ecommercefastlane.com" TargetMode="External"/><Relationship Id="rId541" Type="http://schemas.openxmlformats.org/officeDocument/2006/relationships/hyperlink" Target="https://ecommercefastlane.com/best-geo-agencies-dach-region-expert-guide/" TargetMode="External"/><Relationship Id="rId540" Type="http://schemas.openxmlformats.org/officeDocument/2006/relationships/hyperlink" Target="http://easyinsights.ai" TargetMode="External"/><Relationship Id="rId536" Type="http://schemas.openxmlformats.org/officeDocument/2006/relationships/hyperlink" Target="http://directiveconsulting.com" TargetMode="External"/><Relationship Id="rId535" Type="http://schemas.openxmlformats.org/officeDocument/2006/relationships/hyperlink" Target="https://directiveconsulting.com/blog/best-marketing-data-agency/" TargetMode="External"/><Relationship Id="rId534" Type="http://schemas.openxmlformats.org/officeDocument/2006/relationships/hyperlink" Target="http://directiveconsulting.com" TargetMode="External"/><Relationship Id="rId533" Type="http://schemas.openxmlformats.org/officeDocument/2006/relationships/hyperlink" Target="https://directiveconsulting.com/blog/25-best-paid-media-agencies-that-turn-ad-spend-into-revenue/" TargetMode="External"/><Relationship Id="rId539" Type="http://schemas.openxmlformats.org/officeDocument/2006/relationships/hyperlink" Target="https://easyinsights.ai/blog/first-party-data-activation-platforms/" TargetMode="External"/><Relationship Id="rId538" Type="http://schemas.openxmlformats.org/officeDocument/2006/relationships/hyperlink" Target="http://directiveconsulting.com" TargetMode="External"/><Relationship Id="rId537" Type="http://schemas.openxmlformats.org/officeDocument/2006/relationships/hyperlink" Target="https://directiveconsulting.com/uk/blog/25-best-advertising-agencies-built-for-media-momentum/" TargetMode="External"/><Relationship Id="rId532" Type="http://schemas.openxmlformats.org/officeDocument/2006/relationships/hyperlink" Target="http://digitalmarketingsupermarket.com" TargetMode="External"/><Relationship Id="rId531" Type="http://schemas.openxmlformats.org/officeDocument/2006/relationships/hyperlink" Target="https://digitalmarketingsupermarket.com/blog/best-ai-marketing-agencies/" TargetMode="External"/><Relationship Id="rId530" Type="http://schemas.openxmlformats.org/officeDocument/2006/relationships/hyperlink" Target="http://designrush.com" TargetMode="External"/><Relationship Id="rId569" Type="http://schemas.openxmlformats.org/officeDocument/2006/relationships/hyperlink" Target="https://founderoperator.com/marketing/top-ai-marketing-agencies-germany-amazon-success" TargetMode="External"/><Relationship Id="rId568" Type="http://schemas.openxmlformats.org/officeDocument/2006/relationships/hyperlink" Target="http://forrester.com" TargetMode="External"/><Relationship Id="rId567" Type="http://schemas.openxmlformats.org/officeDocument/2006/relationships/hyperlink" Target="https://www.forrester.com/blogs/picking-an-agency-to-maximize-the-value-of-your-first-party-data/" TargetMode="External"/><Relationship Id="rId566" Type="http://schemas.openxmlformats.org/officeDocument/2006/relationships/hyperlink" Target="http://flyingvgroup.com" TargetMode="External"/><Relationship Id="rId561" Type="http://schemas.openxmlformats.org/officeDocument/2006/relationships/hyperlink" Target="https://www.fieldtrip.agency/post/best-creative-agencies-for-global-brands" TargetMode="External"/><Relationship Id="rId560" Type="http://schemas.openxmlformats.org/officeDocument/2006/relationships/hyperlink" Target="http://fibbler.co" TargetMode="External"/><Relationship Id="rId565" Type="http://schemas.openxmlformats.org/officeDocument/2006/relationships/hyperlink" Target="https://www.flyingvgroup.com/ai-marketing-agency/" TargetMode="External"/><Relationship Id="rId564" Type="http://schemas.openxmlformats.org/officeDocument/2006/relationships/hyperlink" Target="http://finance-seo.de" TargetMode="External"/><Relationship Id="rId563" Type="http://schemas.openxmlformats.org/officeDocument/2006/relationships/hyperlink" Target="https://finance-seo.de/ratgeber/beste-geo-agenturen" TargetMode="External"/><Relationship Id="rId562" Type="http://schemas.openxmlformats.org/officeDocument/2006/relationships/hyperlink" Target="https://www.fieldtrip.agency/post/best-digital-marketing-agencies-for-large-companies" TargetMode="External"/><Relationship Id="rId558" Type="http://schemas.openxmlformats.org/officeDocument/2006/relationships/hyperlink" Target="http://expatrio.com" TargetMode="External"/><Relationship Id="rId557" Type="http://schemas.openxmlformats.org/officeDocument/2006/relationships/hyperlink" Target="https://www.expatrio.com/about-germany/study-marketing-in-germany" TargetMode="External"/><Relationship Id="rId556" Type="http://schemas.openxmlformats.org/officeDocument/2006/relationships/hyperlink" Target="http://existenzgruender-jungunternehmer.de" TargetMode="External"/><Relationship Id="rId555" Type="http://schemas.openxmlformats.org/officeDocument/2006/relationships/hyperlink" Target="https://www.existenzgruender-jungunternehmer.de/p/gruendung/besten-geo-experten-finden.html" TargetMode="External"/><Relationship Id="rId559" Type="http://schemas.openxmlformats.org/officeDocument/2006/relationships/hyperlink" Target="https://www.fibbler.co/blog/b2b-marketing-attribution-software" TargetMode="External"/><Relationship Id="rId550" Type="http://schemas.openxmlformats.org/officeDocument/2006/relationships/hyperlink" Target="http://entrans.ai" TargetMode="External"/><Relationship Id="rId554" Type="http://schemas.openxmlformats.org/officeDocument/2006/relationships/hyperlink" Target="http://ewrdigital.com" TargetMode="External"/><Relationship Id="rId553" Type="http://schemas.openxmlformats.org/officeDocument/2006/relationships/hyperlink" Target="https://www.ewrdigital.com/blog/best-ai-seo-aeo-agencies-2026" TargetMode="External"/><Relationship Id="rId552" Type="http://schemas.openxmlformats.org/officeDocument/2006/relationships/hyperlink" Target="http://esparkinfo.com" TargetMode="External"/><Relationship Id="rId551" Type="http://schemas.openxmlformats.org/officeDocument/2006/relationships/hyperlink" Target="https://www.esparkinfo.com/cloud/top-companies" TargetMode="External"/><Relationship Id="rId495" Type="http://schemas.openxmlformats.org/officeDocument/2006/relationships/hyperlink" Target="http://clicksgeek.com" TargetMode="External"/><Relationship Id="rId494" Type="http://schemas.openxmlformats.org/officeDocument/2006/relationships/hyperlink" Target="https://clicksgeek.com/marketing-attribution-tracking-services/" TargetMode="External"/><Relationship Id="rId493" Type="http://schemas.openxmlformats.org/officeDocument/2006/relationships/hyperlink" Target="http://clicksgeek.com" TargetMode="External"/><Relationship Id="rId492" Type="http://schemas.openxmlformats.org/officeDocument/2006/relationships/hyperlink" Target="https://clicksgeek.com/best-roi-marketing-agencies/" TargetMode="External"/><Relationship Id="rId499" Type="http://schemas.openxmlformats.org/officeDocument/2006/relationships/hyperlink" Target="http://coefficient.io" TargetMode="External"/><Relationship Id="rId498" Type="http://schemas.openxmlformats.org/officeDocument/2006/relationships/hyperlink" Target="https://coefficient.io/marketing-analytics-tools" TargetMode="External"/><Relationship Id="rId497" Type="http://schemas.openxmlformats.org/officeDocument/2006/relationships/hyperlink" Target="http://clutch.co" TargetMode="External"/><Relationship Id="rId496" Type="http://schemas.openxmlformats.org/officeDocument/2006/relationships/hyperlink" Target="https://clutch.co/agencies/performance-marketing%3Fpage%3D0" TargetMode="External"/><Relationship Id="rId409" Type="http://schemas.openxmlformats.org/officeDocument/2006/relationships/hyperlink" Target="http://rzlt.io" TargetMode="External"/><Relationship Id="rId404" Type="http://schemas.openxmlformats.org/officeDocument/2006/relationships/hyperlink" Target="https://www.outsourceaccelerator.com/guide/top-advertising-agencies-in-europe/" TargetMode="External"/><Relationship Id="rId403" Type="http://schemas.openxmlformats.org/officeDocument/2006/relationships/hyperlink" Target="https://optis.digital/answer-engine-optimization-agencies/" TargetMode="External"/><Relationship Id="rId402" Type="http://schemas.openxmlformats.org/officeDocument/2006/relationships/hyperlink" Target="https://open.partners/open-partners-insights/uk-marketing-agencies-that-work-with-google/" TargetMode="External"/><Relationship Id="rId401" Type="http://schemas.openxmlformats.org/officeDocument/2006/relationships/hyperlink" Target="http://onelittleweb.com" TargetMode="External"/><Relationship Id="rId408" Type="http://schemas.openxmlformats.org/officeDocument/2006/relationships/hyperlink" Target="https://www.rzlt.io/blog/best-ai-marketing-agencies-in-2026-the-definitive-guide-by-specialty" TargetMode="External"/><Relationship Id="rId407" Type="http://schemas.openxmlformats.org/officeDocument/2006/relationships/hyperlink" Target="http://rocketium.ai" TargetMode="External"/><Relationship Id="rId406" Type="http://schemas.openxmlformats.org/officeDocument/2006/relationships/hyperlink" Target="https://rocketium.ai/academy/all/ai-tools-scaling-creative-production" TargetMode="External"/><Relationship Id="rId405" Type="http://schemas.openxmlformats.org/officeDocument/2006/relationships/hyperlink" Target="http://outsourceaccelerator.com" TargetMode="External"/><Relationship Id="rId400" Type="http://schemas.openxmlformats.org/officeDocument/2006/relationships/hyperlink" Target="https://onelittleweb.com/top-agencies/top-performance-marketing-agencies/" TargetMode="External"/><Relationship Id="rId469" Type="http://schemas.openxmlformats.org/officeDocument/2006/relationships/hyperlink" Target="http://awisee.com" TargetMode="External"/><Relationship Id="rId468" Type="http://schemas.openxmlformats.org/officeDocument/2006/relationships/hyperlink" Target="https://awisee.com/blog/marketing-agencies-europe/" TargetMode="External"/><Relationship Id="rId467" Type="http://schemas.openxmlformats.org/officeDocument/2006/relationships/hyperlink" Target="http://arcintermedia.com" TargetMode="External"/><Relationship Id="rId462" Type="http://schemas.openxmlformats.org/officeDocument/2006/relationships/hyperlink" Target="https://www.amplework.com/blog/top-ai-agent-development-companies/" TargetMode="External"/><Relationship Id="rId461" Type="http://schemas.openxmlformats.org/officeDocument/2006/relationships/hyperlink" Target="http://aimonk.com" TargetMode="External"/><Relationship Id="rId460" Type="http://schemas.openxmlformats.org/officeDocument/2006/relationships/hyperlink" Target="https://aimonk.com/top-genai-development-services/" TargetMode="External"/><Relationship Id="rId466" Type="http://schemas.openxmlformats.org/officeDocument/2006/relationships/hyperlink" Target="https://www.arcintermedia.com/knowledge-base/seo-and-organic-reach/what-are-the-top-answer-engine-optimization-aeo-agencies/" TargetMode="External"/><Relationship Id="rId465" Type="http://schemas.openxmlformats.org/officeDocument/2006/relationships/hyperlink" Target="http://amworldgroup.com" TargetMode="External"/><Relationship Id="rId464" Type="http://schemas.openxmlformats.org/officeDocument/2006/relationships/hyperlink" Target="https://amworldgroup.com/best/ai-marketing-agencies" TargetMode="External"/><Relationship Id="rId463" Type="http://schemas.openxmlformats.org/officeDocument/2006/relationships/hyperlink" Target="http://amplework.com" TargetMode="External"/><Relationship Id="rId459" Type="http://schemas.openxmlformats.org/officeDocument/2006/relationships/hyperlink" Target="http://aimers.io" TargetMode="External"/><Relationship Id="rId458" Type="http://schemas.openxmlformats.org/officeDocument/2006/relationships/hyperlink" Target="https://aimers.io/blog/top-11-saas-content-marketing-agencies" TargetMode="External"/><Relationship Id="rId457" Type="http://schemas.openxmlformats.org/officeDocument/2006/relationships/hyperlink" Target="http://aimers.io" TargetMode="External"/><Relationship Id="rId456" Type="http://schemas.openxmlformats.org/officeDocument/2006/relationships/hyperlink" Target="https://aimers.io/blog/top-10-llm-optimization-agencies" TargetMode="External"/><Relationship Id="rId451" Type="http://schemas.openxmlformats.org/officeDocument/2006/relationships/hyperlink" Target="http://advertal.de" TargetMode="External"/><Relationship Id="rId450" Type="http://schemas.openxmlformats.org/officeDocument/2006/relationships/hyperlink" Target="https://www.advertal.de/wissen/marketing-attribution-software-dach-vergleich" TargetMode="External"/><Relationship Id="rId455" Type="http://schemas.openxmlformats.org/officeDocument/2006/relationships/hyperlink" Target="http://agenciesformarketing.com" TargetMode="External"/><Relationship Id="rId454" Type="http://schemas.openxmlformats.org/officeDocument/2006/relationships/hyperlink" Target="https://www.agenciesformarketing.com/post/navigating-the-landscape-your-guide-to-top-marketing-agencies-in-germany-for-2025" TargetMode="External"/><Relationship Id="rId453" Type="http://schemas.openxmlformats.org/officeDocument/2006/relationships/hyperlink" Target="http://aeo-collective.com" TargetMode="External"/><Relationship Id="rId452" Type="http://schemas.openxmlformats.org/officeDocument/2006/relationships/hyperlink" Target="https://aeo-collective.com/blog/top-10-aeo-geo-aio-marketing-agencies-in-april-2026/" TargetMode="External"/><Relationship Id="rId491" Type="http://schemas.openxmlformats.org/officeDocument/2006/relationships/hyperlink" Target="http://clicksgeek.com" TargetMode="External"/><Relationship Id="rId490" Type="http://schemas.openxmlformats.org/officeDocument/2006/relationships/hyperlink" Target="https://clicksgeek.com/best-roi-focused-marketing-agency/" TargetMode="External"/><Relationship Id="rId489" Type="http://schemas.openxmlformats.org/officeDocument/2006/relationships/hyperlink" Target="http://clicksgeek.com" TargetMode="External"/><Relationship Id="rId484" Type="http://schemas.openxmlformats.org/officeDocument/2006/relationships/hyperlink" Target="https://www.bvdw.org/news-und-publikationen/internetagentur-ranking-2026-plannet-verteidigt-spitzenposition/" TargetMode="External"/><Relationship Id="rId483" Type="http://schemas.openxmlformats.org/officeDocument/2006/relationships/hyperlink" Target="http://brentonway.com" TargetMode="External"/><Relationship Id="rId482" Type="http://schemas.openxmlformats.org/officeDocument/2006/relationships/hyperlink" Target="https://brentonway.com/blog/ai-marketing-agencies" TargetMode="External"/><Relationship Id="rId481" Type="http://schemas.openxmlformats.org/officeDocument/2006/relationships/hyperlink" Target="http://brandigochina.com" TargetMode="External"/><Relationship Id="rId488" Type="http://schemas.openxmlformats.org/officeDocument/2006/relationships/hyperlink" Target="https://clicksgeek.com/best-paid-advertising-platforms-for-businesses/" TargetMode="External"/><Relationship Id="rId487" Type="http://schemas.openxmlformats.org/officeDocument/2006/relationships/hyperlink" Target="http://clarista.io" TargetMode="External"/><Relationship Id="rId486" Type="http://schemas.openxmlformats.org/officeDocument/2006/relationships/hyperlink" Target="https://www.clarista.io/blog/top-ai-solution-providers-2026" TargetMode="External"/><Relationship Id="rId485" Type="http://schemas.openxmlformats.org/officeDocument/2006/relationships/hyperlink" Target="http://bvdw.org" TargetMode="External"/><Relationship Id="rId480" Type="http://schemas.openxmlformats.org/officeDocument/2006/relationships/hyperlink" Target="https://www.brandigochina.com/the-best-marketing-agencies-in-china--2026" TargetMode="External"/><Relationship Id="rId479" Type="http://schemas.openxmlformats.org/officeDocument/2006/relationships/hyperlink" Target="http://blueconic.com" TargetMode="External"/><Relationship Id="rId478" Type="http://schemas.openxmlformats.org/officeDocument/2006/relationships/hyperlink" Target="https://www.blueconic.com/resources/best-cdps" TargetMode="External"/><Relationship Id="rId473" Type="http://schemas.openxmlformats.org/officeDocument/2006/relationships/hyperlink" Target="http://beomniscient.com" TargetMode="External"/><Relationship Id="rId472" Type="http://schemas.openxmlformats.org/officeDocument/2006/relationships/hyperlink" Target="https://beomniscient.com/blog/growth-marketing-agency/" TargetMode="External"/><Relationship Id="rId471" Type="http://schemas.openxmlformats.org/officeDocument/2006/relationships/hyperlink" Target="http://awisee.com" TargetMode="External"/><Relationship Id="rId470" Type="http://schemas.openxmlformats.org/officeDocument/2006/relationships/hyperlink" Target="https://awisee.com/hu/blog/digital-marketing-agencies-germany/" TargetMode="External"/><Relationship Id="rId477" Type="http://schemas.openxmlformats.org/officeDocument/2006/relationships/hyperlink" Target="http://blockbirds.de" TargetMode="External"/><Relationship Id="rId476" Type="http://schemas.openxmlformats.org/officeDocument/2006/relationships/hyperlink" Target="https://blockbirds.de/blog/die-besten-marketing-agenturen-deutschlands/" TargetMode="External"/><Relationship Id="rId475" Type="http://schemas.openxmlformats.org/officeDocument/2006/relationships/hyperlink" Target="http://beomniscient.com" TargetMode="External"/><Relationship Id="rId474" Type="http://schemas.openxmlformats.org/officeDocument/2006/relationships/hyperlink" Target="https://beomniscient.com/blog/marketing-agencies/" TargetMode="External"/><Relationship Id="rId426" Type="http://schemas.openxmlformats.org/officeDocument/2006/relationships/hyperlink" Target="https://www.thegrowthsyndicate.com/agencies/best-digital-marketing-agencies-europe" TargetMode="External"/><Relationship Id="rId425" Type="http://schemas.openxmlformats.org/officeDocument/2006/relationships/hyperlink" Target="http://thedrum.com" TargetMode="External"/><Relationship Id="rId424" Type="http://schemas.openxmlformats.org/officeDocument/2006/relationships/hyperlink" Target="https://www.thedrum.com/news/measure-what-matters-where-maths-meets-magic-modern-marketing" TargetMode="External"/><Relationship Id="rId423" Type="http://schemas.openxmlformats.org/officeDocument/2006/relationships/hyperlink" Target="http://superside.com" TargetMode="External"/><Relationship Id="rId429" Type="http://schemas.openxmlformats.org/officeDocument/2006/relationships/hyperlink" Target="http://tofuhq.com" TargetMode="External"/><Relationship Id="rId428" Type="http://schemas.openxmlformats.org/officeDocument/2006/relationships/hyperlink" Target="https://www.tofuhq.com/post/best-ai-agents-for-marketing" TargetMode="External"/><Relationship Id="rId427" Type="http://schemas.openxmlformats.org/officeDocument/2006/relationships/hyperlink" Target="http://thegrowthsyndicate.com" TargetMode="External"/><Relationship Id="rId422" Type="http://schemas.openxmlformats.org/officeDocument/2006/relationships/hyperlink" Target="https://www.superside.com/blog/creative-content-agencies" TargetMode="External"/><Relationship Id="rId421" Type="http://schemas.openxmlformats.org/officeDocument/2006/relationships/hyperlink" Target="http://superside.com" TargetMode="External"/><Relationship Id="rId420" Type="http://schemas.openxmlformats.org/officeDocument/2006/relationships/hyperlink" Target="https://www.superside.com/blog/creative-agencies" TargetMode="External"/><Relationship Id="rId415" Type="http://schemas.openxmlformats.org/officeDocument/2006/relationships/hyperlink" Target="http://seoworks.com" TargetMode="External"/><Relationship Id="rId414" Type="http://schemas.openxmlformats.org/officeDocument/2006/relationships/hyperlink" Target="https://www.seoworks.com/lists/top-b2b-geo-and-aeo-agencies/" TargetMode="External"/><Relationship Id="rId413" Type="http://schemas.openxmlformats.org/officeDocument/2006/relationships/hyperlink" Target="http://segmentstream.com" TargetMode="External"/><Relationship Id="rId412" Type="http://schemas.openxmlformats.org/officeDocument/2006/relationships/hyperlink" Target="https://segmentstream.com/blog/articles/best-attribution-tools" TargetMode="External"/><Relationship Id="rId419" Type="http://schemas.openxmlformats.org/officeDocument/2006/relationships/hyperlink" Target="http://sourceforge.net" TargetMode="External"/><Relationship Id="rId418" Type="http://schemas.openxmlformats.org/officeDocument/2006/relationships/hyperlink" Target="https://sourceforge.net/software/marketing-analytics/germany/" TargetMode="External"/><Relationship Id="rId417" Type="http://schemas.openxmlformats.org/officeDocument/2006/relationships/hyperlink" Target="http://silverspoonagency.com" TargetMode="External"/><Relationship Id="rId416" Type="http://schemas.openxmlformats.org/officeDocument/2006/relationships/hyperlink" Target="https://silverspoonagency.com/best-performance-marketing-agencies/" TargetMode="External"/><Relationship Id="rId411" Type="http://schemas.openxmlformats.org/officeDocument/2006/relationships/hyperlink" Target="http://scalixai.com" TargetMode="External"/><Relationship Id="rId410" Type="http://schemas.openxmlformats.org/officeDocument/2006/relationships/hyperlink" Target="https://scalixai.com/blog/best-performance-marketing-agencies" TargetMode="External"/><Relationship Id="rId448" Type="http://schemas.openxmlformats.org/officeDocument/2006/relationships/hyperlink" Target="https://www.adstellar.ai/blog/media-buying-automation-tools" TargetMode="External"/><Relationship Id="rId447" Type="http://schemas.openxmlformats.org/officeDocument/2006/relationships/hyperlink" Target="http://zupo.co" TargetMode="External"/><Relationship Id="rId446" Type="http://schemas.openxmlformats.org/officeDocument/2006/relationships/hyperlink" Target="https://zupo.co/best-aeo-agencies/" TargetMode="External"/><Relationship Id="rId445" Type="http://schemas.openxmlformats.org/officeDocument/2006/relationships/hyperlink" Target="http://zipdo.co" TargetMode="External"/><Relationship Id="rId449" Type="http://schemas.openxmlformats.org/officeDocument/2006/relationships/hyperlink" Target="http://adstellar.ai" TargetMode="External"/><Relationship Id="rId440" Type="http://schemas.openxmlformats.org/officeDocument/2006/relationships/hyperlink" Target="https://www.wuv.de/Themen/Agentur/BVDW-Kreativranking-Welche-Agenturen-2024-Massstaebe-setzten" TargetMode="External"/><Relationship Id="rId444" Type="http://schemas.openxmlformats.org/officeDocument/2006/relationships/hyperlink" Target="https://zipdo.co/service/attribution/" TargetMode="External"/><Relationship Id="rId443" Type="http://schemas.openxmlformats.org/officeDocument/2006/relationships/hyperlink" Target="http://wuv.de" TargetMode="External"/><Relationship Id="rId442" Type="http://schemas.openxmlformats.org/officeDocument/2006/relationships/hyperlink" Target="https://www.wuv.deamp.wuv.de/Themen/Agentur/Das-sind-Deutschlands-meistausgezeichnete-Agenturen" TargetMode="External"/><Relationship Id="rId441" Type="http://schemas.openxmlformats.org/officeDocument/2006/relationships/hyperlink" Target="http://wuv.de" TargetMode="External"/><Relationship Id="rId437" Type="http://schemas.openxmlformats.org/officeDocument/2006/relationships/hyperlink" Target="http://webtonic.io" TargetMode="External"/><Relationship Id="rId436" Type="http://schemas.openxmlformats.org/officeDocument/2006/relationships/hyperlink" Target="https://www.webtonic.io/blog/best-performance-marketing-agencies" TargetMode="External"/><Relationship Id="rId435" Type="http://schemas.openxmlformats.org/officeDocument/2006/relationships/hyperlink" Target="http://warc.com" TargetMode="External"/><Relationship Id="rId434" Type="http://schemas.openxmlformats.org/officeDocument/2006/relationships/hyperlink" Target="https://www.warc.com/en/rankings/creative-100" TargetMode="External"/><Relationship Id="rId439" Type="http://schemas.openxmlformats.org/officeDocument/2006/relationships/hyperlink" Target="http://webtonic.io" TargetMode="External"/><Relationship Id="rId438" Type="http://schemas.openxmlformats.org/officeDocument/2006/relationships/hyperlink" Target="https://www.webtonic.io/blog/top-creative-performance-agencies" TargetMode="External"/><Relationship Id="rId433" Type="http://schemas.openxmlformats.org/officeDocument/2006/relationships/hyperlink" Target="http://wamdigital.com" TargetMode="External"/><Relationship Id="rId432" Type="http://schemas.openxmlformats.org/officeDocument/2006/relationships/hyperlink" Target="https://wamdigital.com/blog/top-5-creative-and-web-development-agencies-for-scalable-production-in-2026" TargetMode="External"/><Relationship Id="rId431" Type="http://schemas.openxmlformats.org/officeDocument/2006/relationships/hyperlink" Target="http://upliftgtm.com" TargetMode="External"/><Relationship Id="rId430" Type="http://schemas.openxmlformats.org/officeDocument/2006/relationships/hyperlink" Target="https://www.upliftgtm.com/blog/best-geo-agencies" TargetMode="External"/><Relationship Id="rId1" Type="http://schemas.openxmlformats.org/officeDocument/2006/relationships/hyperlink" Target="http://bakedwith.com" TargetMode="External"/><Relationship Id="rId2" Type="http://schemas.openxmlformats.org/officeDocument/2006/relationships/hyperlink" Target="https://vitasoft.co/best/geo-agency-germany/" TargetMode="External"/><Relationship Id="rId3" Type="http://schemas.openxmlformats.org/officeDocument/2006/relationships/hyperlink" Target="http://vitasoft.co" TargetMode="External"/><Relationship Id="rId4" Type="http://schemas.openxmlformats.org/officeDocument/2006/relationships/hyperlink" Target="https://www.influencer-hero.com/blogs/top-digital-advertising-agencies-in-germany" TargetMode="External"/><Relationship Id="rId9" Type="http://schemas.openxmlformats.org/officeDocument/2006/relationships/hyperlink" Target="http://sortlist.com" TargetMode="External"/><Relationship Id="rId5" Type="http://schemas.openxmlformats.org/officeDocument/2006/relationships/hyperlink" Target="http://influencer-hero.com" TargetMode="External"/><Relationship Id="rId6" Type="http://schemas.openxmlformats.org/officeDocument/2006/relationships/hyperlink" Target="https://www.influencer-hero.com/blogs/top-digital-marketing-agencies-in-germany" TargetMode="External"/><Relationship Id="rId7" Type="http://schemas.openxmlformats.org/officeDocument/2006/relationships/hyperlink" Target="http://influencer-hero.com" TargetMode="External"/><Relationship Id="rId8" Type="http://schemas.openxmlformats.org/officeDocument/2006/relationships/hyperlink" Target="https://www.sortlist.com/s/performance-marketing/germany-de" TargetMode="External"/><Relationship Id="rId808" Type="http://schemas.openxmlformats.org/officeDocument/2006/relationships/hyperlink" Target="http://syncgtm.com" TargetMode="External"/><Relationship Id="rId807" Type="http://schemas.openxmlformats.org/officeDocument/2006/relationships/hyperlink" Target="https://syncgtm.com/blog/best-gtm-agencies-in-germany" TargetMode="External"/><Relationship Id="rId806" Type="http://schemas.openxmlformats.org/officeDocument/2006/relationships/hyperlink" Target="http://superside.com" TargetMode="External"/><Relationship Id="rId805" Type="http://schemas.openxmlformats.org/officeDocument/2006/relationships/hyperlink" Target="https://www.superside.com/blog/creative-strategy-agencies-examples" TargetMode="External"/><Relationship Id="rId809" Type="http://schemas.openxmlformats.org/officeDocument/2006/relationships/hyperlink" Target="https://teamai.com/blog/generative-ai-and-business/top-geo-agencies-for-ai-visibility/" TargetMode="External"/><Relationship Id="rId800" Type="http://schemas.openxmlformats.org/officeDocument/2006/relationships/hyperlink" Target="http://superbcompanies.com" TargetMode="External"/><Relationship Id="rId804" Type="http://schemas.openxmlformats.org/officeDocument/2006/relationships/hyperlink" Target="http://superside.com" TargetMode="External"/><Relationship Id="rId803" Type="http://schemas.openxmlformats.org/officeDocument/2006/relationships/hyperlink" Target="https://www.superside.com/blog/ai-powered-agencies" TargetMode="External"/><Relationship Id="rId802" Type="http://schemas.openxmlformats.org/officeDocument/2006/relationships/hyperlink" Target="http://superside.com" TargetMode="External"/><Relationship Id="rId801" Type="http://schemas.openxmlformats.org/officeDocument/2006/relationships/hyperlink" Target="https://www.superside.com/blog/ad-creative-agencies" TargetMode="External"/><Relationship Id="rId745" Type="http://schemas.openxmlformats.org/officeDocument/2006/relationships/hyperlink" Target="http://pr-journal.de" TargetMode="External"/><Relationship Id="rId744" Type="http://schemas.openxmlformats.org/officeDocument/2006/relationships/hyperlink" Target="https://www.pr-journal.de/nachrichten/agenturen/33037-agenturen-zeigen-breites-leistungsspektrum-ihrer-pr-arbeiten.html" TargetMode="External"/><Relationship Id="rId743" Type="http://schemas.openxmlformats.org/officeDocument/2006/relationships/hyperlink" Target="http://platypusseo.com" TargetMode="External"/><Relationship Id="rId742" Type="http://schemas.openxmlformats.org/officeDocument/2006/relationships/hyperlink" Target="https://platypusseo.com/blog/best-european-seo-agencies/" TargetMode="External"/><Relationship Id="rId749" Type="http://schemas.openxmlformats.org/officeDocument/2006/relationships/hyperlink" Target="http://qoulomb.com" TargetMode="External"/><Relationship Id="rId748" Type="http://schemas.openxmlformats.org/officeDocument/2006/relationships/hyperlink" Target="https://qoulomb.com/best-answer-engine-optimization-agencies/" TargetMode="External"/><Relationship Id="rId747" Type="http://schemas.openxmlformats.org/officeDocument/2006/relationships/hyperlink" Target="http://promodo.com" TargetMode="External"/><Relationship Id="rId746" Type="http://schemas.openxmlformats.org/officeDocument/2006/relationships/hyperlink" Target="https://www.promodo.com/blog/best-geo-agencies" TargetMode="External"/><Relationship Id="rId741" Type="http://schemas.openxmlformats.org/officeDocument/2006/relationships/hyperlink" Target="http://pixelmojo.io" TargetMode="External"/><Relationship Id="rId740" Type="http://schemas.openxmlformats.org/officeDocument/2006/relationships/hyperlink" Target="https://www.pixelmojo.io/best-ai-visibility-agencies" TargetMode="External"/><Relationship Id="rId739" Type="http://schemas.openxmlformats.org/officeDocument/2006/relationships/hyperlink" Target="http://zoominfo.com" TargetMode="External"/><Relationship Id="rId734" Type="http://schemas.openxmlformats.org/officeDocument/2006/relationships/hyperlink" Target="https://p3adaptive.com/the-10-best-ai-consulting-companies-for-enterprise-in-2026/" TargetMode="External"/><Relationship Id="rId733" Type="http://schemas.openxmlformats.org/officeDocument/2006/relationships/hyperlink" Target="http://outrightcrm.com" TargetMode="External"/><Relationship Id="rId732" Type="http://schemas.openxmlformats.org/officeDocument/2006/relationships/hyperlink" Target="https://www.outrightcrm.com/blog/roi-focused-digital-marketing-agencies/" TargetMode="External"/><Relationship Id="rId731" Type="http://schemas.openxmlformats.org/officeDocument/2006/relationships/hyperlink" Target="http://outreachz.com" TargetMode="External"/><Relationship Id="rId738" Type="http://schemas.openxmlformats.org/officeDocument/2006/relationships/hyperlink" Target="https://pipeline.zoominfo.com/sales/intent-data-platform" TargetMode="External"/><Relationship Id="rId737" Type="http://schemas.openxmlformats.org/officeDocument/2006/relationships/hyperlink" Target="http://pikaseo.com" TargetMode="External"/><Relationship Id="rId736" Type="http://schemas.openxmlformats.org/officeDocument/2006/relationships/hyperlink" Target="https://pikaseo.com/articles/best-ai-seo-agencies" TargetMode="External"/><Relationship Id="rId735" Type="http://schemas.openxmlformats.org/officeDocument/2006/relationships/hyperlink" Target="http://p3adaptive.com" TargetMode="External"/><Relationship Id="rId730" Type="http://schemas.openxmlformats.org/officeDocument/2006/relationships/hyperlink" Target="https://outreachz.com/blog/best-ai-marketing-agencies-2026/" TargetMode="External"/><Relationship Id="rId767" Type="http://schemas.openxmlformats.org/officeDocument/2006/relationships/hyperlink" Target="http://scopicstudios.com" TargetMode="External"/><Relationship Id="rId766" Type="http://schemas.openxmlformats.org/officeDocument/2006/relationships/hyperlink" Target="https://scopicstudios.com/blog/top-performance-marketing-agencies/" TargetMode="External"/><Relationship Id="rId765" Type="http://schemas.openxmlformats.org/officeDocument/2006/relationships/hyperlink" Target="http://scandiweb.com" TargetMode="External"/><Relationship Id="rId764" Type="http://schemas.openxmlformats.org/officeDocument/2006/relationships/hyperlink" Target="https://scandiweb.com/blog/top-ai-agencies/" TargetMode="External"/><Relationship Id="rId769" Type="http://schemas.openxmlformats.org/officeDocument/2006/relationships/hyperlink" Target="http://searchbloom.com" TargetMode="External"/><Relationship Id="rId768" Type="http://schemas.openxmlformats.org/officeDocument/2006/relationships/hyperlink" Target="https://www.searchbloom.com/strategy/best-ai-seo-agency-companies-services-usa/" TargetMode="External"/><Relationship Id="rId763" Type="http://schemas.openxmlformats.org/officeDocument/2006/relationships/hyperlink" Target="http://sanmiguel.io" TargetMode="External"/><Relationship Id="rId762" Type="http://schemas.openxmlformats.org/officeDocument/2006/relationships/hyperlink" Target="https://www.sanmiguel.io/en/the-best-b2b-brand-agencies-for-smes/" TargetMode="External"/><Relationship Id="rId761" Type="http://schemas.openxmlformats.org/officeDocument/2006/relationships/hyperlink" Target="http://sageitinc.com" TargetMode="External"/><Relationship Id="rId760" Type="http://schemas.openxmlformats.org/officeDocument/2006/relationships/hyperlink" Target="https://sageitinc.com/reference-center/best-ai-consulting-companies" TargetMode="External"/><Relationship Id="rId756" Type="http://schemas.openxmlformats.org/officeDocument/2006/relationships/hyperlink" Target="https://rubixe.com/blog/ai-trends-in-consulting-whats-next-for-businesses" TargetMode="External"/><Relationship Id="rId755" Type="http://schemas.openxmlformats.org/officeDocument/2006/relationships/hyperlink" Target="http://revenuezen.com" TargetMode="External"/><Relationship Id="rId754" Type="http://schemas.openxmlformats.org/officeDocument/2006/relationships/hyperlink" Target="https://revenuezen.com/top-answer-engine-optimization-aeo-agencies/" TargetMode="External"/><Relationship Id="rId753" Type="http://schemas.openxmlformats.org/officeDocument/2006/relationships/hyperlink" Target="http://radyant.io" TargetMode="External"/><Relationship Id="rId759" Type="http://schemas.openxmlformats.org/officeDocument/2006/relationships/hyperlink" Target="http://s-pro.io" TargetMode="External"/><Relationship Id="rId758" Type="http://schemas.openxmlformats.org/officeDocument/2006/relationships/hyperlink" Target="https://s-pro.io/generative-ai-development-companies" TargetMode="External"/><Relationship Id="rId757" Type="http://schemas.openxmlformats.org/officeDocument/2006/relationships/hyperlink" Target="http://rubixe.com" TargetMode="External"/><Relationship Id="rId752" Type="http://schemas.openxmlformats.org/officeDocument/2006/relationships/hyperlink" Target="https://www.radyant.io/comparison/the-6-best-ai-seo-agencies-for-b2b-startups" TargetMode="External"/><Relationship Id="rId751" Type="http://schemas.openxmlformats.org/officeDocument/2006/relationships/hyperlink" Target="http://quoleady.com" TargetMode="External"/><Relationship Id="rId750" Type="http://schemas.openxmlformats.org/officeDocument/2006/relationships/hyperlink" Target="https://www.quoleady.com/growth-marketing-agencies/" TargetMode="External"/><Relationship Id="rId709" Type="http://schemas.openxmlformats.org/officeDocument/2006/relationships/hyperlink" Target="http://nogood.io" TargetMode="External"/><Relationship Id="rId708" Type="http://schemas.openxmlformats.org/officeDocument/2006/relationships/hyperlink" Target="https://nogood.io/blog/performance-marketing-agencies/" TargetMode="External"/><Relationship Id="rId707" Type="http://schemas.openxmlformats.org/officeDocument/2006/relationships/hyperlink" Target="http://ninjapromo.io" TargetMode="External"/><Relationship Id="rId706" Type="http://schemas.openxmlformats.org/officeDocument/2006/relationships/hyperlink" Target="https://ninjapromo.io/best-ai-marketing-agencies" TargetMode="External"/><Relationship Id="rId701" Type="http://schemas.openxmlformats.org/officeDocument/2006/relationships/hyperlink" Target="http://neuhandeln.de" TargetMode="External"/><Relationship Id="rId700" Type="http://schemas.openxmlformats.org/officeDocument/2006/relationships/hyperlink" Target="https://www.neuhandeln.de/internetagentur-ranking/ranking_2025.html" TargetMode="External"/><Relationship Id="rId705" Type="http://schemas.openxmlformats.org/officeDocument/2006/relationships/hyperlink" Target="http://nikaconsulting.co.nz" TargetMode="External"/><Relationship Id="rId704" Type="http://schemas.openxmlformats.org/officeDocument/2006/relationships/hyperlink" Target="https://www.nikaconsulting.co.nz/advertising-agencies-auckland/" TargetMode="External"/><Relationship Id="rId703" Type="http://schemas.openxmlformats.org/officeDocument/2006/relationships/hyperlink" Target="http://neuhandeln.de" TargetMode="External"/><Relationship Id="rId702" Type="http://schemas.openxmlformats.org/officeDocument/2006/relationships/hyperlink" Target="https://www.neuhandeln.de/performance-ranking/performance_2021" TargetMode="External"/><Relationship Id="rId729" Type="http://schemas.openxmlformats.org/officeDocument/2006/relationships/hyperlink" Target="https://oski.site/blog/analytics-strategy-consulting-companies-germany/" TargetMode="External"/><Relationship Id="rId728" Type="http://schemas.openxmlformats.org/officeDocument/2006/relationships/hyperlink" Target="https://origami.chat/blog/best-ai-marketing-analytics-tools" TargetMode="External"/><Relationship Id="rId723" Type="http://schemas.openxmlformats.org/officeDocument/2006/relationships/hyperlink" Target="http://onely.com" TargetMode="External"/><Relationship Id="rId722" Type="http://schemas.openxmlformats.org/officeDocument/2006/relationships/hyperlink" Target="https://www.onely.com/blog/best-digital-marketing-agencies/" TargetMode="External"/><Relationship Id="rId721" Type="http://schemas.openxmlformats.org/officeDocument/2006/relationships/hyperlink" Target="http://onely.com" TargetMode="External"/><Relationship Id="rId720" Type="http://schemas.openxmlformats.org/officeDocument/2006/relationships/hyperlink" Target="https://www.onely.com/blog/best-b2b-seo-agencies/" TargetMode="External"/><Relationship Id="rId727" Type="http://schemas.openxmlformats.org/officeDocument/2006/relationships/hyperlink" Target="http://openassistantgpt.io" TargetMode="External"/><Relationship Id="rId726" Type="http://schemas.openxmlformats.org/officeDocument/2006/relationships/hyperlink" Target="https://www.openassistantgpt.io/blogs/aeo-geo-llm-ranking-tool-enterprise" TargetMode="External"/><Relationship Id="rId725" Type="http://schemas.openxmlformats.org/officeDocument/2006/relationships/hyperlink" Target="http://onetoone.de" TargetMode="External"/><Relationship Id="rId724" Type="http://schemas.openxmlformats.org/officeDocument/2006/relationships/hyperlink" Target="https://www.onetoone.de/performance-ranking/performance_2023" TargetMode="External"/><Relationship Id="rId719" Type="http://schemas.openxmlformats.org/officeDocument/2006/relationships/hyperlink" Target="http://oneclub.org" TargetMode="External"/><Relationship Id="rId718" Type="http://schemas.openxmlformats.org/officeDocument/2006/relationships/hyperlink" Target="https://www.oneclub.org/press/-adce2024-rankings" TargetMode="External"/><Relationship Id="rId717" Type="http://schemas.openxmlformats.org/officeDocument/2006/relationships/hyperlink" Target="http://omnibound.ai" TargetMode="External"/><Relationship Id="rId712" Type="http://schemas.openxmlformats.org/officeDocument/2006/relationships/hyperlink" Target="https://www.nutshell.com/blog/top-geo-agencies" TargetMode="External"/><Relationship Id="rId711" Type="http://schemas.openxmlformats.org/officeDocument/2006/relationships/hyperlink" Target="http://novusvistatech.com" TargetMode="External"/><Relationship Id="rId710" Type="http://schemas.openxmlformats.org/officeDocument/2006/relationships/hyperlink" Target="https://www.novusvistatech.com/blog/digital-transformation-companies.html" TargetMode="External"/><Relationship Id="rId716" Type="http://schemas.openxmlformats.org/officeDocument/2006/relationships/hyperlink" Target="https://www.omnibound.ai/blog/first-party-data-statistics" TargetMode="External"/><Relationship Id="rId715" Type="http://schemas.openxmlformats.org/officeDocument/2006/relationships/hyperlink" Target="http://oakpool.xyz" TargetMode="External"/><Relationship Id="rId714" Type="http://schemas.openxmlformats.org/officeDocument/2006/relationships/hyperlink" Target="https://oakpool.xyz/drift/top-10-geo-aeo-ai-search-agencies/" TargetMode="External"/><Relationship Id="rId713" Type="http://schemas.openxmlformats.org/officeDocument/2006/relationships/hyperlink" Target="http://nutshell.com" TargetMode="External"/><Relationship Id="rId789" Type="http://schemas.openxmlformats.org/officeDocument/2006/relationships/hyperlink" Target="https://socialsamurai.de/blog/top-marketing-branding-agenturen-deutschlands/" TargetMode="External"/><Relationship Id="rId788" Type="http://schemas.openxmlformats.org/officeDocument/2006/relationships/hyperlink" Target="http://sixpathsconsulting.com" TargetMode="External"/><Relationship Id="rId787" Type="http://schemas.openxmlformats.org/officeDocument/2006/relationships/hyperlink" Target="https://www.sixpathsconsulting.com/top-ai-consulting-companies/" TargetMode="External"/><Relationship Id="rId786" Type="http://schemas.openxmlformats.org/officeDocument/2006/relationships/hyperlink" Target="http://singlegrain.com" TargetMode="External"/><Relationship Id="rId781" Type="http://schemas.openxmlformats.org/officeDocument/2006/relationships/hyperlink" Target="https://seranking.com/de/blog/beste-ki-seo-agenturen/" TargetMode="External"/><Relationship Id="rId780" Type="http://schemas.openxmlformats.org/officeDocument/2006/relationships/hyperlink" Target="http://seoworks.com" TargetMode="External"/><Relationship Id="rId785" Type="http://schemas.openxmlformats.org/officeDocument/2006/relationships/hyperlink" Target="https://www.singlegrain.com/artificial-intelligence/top-14-ai-marketing-agencies-in-2025/" TargetMode="External"/><Relationship Id="rId784" Type="http://schemas.openxmlformats.org/officeDocument/2006/relationships/hyperlink" Target="http://siegemedia.com" TargetMode="External"/><Relationship Id="rId783" Type="http://schemas.openxmlformats.org/officeDocument/2006/relationships/hyperlink" Target="https://www.siegemedia.com/strategy/best-content-marketing-agencies" TargetMode="External"/><Relationship Id="rId782" Type="http://schemas.openxmlformats.org/officeDocument/2006/relationships/hyperlink" Target="http://seranking.com" TargetMode="External"/><Relationship Id="rId778" Type="http://schemas.openxmlformats.org/officeDocument/2006/relationships/hyperlink" Target="http://semnexus.com" TargetMode="External"/><Relationship Id="rId777" Type="http://schemas.openxmlformats.org/officeDocument/2006/relationships/hyperlink" Target="https://semnexus.com/the-top-10-aeo-agencies-in-2026-dominating-ai-search" TargetMode="External"/><Relationship Id="rId776" Type="http://schemas.openxmlformats.org/officeDocument/2006/relationships/hyperlink" Target="http://sellforte.com" TargetMode="External"/><Relationship Id="rId775" Type="http://schemas.openxmlformats.org/officeDocument/2006/relationships/hyperlink" Target="https://sellforte.com/blog/real-time-mmm-tools-ecommerce" TargetMode="External"/><Relationship Id="rId779" Type="http://schemas.openxmlformats.org/officeDocument/2006/relationships/hyperlink" Target="https://www.seoworks.com/lists/the-20-best-geo-agencies/" TargetMode="External"/><Relationship Id="rId770" Type="http://schemas.openxmlformats.org/officeDocument/2006/relationships/hyperlink" Target="https://www.secureleap.tech/blog/best-penetration-testing-companies-europe-startups" TargetMode="External"/><Relationship Id="rId774" Type="http://schemas.openxmlformats.org/officeDocument/2006/relationships/hyperlink" Target="http://sellforte.com" TargetMode="External"/><Relationship Id="rId773" Type="http://schemas.openxmlformats.org/officeDocument/2006/relationships/hyperlink" Target="https://sellforte.com/blog/7-incrementality-measurement-tools-to-try-in-2025/" TargetMode="External"/><Relationship Id="rId772" Type="http://schemas.openxmlformats.org/officeDocument/2006/relationships/hyperlink" Target="http://seeders.com" TargetMode="External"/><Relationship Id="rId771" Type="http://schemas.openxmlformats.org/officeDocument/2006/relationships/hyperlink" Target="https://seeders.com/blog/10-best-link-building-agencies-in-germany-2026-ranked/" TargetMode="External"/><Relationship Id="rId799" Type="http://schemas.openxmlformats.org/officeDocument/2006/relationships/hyperlink" Target="https://superbcompanies.com/categories/advertising-agencies-in-germany/" TargetMode="External"/><Relationship Id="rId798" Type="http://schemas.openxmlformats.org/officeDocument/2006/relationships/hyperlink" Target="http://suchhelden.de" TargetMode="External"/><Relationship Id="rId797" Type="http://schemas.openxmlformats.org/officeDocument/2006/relationships/hyperlink" Target="https://www.suchhelden.de/beste-geo-agenturen-deutschlands.php" TargetMode="External"/><Relationship Id="rId792" Type="http://schemas.openxmlformats.org/officeDocument/2006/relationships/hyperlink" Target="http://soenkesproll.de" TargetMode="External"/><Relationship Id="rId791" Type="http://schemas.openxmlformats.org/officeDocument/2006/relationships/hyperlink" Target="https://www.soenkesproll.de/blog/die-besten-social-media-agenturen" TargetMode="External"/><Relationship Id="rId790" Type="http://schemas.openxmlformats.org/officeDocument/2006/relationships/hyperlink" Target="http://socialsamurai.de" TargetMode="External"/><Relationship Id="rId796" Type="http://schemas.openxmlformats.org/officeDocument/2006/relationships/hyperlink" Target="http://strativera.com" TargetMode="External"/><Relationship Id="rId795" Type="http://schemas.openxmlformats.org/officeDocument/2006/relationships/hyperlink" Target="https://strativera.com/insights/best-seo-aeo-geo-marketing-agencies/" TargetMode="External"/><Relationship Id="rId794" Type="http://schemas.openxmlformats.org/officeDocument/2006/relationships/hyperlink" Target="http://sourceforge.net" TargetMode="External"/><Relationship Id="rId793" Type="http://schemas.openxmlformats.org/officeDocument/2006/relationships/hyperlink" Target="https://sourceforge.net/software/incrementality-testing/europe/" TargetMode="External"/><Relationship Id="rId629" Type="http://schemas.openxmlformats.org/officeDocument/2006/relationships/hyperlink" Target="http://influencer-hero.com" TargetMode="External"/><Relationship Id="rId624" Type="http://schemas.openxmlformats.org/officeDocument/2006/relationships/hyperlink" Target="http://icreativez.com" TargetMode="External"/><Relationship Id="rId623" Type="http://schemas.openxmlformats.org/officeDocument/2006/relationships/hyperlink" Target="https://www.icreativez.com/global-leaders/15-performance-ad-agencies-scalable-growth-2026.html" TargetMode="External"/><Relationship Id="rId622" Type="http://schemas.openxmlformats.org/officeDocument/2006/relationships/hyperlink" Target="http://icoda.io" TargetMode="External"/><Relationship Id="rId621" Type="http://schemas.openxmlformats.org/officeDocument/2006/relationships/hyperlink" Target="https://icoda.io/de/ai/best-ai-marketing-agencies/" TargetMode="External"/><Relationship Id="rId628" Type="http://schemas.openxmlformats.org/officeDocument/2006/relationships/hyperlink" Target="https://www.influencer-hero.com/de/blogs/top-digital-marketing-agencies-in-germany" TargetMode="External"/><Relationship Id="rId627" Type="http://schemas.openxmlformats.org/officeDocument/2006/relationships/hyperlink" Target="http://inbeat.co" TargetMode="External"/><Relationship Id="rId626" Type="http://schemas.openxmlformats.org/officeDocument/2006/relationships/hyperlink" Target="https://www.inbeat.co/articles/top-performance-marketing-agencies/" TargetMode="External"/><Relationship Id="rId625" Type="http://schemas.openxmlformats.org/officeDocument/2006/relationships/hyperlink" Target="https://inbeat.agency/blog/top-performance-creative-agencies" TargetMode="External"/><Relationship Id="rId620" Type="http://schemas.openxmlformats.org/officeDocument/2006/relationships/hyperlink" Target="http://icoda.io" TargetMode="External"/><Relationship Id="rId619" Type="http://schemas.openxmlformats.org/officeDocument/2006/relationships/hyperlink" Target="https://icoda.io/de/ai/best-ai-digital-marketing-agencies/" TargetMode="External"/><Relationship Id="rId618" Type="http://schemas.openxmlformats.org/officeDocument/2006/relationships/hyperlink" Target="http://ibusiness.de" TargetMode="External"/><Relationship Id="rId613" Type="http://schemas.openxmlformats.org/officeDocument/2006/relationships/hyperlink" Target="https://www.hustlermarketing.com/best-email-marketing-agencies-2026-comparison-guide/" TargetMode="External"/><Relationship Id="rId612" Type="http://schemas.openxmlformats.org/officeDocument/2006/relationships/hyperlink" Target="https://humanise.world/blog/first-party-data-activation" TargetMode="External"/><Relationship Id="rId611" Type="http://schemas.openxmlformats.org/officeDocument/2006/relationships/hyperlink" Target="http://housesofgrowth.com" TargetMode="External"/><Relationship Id="rId610" Type="http://schemas.openxmlformats.org/officeDocument/2006/relationships/hyperlink" Target="https://www.housesofgrowth.com/post/ai-digital-marketing-agencies" TargetMode="External"/><Relationship Id="rId617" Type="http://schemas.openxmlformats.org/officeDocument/2006/relationships/hyperlink" Target="https://www.ibusiness.de/performance-ranking/performance_2024" TargetMode="External"/><Relationship Id="rId616" Type="http://schemas.openxmlformats.org/officeDocument/2006/relationships/hyperlink" Target="http://ibusiness.de" TargetMode="External"/><Relationship Id="rId615" Type="http://schemas.openxmlformats.org/officeDocument/2006/relationships/hyperlink" Target="https://www.ibusiness.de/performance-ranking/performance_2020.html" TargetMode="External"/><Relationship Id="rId614" Type="http://schemas.openxmlformats.org/officeDocument/2006/relationships/hyperlink" Target="http://hustlermarketing.com" TargetMode="External"/><Relationship Id="rId646" Type="http://schemas.openxmlformats.org/officeDocument/2006/relationships/hyperlink" Target="https://www.keyweo.com/de/seo/faq/beste-agenturen-deutschland/" TargetMode="External"/><Relationship Id="rId645" Type="http://schemas.openxmlformats.org/officeDocument/2006/relationships/hyperlink" Target="http://kentucky.com" TargetMode="External"/><Relationship Id="rId644" Type="http://schemas.openxmlformats.org/officeDocument/2006/relationships/hyperlink" Target="https://www.kentucky.com/news/business/article316219281.html" TargetMode="External"/><Relationship Id="rId643" Type="http://schemas.openxmlformats.org/officeDocument/2006/relationships/hyperlink" Target="http://jonas-rashedi.de" TargetMode="External"/><Relationship Id="rId649" Type="http://schemas.openxmlformats.org/officeDocument/2006/relationships/hyperlink" Target="http://kingfluencers.com" TargetMode="External"/><Relationship Id="rId648" Type="http://schemas.openxmlformats.org/officeDocument/2006/relationships/hyperlink" Target="https://www.kingfluencers.com/en/blog/top-50-social-media-agenturen-in-europa-in-2025" TargetMode="External"/><Relationship Id="rId647" Type="http://schemas.openxmlformats.org/officeDocument/2006/relationships/hyperlink" Target="http://keyweo.com" TargetMode="External"/><Relationship Id="rId642" Type="http://schemas.openxmlformats.org/officeDocument/2006/relationships/hyperlink" Target="https://www.jonas-rashedi.de/blog/customer-data-platform-experten-deutschland-2026.html" TargetMode="External"/><Relationship Id="rId641" Type="http://schemas.openxmlformats.org/officeDocument/2006/relationships/hyperlink" Target="http://intellectyx.com" TargetMode="External"/><Relationship Id="rId640" Type="http://schemas.openxmlformats.org/officeDocument/2006/relationships/hyperlink" Target="https://www.intellectyx.com/list-of-20-leading-ai-consulting-firms-providing-comprehensive-services/" TargetMode="External"/><Relationship Id="rId635" Type="http://schemas.openxmlformats.org/officeDocument/2006/relationships/hyperlink" Target="http://influencermarketinghub.com" TargetMode="External"/><Relationship Id="rId634" Type="http://schemas.openxmlformats.org/officeDocument/2006/relationships/hyperlink" Target="https://influencermarketinghub.com/de/ki-marketing-agenturen/" TargetMode="External"/><Relationship Id="rId633" Type="http://schemas.openxmlformats.org/officeDocument/2006/relationships/hyperlink" Target="http://influencermarketinghub.com" TargetMode="External"/><Relationship Id="rId632" Type="http://schemas.openxmlformats.org/officeDocument/2006/relationships/hyperlink" Target="https://influencermarketinghub.com/de/google-ads-agenturen/" TargetMode="External"/><Relationship Id="rId639" Type="http://schemas.openxmlformats.org/officeDocument/2006/relationships/hyperlink" Target="http://intellectyx.com" TargetMode="External"/><Relationship Id="rId638" Type="http://schemas.openxmlformats.org/officeDocument/2006/relationships/hyperlink" Target="https://www.intellectyx.com/ai-agent-development-companies-in-usa/" TargetMode="External"/><Relationship Id="rId637" Type="http://schemas.openxmlformats.org/officeDocument/2006/relationships/hyperlink" Target="http://influencermarketinghub.com" TargetMode="External"/><Relationship Id="rId636" Type="http://schemas.openxmlformats.org/officeDocument/2006/relationships/hyperlink" Target="https://influencermarketinghub.com/de/social-media-marketing-agenturen/" TargetMode="External"/><Relationship Id="rId631" Type="http://schemas.openxmlformats.org/officeDocument/2006/relationships/hyperlink" Target="http://influencer-hero.com" TargetMode="External"/><Relationship Id="rId630" Type="http://schemas.openxmlformats.org/officeDocument/2006/relationships/hyperlink" Target="https://www.influencer-hero.com/fr/blogs/top-advertising-agencies-in-germany" TargetMode="External"/><Relationship Id="rId609" Type="http://schemas.openxmlformats.org/officeDocument/2006/relationships/hyperlink" Target="http://hourlydeveloper.io" TargetMode="External"/><Relationship Id="rId608" Type="http://schemas.openxmlformats.org/officeDocument/2006/relationships/hyperlink" Target="https://hourlydeveloper.io/blog/best-ai-powered-machine-learning-development-firms-in-germany" TargetMode="External"/><Relationship Id="rId607" Type="http://schemas.openxmlformats.org/officeDocument/2006/relationships/hyperlink" Target="http://horizont.net" TargetMode="External"/><Relationship Id="rId602" Type="http://schemas.openxmlformats.org/officeDocument/2006/relationships/hyperlink" Target="https://www.hirefrontenddeveloperindia.com/best-ai-powered-frontend-development-companies-italy" TargetMode="External"/><Relationship Id="rId601" Type="http://schemas.openxmlformats.org/officeDocument/2006/relationships/hyperlink" Target="http://hikemytraffic.com" TargetMode="External"/><Relationship Id="rId600" Type="http://schemas.openxmlformats.org/officeDocument/2006/relationships/hyperlink" Target="https://hikemytraffic.com/ppc-agencies-in-germany/" TargetMode="External"/><Relationship Id="rId606" Type="http://schemas.openxmlformats.org/officeDocument/2006/relationships/hyperlink" Target="https://www.horizont.net/agenturen/nachrichten/horizont-kreativranking-2025-das-sind-die-30-kreativsten-agenturen-deutschlands-232906" TargetMode="External"/><Relationship Id="rId605" Type="http://schemas.openxmlformats.org/officeDocument/2006/relationships/hyperlink" Target="http://horizont.net" TargetMode="External"/><Relationship Id="rId604" Type="http://schemas.openxmlformats.org/officeDocument/2006/relationships/hyperlink" Target="https://www.horizont.net/agenturen/nachrichten/30-jahre-horizont-kreativranking-das-sind-die-kreativsten-deutschen-werbeagenturen-aller-zeiten-216796" TargetMode="External"/><Relationship Id="rId603" Type="http://schemas.openxmlformats.org/officeDocument/2006/relationships/hyperlink" Target="http://hirefrontenddeveloperindia.com" TargetMode="External"/><Relationship Id="rId699" Type="http://schemas.openxmlformats.org/officeDocument/2006/relationships/hyperlink" Target="http://nealschaffer.com" TargetMode="External"/><Relationship Id="rId698" Type="http://schemas.openxmlformats.org/officeDocument/2006/relationships/hyperlink" Target="https://nealschaffer.com/digital-marketing-agencies/" TargetMode="External"/><Relationship Id="rId693" Type="http://schemas.openxmlformats.org/officeDocument/2006/relationships/hyperlink" Target="https://www.munro.agency/top-marketing-data-science-agencies/" TargetMode="External"/><Relationship Id="rId692" Type="http://schemas.openxmlformats.org/officeDocument/2006/relationships/hyperlink" Target="https://www.munro.agency/top-10-paid-media-agencies/" TargetMode="External"/><Relationship Id="rId691" Type="http://schemas.openxmlformats.org/officeDocument/2006/relationships/hyperlink" Target="http://modall.ca" TargetMode="External"/><Relationship Id="rId690" Type="http://schemas.openxmlformats.org/officeDocument/2006/relationships/hyperlink" Target="https://modall.ca/blog/top-ai-software-development-integration-agencies" TargetMode="External"/><Relationship Id="rId697" Type="http://schemas.openxmlformats.org/officeDocument/2006/relationships/hyperlink" Target="http://nealschaffer.com" TargetMode="External"/><Relationship Id="rId696" Type="http://schemas.openxmlformats.org/officeDocument/2006/relationships/hyperlink" Target="https://nealschaffer.com/ai-marketing-agency/" TargetMode="External"/><Relationship Id="rId695" Type="http://schemas.openxmlformats.org/officeDocument/2006/relationships/hyperlink" Target="http://nativz.io" TargetMode="External"/><Relationship Id="rId694" Type="http://schemas.openxmlformats.org/officeDocument/2006/relationships/hyperlink" Target="https://nativz.io/best-ai-seo-tools-2025-top-10-platforms-for-aeo-chatgpt-llm-visibility/" TargetMode="External"/><Relationship Id="rId668" Type="http://schemas.openxmlformats.org/officeDocument/2006/relationships/hyperlink" Target="https://www.manyreach.com/agency/top-10-cold-email-lead-generation-agencies" TargetMode="External"/><Relationship Id="rId667" Type="http://schemas.openxmlformats.org/officeDocument/2006/relationships/hyperlink" Target="http://magier.com" TargetMode="External"/><Relationship Id="rId666" Type="http://schemas.openxmlformats.org/officeDocument/2006/relationships/hyperlink" Target="https://www.magier.com/blog/best-creative-agency" TargetMode="External"/><Relationship Id="rId665" Type="http://schemas.openxmlformats.org/officeDocument/2006/relationships/hyperlink" Target="http://lyfemarketing.com" TargetMode="External"/><Relationship Id="rId669" Type="http://schemas.openxmlformats.org/officeDocument/2006/relationships/hyperlink" Target="http://manyreach.com" TargetMode="External"/><Relationship Id="rId660" Type="http://schemas.openxmlformats.org/officeDocument/2006/relationships/hyperlink" Target="https://www.linkedin.com/pulse/top-15-performance-marketing-companies-clutch-global-spring-kbaae" TargetMode="External"/><Relationship Id="rId664" Type="http://schemas.openxmlformats.org/officeDocument/2006/relationships/hyperlink" Target="https://www.lyfemarketing.com/blog/top-performance-marketing-agencies-us/" TargetMode="External"/><Relationship Id="rId663" Type="http://schemas.openxmlformats.org/officeDocument/2006/relationships/hyperlink" Target="http://lunarailab.com" TargetMode="External"/><Relationship Id="rId662" Type="http://schemas.openxmlformats.org/officeDocument/2006/relationships/hyperlink" Target="https://lunarailab.com/blog/2026/03/04/top-5-ai-agent-adoption-agencies-in-2026/" TargetMode="External"/><Relationship Id="rId661" Type="http://schemas.openxmlformats.org/officeDocument/2006/relationships/hyperlink" Target="http://linkedin.com" TargetMode="External"/><Relationship Id="rId657" Type="http://schemas.openxmlformats.org/officeDocument/2006/relationships/hyperlink" Target="http://lifesight.io" TargetMode="External"/><Relationship Id="rId656" Type="http://schemas.openxmlformats.org/officeDocument/2006/relationships/hyperlink" Target="https://lifesight.io/blog/marketing-mix-modeling-software/" TargetMode="External"/><Relationship Id="rId655" Type="http://schemas.openxmlformats.org/officeDocument/2006/relationships/hyperlink" Target="http://lengreo.com" TargetMode="External"/><Relationship Id="rId654" Type="http://schemas.openxmlformats.org/officeDocument/2006/relationships/hyperlink" Target="https://lengreo.com/germany-leipzig-aeo-geo-llmo-companies/" TargetMode="External"/><Relationship Id="rId659" Type="http://schemas.openxmlformats.org/officeDocument/2006/relationships/hyperlink" Target="http://linkedin.com" TargetMode="External"/><Relationship Id="rId658" Type="http://schemas.openxmlformats.org/officeDocument/2006/relationships/hyperlink" Target="https://www.linkedin.com/pulse/google-ads-marketing-companies-farhan-ali-tbtwf" TargetMode="External"/><Relationship Id="rId653" Type="http://schemas.openxmlformats.org/officeDocument/2006/relationships/hyperlink" Target="http://lengreo.com" TargetMode="External"/><Relationship Id="rId652" Type="http://schemas.openxmlformats.org/officeDocument/2006/relationships/hyperlink" Target="https://lengreo.com/de/top-google-ads-agencies-in-germany/" TargetMode="External"/><Relationship Id="rId651" Type="http://schemas.openxmlformats.org/officeDocument/2006/relationships/hyperlink" Target="http://leewayhertz.com" TargetMode="External"/><Relationship Id="rId650" Type="http://schemas.openxmlformats.org/officeDocument/2006/relationships/hyperlink" Target="https://www.leewayhertz.com/top-enterprise-ai-development-companies/" TargetMode="External"/><Relationship Id="rId689" Type="http://schemas.openxmlformats.org/officeDocument/2006/relationships/hyperlink" Target="http://minuttia.com" TargetMode="External"/><Relationship Id="rId688" Type="http://schemas.openxmlformats.org/officeDocument/2006/relationships/hyperlink" Target="https://minuttia.com/best-llmo-agencies/" TargetMode="External"/><Relationship Id="rId687" Type="http://schemas.openxmlformats.org/officeDocument/2006/relationships/hyperlink" Target="http://minuttia.com" TargetMode="External"/><Relationship Id="rId682" Type="http://schemas.openxmlformats.org/officeDocument/2006/relationships/hyperlink" Target="https://mingma.io/journal/best-ai-automation-agencies-mid-market/" TargetMode="External"/><Relationship Id="rId681" Type="http://schemas.openxmlformats.org/officeDocument/2006/relationships/hyperlink" Target="http://metehan.ai" TargetMode="External"/><Relationship Id="rId680" Type="http://schemas.openxmlformats.org/officeDocument/2006/relationships/hyperlink" Target="https://metehan.ai/articles/best-aeo-geo-agencies/" TargetMode="External"/><Relationship Id="rId686" Type="http://schemas.openxmlformats.org/officeDocument/2006/relationships/hyperlink" Target="https://minuttia.com/best-aeo-agencies/" TargetMode="External"/><Relationship Id="rId685" Type="http://schemas.openxmlformats.org/officeDocument/2006/relationships/hyperlink" Target="http://mintcopywritingstudios.com" TargetMode="External"/><Relationship Id="rId684" Type="http://schemas.openxmlformats.org/officeDocument/2006/relationships/hyperlink" Target="https://www.mintcopywritingstudios.com/blog/ai-search-optimization-geo-agencies" TargetMode="External"/><Relationship Id="rId683" Type="http://schemas.openxmlformats.org/officeDocument/2006/relationships/hyperlink" Target="http://mingma.io" TargetMode="External"/><Relationship Id="rId679" Type="http://schemas.openxmlformats.org/officeDocument/2006/relationships/hyperlink" Target="http://medianug.com" TargetMode="External"/><Relationship Id="rId678" Type="http://schemas.openxmlformats.org/officeDocument/2006/relationships/hyperlink" Target="https://www.medianug.com/blog/10-paid-media-agencies-to-elevate-your-marketing-strategy-in-2026" TargetMode="External"/><Relationship Id="rId677" Type="http://schemas.openxmlformats.org/officeDocument/2006/relationships/hyperlink" Target="http://measured.com" TargetMode="External"/><Relationship Id="rId676" Type="http://schemas.openxmlformats.org/officeDocument/2006/relationships/hyperlink" Target="https://www.measured.com/faq/top-11-best-media-mix-modeling-companies-software-for-2026/" TargetMode="External"/><Relationship Id="rId671" Type="http://schemas.openxmlformats.org/officeDocument/2006/relationships/hyperlink" Target="http://marketerhire.com" TargetMode="External"/><Relationship Id="rId670" Type="http://schemas.openxmlformats.org/officeDocument/2006/relationships/hyperlink" Target="https://marketerhire.com/blog/ai-content-marketing-tools" TargetMode="External"/><Relationship Id="rId675" Type="http://schemas.openxmlformats.org/officeDocument/2006/relationships/hyperlink" Target="http://markt-kom.com" TargetMode="External"/><Relationship Id="rId674" Type="http://schemas.openxmlformats.org/officeDocument/2006/relationships/hyperlink" Target="https://www.markt-kom.com/en/dexat/adc-kreativranking-das-sind-deutschlands-top-agenturen/" TargetMode="External"/><Relationship Id="rId673" Type="http://schemas.openxmlformats.org/officeDocument/2006/relationships/hyperlink" Target="http://marketing-boerse.de" TargetMode="External"/><Relationship Id="rId672" Type="http://schemas.openxmlformats.org/officeDocument/2006/relationships/hyperlink" Target="https://www.marketing-boerse.de/news/details/2611-bvdw-kreativranking-2025-serviceplan-bleibt-spitzenreiter/204252" TargetMode="External"/><Relationship Id="rId190" Type="http://schemas.openxmlformats.org/officeDocument/2006/relationships/hyperlink" Target="https://thatware.co/top-10-aeo-companies-in-germany/" TargetMode="External"/><Relationship Id="rId194" Type="http://schemas.openxmlformats.org/officeDocument/2006/relationships/hyperlink" Target="https://ultragrowthmedia.com/best-b2b-marketing-agencies-germany/" TargetMode="External"/><Relationship Id="rId193" Type="http://schemas.openxmlformats.org/officeDocument/2006/relationships/hyperlink" Target="http://thedigitalelevator.com" TargetMode="External"/><Relationship Id="rId192" Type="http://schemas.openxmlformats.org/officeDocument/2006/relationships/hyperlink" Target="https://thedigitalelevator.com/blog/best-generative-engine-optimization-geo-agencies/" TargetMode="External"/><Relationship Id="rId191" Type="http://schemas.openxmlformats.org/officeDocument/2006/relationships/hyperlink" Target="http://thatware.co" TargetMode="External"/><Relationship Id="rId187" Type="http://schemas.openxmlformats.org/officeDocument/2006/relationships/hyperlink" Target="http://seeders.com" TargetMode="External"/><Relationship Id="rId186" Type="http://schemas.openxmlformats.org/officeDocument/2006/relationships/hyperlink" Target="https://seeders.com/blog/top-10-digital-pr-agencies-germany/" TargetMode="External"/><Relationship Id="rId185" Type="http://schemas.openxmlformats.org/officeDocument/2006/relationships/hyperlink" Target="http://invademarketing.com" TargetMode="External"/><Relationship Id="rId184" Type="http://schemas.openxmlformats.org/officeDocument/2006/relationships/hyperlink" Target="https://invademarketing.com/best-data-driven-marketing-agencies-in-europe/" TargetMode="External"/><Relationship Id="rId189" Type="http://schemas.openxmlformats.org/officeDocument/2006/relationships/hyperlink" Target="http://sortlist.com" TargetMode="External"/><Relationship Id="rId188" Type="http://schemas.openxmlformats.org/officeDocument/2006/relationships/hyperlink" Target="https://www.sortlist.com/display-advertising" TargetMode="External"/><Relationship Id="rId183" Type="http://schemas.openxmlformats.org/officeDocument/2006/relationships/hyperlink" Target="http://intentcliq.com" TargetMode="External"/><Relationship Id="rId182" Type="http://schemas.openxmlformats.org/officeDocument/2006/relationships/hyperlink" Target="https://intentcliq.com/google-ads-agencies-in-germany/" TargetMode="External"/><Relationship Id="rId181" Type="http://schemas.openxmlformats.org/officeDocument/2006/relationships/hyperlink" Target="http://influencer-hero.com" TargetMode="External"/><Relationship Id="rId180" Type="http://schemas.openxmlformats.org/officeDocument/2006/relationships/hyperlink" Target="https://www.influencer-hero.com/fr/blogs/top-facebook-advertising-agencies-in-germany" TargetMode="External"/><Relationship Id="rId176" Type="http://schemas.openxmlformats.org/officeDocument/2006/relationships/hyperlink" Target="https://www.ibusiness.de/performance-ranking/performance_2022" TargetMode="External"/><Relationship Id="rId175" Type="http://schemas.openxmlformats.org/officeDocument/2006/relationships/hyperlink" Target="http://factors.ai" TargetMode="External"/><Relationship Id="rId174" Type="http://schemas.openxmlformats.org/officeDocument/2006/relationships/hyperlink" Target="https://www.factors.ai/blog/multi-touch-attribution-tools-platforms-software-guide" TargetMode="External"/><Relationship Id="rId173" Type="http://schemas.openxmlformats.org/officeDocument/2006/relationships/hyperlink" Target="http://ekipa.ai" TargetMode="External"/><Relationship Id="rId179" Type="http://schemas.openxmlformats.org/officeDocument/2006/relationships/hyperlink" Target="http://influencer-hero.com" TargetMode="External"/><Relationship Id="rId178" Type="http://schemas.openxmlformats.org/officeDocument/2006/relationships/hyperlink" Target="https://www.influencer-hero.com/de/blogs/top-10-creative-agencies-in-germany" TargetMode="External"/><Relationship Id="rId177" Type="http://schemas.openxmlformats.org/officeDocument/2006/relationships/hyperlink" Target="http://ibusiness.de" TargetMode="External"/><Relationship Id="rId198" Type="http://schemas.openxmlformats.org/officeDocument/2006/relationships/hyperlink" Target="https://ecommercegermany.com/blog/ai-companies-in-germany/" TargetMode="External"/><Relationship Id="rId197" Type="http://schemas.openxmlformats.org/officeDocument/2006/relationships/hyperlink" Target="http://dejaoffice.com" TargetMode="External"/><Relationship Id="rId196" Type="http://schemas.openxmlformats.org/officeDocument/2006/relationships/hyperlink" Target="https://www.dejaoffice.com/blog/2026/06/15/9-best-aeo-agencies-helping-brands-win-in-the-age-of-ai/" TargetMode="External"/><Relationship Id="rId195" Type="http://schemas.openxmlformats.org/officeDocument/2006/relationships/hyperlink" Target="http://ultragrowthmedia.com" TargetMode="External"/><Relationship Id="rId199" Type="http://schemas.openxmlformats.org/officeDocument/2006/relationships/hyperlink" Target="http://ecommercegermany.com" TargetMode="External"/><Relationship Id="rId150" Type="http://schemas.openxmlformats.org/officeDocument/2006/relationships/hyperlink" Target="https://www.dreikon.de/en/news/online-marketing-knowledge/top-10-google-ads-agencies/" TargetMode="External"/><Relationship Id="rId149" Type="http://schemas.openxmlformats.org/officeDocument/2006/relationships/hyperlink" Target="http://aeoagency.org" TargetMode="External"/><Relationship Id="rId148" Type="http://schemas.openxmlformats.org/officeDocument/2006/relationships/hyperlink" Target="https://aeoagency.org/best-aeo-agencies/" TargetMode="External"/><Relationship Id="rId143" Type="http://schemas.openxmlformats.org/officeDocument/2006/relationships/hyperlink" Target="https://itprofiles.com/services/advertising-marketing/germany" TargetMode="External"/><Relationship Id="rId142" Type="http://schemas.openxmlformats.org/officeDocument/2006/relationships/hyperlink" Target="http://icreativez.com" TargetMode="External"/><Relationship Id="rId141" Type="http://schemas.openxmlformats.org/officeDocument/2006/relationships/hyperlink" Target="https://www.icreativez.com/marketing-companies-by-country/distinguished-digital-marketing-firms-germany-2026.html" TargetMode="External"/><Relationship Id="rId140" Type="http://schemas.openxmlformats.org/officeDocument/2006/relationships/hyperlink" Target="http://hockeystack.com" TargetMode="External"/><Relationship Id="rId147" Type="http://schemas.openxmlformats.org/officeDocument/2006/relationships/hyperlink" Target="http://youtube.com" TargetMode="External"/><Relationship Id="rId146" Type="http://schemas.openxmlformats.org/officeDocument/2006/relationships/hyperlink" Target="https://www.youtube.com/watch?v=iUNdeZPBkbk" TargetMode="External"/><Relationship Id="rId145" Type="http://schemas.openxmlformats.org/officeDocument/2006/relationships/hyperlink" Target="https://mobian.studio/ai-consulting-companies-germany/" TargetMode="External"/><Relationship Id="rId144" Type="http://schemas.openxmlformats.org/officeDocument/2006/relationships/hyperlink" Target="http://itprofiles.com" TargetMode="External"/><Relationship Id="rId139" Type="http://schemas.openxmlformats.org/officeDocument/2006/relationships/hyperlink" Target="https://www.hockeystack.com/blog-posts/best-marketing-attribution-software" TargetMode="External"/><Relationship Id="rId138" Type="http://schemas.openxmlformats.org/officeDocument/2006/relationships/hyperlink" Target="http://conplore.com" TargetMode="External"/><Relationship Id="rId137" Type="http://schemas.openxmlformats.org/officeDocument/2006/relationships/hyperlink" Target="https://conplore.com/geo-agenturen-in-der-dach-region-2026-wer-hilft-marken-in-der-ki-suche-sichtbar-zu-werden/" TargetMode="External"/><Relationship Id="rId132" Type="http://schemas.openxmlformats.org/officeDocument/2006/relationships/hyperlink" Target="http://lengreo.com" TargetMode="External"/><Relationship Id="rId131" Type="http://schemas.openxmlformats.org/officeDocument/2006/relationships/hyperlink" Target="https://lengreo.com/de/ai-marketing-consulting-companies/" TargetMode="External"/><Relationship Id="rId130" Type="http://schemas.openxmlformats.org/officeDocument/2006/relationships/hyperlink" Target="http://influencer-hero.com" TargetMode="External"/><Relationship Id="rId136" Type="http://schemas.openxmlformats.org/officeDocument/2006/relationships/hyperlink" Target="http://radigitalworld.com" TargetMode="External"/><Relationship Id="rId135" Type="http://schemas.openxmlformats.org/officeDocument/2006/relationships/hyperlink" Target="https://www.radigitalworld.com/2025/06/top-10-digital-marketing-agencies-in.html" TargetMode="External"/><Relationship Id="rId134" Type="http://schemas.openxmlformats.org/officeDocument/2006/relationships/hyperlink" Target="http://ninjapromo.io" TargetMode="External"/><Relationship Id="rId133" Type="http://schemas.openxmlformats.org/officeDocument/2006/relationships/hyperlink" Target="https://ninjapromo.io/top-digital-marketing-agencies-in-germany" TargetMode="External"/><Relationship Id="rId172" Type="http://schemas.openxmlformats.org/officeDocument/2006/relationships/hyperlink" Target="https://www.ekipa.ai/ekipa-labs/end-to-end-ai-consulting-companies" TargetMode="External"/><Relationship Id="rId171" Type="http://schemas.openxmlformats.org/officeDocument/2006/relationships/hyperlink" Target="http://bakedwith.com" TargetMode="External"/><Relationship Id="rId170" Type="http://schemas.openxmlformats.org/officeDocument/2006/relationships/hyperlink" Target="https://www.bakedwith.com/blog/die-besten-geo-agenturen-in-deutschland-ein-uberblick" TargetMode="External"/><Relationship Id="rId165" Type="http://schemas.openxmlformats.org/officeDocument/2006/relationships/hyperlink" Target="http://lengreo.com" TargetMode="External"/><Relationship Id="rId164" Type="http://schemas.openxmlformats.org/officeDocument/2006/relationships/hyperlink" Target="https://lengreo.com/germany-dusseldorf-aeo-geo-llmo-companies/" TargetMode="External"/><Relationship Id="rId163" Type="http://schemas.openxmlformats.org/officeDocument/2006/relationships/hyperlink" Target="http://influencer-hero.com" TargetMode="External"/><Relationship Id="rId162" Type="http://schemas.openxmlformats.org/officeDocument/2006/relationships/hyperlink" Target="https://www.influencer-hero.com/it/blogs/top-facebook-advertising-agencies-in-germany" TargetMode="External"/><Relationship Id="rId169" Type="http://schemas.openxmlformats.org/officeDocument/2006/relationships/hyperlink" Target="http://rankshift.ai" TargetMode="External"/><Relationship Id="rId168" Type="http://schemas.openxmlformats.org/officeDocument/2006/relationships/hyperlink" Target="https://www.rankshift.ai/blog/best-geo-agencies/" TargetMode="External"/><Relationship Id="rId167" Type="http://schemas.openxmlformats.org/officeDocument/2006/relationships/hyperlink" Target="http://orm-tech.com" TargetMode="External"/><Relationship Id="rId166" Type="http://schemas.openxmlformats.org/officeDocument/2006/relationships/hyperlink" Target="https://orm-tech.com/blog/best-marketing-attribution-software/" TargetMode="External"/><Relationship Id="rId161" Type="http://schemas.openxmlformats.org/officeDocument/2006/relationships/hyperlink" Target="http://influencer-hero.com" TargetMode="External"/><Relationship Id="rId160" Type="http://schemas.openxmlformats.org/officeDocument/2006/relationships/hyperlink" Target="https://www.influencer-hero.com/it/blogs/top-10-creative-agencies-in-germany" TargetMode="External"/><Relationship Id="rId159" Type="http://schemas.openxmlformats.org/officeDocument/2006/relationships/hyperlink" Target="http://influencer-hero.com" TargetMode="External"/><Relationship Id="rId154" Type="http://schemas.openxmlformats.org/officeDocument/2006/relationships/hyperlink" Target="https://gaper.io/best-aeo-agencies" TargetMode="External"/><Relationship Id="rId153" Type="http://schemas.openxmlformats.org/officeDocument/2006/relationships/hyperlink" Target="http://founderpal.ai" TargetMode="External"/><Relationship Id="rId152" Type="http://schemas.openxmlformats.org/officeDocument/2006/relationships/hyperlink" Target="https://founderpal.ai/best-marketing-agencies/germany" TargetMode="External"/><Relationship Id="rId151" Type="http://schemas.openxmlformats.org/officeDocument/2006/relationships/hyperlink" Target="http://dreikon.de" TargetMode="External"/><Relationship Id="rId158" Type="http://schemas.openxmlformats.org/officeDocument/2006/relationships/hyperlink" Target="https://www.influencer-hero.com/fr/blogs/top-10-creative-agencies-in-germany" TargetMode="External"/><Relationship Id="rId157" Type="http://schemas.openxmlformats.org/officeDocument/2006/relationships/hyperlink" Target="http://ibusiness.de" TargetMode="External"/><Relationship Id="rId156" Type="http://schemas.openxmlformats.org/officeDocument/2006/relationships/hyperlink" Target="https://www.ibusiness.de/performance-ranking/performance_2022.html" TargetMode="External"/><Relationship Id="rId155" Type="http://schemas.openxmlformats.org/officeDocument/2006/relationships/hyperlink" Target="http://gaper.io" TargetMode="External"/><Relationship Id="rId107" Type="http://schemas.openxmlformats.org/officeDocument/2006/relationships/hyperlink" Target="https://digiscorp.com/top-ai-consulting-companies-in-berlin/" TargetMode="External"/><Relationship Id="rId106" Type="http://schemas.openxmlformats.org/officeDocument/2006/relationships/hyperlink" Target="http://ayrank.com" TargetMode="External"/><Relationship Id="rId105" Type="http://schemas.openxmlformats.org/officeDocument/2006/relationships/hyperlink" Target="https://www.ayrank.com/blog/top-geo-agencies-berlin" TargetMode="External"/><Relationship Id="rId104" Type="http://schemas.openxmlformats.org/officeDocument/2006/relationships/hyperlink" Target="http://superbcompanies.com" TargetMode="External"/><Relationship Id="rId109" Type="http://schemas.openxmlformats.org/officeDocument/2006/relationships/hyperlink" Target="https://geoagentur.de/ratgeber/beste-geo-agentur/" TargetMode="External"/><Relationship Id="rId108" Type="http://schemas.openxmlformats.org/officeDocument/2006/relationships/hyperlink" Target="http://digiscorp.com" TargetMode="External"/><Relationship Id="rId103" Type="http://schemas.openxmlformats.org/officeDocument/2006/relationships/hyperlink" Target="https://superbcompanies.com/categories/creative-agencies-in-germany/" TargetMode="External"/><Relationship Id="rId102" Type="http://schemas.openxmlformats.org/officeDocument/2006/relationships/hyperlink" Target="http://segmentstream.com" TargetMode="External"/><Relationship Id="rId101" Type="http://schemas.openxmlformats.org/officeDocument/2006/relationships/hyperlink" Target="https://segmentstream.com/blog/articles/top-10-incrementality-testing-tools" TargetMode="External"/><Relationship Id="rId100" Type="http://schemas.openxmlformats.org/officeDocument/2006/relationships/hyperlink" Target="https://oski.site/blog/ai-consulting-companies-germany/" TargetMode="External"/><Relationship Id="rId129" Type="http://schemas.openxmlformats.org/officeDocument/2006/relationships/hyperlink" Target="https://www.influencer-hero.com/blogs/top-facebook-advertising-agencies-in-germany" TargetMode="External"/><Relationship Id="rId128" Type="http://schemas.openxmlformats.org/officeDocument/2006/relationships/hyperlink" Target="http://icoda.io" TargetMode="External"/><Relationship Id="rId127" Type="http://schemas.openxmlformats.org/officeDocument/2006/relationships/hyperlink" Target="https://icoda.io/ai/best-ai-seo-agency-germany/" TargetMode="External"/><Relationship Id="rId126" Type="http://schemas.openxmlformats.org/officeDocument/2006/relationships/hyperlink" Target="http://digipims.com" TargetMode="External"/><Relationship Id="rId121" Type="http://schemas.openxmlformats.org/officeDocument/2006/relationships/hyperlink" Target="https://www.wmtips.com/technologies/marketing-attribution/country/de/" TargetMode="External"/><Relationship Id="rId120" Type="http://schemas.openxmlformats.org/officeDocument/2006/relationships/hyperlink" Target="http://tech-now.io" TargetMode="External"/><Relationship Id="rId125" Type="http://schemas.openxmlformats.org/officeDocument/2006/relationships/hyperlink" Target="https://www.digipims.com/social-media-marketing-agencies-in-germany/" TargetMode="External"/><Relationship Id="rId124" Type="http://schemas.openxmlformats.org/officeDocument/2006/relationships/hyperlink" Target="http://awisee.com" TargetMode="External"/><Relationship Id="rId123" Type="http://schemas.openxmlformats.org/officeDocument/2006/relationships/hyperlink" Target="https://awisee.com/blog/social-media-agencies-germany/" TargetMode="External"/><Relationship Id="rId122" Type="http://schemas.openxmlformats.org/officeDocument/2006/relationships/hyperlink" Target="http://wmtips.com" TargetMode="External"/><Relationship Id="rId118" Type="http://schemas.openxmlformats.org/officeDocument/2006/relationships/hyperlink" Target="http://openpr.com" TargetMode="External"/><Relationship Id="rId117" Type="http://schemas.openxmlformats.org/officeDocument/2006/relationships/hyperlink" Target="https://www.openpr.com/news/4378626/these-are-the-top-10-seo-geo-agencies-in-germany" TargetMode="External"/><Relationship Id="rId116" Type="http://schemas.openxmlformats.org/officeDocument/2006/relationships/hyperlink" Target="http://influencer-hero.com" TargetMode="External"/><Relationship Id="rId115" Type="http://schemas.openxmlformats.org/officeDocument/2006/relationships/hyperlink" Target="https://www.influencer-hero.com/ar/blogs/top-10-creative-agencies-in-germany" TargetMode="External"/><Relationship Id="rId119" Type="http://schemas.openxmlformats.org/officeDocument/2006/relationships/hyperlink" Target="https://tech-now.io/en/blogs/top-10-best-e-commerce-seo-agencies-in-germany/" TargetMode="External"/><Relationship Id="rId110" Type="http://schemas.openxmlformats.org/officeDocument/2006/relationships/hyperlink" Target="http://geoagentur.de" TargetMode="External"/><Relationship Id="rId114" Type="http://schemas.openxmlformats.org/officeDocument/2006/relationships/hyperlink" Target="http://indeedseo.com" TargetMode="External"/><Relationship Id="rId113" Type="http://schemas.openxmlformats.org/officeDocument/2006/relationships/hyperlink" Target="https://indeedseo.com/directories/ai-marketing-agencies-germany/" TargetMode="External"/><Relationship Id="rId112" Type="http://schemas.openxmlformats.org/officeDocument/2006/relationships/hyperlink" Target="http://hikemytraffic.com" TargetMode="External"/><Relationship Id="rId111" Type="http://schemas.openxmlformats.org/officeDocument/2006/relationships/hyperlink" Target="https://hikemytraffic.com/ai-digital-marketing-companies-in-germany/" TargetMode="External"/><Relationship Id="rId907" Type="http://schemas.openxmlformats.org/officeDocument/2006/relationships/hyperlink" Target="https://www.xmethod.de/en/blog/best-flutter-app-development-companies" TargetMode="External"/><Relationship Id="rId906" Type="http://schemas.openxmlformats.org/officeDocument/2006/relationships/hyperlink" Target="http://xcelacore.com" TargetMode="External"/><Relationship Id="rId905" Type="http://schemas.openxmlformats.org/officeDocument/2006/relationships/hyperlink" Target="https://xcelacore.com/ai-consultants-for-mid-sized-companies/" TargetMode="External"/><Relationship Id="rId904" Type="http://schemas.openxmlformats.org/officeDocument/2006/relationships/hyperlink" Target="http://varify.io" TargetMode="External"/><Relationship Id="rId909" Type="http://schemas.openxmlformats.org/officeDocument/2006/relationships/hyperlink" Target="https://www.xmethod.de/en/blog/top-10-app-development-companies" TargetMode="External"/><Relationship Id="rId908" Type="http://schemas.openxmlformats.org/officeDocument/2006/relationships/hyperlink" Target="http://xmethod.de" TargetMode="External"/><Relationship Id="rId903" Type="http://schemas.openxmlformats.org/officeDocument/2006/relationships/hyperlink" Target="https://www1.varify.io/en/blog/cro-agencies/" TargetMode="External"/><Relationship Id="rId902" Type="http://schemas.openxmlformats.org/officeDocument/2006/relationships/hyperlink" Target="http://wuv.de" TargetMode="External"/><Relationship Id="rId901" Type="http://schemas.openxmlformats.org/officeDocument/2006/relationships/hyperlink" Target="https://www.wuv.dewww.wuv.de/Themen/Agentur/Das-sind-Deutschlands-meistausgezeichnete-Agenturen" TargetMode="External"/><Relationship Id="rId900" Type="http://schemas.openxmlformats.org/officeDocument/2006/relationships/hyperlink" Target="http://wuv.de" TargetMode="External"/><Relationship Id="rId929" Type="http://schemas.openxmlformats.org/officeDocument/2006/relationships/drawing" Target="../drawings/drawing27.xml"/><Relationship Id="rId928" Type="http://schemas.openxmlformats.org/officeDocument/2006/relationships/hyperlink" Target="http://zipdo.co" TargetMode="External"/><Relationship Id="rId927" Type="http://schemas.openxmlformats.org/officeDocument/2006/relationships/hyperlink" Target="https://zipdo.co/service/marketing-data-analytics/" TargetMode="External"/><Relationship Id="rId926" Type="http://schemas.openxmlformats.org/officeDocument/2006/relationships/hyperlink" Target="http://zipdo.co" TargetMode="External"/><Relationship Id="rId921" Type="http://schemas.openxmlformats.org/officeDocument/2006/relationships/hyperlink" Target="https://www.zendikt.com/top-10-ab-testing-software/germany/" TargetMode="External"/><Relationship Id="rId920" Type="http://schemas.openxmlformats.org/officeDocument/2006/relationships/hyperlink" Target="http://youtube.com" TargetMode="External"/><Relationship Id="rId925" Type="http://schemas.openxmlformats.org/officeDocument/2006/relationships/hyperlink" Target="https://zipdo.co/service/first-party-data/" TargetMode="External"/><Relationship Id="rId924" Type="http://schemas.openxmlformats.org/officeDocument/2006/relationships/hyperlink" Target="http://zipdo.co" TargetMode="External"/><Relationship Id="rId923" Type="http://schemas.openxmlformats.org/officeDocument/2006/relationships/hyperlink" Target="https://zipdo.co/service/customer-data-platform/" TargetMode="External"/><Relationship Id="rId922" Type="http://schemas.openxmlformats.org/officeDocument/2006/relationships/hyperlink" Target="http://zendikt.com" TargetMode="External"/><Relationship Id="rId918" Type="http://schemas.openxmlformats.org/officeDocument/2006/relationships/hyperlink" Target="http://youtube.com" TargetMode="External"/><Relationship Id="rId917" Type="http://schemas.openxmlformats.org/officeDocument/2006/relationships/hyperlink" Target="https://www.youtube.com/watch?v=GCuRtQenQ80&amp;t=153" TargetMode="External"/><Relationship Id="rId916" Type="http://schemas.openxmlformats.org/officeDocument/2006/relationships/hyperlink" Target="http://youtube.com" TargetMode="External"/><Relationship Id="rId915" Type="http://schemas.openxmlformats.org/officeDocument/2006/relationships/hyperlink" Target="https://www.youtube.com/watch?v=CS31tb_2rCc&amp;t=389" TargetMode="External"/><Relationship Id="rId919" Type="http://schemas.openxmlformats.org/officeDocument/2006/relationships/hyperlink" Target="https://www.youtube.com/watch?v=NXkXQbQ9-kk&amp;vl=de-DE" TargetMode="External"/><Relationship Id="rId910" Type="http://schemas.openxmlformats.org/officeDocument/2006/relationships/hyperlink" Target="http://xmethod.de" TargetMode="External"/><Relationship Id="rId914" Type="http://schemas.openxmlformats.org/officeDocument/2006/relationships/hyperlink" Target="http://youfinddigital.com" TargetMode="External"/><Relationship Id="rId913" Type="http://schemas.openxmlformats.org/officeDocument/2006/relationships/hyperlink" Target="https://www.youfinddigital.com/blog/best-geo-agency-for-ai-search.html" TargetMode="External"/><Relationship Id="rId912" Type="http://schemas.openxmlformats.org/officeDocument/2006/relationships/hyperlink" Target="http://yesoptimist.com" TargetMode="External"/><Relationship Id="rId911" Type="http://schemas.openxmlformats.org/officeDocument/2006/relationships/hyperlink" Target="https://www.yesoptimist.com/best-geo-agencies/" TargetMode="External"/><Relationship Id="rId866" Type="http://schemas.openxmlformats.org/officeDocument/2006/relationships/hyperlink" Target="https://viston.tech/top-10-ai-integration-consulting-firms-in-germany-for-2026/" TargetMode="External"/><Relationship Id="rId865" Type="http://schemas.openxmlformats.org/officeDocument/2006/relationships/hyperlink" Target="http://vibebranding.com" TargetMode="External"/><Relationship Id="rId864" Type="http://schemas.openxmlformats.org/officeDocument/2006/relationships/hyperlink" Target="https://vibebranding.com/blog/best-performance-marketing-agencies/" TargetMode="External"/><Relationship Id="rId863" Type="http://schemas.openxmlformats.org/officeDocument/2006/relationships/hyperlink" Target="http://venngage.com" TargetMode="External"/><Relationship Id="rId869" Type="http://schemas.openxmlformats.org/officeDocument/2006/relationships/hyperlink" Target="https://www.weareqry.com/blog/best-paid-media-agencies" TargetMode="External"/><Relationship Id="rId868" Type="http://schemas.openxmlformats.org/officeDocument/2006/relationships/hyperlink" Target="http://vitasoft.co" TargetMode="External"/><Relationship Id="rId867" Type="http://schemas.openxmlformats.org/officeDocument/2006/relationships/hyperlink" Target="https://vitasoft.co/de/best/geo-agentur-deutschland/" TargetMode="External"/><Relationship Id="rId862" Type="http://schemas.openxmlformats.org/officeDocument/2006/relationships/hyperlink" Target="https://venngage.com/blog/ai-marketing-tools/" TargetMode="External"/><Relationship Id="rId861" Type="http://schemas.openxmlformats.org/officeDocument/2006/relationships/hyperlink" Target="http://varify.io" TargetMode="External"/><Relationship Id="rId860" Type="http://schemas.openxmlformats.org/officeDocument/2006/relationships/hyperlink" Target="https://varify.io/en/blog/cro-agencies/" TargetMode="External"/><Relationship Id="rId855" Type="http://schemas.openxmlformats.org/officeDocument/2006/relationships/hyperlink" Target="https://www.unfoldmart.com/blogs/top-branding-agencies-germany-2026" TargetMode="External"/><Relationship Id="rId854" Type="http://schemas.openxmlformats.org/officeDocument/2006/relationships/hyperlink" Target="http://tsa-bildung.de" TargetMode="External"/><Relationship Id="rId853" Type="http://schemas.openxmlformats.org/officeDocument/2006/relationships/hyperlink" Target="https://www.tsa-bildung.de/en/blog/the-ai-job-market-in-germany-skills-in-demand-for-2026-and-beyond" TargetMode="External"/><Relationship Id="rId852" Type="http://schemas.openxmlformats.org/officeDocument/2006/relationships/hyperlink" Target="http://tryseo.de" TargetMode="External"/><Relationship Id="rId859" Type="http://schemas.openxmlformats.org/officeDocument/2006/relationships/hyperlink" Target="http://upwork.com" TargetMode="External"/><Relationship Id="rId858" Type="http://schemas.openxmlformats.org/officeDocument/2006/relationships/hyperlink" Target="https://www.upwork.com/resources/generative-ai-applications" TargetMode="External"/><Relationship Id="rId857" Type="http://schemas.openxmlformats.org/officeDocument/2006/relationships/hyperlink" Target="https://www.uptech.team/blog/ai-development-companies" TargetMode="External"/><Relationship Id="rId856" Type="http://schemas.openxmlformats.org/officeDocument/2006/relationships/hyperlink" Target="http://unfoldmart.com" TargetMode="External"/><Relationship Id="rId851" Type="http://schemas.openxmlformats.org/officeDocument/2006/relationships/hyperlink" Target="https://www.tryseo.de/en/online-marketing-en/best-b2b-seo-agencies-germany/" TargetMode="External"/><Relationship Id="rId850" Type="http://schemas.openxmlformats.org/officeDocument/2006/relationships/hyperlink" Target="http://tripledart.com" TargetMode="External"/><Relationship Id="rId888" Type="http://schemas.openxmlformats.org/officeDocument/2006/relationships/hyperlink" Target="http://westoperators.com" TargetMode="External"/><Relationship Id="rId887" Type="http://schemas.openxmlformats.org/officeDocument/2006/relationships/hyperlink" Target="https://westoperators.com/blog/top-7-aeo-agencies" TargetMode="External"/><Relationship Id="rId886" Type="http://schemas.openxmlformats.org/officeDocument/2006/relationships/hyperlink" Target="http://werbeagentur.de" TargetMode="External"/><Relationship Id="rId885" Type="http://schemas.openxmlformats.org/officeDocument/2006/relationships/hyperlink" Target="https://www.werbeagentur.de/de/scoring/digital-online-agentur" TargetMode="External"/><Relationship Id="rId889" Type="http://schemas.openxmlformats.org/officeDocument/2006/relationships/hyperlink" Target="https://www.wetracked.io/de/post/marketing-attribution-tools" TargetMode="External"/><Relationship Id="rId880" Type="http://schemas.openxmlformats.org/officeDocument/2006/relationships/hyperlink" Target="http://webtonic.io" TargetMode="External"/><Relationship Id="rId884" Type="http://schemas.openxmlformats.org/officeDocument/2006/relationships/hyperlink" Target="http://wellows.com" TargetMode="External"/><Relationship Id="rId883" Type="http://schemas.openxmlformats.org/officeDocument/2006/relationships/hyperlink" Target="https://wellows.com/blog/top-ai-seo-agencies/" TargetMode="External"/><Relationship Id="rId882" Type="http://schemas.openxmlformats.org/officeDocument/2006/relationships/hyperlink" Target="http://weframetech.com" TargetMode="External"/><Relationship Id="rId881" Type="http://schemas.openxmlformats.org/officeDocument/2006/relationships/hyperlink" Target="https://weframetech.com/blog/top-ai-seo-agencies-in-berlin-7-firms-leading-in-2026" TargetMode="External"/><Relationship Id="rId877" Type="http://schemas.openxmlformats.org/officeDocument/2006/relationships/hyperlink" Target="https://webguruz.in/blog/best-google-ads-agencies-india" TargetMode="External"/><Relationship Id="rId876" Type="http://schemas.openxmlformats.org/officeDocument/2006/relationships/hyperlink" Target="http://webfx.com" TargetMode="External"/><Relationship Id="rId875" Type="http://schemas.openxmlformats.org/officeDocument/2006/relationships/hyperlink" Target="https://www.webfx.com/digital-marketing/learn/top-martech-companies/" TargetMode="External"/><Relationship Id="rId874" Type="http://schemas.openxmlformats.org/officeDocument/2006/relationships/hyperlink" Target="http://wearetenet.com" TargetMode="External"/><Relationship Id="rId879" Type="http://schemas.openxmlformats.org/officeDocument/2006/relationships/hyperlink" Target="https://www.webtonic.io/blog/best-performance-marketing-agencies-2026" TargetMode="External"/><Relationship Id="rId878" Type="http://schemas.openxmlformats.org/officeDocument/2006/relationships/hyperlink" Target="http://webguruz.in" TargetMode="External"/><Relationship Id="rId873" Type="http://schemas.openxmlformats.org/officeDocument/2006/relationships/hyperlink" Target="https://www.wearetenet.com/blog/best-ai-seo-agencies" TargetMode="External"/><Relationship Id="rId872" Type="http://schemas.openxmlformats.org/officeDocument/2006/relationships/hyperlink" Target="http://weareqry.com" TargetMode="External"/><Relationship Id="rId871" Type="http://schemas.openxmlformats.org/officeDocument/2006/relationships/hyperlink" Target="https://www.weareqry.com/blog/best-performance-marketing-agencies" TargetMode="External"/><Relationship Id="rId870" Type="http://schemas.openxmlformats.org/officeDocument/2006/relationships/hyperlink" Target="http://weareqry.com" TargetMode="External"/><Relationship Id="rId829" Type="http://schemas.openxmlformats.org/officeDocument/2006/relationships/hyperlink" Target="https://themanifest.com/de/social-media/tiktok/agencies" TargetMode="External"/><Relationship Id="rId828" Type="http://schemas.openxmlformats.org/officeDocument/2006/relationships/hyperlink" Target="http://themacgroups.com" TargetMode="External"/><Relationship Id="rId827" Type="http://schemas.openxmlformats.org/officeDocument/2006/relationships/hyperlink" Target="https://www.themacgroups.com/who-are-the-big-5-advertising-agencies/" TargetMode="External"/><Relationship Id="rId822" Type="http://schemas.openxmlformats.org/officeDocument/2006/relationships/hyperlink" Target="http://thebusinessrover.com" TargetMode="External"/><Relationship Id="rId821" Type="http://schemas.openxmlformats.org/officeDocument/2006/relationships/hyperlink" Target="https://www.thebusinessrover.com/de/blog/growth-marketing-agencies" TargetMode="External"/><Relationship Id="rId820" Type="http://schemas.openxmlformats.org/officeDocument/2006/relationships/hyperlink" Target="http://thebusinessrover.com" TargetMode="External"/><Relationship Id="rId826" Type="http://schemas.openxmlformats.org/officeDocument/2006/relationships/hyperlink" Target="http://thekeenfolks.com" TargetMode="External"/><Relationship Id="rId825" Type="http://schemas.openxmlformats.org/officeDocument/2006/relationships/hyperlink" Target="https://www.thekeenfolks.com/blog-article/best-performance-marketing-agencies" TargetMode="External"/><Relationship Id="rId824" Type="http://schemas.openxmlformats.org/officeDocument/2006/relationships/hyperlink" Target="http://thedrum.com" TargetMode="External"/><Relationship Id="rId823" Type="http://schemas.openxmlformats.org/officeDocument/2006/relationships/hyperlink" Target="https://www.thedrum.com/news/world-creative-rankings-2023-adland-s-top-independent-agencies-revealed" TargetMode="External"/><Relationship Id="rId819" Type="http://schemas.openxmlformats.org/officeDocument/2006/relationships/hyperlink" Target="https://www.thebusinessrover.com/blog/media-buying-agencies" TargetMode="External"/><Relationship Id="rId818" Type="http://schemas.openxmlformats.org/officeDocument/2006/relationships/hyperlink" Target="http://terratern.com" TargetMode="External"/><Relationship Id="rId817" Type="http://schemas.openxmlformats.org/officeDocument/2006/relationships/hyperlink" Target="https://terratern.com/blog/civil-engineering-companies-in-germany/" TargetMode="External"/><Relationship Id="rId816" Type="http://schemas.openxmlformats.org/officeDocument/2006/relationships/hyperlink" Target="http://tech.us" TargetMode="External"/><Relationship Id="rId811" Type="http://schemas.openxmlformats.org/officeDocument/2006/relationships/hyperlink" Target="https://tech-now.io/en/blogs/top-10-app-development-companies-in-germany/" TargetMode="External"/><Relationship Id="rId810" Type="http://schemas.openxmlformats.org/officeDocument/2006/relationships/hyperlink" Target="http://teamai.com" TargetMode="External"/><Relationship Id="rId815" Type="http://schemas.openxmlformats.org/officeDocument/2006/relationships/hyperlink" Target="https://tech.us/blog/top-ai-agent-development-companies-usa" TargetMode="External"/><Relationship Id="rId814" Type="http://schemas.openxmlformats.org/officeDocument/2006/relationships/hyperlink" Target="http://tech-now.io" TargetMode="External"/><Relationship Id="rId813" Type="http://schemas.openxmlformats.org/officeDocument/2006/relationships/hyperlink" Target="https://tech-now.io/en/blogs/top-10-best-it-companies-in-dusseldorf/" TargetMode="External"/><Relationship Id="rId812" Type="http://schemas.openxmlformats.org/officeDocument/2006/relationships/hyperlink" Target="http://tech-now.io" TargetMode="External"/><Relationship Id="rId849" Type="http://schemas.openxmlformats.org/officeDocument/2006/relationships/hyperlink" Target="https://www.tripledart.com/ai-seo/best-generative-engine-optimization-agencies" TargetMode="External"/><Relationship Id="rId844" Type="http://schemas.openxmlformats.org/officeDocument/2006/relationships/hyperlink" Target="http://toolradar.com" TargetMode="External"/><Relationship Id="rId843" Type="http://schemas.openxmlformats.org/officeDocument/2006/relationships/hyperlink" Target="https://toolradar.com/best/attribution" TargetMode="External"/><Relationship Id="rId842" Type="http://schemas.openxmlformats.org/officeDocument/2006/relationships/hyperlink" Target="http://todaymade.com" TargetMode="External"/><Relationship Id="rId841" Type="http://schemas.openxmlformats.org/officeDocument/2006/relationships/hyperlink" Target="https://www.todaymade.com/blog/top-creative-agencies" TargetMode="External"/><Relationship Id="rId848" Type="http://schemas.openxmlformats.org/officeDocument/2006/relationships/hyperlink" Target="http://tripledart.com" TargetMode="External"/><Relationship Id="rId847" Type="http://schemas.openxmlformats.org/officeDocument/2006/relationships/hyperlink" Target="https://www.tripledart.com/ai-seo/best-aeo-agencies" TargetMode="External"/><Relationship Id="rId846" Type="http://schemas.openxmlformats.org/officeDocument/2006/relationships/hyperlink" Target="http://touchstoneresearch.com" TargetMode="External"/><Relationship Id="rId845" Type="http://schemas.openxmlformats.org/officeDocument/2006/relationships/hyperlink" Target="https://touchstoneresearch.com/top-10-global-market-research-companies/" TargetMode="External"/><Relationship Id="rId840" Type="http://schemas.openxmlformats.org/officeDocument/2006/relationships/hyperlink" Target="http://tms-outsource.com" TargetMode="External"/><Relationship Id="rId839" Type="http://schemas.openxmlformats.org/officeDocument/2006/relationships/hyperlink" Target="https://tms-outsource.com/blog/posts/tech-companies-in-germany/" TargetMode="External"/><Relationship Id="rId838" Type="http://schemas.openxmlformats.org/officeDocument/2006/relationships/hyperlink" Target="http://thinkwithalec.com" TargetMode="External"/><Relationship Id="rId833" Type="http://schemas.openxmlformats.org/officeDocument/2006/relationships/hyperlink" Target="https://thesocialshepherd.com/blog/top-creative-agencies-us" TargetMode="External"/><Relationship Id="rId832" Type="http://schemas.openxmlformats.org/officeDocument/2006/relationships/hyperlink" Target="http://therankmasters.com" TargetMode="External"/><Relationship Id="rId831" Type="http://schemas.openxmlformats.org/officeDocument/2006/relationships/hyperlink" Target="https://www.therankmasters.com/insights/vendors/best-aeo-agencies" TargetMode="External"/><Relationship Id="rId830" Type="http://schemas.openxmlformats.org/officeDocument/2006/relationships/hyperlink" Target="http://themanifest.com" TargetMode="External"/><Relationship Id="rId837" Type="http://schemas.openxmlformats.org/officeDocument/2006/relationships/hyperlink" Target="https://thinkwithalec.com/2025/03/02/best-marketing-platforms-for-tracking-first-party-data/" TargetMode="External"/><Relationship Id="rId836" Type="http://schemas.openxmlformats.org/officeDocument/2006/relationships/hyperlink" Target="http://thetechfounders.co.uk" TargetMode="External"/><Relationship Id="rId835" Type="http://schemas.openxmlformats.org/officeDocument/2006/relationships/hyperlink" Target="https://thetechfounders.co.uk/guides/10-best-ai-readiness-assessment-platforms-available-in-2026/" TargetMode="External"/><Relationship Id="rId834" Type="http://schemas.openxmlformats.org/officeDocument/2006/relationships/hyperlink" Target="http://thesocialshepherd.com" TargetMode="External"/><Relationship Id="rId899" Type="http://schemas.openxmlformats.org/officeDocument/2006/relationships/hyperlink" Target="https://www.wuv.de/Themen/Agentur/Das-sind-Deutschlands-meistausgezeichnete-Agenturen2" TargetMode="External"/><Relationship Id="rId898" Type="http://schemas.openxmlformats.org/officeDocument/2006/relationships/hyperlink" Target="http://wuv.de" TargetMode="External"/><Relationship Id="rId897" Type="http://schemas.openxmlformats.org/officeDocument/2006/relationships/hyperlink" Target="https://www.wuv.de/Themen/Agentur/BIG-50-Das-sind-Deutschlands-groesste-Independents" TargetMode="External"/><Relationship Id="rId896" Type="http://schemas.openxmlformats.org/officeDocument/2006/relationships/hyperlink" Target="http://worldmetrics.org" TargetMode="External"/><Relationship Id="rId891" Type="http://schemas.openxmlformats.org/officeDocument/2006/relationships/hyperlink" Target="https://wifitalents.com/service/ai-adoption/" TargetMode="External"/><Relationship Id="rId890" Type="http://schemas.openxmlformats.org/officeDocument/2006/relationships/hyperlink" Target="http://wetracked.io" TargetMode="External"/><Relationship Id="rId895" Type="http://schemas.openxmlformats.org/officeDocument/2006/relationships/hyperlink" Target="https://worldmetrics.org/service/data-marketing/" TargetMode="External"/><Relationship Id="rId894" Type="http://schemas.openxmlformats.org/officeDocument/2006/relationships/hyperlink" Target="http://worldmetrics.org" TargetMode="External"/><Relationship Id="rId893" Type="http://schemas.openxmlformats.org/officeDocument/2006/relationships/hyperlink" Target="https://worldmetrics.org/service/ai-adoption/" TargetMode="External"/><Relationship Id="rId892" Type="http://schemas.openxmlformats.org/officeDocument/2006/relationships/hyperlink" Target="http://wifitalents.com"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ibusiness.de" TargetMode="External"/><Relationship Id="rId42" Type="http://schemas.openxmlformats.org/officeDocument/2006/relationships/hyperlink" Target="http://withgoogle.com" TargetMode="External"/><Relationship Id="rId41" Type="http://schemas.openxmlformats.org/officeDocument/2006/relationships/hyperlink" Target="https://partnersdirectory.withgoogle.com/intl/en-GB/" TargetMode="External"/><Relationship Id="rId44" Type="http://schemas.openxmlformats.org/officeDocument/2006/relationships/hyperlink" Target="https://ensun.io/search/market-intelligence/germany" TargetMode="External"/><Relationship Id="rId43" Type="http://schemas.openxmlformats.org/officeDocument/2006/relationships/hyperlink" Target="https://e-dialog.group/en/google-sales-partner/google-marketing-platform/" TargetMode="External"/><Relationship Id="rId46" Type="http://schemas.openxmlformats.org/officeDocument/2006/relationships/hyperlink" Target="https://support.google.com/tagmanager/answer/7237700?hl=de" TargetMode="External"/><Relationship Id="rId45" Type="http://schemas.openxmlformats.org/officeDocument/2006/relationships/hyperlink" Target="http://ensun.io" TargetMode="External"/><Relationship Id="rId48" Type="http://schemas.openxmlformats.org/officeDocument/2006/relationships/hyperlink" Target="https://themanifest.com/de/advertising/agencies" TargetMode="External"/><Relationship Id="rId47" Type="http://schemas.openxmlformats.org/officeDocument/2006/relationships/hyperlink" Target="http://google.com" TargetMode="External"/><Relationship Id="rId49" Type="http://schemas.openxmlformats.org/officeDocument/2006/relationships/hyperlink" Target="http://themanifest.com" TargetMode="External"/><Relationship Id="rId31" Type="http://schemas.openxmlformats.org/officeDocument/2006/relationships/hyperlink" Target="https://support.google.com/analytics/answer/7237700?hl=de" TargetMode="External"/><Relationship Id="rId30" Type="http://schemas.openxmlformats.org/officeDocument/2006/relationships/hyperlink" Target="http://onetoone.de" TargetMode="External"/><Relationship Id="rId33" Type="http://schemas.openxmlformats.org/officeDocument/2006/relationships/hyperlink" Target="https://aeo-copilot.com/partners/agencies/germany/frankfurt" TargetMode="External"/><Relationship Id="rId32" Type="http://schemas.openxmlformats.org/officeDocument/2006/relationships/hyperlink" Target="http://google.com" TargetMode="External"/><Relationship Id="rId35" Type="http://schemas.openxmlformats.org/officeDocument/2006/relationships/hyperlink" Target="https://agencies.semrush.com/list/display-advertising/germany/mid-business/" TargetMode="External"/><Relationship Id="rId34" Type="http://schemas.openxmlformats.org/officeDocument/2006/relationships/hyperlink" Target="http://aeo-copilot.com" TargetMode="External"/><Relationship Id="rId37" Type="http://schemas.openxmlformats.org/officeDocument/2006/relationships/hyperlink" Target="https://www.convios.com/en/services/ai-strategy-readiness" TargetMode="External"/><Relationship Id="rId36" Type="http://schemas.openxmlformats.org/officeDocument/2006/relationships/hyperlink" Target="http://semrush.com" TargetMode="External"/><Relationship Id="rId39" Type="http://schemas.openxmlformats.org/officeDocument/2006/relationships/hyperlink" Target="https://www.ibusiness.de/performance-ranking/performance_2023.html?sub=5" TargetMode="External"/><Relationship Id="rId38" Type="http://schemas.openxmlformats.org/officeDocument/2006/relationships/hyperlink" Target="http://convios.com" TargetMode="External"/><Relationship Id="rId20" Type="http://schemas.openxmlformats.org/officeDocument/2006/relationships/hyperlink" Target="https://aeo-copilot.com/partners/agencies/germany" TargetMode="External"/><Relationship Id="rId22" Type="http://schemas.openxmlformats.org/officeDocument/2006/relationships/hyperlink" Target="https://www.ibusiness.de/performance-ranking/performance_2025.html?sub=30" TargetMode="External"/><Relationship Id="rId21" Type="http://schemas.openxmlformats.org/officeDocument/2006/relationships/hyperlink" Target="http://aeo-copilot.com" TargetMode="External"/><Relationship Id="rId24" Type="http://schemas.openxmlformats.org/officeDocument/2006/relationships/hyperlink" Target="https://www.onetoone.de/performance-ranking/performance_2025.html?sub=11" TargetMode="External"/><Relationship Id="rId23" Type="http://schemas.openxmlformats.org/officeDocument/2006/relationships/hyperlink" Target="http://ibusiness.de" TargetMode="External"/><Relationship Id="rId26" Type="http://schemas.openxmlformats.org/officeDocument/2006/relationships/hyperlink" Target="https://www.hmz.technology/germany/ai-consulting" TargetMode="External"/><Relationship Id="rId25" Type="http://schemas.openxmlformats.org/officeDocument/2006/relationships/hyperlink" Target="http://onetoone.de" TargetMode="External"/><Relationship Id="rId28" Type="http://schemas.openxmlformats.org/officeDocument/2006/relationships/hyperlink" Target="http://onetoone.de" TargetMode="External"/><Relationship Id="rId27" Type="http://schemas.openxmlformats.org/officeDocument/2006/relationships/hyperlink" Target="https://www.onetoone.de/performance-ranking/performance_2024.html?sub=2" TargetMode="External"/><Relationship Id="rId29" Type="http://schemas.openxmlformats.org/officeDocument/2006/relationships/hyperlink" Target="https://www.onetoone.de/performance-ranking/performance_2024.html?sub=5"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ecommerce/germany/small-business/" TargetMode="External"/><Relationship Id="rId13" Type="http://schemas.openxmlformats.org/officeDocument/2006/relationships/hyperlink" Target="http://scaled2c.com" TargetMode="External"/><Relationship Id="rId12" Type="http://schemas.openxmlformats.org/officeDocument/2006/relationships/hyperlink" Target="https://www.scaled2c.com/services/germany/measurement-attribution-berlin" TargetMode="External"/><Relationship Id="rId15" Type="http://schemas.openxmlformats.org/officeDocument/2006/relationships/hyperlink" Target="http://semrush.com" TargetMode="External"/><Relationship Id="rId14" Type="http://schemas.openxmlformats.org/officeDocument/2006/relationships/hyperlink" Target="https://agencies.semrush.com/de/list/display-advertising/germany/" TargetMode="External"/><Relationship Id="rId17" Type="http://schemas.openxmlformats.org/officeDocument/2006/relationships/hyperlink" Target="http://ibusiness.de" TargetMode="External"/><Relationship Id="rId16" Type="http://schemas.openxmlformats.org/officeDocument/2006/relationships/hyperlink" Target="https://www.ibusiness.de/performance-ranking/performance_2024.html?sub=2" TargetMode="External"/><Relationship Id="rId19" Type="http://schemas.openxmlformats.org/officeDocument/2006/relationships/hyperlink" Target="http://ibusiness.de" TargetMode="External"/><Relationship Id="rId18" Type="http://schemas.openxmlformats.org/officeDocument/2006/relationships/hyperlink" Target="https://www.ibusiness.de/performance-ranking/performance_2025.html?sub=11" TargetMode="External"/><Relationship Id="rId84" Type="http://schemas.openxmlformats.org/officeDocument/2006/relationships/hyperlink" Target="https://appfillip.com/advanced-paid-marketing/in/germany" TargetMode="External"/><Relationship Id="rId83" Type="http://schemas.openxmlformats.org/officeDocument/2006/relationships/hyperlink" Target="http://semrush.com" TargetMode="External"/><Relationship Id="rId86" Type="http://schemas.openxmlformats.org/officeDocument/2006/relationships/hyperlink" Target="https://www.artefact.com/offers/marketing-data-driven/gmp-certified-reseller/" TargetMode="External"/><Relationship Id="rId85" Type="http://schemas.openxmlformats.org/officeDocument/2006/relationships/hyperlink" Target="http://appfillip.com" TargetMode="External"/><Relationship Id="rId88" Type="http://schemas.openxmlformats.org/officeDocument/2006/relationships/hyperlink" Target="https://datenbanken.pr-journal.de/pr-agenturrankings/kreativ-ranking/kreativranking-2025" TargetMode="External"/><Relationship Id="rId87" Type="http://schemas.openxmlformats.org/officeDocument/2006/relationships/hyperlink" Target="http://artefact.com" TargetMode="External"/><Relationship Id="rId89" Type="http://schemas.openxmlformats.org/officeDocument/2006/relationships/hyperlink" Target="http://pr-journal.de" TargetMode="External"/><Relationship Id="rId80" Type="http://schemas.openxmlformats.org/officeDocument/2006/relationships/hyperlink" Target="https://agencies.semrush.com/list/display-advertising/ecommerce/germany/mid-business/" TargetMode="External"/><Relationship Id="rId82" Type="http://schemas.openxmlformats.org/officeDocument/2006/relationships/hyperlink" Target="https://agencies.semrush.com/list/display-advertising/germany/enterprise-business/" TargetMode="External"/><Relationship Id="rId81" Type="http://schemas.openxmlformats.org/officeDocument/2006/relationships/hyperlink" Target="http://semrush.com" TargetMode="External"/><Relationship Id="rId73" Type="http://schemas.openxmlformats.org/officeDocument/2006/relationships/hyperlink" Target="http://performance-marketing-agency-berlin.com" TargetMode="External"/><Relationship Id="rId72" Type="http://schemas.openxmlformats.org/officeDocument/2006/relationships/hyperlink" Target="https://performance-marketing-agency-berlin.com/attribution-marketing/berlin" TargetMode="External"/><Relationship Id="rId75" Type="http://schemas.openxmlformats.org/officeDocument/2006/relationships/hyperlink" Target="http://google.com" TargetMode="External"/><Relationship Id="rId74" Type="http://schemas.openxmlformats.org/officeDocument/2006/relationships/hyperlink" Target="https://support.google.com/tagmanager/answer/7237700?hl=en-GB" TargetMode="External"/><Relationship Id="rId77" Type="http://schemas.openxmlformats.org/officeDocument/2006/relationships/hyperlink" Target="http://the-boutique-agency.de" TargetMode="External"/><Relationship Id="rId76" Type="http://schemas.openxmlformats.org/officeDocument/2006/relationships/hyperlink" Target="https://www.the-boutique-agency.de/en/search-ads-360" TargetMode="External"/><Relationship Id="rId79" Type="http://schemas.openxmlformats.org/officeDocument/2006/relationships/hyperlink" Target="http://semrush.com" TargetMode="External"/><Relationship Id="rId78" Type="http://schemas.openxmlformats.org/officeDocument/2006/relationships/hyperlink" Target="https://agencies.semrush.com/de/list/display-advertising/ecommerce/germany/" TargetMode="External"/><Relationship Id="rId71" Type="http://schemas.openxmlformats.org/officeDocument/2006/relationships/hyperlink" Target="http://marketing-companies-in-germany.com" TargetMode="External"/><Relationship Id="rId70" Type="http://schemas.openxmlformats.org/officeDocument/2006/relationships/hyperlink" Target="https://www.marketing-companies-in-germany.com/data-driven-marketing" TargetMode="External"/><Relationship Id="rId62" Type="http://schemas.openxmlformats.org/officeDocument/2006/relationships/hyperlink" Target="https://daviesmeyer.com/glossary/incrementality-testing" TargetMode="External"/><Relationship Id="rId61" Type="http://schemas.openxmlformats.org/officeDocument/2006/relationships/hyperlink" Target="http://semrush.com" TargetMode="External"/><Relationship Id="rId64" Type="http://schemas.openxmlformats.org/officeDocument/2006/relationships/hyperlink" Target="https://www.deptagency.com/de-dach/loesungen/ai-transformation/future-of-work-beratung/" TargetMode="External"/><Relationship Id="rId63" Type="http://schemas.openxmlformats.org/officeDocument/2006/relationships/hyperlink" Target="http://daviesmeyer.com" TargetMode="External"/><Relationship Id="rId66" Type="http://schemas.openxmlformats.org/officeDocument/2006/relationships/hyperlink" Target="https://ecosystem.hubspot.com/marketplace/solutions/paid-advertising/germany?eco_language=en&amp;eco_agency_tier=diamond" TargetMode="External"/><Relationship Id="rId65" Type="http://schemas.openxmlformats.org/officeDocument/2006/relationships/hyperlink" Target="http://deptagency.com" TargetMode="External"/><Relationship Id="rId68" Type="http://schemas.openxmlformats.org/officeDocument/2006/relationships/hyperlink" Target="https://ecosystem.hubspot.com/marketplace/solutions/paid-advertising/media-publishing/germany?limit=15" TargetMode="External"/><Relationship Id="rId67" Type="http://schemas.openxmlformats.org/officeDocument/2006/relationships/hyperlink" Target="http://hubspot.com" TargetMode="External"/><Relationship Id="rId60" Type="http://schemas.openxmlformats.org/officeDocument/2006/relationships/hyperlink" Target="https://agencies.semrush.com/list/analytics-data-science/germany/small-business/" TargetMode="External"/><Relationship Id="rId69" Type="http://schemas.openxmlformats.org/officeDocument/2006/relationships/hyperlink" Target="http://hubspot.com" TargetMode="External"/><Relationship Id="rId51" Type="http://schemas.openxmlformats.org/officeDocument/2006/relationships/hyperlink" Target="http://acid21.com" TargetMode="External"/><Relationship Id="rId50" Type="http://schemas.openxmlformats.org/officeDocument/2006/relationships/hyperlink" Target="https://acid21.com/en/AI-Agency-Berlin/" TargetMode="External"/><Relationship Id="rId53" Type="http://schemas.openxmlformats.org/officeDocument/2006/relationships/hyperlink" Target="http://clutch.co" TargetMode="External"/><Relationship Id="rId52" Type="http://schemas.openxmlformats.org/officeDocument/2006/relationships/hyperlink" Target="https://clutch.co/de/consulting/ai/maturation" TargetMode="External"/><Relationship Id="rId55" Type="http://schemas.openxmlformats.org/officeDocument/2006/relationships/hyperlink" Target="http://comcepta.de" TargetMode="External"/><Relationship Id="rId54" Type="http://schemas.openxmlformats.org/officeDocument/2006/relationships/hyperlink" Target="https://www.comcepta.de/ki-reifegrad" TargetMode="External"/><Relationship Id="rId57" Type="http://schemas.openxmlformats.org/officeDocument/2006/relationships/hyperlink" Target="http://google.com" TargetMode="External"/><Relationship Id="rId56" Type="http://schemas.openxmlformats.org/officeDocument/2006/relationships/hyperlink" Target="https://www.google.com/partners/" TargetMode="External"/><Relationship Id="rId59" Type="http://schemas.openxmlformats.org/officeDocument/2006/relationships/hyperlink" Target="http://google.com" TargetMode="External"/><Relationship Id="rId58" Type="http://schemas.openxmlformats.org/officeDocument/2006/relationships/hyperlink" Target="https://marketingplatform.google.com/about/partners/find-a-partner?category=206&amp;geo=Deutschland&amp;q=&amp;region=EU" TargetMode="External"/><Relationship Id="rId349" Type="http://schemas.openxmlformats.org/officeDocument/2006/relationships/hyperlink" Target="http://themanifest.com" TargetMode="External"/><Relationship Id="rId348" Type="http://schemas.openxmlformats.org/officeDocument/2006/relationships/hyperlink" Target="https://themanifest.com/de/market-research/agencies" TargetMode="External"/><Relationship Id="rId347" Type="http://schemas.openxmlformats.org/officeDocument/2006/relationships/hyperlink" Target="http://themanifest.com" TargetMode="External"/><Relationship Id="rId346" Type="http://schemas.openxmlformats.org/officeDocument/2006/relationships/hyperlink" Target="https://themanifest.com/de/artificial-intelligence/companies" TargetMode="External"/><Relationship Id="rId341" Type="http://schemas.openxmlformats.org/officeDocument/2006/relationships/hyperlink" Target="http://sortlist.de" TargetMode="External"/><Relationship Id="rId340" Type="http://schemas.openxmlformats.org/officeDocument/2006/relationships/hyperlink" Target="https://www.sortlist.de/s/programmatic-advertising/deutschland-de?page=2" TargetMode="External"/><Relationship Id="rId345" Type="http://schemas.openxmlformats.org/officeDocument/2006/relationships/hyperlink" Target="http://thatware.co" TargetMode="External"/><Relationship Id="rId344" Type="http://schemas.openxmlformats.org/officeDocument/2006/relationships/hyperlink" Target="https://thatware.co/aeo-seo-services-germany/" TargetMode="External"/><Relationship Id="rId343" Type="http://schemas.openxmlformats.org/officeDocument/2006/relationships/hyperlink" Target="http://google.com" TargetMode="External"/><Relationship Id="rId342" Type="http://schemas.openxmlformats.org/officeDocument/2006/relationships/hyperlink" Target="https://support.google.com/tagmanager/answer/7237700?hl=en" TargetMode="External"/><Relationship Id="rId338" Type="http://schemas.openxmlformats.org/officeDocument/2006/relationships/hyperlink" Target="https://www.sortlist.de/s/display-werbung/hamburg-hh-de" TargetMode="External"/><Relationship Id="rId337" Type="http://schemas.openxmlformats.org/officeDocument/2006/relationships/hyperlink" Target="http://sortlist.de" TargetMode="External"/><Relationship Id="rId336" Type="http://schemas.openxmlformats.org/officeDocument/2006/relationships/hyperlink" Target="https://www.sortlist.de/s/display-werbung/hamburg-de" TargetMode="External"/><Relationship Id="rId335" Type="http://schemas.openxmlformats.org/officeDocument/2006/relationships/hyperlink" Target="http://sortlist.com" TargetMode="External"/><Relationship Id="rId339" Type="http://schemas.openxmlformats.org/officeDocument/2006/relationships/hyperlink" Target="http://sortlist.de" TargetMode="External"/><Relationship Id="rId330" Type="http://schemas.openxmlformats.org/officeDocument/2006/relationships/hyperlink" Target="https://www.sdbj.com/news/firms-leverage-tech-drive-business/" TargetMode="External"/><Relationship Id="rId334" Type="http://schemas.openxmlformats.org/officeDocument/2006/relationships/hyperlink" Target="https://www.sortlist.com/s/programmatic-advertising/berlin-de" TargetMode="External"/><Relationship Id="rId333" Type="http://schemas.openxmlformats.org/officeDocument/2006/relationships/hyperlink" Target="http://softwareadvice.com" TargetMode="External"/><Relationship Id="rId332" Type="http://schemas.openxmlformats.org/officeDocument/2006/relationships/hyperlink" Target="https://www.softwareadvice.com/marketing-attribution/" TargetMode="External"/><Relationship Id="rId331" Type="http://schemas.openxmlformats.org/officeDocument/2006/relationships/hyperlink" Target="http://sdbj.com" TargetMode="External"/><Relationship Id="rId363" Type="http://schemas.openxmlformats.org/officeDocument/2006/relationships/hyperlink" Target="http://wested.org" TargetMode="External"/><Relationship Id="rId362" Type="http://schemas.openxmlformats.org/officeDocument/2006/relationships/hyperlink" Target="https://www.wested.org/support/ai-readiness-and-integration/" TargetMode="External"/><Relationship Id="rId361" Type="http://schemas.openxmlformats.org/officeDocument/2006/relationships/hyperlink" Target="http://webmetic.de" TargetMode="External"/><Relationship Id="rId360" Type="http://schemas.openxmlformats.org/officeDocument/2006/relationships/hyperlink" Target="https://webmetic.de/analytics-insights" TargetMode="External"/><Relationship Id="rId366" Type="http://schemas.openxmlformats.org/officeDocument/2006/relationships/drawing" Target="../drawings/drawing28.xml"/><Relationship Id="rId365" Type="http://schemas.openxmlformats.org/officeDocument/2006/relationships/hyperlink" Target="http://youtube.com" TargetMode="External"/><Relationship Id="rId364" Type="http://schemas.openxmlformats.org/officeDocument/2006/relationships/hyperlink" Target="https://www.youtube.com/watch?v=JwCJmenpGKQ&amp;t=75" TargetMode="External"/><Relationship Id="rId95" Type="http://schemas.openxmlformats.org/officeDocument/2006/relationships/hyperlink" Target="http://hubspot.com" TargetMode="External"/><Relationship Id="rId94" Type="http://schemas.openxmlformats.org/officeDocument/2006/relationships/hyperlink" Target="https://ecosystem.hubspot.com/marketplace/solutions/paid-advertising/ecommerce/germany" TargetMode="External"/><Relationship Id="rId97" Type="http://schemas.openxmlformats.org/officeDocument/2006/relationships/hyperlink" Target="http://google.com" TargetMode="External"/><Relationship Id="rId96" Type="http://schemas.openxmlformats.org/officeDocument/2006/relationships/hyperlink" Target="https://www.google.com/partners/?hl=de" TargetMode="External"/><Relationship Id="rId99" Type="http://schemas.openxmlformats.org/officeDocument/2006/relationships/hyperlink" Target="http://mmaglobal.com" TargetMode="External"/><Relationship Id="rId98" Type="http://schemas.openxmlformats.org/officeDocument/2006/relationships/hyperlink" Target="https://mmaglobal.com/smarties/business-impact-index?category=Creative+Agency&amp;region=Germany&amp;year=2025" TargetMode="External"/><Relationship Id="rId91" Type="http://schemas.openxmlformats.org/officeDocument/2006/relationships/hyperlink" Target="http://deptagency.com" TargetMode="External"/><Relationship Id="rId90" Type="http://schemas.openxmlformats.org/officeDocument/2006/relationships/hyperlink" Target="https://www.deptagency.com/de-dach/partner/google-marketing-platform/" TargetMode="External"/><Relationship Id="rId93" Type="http://schemas.openxmlformats.org/officeDocument/2006/relationships/hyperlink" Target="http://dtile-marketing.de" TargetMode="External"/><Relationship Id="rId92" Type="http://schemas.openxmlformats.org/officeDocument/2006/relationships/hyperlink" Target="https://dtile-marketing.de/performance-marketing/" TargetMode="External"/><Relationship Id="rId359" Type="http://schemas.openxmlformats.org/officeDocument/2006/relationships/hyperlink" Target="http://vitasoft.co" TargetMode="External"/><Relationship Id="rId358" Type="http://schemas.openxmlformats.org/officeDocument/2006/relationships/hyperlink" Target="https://vitasoft.co/best/geo-agentur-deutschland" TargetMode="External"/><Relationship Id="rId357" Type="http://schemas.openxmlformats.org/officeDocument/2006/relationships/hyperlink" Target="http://trkkn.pt" TargetMode="External"/><Relationship Id="rId352" Type="http://schemas.openxmlformats.org/officeDocument/2006/relationships/hyperlink" Target="https://www.treirealestate.com/en/company" TargetMode="External"/><Relationship Id="rId351" Type="http://schemas.openxmlformats.org/officeDocument/2006/relationships/hyperlink" Target="http://traqer.ai" TargetMode="External"/><Relationship Id="rId350" Type="http://schemas.openxmlformats.org/officeDocument/2006/relationships/hyperlink" Target="https://www.traqer.ai/blog/ai-visibility-tool" TargetMode="External"/><Relationship Id="rId356" Type="http://schemas.openxmlformats.org/officeDocument/2006/relationships/hyperlink" Target="https://trkkn.pt/company/" TargetMode="External"/><Relationship Id="rId355" Type="http://schemas.openxmlformats.org/officeDocument/2006/relationships/hyperlink" Target="http://tripledart.com" TargetMode="External"/><Relationship Id="rId354" Type="http://schemas.openxmlformats.org/officeDocument/2006/relationships/hyperlink" Target="https://www.tripledart.com/blog/best-aeo-agencies" TargetMode="External"/><Relationship Id="rId353" Type="http://schemas.openxmlformats.org/officeDocument/2006/relationships/hyperlink" Target="http://treirealestate.com" TargetMode="External"/><Relationship Id="rId305" Type="http://schemas.openxmlformats.org/officeDocument/2006/relationships/hyperlink" Target="http://marketinganalyticssummit.de" TargetMode="External"/><Relationship Id="rId304" Type="http://schemas.openxmlformats.org/officeDocument/2006/relationships/hyperlink" Target="https://marketinganalyticssummit.de/programm/2025/" TargetMode="External"/><Relationship Id="rId303" Type="http://schemas.openxmlformats.org/officeDocument/2006/relationships/hyperlink" Target="http://madebyevoke.com" TargetMode="External"/><Relationship Id="rId302" Type="http://schemas.openxmlformats.org/officeDocument/2006/relationships/hyperlink" Target="https://madebyevoke.com/blog/top-web-design-agencies-berlin" TargetMode="External"/><Relationship Id="rId309" Type="http://schemas.openxmlformats.org/officeDocument/2006/relationships/hyperlink" Target="http://merkle.com" TargetMode="External"/><Relationship Id="rId308" Type="http://schemas.openxmlformats.org/officeDocument/2006/relationships/hyperlink" Target="https://www.merkle.com/en/about-us/partnerships/google.html" TargetMode="External"/><Relationship Id="rId307" Type="http://schemas.openxmlformats.org/officeDocument/2006/relationships/hyperlink" Target="http://mercurymediatechnology.com" TargetMode="External"/><Relationship Id="rId306" Type="http://schemas.openxmlformats.org/officeDocument/2006/relationships/hyperlink" Target="https://www.mercurymediatechnology.com/de/marketing-measurement-mmm/" TargetMode="External"/><Relationship Id="rId301" Type="http://schemas.openxmlformats.org/officeDocument/2006/relationships/hyperlink" Target="http://linkedin.com" TargetMode="External"/><Relationship Id="rId300" Type="http://schemas.openxmlformats.org/officeDocument/2006/relationships/hyperlink" Target="https://www.linkedin.com/company/crealytics-gmbh" TargetMode="External"/><Relationship Id="rId327" Type="http://schemas.openxmlformats.org/officeDocument/2006/relationships/hyperlink" Target="http://schalk-and-friends.de" TargetMode="External"/><Relationship Id="rId326" Type="http://schemas.openxmlformats.org/officeDocument/2006/relationships/hyperlink" Target="https://www.schalk-and-friends.de/en/services/data-analytics/" TargetMode="External"/><Relationship Id="rId325" Type="http://schemas.openxmlformats.org/officeDocument/2006/relationships/hyperlink" Target="http://s360digital.com" TargetMode="External"/><Relationship Id="rId324" Type="http://schemas.openxmlformats.org/officeDocument/2006/relationships/hyperlink" Target="https://s360digital.com/capabilities/" TargetMode="External"/><Relationship Id="rId329" Type="http://schemas.openxmlformats.org/officeDocument/2006/relationships/hyperlink" Target="http://scopicstudios.com" TargetMode="External"/><Relationship Id="rId328" Type="http://schemas.openxmlformats.org/officeDocument/2006/relationships/hyperlink" Target="https://scopicstudios.com/blog/first-party-data-adoption-statistics-every-marketer-must-know/" TargetMode="External"/><Relationship Id="rId323" Type="http://schemas.openxmlformats.org/officeDocument/2006/relationships/hyperlink" Target="http://withgoogle.com" TargetMode="External"/><Relationship Id="rId322"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321" Type="http://schemas.openxmlformats.org/officeDocument/2006/relationships/hyperlink" Target="http://withgoogle.com" TargetMode="External"/><Relationship Id="rId320"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316" Type="http://schemas.openxmlformats.org/officeDocument/2006/relationships/hyperlink" Target="http://onetoone.de" TargetMode="External"/><Relationship Id="rId315" Type="http://schemas.openxmlformats.org/officeDocument/2006/relationships/hyperlink" Target="https://www.onetoone.de/artikel/db/235291SUR.html" TargetMode="External"/><Relationship Id="rId314" Type="http://schemas.openxmlformats.org/officeDocument/2006/relationships/hyperlink" Target="http://oneclub.org" TargetMode="External"/><Relationship Id="rId313" Type="http://schemas.openxmlformats.org/officeDocument/2006/relationships/hyperlink" Target="https://www.oneclub.org/awards/rankings/-archive/independantagency/2024/all/2/276" TargetMode="External"/><Relationship Id="rId319" Type="http://schemas.openxmlformats.org/officeDocument/2006/relationships/hyperlink" Target="https://origami.chat/blog/d2c-brands-germany-shopify-ads-prospecting-guide-2026" TargetMode="External"/><Relationship Id="rId318" Type="http://schemas.openxmlformats.org/officeDocument/2006/relationships/hyperlink" Target="http://spotify.com" TargetMode="External"/><Relationship Id="rId317" Type="http://schemas.openxmlformats.org/officeDocument/2006/relationships/hyperlink" Target="https://open.spotify.com/show/2KwD77vAcC9acv5NhCHnAF" TargetMode="External"/><Relationship Id="rId312" Type="http://schemas.openxmlformats.org/officeDocument/2006/relationships/hyperlink" Target="https://www.nakoa.digital/ergebnisse/partner/incubeta/" TargetMode="External"/><Relationship Id="rId311" Type="http://schemas.openxmlformats.org/officeDocument/2006/relationships/hyperlink" Target="http://mintzoro.com" TargetMode="External"/><Relationship Id="rId310" Type="http://schemas.openxmlformats.org/officeDocument/2006/relationships/hyperlink" Target="https://www.mintzoro.com/ai-marketing-agency-in-germany/" TargetMode="External"/><Relationship Id="rId297" Type="http://schemas.openxmlformats.org/officeDocument/2006/relationships/hyperlink" Target="http://kunalkankaria.com" TargetMode="External"/><Relationship Id="rId296" Type="http://schemas.openxmlformats.org/officeDocument/2006/relationships/hyperlink" Target="https://kunalkankaria.com/best-ai-consultant-germany/" TargetMode="External"/><Relationship Id="rId295" Type="http://schemas.openxmlformats.org/officeDocument/2006/relationships/hyperlink" Target="http://jampp.com" TargetMode="External"/><Relationship Id="rId294" Type="http://schemas.openxmlformats.org/officeDocument/2006/relationships/hyperlink" Target="https://www.jampp.com/blog/incrementality-q-a-with-growth-marketers-in-berlin" TargetMode="External"/><Relationship Id="rId299" Type="http://schemas.openxmlformats.org/officeDocument/2006/relationships/hyperlink" Target="http://lbbonline.com" TargetMode="External"/><Relationship Id="rId298" Type="http://schemas.openxmlformats.org/officeDocument/2006/relationships/hyperlink" Target="https://lbbonline.com/companies/serviceplan/about" TargetMode="External"/><Relationship Id="rId271" Type="http://schemas.openxmlformats.org/officeDocument/2006/relationships/hyperlink" Target="http://ibusiness.de" TargetMode="External"/><Relationship Id="rId270" Type="http://schemas.openxmlformats.org/officeDocument/2006/relationships/hyperlink" Target="https://www.ibusiness.de/performance-ranking/performance_2025.html?sub=13" TargetMode="External"/><Relationship Id="rId269" Type="http://schemas.openxmlformats.org/officeDocument/2006/relationships/hyperlink" Target="http://ibusiness.de" TargetMode="External"/><Relationship Id="rId264" Type="http://schemas.openxmlformats.org/officeDocument/2006/relationships/hyperlink" Target="https://www.ibusiness.de/branche/db/235291SUR.html" TargetMode="External"/><Relationship Id="rId263" Type="http://schemas.openxmlformats.org/officeDocument/2006/relationships/hyperlink" Target="http://house-of-communication.com" TargetMode="External"/><Relationship Id="rId262" Type="http://schemas.openxmlformats.org/officeDocument/2006/relationships/hyperlink" Target="https://www.house-of-communication.com/sv/en/brands/mediaplus/landingpages/media-agency-of-the-year.html" TargetMode="External"/><Relationship Id="rId261" Type="http://schemas.openxmlformats.org/officeDocument/2006/relationships/hyperlink" Target="http://horizont.net" TargetMode="External"/><Relationship Id="rId268" Type="http://schemas.openxmlformats.org/officeDocument/2006/relationships/hyperlink" Target="https://www.ibusiness.de/performance-ranking/performance_2025.html?sub=12" TargetMode="External"/><Relationship Id="rId267" Type="http://schemas.openxmlformats.org/officeDocument/2006/relationships/hyperlink" Target="http://ibusiness.de" TargetMode="External"/><Relationship Id="rId266" Type="http://schemas.openxmlformats.org/officeDocument/2006/relationships/hyperlink" Target="https://www.ibusiness.de/performance-ranking/performance_2024.html?sub=5" TargetMode="External"/><Relationship Id="rId265" Type="http://schemas.openxmlformats.org/officeDocument/2006/relationships/hyperlink" Target="http://ibusiness.de" TargetMode="External"/><Relationship Id="rId260" Type="http://schemas.openxmlformats.org/officeDocument/2006/relationships/hyperlink" Target="https://www.horizont.net/agenturen/nachrichten/neuer-spitzenreiter-das-sind-die-30-kreativsten-agenturen-deutschlands-196436" TargetMode="External"/><Relationship Id="rId259" Type="http://schemas.openxmlformats.org/officeDocument/2006/relationships/hyperlink" Target="http://horizont.net" TargetMode="External"/><Relationship Id="rId258" Type="http://schemas.openxmlformats.org/officeDocument/2006/relationships/hyperlink" Target="https://www.horizont.net/agenturen/nachrichten/35-Jahre-Scholz--Friends-Die-wichtigsten-Kampagnen-aus-dreieinhalb-Jahrzehnten-141409" TargetMode="External"/><Relationship Id="rId253" Type="http://schemas.openxmlformats.org/officeDocument/2006/relationships/hyperlink" Target="https://growthmanager.ai/best-ai-seo-agency/in/berlin" TargetMode="External"/><Relationship Id="rId252" Type="http://schemas.openxmlformats.org/officeDocument/2006/relationships/hyperlink" Target="http://growthmanager.ai" TargetMode="External"/><Relationship Id="rId251" Type="http://schemas.openxmlformats.org/officeDocument/2006/relationships/hyperlink" Target="https://growthmanager.ai/best-aeo-agency/in/munich" TargetMode="External"/><Relationship Id="rId250" Type="http://schemas.openxmlformats.org/officeDocument/2006/relationships/hyperlink" Target="http://growth-hacking-agentur.de" TargetMode="External"/><Relationship Id="rId257" Type="http://schemas.openxmlformats.org/officeDocument/2006/relationships/hyperlink" Target="https://himalayas.app/companies/peak-ace-ag" TargetMode="External"/><Relationship Id="rId256" Type="http://schemas.openxmlformats.org/officeDocument/2006/relationships/hyperlink" Target="http://herohunt.ai" TargetMode="External"/><Relationship Id="rId255" Type="http://schemas.openxmlformats.org/officeDocument/2006/relationships/hyperlink" Target="https://www.herohunt.ai/recruitment-agency-countries/germany/" TargetMode="External"/><Relationship Id="rId254" Type="http://schemas.openxmlformats.org/officeDocument/2006/relationships/hyperlink" Target="http://growthmanager.ai" TargetMode="External"/><Relationship Id="rId293" Type="http://schemas.openxmlformats.org/officeDocument/2006/relationships/hyperlink" Target="http://iqueem.com" TargetMode="External"/><Relationship Id="rId292" Type="http://schemas.openxmlformats.org/officeDocument/2006/relationships/hyperlink" Target="https://www.iqueem.com/en/blog/iqueem-munich.html" TargetMode="External"/><Relationship Id="rId291" Type="http://schemas.openxmlformats.org/officeDocument/2006/relationships/hyperlink" Target="http://iqueem.com" TargetMode="External"/><Relationship Id="rId290" Type="http://schemas.openxmlformats.org/officeDocument/2006/relationships/hyperlink" Target="https://www.iqueem.com/en/blog.html" TargetMode="External"/><Relationship Id="rId286" Type="http://schemas.openxmlformats.org/officeDocument/2006/relationships/hyperlink" Target="https://www.instagram.com/serviceplan/" TargetMode="External"/><Relationship Id="rId285" Type="http://schemas.openxmlformats.org/officeDocument/2006/relationships/hyperlink" Target="http://insightwert.de" TargetMode="External"/><Relationship Id="rId284" Type="http://schemas.openxmlformats.org/officeDocument/2006/relationships/hyperlink" Target="https://insightwert.de/en/services/" TargetMode="External"/><Relationship Id="rId283" Type="http://schemas.openxmlformats.org/officeDocument/2006/relationships/hyperlink" Target="http://infomotion.de" TargetMode="External"/><Relationship Id="rId289" Type="http://schemas.openxmlformats.org/officeDocument/2006/relationships/hyperlink" Target="http://instagram.com" TargetMode="External"/><Relationship Id="rId288" Type="http://schemas.openxmlformats.org/officeDocument/2006/relationships/hyperlink" Target="https://www.instagram.com/thjnk/" TargetMode="External"/><Relationship Id="rId287" Type="http://schemas.openxmlformats.org/officeDocument/2006/relationships/hyperlink" Target="http://instagram.com" TargetMode="External"/><Relationship Id="rId282" Type="http://schemas.openxmlformats.org/officeDocument/2006/relationships/hyperlink" Target="https://www.infomotion.de/ai-data-performance/ai-data-science/ai-strategie/ai-readiness" TargetMode="External"/><Relationship Id="rId281" Type="http://schemas.openxmlformats.org/officeDocument/2006/relationships/hyperlink" Target="http://incubeta.com" TargetMode="External"/><Relationship Id="rId280" Type="http://schemas.openxmlformats.org/officeDocument/2006/relationships/hyperlink" Target="https://incubeta.com/news-and-resources/incubeta-dach-gcp-certification/" TargetMode="External"/><Relationship Id="rId275" Type="http://schemas.openxmlformats.org/officeDocument/2006/relationships/hyperlink" Target="http://incubeta.com" TargetMode="External"/><Relationship Id="rId274" Type="http://schemas.openxmlformats.org/officeDocument/2006/relationships/hyperlink" Target="https://incubeta.com/de/about-us/" TargetMode="External"/><Relationship Id="rId273" Type="http://schemas.openxmlformats.org/officeDocument/2006/relationships/hyperlink" Target="http://ibusiness.de" TargetMode="External"/><Relationship Id="rId272" Type="http://schemas.openxmlformats.org/officeDocument/2006/relationships/hyperlink" Target="https://www.ibusiness.de/performance-ranking/performance_2025.html?sub=28" TargetMode="External"/><Relationship Id="rId279" Type="http://schemas.openxmlformats.org/officeDocument/2006/relationships/hyperlink" Target="http://incubeta.com" TargetMode="External"/><Relationship Id="rId278" Type="http://schemas.openxmlformats.org/officeDocument/2006/relationships/hyperlink" Target="https://incubeta.com/find-us/munich-germany/" TargetMode="External"/><Relationship Id="rId277" Type="http://schemas.openxmlformats.org/officeDocument/2006/relationships/hyperlink" Target="http://incubeta.com" TargetMode="External"/><Relationship Id="rId276" Type="http://schemas.openxmlformats.org/officeDocument/2006/relationships/hyperlink" Target="https://incubeta.com/de/find-us/berlin-germany/" TargetMode="External"/><Relationship Id="rId228" Type="http://schemas.openxmlformats.org/officeDocument/2006/relationships/hyperlink" Target="http://creditreform.de" TargetMode="External"/><Relationship Id="rId227" Type="http://schemas.openxmlformats.org/officeDocument/2006/relationships/hyperlink" Target="https://firmeneintrag.creditreform.de/80331/2151366579/INCUBETA_GERMANY_GMBH" TargetMode="External"/><Relationship Id="rId226" Type="http://schemas.openxmlformats.org/officeDocument/2006/relationships/hyperlink" Target="http://facebook.com" TargetMode="External"/><Relationship Id="rId225" Type="http://schemas.openxmlformats.org/officeDocument/2006/relationships/hyperlink" Target="https://www.facebook.com/incrmntal/" TargetMode="External"/><Relationship Id="rId229" Type="http://schemas.openxmlformats.org/officeDocument/2006/relationships/hyperlink" Target="https://www.forrester.com/report/the-forrester-wave-tm-marketing-measurement-and-optimization-services-q1-2026/RES190293" TargetMode="External"/><Relationship Id="rId220" Type="http://schemas.openxmlformats.org/officeDocument/2006/relationships/hyperlink" Target="https://enterprisemarketingportal.google/find-a-partner/trkkngermany%2528trakken%2529-de?certificationsFilters=Tag%20Manager" TargetMode="External"/><Relationship Id="rId224" Type="http://schemas.openxmlformats.org/officeDocument/2006/relationships/hyperlink" Target="http://f6s.com" TargetMode="External"/><Relationship Id="rId223" Type="http://schemas.openxmlformats.org/officeDocument/2006/relationships/hyperlink" Target="https://www.f6s.com/software/category/first-party-data-activation" TargetMode="External"/><Relationship Id="rId222" Type="http://schemas.openxmlformats.org/officeDocument/2006/relationships/hyperlink" Target="http://euro-security.de" TargetMode="External"/><Relationship Id="rId221" Type="http://schemas.openxmlformats.org/officeDocument/2006/relationships/hyperlink" Target="https://euro-security.de/en/germany-establishes-centre-of-excellence-for-ai-security/" TargetMode="External"/><Relationship Id="rId217" Type="http://schemas.openxmlformats.org/officeDocument/2006/relationships/hyperlink" Target="http://ensun.io" TargetMode="External"/><Relationship Id="rId216" Type="http://schemas.openxmlformats.org/officeDocument/2006/relationships/hyperlink" Target="https://ensun.io/search/ab-testing/germany" TargetMode="External"/><Relationship Id="rId215" Type="http://schemas.openxmlformats.org/officeDocument/2006/relationships/hyperlink" Target="http://hubspot.com" TargetMode="External"/><Relationship Id="rId214" Type="http://schemas.openxmlformats.org/officeDocument/2006/relationships/hyperlink" Target="https://ecosystem.hubspot.com/marketplace/solutions/social-media/germany" TargetMode="External"/><Relationship Id="rId219" Type="http://schemas.openxmlformats.org/officeDocument/2006/relationships/hyperlink" Target="http://google.com" TargetMode="External"/><Relationship Id="rId218" Type="http://schemas.openxmlformats.org/officeDocument/2006/relationships/hyperlink" Target="https://enterprise.google.com/marketing-platform/partners/" TargetMode="External"/><Relationship Id="rId213" Type="http://schemas.openxmlformats.org/officeDocument/2006/relationships/hyperlink" Target="https://e-dialog.group/en/technologies/" TargetMode="External"/><Relationship Id="rId212" Type="http://schemas.openxmlformats.org/officeDocument/2006/relationships/hyperlink" Target="http://dwao.in" TargetMode="External"/><Relationship Id="rId211" Type="http://schemas.openxmlformats.org/officeDocument/2006/relationships/hyperlink" Target="https://dwao.in/blog/best-gcp-partner" TargetMode="External"/><Relationship Id="rId210" Type="http://schemas.openxmlformats.org/officeDocument/2006/relationships/hyperlink" Target="http://dtgv.de" TargetMode="External"/><Relationship Id="rId249" Type="http://schemas.openxmlformats.org/officeDocument/2006/relationships/hyperlink" Target="https://growth-hacking-agentur.de/ai-marketing-agenturen" TargetMode="External"/><Relationship Id="rId248" Type="http://schemas.openxmlformats.org/officeDocument/2006/relationships/hyperlink" Target="http://google.com" TargetMode="External"/><Relationship Id="rId247" Type="http://schemas.openxmlformats.org/officeDocument/2006/relationships/hyperlink" Target="https://www.google.com/searchviewer/10?svid=CAwSHRIbCgNwdnESFENnMHZaeTh4TVdOc2N6WjRkSGhqGAo" TargetMode="External"/><Relationship Id="rId242" Type="http://schemas.openxmlformats.org/officeDocument/2006/relationships/hyperlink" Target="http://google.com" TargetMode="External"/><Relationship Id="rId241" Type="http://schemas.openxmlformats.org/officeDocument/2006/relationships/hyperlink" Target="https://www.google.com/searchviewer/10?svid=CAwSHBIaCgNwdnESE0Nnd3ZaeTh4Y0hSNE9Xc3lOMkkYCg" TargetMode="External"/><Relationship Id="rId240" Type="http://schemas.openxmlformats.org/officeDocument/2006/relationships/hyperlink" Target="http://google.com" TargetMode="External"/><Relationship Id="rId246" Type="http://schemas.openxmlformats.org/officeDocument/2006/relationships/hyperlink" Target="http://google.com" TargetMode="External"/><Relationship Id="rId245" Type="http://schemas.openxmlformats.org/officeDocument/2006/relationships/hyperlink" Target="https://www.google.com/searchviewer/10?svid=CAwSHRIbCgNwdnESFENnMHZaeTh4TVdJMmFIWm9Nemw1GAo" TargetMode="External"/><Relationship Id="rId244" Type="http://schemas.openxmlformats.org/officeDocument/2006/relationships/hyperlink" Target="http://google.com" TargetMode="External"/><Relationship Id="rId243" Type="http://schemas.openxmlformats.org/officeDocument/2006/relationships/hyperlink" Target="https://www.google.com/searchviewer/10?svid=CAwSHBIaCgNwdnESE0Nnd3ZaeTh4YUcwMWJYTjVjREkYCg" TargetMode="External"/><Relationship Id="rId239" Type="http://schemas.openxmlformats.org/officeDocument/2006/relationships/hyperlink" Target="https://www.google.com/searchviewer/10?svid=CAwSGxIZCgNwdnESEkNnc3ZaeTh4ZGpac05tczFiURgK" TargetMode="External"/><Relationship Id="rId238" Type="http://schemas.openxmlformats.org/officeDocument/2006/relationships/hyperlink" Target="http://google.com" TargetMode="External"/><Relationship Id="rId237" Type="http://schemas.openxmlformats.org/officeDocument/2006/relationships/hyperlink" Target="https://www.google.com/searchviewer/10?svid=CAwSGxIZCgNwdnESEkNnc3ZaeTh4ZEhRNFlqaDVjZxgK" TargetMode="External"/><Relationship Id="rId236" Type="http://schemas.openxmlformats.org/officeDocument/2006/relationships/hyperlink" Target="http://google.com" TargetMode="External"/><Relationship Id="rId231" Type="http://schemas.openxmlformats.org/officeDocument/2006/relationships/hyperlink" Target="https://getdigitalresults.com/digital-advertising/display-ads/" TargetMode="External"/><Relationship Id="rId230" Type="http://schemas.openxmlformats.org/officeDocument/2006/relationships/hyperlink" Target="http://forrester.com" TargetMode="External"/><Relationship Id="rId235" Type="http://schemas.openxmlformats.org/officeDocument/2006/relationships/hyperlink" Target="https://www.google.com/searchviewer/10?svid=CAwSGxIZCgNwdnESEkNnc3ZaeTh4ZEdONGFIUTBZdxgK" TargetMode="External"/><Relationship Id="rId234" Type="http://schemas.openxmlformats.org/officeDocument/2006/relationships/hyperlink" Target="http://glassroom.ca" TargetMode="External"/><Relationship Id="rId233" Type="http://schemas.openxmlformats.org/officeDocument/2006/relationships/hyperlink" Target="https://www.glassroom.ca/article/first-party-data-activation" TargetMode="External"/><Relationship Id="rId232" Type="http://schemas.openxmlformats.org/officeDocument/2006/relationships/hyperlink" Target="http://getdigitalresults.com" TargetMode="External"/><Relationship Id="rId206" Type="http://schemas.openxmlformats.org/officeDocument/2006/relationships/hyperlink" Target="http://deichweb.de" TargetMode="External"/><Relationship Id="rId205" Type="http://schemas.openxmlformats.org/officeDocument/2006/relationships/hyperlink" Target="https://deichweb.de/en/empfehlungen/" TargetMode="External"/><Relationship Id="rId204" Type="http://schemas.openxmlformats.org/officeDocument/2006/relationships/hyperlink" Target="http://linkedin.com" TargetMode="External"/><Relationship Id="rId203" Type="http://schemas.openxmlformats.org/officeDocument/2006/relationships/hyperlink" Target="https://de.linkedin.com/in/jorngrunert" TargetMode="External"/><Relationship Id="rId209" Type="http://schemas.openxmlformats.org/officeDocument/2006/relationships/hyperlink" Target="https://www.dtgv.de/awards/deutscher-b2b-award-2025/kommunikation-werbung/" TargetMode="External"/><Relationship Id="rId208" Type="http://schemas.openxmlformats.org/officeDocument/2006/relationships/hyperlink" Target="http://esomar.org" TargetMode="External"/><Relationship Id="rId207" Type="http://schemas.openxmlformats.org/officeDocument/2006/relationships/hyperlink" Target="https://directory.esomar.org/search/*?from=9" TargetMode="External"/><Relationship Id="rId202" Type="http://schemas.openxmlformats.org/officeDocument/2006/relationships/hyperlink" Target="http://daviesmeyer.com" TargetMode="External"/><Relationship Id="rId201" Type="http://schemas.openxmlformats.org/officeDocument/2006/relationships/hyperlink" Target="https://daviesmeyer.com/en/solutions/ai-readiness-workshop" TargetMode="External"/><Relationship Id="rId200" Type="http://schemas.openxmlformats.org/officeDocument/2006/relationships/hyperlink" Target="http://davidms.co.uk" TargetMode="External"/><Relationship Id="rId1" Type="http://schemas.openxmlformats.org/officeDocument/2006/relationships/hyperlink" Target="http://semrush.com" TargetMode="External"/><Relationship Id="rId2" Type="http://schemas.openxmlformats.org/officeDocument/2006/relationships/hyperlink" Target="https://clutch.co/de/agencies/ppc/display" TargetMode="External"/><Relationship Id="rId3" Type="http://schemas.openxmlformats.org/officeDocument/2006/relationships/hyperlink" Target="http://clutch.co" TargetMode="External"/><Relationship Id="rId4" Type="http://schemas.openxmlformats.org/officeDocument/2006/relationships/hyperlink" Target="https://support.google.com/analytics/answer/7237700?hl=en" TargetMode="External"/><Relationship Id="rId9" Type="http://schemas.openxmlformats.org/officeDocument/2006/relationships/hyperlink" Target="http://semrush.com" TargetMode="External"/><Relationship Id="rId5" Type="http://schemas.openxmlformats.org/officeDocument/2006/relationships/hyperlink" Target="http://google.com" TargetMode="External"/><Relationship Id="rId6" Type="http://schemas.openxmlformats.org/officeDocument/2006/relationships/hyperlink" Target="https://feedbax.ai/digital-marketing/germany" TargetMode="External"/><Relationship Id="rId7" Type="http://schemas.openxmlformats.org/officeDocument/2006/relationships/hyperlink" Target="http://feedbax.ai" TargetMode="External"/><Relationship Id="rId8" Type="http://schemas.openxmlformats.org/officeDocument/2006/relationships/hyperlink" Target="https://agencies.semrush.com/list/display-advertising/germany/" TargetMode="External"/><Relationship Id="rId190" Type="http://schemas.openxmlformats.org/officeDocument/2006/relationships/hyperlink" Target="https://www.clickdo.co.uk/german-business-uk-digital-marketing/" TargetMode="External"/><Relationship Id="rId194" Type="http://schemas.openxmlformats.org/officeDocument/2006/relationships/hyperlink" Target="https://www.creative-city-berlin.de/de/network/member/ddb_tribal_group_gmbh_2/" TargetMode="External"/><Relationship Id="rId193" Type="http://schemas.openxmlformats.org/officeDocument/2006/relationships/hyperlink" Target="http://createscale.com" TargetMode="External"/><Relationship Id="rId192" Type="http://schemas.openxmlformats.org/officeDocument/2006/relationships/hyperlink" Target="https://createscale.com/production" TargetMode="External"/><Relationship Id="rId191" Type="http://schemas.openxmlformats.org/officeDocument/2006/relationships/hyperlink" Target="http://clickdo.co.uk" TargetMode="External"/><Relationship Id="rId187" Type="http://schemas.openxmlformats.org/officeDocument/2006/relationships/hyperlink" Target="http://bvdw.org" TargetMode="External"/><Relationship Id="rId186" Type="http://schemas.openxmlformats.org/officeDocument/2006/relationships/hyperlink" Target="https://www.bvdw.org/wp-content/uploads/2025/03/BVDW_Studie_Kreativranking_Auswertung_2024-1.pdf?highlight=12+agenturen" TargetMode="External"/><Relationship Id="rId185" Type="http://schemas.openxmlformats.org/officeDocument/2006/relationships/hyperlink" Target="http://google.com" TargetMode="External"/><Relationship Id="rId184" Type="http://schemas.openxmlformats.org/officeDocument/2006/relationships/hyperlink" Target="https://business.google.com/de/think/measurement/ai-driven-data-management/" TargetMode="External"/><Relationship Id="rId189" Type="http://schemas.openxmlformats.org/officeDocument/2006/relationships/hyperlink" Target="http://bvdw.org" TargetMode="External"/><Relationship Id="rId188" Type="http://schemas.openxmlformats.org/officeDocument/2006/relationships/hyperlink" Target="https://www.bvdw.org/wp-content/uploads/2026/03/BVDW-Kreativranking-2025.pdf" TargetMode="External"/><Relationship Id="rId183" Type="http://schemas.openxmlformats.org/officeDocument/2006/relationships/hyperlink" Target="http://brainlab.com" TargetMode="External"/><Relationship Id="rId182" Type="http://schemas.openxmlformats.org/officeDocument/2006/relationships/hyperlink" Target="https://www.brainlab.com/de/jobs-karriere/locations/" TargetMode="External"/><Relationship Id="rId181" Type="http://schemas.openxmlformats.org/officeDocument/2006/relationships/hyperlink" Target="http://blackravenmedia.com" TargetMode="External"/><Relationship Id="rId180" Type="http://schemas.openxmlformats.org/officeDocument/2006/relationships/hyperlink" Target="https://www.blackravenmedia.com/1st-party-data/" TargetMode="External"/><Relationship Id="rId176" Type="http://schemas.openxmlformats.org/officeDocument/2006/relationships/hyperlink" Target="https://www.bestadsontv.com/rankings.php?category=All&amp;country=Germany&amp;period=2025&amp;role=agency" TargetMode="External"/><Relationship Id="rId175" Type="http://schemas.openxmlformats.org/officeDocument/2006/relationships/hyperlink" Target="http://best-brands-global.com" TargetMode="External"/><Relationship Id="rId174" Type="http://schemas.openxmlformats.org/officeDocument/2006/relationships/hyperlink" Target="https://www.best-brands-global.com/content/dam/best-brands-global/de/image-library/2026/BEST_BRANDS_2026_Booklet_Studie_EN.pdf.coredownload.pdf" TargetMode="External"/><Relationship Id="rId173" Type="http://schemas.openxmlformats.org/officeDocument/2006/relationships/hyperlink" Target="http://airankvision.com" TargetMode="External"/><Relationship Id="rId179" Type="http://schemas.openxmlformats.org/officeDocument/2006/relationships/hyperlink" Target="http://bestaiagencyforcompanies.com" TargetMode="External"/><Relationship Id="rId178" Type="http://schemas.openxmlformats.org/officeDocument/2006/relationships/hyperlink" Target="https://www.bestaiagencyforcompanies.com/rankings" TargetMode="External"/><Relationship Id="rId177" Type="http://schemas.openxmlformats.org/officeDocument/2006/relationships/hyperlink" Target="http://bestadsontv.com" TargetMode="External"/><Relationship Id="rId198" Type="http://schemas.openxmlformats.org/officeDocument/2006/relationships/hyperlink" Target="http://cybay.de" TargetMode="External"/><Relationship Id="rId197" Type="http://schemas.openxmlformats.org/officeDocument/2006/relationships/hyperlink" Target="https://cybay.de/ki-transformation" TargetMode="External"/><Relationship Id="rId196" Type="http://schemas.openxmlformats.org/officeDocument/2006/relationships/hyperlink" Target="https://csw.agency/en/advertising-agency-duesseldorf/" TargetMode="External"/><Relationship Id="rId195" Type="http://schemas.openxmlformats.org/officeDocument/2006/relationships/hyperlink" Target="http://creative-city-berlin.de" TargetMode="External"/><Relationship Id="rId199" Type="http://schemas.openxmlformats.org/officeDocument/2006/relationships/hyperlink" Target="https://davidms.co.uk/ai-seo-agency-westminster" TargetMode="External"/><Relationship Id="rId150" Type="http://schemas.openxmlformats.org/officeDocument/2006/relationships/hyperlink" Target="https://aeo-copilot.com/partners/agencies/germany/hamburg" TargetMode="External"/><Relationship Id="rId149" Type="http://schemas.openxmlformats.org/officeDocument/2006/relationships/hyperlink" Target="http://google.com" TargetMode="External"/><Relationship Id="rId148" Type="http://schemas.openxmlformats.org/officeDocument/2006/relationships/hyperlink" Target="https://ads.google.com/intl/us-EN/home/partners/work-with-a-partner/" TargetMode="External"/><Relationship Id="rId143" Type="http://schemas.openxmlformats.org/officeDocument/2006/relationships/hyperlink" Target="http://themanifest.com" TargetMode="External"/><Relationship Id="rId142" Type="http://schemas.openxmlformats.org/officeDocument/2006/relationships/hyperlink" Target="https://themanifest.com/de/big-data/companies" TargetMode="External"/><Relationship Id="rId141" Type="http://schemas.openxmlformats.org/officeDocument/2006/relationships/hyperlink" Target="http://suchmeisterei.de" TargetMode="External"/><Relationship Id="rId140" Type="http://schemas.openxmlformats.org/officeDocument/2006/relationships/hyperlink" Target="https://www.suchmeisterei.de/daten-ki-agentur-berlin/ai-readiness/" TargetMode="External"/><Relationship Id="rId147" Type="http://schemas.openxmlformats.org/officeDocument/2006/relationships/hyperlink" Target="http://adpoint.de" TargetMode="External"/><Relationship Id="rId146" Type="http://schemas.openxmlformats.org/officeDocument/2006/relationships/hyperlink" Target="https://adpoint.de/google-ads-agentur/" TargetMode="External"/><Relationship Id="rId145" Type="http://schemas.openxmlformats.org/officeDocument/2006/relationships/hyperlink" Target="http://themanifest.com" TargetMode="External"/><Relationship Id="rId144" Type="http://schemas.openxmlformats.org/officeDocument/2006/relationships/hyperlink" Target="https://themanifest.com/de/media-buying/agencies" TargetMode="External"/><Relationship Id="rId139" Type="http://schemas.openxmlformats.org/officeDocument/2006/relationships/hyperlink" Target="http://pwc.de" TargetMode="External"/><Relationship Id="rId138" Type="http://schemas.openxmlformats.org/officeDocument/2006/relationships/hyperlink" Target="https://www.pwc.de/en/data-and-ai.html" TargetMode="External"/><Relationship Id="rId137" Type="http://schemas.openxmlformats.org/officeDocument/2006/relationships/hyperlink" Target="https://oneday.agency/advertise-in-germany" TargetMode="External"/><Relationship Id="rId132" Type="http://schemas.openxmlformats.org/officeDocument/2006/relationships/hyperlink" Target="http://google.com" TargetMode="External"/><Relationship Id="rId131" Type="http://schemas.openxmlformats.org/officeDocument/2006/relationships/hyperlink" Target="https://marketingplatform.google.com/about/partners/find-a-partner" TargetMode="External"/><Relationship Id="rId130" Type="http://schemas.openxmlformats.org/officeDocument/2006/relationships/hyperlink" Target="http://ibusiness.de" TargetMode="External"/><Relationship Id="rId136" Type="http://schemas.openxmlformats.org/officeDocument/2006/relationships/hyperlink" Target="http://omnicommedia.com" TargetMode="External"/><Relationship Id="rId135" Type="http://schemas.openxmlformats.org/officeDocument/2006/relationships/hyperlink" Target="https://omnicommedia.com/germany/agency/trkkn/" TargetMode="External"/><Relationship Id="rId134" Type="http://schemas.openxmlformats.org/officeDocument/2006/relationships/hyperlink" Target="http://mystrika.com" TargetMode="External"/><Relationship Id="rId133" Type="http://schemas.openxmlformats.org/officeDocument/2006/relationships/hyperlink" Target="https://mystrika.com/directory/agencies/best/paid-advertising-ppc-in-country-germany" TargetMode="External"/><Relationship Id="rId172" Type="http://schemas.openxmlformats.org/officeDocument/2006/relationships/hyperlink" Target="https://airankvision.com/consulting/germany" TargetMode="External"/><Relationship Id="rId171" Type="http://schemas.openxmlformats.org/officeDocument/2006/relationships/hyperlink" Target="http://daviesmeyer.com" TargetMode="External"/><Relationship Id="rId170" Type="http://schemas.openxmlformats.org/officeDocument/2006/relationships/hyperlink" Target="https://ai-solutions.daviesmeyer.com/en/blog/marketing-measurement-2026-guide" TargetMode="External"/><Relationship Id="rId165" Type="http://schemas.openxmlformats.org/officeDocument/2006/relationships/hyperlink" Target="http://semrush.com" TargetMode="External"/><Relationship Id="rId164" Type="http://schemas.openxmlformats.org/officeDocument/2006/relationships/hyperlink" Target="https://agencies.semrush.com/list/programmatic-advertising/germany/mid-business/" TargetMode="External"/><Relationship Id="rId163" Type="http://schemas.openxmlformats.org/officeDocument/2006/relationships/hyperlink" Target="http://semrush.com" TargetMode="External"/><Relationship Id="rId162" Type="http://schemas.openxmlformats.org/officeDocument/2006/relationships/hyperlink" Target="https://agencies.semrush.com/list/machine-learning-and-ai/germany/small-business/" TargetMode="External"/><Relationship Id="rId169" Type="http://schemas.openxmlformats.org/officeDocument/2006/relationships/hyperlink" Target="http://daviesmeyer.com" TargetMode="External"/><Relationship Id="rId168" Type="http://schemas.openxmlformats.org/officeDocument/2006/relationships/hyperlink" Target="https://ai-solutions.daviesmeyer.com/de/blog/marketing-measurement-2026-guide" TargetMode="External"/><Relationship Id="rId167" Type="http://schemas.openxmlformats.org/officeDocument/2006/relationships/hyperlink" Target="http://agencyvista.com" TargetMode="External"/><Relationship Id="rId166" Type="http://schemas.openxmlformats.org/officeDocument/2006/relationships/hyperlink" Target="https://agencyvista.com/agency/eprofessional-gmbh/marketing-agency-hamburg-de" TargetMode="External"/><Relationship Id="rId161" Type="http://schemas.openxmlformats.org/officeDocument/2006/relationships/hyperlink" Target="http://semrush.com" TargetMode="External"/><Relationship Id="rId160" Type="http://schemas.openxmlformats.org/officeDocument/2006/relationships/hyperlink" Target="https://agencies.semrush.com/list/machine-learning-and-ai/germany/enterprise-business/" TargetMode="External"/><Relationship Id="rId159" Type="http://schemas.openxmlformats.org/officeDocument/2006/relationships/hyperlink" Target="http://semrush.com" TargetMode="External"/><Relationship Id="rId154" Type="http://schemas.openxmlformats.org/officeDocument/2006/relationships/hyperlink" Target="https://agencies.semrush.com/list/analytics-data-science/business-professional-services/germany/enterprise-business/" TargetMode="External"/><Relationship Id="rId153" Type="http://schemas.openxmlformats.org/officeDocument/2006/relationships/hyperlink" Target="http://semrush.com" TargetMode="External"/><Relationship Id="rId152" Type="http://schemas.openxmlformats.org/officeDocument/2006/relationships/hyperlink" Target="https://agencies.semrush.com/list/ai-optimization/wuppertal/" TargetMode="External"/><Relationship Id="rId151" Type="http://schemas.openxmlformats.org/officeDocument/2006/relationships/hyperlink" Target="http://aeo-copilot.com" TargetMode="External"/><Relationship Id="rId158" Type="http://schemas.openxmlformats.org/officeDocument/2006/relationships/hyperlink" Target="https://agencies.semrush.com/list/display-advertising/north-rhine-westphalia/" TargetMode="External"/><Relationship Id="rId157" Type="http://schemas.openxmlformats.org/officeDocument/2006/relationships/hyperlink" Target="http://semrush.com" TargetMode="External"/><Relationship Id="rId156" Type="http://schemas.openxmlformats.org/officeDocument/2006/relationships/hyperlink" Target="https://agencies.semrush.com/list/analytics-data-science/ecommerce/germany/" TargetMode="External"/><Relationship Id="rId155" Type="http://schemas.openxmlformats.org/officeDocument/2006/relationships/hyperlink" Target="http://semrush.com" TargetMode="External"/><Relationship Id="rId107" Type="http://schemas.openxmlformats.org/officeDocument/2006/relationships/hyperlink" Target="http://semrush.com" TargetMode="External"/><Relationship Id="rId106" Type="http://schemas.openxmlformats.org/officeDocument/2006/relationships/hyperlink" Target="https://agencies.semrush.com/list/data-visualization/germany/" TargetMode="External"/><Relationship Id="rId105" Type="http://schemas.openxmlformats.org/officeDocument/2006/relationships/hyperlink" Target="http://semrush.com" TargetMode="External"/><Relationship Id="rId104" Type="http://schemas.openxmlformats.org/officeDocument/2006/relationships/hyperlink" Target="https://agencies.semrush.com/list/analytics-data-science/germany/mid-business/" TargetMode="External"/><Relationship Id="rId109" Type="http://schemas.openxmlformats.org/officeDocument/2006/relationships/hyperlink" Target="http://semrush.com" TargetMode="External"/><Relationship Id="rId108" Type="http://schemas.openxmlformats.org/officeDocument/2006/relationships/hyperlink" Target="https://agencies.semrush.com/list/display-advertising/dusseldorf/" TargetMode="External"/><Relationship Id="rId103" Type="http://schemas.openxmlformats.org/officeDocument/2006/relationships/hyperlink" Target="http://10seos.com" TargetMode="External"/><Relationship Id="rId102" Type="http://schemas.openxmlformats.org/officeDocument/2006/relationships/hyperlink" Target="https://www.10seos.com/de/display-advertising-companies-in-germany?page=3" TargetMode="External"/><Relationship Id="rId101" Type="http://schemas.openxmlformats.org/officeDocument/2006/relationships/hyperlink" Target="http://online-werbung-deutschland.de" TargetMode="External"/><Relationship Id="rId100" Type="http://schemas.openxmlformats.org/officeDocument/2006/relationships/hyperlink" Target="https://www.online-werbung-deutschland.de/bezahlte-media" TargetMode="External"/><Relationship Id="rId129" Type="http://schemas.openxmlformats.org/officeDocument/2006/relationships/hyperlink" Target="https://www.ibusiness.de/performance-ranking/performance_2025.html?sub=1" TargetMode="External"/><Relationship Id="rId128" Type="http://schemas.openxmlformats.org/officeDocument/2006/relationships/hyperlink" Target="http://ft.com" TargetMode="External"/><Relationship Id="rId127" Type="http://schemas.openxmlformats.org/officeDocument/2006/relationships/hyperlink" Target="https://www.ft.com/content/ac672f97-a603-4c56-afa3-4a5273d45674" TargetMode="External"/><Relationship Id="rId126" Type="http://schemas.openxmlformats.org/officeDocument/2006/relationships/hyperlink" Target="http://f6s.com" TargetMode="External"/><Relationship Id="rId121" Type="http://schemas.openxmlformats.org/officeDocument/2006/relationships/hyperlink" Target="https://ecosystem.hubspot.com/marketplace/solutions/paid-advertising/germany" TargetMode="External"/><Relationship Id="rId120" Type="http://schemas.openxmlformats.org/officeDocument/2006/relationships/hyperlink" Target="http://dall-int.com" TargetMode="External"/><Relationship Id="rId125" Type="http://schemas.openxmlformats.org/officeDocument/2006/relationships/hyperlink" Target="https://www.f6s.com/companies/market-research/germany/co" TargetMode="External"/><Relationship Id="rId124" Type="http://schemas.openxmlformats.org/officeDocument/2006/relationships/hyperlink" Target="http://f6s.com" TargetMode="External"/><Relationship Id="rId123" Type="http://schemas.openxmlformats.org/officeDocument/2006/relationships/hyperlink" Target="https://www.f6s.com/companies/advertising/germany/co" TargetMode="External"/><Relationship Id="rId122" Type="http://schemas.openxmlformats.org/officeDocument/2006/relationships/hyperlink" Target="http://hubspot.com" TargetMode="External"/><Relationship Id="rId118" Type="http://schemas.openxmlformats.org/officeDocument/2006/relationships/hyperlink" Target="http://withgoogle.com" TargetMode="External"/><Relationship Id="rId117" Type="http://schemas.openxmlformats.org/officeDocument/2006/relationships/hyperlink" Target="https://www.comparisonshoppingpartners.withgoogle.com/find_a_partner/" TargetMode="External"/><Relationship Id="rId116" Type="http://schemas.openxmlformats.org/officeDocument/2006/relationships/hyperlink" Target="https://www.cassandra.app/prices" TargetMode="External"/><Relationship Id="rId115" Type="http://schemas.openxmlformats.org/officeDocument/2006/relationships/hyperlink" Target="http://artefact.com" TargetMode="External"/><Relationship Id="rId119" Type="http://schemas.openxmlformats.org/officeDocument/2006/relationships/hyperlink" Target="https://www.dall-int.com/family/peak-ace-ag/" TargetMode="External"/><Relationship Id="rId110" Type="http://schemas.openxmlformats.org/officeDocument/2006/relationships/hyperlink" Target="https://agencies.semrush.com/list/marketing-strategy/germany/" TargetMode="External"/><Relationship Id="rId114" Type="http://schemas.openxmlformats.org/officeDocument/2006/relationships/hyperlink" Target="https://www.artefact.com/offers/cx-consumer-experience-digital/media-certifications/" TargetMode="External"/><Relationship Id="rId113" Type="http://schemas.openxmlformats.org/officeDocument/2006/relationships/hyperlink" Target="http://aio.com.ai" TargetMode="External"/><Relationship Id="rId112" Type="http://schemas.openxmlformats.org/officeDocument/2006/relationships/hyperlink" Target="https://aio.com.ai/blog/13944-best-seo-companies-in-germany-ai-optimized" TargetMode="External"/><Relationship Id="rId111" Type="http://schemas.openxmlformats.org/officeDocument/2006/relationships/hyperlink" Target="http://semrush.com" TargetMode="External"/></Relationships>
</file>

<file path=xl/worksheets/_rels/sheet29.xml.rels><?xml version="1.0" encoding="UTF-8" standalone="yes"?><Relationships xmlns="http://schemas.openxmlformats.org/package/2006/relationships"><Relationship Id="rId392" Type="http://schemas.openxmlformats.org/officeDocument/2006/relationships/hyperlink" Target="http://thecxlead.com" TargetMode="External"/><Relationship Id="rId391" Type="http://schemas.openxmlformats.org/officeDocument/2006/relationships/hyperlink" Target="https://thecxlead.com/services/best-customer-data-platform-consulting/" TargetMode="External"/><Relationship Id="rId390" Type="http://schemas.openxmlformats.org/officeDocument/2006/relationships/hyperlink" Target="http://technologyarch.com" TargetMode="External"/><Relationship Id="rId385" Type="http://schemas.openxmlformats.org/officeDocument/2006/relationships/hyperlink" Target="https://www.takevalue.de/branchen/software-it/" TargetMode="External"/><Relationship Id="rId384" Type="http://schemas.openxmlformats.org/officeDocument/2006/relationships/hyperlink" Target="http://swcpartnership.com" TargetMode="External"/><Relationship Id="rId383" Type="http://schemas.openxmlformats.org/officeDocument/2006/relationships/hyperlink" Target="https://swcpartnership.com/solutions" TargetMode="External"/><Relationship Id="rId382" Type="http://schemas.openxmlformats.org/officeDocument/2006/relationships/hyperlink" Target="http://suxeedo.de" TargetMode="External"/><Relationship Id="rId389" Type="http://schemas.openxmlformats.org/officeDocument/2006/relationships/hyperlink" Target="https://technologyarch.com/it-consulting/ai-adoption/" TargetMode="External"/><Relationship Id="rId388" Type="http://schemas.openxmlformats.org/officeDocument/2006/relationships/hyperlink" Target="http://techaheadcorp.com" TargetMode="External"/><Relationship Id="rId387" Type="http://schemas.openxmlformats.org/officeDocument/2006/relationships/hyperlink" Target="https://www.techaheadcorp.com/services/ai-development/" TargetMode="External"/><Relationship Id="rId386" Type="http://schemas.openxmlformats.org/officeDocument/2006/relationships/hyperlink" Target="http://takevalue.de" TargetMode="External"/><Relationship Id="rId381" Type="http://schemas.openxmlformats.org/officeDocument/2006/relationships/hyperlink" Target="https://suxeedo.de/en/services/b2b-marketing/" TargetMode="External"/><Relationship Id="rId380" Type="http://schemas.openxmlformats.org/officeDocument/2006/relationships/hyperlink" Target="http://suchhelden.de" TargetMode="External"/><Relationship Id="rId379" Type="http://schemas.openxmlformats.org/officeDocument/2006/relationships/hyperlink" Target="https://www.suchhelden.de/google-ads-agentur.php" TargetMode="External"/><Relationship Id="rId374" Type="http://schemas.openxmlformats.org/officeDocument/2006/relationships/hyperlink" Target="https://www.striped-giraffe.com/en/expertise/data-management/ai-readiness/" TargetMode="External"/><Relationship Id="rId373" Type="http://schemas.openxmlformats.org/officeDocument/2006/relationships/hyperlink" Target="http://steinbeis-ifem.de" TargetMode="External"/><Relationship Id="rId372" Type="http://schemas.openxmlformats.org/officeDocument/2006/relationships/hyperlink" Target="https://steinbeis-ifem.de/certified-expert-eu-ai-act/" TargetMode="External"/><Relationship Id="rId371" Type="http://schemas.openxmlformats.org/officeDocument/2006/relationships/hyperlink" Target="http://spie.ch" TargetMode="External"/><Relationship Id="rId378" Type="http://schemas.openxmlformats.org/officeDocument/2006/relationships/hyperlink" Target="https://submerge.digital/measurement/marketing-attribution-agency/" TargetMode="External"/><Relationship Id="rId377" Type="http://schemas.openxmlformats.org/officeDocument/2006/relationships/hyperlink" Target="http://studiohawk.com.au" TargetMode="External"/><Relationship Id="rId376" Type="http://schemas.openxmlformats.org/officeDocument/2006/relationships/hyperlink" Target="https://studiohawk.com.au/seo-services/ai-seo/" TargetMode="External"/><Relationship Id="rId375" Type="http://schemas.openxmlformats.org/officeDocument/2006/relationships/hyperlink" Target="http://striped-giraffe.com" TargetMode="External"/><Relationship Id="rId396" Type="http://schemas.openxmlformats.org/officeDocument/2006/relationships/hyperlink" Target="http://thoughtworks.com" TargetMode="External"/><Relationship Id="rId395" Type="http://schemas.openxmlformats.org/officeDocument/2006/relationships/hyperlink" Target="https://www.thoughtworks.com/en-de/what-we-do/ai/ai-readiness" TargetMode="External"/><Relationship Id="rId394" Type="http://schemas.openxmlformats.org/officeDocument/2006/relationships/hyperlink" Target="http://thenavsoft.com" TargetMode="External"/><Relationship Id="rId393" Type="http://schemas.openxmlformats.org/officeDocument/2006/relationships/hyperlink" Target="https://www.thenavsoft.com/ai-development-services-company/ai-seo/" TargetMode="External"/><Relationship Id="rId399" Type="http://schemas.openxmlformats.org/officeDocument/2006/relationships/hyperlink" Target="https://www.timospecht.de/en/seo-starnberg/" TargetMode="External"/><Relationship Id="rId398" Type="http://schemas.openxmlformats.org/officeDocument/2006/relationships/hyperlink" Target="http://timospecht.de" TargetMode="External"/><Relationship Id="rId397" Type="http://schemas.openxmlformats.org/officeDocument/2006/relationships/hyperlink" Target="https://www.timospecht.de/en/geo-agentur/" TargetMode="External"/><Relationship Id="rId40" Type="http://schemas.openxmlformats.org/officeDocument/2006/relationships/hyperlink" Target="http://hyam.de" TargetMode="External"/><Relationship Id="rId42" Type="http://schemas.openxmlformats.org/officeDocument/2006/relationships/hyperlink" Target="http://liftlab.com" TargetMode="External"/><Relationship Id="rId41" Type="http://schemas.openxmlformats.org/officeDocument/2006/relationships/hyperlink" Target="https://liftlab.com/platform/incrementality-testing-engine/" TargetMode="External"/><Relationship Id="rId44" Type="http://schemas.openxmlformats.org/officeDocument/2006/relationships/hyperlink" Target="https://www.gaasly.com/countries/digital-marketing-agency-in-germany/google-ads-agency-germany" TargetMode="External"/><Relationship Id="rId43" Type="http://schemas.openxmlformats.org/officeDocument/2006/relationships/hyperlink" Target="https://admiral.media/app-marketing-agency-munich/" TargetMode="External"/><Relationship Id="rId46" Type="http://schemas.openxmlformats.org/officeDocument/2006/relationships/hyperlink" Target="https://www.risexventuress.com/ai-marketing-agency-location/germany" TargetMode="External"/><Relationship Id="rId45" Type="http://schemas.openxmlformats.org/officeDocument/2006/relationships/hyperlink" Target="http://gaasly.com" TargetMode="External"/><Relationship Id="rId48" Type="http://schemas.openxmlformats.org/officeDocument/2006/relationships/hyperlink" Target="https://www.artefact.com/offers/marketing-data-driven/marketing-analytics/" TargetMode="External"/><Relationship Id="rId47" Type="http://schemas.openxmlformats.org/officeDocument/2006/relationships/hyperlink" Target="http://risexventuress.com" TargetMode="External"/><Relationship Id="rId49" Type="http://schemas.openxmlformats.org/officeDocument/2006/relationships/hyperlink" Target="http://artefact.com" TargetMode="External"/><Relationship Id="rId31" Type="http://schemas.openxmlformats.org/officeDocument/2006/relationships/hyperlink" Target="http://house-of-communication.com" TargetMode="External"/><Relationship Id="rId30" Type="http://schemas.openxmlformats.org/officeDocument/2006/relationships/hyperlink" Target="https://www.house-of-communication.com/de/de/brands/serviceplan.html" TargetMode="External"/><Relationship Id="rId33" Type="http://schemas.openxmlformats.org/officeDocument/2006/relationships/hyperlink" Target="http://nuundigital.com" TargetMode="External"/><Relationship Id="rId32" Type="http://schemas.openxmlformats.org/officeDocument/2006/relationships/hyperlink" Target="https://www.nuundigital.com/services/data-analytics/marketing-analytics-attribution" TargetMode="External"/><Relationship Id="rId35" Type="http://schemas.openxmlformats.org/officeDocument/2006/relationships/hyperlink" Target="http://online-digitalx.de" TargetMode="External"/><Relationship Id="rId34" Type="http://schemas.openxmlformats.org/officeDocument/2006/relationships/hyperlink" Target="https://www.online-digitalx.de/en/display-advertising/" TargetMode="External"/><Relationship Id="rId37" Type="http://schemas.openxmlformats.org/officeDocument/2006/relationships/hyperlink" Target="https://getrecast.com/experimentation/" TargetMode="External"/><Relationship Id="rId36" Type="http://schemas.openxmlformats.org/officeDocument/2006/relationships/hyperlink" Target="https://bynd.consulting/en/capabilities-en/success-measurement-en/" TargetMode="External"/><Relationship Id="rId39" Type="http://schemas.openxmlformats.org/officeDocument/2006/relationships/hyperlink" Target="https://www.hyam.de/en/social-media-agency" TargetMode="External"/><Relationship Id="rId38" Type="http://schemas.openxmlformats.org/officeDocument/2006/relationships/hyperlink" Target="http://getrecast.com" TargetMode="External"/><Relationship Id="rId20" Type="http://schemas.openxmlformats.org/officeDocument/2006/relationships/hyperlink" Target="https://keyperformance.de/en/google-ads-agency" TargetMode="External"/><Relationship Id="rId22" Type="http://schemas.openxmlformats.org/officeDocument/2006/relationships/hyperlink" Target="https://barefoot-performance.com/markets/performance-marketing-agency-germany" TargetMode="External"/><Relationship Id="rId21" Type="http://schemas.openxmlformats.org/officeDocument/2006/relationships/hyperlink" Target="http://keyperformance.de" TargetMode="External"/><Relationship Id="rId24" Type="http://schemas.openxmlformats.org/officeDocument/2006/relationships/hyperlink" Target="https://mediacharge.com/digital-marketing-agency-germany" TargetMode="External"/><Relationship Id="rId23" Type="http://schemas.openxmlformats.org/officeDocument/2006/relationships/hyperlink" Target="http://barefoot-performance.com" TargetMode="External"/><Relationship Id="rId26" Type="http://schemas.openxmlformats.org/officeDocument/2006/relationships/hyperlink" Target="https://www.dreikon.de/en/services/seo-agency/geo/" TargetMode="External"/><Relationship Id="rId25" Type="http://schemas.openxmlformats.org/officeDocument/2006/relationships/hyperlink" Target="http://mediacharge.com" TargetMode="External"/><Relationship Id="rId28" Type="http://schemas.openxmlformats.org/officeDocument/2006/relationships/hyperlink" Target="https://www.haus.io/use-cases/incrementality" TargetMode="External"/><Relationship Id="rId27" Type="http://schemas.openxmlformats.org/officeDocument/2006/relationships/hyperlink" Target="http://dreikon.de" TargetMode="External"/><Relationship Id="rId29" Type="http://schemas.openxmlformats.org/officeDocument/2006/relationships/hyperlink" Target="http://haus.io" TargetMode="External"/><Relationship Id="rId11" Type="http://schemas.openxmlformats.org/officeDocument/2006/relationships/hyperlink" Target="http://more-fire.com" TargetMode="External"/><Relationship Id="rId10" Type="http://schemas.openxmlformats.org/officeDocument/2006/relationships/hyperlink" Target="https://www.more-fire.com/en/implementation/display-advertising/" TargetMode="External"/><Relationship Id="rId13" Type="http://schemas.openxmlformats.org/officeDocument/2006/relationships/hyperlink" Target="http://performanceliebe.de" TargetMode="External"/><Relationship Id="rId12" Type="http://schemas.openxmlformats.org/officeDocument/2006/relationships/hyperlink" Target="https://www.performanceliebe.de/geo-agency-germany/" TargetMode="External"/><Relationship Id="rId15" Type="http://schemas.openxmlformats.org/officeDocument/2006/relationships/hyperlink" Target="http://haus.io" TargetMode="External"/><Relationship Id="rId14" Type="http://schemas.openxmlformats.org/officeDocument/2006/relationships/hyperlink" Target="https://www.haus.io/experiments" TargetMode="External"/><Relationship Id="rId17" Type="http://schemas.openxmlformats.org/officeDocument/2006/relationships/hyperlink" Target="http://statworx.com" TargetMode="External"/><Relationship Id="rId16" Type="http://schemas.openxmlformats.org/officeDocument/2006/relationships/hyperlink" Target="https://www.statworx.com/en/data-science-and-ai-consulting" TargetMode="External"/><Relationship Id="rId19" Type="http://schemas.openxmlformats.org/officeDocument/2006/relationships/hyperlink" Target="http://s360digital.com" TargetMode="External"/><Relationship Id="rId18" Type="http://schemas.openxmlformats.org/officeDocument/2006/relationships/hyperlink" Target="https://s360digital.com/capabilities/data/incrementality-testing/" TargetMode="External"/><Relationship Id="rId84" Type="http://schemas.openxmlformats.org/officeDocument/2006/relationships/hyperlink" Target="https://e-dialog.group/en/google-sales-partner/campaign-manager-360/" TargetMode="External"/><Relationship Id="rId83" Type="http://schemas.openxmlformats.org/officeDocument/2006/relationships/hyperlink" Target="http://dripagency.de" TargetMode="External"/><Relationship Id="rId86" Type="http://schemas.openxmlformats.org/officeDocument/2006/relationships/hyperlink" Target="http://hopmann.com" TargetMode="External"/><Relationship Id="rId85" Type="http://schemas.openxmlformats.org/officeDocument/2006/relationships/hyperlink" Target="https://www.hopmann.com/de/marketing-analytics/marketing-science/mmm/" TargetMode="External"/><Relationship Id="rId88" Type="http://schemas.openxmlformats.org/officeDocument/2006/relationships/hyperlink" Target="http://kiwop.com" TargetMode="External"/><Relationship Id="rId87" Type="http://schemas.openxmlformats.org/officeDocument/2006/relationships/hyperlink" Target="https://www.kiwop.com/de/marketing-attribution" TargetMode="External"/><Relationship Id="rId89" Type="http://schemas.openxmlformats.org/officeDocument/2006/relationships/hyperlink" Target="https://leapbuzz.com/services/performance-marketing/" TargetMode="External"/><Relationship Id="rId80" Type="http://schemas.openxmlformats.org/officeDocument/2006/relationships/hyperlink" Target="https://www.beyond-media.de/agentur/google-premier-partner/" TargetMode="External"/><Relationship Id="rId82" Type="http://schemas.openxmlformats.org/officeDocument/2006/relationships/hyperlink" Target="https://dripagency.de/markets/germany" TargetMode="External"/><Relationship Id="rId81" Type="http://schemas.openxmlformats.org/officeDocument/2006/relationships/hyperlink" Target="http://beyond-media.de" TargetMode="External"/><Relationship Id="rId73" Type="http://schemas.openxmlformats.org/officeDocument/2006/relationships/hyperlink" Target="http://fusepointinsights.com" TargetMode="External"/><Relationship Id="rId72" Type="http://schemas.openxmlformats.org/officeDocument/2006/relationships/hyperlink" Target="https://fusepointinsights.com/service/incrementality-experiments/" TargetMode="External"/><Relationship Id="rId75" Type="http://schemas.openxmlformats.org/officeDocument/2006/relationships/hyperlink" Target="http://hopmann.com" TargetMode="External"/><Relationship Id="rId74" Type="http://schemas.openxmlformats.org/officeDocument/2006/relationships/hyperlink" Target="https://www.hopmann.com/en/marketing-analytics/marketing-science/mmm/" TargetMode="External"/><Relationship Id="rId77" Type="http://schemas.openxmlformats.org/officeDocument/2006/relationships/hyperlink" Target="http://monks.com" TargetMode="External"/><Relationship Id="rId76" Type="http://schemas.openxmlformats.org/officeDocument/2006/relationships/hyperlink" Target="https://www.monks.com/google-partnership" TargetMode="External"/><Relationship Id="rId79" Type="http://schemas.openxmlformats.org/officeDocument/2006/relationships/hyperlink" Target="http://aeoagencyservices.com" TargetMode="External"/><Relationship Id="rId78" Type="http://schemas.openxmlformats.org/officeDocument/2006/relationships/hyperlink" Target="https://aeoagencyservices.com/aeo-agency-europe" TargetMode="External"/><Relationship Id="rId71" Type="http://schemas.openxmlformats.org/officeDocument/2006/relationships/hyperlink" Target="http://decisionfoundry.com" TargetMode="External"/><Relationship Id="rId70" Type="http://schemas.openxmlformats.org/officeDocument/2006/relationships/hyperlink" Target="https://www.decisionfoundry.com/marketing-measurement-analytics-services/" TargetMode="External"/><Relationship Id="rId62" Type="http://schemas.openxmlformats.org/officeDocument/2006/relationships/hyperlink" Target="https://www.archibo.de/ai-transformation" TargetMode="External"/><Relationship Id="rId61" Type="http://schemas.openxmlformats.org/officeDocument/2006/relationships/hyperlink" Target="http://liftlab.com" TargetMode="External"/><Relationship Id="rId64" Type="http://schemas.openxmlformats.org/officeDocument/2006/relationships/hyperlink" Target="https://barefoot-performance.com/locations/berlin/performance-marketing" TargetMode="External"/><Relationship Id="rId63" Type="http://schemas.openxmlformats.org/officeDocument/2006/relationships/hyperlink" Target="http://archibo.de" TargetMode="External"/><Relationship Id="rId66" Type="http://schemas.openxmlformats.org/officeDocument/2006/relationships/hyperlink" Target="https://business.google.com/de/support/become-a-partner/" TargetMode="External"/><Relationship Id="rId65" Type="http://schemas.openxmlformats.org/officeDocument/2006/relationships/hyperlink" Target="http://barefoot-performance.com" TargetMode="External"/><Relationship Id="rId68" Type="http://schemas.openxmlformats.org/officeDocument/2006/relationships/hyperlink" Target="https://business.google.com/en-all/support/become-a-partner/" TargetMode="External"/><Relationship Id="rId67" Type="http://schemas.openxmlformats.org/officeDocument/2006/relationships/hyperlink" Target="http://google.com" TargetMode="External"/><Relationship Id="rId60" Type="http://schemas.openxmlformats.org/officeDocument/2006/relationships/hyperlink" Target="https://liftlab.com/solutions/incrementality-testing/" TargetMode="External"/><Relationship Id="rId69" Type="http://schemas.openxmlformats.org/officeDocument/2006/relationships/hyperlink" Target="http://google.com" TargetMode="External"/><Relationship Id="rId51" Type="http://schemas.openxmlformats.org/officeDocument/2006/relationships/hyperlink" Target="http://measured.com" TargetMode="External"/><Relationship Id="rId50" Type="http://schemas.openxmlformats.org/officeDocument/2006/relationships/hyperlink" Target="https://www.measured.com/incremental-lift-tests/" TargetMode="External"/><Relationship Id="rId53" Type="http://schemas.openxmlformats.org/officeDocument/2006/relationships/hyperlink" Target="http://more-fire.com" TargetMode="External"/><Relationship Id="rId52" Type="http://schemas.openxmlformats.org/officeDocument/2006/relationships/hyperlink" Target="https://www.more-fire.com/en/implementation/google-ads/" TargetMode="External"/><Relationship Id="rId55" Type="http://schemas.openxmlformats.org/officeDocument/2006/relationships/hyperlink" Target="http://neurank.de" TargetMode="External"/><Relationship Id="rId54" Type="http://schemas.openxmlformats.org/officeDocument/2006/relationships/hyperlink" Target="https://neurank.de/ki-seo-agentur/" TargetMode="External"/><Relationship Id="rId57" Type="http://schemas.openxmlformats.org/officeDocument/2006/relationships/hyperlink" Target="http://ziya.de" TargetMode="External"/><Relationship Id="rId56" Type="http://schemas.openxmlformats.org/officeDocument/2006/relationships/hyperlink" Target="https://www.ziya.de/en/ai-agency" TargetMode="External"/><Relationship Id="rId59" Type="http://schemas.openxmlformats.org/officeDocument/2006/relationships/hyperlink" Target="https://e-dialog.group/google-sales-partner/google-marketing-platform/" TargetMode="External"/><Relationship Id="rId58" Type="http://schemas.openxmlformats.org/officeDocument/2006/relationships/hyperlink" Target="https://e-dialog.group/en/strategies/performance-marketing-agency/" TargetMode="External"/><Relationship Id="rId349" Type="http://schemas.openxmlformats.org/officeDocument/2006/relationships/hyperlink" Target="https://searchperts.de/sea-agentur-ecommerce/" TargetMode="External"/><Relationship Id="rId348" Type="http://schemas.openxmlformats.org/officeDocument/2006/relationships/hyperlink" Target="http://scaled2c.com" TargetMode="External"/><Relationship Id="rId347" Type="http://schemas.openxmlformats.org/officeDocument/2006/relationships/hyperlink" Target="https://www.scaled2c.com/services/germany/geo-services-germany" TargetMode="External"/><Relationship Id="rId346" Type="http://schemas.openxmlformats.org/officeDocument/2006/relationships/hyperlink" Target="https://salestube.tech/technology/adtech-platforms" TargetMode="External"/><Relationship Id="rId341" Type="http://schemas.openxmlformats.org/officeDocument/2006/relationships/hyperlink" Target="https://www.repindia.com/ai-seo-agency/" TargetMode="External"/><Relationship Id="rId340" Type="http://schemas.openxmlformats.org/officeDocument/2006/relationships/hyperlink" Target="http://rankeffect.de" TargetMode="External"/><Relationship Id="rId345" Type="http://schemas.openxmlformats.org/officeDocument/2006/relationships/hyperlink" Target="https://riseup.agency/data-analytics/" TargetMode="External"/><Relationship Id="rId344" Type="http://schemas.openxmlformats.org/officeDocument/2006/relationships/hyperlink" Target="http://resultfirst.com" TargetMode="External"/><Relationship Id="rId343" Type="http://schemas.openxmlformats.org/officeDocument/2006/relationships/hyperlink" Target="https://www.resultfirst.com/services/ai-search-optimization/" TargetMode="External"/><Relationship Id="rId342" Type="http://schemas.openxmlformats.org/officeDocument/2006/relationships/hyperlink" Target="http://repindia.com" TargetMode="External"/><Relationship Id="rId338" Type="http://schemas.openxmlformats.org/officeDocument/2006/relationships/hyperlink" Target="https://raas.gmbh/leistungen/ai-readiness/" TargetMode="External"/><Relationship Id="rId337" Type="http://schemas.openxmlformats.org/officeDocument/2006/relationships/hyperlink" Target="http://pwc.de" TargetMode="External"/><Relationship Id="rId336" Type="http://schemas.openxmlformats.org/officeDocument/2006/relationships/hyperlink" Target="https://www.pwc.de/en/customer-transformation/marketing-advisory/customer-data-platforms-cdp-consulting-services.html" TargetMode="External"/><Relationship Id="rId335" Type="http://schemas.openxmlformats.org/officeDocument/2006/relationships/hyperlink" Target="http://dacgroup.com" TargetMode="External"/><Relationship Id="rId339" Type="http://schemas.openxmlformats.org/officeDocument/2006/relationships/hyperlink" Target="https://www.rankeffect.de/en/online-marketing-agency/analytics-agency" TargetMode="External"/><Relationship Id="rId330" Type="http://schemas.openxmlformats.org/officeDocument/2006/relationships/hyperlink" Target="https://www.pilot.de/leistungen/programmatic-advertising/" TargetMode="External"/><Relationship Id="rId334" Type="http://schemas.openxmlformats.org/officeDocument/2006/relationships/hyperlink" Target="https://proove.dacgroup.com/services/measurement-optimization/incrementality/" TargetMode="External"/><Relationship Id="rId333" Type="http://schemas.openxmlformats.org/officeDocument/2006/relationships/hyperlink" Target="http://pndigital.co.uk" TargetMode="External"/><Relationship Id="rId332" Type="http://schemas.openxmlformats.org/officeDocument/2006/relationships/hyperlink" Target="https://pndigital.co.uk/semrush-agency-partner/" TargetMode="External"/><Relationship Id="rId331" Type="http://schemas.openxmlformats.org/officeDocument/2006/relationships/hyperlink" Target="http://pilot.de" TargetMode="External"/><Relationship Id="rId370" Type="http://schemas.openxmlformats.org/officeDocument/2006/relationships/hyperlink" Target="https://www.spie.ch/de/data-ai/ai-readiness-consulting/" TargetMode="External"/><Relationship Id="rId369" Type="http://schemas.openxmlformats.org/officeDocument/2006/relationships/hyperlink" Target="http://spaceo.ai" TargetMode="External"/><Relationship Id="rId368" Type="http://schemas.openxmlformats.org/officeDocument/2006/relationships/hyperlink" Target="https://www.spaceo.ai/ai-agent/" TargetMode="External"/><Relationship Id="rId363" Type="http://schemas.openxmlformats.org/officeDocument/2006/relationships/hyperlink" Target="http://smartly.io" TargetMode="External"/><Relationship Id="rId362" Type="http://schemas.openxmlformats.org/officeDocument/2006/relationships/hyperlink" Target="https://www.smartly.io/smartly-incrmntal" TargetMode="External"/><Relationship Id="rId361" Type="http://schemas.openxmlformats.org/officeDocument/2006/relationships/hyperlink" Target="http://shifu-marketing.com" TargetMode="External"/><Relationship Id="rId360" Type="http://schemas.openxmlformats.org/officeDocument/2006/relationships/hyperlink" Target="https://shifu-marketing.com/ai-consulting-services/ai-strategy-consulting/" TargetMode="External"/><Relationship Id="rId367" Type="http://schemas.openxmlformats.org/officeDocument/2006/relationships/hyperlink" Target="http://soar.sh" TargetMode="External"/><Relationship Id="rId366" Type="http://schemas.openxmlformats.org/officeDocument/2006/relationships/hyperlink" Target="https://www.soar.sh/solutions/ai-seo-agency" TargetMode="External"/><Relationship Id="rId365" Type="http://schemas.openxmlformats.org/officeDocument/2006/relationships/hyperlink" Target="http://snk.de" TargetMode="External"/><Relationship Id="rId364" Type="http://schemas.openxmlformats.org/officeDocument/2006/relationships/hyperlink" Target="https://www.snk.de/en/snki/" TargetMode="External"/><Relationship Id="rId95" Type="http://schemas.openxmlformats.org/officeDocument/2006/relationships/hyperlink" Target="https://www.omnius.so/geo-agency" TargetMode="External"/><Relationship Id="rId94" Type="http://schemas.openxmlformats.org/officeDocument/2006/relationships/hyperlink" Target="http://mindmelt.de" TargetMode="External"/><Relationship Id="rId97" Type="http://schemas.openxmlformats.org/officeDocument/2006/relationships/hyperlink" Target="https://www.performanceliebe.de/aeo-agentur/" TargetMode="External"/><Relationship Id="rId96" Type="http://schemas.openxmlformats.org/officeDocument/2006/relationships/hyperlink" Target="http://omnius.so" TargetMode="External"/><Relationship Id="rId99" Type="http://schemas.openxmlformats.org/officeDocument/2006/relationships/hyperlink" Target="https://www.pwc.de/de/starke-allianzen/pwc-und-die-google-marketing-platform-mit-smarten-tools-zum-digitalen-erfolg.html" TargetMode="External"/><Relationship Id="rId98" Type="http://schemas.openxmlformats.org/officeDocument/2006/relationships/hyperlink" Target="http://performanceliebe.de" TargetMode="External"/><Relationship Id="rId91" Type="http://schemas.openxmlformats.org/officeDocument/2006/relationships/hyperlink" Target="https://www.maibornwolff.de/en/ai-readiness-check/" TargetMode="External"/><Relationship Id="rId90" Type="http://schemas.openxmlformats.org/officeDocument/2006/relationships/hyperlink" Target="http://leapbuzz.com" TargetMode="External"/><Relationship Id="rId93" Type="http://schemas.openxmlformats.org/officeDocument/2006/relationships/hyperlink" Target="https://www.mindmelt.de/en/ai-products/" TargetMode="External"/><Relationship Id="rId92" Type="http://schemas.openxmlformats.org/officeDocument/2006/relationships/hyperlink" Target="http://maibornwolff.de" TargetMode="External"/><Relationship Id="rId359" Type="http://schemas.openxmlformats.org/officeDocument/2006/relationships/hyperlink" Target="http://seodiscovery.com" TargetMode="External"/><Relationship Id="rId358" Type="http://schemas.openxmlformats.org/officeDocument/2006/relationships/hyperlink" Target="https://www.seodiscovery.com/ai-seo-agency.php" TargetMode="External"/><Relationship Id="rId357" Type="http://schemas.openxmlformats.org/officeDocument/2006/relationships/hyperlink" Target="http://seodeutschland.de" TargetMode="External"/><Relationship Id="rId352" Type="http://schemas.openxmlformats.org/officeDocument/2006/relationships/hyperlink" Target="http://sei.com" TargetMode="External"/><Relationship Id="rId351" Type="http://schemas.openxmlformats.org/officeDocument/2006/relationships/hyperlink" Target="https://www.sei.com/our-services/ai-readiness-assessments/" TargetMode="External"/><Relationship Id="rId350" Type="http://schemas.openxmlformats.org/officeDocument/2006/relationships/hyperlink" Target="http://searchperts.de" TargetMode="External"/><Relationship Id="rId356" Type="http://schemas.openxmlformats.org/officeDocument/2006/relationships/hyperlink" Target="https://seodeutschland.de/ki-seo-agentur/" TargetMode="External"/><Relationship Id="rId355" Type="http://schemas.openxmlformats.org/officeDocument/2006/relationships/hyperlink" Target="https://seo-marketing.koeln/en/seo/ai-seo/" TargetMode="External"/><Relationship Id="rId354" Type="http://schemas.openxmlformats.org/officeDocument/2006/relationships/hyperlink" Target="http://sellforte.com" TargetMode="External"/><Relationship Id="rId353" Type="http://schemas.openxmlformats.org/officeDocument/2006/relationships/hyperlink" Target="https://sellforte.com/solutions/fashion-ecommerce" TargetMode="External"/><Relationship Id="rId305" Type="http://schemas.openxmlformats.org/officeDocument/2006/relationships/hyperlink" Target="https://www.more-fire.com/en/seo-agency/" TargetMode="External"/><Relationship Id="rId304" Type="http://schemas.openxmlformats.org/officeDocument/2006/relationships/hyperlink" Target="http://monks.com" TargetMode="External"/><Relationship Id="rId303" Type="http://schemas.openxmlformats.org/officeDocument/2006/relationships/hyperlink" Target="https://www.monks.com/partners/google-marketing-platform" TargetMode="External"/><Relationship Id="rId302" Type="http://schemas.openxmlformats.org/officeDocument/2006/relationships/hyperlink" Target="http://modo25.com" TargetMode="External"/><Relationship Id="rId309" Type="http://schemas.openxmlformats.org/officeDocument/2006/relationships/hyperlink" Target="https://nepa.com/ready-to-move-beyond-network-agencies/" TargetMode="External"/><Relationship Id="rId308" Type="http://schemas.openxmlformats.org/officeDocument/2006/relationships/hyperlink" Target="http://multishoring.com" TargetMode="External"/><Relationship Id="rId307" Type="http://schemas.openxmlformats.org/officeDocument/2006/relationships/hyperlink" Target="https://multishoring.com/services/google-bi-and-bigquery-consulting/" TargetMode="External"/><Relationship Id="rId306" Type="http://schemas.openxmlformats.org/officeDocument/2006/relationships/hyperlink" Target="http://more-fire.com" TargetMode="External"/><Relationship Id="rId301" Type="http://schemas.openxmlformats.org/officeDocument/2006/relationships/hyperlink" Target="https://modo25.com/services/data-science/mmm-attribution/" TargetMode="External"/><Relationship Id="rId300" Type="http://schemas.openxmlformats.org/officeDocument/2006/relationships/hyperlink" Target="http://mindmelt.de" TargetMode="External"/><Relationship Id="rId327" Type="http://schemas.openxmlformats.org/officeDocument/2006/relationships/hyperlink" Target="http://performanceliebe.de" TargetMode="External"/><Relationship Id="rId326" Type="http://schemas.openxmlformats.org/officeDocument/2006/relationships/hyperlink" Target="https://www.performanceliebe.de/geo-optimierung/" TargetMode="External"/><Relationship Id="rId325" Type="http://schemas.openxmlformats.org/officeDocument/2006/relationships/hyperlink" Target="http://performanceliebe.de" TargetMode="External"/><Relationship Id="rId324" Type="http://schemas.openxmlformats.org/officeDocument/2006/relationships/hyperlink" Target="https://www.performanceliebe.de/generative-engine-optimization/" TargetMode="External"/><Relationship Id="rId329" Type="http://schemas.openxmlformats.org/officeDocument/2006/relationships/hyperlink" Target="http://phdmedia.com" TargetMode="External"/><Relationship Id="rId328" Type="http://schemas.openxmlformats.org/officeDocument/2006/relationships/hyperlink" Target="https://www.phdmedia.com/germany/services/measurement-and-reporting/" TargetMode="External"/><Relationship Id="rId323" Type="http://schemas.openxmlformats.org/officeDocument/2006/relationships/hyperlink" Target="http://performanceliebe.de" TargetMode="External"/><Relationship Id="rId322" Type="http://schemas.openxmlformats.org/officeDocument/2006/relationships/hyperlink" Target="https://www.performanceliebe.de/ai-mentions-agency-germany/" TargetMode="External"/><Relationship Id="rId321" Type="http://schemas.openxmlformats.org/officeDocument/2006/relationships/hyperlink" Target="https://peakace.agency/en/digital-strategy/" TargetMode="External"/><Relationship Id="rId320" Type="http://schemas.openxmlformats.org/officeDocument/2006/relationships/hyperlink" Target="http://paramark.com" TargetMode="External"/><Relationship Id="rId316" Type="http://schemas.openxmlformats.org/officeDocument/2006/relationships/hyperlink" Target="http://orangemarketing.com" TargetMode="External"/><Relationship Id="rId315" Type="http://schemas.openxmlformats.org/officeDocument/2006/relationships/hyperlink" Target="https://www.orangemarketing.com/aeo-answer-engine-optimization-service" TargetMode="External"/><Relationship Id="rId314" Type="http://schemas.openxmlformats.org/officeDocument/2006/relationships/hyperlink" Target="http://online-digitalx.de" TargetMode="External"/><Relationship Id="rId313" Type="http://schemas.openxmlformats.org/officeDocument/2006/relationships/hyperlink" Target="https://www.online-digitalx.de/en/searchengineoptimization/" TargetMode="External"/><Relationship Id="rId319" Type="http://schemas.openxmlformats.org/officeDocument/2006/relationships/hyperlink" Target="https://paramark.com/incrementality-testing" TargetMode="External"/><Relationship Id="rId318" Type="http://schemas.openxmlformats.org/officeDocument/2006/relationships/hyperlink" Target="http://panorama-consulting.com" TargetMode="External"/><Relationship Id="rId317" Type="http://schemas.openxmlformats.org/officeDocument/2006/relationships/hyperlink" Target="https://www.panorama-consulting.com/services/ai-readiness-and-enablement-service-offering/" TargetMode="External"/><Relationship Id="rId312" Type="http://schemas.openxmlformats.org/officeDocument/2006/relationships/hyperlink" Target="https://www.onehundred.digital/en/geo-generative-engine-optimization-agency-from-berlin-visibility-in-ai-systems/" TargetMode="External"/><Relationship Id="rId311" Type="http://schemas.openxmlformats.org/officeDocument/2006/relationships/hyperlink" Target="https://newage.agency/en/our-services/google-marketing-platform-partner/" TargetMode="External"/><Relationship Id="rId310" Type="http://schemas.openxmlformats.org/officeDocument/2006/relationships/hyperlink" Target="http://nepa.com" TargetMode="External"/><Relationship Id="rId297" Type="http://schemas.openxmlformats.org/officeDocument/2006/relationships/hyperlink" Target="https://www.mindmelt.de/en/projects/it-consulting/" TargetMode="External"/><Relationship Id="rId296" Type="http://schemas.openxmlformats.org/officeDocument/2006/relationships/hyperlink" Target="http://mercurymediatechnology.com" TargetMode="External"/><Relationship Id="rId295" Type="http://schemas.openxmlformats.org/officeDocument/2006/relationships/hyperlink" Target="https://www.mercurymediatechnology.com/en/marketing-measurement-mmm/" TargetMode="External"/><Relationship Id="rId294" Type="http://schemas.openxmlformats.org/officeDocument/2006/relationships/hyperlink" Target="http://labtrix.de" TargetMode="External"/><Relationship Id="rId299" Type="http://schemas.openxmlformats.org/officeDocument/2006/relationships/hyperlink" Target="https://www.mindmelt.de/en/services/web-design/generative-engine-optimisation/" TargetMode="External"/><Relationship Id="rId298" Type="http://schemas.openxmlformats.org/officeDocument/2006/relationships/hyperlink" Target="http://mindmelt.de" TargetMode="External"/><Relationship Id="rId271" Type="http://schemas.openxmlformats.org/officeDocument/2006/relationships/hyperlink" Target="http://impressiondigital.com" TargetMode="External"/><Relationship Id="rId270" Type="http://schemas.openxmlformats.org/officeDocument/2006/relationships/hyperlink" Target="https://www.impressiondigital.com/media-solutions/google-marketing-platform/" TargetMode="External"/><Relationship Id="rId269" Type="http://schemas.openxmlformats.org/officeDocument/2006/relationships/hyperlink" Target="http://idhlagency.com" TargetMode="External"/><Relationship Id="rId264" Type="http://schemas.openxmlformats.org/officeDocument/2006/relationships/hyperlink" Target="https://www.house-of-communication.com/de/en/brands/mediaplus/landingpages/media-agency-of-the-year.html" TargetMode="External"/><Relationship Id="rId263" Type="http://schemas.openxmlformats.org/officeDocument/2006/relationships/hyperlink" Target="http://hopmann.com" TargetMode="External"/><Relationship Id="rId262" Type="http://schemas.openxmlformats.org/officeDocument/2006/relationships/hyperlink" Target="https://www.hopmann.com/en/marketing-analytics/marketing-efficiency/" TargetMode="External"/><Relationship Id="rId261" Type="http://schemas.openxmlformats.org/officeDocument/2006/relationships/hyperlink" Target="http://havstrategy.com" TargetMode="External"/><Relationship Id="rId268" Type="http://schemas.openxmlformats.org/officeDocument/2006/relationships/hyperlink" Target="https://www.idhlagency.com/digital-marketing/measurement-attribution" TargetMode="External"/><Relationship Id="rId267" Type="http://schemas.openxmlformats.org/officeDocument/2006/relationships/hyperlink" Target="http://iconagility.com" TargetMode="External"/><Relationship Id="rId266" Type="http://schemas.openxmlformats.org/officeDocument/2006/relationships/hyperlink" Target="https://www.iconagility.com/services/ai" TargetMode="External"/><Relationship Id="rId265" Type="http://schemas.openxmlformats.org/officeDocument/2006/relationships/hyperlink" Target="http://house-of-communication.com" TargetMode="External"/><Relationship Id="rId260" Type="http://schemas.openxmlformats.org/officeDocument/2006/relationships/hyperlink" Target="https://www.havstrategy.com/best-google-ads-marketing-agency/" TargetMode="External"/><Relationship Id="rId259" Type="http://schemas.openxmlformats.org/officeDocument/2006/relationships/hyperlink" Target="http://hatchly.co.uk" TargetMode="External"/><Relationship Id="rId258" Type="http://schemas.openxmlformats.org/officeDocument/2006/relationships/hyperlink" Target="https://www.hatchly.co.uk/design-services/creative-production" TargetMode="External"/><Relationship Id="rId253" Type="http://schemas.openxmlformats.org/officeDocument/2006/relationships/hyperlink" Target="http://globalists.de" TargetMode="External"/><Relationship Id="rId252" Type="http://schemas.openxmlformats.org/officeDocument/2006/relationships/hyperlink" Target="https://www.globalists.de/leistungen/sea-agentur" TargetMode="External"/><Relationship Id="rId251" Type="http://schemas.openxmlformats.org/officeDocument/2006/relationships/hyperlink" Target="https://globaldev.tech/services/ai-development-services" TargetMode="External"/><Relationship Id="rId250" Type="http://schemas.openxmlformats.org/officeDocument/2006/relationships/hyperlink" Target="http://getklar.com" TargetMode="External"/><Relationship Id="rId257" Type="http://schemas.openxmlformats.org/officeDocument/2006/relationships/hyperlink" Target="http://growthcurve.co" TargetMode="External"/><Relationship Id="rId256" Type="http://schemas.openxmlformats.org/officeDocument/2006/relationships/hyperlink" Target="https://growthcurve.co/agency/digital-marketing-agency/best-new-york-digital-agency" TargetMode="External"/><Relationship Id="rId255" Type="http://schemas.openxmlformats.org/officeDocument/2006/relationships/hyperlink" Target="http://globalmediainsight.com" TargetMode="External"/><Relationship Id="rId254" Type="http://schemas.openxmlformats.org/officeDocument/2006/relationships/hyperlink" Target="https://www.globalmediainsight.com/attribution-modeling/" TargetMode="External"/><Relationship Id="rId293" Type="http://schemas.openxmlformats.org/officeDocument/2006/relationships/hyperlink" Target="https://labtrix.de/ai-seo/ai-search-optimierung" TargetMode="External"/><Relationship Id="rId292" Type="http://schemas.openxmlformats.org/officeDocument/2006/relationships/hyperlink" Target="https://kloos.agency/ppc-google-ads/" TargetMode="External"/><Relationship Id="rId291" Type="http://schemas.openxmlformats.org/officeDocument/2006/relationships/hyperlink" Target="http://klickpiloten.de" TargetMode="External"/><Relationship Id="rId290" Type="http://schemas.openxmlformats.org/officeDocument/2006/relationships/hyperlink" Target="https://klickpiloten.de/leistungen/analytics" TargetMode="External"/><Relationship Id="rId286" Type="http://schemas.openxmlformats.org/officeDocument/2006/relationships/hyperlink" Target="https://www.kiwop.com/en/marketing-attribution" TargetMode="External"/><Relationship Id="rId285" Type="http://schemas.openxmlformats.org/officeDocument/2006/relationships/hyperlink" Target="http://karlmission.com" TargetMode="External"/><Relationship Id="rId284" Type="http://schemas.openxmlformats.org/officeDocument/2006/relationships/hyperlink" Target="https://www.karlmission.com/services/geo" TargetMode="External"/><Relationship Id="rId283" Type="http://schemas.openxmlformats.org/officeDocument/2006/relationships/hyperlink" Target="http://jobgether.com" TargetMode="External"/><Relationship Id="rId289" Type="http://schemas.openxmlformats.org/officeDocument/2006/relationships/hyperlink" Target="http://klickkonzept.de" TargetMode="External"/><Relationship Id="rId288" Type="http://schemas.openxmlformats.org/officeDocument/2006/relationships/hyperlink" Target="https://www.klickkonzept.de/leistungen/digital-analytics" TargetMode="External"/><Relationship Id="rId287" Type="http://schemas.openxmlformats.org/officeDocument/2006/relationships/hyperlink" Target="http://kiwop.com" TargetMode="External"/><Relationship Id="rId282" Type="http://schemas.openxmlformats.org/officeDocument/2006/relationships/hyperlink" Target="https://jobgether.com/offer/69fd12bcf77bd3019866ce3a-sea-manager---german-speaking-m-w-d" TargetMode="External"/><Relationship Id="rId281" Type="http://schemas.openxmlformats.org/officeDocument/2006/relationships/hyperlink" Target="http://iopex.com" TargetMode="External"/><Relationship Id="rId280" Type="http://schemas.openxmlformats.org/officeDocument/2006/relationships/hyperlink" Target="https://www.iopex.com/solutions/marketingops" TargetMode="External"/><Relationship Id="rId275" Type="http://schemas.openxmlformats.org/officeDocument/2006/relationships/hyperlink" Target="http://incubeta.com" TargetMode="External"/><Relationship Id="rId274" Type="http://schemas.openxmlformats.org/officeDocument/2006/relationships/hyperlink" Target="https://incubeta.com/capabilities/marketing-intelligence/" TargetMode="External"/><Relationship Id="rId273" Type="http://schemas.openxmlformats.org/officeDocument/2006/relationships/hyperlink" Target="http://incrmntal.com" TargetMode="External"/><Relationship Id="rId272" Type="http://schemas.openxmlformats.org/officeDocument/2006/relationships/hyperlink" Target="https://www.incrmntal.com/autonomous" TargetMode="External"/><Relationship Id="rId279" Type="http://schemas.openxmlformats.org/officeDocument/2006/relationships/hyperlink" Target="http://invictus-lead-generation.de" TargetMode="External"/><Relationship Id="rId278" Type="http://schemas.openxmlformats.org/officeDocument/2006/relationships/hyperlink" Target="https://www.invictus-lead-generation.de/en/leistungen/geo/" TargetMode="External"/><Relationship Id="rId277" Type="http://schemas.openxmlformats.org/officeDocument/2006/relationships/hyperlink" Target="http://invademarketing.com" TargetMode="External"/><Relationship Id="rId276" Type="http://schemas.openxmlformats.org/officeDocument/2006/relationships/hyperlink" Target="https://invademarketing.com/best-rated-media-planning-agencies-in-performance-marketing/" TargetMode="External"/><Relationship Id="rId228" Type="http://schemas.openxmlformats.org/officeDocument/2006/relationships/hyperlink" Target="https://e-dialog.group/en/google-sales-partner/google-display-video-360/" TargetMode="External"/><Relationship Id="rId227" Type="http://schemas.openxmlformats.org/officeDocument/2006/relationships/hyperlink" Target="https://e-dialog.group/en/google-sales-partner/google-analytics-360/" TargetMode="External"/><Relationship Id="rId226" Type="http://schemas.openxmlformats.org/officeDocument/2006/relationships/hyperlink" Target="https://e-dialog.group/en/campaigning/google-ads/" TargetMode="External"/><Relationship Id="rId225" Type="http://schemas.openxmlformats.org/officeDocument/2006/relationships/hyperlink" Target="https://e-dialog.group/en/analytics/google-analytics/" TargetMode="External"/><Relationship Id="rId229" Type="http://schemas.openxmlformats.org/officeDocument/2006/relationships/hyperlink" Target="https://e-dialog.group/en/google-sales-partner/search-ads-360/" TargetMode="External"/><Relationship Id="rId220" Type="http://schemas.openxmlformats.org/officeDocument/2006/relationships/hyperlink" Target="http://dotsource.com" TargetMode="External"/><Relationship Id="rId224" Type="http://schemas.openxmlformats.org/officeDocument/2006/relationships/hyperlink" Target="http://dripagency.de" TargetMode="External"/><Relationship Id="rId223" Type="http://schemas.openxmlformats.org/officeDocument/2006/relationships/hyperlink" Target="https://dripagency.de/de/services/ab-testing-agentur" TargetMode="External"/><Relationship Id="rId222" Type="http://schemas.openxmlformats.org/officeDocument/2006/relationships/hyperlink" Target="http://dreikon.de" TargetMode="External"/><Relationship Id="rId221" Type="http://schemas.openxmlformats.org/officeDocument/2006/relationships/hyperlink" Target="https://www.dreikon.de/leistungen/seo-agentur/geo/" TargetMode="External"/><Relationship Id="rId217" Type="http://schemas.openxmlformats.org/officeDocument/2006/relationships/hyperlink" Target="https://www.displayce.com/data-measure/" TargetMode="External"/><Relationship Id="rId216" Type="http://schemas.openxmlformats.org/officeDocument/2006/relationships/hyperlink" Target="http://digitalagenten.com" TargetMode="External"/><Relationship Id="rId215" Type="http://schemas.openxmlformats.org/officeDocument/2006/relationships/hyperlink" Target="https://digitalagenten.com/en/web-analysis/" TargetMode="External"/><Relationship Id="rId214" Type="http://schemas.openxmlformats.org/officeDocument/2006/relationships/hyperlink" Target="http://detecon.com" TargetMode="External"/><Relationship Id="rId219" Type="http://schemas.openxmlformats.org/officeDocument/2006/relationships/hyperlink" Target="https://www.dotsource.com/data-driven-marketing/" TargetMode="External"/><Relationship Id="rId218" Type="http://schemas.openxmlformats.org/officeDocument/2006/relationships/hyperlink" Target="http://displayce.com" TargetMode="External"/><Relationship Id="rId213" Type="http://schemas.openxmlformats.org/officeDocument/2006/relationships/hyperlink" Target="https://www.detecon.com/en/ai-readiness-assessment" TargetMode="External"/><Relationship Id="rId212" Type="http://schemas.openxmlformats.org/officeDocument/2006/relationships/hyperlink" Target="http://deptagency.com" TargetMode="External"/><Relationship Id="rId211" Type="http://schemas.openxmlformats.org/officeDocument/2006/relationships/hyperlink" Target="https://www.deptagency.com/partner/google-marketing-platform/" TargetMode="External"/><Relationship Id="rId210" Type="http://schemas.openxmlformats.org/officeDocument/2006/relationships/hyperlink" Target="http://deloitte.com" TargetMode="External"/><Relationship Id="rId249" Type="http://schemas.openxmlformats.org/officeDocument/2006/relationships/hyperlink" Target="https://getklar.com/partner-program" TargetMode="External"/><Relationship Id="rId248" Type="http://schemas.openxmlformats.org/officeDocument/2006/relationships/hyperlink" Target="http://getklar.com" TargetMode="External"/><Relationship Id="rId247" Type="http://schemas.openxmlformats.org/officeDocument/2006/relationships/hyperlink" Target="https://getklar.com/features/unified-marketing-measurement" TargetMode="External"/><Relationship Id="rId242" Type="http://schemas.openxmlformats.org/officeDocument/2006/relationships/hyperlink" Target="http://foundersworkshop.com" TargetMode="External"/><Relationship Id="rId241" Type="http://schemas.openxmlformats.org/officeDocument/2006/relationships/hyperlink" Target="https://foundersworkshop.com/feeds/service/ai-adoption-readiness-consulting-enterprises" TargetMode="External"/><Relationship Id="rId240" Type="http://schemas.openxmlformats.org/officeDocument/2006/relationships/hyperlink" Target="http://found.co.uk" TargetMode="External"/><Relationship Id="rId246" Type="http://schemas.openxmlformats.org/officeDocument/2006/relationships/hyperlink" Target="http://gerlach-customs.com" TargetMode="External"/><Relationship Id="rId245" Type="http://schemas.openxmlformats.org/officeDocument/2006/relationships/hyperlink" Target="https://gerlach-customs.com/customs-consultancy/" TargetMode="External"/><Relationship Id="rId244" Type="http://schemas.openxmlformats.org/officeDocument/2006/relationships/hyperlink" Target="http://funnel.io" TargetMode="External"/><Relationship Id="rId243" Type="http://schemas.openxmlformats.org/officeDocument/2006/relationships/hyperlink" Target="https://funnel.io/legal/adtriba/service-description" TargetMode="External"/><Relationship Id="rId239" Type="http://schemas.openxmlformats.org/officeDocument/2006/relationships/hyperlink" Target="https://www.found.co.uk/services/seo/ai-seo/" TargetMode="External"/><Relationship Id="rId238" Type="http://schemas.openxmlformats.org/officeDocument/2006/relationships/hyperlink" Target="http://feld-m.de" TargetMode="External"/><Relationship Id="rId237" Type="http://schemas.openxmlformats.org/officeDocument/2006/relationships/hyperlink" Target="https://www.feld-m.de/en/events/data-gap-marketing-measurement-event/" TargetMode="External"/><Relationship Id="rId236" Type="http://schemas.openxmlformats.org/officeDocument/2006/relationships/hyperlink" Target="http://experian.com" TargetMode="External"/><Relationship Id="rId231" Type="http://schemas.openxmlformats.org/officeDocument/2006/relationships/hyperlink" Target="http://ebiquity.com" TargetMode="External"/><Relationship Id="rId230" Type="http://schemas.openxmlformats.org/officeDocument/2006/relationships/hyperlink" Target="https://ebiquity.com/solutions/grow/testmatch/" TargetMode="External"/><Relationship Id="rId235" Type="http://schemas.openxmlformats.org/officeDocument/2006/relationships/hyperlink" Target="https://www.experian.com/business/solutions/marketing-solutions/marketing-measurement-tools" TargetMode="External"/><Relationship Id="rId234" Type="http://schemas.openxmlformats.org/officeDocument/2006/relationships/hyperlink" Target="https://evolved.marketing/conversion-management-hub/ai-agents/" TargetMode="External"/><Relationship Id="rId233" Type="http://schemas.openxmlformats.org/officeDocument/2006/relationships/hyperlink" Target="http://ecimediamanagement.com" TargetMode="External"/><Relationship Id="rId232" Type="http://schemas.openxmlformats.org/officeDocument/2006/relationships/hyperlink" Target="https://ecimediamanagement.com/media-performance-consulting" TargetMode="External"/><Relationship Id="rId206" Type="http://schemas.openxmlformats.org/officeDocument/2006/relationships/hyperlink" Target="http://datafirstsolutions.de" TargetMode="External"/><Relationship Id="rId205" Type="http://schemas.openxmlformats.org/officeDocument/2006/relationships/hyperlink" Target="https://www.datafirstsolutions.de/agency" TargetMode="External"/><Relationship Id="rId204" Type="http://schemas.openxmlformats.org/officeDocument/2006/relationships/hyperlink" Target="https://csw.agency/en/seo-agency-duesseldorf/" TargetMode="External"/><Relationship Id="rId203" Type="http://schemas.openxmlformats.org/officeDocument/2006/relationships/hyperlink" Target="http://criterionglobal.com" TargetMode="External"/><Relationship Id="rId209" Type="http://schemas.openxmlformats.org/officeDocument/2006/relationships/hyperlink" Target="https://www.deloitte.com/us/en/services/consulting/services/generative-ai-readiness-and-adoption.html" TargetMode="External"/><Relationship Id="rId208" Type="http://schemas.openxmlformats.org/officeDocument/2006/relationships/hyperlink" Target="http://datalion.com" TargetMode="External"/><Relationship Id="rId207" Type="http://schemas.openxmlformats.org/officeDocument/2006/relationships/hyperlink" Target="https://datalion.com/en/marketing-data-solutions/" TargetMode="External"/><Relationship Id="rId202" Type="http://schemas.openxmlformats.org/officeDocument/2006/relationships/hyperlink" Target="https://criterionglobal.com/expertise/international-media-planning-and-buying-agency" TargetMode="External"/><Relationship Id="rId201" Type="http://schemas.openxmlformats.org/officeDocument/2006/relationships/hyperlink" Target="http://converlytics.com" TargetMode="External"/><Relationship Id="rId200" Type="http://schemas.openxmlformats.org/officeDocument/2006/relationships/hyperlink" Target="https://converlytics.com/leistungen/data-driven-marketing/" TargetMode="External"/><Relationship Id="rId409" Type="http://schemas.openxmlformats.org/officeDocument/2006/relationships/hyperlink" Target="https://www.ventum-consulting.com/assessments/ai-readiness-assessment-workshop/" TargetMode="External"/><Relationship Id="rId404" Type="http://schemas.openxmlformats.org/officeDocument/2006/relationships/hyperlink" Target="http://trinitybps.com" TargetMode="External"/><Relationship Id="rId403" Type="http://schemas.openxmlformats.org/officeDocument/2006/relationships/hyperlink" Target="https://www.trinitybps.com/ai-consulting" TargetMode="External"/><Relationship Id="rId402" Type="http://schemas.openxmlformats.org/officeDocument/2006/relationships/hyperlink" Target="http://towa-digital.com" TargetMode="External"/><Relationship Id="rId401" Type="http://schemas.openxmlformats.org/officeDocument/2006/relationships/hyperlink" Target="https://www.towa-digital.com/en/technology/google-marketing-platform/" TargetMode="External"/><Relationship Id="rId408" Type="http://schemas.openxmlformats.org/officeDocument/2006/relationships/hyperlink" Target="http://upgrow.io" TargetMode="External"/><Relationship Id="rId407" Type="http://schemas.openxmlformats.org/officeDocument/2006/relationships/hyperlink" Target="https://www.upgrow.io/aeo-agency/" TargetMode="External"/><Relationship Id="rId406" Type="http://schemas.openxmlformats.org/officeDocument/2006/relationships/hyperlink" Target="http://unbound-media.de" TargetMode="External"/><Relationship Id="rId405" Type="http://schemas.openxmlformats.org/officeDocument/2006/relationships/hyperlink" Target="https://unbound-media.de/de/leistungen/" TargetMode="External"/><Relationship Id="rId400" Type="http://schemas.openxmlformats.org/officeDocument/2006/relationships/hyperlink" Target="http://timospecht.de" TargetMode="External"/><Relationship Id="rId425" Type="http://schemas.openxmlformats.org/officeDocument/2006/relationships/drawing" Target="../drawings/drawing29.xml"/><Relationship Id="rId424" Type="http://schemas.openxmlformats.org/officeDocument/2006/relationships/hyperlink" Target="http://zweidigital.de" TargetMode="External"/><Relationship Id="rId423" Type="http://schemas.openxmlformats.org/officeDocument/2006/relationships/hyperlink" Target="https://www.zweidigital.de/meta-agentur/" TargetMode="External"/><Relationship Id="rId422" Type="http://schemas.openxmlformats.org/officeDocument/2006/relationships/hyperlink" Target="http://zemith.com" TargetMode="External"/><Relationship Id="rId421" Type="http://schemas.openxmlformats.org/officeDocument/2006/relationships/hyperlink" Target="https://www.zemith.com/blogs/best-ai-assistant-app" TargetMode="External"/><Relationship Id="rId420" Type="http://schemas.openxmlformats.org/officeDocument/2006/relationships/hyperlink" Target="http://woodmark.de" TargetMode="External"/><Relationship Id="rId415" Type="http://schemas.openxmlformats.org/officeDocument/2006/relationships/hyperlink" Target="https://www.wearecatalyst.co.uk/geo-agency/" TargetMode="External"/><Relationship Id="rId414" Type="http://schemas.openxmlformats.org/officeDocument/2006/relationships/hyperlink" Target="http://warroominc.com" TargetMode="External"/><Relationship Id="rId413" Type="http://schemas.openxmlformats.org/officeDocument/2006/relationships/hyperlink" Target="https://www.warroominc.com/services/google-marketing-platform/" TargetMode="External"/><Relationship Id="rId412" Type="http://schemas.openxmlformats.org/officeDocument/2006/relationships/hyperlink" Target="http://verdtek.com" TargetMode="External"/><Relationship Id="rId419" Type="http://schemas.openxmlformats.org/officeDocument/2006/relationships/hyperlink" Target="https://www.woodmark.de/en/data-ai/artificial-intelligence-ai" TargetMode="External"/><Relationship Id="rId418" Type="http://schemas.openxmlformats.org/officeDocument/2006/relationships/hyperlink" Target="http://weventure.de" TargetMode="External"/><Relationship Id="rId417" Type="http://schemas.openxmlformats.org/officeDocument/2006/relationships/hyperlink" Target="https://weventure.de/en/digital-marketing/ai" TargetMode="External"/><Relationship Id="rId416" Type="http://schemas.openxmlformats.org/officeDocument/2006/relationships/hyperlink" Target="http://wearecatalyst.co.uk" TargetMode="External"/><Relationship Id="rId411" Type="http://schemas.openxmlformats.org/officeDocument/2006/relationships/hyperlink" Target="https://verdtek.com/ai-adoption/" TargetMode="External"/><Relationship Id="rId410" Type="http://schemas.openxmlformats.org/officeDocument/2006/relationships/hyperlink" Target="http://ventum-consulting.com" TargetMode="External"/><Relationship Id="rId1" Type="http://schemas.openxmlformats.org/officeDocument/2006/relationships/hyperlink" Target="http://performanceliebe.de" TargetMode="External"/><Relationship Id="rId2" Type="http://schemas.openxmlformats.org/officeDocument/2006/relationships/hyperlink" Target="https://www.feld-m.de/service/marketing-measurement/" TargetMode="External"/><Relationship Id="rId3" Type="http://schemas.openxmlformats.org/officeDocument/2006/relationships/hyperlink" Target="http://feld-m.de" TargetMode="External"/><Relationship Id="rId4" Type="http://schemas.openxmlformats.org/officeDocument/2006/relationships/hyperlink" Target="https://www.feld-m.de/en/service/marketing-measurement/" TargetMode="External"/><Relationship Id="rId9" Type="http://schemas.openxmlformats.org/officeDocument/2006/relationships/hyperlink" Target="http://opinosis-analytics.com" TargetMode="External"/><Relationship Id="rId5" Type="http://schemas.openxmlformats.org/officeDocument/2006/relationships/hyperlink" Target="http://feld-m.de" TargetMode="External"/><Relationship Id="rId6" Type="http://schemas.openxmlformats.org/officeDocument/2006/relationships/hyperlink" Target="https://mediacharge.com/performance-marketing-agency-germany" TargetMode="External"/><Relationship Id="rId7" Type="http://schemas.openxmlformats.org/officeDocument/2006/relationships/hyperlink" Target="http://mediacharge.com" TargetMode="External"/><Relationship Id="rId8" Type="http://schemas.openxmlformats.org/officeDocument/2006/relationships/hyperlink" Target="https://www.opinosis-analytics.com/ai-consulting-in-germany/" TargetMode="External"/><Relationship Id="rId190" Type="http://schemas.openxmlformats.org/officeDocument/2006/relationships/hyperlink" Target="https://bundb.de/ai-marketing/" TargetMode="External"/><Relationship Id="rId194" Type="http://schemas.openxmlformats.org/officeDocument/2006/relationships/hyperlink" Target="https://calvarius.com/leistungen/performance-marketing/social-media-werbung" TargetMode="External"/><Relationship Id="rId193" Type="http://schemas.openxmlformats.org/officeDocument/2006/relationships/hyperlink" Target="http://google.com" TargetMode="External"/><Relationship Id="rId192" Type="http://schemas.openxmlformats.org/officeDocument/2006/relationships/hyperlink" Target="https://business.google.com/en-all/support/work-with-a-partner/" TargetMode="External"/><Relationship Id="rId191" Type="http://schemas.openxmlformats.org/officeDocument/2006/relationships/hyperlink" Target="http://bundb.de" TargetMode="External"/><Relationship Id="rId187" Type="http://schemas.openxmlformats.org/officeDocument/2006/relationships/hyperlink" Target="http://artefact.com" TargetMode="External"/><Relationship Id="rId186" Type="http://schemas.openxmlformats.org/officeDocument/2006/relationships/hyperlink" Target="https://www.artefact.com/de/offers/marketing-data-driven/media-services-and-certifications/" TargetMode="External"/><Relationship Id="rId185" Type="http://schemas.openxmlformats.org/officeDocument/2006/relationships/hyperlink" Target="http://artefact.com" TargetMode="External"/><Relationship Id="rId184" Type="http://schemas.openxmlformats.org/officeDocument/2006/relationships/hyperlink" Target="https://www.artefact.com/de/offers/marketing-data-driven/measurements-mroi-insights/" TargetMode="External"/><Relationship Id="rId189" Type="http://schemas.openxmlformats.org/officeDocument/2006/relationships/hyperlink" Target="http://biloba-it.de" TargetMode="External"/><Relationship Id="rId188" Type="http://schemas.openxmlformats.org/officeDocument/2006/relationships/hyperlink" Target="https://www.biloba-it.de/en/online-marketing/web-analytics/" TargetMode="External"/><Relationship Id="rId183" Type="http://schemas.openxmlformats.org/officeDocument/2006/relationships/hyperlink" Target="http://artefact.com" TargetMode="External"/><Relationship Id="rId182" Type="http://schemas.openxmlformats.org/officeDocument/2006/relationships/hyperlink" Target="https://www.artefact.com/de/offers/marketing-data-driven/gmp-certified-reseller/" TargetMode="External"/><Relationship Id="rId181" Type="http://schemas.openxmlformats.org/officeDocument/2006/relationships/hyperlink" Target="http://artefact.com" TargetMode="External"/><Relationship Id="rId180" Type="http://schemas.openxmlformats.org/officeDocument/2006/relationships/hyperlink" Target="https://www.artefact.com/de/offers/cx-consumer-experience-digital/media-certifications/" TargetMode="External"/><Relationship Id="rId176" Type="http://schemas.openxmlformats.org/officeDocument/2006/relationships/hyperlink" Target="https://aidolsgroup.com/en/ai-consulting/berlin/" TargetMode="External"/><Relationship Id="rId175" Type="http://schemas.openxmlformats.org/officeDocument/2006/relationships/hyperlink" Target="http://advertace.de" TargetMode="External"/><Relationship Id="rId174" Type="http://schemas.openxmlformats.org/officeDocument/2006/relationships/hyperlink" Target="https://www.advertace.de/tiktok-ads-agentur" TargetMode="External"/><Relationship Id="rId173" Type="http://schemas.openxmlformats.org/officeDocument/2006/relationships/hyperlink" Target="http://adswerve.com" TargetMode="External"/><Relationship Id="rId179" Type="http://schemas.openxmlformats.org/officeDocument/2006/relationships/hyperlink" Target="http://alicelabs.ai" TargetMode="External"/><Relationship Id="rId178" Type="http://schemas.openxmlformats.org/officeDocument/2006/relationships/hyperlink" Target="https://alicelabs.ai/en/enterprise-ai-consulting" TargetMode="External"/><Relationship Id="rId177" Type="http://schemas.openxmlformats.org/officeDocument/2006/relationships/hyperlink" Target="http://aidolsgroup.com" TargetMode="External"/><Relationship Id="rId198" Type="http://schemas.openxmlformats.org/officeDocument/2006/relationships/hyperlink" Target="https://codewave.com/feeds/service/ai-adoption-readiness-consulting-enterprises" TargetMode="External"/><Relationship Id="rId197" Type="http://schemas.openxmlformats.org/officeDocument/2006/relationships/hyperlink" Target="http://cigen.io" TargetMode="External"/><Relationship Id="rId196" Type="http://schemas.openxmlformats.org/officeDocument/2006/relationships/hyperlink" Target="https://www.cigen.io/services/ai-adoption-strategy-consulting" TargetMode="External"/><Relationship Id="rId195" Type="http://schemas.openxmlformats.org/officeDocument/2006/relationships/hyperlink" Target="http://calvarius.com" TargetMode="External"/><Relationship Id="rId199" Type="http://schemas.openxmlformats.org/officeDocument/2006/relationships/hyperlink" Target="http://codewave.com" TargetMode="External"/><Relationship Id="rId150" Type="http://schemas.openxmlformats.org/officeDocument/2006/relationships/hyperlink" Target="https://rsmus.com/services/digital-transformation/ai-readiness-assessment.html" TargetMode="External"/><Relationship Id="rId149" Type="http://schemas.openxmlformats.org/officeDocument/2006/relationships/hyperlink" Target="http://rankeffect.de" TargetMode="External"/><Relationship Id="rId148" Type="http://schemas.openxmlformats.org/officeDocument/2006/relationships/hyperlink" Target="https://www.rankeffect.de/en/online-marketing-agency/seo-agency/link-building" TargetMode="External"/><Relationship Id="rId143" Type="http://schemas.openxmlformats.org/officeDocument/2006/relationships/hyperlink" Target="http://optimisemedia.com" TargetMode="External"/><Relationship Id="rId142" Type="http://schemas.openxmlformats.org/officeDocument/2006/relationships/hyperlink" Target="https://optimisemedia.com/agency-services/" TargetMode="External"/><Relationship Id="rId141" Type="http://schemas.openxmlformats.org/officeDocument/2006/relationships/hyperlink" Target="http://omsag.de" TargetMode="External"/><Relationship Id="rId140" Type="http://schemas.openxmlformats.org/officeDocument/2006/relationships/hyperlink" Target="https://www.omsag.de/online-marketing-solutions-ag/google-premier-partner/" TargetMode="External"/><Relationship Id="rId147" Type="http://schemas.openxmlformats.org/officeDocument/2006/relationships/hyperlink" Target="http://pwc.de" TargetMode="External"/><Relationship Id="rId146" Type="http://schemas.openxmlformats.org/officeDocument/2006/relationships/hyperlink" Target="https://www.pwc.de/de/starke-allianzen/pwc-und-google.html" TargetMode="External"/><Relationship Id="rId145" Type="http://schemas.openxmlformats.org/officeDocument/2006/relationships/hyperlink" Target="http://pta.de" TargetMode="External"/><Relationship Id="rId144" Type="http://schemas.openxmlformats.org/officeDocument/2006/relationships/hyperlink" Target="https://www.pta.de/leistungen/kuenstliche-intelligenz/" TargetMode="External"/><Relationship Id="rId139" Type="http://schemas.openxmlformats.org/officeDocument/2006/relationships/hyperlink" Target="http://omr.com" TargetMode="External"/><Relationship Id="rId138" Type="http://schemas.openxmlformats.org/officeDocument/2006/relationships/hyperlink" Target="https://omr.com/en/reviews/service-category/performance-marketing-agenturen/2" TargetMode="External"/><Relationship Id="rId137" Type="http://schemas.openxmlformats.org/officeDocument/2006/relationships/hyperlink" Target="http://neurank.de" TargetMode="External"/><Relationship Id="rId132" Type="http://schemas.openxmlformats.org/officeDocument/2006/relationships/hyperlink" Target="https://www.measured.com/incrementality-testing/" TargetMode="External"/><Relationship Id="rId131" Type="http://schemas.openxmlformats.org/officeDocument/2006/relationships/hyperlink" Target="http://makingscience.de" TargetMode="External"/><Relationship Id="rId130" Type="http://schemas.openxmlformats.org/officeDocument/2006/relationships/hyperlink" Target="https://www.makingscience.de/digital-solutions/google-marketing-platform/" TargetMode="External"/><Relationship Id="rId136" Type="http://schemas.openxmlformats.org/officeDocument/2006/relationships/hyperlink" Target="https://neurank.de/geo-optimierung-agentur/" TargetMode="External"/><Relationship Id="rId135" Type="http://schemas.openxmlformats.org/officeDocument/2006/relationships/hyperlink" Target="http://monks.com" TargetMode="External"/><Relationship Id="rId134" Type="http://schemas.openxmlformats.org/officeDocument/2006/relationships/hyperlink" Target="https://www.monks.com/de/google-marketing-platform-partnerschaft" TargetMode="External"/><Relationship Id="rId133" Type="http://schemas.openxmlformats.org/officeDocument/2006/relationships/hyperlink" Target="http://measured.com" TargetMode="External"/><Relationship Id="rId172" Type="http://schemas.openxmlformats.org/officeDocument/2006/relationships/hyperlink" Target="https://adswerve.com/partners/google" TargetMode="External"/><Relationship Id="rId171" Type="http://schemas.openxmlformats.org/officeDocument/2006/relationships/hyperlink" Target="http://adspecialist.de" TargetMode="External"/><Relationship Id="rId170" Type="http://schemas.openxmlformats.org/officeDocument/2006/relationships/hyperlink" Target="https://www.adspecialist.de/channel-data-driven-marketing-agentur/" TargetMode="External"/><Relationship Id="rId165" Type="http://schemas.openxmlformats.org/officeDocument/2006/relationships/hyperlink" Target="http://aargroup.co.uk" TargetMode="External"/><Relationship Id="rId164" Type="http://schemas.openxmlformats.org/officeDocument/2006/relationships/hyperlink" Target="https://aargroup.co.uk/services-for-marketers/platform-readiness/genai-readiness-assessment/" TargetMode="External"/><Relationship Id="rId163" Type="http://schemas.openxmlformats.org/officeDocument/2006/relationships/hyperlink" Target="http://webnique.de" TargetMode="External"/><Relationship Id="rId162" Type="http://schemas.openxmlformats.org/officeDocument/2006/relationships/hyperlink" Target="https://www.webnique.de/en/webdesign-services/tracking-data-analytics" TargetMode="External"/><Relationship Id="rId169" Type="http://schemas.openxmlformats.org/officeDocument/2006/relationships/hyperlink" Target="http://adseed.de" TargetMode="External"/><Relationship Id="rId168" Type="http://schemas.openxmlformats.org/officeDocument/2006/relationships/hyperlink" Target="https://www.adseed.de/google-premium-partner/" TargetMode="External"/><Relationship Id="rId167" Type="http://schemas.openxmlformats.org/officeDocument/2006/relationships/hyperlink" Target="http://adjust.com" TargetMode="External"/><Relationship Id="rId166" Type="http://schemas.openxmlformats.org/officeDocument/2006/relationships/hyperlink" Target="https://www.adjust.com/solutions/incrementality/" TargetMode="External"/><Relationship Id="rId161" Type="http://schemas.openxmlformats.org/officeDocument/2006/relationships/hyperlink" Target="http://timospecht.de" TargetMode="External"/><Relationship Id="rId160" Type="http://schemas.openxmlformats.org/officeDocument/2006/relationships/hyperlink" Target="https://www.timospecht.de/geo-agentur/" TargetMode="External"/><Relationship Id="rId159" Type="http://schemas.openxmlformats.org/officeDocument/2006/relationships/hyperlink" Target="http://the-boutique-agency.de" TargetMode="External"/><Relationship Id="rId154" Type="http://schemas.openxmlformats.org/officeDocument/2006/relationships/hyperlink" Target="https://seeders.com/seo-germany/" TargetMode="External"/><Relationship Id="rId153" Type="http://schemas.openxmlformats.org/officeDocument/2006/relationships/hyperlink" Target="http://ruess-group.com" TargetMode="External"/><Relationship Id="rId152" Type="http://schemas.openxmlformats.org/officeDocument/2006/relationships/hyperlink" Target="https://ruess-group.com/en/marketing-agency-munich/" TargetMode="External"/><Relationship Id="rId151" Type="http://schemas.openxmlformats.org/officeDocument/2006/relationships/hyperlink" Target="http://rsmus.com" TargetMode="External"/><Relationship Id="rId158" Type="http://schemas.openxmlformats.org/officeDocument/2006/relationships/hyperlink" Target="https://www.the-boutique-agency.de/en/ppc-agency" TargetMode="External"/><Relationship Id="rId157" Type="http://schemas.openxmlformats.org/officeDocument/2006/relationships/hyperlink" Target="http://sineos.de" TargetMode="External"/><Relationship Id="rId156" Type="http://schemas.openxmlformats.org/officeDocument/2006/relationships/hyperlink" Target="https://www.sineos.de/en/services/social-media-marketing-smm" TargetMode="External"/><Relationship Id="rId155" Type="http://schemas.openxmlformats.org/officeDocument/2006/relationships/hyperlink" Target="http://seeders.com" TargetMode="External"/><Relationship Id="rId107" Type="http://schemas.openxmlformats.org/officeDocument/2006/relationships/hyperlink" Target="https://www.appsflyer.com/de/products/measurement/incrementality/" TargetMode="External"/><Relationship Id="rId106" Type="http://schemas.openxmlformats.org/officeDocument/2006/relationships/hyperlink" Target="http://ycp.com" TargetMode="External"/><Relationship Id="rId105" Type="http://schemas.openxmlformats.org/officeDocument/2006/relationships/hyperlink" Target="https://ycp.com/lp/germany-digital-marketing-consulting" TargetMode="External"/><Relationship Id="rId104" Type="http://schemas.openxmlformats.org/officeDocument/2006/relationships/hyperlink" Target="http://weber-media.com" TargetMode="External"/><Relationship Id="rId109" Type="http://schemas.openxmlformats.org/officeDocument/2006/relationships/hyperlink" Target="https://career.trkkn.com/jobs/8025042-client-partner-f-m-d-google-marketing-cloud" TargetMode="External"/><Relationship Id="rId108" Type="http://schemas.openxmlformats.org/officeDocument/2006/relationships/hyperlink" Target="http://appsflyer.com" TargetMode="External"/><Relationship Id="rId103" Type="http://schemas.openxmlformats.org/officeDocument/2006/relationships/hyperlink" Target="https://www.weber-media.com/en/ai-seo-agentur" TargetMode="External"/><Relationship Id="rId102" Type="http://schemas.openxmlformats.org/officeDocument/2006/relationships/hyperlink" Target="http://suxeedo.de" TargetMode="External"/><Relationship Id="rId101" Type="http://schemas.openxmlformats.org/officeDocument/2006/relationships/hyperlink" Target="https://suxeedo.de/en/services/geo-agency/" TargetMode="External"/><Relationship Id="rId100" Type="http://schemas.openxmlformats.org/officeDocument/2006/relationships/hyperlink" Target="http://pwc.de" TargetMode="External"/><Relationship Id="rId129" Type="http://schemas.openxmlformats.org/officeDocument/2006/relationships/hyperlink" Target="http://klickpiloten.de" TargetMode="External"/><Relationship Id="rId128" Type="http://schemas.openxmlformats.org/officeDocument/2006/relationships/hyperlink" Target="https://klickpiloten.de/kompetenzen/ai-driven-marketing" TargetMode="External"/><Relationship Id="rId127" Type="http://schemas.openxmlformats.org/officeDocument/2006/relationships/hyperlink" Target="http://gravima.de" TargetMode="External"/><Relationship Id="rId126" Type="http://schemas.openxmlformats.org/officeDocument/2006/relationships/hyperlink" Target="https://www.gravima.de/en/ai-consulting-marketing-agency" TargetMode="External"/><Relationship Id="rId121" Type="http://schemas.openxmlformats.org/officeDocument/2006/relationships/hyperlink" Target="http://friendventure.de" TargetMode="External"/><Relationship Id="rId120" Type="http://schemas.openxmlformats.org/officeDocument/2006/relationships/hyperlink" Target="https://www.friendventure.de/en/generative-engine-optimization-agency/" TargetMode="External"/><Relationship Id="rId125" Type="http://schemas.openxmlformats.org/officeDocument/2006/relationships/hyperlink" Target="http://gaim-solutions.com" TargetMode="External"/><Relationship Id="rId124" Type="http://schemas.openxmlformats.org/officeDocument/2006/relationships/hyperlink" Target="https://gaim-solutions.com/en/blog-system/top-ai-agencies-munich-2026-faq-guide" TargetMode="External"/><Relationship Id="rId123" Type="http://schemas.openxmlformats.org/officeDocument/2006/relationships/hyperlink" Target="http://funnel.io" TargetMode="External"/><Relationship Id="rId122" Type="http://schemas.openxmlformats.org/officeDocument/2006/relationships/hyperlink" Target="https://funnel.io/adtriba" TargetMode="External"/><Relationship Id="rId118" Type="http://schemas.openxmlformats.org/officeDocument/2006/relationships/hyperlink" Target="https://edgeangel.co/en/marketing-activation/advanced-media-measurement" TargetMode="External"/><Relationship Id="rId117" Type="http://schemas.openxmlformats.org/officeDocument/2006/relationships/hyperlink" Target="https://e-dialog.group/en/google-sales-partner/" TargetMode="External"/><Relationship Id="rId116" Type="http://schemas.openxmlformats.org/officeDocument/2006/relationships/hyperlink" Target="http://deloitte.com" TargetMode="External"/><Relationship Id="rId115" Type="http://schemas.openxmlformats.org/officeDocument/2006/relationships/hyperlink" Target="https://www.deloitte.com/de/de/what-we-do/capabilities/ki-beratung.html" TargetMode="External"/><Relationship Id="rId119" Type="http://schemas.openxmlformats.org/officeDocument/2006/relationships/hyperlink" Target="http://edgeangel.co" TargetMode="External"/><Relationship Id="rId110" Type="http://schemas.openxmlformats.org/officeDocument/2006/relationships/hyperlink" Target="http://trkkn.com" TargetMode="External"/><Relationship Id="rId114" Type="http://schemas.openxmlformats.org/officeDocument/2006/relationships/hyperlink" Target="http://dcberlin.com" TargetMode="External"/><Relationship Id="rId113" Type="http://schemas.openxmlformats.org/officeDocument/2006/relationships/hyperlink" Target="https://dcberlin.com/en/ai-innovation/" TargetMode="External"/><Relationship Id="rId112" Type="http://schemas.openxmlformats.org/officeDocument/2006/relationships/hyperlink" Target="http://cieden.com" TargetMode="External"/><Relationship Id="rId111" Type="http://schemas.openxmlformats.org/officeDocument/2006/relationships/hyperlink" Target="https://cieden.com/ai-strategy-consulting"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www.semrush.com/agencies/list/display-advertising/ecommerce/germany/" TargetMode="External"/><Relationship Id="rId42" Type="http://schemas.openxmlformats.org/officeDocument/2006/relationships/hyperlink" Target="https://feedbax.ai/creative-agencies/germany" TargetMode="External"/><Relationship Id="rId41" Type="http://schemas.openxmlformats.org/officeDocument/2006/relationships/hyperlink" Target="http://semrush.com" TargetMode="External"/><Relationship Id="rId44" Type="http://schemas.openxmlformats.org/officeDocument/2006/relationships/hyperlink" Target="https://www.ibusiness.de/performance-ranking/performance_2023.html?sub=2" TargetMode="External"/><Relationship Id="rId43" Type="http://schemas.openxmlformats.org/officeDocument/2006/relationships/hyperlink" Target="http://feedbax.ai" TargetMode="External"/><Relationship Id="rId46" Type="http://schemas.openxmlformats.org/officeDocument/2006/relationships/hyperlink" Target="https://www.sortlist.com/i/web-analytics/germany-de" TargetMode="External"/><Relationship Id="rId45" Type="http://schemas.openxmlformats.org/officeDocument/2006/relationships/hyperlink" Target="http://ibusiness.de" TargetMode="External"/><Relationship Id="rId48" Type="http://schemas.openxmlformats.org/officeDocument/2006/relationships/hyperlink" Target="https://feedbax.ai/google-ads/western-europe" TargetMode="External"/><Relationship Id="rId47" Type="http://schemas.openxmlformats.org/officeDocument/2006/relationships/hyperlink" Target="http://sortlist.com" TargetMode="External"/><Relationship Id="rId49" Type="http://schemas.openxmlformats.org/officeDocument/2006/relationships/hyperlink" Target="http://feedbax.ai" TargetMode="External"/><Relationship Id="rId31" Type="http://schemas.openxmlformats.org/officeDocument/2006/relationships/hyperlink" Target="http://onetoone.de" TargetMode="External"/><Relationship Id="rId30" Type="http://schemas.openxmlformats.org/officeDocument/2006/relationships/hyperlink" Target="https://www.onetoone.de/performance-ranking/performance_2024" TargetMode="External"/><Relationship Id="rId33" Type="http://schemas.openxmlformats.org/officeDocument/2006/relationships/hyperlink" Target="http://advisori.de" TargetMode="External"/><Relationship Id="rId32" Type="http://schemas.openxmlformats.org/officeDocument/2006/relationships/hyperlink" Target="https://www.advisori.de/services/digital-transformation/ki-kuenstliche-intelligenz/ki-beratung" TargetMode="External"/><Relationship Id="rId35" Type="http://schemas.openxmlformats.org/officeDocument/2006/relationships/hyperlink" Target="http://sortlist.de" TargetMode="External"/><Relationship Id="rId34" Type="http://schemas.openxmlformats.org/officeDocument/2006/relationships/hyperlink" Target="https://www.sortlist.de/s/performance-marketing/deutschland-de" TargetMode="External"/><Relationship Id="rId37" Type="http://schemas.openxmlformats.org/officeDocument/2006/relationships/hyperlink" Target="http://google.com" TargetMode="External"/><Relationship Id="rId36" Type="http://schemas.openxmlformats.org/officeDocument/2006/relationships/hyperlink" Target="https://www.google.com/intl/en_GB/ads/publisher/partners/find-a-partner/" TargetMode="External"/><Relationship Id="rId39" Type="http://schemas.openxmlformats.org/officeDocument/2006/relationships/hyperlink" Target="http://oneclub.org" TargetMode="External"/><Relationship Id="rId38" Type="http://schemas.openxmlformats.org/officeDocument/2006/relationships/hyperlink" Target="https://www.oneclub.org/awards/adcawards/-archive/agency/2024/38/all/all/276" TargetMode="External"/><Relationship Id="rId20" Type="http://schemas.openxmlformats.org/officeDocument/2006/relationships/hyperlink" Target="https://feedbax.ai/geo-agencies/germany" TargetMode="External"/><Relationship Id="rId22" Type="http://schemas.openxmlformats.org/officeDocument/2006/relationships/hyperlink" Target="https://www.sortlist.de/s/ai-marketing/deutschland-de" TargetMode="External"/><Relationship Id="rId21" Type="http://schemas.openxmlformats.org/officeDocument/2006/relationships/hyperlink" Target="http://feedbax.ai" TargetMode="External"/><Relationship Id="rId24" Type="http://schemas.openxmlformats.org/officeDocument/2006/relationships/hyperlink" Target="https://edisonmoment.com/agency/best/performance-marketing-agency-berlin" TargetMode="External"/><Relationship Id="rId23" Type="http://schemas.openxmlformats.org/officeDocument/2006/relationships/hyperlink" Target="http://sortlist.de" TargetMode="External"/><Relationship Id="rId26" Type="http://schemas.openxmlformats.org/officeDocument/2006/relationships/hyperlink" Target="https://themanifest.com/de/creative/agencies" TargetMode="External"/><Relationship Id="rId25" Type="http://schemas.openxmlformats.org/officeDocument/2006/relationships/hyperlink" Target="http://edisonmoment.com" TargetMode="External"/><Relationship Id="rId28" Type="http://schemas.openxmlformats.org/officeDocument/2006/relationships/hyperlink" Target="https://edisonmoment.com/agency/best/performance-marketing-agency-germany" TargetMode="External"/><Relationship Id="rId27" Type="http://schemas.openxmlformats.org/officeDocument/2006/relationships/hyperlink" Target="http://themanifest.com" TargetMode="External"/><Relationship Id="rId29" Type="http://schemas.openxmlformats.org/officeDocument/2006/relationships/hyperlink" Target="http://edisonmoment.com" TargetMode="External"/><Relationship Id="rId11" Type="http://schemas.openxmlformats.org/officeDocument/2006/relationships/hyperlink" Target="http://techbehemoths.com" TargetMode="External"/><Relationship Id="rId10" Type="http://schemas.openxmlformats.org/officeDocument/2006/relationships/hyperlink" Target="https://techbehemoths.com/companies/google-marketing-platform/germany" TargetMode="External"/><Relationship Id="rId13" Type="http://schemas.openxmlformats.org/officeDocument/2006/relationships/hyperlink" Target="http://techbehemoths.com" TargetMode="External"/><Relationship Id="rId12" Type="http://schemas.openxmlformats.org/officeDocument/2006/relationships/hyperlink" Target="https://techbehemoths.com/companies/media-planning-buying/germany" TargetMode="External"/><Relationship Id="rId15" Type="http://schemas.openxmlformats.org/officeDocument/2006/relationships/hyperlink" Target="http://geoagenturen.de" TargetMode="External"/><Relationship Id="rId14" Type="http://schemas.openxmlformats.org/officeDocument/2006/relationships/hyperlink" Target="https://www.geoagenturen.de/directory" TargetMode="External"/><Relationship Id="rId17" Type="http://schemas.openxmlformats.org/officeDocument/2006/relationships/hyperlink" Target="http://performance-marketing-agency-berlin.com" TargetMode="External"/><Relationship Id="rId16" Type="http://schemas.openxmlformats.org/officeDocument/2006/relationships/hyperlink" Target="https://performance-marketing-agency-berlin.com/marketing-analytics/berlin" TargetMode="External"/><Relationship Id="rId19" Type="http://schemas.openxmlformats.org/officeDocument/2006/relationships/hyperlink" Target="http://feedbax.ai" TargetMode="External"/><Relationship Id="rId18" Type="http://schemas.openxmlformats.org/officeDocument/2006/relationships/hyperlink" Target="https://feedbax.ai/advertising/germany" TargetMode="External"/><Relationship Id="rId84" Type="http://schemas.openxmlformats.org/officeDocument/2006/relationships/hyperlink" Target="https://mmaglobal.com/smarties/business-impact-index?category=Agency+Network&amp;region=Germany&amp;year=2024" TargetMode="External"/><Relationship Id="rId83" Type="http://schemas.openxmlformats.org/officeDocument/2006/relationships/hyperlink" Target="http://ibusiness.de" TargetMode="External"/><Relationship Id="rId86" Type="http://schemas.openxmlformats.org/officeDocument/2006/relationships/hyperlink" Target="https://omr.com/de/reviews/service/smarketer-group" TargetMode="External"/><Relationship Id="rId85" Type="http://schemas.openxmlformats.org/officeDocument/2006/relationships/hyperlink" Target="http://mmaglobal.com" TargetMode="External"/><Relationship Id="rId88" Type="http://schemas.openxmlformats.org/officeDocument/2006/relationships/hyperlink" Target="https://www.trkkn.com/company/" TargetMode="External"/><Relationship Id="rId87" Type="http://schemas.openxmlformats.org/officeDocument/2006/relationships/hyperlink" Target="http://omr.com" TargetMode="External"/><Relationship Id="rId89" Type="http://schemas.openxmlformats.org/officeDocument/2006/relationships/hyperlink" Target="http://trkkn.com" TargetMode="External"/><Relationship Id="rId80" Type="http://schemas.openxmlformats.org/officeDocument/2006/relationships/hyperlink" Target="https://www.gwa.de/agentur/scholz-friends-rec6exos7k6ou0wlx/" TargetMode="External"/><Relationship Id="rId82" Type="http://schemas.openxmlformats.org/officeDocument/2006/relationships/hyperlink" Target="https://www.ibusiness.de/performance-ranking/performance_2023" TargetMode="External"/><Relationship Id="rId81" Type="http://schemas.openxmlformats.org/officeDocument/2006/relationships/hyperlink" Target="http://gwa.de" TargetMode="External"/><Relationship Id="rId73" Type="http://schemas.openxmlformats.org/officeDocument/2006/relationships/hyperlink" Target="http://wikipedia.org" TargetMode="External"/><Relationship Id="rId72" Type="http://schemas.openxmlformats.org/officeDocument/2006/relationships/hyperlink" Target="https://de.wikipedia.org/wiki/Scholz_%26_Friends" TargetMode="External"/><Relationship Id="rId75" Type="http://schemas.openxmlformats.org/officeDocument/2006/relationships/hyperlink" Target="http://feedbax.ai" TargetMode="External"/><Relationship Id="rId74" Type="http://schemas.openxmlformats.org/officeDocument/2006/relationships/hyperlink" Target="https://feedbax.ai/geo-agencies" TargetMode="External"/><Relationship Id="rId77" Type="http://schemas.openxmlformats.org/officeDocument/2006/relationships/hyperlink" Target="http://geoagenturen.de" TargetMode="External"/><Relationship Id="rId76" Type="http://schemas.openxmlformats.org/officeDocument/2006/relationships/hyperlink" Target="https://www.geoagenturen.de/directory?location=Berlin" TargetMode="External"/><Relationship Id="rId79" Type="http://schemas.openxmlformats.org/officeDocument/2006/relationships/hyperlink" Target="http://getrecast.com" TargetMode="External"/><Relationship Id="rId78" Type="http://schemas.openxmlformats.org/officeDocument/2006/relationships/hyperlink" Target="https://getrecast.com/recast-llm-information/" TargetMode="External"/><Relationship Id="rId71" Type="http://schemas.openxmlformats.org/officeDocument/2006/relationships/hyperlink" Target="http://linkedin.com" TargetMode="External"/><Relationship Id="rId70" Type="http://schemas.openxmlformats.org/officeDocument/2006/relationships/hyperlink" Target="https://de.linkedin.com/company/mawave-marketing" TargetMode="External"/><Relationship Id="rId62" Type="http://schemas.openxmlformats.org/officeDocument/2006/relationships/hyperlink" Target="https://www.hyam.de/en/branding-agency" TargetMode="External"/><Relationship Id="rId61" Type="http://schemas.openxmlformats.org/officeDocument/2006/relationships/hyperlink" Target="http://wikipedia.org" TargetMode="External"/><Relationship Id="rId64" Type="http://schemas.openxmlformats.org/officeDocument/2006/relationships/hyperlink" Target="https://www.smarketer.de/google-partner/" TargetMode="External"/><Relationship Id="rId63" Type="http://schemas.openxmlformats.org/officeDocument/2006/relationships/hyperlink" Target="http://hyam.de" TargetMode="External"/><Relationship Id="rId66" Type="http://schemas.openxmlformats.org/officeDocument/2006/relationships/hyperlink" Target="https://www.sortlist.de/s/kunstliche-intelligenz/deutschland-de" TargetMode="External"/><Relationship Id="rId65" Type="http://schemas.openxmlformats.org/officeDocument/2006/relationships/hyperlink" Target="http://smarketer.de" TargetMode="External"/><Relationship Id="rId68" Type="http://schemas.openxmlformats.org/officeDocument/2006/relationships/hyperlink" Target="https://clutch.co/de/seo-firms" TargetMode="External"/><Relationship Id="rId67" Type="http://schemas.openxmlformats.org/officeDocument/2006/relationships/hyperlink" Target="http://sortlist.de" TargetMode="External"/><Relationship Id="rId60" Type="http://schemas.openxmlformats.org/officeDocument/2006/relationships/hyperlink" Target="https://de.wikipedia.org/wiki/Serviceplan_Group" TargetMode="External"/><Relationship Id="rId69" Type="http://schemas.openxmlformats.org/officeDocument/2006/relationships/hyperlink" Target="http://clutch.co" TargetMode="External"/><Relationship Id="rId51" Type="http://schemas.openxmlformats.org/officeDocument/2006/relationships/hyperlink" Target="http://42digital.de" TargetMode="External"/><Relationship Id="rId50" Type="http://schemas.openxmlformats.org/officeDocument/2006/relationships/hyperlink" Target="https://www.42digital.de/google-marketing-platform/" TargetMode="External"/><Relationship Id="rId53" Type="http://schemas.openxmlformats.org/officeDocument/2006/relationships/hyperlink" Target="http://bbdo.de" TargetMode="External"/><Relationship Id="rId52" Type="http://schemas.openxmlformats.org/officeDocument/2006/relationships/hyperlink" Target="https://bbdo.de/about/" TargetMode="External"/><Relationship Id="rId55" Type="http://schemas.openxmlformats.org/officeDocument/2006/relationships/hyperlink" Target="http://linkedin.com" TargetMode="External"/><Relationship Id="rId54" Type="http://schemas.openxmlformats.org/officeDocument/2006/relationships/hyperlink" Target="https://de.linkedin.com/company/jung-von-matt" TargetMode="External"/><Relationship Id="rId57" Type="http://schemas.openxmlformats.org/officeDocument/2006/relationships/hyperlink" Target="http://edisonmoment.com" TargetMode="External"/><Relationship Id="rId56" Type="http://schemas.openxmlformats.org/officeDocument/2006/relationships/hyperlink" Target="https://edisonmoment.com/agency/best/digital-marketing-agency-germany" TargetMode="External"/><Relationship Id="rId59" Type="http://schemas.openxmlformats.org/officeDocument/2006/relationships/hyperlink" Target="http://seo-kueche.de" TargetMode="External"/><Relationship Id="rId58" Type="http://schemas.openxmlformats.org/officeDocument/2006/relationships/hyperlink" Target="https://www.seo-kueche.de/die-10-besten-geo-seo-agenturen-aus-deutschland-im-vergleich-ranking-2026/" TargetMode="External"/><Relationship Id="rId95" Type="http://schemas.openxmlformats.org/officeDocument/2006/relationships/hyperlink" Target="http://semrush.com" TargetMode="External"/><Relationship Id="rId94" Type="http://schemas.openxmlformats.org/officeDocument/2006/relationships/hyperlink" Target="https://agencies.semrush.com/list/ai-optimization/hamburg/" TargetMode="External"/><Relationship Id="rId97" Type="http://schemas.openxmlformats.org/officeDocument/2006/relationships/hyperlink" Target="http://attributy.de" TargetMode="External"/><Relationship Id="rId96" Type="http://schemas.openxmlformats.org/officeDocument/2006/relationships/hyperlink" Target="https://attributy.de/about" TargetMode="External"/><Relationship Id="rId99" Type="http://schemas.openxmlformats.org/officeDocument/2006/relationships/hyperlink" Target="http://linkedin.com" TargetMode="External"/><Relationship Id="rId98" Type="http://schemas.openxmlformats.org/officeDocument/2006/relationships/hyperlink" Target="https://de.linkedin.com/company/the-boutique-agency-de" TargetMode="External"/><Relationship Id="rId91" Type="http://schemas.openxmlformats.org/officeDocument/2006/relationships/hyperlink" Target="http://werbeagentur.de" TargetMode="External"/><Relationship Id="rId90" Type="http://schemas.openxmlformats.org/officeDocument/2006/relationships/hyperlink" Target="https://www.werbeagentur.de/en/scoring/ab-testing" TargetMode="External"/><Relationship Id="rId93" Type="http://schemas.openxmlformats.org/officeDocument/2006/relationships/hyperlink" Target="http://adspecialist.de" TargetMode="External"/><Relationship Id="rId92" Type="http://schemas.openxmlformats.org/officeDocument/2006/relationships/hyperlink" Target="https://www.adspecialist.de/en/channel-data-driven-marketing-agentur/" TargetMode="External"/><Relationship Id="rId305" Type="http://schemas.openxmlformats.org/officeDocument/2006/relationships/hyperlink" Target="http://wpp.com" TargetMode="External"/><Relationship Id="rId304" Type="http://schemas.openxmlformats.org/officeDocument/2006/relationships/hyperlink" Target="https://www.wpp.com/en/about" TargetMode="External"/><Relationship Id="rId303" Type="http://schemas.openxmlformats.org/officeDocument/2006/relationships/hyperlink" Target="http://werbeagentur.de" TargetMode="External"/><Relationship Id="rId302" Type="http://schemas.openxmlformats.org/officeDocument/2006/relationships/hyperlink" Target="https://www.werbeagentur.de/de/scoring/ab-testing" TargetMode="External"/><Relationship Id="rId309" Type="http://schemas.openxmlformats.org/officeDocument/2006/relationships/hyperlink" Target="http://wpp.com" TargetMode="External"/><Relationship Id="rId308" Type="http://schemas.openxmlformats.org/officeDocument/2006/relationships/hyperlink" Target="https://www.wpp.com/en/companies/scholz--friends" TargetMode="External"/><Relationship Id="rId307" Type="http://schemas.openxmlformats.org/officeDocument/2006/relationships/hyperlink" Target="http://wpp.com" TargetMode="External"/><Relationship Id="rId306" Type="http://schemas.openxmlformats.org/officeDocument/2006/relationships/hyperlink" Target="https://www.wpp.com/en/about/our-company" TargetMode="External"/><Relationship Id="rId301" Type="http://schemas.openxmlformats.org/officeDocument/2006/relationships/hyperlink" Target="http://werbeagentur.de" TargetMode="External"/><Relationship Id="rId300" Type="http://schemas.openxmlformats.org/officeDocument/2006/relationships/hyperlink" Target="https://www.werbeagentur.de/de/a/artefact-germany-gmbh" TargetMode="External"/><Relationship Id="rId312" Type="http://schemas.openxmlformats.org/officeDocument/2006/relationships/drawing" Target="../drawings/drawing30.xml"/><Relationship Id="rId311" Type="http://schemas.openxmlformats.org/officeDocument/2006/relationships/hyperlink" Target="http://zeotap.com" TargetMode="External"/><Relationship Id="rId310" Type="http://schemas.openxmlformats.org/officeDocument/2006/relationships/hyperlink" Target="https://zeotap.com/our-partner/trkkn/" TargetMode="External"/><Relationship Id="rId297" Type="http://schemas.openxmlformats.org/officeDocument/2006/relationships/hyperlink" Target="http://trendkraft.io" TargetMode="External"/><Relationship Id="rId296" Type="http://schemas.openxmlformats.org/officeDocument/2006/relationships/hyperlink" Target="https://trendkraft.io/agentur/boutique-agency" TargetMode="External"/><Relationship Id="rId295" Type="http://schemas.openxmlformats.org/officeDocument/2006/relationships/hyperlink" Target="http://tradefest.io" TargetMode="External"/><Relationship Id="rId294" Type="http://schemas.openxmlformats.org/officeDocument/2006/relationships/hyperlink" Target="https://tradefest.io/es/event/d3con" TargetMode="External"/><Relationship Id="rId299" Type="http://schemas.openxmlformats.org/officeDocument/2006/relationships/hyperlink" Target="http://usercentrics.com" TargetMode="External"/><Relationship Id="rId298" Type="http://schemas.openxmlformats.org/officeDocument/2006/relationships/hyperlink" Target="https://usercentrics.com/partner-network/jung-von-matt-ag/" TargetMode="External"/><Relationship Id="rId271" Type="http://schemas.openxmlformats.org/officeDocument/2006/relationships/hyperlink" Target="https://www.rapp.com/locations/berlin/" TargetMode="External"/><Relationship Id="rId270" Type="http://schemas.openxmlformats.org/officeDocument/2006/relationships/hyperlink" Target="http://rankscale.ai" TargetMode="External"/><Relationship Id="rId269" Type="http://schemas.openxmlformats.org/officeDocument/2006/relationships/hyperlink" Target="https://rankscale.ai/agency-directory" TargetMode="External"/><Relationship Id="rId264" Type="http://schemas.openxmlformats.org/officeDocument/2006/relationships/hyperlink" Target="http://omr.com" TargetMode="External"/><Relationship Id="rId263" Type="http://schemas.openxmlformats.org/officeDocument/2006/relationships/hyperlink" Target="https://omr.com/de/reviews/service/projecter" TargetMode="External"/><Relationship Id="rId262" Type="http://schemas.openxmlformats.org/officeDocument/2006/relationships/hyperlink" Target="http://northdata.com" TargetMode="External"/><Relationship Id="rId261" Type="http://schemas.openxmlformats.org/officeDocument/2006/relationships/hyperlink" Target="https://www.northdata.com/AKQA%20GmbH,%20Berlin/Amtsgericht%20Charlottenburg%20%28Berlin%29%20HRB%20125754%20B" TargetMode="External"/><Relationship Id="rId268" Type="http://schemas.openxmlformats.org/officeDocument/2006/relationships/hyperlink" Target="http://publicisgroupeuk.com" TargetMode="External"/><Relationship Id="rId267" Type="http://schemas.openxmlformats.org/officeDocument/2006/relationships/hyperlink" Target="https://www.publicisgroupeuk.com/what-we-do/production/" TargetMode="External"/><Relationship Id="rId266" Type="http://schemas.openxmlformats.org/officeDocument/2006/relationships/hyperlink" Target="http://oneclub.org" TargetMode="External"/><Relationship Id="rId265" Type="http://schemas.openxmlformats.org/officeDocument/2006/relationships/hyperlink" Target="https://www.oneclub.org/awards/rankings/-archive/agency/2025/all/all/2/276" TargetMode="External"/><Relationship Id="rId260" Type="http://schemas.openxmlformats.org/officeDocument/2006/relationships/hyperlink" Target="http://nielsen.com" TargetMode="External"/><Relationship Id="rId259" Type="http://schemas.openxmlformats.org/officeDocument/2006/relationships/hyperlink" Target="https://www.nielsen.com/about-us/locations/germany/" TargetMode="External"/><Relationship Id="rId258" Type="http://schemas.openxmlformats.org/officeDocument/2006/relationships/hyperlink" Target="http://neuhandeln.de" TargetMode="External"/><Relationship Id="rId253" Type="http://schemas.openxmlformats.org/officeDocument/2006/relationships/hyperlink" Target="https://www.networkgain.com/services/enterprise-ai-readiness-adoption/" TargetMode="External"/><Relationship Id="rId252" Type="http://schemas.openxmlformats.org/officeDocument/2006/relationships/hyperlink" Target="http://localperformance.com" TargetMode="External"/><Relationship Id="rId251" Type="http://schemas.openxmlformats.org/officeDocument/2006/relationships/hyperlink" Target="https://www.localperformance.com/2026/02/25/wir-sind-stolzer-google-premier-partner-2026/" TargetMode="External"/><Relationship Id="rId250" Type="http://schemas.openxmlformats.org/officeDocument/2006/relationships/hyperlink" Target="http://linkedin.com" TargetMode="External"/><Relationship Id="rId257" Type="http://schemas.openxmlformats.org/officeDocument/2006/relationships/hyperlink" Target="https://www.neuhandeln.de/performance-ranking/performance_2024.html?sub=18" TargetMode="External"/><Relationship Id="rId256" Type="http://schemas.openxmlformats.org/officeDocument/2006/relationships/hyperlink" Target="http://neuhandeln.de" TargetMode="External"/><Relationship Id="rId255" Type="http://schemas.openxmlformats.org/officeDocument/2006/relationships/hyperlink" Target="https://www.neuhandeln.de/performance-ranking/performance_2022.html" TargetMode="External"/><Relationship Id="rId254" Type="http://schemas.openxmlformats.org/officeDocument/2006/relationships/hyperlink" Target="http://networkgain.com" TargetMode="External"/><Relationship Id="rId293" Type="http://schemas.openxmlformats.org/officeDocument/2006/relationships/hyperlink" Target="http://topinteractiveagencies.com" TargetMode="External"/><Relationship Id="rId292" Type="http://schemas.openxmlformats.org/officeDocument/2006/relationships/hyperlink" Target="https://www.topinteractiveagencies.com/digital/agency/profile/europe/germany-deutschland/munich/serviceplan-group/" TargetMode="External"/><Relationship Id="rId291" Type="http://schemas.openxmlformats.org/officeDocument/2006/relationships/hyperlink" Target="http://threebestrated.de" TargetMode="External"/><Relationship Id="rId290" Type="http://schemas.openxmlformats.org/officeDocument/2006/relationships/hyperlink" Target="https://threebestrated.de/advertising-agencies-in-frankfurt" TargetMode="External"/><Relationship Id="rId286" Type="http://schemas.openxmlformats.org/officeDocument/2006/relationships/hyperlink" Target="https://www.studiocherie.net/en/content-studio" TargetMode="External"/><Relationship Id="rId285" Type="http://schemas.openxmlformats.org/officeDocument/2006/relationships/hyperlink" Target="http://selectedfirms.co" TargetMode="External"/><Relationship Id="rId284" Type="http://schemas.openxmlformats.org/officeDocument/2006/relationships/hyperlink" Target="https://selectedfirms.co/agency/hy-am-studios" TargetMode="External"/><Relationship Id="rId283" Type="http://schemas.openxmlformats.org/officeDocument/2006/relationships/hyperlink" Target="http://saint-elmos.com" TargetMode="External"/><Relationship Id="rId289" Type="http://schemas.openxmlformats.org/officeDocument/2006/relationships/hyperlink" Target="http://techbehemoths.com" TargetMode="External"/><Relationship Id="rId288" Type="http://schemas.openxmlformats.org/officeDocument/2006/relationships/hyperlink" Target="https://techbehemoths.com/companies/outdoor-advertising/germany" TargetMode="External"/><Relationship Id="rId287" Type="http://schemas.openxmlformats.org/officeDocument/2006/relationships/hyperlink" Target="http://studiocherie.net" TargetMode="External"/><Relationship Id="rId282" Type="http://schemas.openxmlformats.org/officeDocument/2006/relationships/hyperlink" Target="https://saint-elmos.com/agencies/" TargetMode="External"/><Relationship Id="rId281" Type="http://schemas.openxmlformats.org/officeDocument/2006/relationships/hyperlink" Target="https://www.s-f.family/services" TargetMode="External"/><Relationship Id="rId280" Type="http://schemas.openxmlformats.org/officeDocument/2006/relationships/hyperlink" Target="http://rit.de" TargetMode="External"/><Relationship Id="rId275" Type="http://schemas.openxmlformats.org/officeDocument/2006/relationships/hyperlink" Target="https://www.red-dot.org/de/siegerprofile/serviceplan-germany/2025" TargetMode="External"/><Relationship Id="rId274" Type="http://schemas.openxmlformats.org/officeDocument/2006/relationships/hyperlink" Target="http://red-dot.org" TargetMode="External"/><Relationship Id="rId273" Type="http://schemas.openxmlformats.org/officeDocument/2006/relationships/hyperlink" Target="https://www.red-dot.org/de/siegerprofile/akqa/2025" TargetMode="External"/><Relationship Id="rId272" Type="http://schemas.openxmlformats.org/officeDocument/2006/relationships/hyperlink" Target="http://rapp.com" TargetMode="External"/><Relationship Id="rId279" Type="http://schemas.openxmlformats.org/officeDocument/2006/relationships/hyperlink" Target="https://www.rit.de/loesungen/ki-und-daten/ai-readiness-check" TargetMode="External"/><Relationship Id="rId278" Type="http://schemas.openxmlformats.org/officeDocument/2006/relationships/hyperlink" Target="http://red-dot.org" TargetMode="External"/><Relationship Id="rId277" Type="http://schemas.openxmlformats.org/officeDocument/2006/relationships/hyperlink" Target="https://www.red-dot.org/serviceplan" TargetMode="External"/><Relationship Id="rId276" Type="http://schemas.openxmlformats.org/officeDocument/2006/relationships/hyperlink" Target="http://red-dot.org" TargetMode="External"/><Relationship Id="rId228" Type="http://schemas.openxmlformats.org/officeDocument/2006/relationships/hyperlink" Target="http://gwa.de" TargetMode="External"/><Relationship Id="rId227" Type="http://schemas.openxmlformats.org/officeDocument/2006/relationships/hyperlink" Target="https://www.gwa.de/agentur/jung-von-matt-recdoadq0ys6eetsm/" TargetMode="External"/><Relationship Id="rId226" Type="http://schemas.openxmlformats.org/officeDocument/2006/relationships/hyperlink" Target="http://glassdoor.com" TargetMode="External"/><Relationship Id="rId225" Type="http://schemas.openxmlformats.org/officeDocument/2006/relationships/hyperlink" Target="https://www.glassdoor.com/Overview/Working-at-Jung-von-Matt-EI_IE473243.11,24.htm" TargetMode="External"/><Relationship Id="rId229" Type="http://schemas.openxmlformats.org/officeDocument/2006/relationships/hyperlink" Target="https://www.hopmann.com/en/company/" TargetMode="External"/><Relationship Id="rId220" Type="http://schemas.openxmlformats.org/officeDocument/2006/relationships/hyperlink" Target="http://feedbax.ai" TargetMode="External"/><Relationship Id="rId224" Type="http://schemas.openxmlformats.org/officeDocument/2006/relationships/hyperlink" Target="http://genedge.co" TargetMode="External"/><Relationship Id="rId223" Type="http://schemas.openxmlformats.org/officeDocument/2006/relationships/hyperlink" Target="https://genedge.co/newsletter" TargetMode="External"/><Relationship Id="rId222" Type="http://schemas.openxmlformats.org/officeDocument/2006/relationships/hyperlink" Target="http://feld-m.de" TargetMode="External"/><Relationship Id="rId221" Type="http://schemas.openxmlformats.org/officeDocument/2006/relationships/hyperlink" Target="https://www.feld-m.de/kontakt/" TargetMode="External"/><Relationship Id="rId217" Type="http://schemas.openxmlformats.org/officeDocument/2006/relationships/hyperlink" Target="https://feedbax.ai/performance-marketing/dach" TargetMode="External"/><Relationship Id="rId216" Type="http://schemas.openxmlformats.org/officeDocument/2006/relationships/hyperlink" Target="http://feedbax.ai" TargetMode="External"/><Relationship Id="rId215" Type="http://schemas.openxmlformats.org/officeDocument/2006/relationships/hyperlink" Target="https://feedbax.ai/google-ads/dach" TargetMode="External"/><Relationship Id="rId214" Type="http://schemas.openxmlformats.org/officeDocument/2006/relationships/hyperlink" Target="http://feedbax.ai" TargetMode="External"/><Relationship Id="rId219" Type="http://schemas.openxmlformats.org/officeDocument/2006/relationships/hyperlink" Target="https://feedbax.ai/performance-marketing/frankfurt" TargetMode="External"/><Relationship Id="rId218" Type="http://schemas.openxmlformats.org/officeDocument/2006/relationships/hyperlink" Target="http://feedbax.ai" TargetMode="External"/><Relationship Id="rId213" Type="http://schemas.openxmlformats.org/officeDocument/2006/relationships/hyperlink" Target="https://feedbax.ai/ai/germany" TargetMode="External"/><Relationship Id="rId212" Type="http://schemas.openxmlformats.org/officeDocument/2006/relationships/hyperlink" Target="http://wikipedia.org" TargetMode="External"/><Relationship Id="rId211" Type="http://schemas.openxmlformats.org/officeDocument/2006/relationships/hyperlink" Target="https://en.wikipedia.org/wiki/Serviceplan_Group" TargetMode="External"/><Relationship Id="rId210" Type="http://schemas.openxmlformats.org/officeDocument/2006/relationships/hyperlink" Target="http://hubspot.com" TargetMode="External"/><Relationship Id="rId249" Type="http://schemas.openxmlformats.org/officeDocument/2006/relationships/hyperlink" Target="https://www.linkedin.com/company/thjnk" TargetMode="External"/><Relationship Id="rId248" Type="http://schemas.openxmlformats.org/officeDocument/2006/relationships/hyperlink" Target="http://lbbonline.com" TargetMode="External"/><Relationship Id="rId247" Type="http://schemas.openxmlformats.org/officeDocument/2006/relationships/hyperlink" Target="https://lbbonline.com/companies/Mediaplus-Group/about" TargetMode="External"/><Relationship Id="rId242" Type="http://schemas.openxmlformats.org/officeDocument/2006/relationships/hyperlink" Target="http://hyam.de" TargetMode="External"/><Relationship Id="rId241" Type="http://schemas.openxmlformats.org/officeDocument/2006/relationships/hyperlink" Target="https://www.hyam.de/kreativagentur" TargetMode="External"/><Relationship Id="rId240" Type="http://schemas.openxmlformats.org/officeDocument/2006/relationships/hyperlink" Target="http://house-of-communication.com" TargetMode="External"/><Relationship Id="rId246" Type="http://schemas.openxmlformats.org/officeDocument/2006/relationships/hyperlink" Target="http://langdock.com" TargetMode="External"/><Relationship Id="rId245" Type="http://schemas.openxmlformats.org/officeDocument/2006/relationships/hyperlink" Target="https://langdock.com/de/partners/directory" TargetMode="External"/><Relationship Id="rId244" Type="http://schemas.openxmlformats.org/officeDocument/2006/relationships/hyperlink" Target="http://ibusiness.de" TargetMode="External"/><Relationship Id="rId243" Type="http://schemas.openxmlformats.org/officeDocument/2006/relationships/hyperlink" Target="https://www.ibusiness.de/performance-ranking/performance_2025.html?sub=27" TargetMode="External"/><Relationship Id="rId239" Type="http://schemas.openxmlformats.org/officeDocument/2006/relationships/hyperlink" Target="https://www.house-of-communication.com/int/en/brands/mediaplus/our-expertise.html" TargetMode="External"/><Relationship Id="rId238" Type="http://schemas.openxmlformats.org/officeDocument/2006/relationships/hyperlink" Target="http://house-of-communication.com" TargetMode="External"/><Relationship Id="rId237" Type="http://schemas.openxmlformats.org/officeDocument/2006/relationships/hyperlink" Target="https://www.house-of-communication.com/es/en/brands/serviceplan.html" TargetMode="External"/><Relationship Id="rId236" Type="http://schemas.openxmlformats.org/officeDocument/2006/relationships/hyperlink" Target="http://house-of-communication.com" TargetMode="External"/><Relationship Id="rId231" Type="http://schemas.openxmlformats.org/officeDocument/2006/relationships/hyperlink" Target="https://www.house-of-communication.com/de/en/brands/mediaplus/landingpages/awards.html" TargetMode="External"/><Relationship Id="rId230" Type="http://schemas.openxmlformats.org/officeDocument/2006/relationships/hyperlink" Target="http://hopmann.com" TargetMode="External"/><Relationship Id="rId235" Type="http://schemas.openxmlformats.org/officeDocument/2006/relationships/hyperlink" Target="https://www.house-of-communication.com/de/en/brands/serviceplan.html" TargetMode="External"/><Relationship Id="rId234" Type="http://schemas.openxmlformats.org/officeDocument/2006/relationships/hyperlink" Target="http://house-of-communication.com" TargetMode="External"/><Relationship Id="rId233" Type="http://schemas.openxmlformats.org/officeDocument/2006/relationships/hyperlink" Target="https://www.house-of-communication.com/de/en/brands/mediaplus/our-expertise.html" TargetMode="External"/><Relationship Id="rId232" Type="http://schemas.openxmlformats.org/officeDocument/2006/relationships/hyperlink" Target="http://house-of-communication.com" TargetMode="External"/><Relationship Id="rId206" Type="http://schemas.openxmlformats.org/officeDocument/2006/relationships/hyperlink" Target="http://digitalagencynetwork.com" TargetMode="External"/><Relationship Id="rId205" Type="http://schemas.openxmlformats.org/officeDocument/2006/relationships/hyperlink" Target="https://digitalagencynetwork.com/agencies/europe/geo/" TargetMode="External"/><Relationship Id="rId204" Type="http://schemas.openxmlformats.org/officeDocument/2006/relationships/hyperlink" Target="http://wikipedia.org" TargetMode="External"/><Relationship Id="rId203" Type="http://schemas.openxmlformats.org/officeDocument/2006/relationships/hyperlink" Target="https://de.wikipedia.org/wiki/Pilot_Group" TargetMode="External"/><Relationship Id="rId209" Type="http://schemas.openxmlformats.org/officeDocument/2006/relationships/hyperlink" Target="https://ecosystem.hubspot.com/marketplace/solutions/saphirsolution" TargetMode="External"/><Relationship Id="rId208" Type="http://schemas.openxmlformats.org/officeDocument/2006/relationships/hyperlink" Target="http://partnerpage.io" TargetMode="External"/><Relationship Id="rId207" Type="http://schemas.openxmlformats.org/officeDocument/2006/relationships/hyperlink" Target="https://ecom-unity.partnerpage.io/mawave-marketing" TargetMode="External"/><Relationship Id="rId202" Type="http://schemas.openxmlformats.org/officeDocument/2006/relationships/hyperlink" Target="http://wikipedia.org" TargetMode="External"/><Relationship Id="rId201" Type="http://schemas.openxmlformats.org/officeDocument/2006/relationships/hyperlink" Target="https://de.wikipedia.org/wiki/DDB_%28Deutschland%29" TargetMode="External"/><Relationship Id="rId200" Type="http://schemas.openxmlformats.org/officeDocument/2006/relationships/hyperlink" Target="http://linkedin.com" TargetMode="External"/><Relationship Id="rId1" Type="http://schemas.openxmlformats.org/officeDocument/2006/relationships/hyperlink" Target="http://semrush.com" TargetMode="External"/><Relationship Id="rId2" Type="http://schemas.openxmlformats.org/officeDocument/2006/relationships/hyperlink" Target="https://klickpiloten.de/en/agency/company" TargetMode="External"/><Relationship Id="rId3" Type="http://schemas.openxmlformats.org/officeDocument/2006/relationships/hyperlink" Target="http://klickpiloten.de" TargetMode="External"/><Relationship Id="rId4" Type="http://schemas.openxmlformats.org/officeDocument/2006/relationships/hyperlink" Target="https://www.42digital.de/en/google-marketing-platform-partner-42digital/" TargetMode="External"/><Relationship Id="rId9" Type="http://schemas.openxmlformats.org/officeDocument/2006/relationships/hyperlink" Target="http://feedbax.ai" TargetMode="External"/><Relationship Id="rId5" Type="http://schemas.openxmlformats.org/officeDocument/2006/relationships/hyperlink" Target="http://42digital.de" TargetMode="External"/><Relationship Id="rId6" Type="http://schemas.openxmlformats.org/officeDocument/2006/relationships/hyperlink" Target="https://digitalagencynetwork.com/agencies/berlin/" TargetMode="External"/><Relationship Id="rId7" Type="http://schemas.openxmlformats.org/officeDocument/2006/relationships/hyperlink" Target="http://digitalagencynetwork.com" TargetMode="External"/><Relationship Id="rId8" Type="http://schemas.openxmlformats.org/officeDocument/2006/relationships/hyperlink" Target="https://feedbax.ai/performance-marketing/germany" TargetMode="External"/><Relationship Id="rId190" Type="http://schemas.openxmlformats.org/officeDocument/2006/relationships/hyperlink" Target="http://pr-journal.de" TargetMode="External"/><Relationship Id="rId194" Type="http://schemas.openxmlformats.org/officeDocument/2006/relationships/hyperlink" Target="http://linkedin.com" TargetMode="External"/><Relationship Id="rId193" Type="http://schemas.openxmlformats.org/officeDocument/2006/relationships/hyperlink" Target="https://de.linkedin.com/company/deptagency" TargetMode="External"/><Relationship Id="rId192" Type="http://schemas.openxmlformats.org/officeDocument/2006/relationships/hyperlink" Target="http://linkedin.com" TargetMode="External"/><Relationship Id="rId191" Type="http://schemas.openxmlformats.org/officeDocument/2006/relationships/hyperlink" Target="https://de.linkedin.com/company/ddb-germany" TargetMode="External"/><Relationship Id="rId187" Type="http://schemas.openxmlformats.org/officeDocument/2006/relationships/hyperlink" Target="https://www.datalogue.de/about-datalogue/en/about-us/" TargetMode="External"/><Relationship Id="rId186" Type="http://schemas.openxmlformats.org/officeDocument/2006/relationships/hyperlink" Target="http://customlytics.com" TargetMode="External"/><Relationship Id="rId185" Type="http://schemas.openxmlformats.org/officeDocument/2006/relationships/hyperlink" Target="https://customlytics.com/team/" TargetMode="External"/><Relationship Id="rId184" Type="http://schemas.openxmlformats.org/officeDocument/2006/relationships/hyperlink" Target="http://crunchbase.com" TargetMode="External"/><Relationship Id="rId189" Type="http://schemas.openxmlformats.org/officeDocument/2006/relationships/hyperlink" Target="https://datenbanken.pr-journal.de/pr-agenturrankings/pfeffers-pr-ranking.html?layout=detail&amp;type=201&amp;view=ranking" TargetMode="External"/><Relationship Id="rId188" Type="http://schemas.openxmlformats.org/officeDocument/2006/relationships/hyperlink" Target="http://datalogue.de" TargetMode="External"/><Relationship Id="rId183" Type="http://schemas.openxmlformats.org/officeDocument/2006/relationships/hyperlink" Target="https://www.crunchbase.com/organization/incrmntal" TargetMode="External"/><Relationship Id="rId182" Type="http://schemas.openxmlformats.org/officeDocument/2006/relationships/hyperlink" Target="http://claneo.com" TargetMode="External"/><Relationship Id="rId181" Type="http://schemas.openxmlformats.org/officeDocument/2006/relationships/hyperlink" Target="https://www.claneo.com/en/contact/" TargetMode="External"/><Relationship Id="rId180" Type="http://schemas.openxmlformats.org/officeDocument/2006/relationships/hyperlink" Target="http://businessofapps.com" TargetMode="External"/><Relationship Id="rId176" Type="http://schemas.openxmlformats.org/officeDocument/2006/relationships/hyperlink" Target="http://axelwin.com" TargetMode="External"/><Relationship Id="rId175" Type="http://schemas.openxmlformats.org/officeDocument/2006/relationships/hyperlink" Target="https://www.axelwin.com/aboutus" TargetMode="External"/><Relationship Id="rId174" Type="http://schemas.openxmlformats.org/officeDocument/2006/relationships/hyperlink" Target="http://aschendorff-next.de" TargetMode="External"/><Relationship Id="rId173" Type="http://schemas.openxmlformats.org/officeDocument/2006/relationships/hyperlink" Target="https://www.aschendorff-next.de/en/portfolio.php" TargetMode="External"/><Relationship Id="rId179" Type="http://schemas.openxmlformats.org/officeDocument/2006/relationships/hyperlink" Target="https://www.businessofapps.com/marketplace/ai-marketing/" TargetMode="External"/><Relationship Id="rId178" Type="http://schemas.openxmlformats.org/officeDocument/2006/relationships/hyperlink" Target="http://batten-company.com" TargetMode="External"/><Relationship Id="rId177" Type="http://schemas.openxmlformats.org/officeDocument/2006/relationships/hyperlink" Target="https://www.batten-company.com/en/about-us/" TargetMode="External"/><Relationship Id="rId198" Type="http://schemas.openxmlformats.org/officeDocument/2006/relationships/hyperlink" Target="http://linkedin.com" TargetMode="External"/><Relationship Id="rId197" Type="http://schemas.openxmlformats.org/officeDocument/2006/relationships/hyperlink" Target="https://de.linkedin.com/company/scholz-&amp;-friends" TargetMode="External"/><Relationship Id="rId196" Type="http://schemas.openxmlformats.org/officeDocument/2006/relationships/hyperlink" Target="http://linkedin.com" TargetMode="External"/><Relationship Id="rId195" Type="http://schemas.openxmlformats.org/officeDocument/2006/relationships/hyperlink" Target="https://de.linkedin.com/company/hyamstudios" TargetMode="External"/><Relationship Id="rId199" Type="http://schemas.openxmlformats.org/officeDocument/2006/relationships/hyperlink" Target="https://de.linkedin.com/company/serviceplan-group" TargetMode="External"/><Relationship Id="rId150" Type="http://schemas.openxmlformats.org/officeDocument/2006/relationships/hyperlink" Target="http://social-media-agency-germany.com" TargetMode="External"/><Relationship Id="rId149" Type="http://schemas.openxmlformats.org/officeDocument/2006/relationships/hyperlink" Target="https://social-media-agency-germany.com/social-media-growth-agencies" TargetMode="External"/><Relationship Id="rId148" Type="http://schemas.openxmlformats.org/officeDocument/2006/relationships/hyperlink" Target="http://programmatic-agentur.de" TargetMode="External"/><Relationship Id="rId143" Type="http://schemas.openxmlformats.org/officeDocument/2006/relationships/hyperlink" Target="https://www.onetoone.de/performance-ranking/" TargetMode="External"/><Relationship Id="rId142" Type="http://schemas.openxmlformats.org/officeDocument/2006/relationships/hyperlink" Target="http://mutabor.de" TargetMode="External"/><Relationship Id="rId141" Type="http://schemas.openxmlformats.org/officeDocument/2006/relationships/hyperlink" Target="https://www.mutabor.de/en/about/" TargetMode="External"/><Relationship Id="rId140" Type="http://schemas.openxmlformats.org/officeDocument/2006/relationships/hyperlink" Target="http://merkle.com" TargetMode="External"/><Relationship Id="rId147" Type="http://schemas.openxmlformats.org/officeDocument/2006/relationships/hyperlink" Target="https://programmatic-agentur.de/display-anzeigen" TargetMode="External"/><Relationship Id="rId146" Type="http://schemas.openxmlformats.org/officeDocument/2006/relationships/hyperlink" Target="http://performance-marketing-agenturen-deutschland.de" TargetMode="External"/><Relationship Id="rId145" Type="http://schemas.openxmlformats.org/officeDocument/2006/relationships/hyperlink" Target="https://www.performance-marketing-agenturen-deutschland.de/performance-marketing-agenturen" TargetMode="External"/><Relationship Id="rId144" Type="http://schemas.openxmlformats.org/officeDocument/2006/relationships/hyperlink" Target="http://onetoone.de" TargetMode="External"/><Relationship Id="rId139" Type="http://schemas.openxmlformats.org/officeDocument/2006/relationships/hyperlink" Target="https://www.merkle.com/de/about-us/partnerships/google.html" TargetMode="External"/><Relationship Id="rId138" Type="http://schemas.openxmlformats.org/officeDocument/2006/relationships/hyperlink" Target="http://mawave.com" TargetMode="External"/><Relationship Id="rId137" Type="http://schemas.openxmlformats.org/officeDocument/2006/relationships/hyperlink" Target="https://www.mawave.com/kontakt" TargetMode="External"/><Relationship Id="rId132" Type="http://schemas.openxmlformats.org/officeDocument/2006/relationships/hyperlink" Target="http://ibusiness.de" TargetMode="External"/><Relationship Id="rId131" Type="http://schemas.openxmlformats.org/officeDocument/2006/relationships/hyperlink" Target="https://www.ibusiness.de/performance-ranking/performance_2024.html?sub=4" TargetMode="External"/><Relationship Id="rId130" Type="http://schemas.openxmlformats.org/officeDocument/2006/relationships/hyperlink" Target="http://house-of-communication.com" TargetMode="External"/><Relationship Id="rId136" Type="http://schemas.openxmlformats.org/officeDocument/2006/relationships/hyperlink" Target="http://mawave.com" TargetMode="External"/><Relationship Id="rId135" Type="http://schemas.openxmlformats.org/officeDocument/2006/relationships/hyperlink" Target="https://www.mawave.com/about" TargetMode="External"/><Relationship Id="rId134" Type="http://schemas.openxmlformats.org/officeDocument/2006/relationships/hyperlink" Target="http://langdock.com" TargetMode="External"/><Relationship Id="rId133" Type="http://schemas.openxmlformats.org/officeDocument/2006/relationships/hyperlink" Target="https://langdock.com/partners/directory" TargetMode="External"/><Relationship Id="rId172" Type="http://schemas.openxmlformats.org/officeDocument/2006/relationships/hyperlink" Target="http://arboro.de" TargetMode="External"/><Relationship Id="rId171" Type="http://schemas.openxmlformats.org/officeDocument/2006/relationships/hyperlink" Target="https://www.arboro.de/partner/google" TargetMode="External"/><Relationship Id="rId170" Type="http://schemas.openxmlformats.org/officeDocument/2006/relationships/hyperlink" Target="http://akqa.com" TargetMode="External"/><Relationship Id="rId165" Type="http://schemas.openxmlformats.org/officeDocument/2006/relationships/hyperlink" Target="https://agencies.semrush.com/de/hecht-ins-gefecht/" TargetMode="External"/><Relationship Id="rId164" Type="http://schemas.openxmlformats.org/officeDocument/2006/relationships/hyperlink" Target="http://semrush.com" TargetMode="External"/><Relationship Id="rId163" Type="http://schemas.openxmlformats.org/officeDocument/2006/relationships/hyperlink" Target="https://agencies.semrush.com/baseplus-digital-media-gmbh/" TargetMode="External"/><Relationship Id="rId162" Type="http://schemas.openxmlformats.org/officeDocument/2006/relationships/hyperlink" Target="http://adzine.de" TargetMode="External"/><Relationship Id="rId169" Type="http://schemas.openxmlformats.org/officeDocument/2006/relationships/hyperlink" Target="https://www.akqa.com/studios/berlin/" TargetMode="External"/><Relationship Id="rId168" Type="http://schemas.openxmlformats.org/officeDocument/2006/relationships/hyperlink" Target="http://agenturtipp.de" TargetMode="External"/><Relationship Id="rId167" Type="http://schemas.openxmlformats.org/officeDocument/2006/relationships/hyperlink" Target="https://www.agenturtipp.de/agentur/smarketer-gmbh-google-ads-agentur/" TargetMode="External"/><Relationship Id="rId166" Type="http://schemas.openxmlformats.org/officeDocument/2006/relationships/hyperlink" Target="http://semrush.com" TargetMode="External"/><Relationship Id="rId161" Type="http://schemas.openxmlformats.org/officeDocument/2006/relationships/hyperlink" Target="https://www.adzine.de/techfinder/marketing/" TargetMode="External"/><Relationship Id="rId160" Type="http://schemas.openxmlformats.org/officeDocument/2006/relationships/hyperlink" Target="http://advisori.de" TargetMode="External"/><Relationship Id="rId159" Type="http://schemas.openxmlformats.org/officeDocument/2006/relationships/hyperlink" Target="https://www.advisori.de/services/digital-transformation/ki-kuenstliche-intelligenz" TargetMode="External"/><Relationship Id="rId154" Type="http://schemas.openxmlformats.org/officeDocument/2006/relationships/hyperlink" Target="http://sortlist.de" TargetMode="External"/><Relationship Id="rId153" Type="http://schemas.openxmlformats.org/officeDocument/2006/relationships/hyperlink" Target="https://www.sortlist.de/s/ai-marketing/hamburg-de" TargetMode="External"/><Relationship Id="rId152" Type="http://schemas.openxmlformats.org/officeDocument/2006/relationships/hyperlink" Target="http://sortlist.com" TargetMode="External"/><Relationship Id="rId151" Type="http://schemas.openxmlformats.org/officeDocument/2006/relationships/hyperlink" Target="https://www.sortlist.com/s/b2b-digital-marketing/germany-de" TargetMode="External"/><Relationship Id="rId158" Type="http://schemas.openxmlformats.org/officeDocument/2006/relationships/hyperlink" Target="http://adsofbrands.net" TargetMode="External"/><Relationship Id="rId157" Type="http://schemas.openxmlformats.org/officeDocument/2006/relationships/hyperlink" Target="https://adsofbrands.net/en/agencies/jung-von-matt/33/about" TargetMode="External"/><Relationship Id="rId156" Type="http://schemas.openxmlformats.org/officeDocument/2006/relationships/hyperlink" Target="http://suchhelden.de" TargetMode="External"/><Relationship Id="rId155" Type="http://schemas.openxmlformats.org/officeDocument/2006/relationships/hyperlink" Target="https://www.suchhelden.de/beste-google-ads-agenturen-deutschlands.php" TargetMode="External"/><Relationship Id="rId107" Type="http://schemas.openxmlformats.org/officeDocument/2006/relationships/hyperlink" Target="http://omt.de" TargetMode="External"/><Relationship Id="rId106" Type="http://schemas.openxmlformats.org/officeDocument/2006/relationships/hyperlink" Target="https://www.omt.de/online-marketing-tools/google-marketing-platform/agenturen/" TargetMode="External"/><Relationship Id="rId105" Type="http://schemas.openxmlformats.org/officeDocument/2006/relationships/hyperlink" Target="http://ibusiness.de" TargetMode="External"/><Relationship Id="rId104" Type="http://schemas.openxmlformats.org/officeDocument/2006/relationships/hyperlink" Target="https://www.ibusiness.de/performance-ranking/performance_2024.html" TargetMode="External"/><Relationship Id="rId109" Type="http://schemas.openxmlformats.org/officeDocument/2006/relationships/hyperlink" Target="http://semrush.com" TargetMode="External"/><Relationship Id="rId108" Type="http://schemas.openxmlformats.org/officeDocument/2006/relationships/hyperlink" Target="https://www.semrush.com/agencies/list/display-advertising/germany/" TargetMode="External"/><Relationship Id="rId103" Type="http://schemas.openxmlformats.org/officeDocument/2006/relationships/hyperlink" Target="http://ibusiness.de" TargetMode="External"/><Relationship Id="rId102" Type="http://schemas.openxmlformats.org/officeDocument/2006/relationships/hyperlink" Target="https://www.ibusiness.de/performance-ranking/performance_2023.html" TargetMode="External"/><Relationship Id="rId101" Type="http://schemas.openxmlformats.org/officeDocument/2006/relationships/hyperlink" Target="http://hopmann.com" TargetMode="External"/><Relationship Id="rId100" Type="http://schemas.openxmlformats.org/officeDocument/2006/relationships/hyperlink" Target="https://www.hopmann.com/de/unternehmen/" TargetMode="External"/><Relationship Id="rId129" Type="http://schemas.openxmlformats.org/officeDocument/2006/relationships/hyperlink" Target="https://www.house-of-communication.com/sv/en/brands/serviceplan.html" TargetMode="External"/><Relationship Id="rId128" Type="http://schemas.openxmlformats.org/officeDocument/2006/relationships/hyperlink" Target="http://feedbax.ai" TargetMode="External"/><Relationship Id="rId127" Type="http://schemas.openxmlformats.org/officeDocument/2006/relationships/hyperlink" Target="https://feedbax.ai/google-ads/berlin" TargetMode="External"/><Relationship Id="rId126" Type="http://schemas.openxmlformats.org/officeDocument/2006/relationships/hyperlink" Target="http://exactag.com" TargetMode="External"/><Relationship Id="rId121" Type="http://schemas.openxmlformats.org/officeDocument/2006/relationships/hyperlink" Target="http://digitalagencynetwork.com" TargetMode="External"/><Relationship Id="rId120" Type="http://schemas.openxmlformats.org/officeDocument/2006/relationships/hyperlink" Target="https://digitalagencynetwork.com/agencies/berlin/geo/" TargetMode="External"/><Relationship Id="rId125" Type="http://schemas.openxmlformats.org/officeDocument/2006/relationships/hyperlink" Target="https://exactag.com/company/our-journey/" TargetMode="External"/><Relationship Id="rId124" Type="http://schemas.openxmlformats.org/officeDocument/2006/relationships/hyperlink" Target="https://e-dialog.group/en/about-us/" TargetMode="External"/><Relationship Id="rId123" Type="http://schemas.openxmlformats.org/officeDocument/2006/relationships/hyperlink" Target="http://digitalagencynetwork.com" TargetMode="External"/><Relationship Id="rId122" Type="http://schemas.openxmlformats.org/officeDocument/2006/relationships/hyperlink" Target="https://digitalagencynetwork.com/agencies/usa/ai-marketing/" TargetMode="External"/><Relationship Id="rId118" Type="http://schemas.openxmlformats.org/officeDocument/2006/relationships/hyperlink" Target="https://de.wikipedia.org/wiki/BBDO" TargetMode="External"/><Relationship Id="rId117" Type="http://schemas.openxmlformats.org/officeDocument/2006/relationships/hyperlink" Target="http://linkedin.com" TargetMode="External"/><Relationship Id="rId116" Type="http://schemas.openxmlformats.org/officeDocument/2006/relationships/hyperlink" Target="https://de.linkedin.com/company/trkkn" TargetMode="External"/><Relationship Id="rId115" Type="http://schemas.openxmlformats.org/officeDocument/2006/relationships/hyperlink" Target="http://linkedin.com" TargetMode="External"/><Relationship Id="rId119" Type="http://schemas.openxmlformats.org/officeDocument/2006/relationships/hyperlink" Target="http://wikipedia.org" TargetMode="External"/><Relationship Id="rId110" Type="http://schemas.openxmlformats.org/officeDocument/2006/relationships/hyperlink" Target="https://www.sortlist.com/s/data-driven-marketing/germany-de" TargetMode="External"/><Relationship Id="rId114" Type="http://schemas.openxmlformats.org/officeDocument/2006/relationships/hyperlink" Target="https://de.linkedin.com/company/bbdo-holding-germany" TargetMode="External"/><Relationship Id="rId113" Type="http://schemas.openxmlformats.org/officeDocument/2006/relationships/hyperlink" Target="http://ayautomate.com" TargetMode="External"/><Relationship Id="rId112" Type="http://schemas.openxmlformats.org/officeDocument/2006/relationships/hyperlink" Target="https://www.ayautomate.com/blog/best-ai-automation-agencies" TargetMode="External"/><Relationship Id="rId111" Type="http://schemas.openxmlformats.org/officeDocument/2006/relationships/hyperlink" Target="http://sortlis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2" t="s">
        <v>1</v>
      </c>
      <c r="B1" s="2" t="s">
        <v>4</v>
      </c>
      <c r="C1" s="2" t="s">
        <v>6</v>
      </c>
      <c r="D1" s="2" t="s">
        <v>8</v>
      </c>
      <c r="E1" s="2" t="s">
        <v>9</v>
      </c>
      <c r="F1" s="2" t="s">
        <v>10</v>
      </c>
      <c r="G1" s="2" t="s">
        <v>12</v>
      </c>
      <c r="H1" s="2" t="s">
        <v>13</v>
      </c>
      <c r="I1" s="2" t="s">
        <v>14</v>
      </c>
      <c r="J1" s="5"/>
      <c r="K1" s="5"/>
      <c r="L1" s="5"/>
      <c r="M1" s="5"/>
      <c r="N1" s="5"/>
      <c r="O1" s="5"/>
      <c r="P1" s="5"/>
      <c r="Q1" s="5"/>
      <c r="R1" s="5"/>
      <c r="S1" s="5"/>
      <c r="T1" s="5"/>
      <c r="U1" s="5"/>
      <c r="V1" s="5"/>
      <c r="W1" s="5"/>
      <c r="X1" s="5"/>
      <c r="Y1" s="5"/>
      <c r="Z1" s="5"/>
    </row>
    <row r="2" ht="15.75" customHeight="1">
      <c r="A2" s="7" t="s">
        <v>16</v>
      </c>
      <c r="B2" s="10" t="s">
        <v>17</v>
      </c>
      <c r="C2" s="13" t="s">
        <v>19</v>
      </c>
      <c r="D2" s="10">
        <v>394.0</v>
      </c>
      <c r="E2" s="10">
        <v>367.0</v>
      </c>
      <c r="F2" s="10">
        <v>0.41</v>
      </c>
      <c r="G2" s="10">
        <v>0.68</v>
      </c>
      <c r="H2" s="10">
        <v>1.49</v>
      </c>
      <c r="I2" s="10">
        <v>0.64</v>
      </c>
    </row>
    <row r="3" ht="15.75" customHeight="1">
      <c r="A3" s="7" t="s">
        <v>20</v>
      </c>
      <c r="B3" s="10" t="s">
        <v>17</v>
      </c>
      <c r="C3" s="13" t="s">
        <v>21</v>
      </c>
      <c r="D3" s="10">
        <v>340.0</v>
      </c>
      <c r="E3" s="10">
        <v>324.0</v>
      </c>
      <c r="F3" s="10">
        <v>0.35</v>
      </c>
      <c r="G3" s="10">
        <v>0.6</v>
      </c>
      <c r="H3" s="10">
        <v>1.25</v>
      </c>
      <c r="I3" s="10">
        <v>0.56</v>
      </c>
    </row>
    <row r="4" ht="15.75" customHeight="1">
      <c r="A4" s="7" t="s">
        <v>23</v>
      </c>
      <c r="B4" s="10" t="s">
        <v>17</v>
      </c>
      <c r="C4" s="13" t="s">
        <v>27</v>
      </c>
      <c r="D4" s="10">
        <v>260.0</v>
      </c>
      <c r="E4" s="10">
        <v>250.0</v>
      </c>
      <c r="F4" s="10">
        <v>0.27</v>
      </c>
      <c r="G4" s="10">
        <v>0.45</v>
      </c>
      <c r="H4" s="10">
        <v>0.91</v>
      </c>
      <c r="I4" s="10">
        <v>0.71</v>
      </c>
    </row>
    <row r="5" ht="15.75" customHeight="1">
      <c r="A5" s="7" t="s">
        <v>29</v>
      </c>
      <c r="B5" s="10" t="s">
        <v>17</v>
      </c>
      <c r="C5" s="13" t="s">
        <v>30</v>
      </c>
      <c r="D5" s="10">
        <v>213.0</v>
      </c>
      <c r="E5" s="10">
        <v>207.0</v>
      </c>
      <c r="F5" s="10">
        <v>0.22</v>
      </c>
      <c r="G5" s="10">
        <v>0.42</v>
      </c>
      <c r="H5" s="10">
        <v>2.09</v>
      </c>
      <c r="I5" s="10">
        <v>1.09</v>
      </c>
    </row>
    <row r="6" ht="15.75" customHeight="1">
      <c r="A6" s="7" t="s">
        <v>33</v>
      </c>
      <c r="B6" s="10" t="s">
        <v>37</v>
      </c>
      <c r="C6" s="13" t="s">
        <v>38</v>
      </c>
      <c r="D6" s="10">
        <v>120.0</v>
      </c>
      <c r="E6" s="10">
        <v>117.0</v>
      </c>
      <c r="F6" s="10">
        <v>0.12</v>
      </c>
      <c r="G6" s="10">
        <v>0.14</v>
      </c>
      <c r="H6" s="10">
        <v>1.1</v>
      </c>
      <c r="I6" s="10">
        <v>0.43</v>
      </c>
    </row>
    <row r="7" ht="15.75" customHeight="1">
      <c r="A7" s="7" t="s">
        <v>41</v>
      </c>
      <c r="B7" s="10" t="s">
        <v>44</v>
      </c>
      <c r="C7" s="13" t="s">
        <v>45</v>
      </c>
      <c r="D7" s="10">
        <v>115.0</v>
      </c>
      <c r="E7" s="10">
        <v>109.0</v>
      </c>
      <c r="F7" s="10">
        <v>0.12</v>
      </c>
      <c r="G7" s="10">
        <v>0.13</v>
      </c>
      <c r="H7" s="10">
        <v>0.69</v>
      </c>
      <c r="I7" s="10">
        <v>-0.98</v>
      </c>
    </row>
    <row r="8" ht="15.75" customHeight="1">
      <c r="A8" s="7" t="s">
        <v>48</v>
      </c>
      <c r="B8" s="10" t="s">
        <v>17</v>
      </c>
      <c r="C8" s="13" t="s">
        <v>50</v>
      </c>
      <c r="D8" s="10">
        <v>113.0</v>
      </c>
      <c r="E8" s="10">
        <v>96.0</v>
      </c>
      <c r="F8" s="10">
        <v>0.12</v>
      </c>
      <c r="G8" s="10">
        <v>0.12</v>
      </c>
      <c r="H8" s="10">
        <v>0.56</v>
      </c>
      <c r="I8" s="10">
        <v>0.5</v>
      </c>
    </row>
    <row r="9" ht="15.75" customHeight="1">
      <c r="A9" s="7" t="s">
        <v>54</v>
      </c>
      <c r="B9" s="10" t="s">
        <v>56</v>
      </c>
      <c r="C9" s="13" t="s">
        <v>57</v>
      </c>
      <c r="D9" s="10">
        <v>106.0</v>
      </c>
      <c r="F9" s="10">
        <v>0.11</v>
      </c>
      <c r="G9" s="10">
        <v>0.11</v>
      </c>
      <c r="H9" s="10">
        <v>0.68</v>
      </c>
    </row>
    <row r="10" ht="15.75" customHeight="1">
      <c r="A10" s="7" t="s">
        <v>32</v>
      </c>
      <c r="B10" s="10" t="s">
        <v>17</v>
      </c>
      <c r="C10" s="13" t="s">
        <v>61</v>
      </c>
      <c r="D10" s="10">
        <v>99.0</v>
      </c>
      <c r="E10" s="10">
        <v>96.0</v>
      </c>
      <c r="F10" s="10">
        <v>0.1</v>
      </c>
      <c r="G10" s="10">
        <v>0.11</v>
      </c>
      <c r="H10" s="10">
        <v>2.66</v>
      </c>
      <c r="I10" s="10">
        <v>2.66</v>
      </c>
    </row>
    <row r="11" ht="15.75" customHeight="1">
      <c r="A11" s="7" t="s">
        <v>42</v>
      </c>
      <c r="B11" s="10" t="s">
        <v>56</v>
      </c>
      <c r="C11" s="13" t="s">
        <v>63</v>
      </c>
      <c r="D11" s="10">
        <v>95.0</v>
      </c>
      <c r="E11" s="10">
        <v>91.0</v>
      </c>
      <c r="F11" s="10">
        <v>0.1</v>
      </c>
      <c r="G11" s="10">
        <v>0.1</v>
      </c>
      <c r="H11" s="10">
        <v>1.26</v>
      </c>
      <c r="I11" s="10">
        <v>-1.99</v>
      </c>
    </row>
    <row r="12" ht="15.75" customHeight="1">
      <c r="A12" s="7" t="s">
        <v>66</v>
      </c>
      <c r="B12" s="10" t="s">
        <v>17</v>
      </c>
      <c r="C12" s="13" t="s">
        <v>68</v>
      </c>
      <c r="D12" s="10">
        <v>87.0</v>
      </c>
      <c r="E12" s="10">
        <v>79.0</v>
      </c>
      <c r="F12" s="10">
        <v>0.09</v>
      </c>
      <c r="G12" s="10">
        <v>0.15</v>
      </c>
      <c r="H12" s="10">
        <v>2.57</v>
      </c>
      <c r="I12" s="10">
        <v>2.57</v>
      </c>
    </row>
    <row r="13" ht="15.75" customHeight="1">
      <c r="A13" s="7" t="s">
        <v>69</v>
      </c>
      <c r="B13" s="10" t="s">
        <v>44</v>
      </c>
      <c r="C13" s="13" t="s">
        <v>72</v>
      </c>
      <c r="D13" s="10">
        <v>85.0</v>
      </c>
      <c r="E13" s="10">
        <v>84.0</v>
      </c>
      <c r="F13" s="10">
        <v>0.09</v>
      </c>
      <c r="G13" s="10">
        <v>0.09</v>
      </c>
      <c r="H13" s="10">
        <v>0.22</v>
      </c>
      <c r="I13" s="10">
        <v>0.22</v>
      </c>
    </row>
    <row r="14" ht="15.75" customHeight="1">
      <c r="A14" s="7" t="s">
        <v>73</v>
      </c>
      <c r="B14" s="10" t="s">
        <v>75</v>
      </c>
      <c r="C14" s="13" t="s">
        <v>76</v>
      </c>
      <c r="D14" s="10">
        <v>78.0</v>
      </c>
      <c r="E14" s="10">
        <v>73.0</v>
      </c>
      <c r="F14" s="10">
        <v>0.08</v>
      </c>
      <c r="G14" s="10">
        <v>0.17</v>
      </c>
      <c r="H14" s="10">
        <v>0.76</v>
      </c>
      <c r="I14" s="10">
        <v>-0.44</v>
      </c>
    </row>
    <row r="15" ht="15.75" customHeight="1">
      <c r="A15" s="7" t="s">
        <v>79</v>
      </c>
      <c r="B15" s="10" t="s">
        <v>17</v>
      </c>
      <c r="C15" s="13" t="s">
        <v>82</v>
      </c>
      <c r="D15" s="10">
        <v>78.0</v>
      </c>
      <c r="F15" s="10">
        <v>0.08</v>
      </c>
      <c r="G15" s="10">
        <v>0.1</v>
      </c>
      <c r="H15" s="10">
        <v>1.24</v>
      </c>
    </row>
    <row r="16" ht="15.75" customHeight="1">
      <c r="A16" s="7" t="s">
        <v>84</v>
      </c>
      <c r="B16" s="10" t="s">
        <v>44</v>
      </c>
      <c r="C16" s="13" t="s">
        <v>87</v>
      </c>
      <c r="D16" s="10">
        <v>76.0</v>
      </c>
      <c r="E16" s="10">
        <v>52.0</v>
      </c>
      <c r="F16" s="10">
        <v>0.08</v>
      </c>
      <c r="G16" s="10">
        <v>0.08</v>
      </c>
      <c r="H16" s="10">
        <v>2.0</v>
      </c>
      <c r="I16" s="10">
        <v>-0.12</v>
      </c>
    </row>
    <row r="17" ht="15.75" customHeight="1">
      <c r="A17" s="7" t="s">
        <v>89</v>
      </c>
      <c r="B17" s="10" t="s">
        <v>91</v>
      </c>
      <c r="C17" s="13" t="s">
        <v>92</v>
      </c>
      <c r="D17" s="10">
        <v>74.0</v>
      </c>
      <c r="E17" s="10">
        <v>63.0</v>
      </c>
      <c r="F17" s="10">
        <v>0.08</v>
      </c>
      <c r="G17" s="10">
        <v>0.08</v>
      </c>
      <c r="H17" s="10">
        <v>0.5</v>
      </c>
      <c r="I17" s="10">
        <v>-0.59</v>
      </c>
    </row>
    <row r="18" ht="15.75" customHeight="1">
      <c r="A18" s="7" t="s">
        <v>94</v>
      </c>
      <c r="B18" s="10" t="s">
        <v>37</v>
      </c>
      <c r="C18" s="13" t="s">
        <v>96</v>
      </c>
      <c r="D18" s="10">
        <v>71.0</v>
      </c>
      <c r="F18" s="10">
        <v>0.07</v>
      </c>
      <c r="G18" s="10">
        <v>0.07</v>
      </c>
      <c r="H18" s="10">
        <v>2.54</v>
      </c>
    </row>
    <row r="19" ht="15.75" customHeight="1">
      <c r="A19" s="7" t="s">
        <v>98</v>
      </c>
      <c r="B19" s="10" t="s">
        <v>91</v>
      </c>
      <c r="C19" s="13" t="s">
        <v>101</v>
      </c>
      <c r="D19" s="10">
        <v>64.0</v>
      </c>
      <c r="E19" s="10">
        <v>61.0</v>
      </c>
      <c r="F19" s="10">
        <v>0.07</v>
      </c>
      <c r="G19" s="10">
        <v>0.09</v>
      </c>
      <c r="H19" s="10">
        <v>0.47</v>
      </c>
      <c r="I19" s="10">
        <v>0.14</v>
      </c>
    </row>
    <row r="20" ht="15.75" customHeight="1">
      <c r="A20" s="7" t="s">
        <v>103</v>
      </c>
      <c r="B20" s="10" t="s">
        <v>37</v>
      </c>
      <c r="C20" s="13" t="s">
        <v>105</v>
      </c>
      <c r="D20" s="10">
        <v>61.0</v>
      </c>
      <c r="E20" s="10">
        <v>60.0</v>
      </c>
      <c r="F20" s="10">
        <v>0.06</v>
      </c>
      <c r="G20" s="10">
        <v>0.1</v>
      </c>
      <c r="H20" s="10">
        <v>1.61</v>
      </c>
      <c r="I20" s="10">
        <v>-0.39</v>
      </c>
    </row>
    <row r="21" ht="15.75" customHeight="1">
      <c r="A21" s="7" t="s">
        <v>106</v>
      </c>
      <c r="B21" s="10" t="s">
        <v>56</v>
      </c>
      <c r="C21" s="13" t="s">
        <v>110</v>
      </c>
      <c r="D21" s="10">
        <v>60.0</v>
      </c>
      <c r="E21" s="10">
        <v>59.0</v>
      </c>
      <c r="F21" s="10">
        <v>0.06</v>
      </c>
      <c r="G21" s="10">
        <v>0.07</v>
      </c>
      <c r="H21" s="10">
        <v>0.3</v>
      </c>
      <c r="I21" s="10">
        <v>0.3</v>
      </c>
    </row>
    <row r="22" ht="15.75" customHeight="1">
      <c r="A22" s="7" t="s">
        <v>111</v>
      </c>
      <c r="B22" s="10" t="s">
        <v>91</v>
      </c>
      <c r="C22" s="13" t="s">
        <v>113</v>
      </c>
      <c r="D22" s="10">
        <v>56.0</v>
      </c>
      <c r="F22" s="10">
        <v>0.06</v>
      </c>
      <c r="G22" s="10">
        <v>0.06</v>
      </c>
      <c r="H22" s="10">
        <v>1.29</v>
      </c>
    </row>
    <row r="23" ht="15.75" customHeight="1">
      <c r="A23" s="7" t="s">
        <v>114</v>
      </c>
      <c r="B23" s="10" t="s">
        <v>37</v>
      </c>
      <c r="C23" s="13" t="s">
        <v>118</v>
      </c>
      <c r="D23" s="10">
        <v>56.0</v>
      </c>
      <c r="F23" s="10">
        <v>0.06</v>
      </c>
      <c r="G23" s="10">
        <v>0.06</v>
      </c>
      <c r="H23" s="10">
        <v>0.91</v>
      </c>
    </row>
    <row r="24" ht="15.75" customHeight="1">
      <c r="A24" s="7" t="s">
        <v>120</v>
      </c>
      <c r="B24" s="10" t="s">
        <v>37</v>
      </c>
      <c r="C24" s="13" t="s">
        <v>122</v>
      </c>
      <c r="D24" s="10">
        <v>55.0</v>
      </c>
      <c r="E24" s="10">
        <v>10.0</v>
      </c>
      <c r="F24" s="10">
        <v>0.06</v>
      </c>
      <c r="G24" s="10">
        <v>0.06</v>
      </c>
      <c r="H24" s="10">
        <v>1.2</v>
      </c>
      <c r="I24" s="10">
        <v>-0.42</v>
      </c>
    </row>
    <row r="25" ht="15.75" customHeight="1">
      <c r="A25" s="7" t="s">
        <v>124</v>
      </c>
      <c r="B25" s="10" t="s">
        <v>56</v>
      </c>
      <c r="C25" s="13" t="s">
        <v>127</v>
      </c>
      <c r="D25" s="10">
        <v>53.0</v>
      </c>
      <c r="E25" s="10">
        <v>42.0</v>
      </c>
      <c r="F25" s="10">
        <v>0.06</v>
      </c>
      <c r="G25" s="10">
        <v>0.06</v>
      </c>
      <c r="H25" s="10">
        <v>0.58</v>
      </c>
      <c r="I25" s="10">
        <v>0.4</v>
      </c>
    </row>
    <row r="26" ht="15.75" customHeight="1">
      <c r="A26" s="7" t="s">
        <v>128</v>
      </c>
      <c r="B26" s="10" t="s">
        <v>37</v>
      </c>
      <c r="C26" s="13" t="s">
        <v>132</v>
      </c>
      <c r="D26" s="10">
        <v>49.0</v>
      </c>
      <c r="E26" s="10">
        <v>44.0</v>
      </c>
      <c r="F26" s="10">
        <v>0.05</v>
      </c>
      <c r="G26" s="10">
        <v>0.06</v>
      </c>
      <c r="H26" s="10">
        <v>1.41</v>
      </c>
      <c r="I26" s="10">
        <v>-0.19</v>
      </c>
    </row>
    <row r="27" ht="15.75" customHeight="1">
      <c r="A27" s="7" t="s">
        <v>133</v>
      </c>
      <c r="B27" s="10" t="s">
        <v>44</v>
      </c>
      <c r="C27" s="13" t="s">
        <v>136</v>
      </c>
      <c r="D27" s="10">
        <v>47.0</v>
      </c>
      <c r="E27" s="10">
        <v>38.0</v>
      </c>
      <c r="F27" s="10">
        <v>0.05</v>
      </c>
      <c r="G27" s="10">
        <v>0.07</v>
      </c>
      <c r="H27" s="10">
        <v>1.74</v>
      </c>
      <c r="I27" s="10">
        <v>0.41</v>
      </c>
    </row>
    <row r="28" ht="15.75" customHeight="1">
      <c r="A28" s="7" t="s">
        <v>138</v>
      </c>
      <c r="B28" s="10" t="s">
        <v>91</v>
      </c>
      <c r="C28" s="13" t="s">
        <v>139</v>
      </c>
      <c r="D28" s="10">
        <v>46.0</v>
      </c>
      <c r="E28" s="10">
        <v>42.0</v>
      </c>
      <c r="F28" s="10">
        <v>0.05</v>
      </c>
      <c r="G28" s="10">
        <v>0.12</v>
      </c>
      <c r="H28" s="10">
        <v>1.74</v>
      </c>
      <c r="I28" s="10">
        <v>1.74</v>
      </c>
    </row>
    <row r="29" ht="15.75" customHeight="1">
      <c r="A29" s="7" t="s">
        <v>141</v>
      </c>
      <c r="B29" s="10" t="s">
        <v>91</v>
      </c>
      <c r="C29" s="13" t="s">
        <v>143</v>
      </c>
      <c r="D29" s="10">
        <v>46.0</v>
      </c>
      <c r="E29" s="10">
        <v>43.0</v>
      </c>
      <c r="F29" s="10">
        <v>0.05</v>
      </c>
      <c r="G29" s="10">
        <v>0.05</v>
      </c>
      <c r="H29" s="10">
        <v>2.22</v>
      </c>
      <c r="I29" s="10">
        <v>2.22</v>
      </c>
    </row>
    <row r="30" ht="15.75" customHeight="1">
      <c r="A30" s="7" t="s">
        <v>145</v>
      </c>
      <c r="B30" s="10" t="s">
        <v>37</v>
      </c>
      <c r="C30" s="13" t="s">
        <v>146</v>
      </c>
      <c r="D30" s="10">
        <v>44.0</v>
      </c>
      <c r="E30" s="10">
        <v>40.0</v>
      </c>
      <c r="F30" s="10">
        <v>0.05</v>
      </c>
      <c r="G30" s="10">
        <v>0.06</v>
      </c>
      <c r="H30" s="10">
        <v>1.7</v>
      </c>
      <c r="I30" s="10">
        <v>0.7</v>
      </c>
    </row>
    <row r="31" ht="15.75" customHeight="1">
      <c r="A31" s="7" t="s">
        <v>148</v>
      </c>
      <c r="B31" s="10" t="s">
        <v>37</v>
      </c>
      <c r="C31" s="13" t="s">
        <v>149</v>
      </c>
      <c r="D31" s="10">
        <v>44.0</v>
      </c>
      <c r="E31" s="10">
        <v>13.0</v>
      </c>
      <c r="F31" s="10">
        <v>0.05</v>
      </c>
      <c r="G31" s="10">
        <v>0.05</v>
      </c>
      <c r="H31" s="10">
        <v>1.75</v>
      </c>
      <c r="I31" s="10">
        <v>-0.86</v>
      </c>
    </row>
    <row r="32" ht="15.75" customHeight="1">
      <c r="A32" s="7" t="s">
        <v>151</v>
      </c>
      <c r="B32" s="10" t="s">
        <v>37</v>
      </c>
      <c r="C32" s="13" t="s">
        <v>153</v>
      </c>
      <c r="D32" s="10">
        <v>44.0</v>
      </c>
      <c r="E32" s="10">
        <v>28.0</v>
      </c>
      <c r="F32" s="10">
        <v>0.05</v>
      </c>
      <c r="G32" s="10">
        <v>0.05</v>
      </c>
      <c r="H32" s="10">
        <v>1.32</v>
      </c>
      <c r="I32" s="10">
        <v>-0.06</v>
      </c>
    </row>
    <row r="33" ht="15.75" customHeight="1">
      <c r="A33" s="7" t="s">
        <v>155</v>
      </c>
      <c r="B33" s="10" t="s">
        <v>91</v>
      </c>
      <c r="C33" s="13" t="s">
        <v>157</v>
      </c>
      <c r="D33" s="10">
        <v>43.0</v>
      </c>
      <c r="F33" s="10">
        <v>0.04</v>
      </c>
      <c r="G33" s="10">
        <v>0.05</v>
      </c>
      <c r="H33" s="10">
        <v>0.67</v>
      </c>
    </row>
    <row r="34" ht="15.75" customHeight="1">
      <c r="A34" s="7" t="s">
        <v>156</v>
      </c>
      <c r="B34" s="10" t="s">
        <v>37</v>
      </c>
      <c r="C34" s="13" t="s">
        <v>158</v>
      </c>
      <c r="D34" s="10">
        <v>41.0</v>
      </c>
      <c r="F34" s="10">
        <v>0.04</v>
      </c>
      <c r="G34" s="10">
        <v>0.04</v>
      </c>
      <c r="H34" s="10">
        <v>1.41</v>
      </c>
    </row>
    <row r="35" ht="15.75" customHeight="1">
      <c r="A35" s="7" t="s">
        <v>160</v>
      </c>
      <c r="B35" s="10" t="s">
        <v>37</v>
      </c>
      <c r="C35" s="13" t="s">
        <v>163</v>
      </c>
      <c r="D35" s="10">
        <v>39.0</v>
      </c>
      <c r="F35" s="10">
        <v>0.04</v>
      </c>
      <c r="G35" s="10">
        <v>0.04</v>
      </c>
      <c r="H35" s="10">
        <v>1.21</v>
      </c>
    </row>
    <row r="36" ht="15.75" customHeight="1">
      <c r="A36" s="10" t="s">
        <v>162</v>
      </c>
      <c r="B36" s="10" t="s">
        <v>17</v>
      </c>
      <c r="C36" s="13" t="s">
        <v>166</v>
      </c>
      <c r="D36" s="10">
        <v>38.0</v>
      </c>
      <c r="F36" s="10">
        <v>0.04</v>
      </c>
      <c r="G36" s="10">
        <v>0.04</v>
      </c>
      <c r="H36" s="10">
        <v>1.76</v>
      </c>
    </row>
    <row r="37" ht="15.75" customHeight="1">
      <c r="A37" s="7" t="s">
        <v>167</v>
      </c>
      <c r="B37" s="10" t="s">
        <v>37</v>
      </c>
      <c r="C37" s="13" t="s">
        <v>170</v>
      </c>
      <c r="D37" s="10">
        <v>37.0</v>
      </c>
      <c r="E37" s="10">
        <v>36.0</v>
      </c>
      <c r="F37" s="10">
        <v>0.04</v>
      </c>
      <c r="G37" s="10">
        <v>0.05</v>
      </c>
      <c r="H37" s="10">
        <v>1.95</v>
      </c>
      <c r="I37" s="10">
        <v>0.95</v>
      </c>
    </row>
    <row r="38" ht="15.75" customHeight="1">
      <c r="A38" s="10" t="s">
        <v>172</v>
      </c>
      <c r="B38" s="10" t="s">
        <v>91</v>
      </c>
      <c r="C38" s="13" t="s">
        <v>173</v>
      </c>
      <c r="D38" s="10">
        <v>35.0</v>
      </c>
      <c r="F38" s="10">
        <v>0.04</v>
      </c>
      <c r="G38" s="10">
        <v>0.04</v>
      </c>
      <c r="H38" s="10">
        <v>1.09</v>
      </c>
    </row>
    <row r="39" ht="15.75" customHeight="1">
      <c r="A39" s="7" t="s">
        <v>175</v>
      </c>
      <c r="B39" s="10" t="s">
        <v>91</v>
      </c>
      <c r="C39" s="13" t="s">
        <v>177</v>
      </c>
      <c r="D39" s="10">
        <v>33.0</v>
      </c>
      <c r="F39" s="10">
        <v>0.03</v>
      </c>
      <c r="G39" s="10">
        <v>0.05</v>
      </c>
      <c r="H39" s="10">
        <v>0.36</v>
      </c>
    </row>
    <row r="40" ht="15.75" customHeight="1">
      <c r="A40" s="7" t="s">
        <v>179</v>
      </c>
      <c r="B40" s="10" t="s">
        <v>37</v>
      </c>
      <c r="C40" s="13" t="s">
        <v>180</v>
      </c>
      <c r="D40" s="10">
        <v>33.0</v>
      </c>
      <c r="E40" s="10">
        <v>29.0</v>
      </c>
      <c r="F40" s="10">
        <v>0.03</v>
      </c>
      <c r="G40" s="10">
        <v>0.03</v>
      </c>
      <c r="H40" s="10">
        <v>0.82</v>
      </c>
      <c r="I40" s="10">
        <v>-0.18</v>
      </c>
    </row>
    <row r="41" ht="15.75" customHeight="1">
      <c r="A41" s="7" t="s">
        <v>182</v>
      </c>
      <c r="B41" s="10" t="s">
        <v>91</v>
      </c>
      <c r="C41" s="13" t="s">
        <v>183</v>
      </c>
      <c r="D41" s="10">
        <v>32.0</v>
      </c>
      <c r="E41" s="10">
        <v>30.0</v>
      </c>
      <c r="F41" s="10">
        <v>0.03</v>
      </c>
      <c r="G41" s="10">
        <v>0.06</v>
      </c>
      <c r="H41" s="10">
        <v>0.06</v>
      </c>
      <c r="I41" s="10">
        <v>0.06</v>
      </c>
    </row>
    <row r="42" ht="15.75" customHeight="1">
      <c r="A42" s="7" t="s">
        <v>186</v>
      </c>
      <c r="B42" s="10" t="s">
        <v>37</v>
      </c>
      <c r="C42" s="13" t="s">
        <v>187</v>
      </c>
      <c r="D42" s="10">
        <v>30.0</v>
      </c>
      <c r="F42" s="10">
        <v>0.03</v>
      </c>
      <c r="G42" s="10">
        <v>0.04</v>
      </c>
      <c r="H42" s="10">
        <v>1.5</v>
      </c>
    </row>
    <row r="43" ht="15.75" customHeight="1">
      <c r="A43" s="7" t="s">
        <v>189</v>
      </c>
      <c r="B43" s="10" t="s">
        <v>17</v>
      </c>
      <c r="C43" s="13" t="s">
        <v>192</v>
      </c>
      <c r="D43" s="10">
        <v>30.0</v>
      </c>
      <c r="F43" s="10">
        <v>0.03</v>
      </c>
      <c r="G43" s="10">
        <v>0.04</v>
      </c>
      <c r="H43" s="10">
        <v>0.83</v>
      </c>
    </row>
    <row r="44" ht="15.75" customHeight="1">
      <c r="A44" s="7" t="s">
        <v>193</v>
      </c>
      <c r="B44" s="10" t="s">
        <v>44</v>
      </c>
      <c r="C44" s="13" t="s">
        <v>195</v>
      </c>
      <c r="D44" s="10">
        <v>30.0</v>
      </c>
      <c r="E44" s="10">
        <v>28.0</v>
      </c>
      <c r="F44" s="10">
        <v>0.03</v>
      </c>
      <c r="G44" s="10">
        <v>0.04</v>
      </c>
      <c r="H44" s="10">
        <v>1.17</v>
      </c>
      <c r="I44" s="10">
        <v>1.17</v>
      </c>
    </row>
    <row r="45" ht="15.75" customHeight="1">
      <c r="A45" s="7" t="s">
        <v>197</v>
      </c>
      <c r="B45" s="10" t="s">
        <v>56</v>
      </c>
      <c r="C45" s="13" t="s">
        <v>200</v>
      </c>
      <c r="D45" s="10">
        <v>30.0</v>
      </c>
      <c r="F45" s="10">
        <v>0.03</v>
      </c>
      <c r="G45" s="10">
        <v>0.03</v>
      </c>
      <c r="H45" s="10">
        <v>1.13</v>
      </c>
    </row>
    <row r="46" ht="15.75" customHeight="1">
      <c r="A46" s="7" t="s">
        <v>202</v>
      </c>
      <c r="B46" s="10" t="s">
        <v>75</v>
      </c>
      <c r="C46" s="13" t="s">
        <v>205</v>
      </c>
      <c r="D46" s="10">
        <v>30.0</v>
      </c>
      <c r="E46" s="10">
        <v>28.0</v>
      </c>
      <c r="F46" s="10">
        <v>0.03</v>
      </c>
      <c r="G46" s="10">
        <v>0.03</v>
      </c>
      <c r="H46" s="10">
        <v>0.53</v>
      </c>
      <c r="I46" s="10">
        <v>0.53</v>
      </c>
    </row>
    <row r="47" ht="15.75" customHeight="1">
      <c r="A47" s="7" t="s">
        <v>207</v>
      </c>
      <c r="B47" s="10" t="s">
        <v>17</v>
      </c>
      <c r="C47" s="13"/>
      <c r="D47" s="10">
        <v>28.0</v>
      </c>
      <c r="F47" s="10">
        <v>0.03</v>
      </c>
      <c r="G47" s="10">
        <v>0.04</v>
      </c>
      <c r="H47" s="10">
        <v>0.54</v>
      </c>
    </row>
    <row r="48" ht="15.75" customHeight="1">
      <c r="A48" s="7" t="s">
        <v>208</v>
      </c>
      <c r="B48" s="10" t="s">
        <v>56</v>
      </c>
      <c r="C48" s="13" t="s">
        <v>211</v>
      </c>
      <c r="D48" s="10">
        <v>27.0</v>
      </c>
      <c r="E48" s="10">
        <v>23.0</v>
      </c>
      <c r="F48" s="10">
        <v>0.03</v>
      </c>
      <c r="G48" s="10">
        <v>0.06</v>
      </c>
      <c r="H48" s="10">
        <v>3.48</v>
      </c>
      <c r="I48" s="10">
        <v>2.48</v>
      </c>
    </row>
    <row r="49" ht="15.75" customHeight="1">
      <c r="A49" s="7" t="s">
        <v>213</v>
      </c>
      <c r="B49" s="10" t="s">
        <v>37</v>
      </c>
      <c r="C49" s="13" t="s">
        <v>214</v>
      </c>
      <c r="D49" s="10">
        <v>26.0</v>
      </c>
      <c r="E49" s="10">
        <v>-2.0</v>
      </c>
      <c r="F49" s="10">
        <v>0.03</v>
      </c>
      <c r="G49" s="10">
        <v>0.03</v>
      </c>
      <c r="H49" s="10">
        <v>1.12</v>
      </c>
      <c r="I49" s="10">
        <v>0.22</v>
      </c>
    </row>
    <row r="50" ht="15.75" customHeight="1">
      <c r="A50" s="7" t="s">
        <v>215</v>
      </c>
      <c r="B50" s="10" t="s">
        <v>17</v>
      </c>
      <c r="C50" s="13" t="s">
        <v>218</v>
      </c>
      <c r="D50" s="10">
        <v>26.0</v>
      </c>
      <c r="F50" s="10">
        <v>0.03</v>
      </c>
      <c r="G50" s="10">
        <v>0.03</v>
      </c>
      <c r="H50" s="10">
        <v>0.54</v>
      </c>
    </row>
    <row r="51" ht="15.75" customHeight="1">
      <c r="A51" s="7" t="s">
        <v>220</v>
      </c>
      <c r="B51" s="10" t="s">
        <v>75</v>
      </c>
      <c r="C51" s="13" t="s">
        <v>221</v>
      </c>
      <c r="D51" s="10">
        <v>25.0</v>
      </c>
      <c r="E51" s="10">
        <v>23.0</v>
      </c>
      <c r="F51" s="10">
        <v>0.03</v>
      </c>
      <c r="G51" s="10">
        <v>0.03</v>
      </c>
      <c r="H51" s="10">
        <v>0.44</v>
      </c>
      <c r="I51" s="10">
        <v>0.44</v>
      </c>
    </row>
    <row r="52" ht="15.75" customHeight="1">
      <c r="A52" s="7" t="s">
        <v>224</v>
      </c>
      <c r="B52" s="10" t="s">
        <v>17</v>
      </c>
      <c r="C52" s="13" t="s">
        <v>227</v>
      </c>
      <c r="D52" s="10">
        <v>24.0</v>
      </c>
      <c r="F52" s="10">
        <v>0.02</v>
      </c>
      <c r="G52" s="10">
        <v>0.03</v>
      </c>
      <c r="H52" s="10">
        <v>1.17</v>
      </c>
    </row>
    <row r="53" ht="15.75" customHeight="1">
      <c r="A53" s="7" t="s">
        <v>228</v>
      </c>
      <c r="B53" s="10" t="s">
        <v>37</v>
      </c>
      <c r="C53" s="13" t="s">
        <v>230</v>
      </c>
      <c r="D53" s="10">
        <v>24.0</v>
      </c>
      <c r="F53" s="10">
        <v>0.02</v>
      </c>
      <c r="G53" s="10">
        <v>0.03</v>
      </c>
      <c r="H53" s="10">
        <v>1.33</v>
      </c>
    </row>
    <row r="54" ht="15.75" customHeight="1">
      <c r="A54" s="7" t="s">
        <v>232</v>
      </c>
      <c r="B54" s="10" t="s">
        <v>17</v>
      </c>
      <c r="C54" s="13" t="s">
        <v>157</v>
      </c>
      <c r="D54" s="10">
        <v>23.0</v>
      </c>
      <c r="F54" s="10">
        <v>0.02</v>
      </c>
      <c r="G54" s="10">
        <v>0.03</v>
      </c>
      <c r="H54" s="10">
        <v>0.61</v>
      </c>
    </row>
    <row r="55" ht="15.75" customHeight="1">
      <c r="A55" s="7" t="s">
        <v>236</v>
      </c>
      <c r="B55" s="10" t="s">
        <v>17</v>
      </c>
      <c r="C55" s="13" t="s">
        <v>239</v>
      </c>
      <c r="D55" s="10">
        <v>23.0</v>
      </c>
      <c r="E55" s="10">
        <v>9.0</v>
      </c>
      <c r="F55" s="10">
        <v>0.02</v>
      </c>
      <c r="G55" s="10">
        <v>0.02</v>
      </c>
      <c r="H55" s="10">
        <v>0.96</v>
      </c>
      <c r="I55" s="10">
        <v>-0.4</v>
      </c>
    </row>
    <row r="56" ht="15.75" customHeight="1">
      <c r="A56" s="7" t="s">
        <v>242</v>
      </c>
      <c r="B56" s="10" t="s">
        <v>56</v>
      </c>
      <c r="C56" s="13" t="s">
        <v>244</v>
      </c>
      <c r="D56" s="10">
        <v>23.0</v>
      </c>
      <c r="E56" s="10">
        <v>15.0</v>
      </c>
      <c r="F56" s="10">
        <v>0.02</v>
      </c>
      <c r="G56" s="10">
        <v>0.02</v>
      </c>
      <c r="H56" s="10">
        <v>0.39</v>
      </c>
      <c r="I56" s="10">
        <v>0.14</v>
      </c>
    </row>
    <row r="57" ht="15.75" customHeight="1">
      <c r="A57" s="7" t="s">
        <v>246</v>
      </c>
      <c r="B57" s="10" t="s">
        <v>56</v>
      </c>
      <c r="C57" s="13" t="s">
        <v>247</v>
      </c>
      <c r="D57" s="10">
        <v>22.0</v>
      </c>
      <c r="F57" s="10">
        <v>0.02</v>
      </c>
      <c r="G57" s="10">
        <v>0.02</v>
      </c>
      <c r="H57" s="10">
        <v>0.14</v>
      </c>
    </row>
    <row r="58" ht="15.75" customHeight="1">
      <c r="A58" s="7" t="s">
        <v>249</v>
      </c>
      <c r="B58" s="10" t="s">
        <v>17</v>
      </c>
      <c r="C58" s="13" t="s">
        <v>251</v>
      </c>
      <c r="D58" s="10">
        <v>22.0</v>
      </c>
      <c r="F58" s="10">
        <v>0.02</v>
      </c>
      <c r="G58" s="10">
        <v>0.02</v>
      </c>
      <c r="H58" s="10">
        <v>0.73</v>
      </c>
    </row>
    <row r="59" ht="15.75" customHeight="1">
      <c r="A59" s="7" t="s">
        <v>253</v>
      </c>
      <c r="B59" s="10" t="s">
        <v>37</v>
      </c>
      <c r="C59" s="13" t="s">
        <v>256</v>
      </c>
      <c r="D59" s="10">
        <v>21.0</v>
      </c>
      <c r="F59" s="10">
        <v>0.02</v>
      </c>
      <c r="G59" s="10">
        <v>0.02</v>
      </c>
      <c r="H59" s="10">
        <v>1.43</v>
      </c>
    </row>
    <row r="60" ht="15.75" customHeight="1">
      <c r="A60" s="7" t="s">
        <v>257</v>
      </c>
      <c r="B60" s="10" t="s">
        <v>37</v>
      </c>
      <c r="C60" s="13" t="s">
        <v>260</v>
      </c>
      <c r="D60" s="10">
        <v>21.0</v>
      </c>
      <c r="E60" s="10">
        <v>18.0</v>
      </c>
      <c r="F60" s="10">
        <v>0.02</v>
      </c>
      <c r="G60" s="10">
        <v>0.02</v>
      </c>
      <c r="H60" s="10">
        <v>1.24</v>
      </c>
      <c r="I60" s="10">
        <v>0.24</v>
      </c>
    </row>
    <row r="61" ht="15.75" customHeight="1">
      <c r="A61" s="7" t="s">
        <v>262</v>
      </c>
      <c r="B61" s="10" t="s">
        <v>56</v>
      </c>
      <c r="C61" s="13" t="s">
        <v>264</v>
      </c>
      <c r="D61" s="10">
        <v>21.0</v>
      </c>
      <c r="E61" s="10">
        <v>20.0</v>
      </c>
      <c r="F61" s="10">
        <v>0.02</v>
      </c>
      <c r="G61" s="10">
        <v>0.02</v>
      </c>
      <c r="H61" s="10">
        <v>0.43</v>
      </c>
      <c r="I61" s="10">
        <v>0.43</v>
      </c>
    </row>
    <row r="62" ht="15.75" customHeight="1">
      <c r="A62" s="7" t="s">
        <v>266</v>
      </c>
      <c r="B62" s="10" t="s">
        <v>17</v>
      </c>
      <c r="C62" s="13" t="s">
        <v>268</v>
      </c>
      <c r="D62" s="10">
        <v>21.0</v>
      </c>
      <c r="F62" s="10">
        <v>0.02</v>
      </c>
      <c r="G62" s="10">
        <v>0.02</v>
      </c>
      <c r="H62" s="10">
        <v>1.38</v>
      </c>
    </row>
    <row r="63" ht="15.75" customHeight="1">
      <c r="A63" s="7" t="s">
        <v>270</v>
      </c>
      <c r="B63" s="10" t="s">
        <v>17</v>
      </c>
      <c r="C63" s="13" t="s">
        <v>273</v>
      </c>
      <c r="D63" s="10">
        <v>20.0</v>
      </c>
      <c r="E63" s="10">
        <v>19.0</v>
      </c>
      <c r="F63" s="10">
        <v>0.02</v>
      </c>
      <c r="G63" s="10">
        <v>0.03</v>
      </c>
      <c r="H63" s="10">
        <v>1.6</v>
      </c>
      <c r="I63" s="10">
        <v>1.6</v>
      </c>
    </row>
    <row r="64" ht="15.75" customHeight="1">
      <c r="A64" s="7" t="s">
        <v>274</v>
      </c>
      <c r="B64" s="10" t="s">
        <v>17</v>
      </c>
      <c r="C64" s="13" t="s">
        <v>276</v>
      </c>
      <c r="D64" s="10">
        <v>20.0</v>
      </c>
      <c r="F64" s="10">
        <v>0.02</v>
      </c>
      <c r="G64" s="10">
        <v>0.02</v>
      </c>
      <c r="H64" s="10">
        <v>0.65</v>
      </c>
    </row>
    <row r="65" ht="15.75" customHeight="1">
      <c r="A65" s="7" t="s">
        <v>277</v>
      </c>
      <c r="B65" s="10" t="s">
        <v>279</v>
      </c>
      <c r="C65" s="13" t="s">
        <v>280</v>
      </c>
      <c r="D65" s="10">
        <v>19.0</v>
      </c>
      <c r="F65" s="10">
        <v>0.02</v>
      </c>
      <c r="G65" s="10">
        <v>0.02</v>
      </c>
      <c r="H65" s="10">
        <v>1.74</v>
      </c>
    </row>
    <row r="66" ht="15.75" customHeight="1">
      <c r="A66" s="10" t="s">
        <v>281</v>
      </c>
      <c r="B66" s="10" t="s">
        <v>17</v>
      </c>
      <c r="C66" s="13" t="s">
        <v>282</v>
      </c>
      <c r="D66" s="10">
        <v>18.0</v>
      </c>
      <c r="F66" s="10">
        <v>0.02</v>
      </c>
      <c r="G66" s="10">
        <v>0.03</v>
      </c>
      <c r="H66" s="10">
        <v>2.0</v>
      </c>
    </row>
    <row r="67" ht="15.75" customHeight="1">
      <c r="A67" s="7" t="s">
        <v>283</v>
      </c>
      <c r="B67" s="10" t="s">
        <v>17</v>
      </c>
      <c r="C67" s="13" t="s">
        <v>285</v>
      </c>
      <c r="D67" s="10">
        <v>18.0</v>
      </c>
      <c r="E67" s="10">
        <v>16.0</v>
      </c>
      <c r="F67" s="10">
        <v>0.02</v>
      </c>
      <c r="G67" s="10">
        <v>0.02</v>
      </c>
      <c r="H67" s="10">
        <v>1.39</v>
      </c>
      <c r="I67" s="10">
        <v>-0.61</v>
      </c>
    </row>
    <row r="68" ht="15.75" customHeight="1">
      <c r="A68" s="10" t="s">
        <v>286</v>
      </c>
      <c r="B68" s="10" t="s">
        <v>17</v>
      </c>
      <c r="C68" s="13" t="s">
        <v>288</v>
      </c>
      <c r="D68" s="10">
        <v>18.0</v>
      </c>
      <c r="F68" s="10">
        <v>0.02</v>
      </c>
      <c r="G68" s="10">
        <v>0.03</v>
      </c>
      <c r="H68" s="10">
        <v>0.61</v>
      </c>
    </row>
    <row r="69" ht="15.75" customHeight="1">
      <c r="A69" s="7" t="s">
        <v>289</v>
      </c>
      <c r="B69" s="10" t="s">
        <v>37</v>
      </c>
      <c r="C69" s="13" t="s">
        <v>290</v>
      </c>
      <c r="D69" s="10">
        <v>18.0</v>
      </c>
      <c r="F69" s="10">
        <v>0.02</v>
      </c>
      <c r="G69" s="10">
        <v>0.02</v>
      </c>
      <c r="H69" s="10">
        <v>0.28</v>
      </c>
    </row>
    <row r="70" ht="15.75" customHeight="1">
      <c r="A70" s="7" t="s">
        <v>292</v>
      </c>
      <c r="B70" s="10" t="s">
        <v>17</v>
      </c>
      <c r="C70" s="13" t="s">
        <v>293</v>
      </c>
      <c r="D70" s="10">
        <v>18.0</v>
      </c>
      <c r="E70" s="10">
        <v>17.0</v>
      </c>
      <c r="F70" s="10">
        <v>0.02</v>
      </c>
      <c r="G70" s="10">
        <v>0.02</v>
      </c>
      <c r="H70" s="10">
        <v>0.06</v>
      </c>
      <c r="I70" s="10">
        <v>0.06</v>
      </c>
    </row>
    <row r="71" ht="15.75" customHeight="1">
      <c r="A71" s="7" t="s">
        <v>295</v>
      </c>
      <c r="B71" s="10" t="s">
        <v>37</v>
      </c>
      <c r="C71" s="13" t="s">
        <v>297</v>
      </c>
      <c r="D71" s="10">
        <v>17.0</v>
      </c>
      <c r="E71" s="10">
        <v>7.0</v>
      </c>
      <c r="F71" s="10">
        <v>0.02</v>
      </c>
      <c r="G71" s="10">
        <v>0.03</v>
      </c>
      <c r="H71" s="10">
        <v>0.35</v>
      </c>
      <c r="I71" s="10">
        <v>-1.25</v>
      </c>
    </row>
    <row r="72" ht="15.75" customHeight="1">
      <c r="A72" s="17" t="s">
        <v>299</v>
      </c>
      <c r="B72" s="10" t="s">
        <v>37</v>
      </c>
      <c r="C72" s="13" t="s">
        <v>303</v>
      </c>
      <c r="D72" s="10">
        <v>17.0</v>
      </c>
      <c r="E72" s="10">
        <v>2.0</v>
      </c>
      <c r="F72" s="10">
        <v>0.02</v>
      </c>
      <c r="G72" s="10">
        <v>0.02</v>
      </c>
      <c r="H72" s="10">
        <v>0.18</v>
      </c>
      <c r="I72" s="10">
        <v>-0.49</v>
      </c>
    </row>
    <row r="73" ht="15.75" customHeight="1">
      <c r="A73" s="7" t="s">
        <v>304</v>
      </c>
      <c r="B73" s="10" t="s">
        <v>17</v>
      </c>
      <c r="C73" s="13" t="s">
        <v>307</v>
      </c>
      <c r="D73" s="10">
        <v>17.0</v>
      </c>
      <c r="F73" s="10">
        <v>0.02</v>
      </c>
      <c r="G73" s="10">
        <v>0.02</v>
      </c>
      <c r="H73" s="10">
        <v>0.41</v>
      </c>
    </row>
    <row r="74" ht="15.75" customHeight="1">
      <c r="A74" s="7" t="s">
        <v>308</v>
      </c>
      <c r="B74" s="10" t="s">
        <v>75</v>
      </c>
      <c r="C74" s="13" t="s">
        <v>310</v>
      </c>
      <c r="D74" s="10">
        <v>16.0</v>
      </c>
      <c r="E74" s="10">
        <v>15.0</v>
      </c>
      <c r="F74" s="10">
        <v>0.02</v>
      </c>
      <c r="G74" s="10">
        <v>0.02</v>
      </c>
      <c r="H74" s="10">
        <v>0.94</v>
      </c>
      <c r="I74" s="10">
        <v>0.94</v>
      </c>
    </row>
    <row r="75" ht="15.75" customHeight="1">
      <c r="A75" s="7" t="s">
        <v>312</v>
      </c>
      <c r="B75" s="10" t="s">
        <v>37</v>
      </c>
      <c r="C75" s="13" t="s">
        <v>314</v>
      </c>
      <c r="D75" s="10">
        <v>16.0</v>
      </c>
      <c r="F75" s="10">
        <v>0.02</v>
      </c>
      <c r="G75" s="10">
        <v>0.02</v>
      </c>
      <c r="H75" s="10">
        <v>1.63</v>
      </c>
    </row>
    <row r="76" ht="15.75" customHeight="1">
      <c r="A76" s="7" t="s">
        <v>316</v>
      </c>
      <c r="B76" s="10" t="s">
        <v>17</v>
      </c>
      <c r="C76" s="13" t="s">
        <v>319</v>
      </c>
      <c r="D76" s="10">
        <v>16.0</v>
      </c>
      <c r="F76" s="10">
        <v>0.02</v>
      </c>
      <c r="G76" s="10">
        <v>0.02</v>
      </c>
      <c r="H76" s="10">
        <v>2.13</v>
      </c>
    </row>
    <row r="77" ht="15.75" customHeight="1">
      <c r="A77" s="7" t="s">
        <v>321</v>
      </c>
      <c r="B77" s="10" t="s">
        <v>17</v>
      </c>
      <c r="C77" s="13" t="s">
        <v>322</v>
      </c>
      <c r="D77" s="10">
        <v>16.0</v>
      </c>
      <c r="E77" s="10">
        <v>7.0</v>
      </c>
      <c r="F77" s="10">
        <v>0.02</v>
      </c>
      <c r="G77" s="10">
        <v>0.02</v>
      </c>
      <c r="H77" s="10">
        <v>0.44</v>
      </c>
      <c r="I77" s="10">
        <v>-1.12</v>
      </c>
    </row>
    <row r="78" ht="15.75" customHeight="1">
      <c r="A78" s="7" t="s">
        <v>325</v>
      </c>
      <c r="B78" s="10" t="s">
        <v>56</v>
      </c>
      <c r="C78" s="13" t="s">
        <v>327</v>
      </c>
      <c r="D78" s="10">
        <v>16.0</v>
      </c>
      <c r="F78" s="10">
        <v>0.02</v>
      </c>
      <c r="G78" s="10">
        <v>0.02</v>
      </c>
      <c r="H78" s="10">
        <v>0.06</v>
      </c>
    </row>
    <row r="79" ht="15.75" customHeight="1">
      <c r="A79" s="7" t="s">
        <v>330</v>
      </c>
      <c r="B79" s="10" t="s">
        <v>17</v>
      </c>
      <c r="C79" s="13" t="s">
        <v>331</v>
      </c>
      <c r="D79" s="10">
        <v>15.0</v>
      </c>
      <c r="E79" s="10">
        <v>14.0</v>
      </c>
      <c r="F79" s="10">
        <v>0.02</v>
      </c>
      <c r="G79" s="10">
        <v>0.02</v>
      </c>
      <c r="H79" s="10">
        <v>0.47</v>
      </c>
      <c r="I79" s="10">
        <v>0.47</v>
      </c>
    </row>
    <row r="80" ht="15.75" customHeight="1">
      <c r="A80" s="7" t="s">
        <v>332</v>
      </c>
      <c r="B80" s="10" t="s">
        <v>279</v>
      </c>
      <c r="C80" s="13" t="s">
        <v>334</v>
      </c>
      <c r="D80" s="10">
        <v>15.0</v>
      </c>
      <c r="F80" s="10">
        <v>0.02</v>
      </c>
      <c r="G80" s="10">
        <v>0.02</v>
      </c>
      <c r="H80" s="10">
        <v>0.2</v>
      </c>
    </row>
    <row r="81" ht="15.75" customHeight="1">
      <c r="A81" s="7" t="s">
        <v>335</v>
      </c>
      <c r="B81" s="10" t="s">
        <v>37</v>
      </c>
      <c r="C81" s="13" t="s">
        <v>337</v>
      </c>
      <c r="D81" s="10">
        <v>15.0</v>
      </c>
      <c r="F81" s="10">
        <v>0.02</v>
      </c>
      <c r="G81" s="10">
        <v>0.02</v>
      </c>
      <c r="H81" s="10">
        <v>1.6</v>
      </c>
    </row>
    <row r="82" ht="15.75" customHeight="1">
      <c r="A82" s="7" t="s">
        <v>339</v>
      </c>
      <c r="B82" s="10" t="s">
        <v>75</v>
      </c>
      <c r="C82" s="13" t="s">
        <v>340</v>
      </c>
      <c r="D82" s="10">
        <v>15.0</v>
      </c>
      <c r="E82" s="10">
        <v>7.0</v>
      </c>
      <c r="F82" s="10">
        <v>0.02</v>
      </c>
      <c r="G82" s="10">
        <v>0.02</v>
      </c>
      <c r="H82" s="10">
        <v>2.27</v>
      </c>
      <c r="I82" s="10">
        <v>-1.11</v>
      </c>
    </row>
    <row r="83" ht="15.75" customHeight="1">
      <c r="A83" s="7" t="s">
        <v>341</v>
      </c>
      <c r="B83" s="10" t="s">
        <v>17</v>
      </c>
      <c r="C83" s="13"/>
      <c r="D83" s="10">
        <v>15.0</v>
      </c>
      <c r="F83" s="10">
        <v>0.02</v>
      </c>
      <c r="G83" s="10">
        <v>0.02</v>
      </c>
      <c r="H83" s="10">
        <v>0.47</v>
      </c>
    </row>
    <row r="84" ht="15.75" customHeight="1">
      <c r="A84" s="7" t="s">
        <v>343</v>
      </c>
      <c r="B84" s="10" t="s">
        <v>17</v>
      </c>
      <c r="C84" s="13" t="s">
        <v>346</v>
      </c>
      <c r="D84" s="10">
        <v>15.0</v>
      </c>
      <c r="F84" s="10">
        <v>0.02</v>
      </c>
      <c r="G84" s="10">
        <v>0.02</v>
      </c>
      <c r="H84" s="10">
        <v>0.8</v>
      </c>
    </row>
    <row r="85" ht="15.75" customHeight="1">
      <c r="A85" s="7" t="s">
        <v>347</v>
      </c>
      <c r="B85" s="10" t="s">
        <v>75</v>
      </c>
      <c r="C85" s="13" t="s">
        <v>349</v>
      </c>
      <c r="D85" s="10">
        <v>15.0</v>
      </c>
      <c r="F85" s="10">
        <v>0.02</v>
      </c>
      <c r="G85" s="10">
        <v>0.02</v>
      </c>
      <c r="H85" s="10">
        <v>0.13</v>
      </c>
    </row>
    <row r="86" ht="15.75" customHeight="1">
      <c r="A86" s="7" t="s">
        <v>350</v>
      </c>
      <c r="B86" s="10" t="s">
        <v>17</v>
      </c>
      <c r="C86" s="13" t="s">
        <v>351</v>
      </c>
      <c r="D86" s="10">
        <v>14.0</v>
      </c>
      <c r="E86" s="10">
        <v>6.0</v>
      </c>
      <c r="F86" s="10">
        <v>0.01</v>
      </c>
      <c r="G86" s="10">
        <v>0.03</v>
      </c>
      <c r="H86" s="10">
        <v>0.07</v>
      </c>
      <c r="I86" s="10">
        <v>-0.93</v>
      </c>
    </row>
    <row r="87" ht="15.75" customHeight="1">
      <c r="A87" s="7" t="s">
        <v>352</v>
      </c>
      <c r="B87" s="10" t="s">
        <v>17</v>
      </c>
      <c r="C87" s="13" t="s">
        <v>354</v>
      </c>
      <c r="D87" s="10">
        <v>14.0</v>
      </c>
      <c r="F87" s="10">
        <v>0.01</v>
      </c>
      <c r="G87" s="10">
        <v>0.02</v>
      </c>
      <c r="H87" s="10">
        <v>1.36</v>
      </c>
    </row>
    <row r="88" ht="15.75" customHeight="1">
      <c r="A88" s="7" t="s">
        <v>356</v>
      </c>
      <c r="B88" s="10" t="s">
        <v>91</v>
      </c>
      <c r="C88" s="13" t="s">
        <v>357</v>
      </c>
      <c r="D88" s="10">
        <v>14.0</v>
      </c>
      <c r="F88" s="10">
        <v>0.01</v>
      </c>
      <c r="G88" s="10">
        <v>0.01</v>
      </c>
      <c r="H88" s="10">
        <v>0.14</v>
      </c>
    </row>
    <row r="89" ht="15.75" customHeight="1">
      <c r="A89" s="7" t="s">
        <v>358</v>
      </c>
      <c r="B89" s="10" t="s">
        <v>17</v>
      </c>
      <c r="C89" s="13" t="s">
        <v>361</v>
      </c>
      <c r="D89" s="10">
        <v>14.0</v>
      </c>
      <c r="F89" s="10">
        <v>0.01</v>
      </c>
      <c r="G89" s="10">
        <v>0.01</v>
      </c>
      <c r="H89" s="10">
        <v>0.0</v>
      </c>
    </row>
    <row r="90" ht="15.75" customHeight="1">
      <c r="A90" s="7" t="s">
        <v>363</v>
      </c>
      <c r="B90" s="10" t="s">
        <v>17</v>
      </c>
      <c r="C90" s="13"/>
      <c r="D90" s="10">
        <v>14.0</v>
      </c>
      <c r="E90" s="10">
        <v>13.0</v>
      </c>
      <c r="F90" s="10">
        <v>0.01</v>
      </c>
      <c r="G90" s="10">
        <v>0.01</v>
      </c>
      <c r="H90" s="10">
        <v>0.93</v>
      </c>
      <c r="I90" s="10">
        <v>0.93</v>
      </c>
    </row>
    <row r="91" ht="15.75" customHeight="1">
      <c r="A91" s="7" t="s">
        <v>364</v>
      </c>
      <c r="B91" s="10" t="s">
        <v>56</v>
      </c>
      <c r="C91" s="13"/>
      <c r="D91" s="10">
        <v>14.0</v>
      </c>
      <c r="F91" s="10">
        <v>0.01</v>
      </c>
      <c r="G91" s="10">
        <v>0.01</v>
      </c>
      <c r="H91" s="10">
        <v>0.57</v>
      </c>
    </row>
    <row r="92" ht="15.75" customHeight="1">
      <c r="A92" s="7" t="s">
        <v>367</v>
      </c>
      <c r="B92" s="10" t="s">
        <v>37</v>
      </c>
      <c r="C92" s="13" t="s">
        <v>369</v>
      </c>
      <c r="D92" s="10">
        <v>13.0</v>
      </c>
      <c r="E92" s="10">
        <v>12.0</v>
      </c>
      <c r="F92" s="10">
        <v>0.01</v>
      </c>
      <c r="G92" s="10">
        <v>0.03</v>
      </c>
      <c r="H92" s="10">
        <v>1.85</v>
      </c>
      <c r="I92" s="10">
        <v>-1.15</v>
      </c>
    </row>
    <row r="93" ht="15.75" customHeight="1">
      <c r="A93" s="7" t="s">
        <v>370</v>
      </c>
      <c r="B93" s="10" t="s">
        <v>17</v>
      </c>
      <c r="C93" s="13" t="s">
        <v>371</v>
      </c>
      <c r="D93" s="10">
        <v>13.0</v>
      </c>
      <c r="F93" s="10">
        <v>0.01</v>
      </c>
      <c r="G93" s="10">
        <v>0.02</v>
      </c>
      <c r="H93" s="10">
        <v>0.15</v>
      </c>
    </row>
    <row r="94" ht="15.75" customHeight="1">
      <c r="A94" s="7" t="s">
        <v>373</v>
      </c>
      <c r="B94" s="10" t="s">
        <v>37</v>
      </c>
      <c r="C94" s="13" t="s">
        <v>376</v>
      </c>
      <c r="D94" s="10">
        <v>13.0</v>
      </c>
      <c r="E94" s="10">
        <v>9.0</v>
      </c>
      <c r="F94" s="10">
        <v>0.01</v>
      </c>
      <c r="G94" s="10">
        <v>0.02</v>
      </c>
      <c r="H94" s="10">
        <v>1.54</v>
      </c>
      <c r="I94" s="10">
        <v>0.04</v>
      </c>
    </row>
    <row r="95" ht="15.75" customHeight="1">
      <c r="A95" s="7" t="s">
        <v>377</v>
      </c>
      <c r="B95" s="10" t="s">
        <v>17</v>
      </c>
      <c r="C95" s="13" t="s">
        <v>378</v>
      </c>
      <c r="D95" s="10">
        <v>13.0</v>
      </c>
      <c r="F95" s="10">
        <v>0.01</v>
      </c>
      <c r="G95" s="10">
        <v>0.01</v>
      </c>
      <c r="H95" s="10">
        <v>0.77</v>
      </c>
    </row>
    <row r="96" ht="15.75" customHeight="1">
      <c r="A96" s="7" t="s">
        <v>379</v>
      </c>
      <c r="B96" s="10" t="s">
        <v>17</v>
      </c>
      <c r="C96" s="13" t="s">
        <v>381</v>
      </c>
      <c r="D96" s="10">
        <v>13.0</v>
      </c>
      <c r="F96" s="10">
        <v>0.01</v>
      </c>
      <c r="G96" s="10">
        <v>0.01</v>
      </c>
      <c r="H96" s="10">
        <v>0.08</v>
      </c>
    </row>
    <row r="97" ht="15.75" customHeight="1">
      <c r="A97" s="7" t="s">
        <v>382</v>
      </c>
      <c r="B97" s="10" t="s">
        <v>17</v>
      </c>
      <c r="C97" s="13" t="s">
        <v>285</v>
      </c>
      <c r="D97" s="10">
        <v>13.0</v>
      </c>
      <c r="F97" s="10">
        <v>0.01</v>
      </c>
      <c r="G97" s="10">
        <v>0.01</v>
      </c>
      <c r="H97" s="10">
        <v>2.08</v>
      </c>
    </row>
    <row r="98" ht="15.75" customHeight="1">
      <c r="A98" s="7" t="s">
        <v>383</v>
      </c>
      <c r="B98" s="10" t="s">
        <v>17</v>
      </c>
      <c r="C98" s="13" t="s">
        <v>384</v>
      </c>
      <c r="D98" s="10">
        <v>13.0</v>
      </c>
      <c r="E98" s="10">
        <v>12.0</v>
      </c>
      <c r="F98" s="10">
        <v>0.01</v>
      </c>
      <c r="G98" s="10">
        <v>0.01</v>
      </c>
      <c r="H98" s="10">
        <v>1.54</v>
      </c>
      <c r="I98" s="10">
        <v>1.54</v>
      </c>
    </row>
    <row r="99" ht="15.75" customHeight="1">
      <c r="A99" s="7" t="s">
        <v>387</v>
      </c>
      <c r="B99" s="10" t="s">
        <v>44</v>
      </c>
      <c r="C99" s="13" t="s">
        <v>388</v>
      </c>
      <c r="D99" s="10">
        <v>13.0</v>
      </c>
      <c r="F99" s="10">
        <v>0.01</v>
      </c>
      <c r="G99" s="10">
        <v>0.01</v>
      </c>
      <c r="H99" s="10">
        <v>0.69</v>
      </c>
    </row>
    <row r="100" ht="15.75" customHeight="1">
      <c r="A100" s="7" t="s">
        <v>390</v>
      </c>
      <c r="B100" s="10" t="s">
        <v>75</v>
      </c>
      <c r="C100" s="13" t="s">
        <v>391</v>
      </c>
      <c r="D100" s="10">
        <v>13.0</v>
      </c>
      <c r="F100" s="10">
        <v>0.01</v>
      </c>
      <c r="G100" s="10">
        <v>0.01</v>
      </c>
      <c r="H100" s="10">
        <v>0.23</v>
      </c>
    </row>
    <row r="101" ht="15.75" customHeight="1">
      <c r="A101" s="7" t="s">
        <v>393</v>
      </c>
      <c r="B101" s="10" t="s">
        <v>17</v>
      </c>
      <c r="C101" s="13" t="s">
        <v>395</v>
      </c>
      <c r="D101" s="10">
        <v>12.0</v>
      </c>
      <c r="E101" s="10">
        <v>9.0</v>
      </c>
      <c r="F101" s="10">
        <v>0.01</v>
      </c>
      <c r="G101" s="10">
        <v>0.02</v>
      </c>
      <c r="H101" s="10">
        <v>2.08</v>
      </c>
      <c r="I101" s="10">
        <v>2.08</v>
      </c>
    </row>
    <row r="102" ht="15.75" customHeight="1">
      <c r="A102" s="7" t="s">
        <v>396</v>
      </c>
      <c r="B102" s="10" t="s">
        <v>56</v>
      </c>
      <c r="C102" s="13" t="s">
        <v>399</v>
      </c>
      <c r="D102" s="10">
        <v>12.0</v>
      </c>
      <c r="E102" s="10">
        <v>11.0</v>
      </c>
      <c r="F102" s="10">
        <v>0.01</v>
      </c>
      <c r="G102" s="10">
        <v>0.02</v>
      </c>
      <c r="H102" s="10">
        <v>0.58</v>
      </c>
      <c r="I102" s="10">
        <v>0.58</v>
      </c>
    </row>
    <row r="103" ht="15.75" customHeight="1">
      <c r="A103" s="7" t="s">
        <v>400</v>
      </c>
      <c r="B103" s="10" t="s">
        <v>17</v>
      </c>
      <c r="C103" s="13" t="s">
        <v>384</v>
      </c>
      <c r="D103" s="10">
        <v>12.0</v>
      </c>
      <c r="F103" s="10">
        <v>0.01</v>
      </c>
      <c r="G103" s="10">
        <v>0.01</v>
      </c>
      <c r="H103" s="10">
        <v>0.5</v>
      </c>
    </row>
    <row r="104" ht="15.75" customHeight="1">
      <c r="A104" s="7" t="s">
        <v>402</v>
      </c>
      <c r="B104" s="10" t="s">
        <v>91</v>
      </c>
      <c r="C104" s="13" t="s">
        <v>403</v>
      </c>
      <c r="D104" s="10">
        <v>12.0</v>
      </c>
      <c r="F104" s="10">
        <v>0.01</v>
      </c>
      <c r="G104" s="10">
        <v>0.01</v>
      </c>
      <c r="H104" s="10">
        <v>0.67</v>
      </c>
    </row>
    <row r="105" ht="15.75" customHeight="1">
      <c r="A105" s="7" t="s">
        <v>406</v>
      </c>
      <c r="B105" s="10" t="s">
        <v>17</v>
      </c>
      <c r="C105" s="13"/>
      <c r="D105" s="10">
        <v>12.0</v>
      </c>
      <c r="F105" s="10">
        <v>0.01</v>
      </c>
      <c r="G105" s="10">
        <v>0.01</v>
      </c>
      <c r="H105" s="10">
        <v>0.0</v>
      </c>
    </row>
    <row r="106" ht="15.75" customHeight="1">
      <c r="A106" s="7" t="s">
        <v>409</v>
      </c>
      <c r="B106" s="10" t="s">
        <v>279</v>
      </c>
      <c r="C106" s="13" t="s">
        <v>410</v>
      </c>
      <c r="D106" s="10">
        <v>12.0</v>
      </c>
      <c r="F106" s="10">
        <v>0.01</v>
      </c>
      <c r="G106" s="10">
        <v>0.01</v>
      </c>
      <c r="H106" s="10">
        <v>0.0</v>
      </c>
    </row>
    <row r="107" ht="15.75" customHeight="1">
      <c r="A107" s="7" t="s">
        <v>412</v>
      </c>
      <c r="B107" s="10" t="s">
        <v>75</v>
      </c>
      <c r="C107" s="13"/>
      <c r="D107" s="10">
        <v>12.0</v>
      </c>
      <c r="F107" s="10">
        <v>0.01</v>
      </c>
      <c r="G107" s="10">
        <v>0.01</v>
      </c>
      <c r="H107" s="10">
        <v>0.0</v>
      </c>
    </row>
    <row r="108" ht="15.75" customHeight="1">
      <c r="A108" s="7" t="s">
        <v>415</v>
      </c>
      <c r="B108" s="10" t="s">
        <v>91</v>
      </c>
      <c r="C108" s="13" t="s">
        <v>417</v>
      </c>
      <c r="D108" s="10">
        <v>12.0</v>
      </c>
      <c r="F108" s="10">
        <v>0.01</v>
      </c>
      <c r="G108" s="10">
        <v>0.01</v>
      </c>
      <c r="H108" s="10">
        <v>0.0</v>
      </c>
    </row>
    <row r="109" ht="15.75" customHeight="1">
      <c r="A109" s="7" t="s">
        <v>418</v>
      </c>
      <c r="B109" s="10" t="s">
        <v>17</v>
      </c>
      <c r="C109" s="13"/>
      <c r="D109" s="10">
        <v>12.0</v>
      </c>
      <c r="F109" s="10">
        <v>0.01</v>
      </c>
      <c r="G109" s="10">
        <v>0.01</v>
      </c>
      <c r="H109" s="10">
        <v>0.33</v>
      </c>
    </row>
    <row r="110" ht="15.75" customHeight="1">
      <c r="A110" s="7" t="s">
        <v>420</v>
      </c>
      <c r="B110" s="10" t="s">
        <v>17</v>
      </c>
      <c r="C110" s="13"/>
      <c r="D110" s="10">
        <v>12.0</v>
      </c>
      <c r="E110" s="10">
        <v>11.0</v>
      </c>
      <c r="F110" s="10">
        <v>0.01</v>
      </c>
      <c r="G110" s="10">
        <v>0.01</v>
      </c>
      <c r="H110" s="10">
        <v>0.83</v>
      </c>
      <c r="I110" s="10">
        <v>-1.17</v>
      </c>
    </row>
    <row r="111" ht="15.75" customHeight="1">
      <c r="A111" s="7" t="s">
        <v>421</v>
      </c>
      <c r="B111" s="10" t="s">
        <v>17</v>
      </c>
      <c r="C111" s="13" t="s">
        <v>384</v>
      </c>
      <c r="D111" s="10">
        <v>12.0</v>
      </c>
      <c r="F111" s="10">
        <v>0.01</v>
      </c>
      <c r="G111" s="10">
        <v>0.01</v>
      </c>
      <c r="H111" s="10">
        <v>2.75</v>
      </c>
    </row>
    <row r="112" ht="15.75" customHeight="1">
      <c r="A112" s="7" t="s">
        <v>423</v>
      </c>
      <c r="B112" s="10" t="s">
        <v>17</v>
      </c>
      <c r="C112" s="13"/>
      <c r="D112" s="10">
        <v>11.0</v>
      </c>
      <c r="F112" s="10">
        <v>0.01</v>
      </c>
      <c r="G112" s="10">
        <v>0.01</v>
      </c>
      <c r="H112" s="10">
        <v>0.09</v>
      </c>
    </row>
    <row r="113" ht="15.75" customHeight="1">
      <c r="A113" s="7" t="s">
        <v>426</v>
      </c>
      <c r="B113" s="10" t="s">
        <v>91</v>
      </c>
      <c r="C113" s="13" t="s">
        <v>428</v>
      </c>
      <c r="D113" s="10">
        <v>11.0</v>
      </c>
      <c r="E113" s="10">
        <v>9.0</v>
      </c>
      <c r="F113" s="10">
        <v>0.01</v>
      </c>
      <c r="G113" s="10">
        <v>0.01</v>
      </c>
      <c r="H113" s="10">
        <v>0.45</v>
      </c>
      <c r="I113" s="10">
        <v>0.45</v>
      </c>
    </row>
    <row r="114" ht="15.75" customHeight="1">
      <c r="A114" s="7" t="s">
        <v>430</v>
      </c>
      <c r="B114" s="10" t="s">
        <v>17</v>
      </c>
      <c r="C114" s="13" t="s">
        <v>431</v>
      </c>
      <c r="D114" s="10">
        <v>11.0</v>
      </c>
      <c r="E114" s="10">
        <v>5.0</v>
      </c>
      <c r="F114" s="10">
        <v>0.01</v>
      </c>
      <c r="G114" s="10">
        <v>0.01</v>
      </c>
      <c r="H114" s="10">
        <v>0.0</v>
      </c>
      <c r="I114" s="10">
        <v>-0.33</v>
      </c>
    </row>
    <row r="115" ht="15.75" customHeight="1">
      <c r="A115" s="7" t="s">
        <v>433</v>
      </c>
      <c r="B115" s="10" t="s">
        <v>56</v>
      </c>
      <c r="C115" s="13" t="s">
        <v>436</v>
      </c>
      <c r="D115" s="10">
        <v>11.0</v>
      </c>
      <c r="F115" s="10">
        <v>0.01</v>
      </c>
      <c r="G115" s="10">
        <v>0.01</v>
      </c>
      <c r="H115" s="10">
        <v>0.82</v>
      </c>
    </row>
    <row r="116" ht="15.75" customHeight="1">
      <c r="A116" s="7" t="s">
        <v>437</v>
      </c>
      <c r="B116" s="10" t="s">
        <v>37</v>
      </c>
      <c r="C116" s="13" t="s">
        <v>438</v>
      </c>
      <c r="D116" s="10">
        <v>11.0</v>
      </c>
      <c r="E116" s="10">
        <v>0.0</v>
      </c>
      <c r="F116" s="10">
        <v>0.01</v>
      </c>
      <c r="G116" s="10">
        <v>0.01</v>
      </c>
      <c r="H116" s="10">
        <v>0.91</v>
      </c>
      <c r="I116" s="10">
        <v>-0.18</v>
      </c>
    </row>
    <row r="117" ht="15.75" customHeight="1">
      <c r="A117" s="10" t="s">
        <v>440</v>
      </c>
      <c r="B117" s="10" t="s">
        <v>17</v>
      </c>
      <c r="C117" s="13" t="s">
        <v>441</v>
      </c>
      <c r="D117" s="10">
        <v>11.0</v>
      </c>
      <c r="F117" s="10">
        <v>0.01</v>
      </c>
      <c r="G117" s="10">
        <v>0.01</v>
      </c>
      <c r="H117" s="10">
        <v>0.55</v>
      </c>
    </row>
    <row r="118" ht="15.75" customHeight="1">
      <c r="A118" s="7" t="s">
        <v>443</v>
      </c>
      <c r="B118" s="10" t="s">
        <v>17</v>
      </c>
      <c r="C118" s="13"/>
      <c r="D118" s="10">
        <v>11.0</v>
      </c>
      <c r="F118" s="10">
        <v>0.01</v>
      </c>
      <c r="G118" s="10">
        <v>0.01</v>
      </c>
      <c r="H118" s="10">
        <v>1.18</v>
      </c>
    </row>
    <row r="119" ht="15.75" customHeight="1">
      <c r="A119" s="7" t="s">
        <v>445</v>
      </c>
      <c r="B119" s="10" t="s">
        <v>37</v>
      </c>
      <c r="C119" s="13" t="s">
        <v>448</v>
      </c>
      <c r="D119" s="10">
        <v>10.0</v>
      </c>
      <c r="F119" s="10">
        <v>0.01</v>
      </c>
      <c r="G119" s="10">
        <v>0.02</v>
      </c>
      <c r="H119" s="10">
        <v>0.9</v>
      </c>
    </row>
    <row r="120" ht="15.75" customHeight="1">
      <c r="A120" s="7" t="s">
        <v>450</v>
      </c>
      <c r="B120" s="10" t="s">
        <v>17</v>
      </c>
      <c r="C120" s="13"/>
      <c r="D120" s="10">
        <v>10.0</v>
      </c>
      <c r="E120" s="10">
        <v>5.0</v>
      </c>
      <c r="F120" s="10">
        <v>0.01</v>
      </c>
      <c r="G120" s="10">
        <v>0.02</v>
      </c>
      <c r="H120" s="10">
        <v>1.5</v>
      </c>
      <c r="I120" s="10">
        <v>-0.1</v>
      </c>
    </row>
    <row r="121" ht="15.75" customHeight="1">
      <c r="A121" s="7" t="s">
        <v>452</v>
      </c>
      <c r="B121" s="10" t="s">
        <v>37</v>
      </c>
      <c r="C121" s="13" t="s">
        <v>454</v>
      </c>
      <c r="D121" s="10">
        <v>10.0</v>
      </c>
      <c r="E121" s="10">
        <v>8.0</v>
      </c>
      <c r="F121" s="10">
        <v>0.01</v>
      </c>
      <c r="G121" s="10">
        <v>0.02</v>
      </c>
      <c r="H121" s="10">
        <v>1.4</v>
      </c>
      <c r="I121" s="10">
        <v>1.4</v>
      </c>
    </row>
    <row r="122" ht="15.75" customHeight="1">
      <c r="A122" s="7" t="s">
        <v>455</v>
      </c>
      <c r="B122" s="10" t="s">
        <v>279</v>
      </c>
      <c r="C122" s="13" t="s">
        <v>456</v>
      </c>
      <c r="D122" s="10">
        <v>10.0</v>
      </c>
      <c r="F122" s="10">
        <v>0.01</v>
      </c>
      <c r="G122" s="10">
        <v>0.01</v>
      </c>
      <c r="H122" s="10">
        <v>1.4</v>
      </c>
    </row>
    <row r="123" ht="15.75" customHeight="1">
      <c r="A123" s="7" t="s">
        <v>458</v>
      </c>
      <c r="B123" s="10" t="s">
        <v>17</v>
      </c>
      <c r="C123" s="13"/>
      <c r="D123" s="10">
        <v>10.0</v>
      </c>
      <c r="F123" s="10">
        <v>0.01</v>
      </c>
      <c r="G123" s="10">
        <v>0.01</v>
      </c>
      <c r="H123" s="10">
        <v>1.4</v>
      </c>
    </row>
    <row r="124" ht="15.75" customHeight="1">
      <c r="A124" s="7" t="s">
        <v>460</v>
      </c>
      <c r="B124" s="10" t="s">
        <v>37</v>
      </c>
      <c r="C124" s="13" t="s">
        <v>461</v>
      </c>
      <c r="D124" s="10">
        <v>10.0</v>
      </c>
      <c r="E124" s="10">
        <v>7.0</v>
      </c>
      <c r="F124" s="10">
        <v>0.01</v>
      </c>
      <c r="G124" s="10">
        <v>0.01</v>
      </c>
      <c r="H124" s="10">
        <v>1.6</v>
      </c>
      <c r="I124" s="10">
        <v>0.6</v>
      </c>
    </row>
    <row r="125" ht="15.75" customHeight="1">
      <c r="A125" s="7" t="s">
        <v>463</v>
      </c>
      <c r="B125" s="10" t="s">
        <v>75</v>
      </c>
      <c r="C125" s="13" t="s">
        <v>465</v>
      </c>
      <c r="D125" s="10">
        <v>10.0</v>
      </c>
      <c r="F125" s="10">
        <v>0.01</v>
      </c>
      <c r="G125" s="10">
        <v>0.01</v>
      </c>
      <c r="H125" s="10">
        <v>0.8</v>
      </c>
    </row>
    <row r="126" ht="15.75" customHeight="1">
      <c r="A126" s="7" t="s">
        <v>467</v>
      </c>
      <c r="B126" s="10" t="s">
        <v>56</v>
      </c>
      <c r="C126" s="13"/>
      <c r="D126" s="10">
        <v>10.0</v>
      </c>
      <c r="E126" s="10">
        <v>6.0</v>
      </c>
      <c r="F126" s="10">
        <v>0.01</v>
      </c>
      <c r="G126" s="10">
        <v>0.01</v>
      </c>
      <c r="H126" s="10">
        <v>2.0</v>
      </c>
      <c r="I126" s="10">
        <v>0.0</v>
      </c>
    </row>
    <row r="127" ht="15.75" customHeight="1">
      <c r="A127" s="7" t="s">
        <v>469</v>
      </c>
      <c r="B127" s="10" t="s">
        <v>17</v>
      </c>
      <c r="C127" s="13" t="s">
        <v>471</v>
      </c>
      <c r="D127" s="10">
        <v>10.0</v>
      </c>
      <c r="F127" s="10">
        <v>0.01</v>
      </c>
      <c r="G127" s="10">
        <v>0.01</v>
      </c>
      <c r="H127" s="10">
        <v>0.2</v>
      </c>
    </row>
    <row r="128" ht="15.75" customHeight="1">
      <c r="A128" s="7" t="s">
        <v>473</v>
      </c>
      <c r="B128" s="10" t="s">
        <v>17</v>
      </c>
      <c r="C128" s="13" t="s">
        <v>474</v>
      </c>
      <c r="D128" s="10">
        <v>10.0</v>
      </c>
      <c r="F128" s="10">
        <v>0.01</v>
      </c>
      <c r="G128" s="10">
        <v>0.01</v>
      </c>
      <c r="H128" s="10">
        <v>0.0</v>
      </c>
    </row>
    <row r="129" ht="15.75" customHeight="1">
      <c r="A129" s="7" t="s">
        <v>476</v>
      </c>
      <c r="B129" s="10" t="s">
        <v>17</v>
      </c>
      <c r="C129" s="13" t="s">
        <v>157</v>
      </c>
      <c r="D129" s="10">
        <v>10.0</v>
      </c>
      <c r="E129" s="10">
        <v>4.0</v>
      </c>
      <c r="F129" s="10">
        <v>0.01</v>
      </c>
      <c r="G129" s="10">
        <v>0.01</v>
      </c>
      <c r="H129" s="10">
        <v>1.1</v>
      </c>
      <c r="I129" s="10">
        <v>0.1</v>
      </c>
    </row>
    <row r="130" ht="15.75" customHeight="1">
      <c r="A130" s="7" t="s">
        <v>479</v>
      </c>
      <c r="B130" s="10" t="s">
        <v>17</v>
      </c>
      <c r="C130" s="13"/>
      <c r="D130" s="10">
        <v>10.0</v>
      </c>
      <c r="E130" s="10">
        <v>5.0</v>
      </c>
      <c r="F130" s="10">
        <v>0.01</v>
      </c>
      <c r="G130" s="10">
        <v>0.01</v>
      </c>
      <c r="H130" s="10">
        <v>0.7</v>
      </c>
      <c r="I130" s="10">
        <v>0.1</v>
      </c>
    </row>
    <row r="131" ht="15.75" customHeight="1">
      <c r="A131" s="7" t="s">
        <v>481</v>
      </c>
      <c r="B131" s="10" t="s">
        <v>17</v>
      </c>
      <c r="C131" s="13" t="s">
        <v>484</v>
      </c>
      <c r="D131" s="10">
        <v>10.0</v>
      </c>
      <c r="E131" s="10">
        <v>9.0</v>
      </c>
      <c r="F131" s="10">
        <v>0.01</v>
      </c>
      <c r="G131" s="10">
        <v>0.01</v>
      </c>
      <c r="H131" s="10">
        <v>0.1</v>
      </c>
      <c r="I131" s="10">
        <v>-0.9</v>
      </c>
    </row>
    <row r="132" ht="15.75" customHeight="1">
      <c r="A132" s="7" t="s">
        <v>485</v>
      </c>
      <c r="B132" s="10" t="s">
        <v>17</v>
      </c>
      <c r="C132" s="13" t="s">
        <v>487</v>
      </c>
      <c r="D132" s="10">
        <v>10.0</v>
      </c>
      <c r="E132" s="10">
        <v>8.0</v>
      </c>
      <c r="F132" s="10">
        <v>0.01</v>
      </c>
      <c r="G132" s="10">
        <v>0.01</v>
      </c>
      <c r="H132" s="10">
        <v>0.0</v>
      </c>
      <c r="I132" s="10">
        <v>-1.0</v>
      </c>
    </row>
    <row r="133" ht="15.75" customHeight="1">
      <c r="A133" s="7" t="s">
        <v>489</v>
      </c>
      <c r="B133" s="10" t="s">
        <v>17</v>
      </c>
      <c r="C133" s="13" t="s">
        <v>491</v>
      </c>
      <c r="D133" s="10">
        <v>10.0</v>
      </c>
      <c r="F133" s="10">
        <v>0.01</v>
      </c>
      <c r="G133" s="10">
        <v>0.01</v>
      </c>
      <c r="H133" s="10">
        <v>0.3</v>
      </c>
    </row>
    <row r="134" ht="15.75" customHeight="1">
      <c r="A134" s="7" t="s">
        <v>492</v>
      </c>
      <c r="B134" s="10" t="s">
        <v>17</v>
      </c>
      <c r="C134" s="13" t="s">
        <v>495</v>
      </c>
      <c r="D134" s="10">
        <v>10.0</v>
      </c>
      <c r="E134" s="10">
        <v>6.0</v>
      </c>
      <c r="F134" s="10">
        <v>0.01</v>
      </c>
      <c r="G134" s="10">
        <v>0.01</v>
      </c>
      <c r="H134" s="10">
        <v>0.0</v>
      </c>
      <c r="I134" s="10">
        <v>-0.5</v>
      </c>
    </row>
    <row r="135" ht="15.75" customHeight="1">
      <c r="A135" s="7" t="s">
        <v>496</v>
      </c>
      <c r="B135" s="10" t="s">
        <v>17</v>
      </c>
      <c r="C135" s="13" t="s">
        <v>498</v>
      </c>
      <c r="D135" s="10">
        <v>10.0</v>
      </c>
      <c r="F135" s="10">
        <v>0.01</v>
      </c>
      <c r="G135" s="10">
        <v>0.01</v>
      </c>
      <c r="H135" s="10">
        <v>0.1</v>
      </c>
    </row>
    <row r="136" ht="15.75" customHeight="1">
      <c r="A136" s="7" t="s">
        <v>499</v>
      </c>
      <c r="B136" s="10" t="s">
        <v>91</v>
      </c>
      <c r="C136" s="13" t="s">
        <v>500</v>
      </c>
      <c r="D136" s="10">
        <v>9.0</v>
      </c>
      <c r="F136" s="10">
        <v>0.01</v>
      </c>
      <c r="G136" s="10">
        <v>0.01</v>
      </c>
      <c r="H136" s="10">
        <v>0.0</v>
      </c>
    </row>
    <row r="137" ht="15.75" customHeight="1">
      <c r="A137" s="10" t="s">
        <v>502</v>
      </c>
      <c r="B137" s="10" t="s">
        <v>37</v>
      </c>
      <c r="C137" s="13" t="s">
        <v>503</v>
      </c>
      <c r="D137" s="10">
        <v>9.0</v>
      </c>
      <c r="F137" s="10">
        <v>0.01</v>
      </c>
      <c r="G137" s="10">
        <v>0.01</v>
      </c>
      <c r="H137" s="10">
        <v>1.33</v>
      </c>
    </row>
    <row r="138" ht="15.75" customHeight="1">
      <c r="A138" s="7" t="s">
        <v>505</v>
      </c>
      <c r="B138" s="10" t="s">
        <v>75</v>
      </c>
      <c r="C138" s="13" t="s">
        <v>507</v>
      </c>
      <c r="D138" s="10">
        <v>9.0</v>
      </c>
      <c r="E138" s="10">
        <v>-4.0</v>
      </c>
      <c r="F138" s="10">
        <v>0.01</v>
      </c>
      <c r="G138" s="10">
        <v>0.01</v>
      </c>
      <c r="H138" s="10">
        <v>2.11</v>
      </c>
      <c r="I138" s="10">
        <v>0.11</v>
      </c>
    </row>
    <row r="139" ht="15.75" customHeight="1">
      <c r="A139" s="7" t="s">
        <v>508</v>
      </c>
      <c r="B139" s="10" t="s">
        <v>91</v>
      </c>
      <c r="C139" s="13"/>
      <c r="D139" s="10">
        <v>9.0</v>
      </c>
      <c r="F139" s="10">
        <v>0.01</v>
      </c>
      <c r="G139" s="10">
        <v>0.01</v>
      </c>
      <c r="H139" s="10">
        <v>0.56</v>
      </c>
    </row>
    <row r="140" ht="15.75" customHeight="1">
      <c r="A140" s="7" t="s">
        <v>511</v>
      </c>
      <c r="B140" s="10" t="s">
        <v>91</v>
      </c>
      <c r="C140" s="13"/>
      <c r="D140" s="10">
        <v>9.0</v>
      </c>
      <c r="F140" s="10">
        <v>0.01</v>
      </c>
      <c r="G140" s="10">
        <v>0.01</v>
      </c>
      <c r="H140" s="10">
        <v>0.11</v>
      </c>
    </row>
    <row r="141" ht="15.75" customHeight="1">
      <c r="A141" s="10" t="s">
        <v>512</v>
      </c>
      <c r="B141" s="10" t="s">
        <v>17</v>
      </c>
      <c r="C141" s="13" t="s">
        <v>513</v>
      </c>
      <c r="D141" s="10">
        <v>9.0</v>
      </c>
      <c r="F141" s="10">
        <v>0.01</v>
      </c>
      <c r="G141" s="10">
        <v>0.01</v>
      </c>
      <c r="H141" s="10">
        <v>1.22</v>
      </c>
    </row>
    <row r="142" ht="15.75" customHeight="1">
      <c r="A142" s="7" t="s">
        <v>515</v>
      </c>
      <c r="B142" s="10" t="s">
        <v>17</v>
      </c>
      <c r="C142" s="13" t="s">
        <v>384</v>
      </c>
      <c r="D142" s="10">
        <v>9.0</v>
      </c>
      <c r="F142" s="10">
        <v>0.01</v>
      </c>
      <c r="G142" s="10">
        <v>0.01</v>
      </c>
      <c r="H142" s="10">
        <v>0.11</v>
      </c>
    </row>
    <row r="143" ht="15.75" customHeight="1">
      <c r="A143" s="7" t="s">
        <v>516</v>
      </c>
      <c r="B143" s="10" t="s">
        <v>17</v>
      </c>
      <c r="C143" s="13" t="s">
        <v>519</v>
      </c>
      <c r="D143" s="10">
        <v>9.0</v>
      </c>
      <c r="F143" s="10">
        <v>0.01</v>
      </c>
      <c r="G143" s="10">
        <v>0.01</v>
      </c>
      <c r="H143" s="10">
        <v>0.0</v>
      </c>
    </row>
    <row r="144" ht="15.75" customHeight="1">
      <c r="A144" s="7" t="s">
        <v>521</v>
      </c>
      <c r="B144" s="10" t="s">
        <v>17</v>
      </c>
      <c r="C144" s="13" t="s">
        <v>524</v>
      </c>
      <c r="D144" s="10">
        <v>9.0</v>
      </c>
      <c r="F144" s="10">
        <v>0.01</v>
      </c>
      <c r="G144" s="10">
        <v>0.01</v>
      </c>
      <c r="H144" s="10">
        <v>0.0</v>
      </c>
    </row>
    <row r="145" ht="15.75" customHeight="1">
      <c r="A145" s="7" t="s">
        <v>525</v>
      </c>
      <c r="B145" s="10" t="s">
        <v>17</v>
      </c>
      <c r="C145" s="13"/>
      <c r="D145" s="10">
        <v>9.0</v>
      </c>
      <c r="E145" s="10">
        <v>4.0</v>
      </c>
      <c r="F145" s="10">
        <v>0.01</v>
      </c>
      <c r="G145" s="10">
        <v>0.01</v>
      </c>
      <c r="H145" s="10">
        <v>0.78</v>
      </c>
      <c r="I145" s="10">
        <v>0.78</v>
      </c>
    </row>
    <row r="146" ht="15.75" customHeight="1">
      <c r="A146" s="7" t="s">
        <v>528</v>
      </c>
      <c r="B146" s="10" t="s">
        <v>17</v>
      </c>
      <c r="C146" s="13" t="s">
        <v>530</v>
      </c>
      <c r="D146" s="10">
        <v>9.0</v>
      </c>
      <c r="E146" s="10">
        <v>1.0</v>
      </c>
      <c r="F146" s="10">
        <v>0.01</v>
      </c>
      <c r="G146" s="10">
        <v>0.01</v>
      </c>
      <c r="H146" s="10">
        <v>0.89</v>
      </c>
      <c r="I146" s="10">
        <v>0.51</v>
      </c>
    </row>
    <row r="147" ht="15.75" customHeight="1">
      <c r="A147" s="7" t="s">
        <v>531</v>
      </c>
      <c r="B147" s="10" t="s">
        <v>17</v>
      </c>
      <c r="C147" s="13" t="s">
        <v>532</v>
      </c>
      <c r="D147" s="10">
        <v>9.0</v>
      </c>
      <c r="E147" s="10">
        <v>3.0</v>
      </c>
      <c r="F147" s="10">
        <v>0.01</v>
      </c>
      <c r="G147" s="10">
        <v>0.01</v>
      </c>
      <c r="H147" s="10">
        <v>0.67</v>
      </c>
      <c r="I147" s="10">
        <v>-0.5</v>
      </c>
    </row>
    <row r="148" ht="15.75" customHeight="1">
      <c r="A148" s="7" t="s">
        <v>534</v>
      </c>
      <c r="B148" s="10" t="s">
        <v>17</v>
      </c>
      <c r="C148" s="13" t="s">
        <v>536</v>
      </c>
      <c r="D148" s="10">
        <v>9.0</v>
      </c>
      <c r="F148" s="10">
        <v>0.01</v>
      </c>
      <c r="G148" s="10">
        <v>0.01</v>
      </c>
      <c r="H148" s="10">
        <v>1.0</v>
      </c>
    </row>
    <row r="149" ht="15.75" customHeight="1">
      <c r="A149" s="7" t="s">
        <v>537</v>
      </c>
      <c r="B149" s="10" t="s">
        <v>56</v>
      </c>
      <c r="C149" s="13" t="s">
        <v>539</v>
      </c>
      <c r="D149" s="10">
        <v>8.0</v>
      </c>
      <c r="E149" s="10">
        <v>3.0</v>
      </c>
      <c r="F149" s="10">
        <v>0.01</v>
      </c>
      <c r="G149" s="10">
        <v>0.02</v>
      </c>
      <c r="H149" s="10">
        <v>2.75</v>
      </c>
      <c r="I149" s="10">
        <v>1.75</v>
      </c>
    </row>
    <row r="150" ht="15.75" customHeight="1">
      <c r="A150" s="7" t="s">
        <v>541</v>
      </c>
      <c r="B150" s="10" t="s">
        <v>17</v>
      </c>
      <c r="C150" s="13"/>
      <c r="D150" s="10">
        <v>8.0</v>
      </c>
      <c r="F150" s="10">
        <v>0.01</v>
      </c>
      <c r="G150" s="10">
        <v>0.01</v>
      </c>
      <c r="H150" s="10">
        <v>0.75</v>
      </c>
    </row>
    <row r="151" ht="15.75" customHeight="1">
      <c r="A151" s="7" t="s">
        <v>545</v>
      </c>
      <c r="B151" s="10" t="s">
        <v>75</v>
      </c>
      <c r="C151" s="13" t="s">
        <v>546</v>
      </c>
      <c r="D151" s="10">
        <v>8.0</v>
      </c>
      <c r="F151" s="10">
        <v>0.01</v>
      </c>
      <c r="G151" s="10">
        <v>0.01</v>
      </c>
      <c r="H151" s="10">
        <v>0.38</v>
      </c>
    </row>
    <row r="152" ht="15.75" customHeight="1">
      <c r="A152" s="10" t="s">
        <v>547</v>
      </c>
      <c r="B152" s="10" t="s">
        <v>37</v>
      </c>
      <c r="C152" s="13" t="s">
        <v>548</v>
      </c>
      <c r="D152" s="10">
        <v>8.0</v>
      </c>
      <c r="E152" s="10">
        <v>6.0</v>
      </c>
      <c r="F152" s="10">
        <v>0.01</v>
      </c>
      <c r="G152" s="10">
        <v>0.01</v>
      </c>
      <c r="H152" s="10">
        <v>1.5</v>
      </c>
      <c r="I152" s="10">
        <v>1.5</v>
      </c>
    </row>
    <row r="153" ht="15.75" customHeight="1">
      <c r="A153" s="7" t="s">
        <v>550</v>
      </c>
      <c r="B153" s="10" t="s">
        <v>75</v>
      </c>
      <c r="C153" s="13"/>
      <c r="D153" s="10">
        <v>8.0</v>
      </c>
      <c r="E153" s="10">
        <v>7.0</v>
      </c>
      <c r="F153" s="10">
        <v>0.01</v>
      </c>
      <c r="G153" s="10">
        <v>0.01</v>
      </c>
      <c r="H153" s="10">
        <v>2.25</v>
      </c>
      <c r="I153" s="10">
        <v>0.25</v>
      </c>
    </row>
    <row r="154" ht="15.75" customHeight="1">
      <c r="A154" s="7" t="s">
        <v>551</v>
      </c>
      <c r="B154" s="10" t="s">
        <v>17</v>
      </c>
      <c r="C154" s="13" t="s">
        <v>553</v>
      </c>
      <c r="D154" s="10">
        <v>8.0</v>
      </c>
      <c r="F154" s="10">
        <v>0.01</v>
      </c>
      <c r="G154" s="10">
        <v>0.01</v>
      </c>
      <c r="H154" s="10">
        <v>1.38</v>
      </c>
    </row>
    <row r="155" ht="15.75" customHeight="1">
      <c r="A155" s="7" t="s">
        <v>554</v>
      </c>
      <c r="B155" s="10" t="s">
        <v>91</v>
      </c>
      <c r="C155" s="13" t="s">
        <v>384</v>
      </c>
      <c r="D155" s="10">
        <v>8.0</v>
      </c>
      <c r="F155" s="10">
        <v>0.01</v>
      </c>
      <c r="G155" s="10">
        <v>0.01</v>
      </c>
      <c r="H155" s="10">
        <v>1.38</v>
      </c>
    </row>
    <row r="156" ht="15.75" customHeight="1">
      <c r="A156" s="7" t="s">
        <v>556</v>
      </c>
      <c r="B156" s="10" t="s">
        <v>17</v>
      </c>
      <c r="C156" s="13" t="s">
        <v>558</v>
      </c>
      <c r="D156" s="10">
        <v>8.0</v>
      </c>
      <c r="F156" s="10">
        <v>0.01</v>
      </c>
      <c r="G156" s="10">
        <v>0.01</v>
      </c>
      <c r="H156" s="10">
        <v>0.0</v>
      </c>
    </row>
    <row r="157" ht="15.75" customHeight="1">
      <c r="A157" s="7" t="s">
        <v>560</v>
      </c>
      <c r="B157" s="10" t="s">
        <v>17</v>
      </c>
      <c r="C157" s="13" t="s">
        <v>561</v>
      </c>
      <c r="D157" s="10">
        <v>8.0</v>
      </c>
      <c r="E157" s="10">
        <v>7.0</v>
      </c>
      <c r="F157" s="10">
        <v>0.01</v>
      </c>
      <c r="G157" s="10">
        <v>0.01</v>
      </c>
      <c r="H157" s="10">
        <v>1.5</v>
      </c>
      <c r="I157" s="10">
        <v>1.5</v>
      </c>
    </row>
    <row r="158" ht="15.75" customHeight="1">
      <c r="A158" s="10" t="s">
        <v>563</v>
      </c>
      <c r="B158" s="10" t="s">
        <v>17</v>
      </c>
      <c r="C158" s="13"/>
      <c r="D158" s="10">
        <v>8.0</v>
      </c>
      <c r="F158" s="10">
        <v>0.01</v>
      </c>
      <c r="G158" s="10">
        <v>0.01</v>
      </c>
      <c r="H158" s="10">
        <v>0.25</v>
      </c>
    </row>
    <row r="159" ht="15.75" customHeight="1">
      <c r="A159" s="7" t="s">
        <v>565</v>
      </c>
      <c r="B159" s="10" t="s">
        <v>17</v>
      </c>
      <c r="C159" s="13" t="s">
        <v>567</v>
      </c>
      <c r="D159" s="10">
        <v>8.0</v>
      </c>
      <c r="E159" s="10">
        <v>3.0</v>
      </c>
      <c r="F159" s="10">
        <v>0.01</v>
      </c>
      <c r="G159" s="10">
        <v>0.01</v>
      </c>
      <c r="H159" s="10">
        <v>1.38</v>
      </c>
      <c r="I159" s="10">
        <v>-0.42</v>
      </c>
    </row>
    <row r="160" ht="15.75" customHeight="1">
      <c r="A160" s="7" t="s">
        <v>568</v>
      </c>
      <c r="B160" s="10" t="s">
        <v>17</v>
      </c>
      <c r="C160" s="13" t="s">
        <v>570</v>
      </c>
      <c r="D160" s="10">
        <v>8.0</v>
      </c>
      <c r="F160" s="10">
        <v>0.01</v>
      </c>
      <c r="G160" s="10">
        <v>0.01</v>
      </c>
      <c r="H160" s="10">
        <v>0.25</v>
      </c>
    </row>
    <row r="161" ht="15.75" customHeight="1">
      <c r="A161" s="7" t="s">
        <v>572</v>
      </c>
      <c r="B161" s="10" t="s">
        <v>17</v>
      </c>
      <c r="C161" s="13" t="s">
        <v>574</v>
      </c>
      <c r="D161" s="10">
        <v>8.0</v>
      </c>
      <c r="F161" s="10">
        <v>0.01</v>
      </c>
      <c r="G161" s="10">
        <v>0.01</v>
      </c>
      <c r="H161" s="10">
        <v>0.75</v>
      </c>
    </row>
    <row r="162" ht="15.75" customHeight="1">
      <c r="A162" s="7" t="s">
        <v>576</v>
      </c>
      <c r="B162" s="10" t="s">
        <v>56</v>
      </c>
      <c r="C162" s="13"/>
      <c r="D162" s="10">
        <v>7.0</v>
      </c>
      <c r="F162" s="10">
        <v>0.01</v>
      </c>
      <c r="G162" s="10">
        <v>0.01</v>
      </c>
      <c r="H162" s="10">
        <v>0.0</v>
      </c>
    </row>
    <row r="163" ht="15.75" customHeight="1">
      <c r="A163" s="7" t="s">
        <v>587</v>
      </c>
      <c r="B163" s="10" t="s">
        <v>17</v>
      </c>
      <c r="C163" s="13"/>
      <c r="D163" s="10">
        <v>7.0</v>
      </c>
      <c r="F163" s="10">
        <v>0.01</v>
      </c>
      <c r="G163" s="10">
        <v>0.01</v>
      </c>
      <c r="H163" s="10">
        <v>1.71</v>
      </c>
    </row>
    <row r="164" ht="15.75" customHeight="1">
      <c r="A164" s="7" t="s">
        <v>589</v>
      </c>
      <c r="B164" s="10" t="s">
        <v>17</v>
      </c>
      <c r="C164" s="13" t="s">
        <v>591</v>
      </c>
      <c r="D164" s="10">
        <v>7.0</v>
      </c>
      <c r="F164" s="10">
        <v>0.01</v>
      </c>
      <c r="G164" s="10">
        <v>0.01</v>
      </c>
      <c r="H164" s="10">
        <v>1.29</v>
      </c>
    </row>
    <row r="165" ht="15.75" customHeight="1">
      <c r="A165" s="7" t="s">
        <v>592</v>
      </c>
      <c r="B165" s="10" t="s">
        <v>75</v>
      </c>
      <c r="C165" s="13" t="s">
        <v>594</v>
      </c>
      <c r="D165" s="10">
        <v>7.0</v>
      </c>
      <c r="F165" s="10">
        <v>0.01</v>
      </c>
      <c r="G165" s="10">
        <v>0.01</v>
      </c>
      <c r="H165" s="10">
        <v>0.43</v>
      </c>
    </row>
    <row r="166" ht="15.75" customHeight="1">
      <c r="A166" s="7" t="s">
        <v>595</v>
      </c>
      <c r="B166" s="10" t="s">
        <v>17</v>
      </c>
      <c r="C166" s="13"/>
      <c r="D166" s="10">
        <v>7.0</v>
      </c>
      <c r="E166" s="10">
        <v>3.0</v>
      </c>
      <c r="F166" s="10">
        <v>0.01</v>
      </c>
      <c r="G166" s="10">
        <v>0.01</v>
      </c>
      <c r="H166" s="10">
        <v>1.86</v>
      </c>
      <c r="I166" s="10">
        <v>1.86</v>
      </c>
    </row>
    <row r="167" ht="15.75" customHeight="1">
      <c r="A167" s="7" t="s">
        <v>599</v>
      </c>
      <c r="B167" s="10" t="s">
        <v>17</v>
      </c>
      <c r="C167" s="13" t="s">
        <v>601</v>
      </c>
      <c r="D167" s="10">
        <v>7.0</v>
      </c>
      <c r="E167" s="10">
        <v>-2.0</v>
      </c>
      <c r="F167" s="10">
        <v>0.01</v>
      </c>
      <c r="G167" s="10">
        <v>0.01</v>
      </c>
      <c r="H167" s="10">
        <v>1.29</v>
      </c>
      <c r="I167" s="10">
        <v>-0.16</v>
      </c>
    </row>
    <row r="168" ht="15.75" customHeight="1">
      <c r="A168" s="7" t="s">
        <v>602</v>
      </c>
      <c r="B168" s="10" t="s">
        <v>17</v>
      </c>
      <c r="C168" s="13" t="s">
        <v>604</v>
      </c>
      <c r="D168" s="10">
        <v>7.0</v>
      </c>
      <c r="F168" s="10">
        <v>0.01</v>
      </c>
      <c r="G168" s="10">
        <v>0.01</v>
      </c>
      <c r="H168" s="10">
        <v>0.57</v>
      </c>
    </row>
    <row r="169" ht="15.75" customHeight="1">
      <c r="A169" s="7" t="s">
        <v>605</v>
      </c>
      <c r="B169" s="10" t="s">
        <v>17</v>
      </c>
      <c r="C169" s="13"/>
      <c r="D169" s="10">
        <v>7.0</v>
      </c>
      <c r="E169" s="10">
        <v>6.0</v>
      </c>
      <c r="F169" s="10">
        <v>0.01</v>
      </c>
      <c r="G169" s="10">
        <v>0.01</v>
      </c>
      <c r="H169" s="10">
        <v>1.29</v>
      </c>
      <c r="I169" s="10">
        <v>-0.71</v>
      </c>
    </row>
    <row r="170" ht="15.75" customHeight="1">
      <c r="A170" s="7" t="s">
        <v>607</v>
      </c>
      <c r="B170" s="10" t="s">
        <v>17</v>
      </c>
      <c r="C170" s="13"/>
      <c r="D170" s="10">
        <v>7.0</v>
      </c>
      <c r="E170" s="10">
        <v>6.0</v>
      </c>
      <c r="F170" s="10">
        <v>0.01</v>
      </c>
      <c r="G170" s="10">
        <v>0.01</v>
      </c>
      <c r="H170" s="10">
        <v>1.71</v>
      </c>
      <c r="I170" s="10">
        <v>-0.29</v>
      </c>
    </row>
    <row r="171" ht="15.75" customHeight="1">
      <c r="A171" s="7" t="s">
        <v>609</v>
      </c>
      <c r="B171" s="10" t="s">
        <v>17</v>
      </c>
      <c r="C171" s="13"/>
      <c r="D171" s="10">
        <v>7.0</v>
      </c>
      <c r="F171" s="10">
        <v>0.01</v>
      </c>
      <c r="G171" s="10">
        <v>0.01</v>
      </c>
      <c r="H171" s="10">
        <v>0.0</v>
      </c>
    </row>
    <row r="172" ht="15.75" customHeight="1">
      <c r="A172" s="7" t="s">
        <v>611</v>
      </c>
      <c r="B172" s="10" t="s">
        <v>91</v>
      </c>
      <c r="C172" s="13" t="s">
        <v>613</v>
      </c>
      <c r="D172" s="10">
        <v>7.0</v>
      </c>
      <c r="F172" s="10">
        <v>0.01</v>
      </c>
      <c r="G172" s="10">
        <v>0.01</v>
      </c>
      <c r="H172" s="10">
        <v>0.29</v>
      </c>
    </row>
    <row r="173" ht="15.75" customHeight="1">
      <c r="A173" s="7" t="s">
        <v>614</v>
      </c>
      <c r="B173" s="10" t="s">
        <v>17</v>
      </c>
      <c r="C173" s="13" t="s">
        <v>384</v>
      </c>
      <c r="D173" s="10">
        <v>7.0</v>
      </c>
      <c r="F173" s="10">
        <v>0.01</v>
      </c>
      <c r="G173" s="10">
        <v>0.01</v>
      </c>
      <c r="H173" s="10">
        <v>1.0</v>
      </c>
    </row>
    <row r="174" ht="15.75" customHeight="1">
      <c r="A174" s="7" t="s">
        <v>616</v>
      </c>
      <c r="B174" s="10" t="s">
        <v>17</v>
      </c>
      <c r="C174" s="13"/>
      <c r="D174" s="10">
        <v>7.0</v>
      </c>
      <c r="F174" s="10">
        <v>0.01</v>
      </c>
      <c r="G174" s="10">
        <v>0.01</v>
      </c>
      <c r="H174" s="10">
        <v>0.0</v>
      </c>
    </row>
    <row r="175" ht="15.75" customHeight="1">
      <c r="A175" s="7" t="s">
        <v>618</v>
      </c>
      <c r="B175" s="10" t="s">
        <v>17</v>
      </c>
      <c r="C175" s="13" t="s">
        <v>384</v>
      </c>
      <c r="D175" s="10">
        <v>7.0</v>
      </c>
      <c r="F175" s="10">
        <v>0.01</v>
      </c>
      <c r="G175" s="10">
        <v>0.01</v>
      </c>
      <c r="H175" s="10">
        <v>1.29</v>
      </c>
    </row>
    <row r="176" ht="15.75" customHeight="1">
      <c r="A176" s="7" t="s">
        <v>621</v>
      </c>
      <c r="B176" s="10" t="s">
        <v>37</v>
      </c>
      <c r="C176" s="13" t="s">
        <v>623</v>
      </c>
      <c r="D176" s="10">
        <v>7.0</v>
      </c>
      <c r="F176" s="10">
        <v>0.01</v>
      </c>
      <c r="G176" s="10">
        <v>0.01</v>
      </c>
      <c r="H176" s="10">
        <v>0.71</v>
      </c>
    </row>
    <row r="177" ht="15.75" customHeight="1">
      <c r="A177" s="7" t="s">
        <v>625</v>
      </c>
      <c r="B177" s="10" t="s">
        <v>44</v>
      </c>
      <c r="C177" s="13" t="s">
        <v>340</v>
      </c>
      <c r="D177" s="10">
        <v>7.0</v>
      </c>
      <c r="F177" s="10">
        <v>0.01</v>
      </c>
      <c r="G177" s="10">
        <v>0.01</v>
      </c>
      <c r="H177" s="10">
        <v>0.0</v>
      </c>
    </row>
    <row r="178" ht="15.75" customHeight="1">
      <c r="A178" s="7" t="s">
        <v>628</v>
      </c>
      <c r="B178" s="10" t="s">
        <v>44</v>
      </c>
      <c r="C178" s="13" t="s">
        <v>105</v>
      </c>
      <c r="D178" s="10">
        <v>7.0</v>
      </c>
      <c r="F178" s="10">
        <v>0.01</v>
      </c>
      <c r="G178" s="10">
        <v>0.01</v>
      </c>
      <c r="H178" s="10">
        <v>0.0</v>
      </c>
    </row>
    <row r="179" ht="15.75" customHeight="1">
      <c r="A179" s="7" t="s">
        <v>630</v>
      </c>
      <c r="B179" s="10" t="s">
        <v>37</v>
      </c>
      <c r="C179" s="13" t="s">
        <v>632</v>
      </c>
      <c r="D179" s="10">
        <v>6.0</v>
      </c>
      <c r="E179" s="10">
        <v>-31.0</v>
      </c>
      <c r="F179" s="10">
        <v>0.01</v>
      </c>
      <c r="G179" s="10">
        <v>0.01</v>
      </c>
      <c r="H179" s="10">
        <v>1.83</v>
      </c>
      <c r="I179" s="10">
        <v>0.54</v>
      </c>
    </row>
    <row r="180" ht="15.75" customHeight="1">
      <c r="A180" s="7" t="s">
        <v>633</v>
      </c>
      <c r="B180" s="10" t="s">
        <v>17</v>
      </c>
      <c r="C180" s="13" t="s">
        <v>636</v>
      </c>
      <c r="D180" s="10">
        <v>6.0</v>
      </c>
      <c r="F180" s="10">
        <v>0.01</v>
      </c>
      <c r="G180" s="10">
        <v>0.01</v>
      </c>
      <c r="H180" s="10">
        <v>0.0</v>
      </c>
    </row>
    <row r="181" ht="15.75" customHeight="1">
      <c r="A181" s="7" t="s">
        <v>638</v>
      </c>
      <c r="B181" s="10" t="s">
        <v>75</v>
      </c>
      <c r="C181" s="13" t="s">
        <v>640</v>
      </c>
      <c r="D181" s="10">
        <v>6.0</v>
      </c>
      <c r="F181" s="10">
        <v>0.01</v>
      </c>
      <c r="G181" s="10">
        <v>0.01</v>
      </c>
      <c r="H181" s="10">
        <v>0.5</v>
      </c>
    </row>
    <row r="182" ht="15.75" customHeight="1">
      <c r="A182" s="7" t="s">
        <v>641</v>
      </c>
      <c r="B182" s="10" t="s">
        <v>56</v>
      </c>
      <c r="C182" s="13" t="s">
        <v>643</v>
      </c>
      <c r="D182" s="10">
        <v>6.0</v>
      </c>
      <c r="E182" s="10">
        <v>-6.0</v>
      </c>
      <c r="F182" s="10">
        <v>0.01</v>
      </c>
      <c r="G182" s="10">
        <v>0.01</v>
      </c>
      <c r="H182" s="10">
        <v>0.83</v>
      </c>
      <c r="I182" s="10">
        <v>-0.17</v>
      </c>
    </row>
    <row r="183" ht="15.75" customHeight="1">
      <c r="A183" s="7" t="s">
        <v>645</v>
      </c>
      <c r="B183" s="10" t="s">
        <v>75</v>
      </c>
      <c r="C183" s="13" t="s">
        <v>646</v>
      </c>
      <c r="D183" s="10">
        <v>6.0</v>
      </c>
      <c r="F183" s="10">
        <v>0.01</v>
      </c>
      <c r="G183" s="10">
        <v>0.01</v>
      </c>
      <c r="H183" s="10">
        <v>0.33</v>
      </c>
    </row>
    <row r="184" ht="15.75" customHeight="1">
      <c r="A184" s="7" t="s">
        <v>648</v>
      </c>
      <c r="B184" s="10" t="s">
        <v>17</v>
      </c>
      <c r="C184" s="13" t="s">
        <v>650</v>
      </c>
      <c r="D184" s="10">
        <v>6.0</v>
      </c>
      <c r="F184" s="10">
        <v>0.01</v>
      </c>
      <c r="G184" s="10">
        <v>0.01</v>
      </c>
      <c r="H184" s="10">
        <v>1.67</v>
      </c>
    </row>
    <row r="185" ht="15.75" customHeight="1">
      <c r="A185" s="7" t="s">
        <v>651</v>
      </c>
      <c r="B185" s="10" t="s">
        <v>37</v>
      </c>
      <c r="C185" s="13" t="s">
        <v>654</v>
      </c>
      <c r="D185" s="10">
        <v>6.0</v>
      </c>
      <c r="F185" s="10">
        <v>0.01</v>
      </c>
      <c r="G185" s="10">
        <v>0.01</v>
      </c>
      <c r="H185" s="10">
        <v>1.0</v>
      </c>
    </row>
    <row r="186" ht="15.75" customHeight="1">
      <c r="A186" s="7" t="s">
        <v>655</v>
      </c>
      <c r="B186" s="10" t="s">
        <v>17</v>
      </c>
      <c r="C186" s="13" t="s">
        <v>659</v>
      </c>
      <c r="D186" s="10">
        <v>6.0</v>
      </c>
      <c r="F186" s="10">
        <v>0.01</v>
      </c>
      <c r="G186" s="10">
        <v>0.01</v>
      </c>
      <c r="H186" s="10">
        <v>0.0</v>
      </c>
    </row>
    <row r="187" ht="15.75" customHeight="1">
      <c r="A187" s="7" t="s">
        <v>660</v>
      </c>
      <c r="B187" s="10" t="s">
        <v>17</v>
      </c>
      <c r="C187" s="13" t="s">
        <v>661</v>
      </c>
      <c r="D187" s="10">
        <v>6.0</v>
      </c>
      <c r="F187" s="10">
        <v>0.01</v>
      </c>
      <c r="G187" s="10">
        <v>0.01</v>
      </c>
      <c r="H187" s="10">
        <v>0.17</v>
      </c>
    </row>
    <row r="188" ht="15.75" customHeight="1">
      <c r="A188" s="7" t="s">
        <v>662</v>
      </c>
      <c r="B188" s="10" t="s">
        <v>17</v>
      </c>
      <c r="C188" s="13"/>
      <c r="D188" s="10">
        <v>6.0</v>
      </c>
      <c r="F188" s="10">
        <v>0.01</v>
      </c>
      <c r="G188" s="10">
        <v>0.01</v>
      </c>
      <c r="H188" s="10">
        <v>0.0</v>
      </c>
    </row>
    <row r="189" ht="15.75" customHeight="1">
      <c r="A189" s="7" t="s">
        <v>664</v>
      </c>
      <c r="B189" s="10" t="s">
        <v>17</v>
      </c>
      <c r="C189" s="13"/>
      <c r="D189" s="10">
        <v>6.0</v>
      </c>
      <c r="F189" s="10">
        <v>0.01</v>
      </c>
      <c r="G189" s="10">
        <v>0.01</v>
      </c>
      <c r="H189" s="10">
        <v>0.83</v>
      </c>
    </row>
    <row r="190" ht="15.75" customHeight="1">
      <c r="A190" s="10" t="s">
        <v>665</v>
      </c>
      <c r="B190" s="10" t="s">
        <v>17</v>
      </c>
      <c r="C190" s="13"/>
      <c r="D190" s="10">
        <v>6.0</v>
      </c>
      <c r="F190" s="10">
        <v>0.01</v>
      </c>
      <c r="G190" s="10">
        <v>0.01</v>
      </c>
      <c r="H190" s="10">
        <v>1.0</v>
      </c>
    </row>
    <row r="191" ht="15.75" customHeight="1">
      <c r="A191" s="10" t="s">
        <v>667</v>
      </c>
      <c r="B191" s="10" t="s">
        <v>37</v>
      </c>
      <c r="C191" s="13" t="s">
        <v>668</v>
      </c>
      <c r="D191" s="10">
        <v>6.0</v>
      </c>
      <c r="E191" s="10">
        <v>-36.0</v>
      </c>
      <c r="F191" s="10">
        <v>0.01</v>
      </c>
      <c r="G191" s="10">
        <v>0.01</v>
      </c>
      <c r="H191" s="10">
        <v>0.5</v>
      </c>
      <c r="I191" s="10">
        <v>-0.29</v>
      </c>
    </row>
    <row r="192" ht="15.75" customHeight="1">
      <c r="A192" s="10" t="s">
        <v>670</v>
      </c>
      <c r="B192" s="10" t="s">
        <v>91</v>
      </c>
      <c r="C192" s="13" t="s">
        <v>671</v>
      </c>
      <c r="D192" s="10">
        <v>6.0</v>
      </c>
      <c r="F192" s="10">
        <v>0.01</v>
      </c>
      <c r="G192" s="10">
        <v>0.01</v>
      </c>
      <c r="H192" s="10">
        <v>0.33</v>
      </c>
    </row>
    <row r="193" ht="15.75" customHeight="1">
      <c r="A193" s="7" t="s">
        <v>672</v>
      </c>
      <c r="B193" s="10" t="s">
        <v>17</v>
      </c>
      <c r="C193" s="13" t="s">
        <v>675</v>
      </c>
      <c r="D193" s="10">
        <v>6.0</v>
      </c>
      <c r="F193" s="10">
        <v>0.01</v>
      </c>
      <c r="G193" s="10">
        <v>0.01</v>
      </c>
      <c r="H193" s="10">
        <v>1.0</v>
      </c>
    </row>
    <row r="194" ht="15.75" customHeight="1">
      <c r="A194" s="7" t="s">
        <v>677</v>
      </c>
      <c r="B194" s="10" t="s">
        <v>279</v>
      </c>
      <c r="C194" s="13" t="s">
        <v>678</v>
      </c>
      <c r="D194" s="10">
        <v>6.0</v>
      </c>
      <c r="F194" s="10">
        <v>0.01</v>
      </c>
      <c r="G194" s="10">
        <v>0.01</v>
      </c>
      <c r="H194" s="10">
        <v>0.67</v>
      </c>
    </row>
    <row r="195" ht="15.75" customHeight="1">
      <c r="A195" s="7" t="s">
        <v>680</v>
      </c>
      <c r="B195" s="10" t="s">
        <v>75</v>
      </c>
      <c r="C195" s="13" t="s">
        <v>683</v>
      </c>
      <c r="D195" s="10">
        <v>6.0</v>
      </c>
      <c r="E195" s="10">
        <v>5.0</v>
      </c>
      <c r="F195" s="10">
        <v>0.01</v>
      </c>
      <c r="G195" s="10">
        <v>0.01</v>
      </c>
      <c r="H195" s="10">
        <v>1.67</v>
      </c>
      <c r="I195" s="10">
        <v>-0.33</v>
      </c>
    </row>
    <row r="196" ht="15.75" customHeight="1">
      <c r="A196" s="7" t="s">
        <v>684</v>
      </c>
      <c r="B196" s="10" t="s">
        <v>17</v>
      </c>
      <c r="C196" s="13" t="s">
        <v>688</v>
      </c>
      <c r="D196" s="10">
        <v>6.0</v>
      </c>
      <c r="F196" s="10">
        <v>0.01</v>
      </c>
      <c r="G196" s="10">
        <v>0.01</v>
      </c>
      <c r="H196" s="10">
        <v>0.5</v>
      </c>
    </row>
    <row r="197" ht="15.75" customHeight="1">
      <c r="A197" s="7" t="s">
        <v>689</v>
      </c>
      <c r="B197" s="10" t="s">
        <v>17</v>
      </c>
      <c r="C197" s="13" t="s">
        <v>691</v>
      </c>
      <c r="D197" s="10">
        <v>6.0</v>
      </c>
      <c r="F197" s="10">
        <v>0.01</v>
      </c>
      <c r="G197" s="10">
        <v>0.01</v>
      </c>
      <c r="H197" s="10">
        <v>0.0</v>
      </c>
    </row>
    <row r="198" ht="15.75" customHeight="1">
      <c r="A198" s="7" t="s">
        <v>692</v>
      </c>
      <c r="B198" s="10" t="s">
        <v>17</v>
      </c>
      <c r="C198" s="13" t="s">
        <v>694</v>
      </c>
      <c r="D198" s="10">
        <v>5.0</v>
      </c>
      <c r="E198" s="10">
        <v>-16.0</v>
      </c>
      <c r="F198" s="10">
        <v>0.01</v>
      </c>
      <c r="G198" s="10">
        <v>0.01</v>
      </c>
      <c r="H198" s="10">
        <v>0.8</v>
      </c>
      <c r="I198" s="10">
        <v>-0.15</v>
      </c>
    </row>
    <row r="199" ht="15.75" customHeight="1">
      <c r="A199" s="7" t="s">
        <v>696</v>
      </c>
      <c r="B199" s="10" t="s">
        <v>17</v>
      </c>
      <c r="C199" s="13"/>
      <c r="D199" s="10">
        <v>5.0</v>
      </c>
      <c r="F199" s="10">
        <v>0.01</v>
      </c>
      <c r="G199" s="10">
        <v>0.01</v>
      </c>
      <c r="H199" s="10">
        <v>1.4</v>
      </c>
    </row>
    <row r="200" ht="15.75" customHeight="1">
      <c r="A200" s="7" t="s">
        <v>699</v>
      </c>
      <c r="B200" s="10" t="s">
        <v>75</v>
      </c>
      <c r="C200" s="13" t="s">
        <v>700</v>
      </c>
      <c r="D200" s="10">
        <v>5.0</v>
      </c>
      <c r="F200" s="10">
        <v>0.01</v>
      </c>
      <c r="G200" s="10">
        <v>0.01</v>
      </c>
      <c r="H200" s="10">
        <v>0.0</v>
      </c>
    </row>
    <row r="201" ht="15.75" customHeight="1">
      <c r="A201" s="10" t="s">
        <v>702</v>
      </c>
      <c r="B201" s="10" t="s">
        <v>17</v>
      </c>
      <c r="C201" s="13" t="s">
        <v>703</v>
      </c>
      <c r="D201" s="10">
        <v>5.0</v>
      </c>
      <c r="F201" s="10">
        <v>0.01</v>
      </c>
      <c r="G201" s="10">
        <v>0.01</v>
      </c>
      <c r="H201" s="10">
        <v>1.4</v>
      </c>
    </row>
    <row r="202" ht="15.75" customHeight="1">
      <c r="A202" s="7" t="s">
        <v>704</v>
      </c>
      <c r="B202" s="10" t="s">
        <v>17</v>
      </c>
      <c r="C202" s="13" t="s">
        <v>706</v>
      </c>
      <c r="D202" s="10">
        <v>5.0</v>
      </c>
      <c r="F202" s="10">
        <v>0.01</v>
      </c>
      <c r="G202" s="10">
        <v>0.01</v>
      </c>
      <c r="H202" s="10">
        <v>0.0</v>
      </c>
    </row>
    <row r="203" ht="15.75" customHeight="1">
      <c r="A203" s="7" t="s">
        <v>707</v>
      </c>
      <c r="B203" s="10" t="s">
        <v>17</v>
      </c>
      <c r="C203" s="13" t="s">
        <v>710</v>
      </c>
      <c r="D203" s="10">
        <v>5.0</v>
      </c>
      <c r="E203" s="10">
        <v>-27.0</v>
      </c>
      <c r="F203" s="10">
        <v>0.01</v>
      </c>
      <c r="G203" s="10">
        <v>0.01</v>
      </c>
      <c r="H203" s="10">
        <v>0.8</v>
      </c>
      <c r="I203" s="10">
        <v>-0.45</v>
      </c>
    </row>
    <row r="204" ht="15.75" customHeight="1">
      <c r="A204" s="7" t="s">
        <v>712</v>
      </c>
      <c r="B204" s="10" t="s">
        <v>75</v>
      </c>
      <c r="C204" s="13" t="s">
        <v>714</v>
      </c>
      <c r="D204" s="10">
        <v>5.0</v>
      </c>
      <c r="F204" s="10">
        <v>0.01</v>
      </c>
      <c r="G204" s="10">
        <v>0.01</v>
      </c>
      <c r="H204" s="10">
        <v>0.0</v>
      </c>
    </row>
    <row r="205" ht="15.75" customHeight="1">
      <c r="A205" s="7" t="s">
        <v>715</v>
      </c>
      <c r="B205" s="10" t="s">
        <v>17</v>
      </c>
      <c r="C205" s="13"/>
      <c r="D205" s="10">
        <v>5.0</v>
      </c>
      <c r="F205" s="10">
        <v>0.01</v>
      </c>
      <c r="G205" s="10">
        <v>0.01</v>
      </c>
      <c r="H205" s="10">
        <v>0.0</v>
      </c>
    </row>
    <row r="206" ht="15.75" customHeight="1">
      <c r="A206" s="7" t="s">
        <v>717</v>
      </c>
      <c r="B206" s="10" t="s">
        <v>44</v>
      </c>
      <c r="C206" s="13" t="s">
        <v>719</v>
      </c>
      <c r="D206" s="10">
        <v>5.0</v>
      </c>
      <c r="F206" s="10">
        <v>0.01</v>
      </c>
      <c r="G206" s="10">
        <v>0.01</v>
      </c>
      <c r="H206" s="10">
        <v>1.8</v>
      </c>
    </row>
    <row r="207" ht="15.75" customHeight="1">
      <c r="A207" s="7" t="s">
        <v>720</v>
      </c>
      <c r="B207" s="10" t="s">
        <v>17</v>
      </c>
      <c r="C207" s="13" t="s">
        <v>722</v>
      </c>
      <c r="D207" s="10">
        <v>5.0</v>
      </c>
      <c r="E207" s="10">
        <v>-24.0</v>
      </c>
      <c r="F207" s="10">
        <v>0.01</v>
      </c>
      <c r="G207" s="10">
        <v>0.01</v>
      </c>
      <c r="H207" s="10">
        <v>0.4</v>
      </c>
      <c r="I207" s="10">
        <v>-1.01</v>
      </c>
    </row>
    <row r="208" ht="15.75" customHeight="1">
      <c r="A208" s="7" t="s">
        <v>724</v>
      </c>
      <c r="B208" s="10" t="s">
        <v>17</v>
      </c>
      <c r="C208" s="13"/>
      <c r="D208" s="10">
        <v>5.0</v>
      </c>
      <c r="F208" s="10">
        <v>0.01</v>
      </c>
      <c r="G208" s="10">
        <v>0.01</v>
      </c>
      <c r="H208" s="10">
        <v>2.4</v>
      </c>
    </row>
    <row r="209" ht="15.75" customHeight="1">
      <c r="A209" s="7" t="s">
        <v>725</v>
      </c>
      <c r="B209" s="10" t="s">
        <v>17</v>
      </c>
      <c r="C209" s="13"/>
      <c r="D209" s="10">
        <v>5.0</v>
      </c>
      <c r="F209" s="10">
        <v>0.01</v>
      </c>
      <c r="G209" s="10">
        <v>0.01</v>
      </c>
      <c r="H209" s="10">
        <v>0.8</v>
      </c>
    </row>
    <row r="210" ht="15.75" customHeight="1">
      <c r="A210" s="7" t="s">
        <v>728</v>
      </c>
      <c r="B210" s="10" t="s">
        <v>44</v>
      </c>
      <c r="C210" s="13"/>
      <c r="D210" s="10">
        <v>5.0</v>
      </c>
      <c r="E210" s="10">
        <v>3.0</v>
      </c>
      <c r="F210" s="10">
        <v>0.01</v>
      </c>
      <c r="G210" s="10">
        <v>0.01</v>
      </c>
      <c r="H210" s="10">
        <v>0.8</v>
      </c>
      <c r="I210" s="10">
        <v>0.3</v>
      </c>
    </row>
    <row r="211" ht="15.75" customHeight="1">
      <c r="A211" s="7" t="s">
        <v>729</v>
      </c>
      <c r="B211" s="10" t="s">
        <v>17</v>
      </c>
      <c r="C211" s="13" t="s">
        <v>730</v>
      </c>
      <c r="D211" s="10">
        <v>5.0</v>
      </c>
      <c r="E211" s="10">
        <v>1.0</v>
      </c>
      <c r="F211" s="10">
        <v>0.01</v>
      </c>
      <c r="G211" s="10">
        <v>0.01</v>
      </c>
      <c r="H211" s="10">
        <v>0.0</v>
      </c>
      <c r="I211" s="10">
        <v>-0.75</v>
      </c>
    </row>
    <row r="212" ht="15.75" customHeight="1">
      <c r="A212" s="7" t="s">
        <v>732</v>
      </c>
      <c r="B212" s="10" t="s">
        <v>17</v>
      </c>
      <c r="C212" s="13" t="s">
        <v>734</v>
      </c>
      <c r="D212" s="10">
        <v>5.0</v>
      </c>
      <c r="F212" s="10">
        <v>0.01</v>
      </c>
      <c r="G212" s="10">
        <v>0.01</v>
      </c>
      <c r="H212" s="10">
        <v>1.0</v>
      </c>
    </row>
    <row r="213" ht="15.75" customHeight="1">
      <c r="A213" s="10" t="s">
        <v>735</v>
      </c>
      <c r="B213" s="10" t="s">
        <v>17</v>
      </c>
      <c r="C213" s="13" t="s">
        <v>736</v>
      </c>
      <c r="D213" s="10">
        <v>5.0</v>
      </c>
      <c r="F213" s="10">
        <v>0.01</v>
      </c>
      <c r="G213" s="10">
        <v>0.01</v>
      </c>
      <c r="H213" s="10">
        <v>1.4</v>
      </c>
    </row>
    <row r="214" ht="15.75" customHeight="1">
      <c r="A214" s="7" t="s">
        <v>737</v>
      </c>
      <c r="B214" s="10" t="s">
        <v>279</v>
      </c>
      <c r="C214" s="13" t="s">
        <v>739</v>
      </c>
      <c r="D214" s="10">
        <v>5.0</v>
      </c>
      <c r="F214" s="10">
        <v>0.01</v>
      </c>
      <c r="G214" s="10">
        <v>0.01</v>
      </c>
      <c r="H214" s="10">
        <v>1.2</v>
      </c>
    </row>
    <row r="215" ht="15.75" customHeight="1">
      <c r="A215" s="7" t="s">
        <v>740</v>
      </c>
      <c r="B215" s="10" t="s">
        <v>56</v>
      </c>
      <c r="C215" s="13" t="s">
        <v>741</v>
      </c>
      <c r="D215" s="10">
        <v>5.0</v>
      </c>
      <c r="E215" s="10">
        <v>-2.0</v>
      </c>
      <c r="F215" s="10">
        <v>0.01</v>
      </c>
      <c r="G215" s="10">
        <v>0.01</v>
      </c>
      <c r="H215" s="10">
        <v>0.2</v>
      </c>
      <c r="I215" s="10">
        <v>-0.23</v>
      </c>
    </row>
    <row r="216" ht="15.75" customHeight="1">
      <c r="A216" s="7" t="s">
        <v>743</v>
      </c>
      <c r="B216" s="10" t="s">
        <v>91</v>
      </c>
      <c r="C216" s="13" t="s">
        <v>744</v>
      </c>
      <c r="D216" s="10">
        <v>5.0</v>
      </c>
      <c r="E216" s="10">
        <v>-1.0</v>
      </c>
      <c r="F216" s="10">
        <v>0.01</v>
      </c>
      <c r="G216" s="10">
        <v>0.01</v>
      </c>
      <c r="H216" s="10">
        <v>0.6</v>
      </c>
      <c r="I216" s="10">
        <v>-0.57</v>
      </c>
    </row>
    <row r="217" ht="15.75" customHeight="1">
      <c r="A217" s="7" t="s">
        <v>746</v>
      </c>
      <c r="B217" s="10" t="s">
        <v>17</v>
      </c>
      <c r="C217" s="10" t="s">
        <v>747</v>
      </c>
      <c r="D217" s="10">
        <v>5.0</v>
      </c>
      <c r="E217" s="10">
        <v>-23.0</v>
      </c>
      <c r="F217" s="10">
        <v>0.01</v>
      </c>
      <c r="G217" s="10">
        <v>0.01</v>
      </c>
      <c r="H217" s="10">
        <v>0.8</v>
      </c>
      <c r="I217" s="10">
        <v>-0.63</v>
      </c>
    </row>
    <row r="218" ht="15.75" customHeight="1">
      <c r="A218" s="7" t="s">
        <v>748</v>
      </c>
      <c r="B218" s="10" t="s">
        <v>17</v>
      </c>
      <c r="C218" s="10" t="s">
        <v>752</v>
      </c>
      <c r="D218" s="10">
        <v>5.0</v>
      </c>
      <c r="F218" s="10">
        <v>0.01</v>
      </c>
      <c r="G218" s="10">
        <v>0.01</v>
      </c>
      <c r="H218" s="10">
        <v>0.6</v>
      </c>
    </row>
    <row r="219" ht="15.75" customHeight="1">
      <c r="A219" s="7" t="s">
        <v>754</v>
      </c>
      <c r="B219" s="10" t="s">
        <v>17</v>
      </c>
      <c r="C219" s="10" t="s">
        <v>755</v>
      </c>
      <c r="D219" s="10">
        <v>5.0</v>
      </c>
      <c r="F219" s="10">
        <v>0.01</v>
      </c>
      <c r="G219" s="10">
        <v>0.01</v>
      </c>
      <c r="H219" s="10">
        <v>0.0</v>
      </c>
    </row>
    <row r="220" ht="15.75" customHeight="1">
      <c r="A220" s="7" t="s">
        <v>756</v>
      </c>
      <c r="B220" s="10" t="s">
        <v>17</v>
      </c>
      <c r="D220" s="10">
        <v>5.0</v>
      </c>
      <c r="E220" s="10">
        <v>4.0</v>
      </c>
      <c r="F220" s="10">
        <v>0.01</v>
      </c>
      <c r="G220" s="10">
        <v>0.01</v>
      </c>
      <c r="H220" s="10">
        <v>0.6</v>
      </c>
      <c r="I220" s="10">
        <v>0.6</v>
      </c>
    </row>
    <row r="221" ht="15.75" customHeight="1">
      <c r="A221" s="7" t="s">
        <v>758</v>
      </c>
      <c r="B221" s="10" t="s">
        <v>17</v>
      </c>
      <c r="C221" s="10" t="s">
        <v>760</v>
      </c>
      <c r="D221" s="10">
        <v>5.0</v>
      </c>
      <c r="F221" s="10">
        <v>0.01</v>
      </c>
      <c r="G221" s="10">
        <v>0.01</v>
      </c>
      <c r="H221" s="10">
        <v>0.8</v>
      </c>
    </row>
    <row r="222" ht="15.75" customHeight="1">
      <c r="A222" s="7" t="s">
        <v>761</v>
      </c>
      <c r="B222" s="10" t="s">
        <v>17</v>
      </c>
      <c r="C222" s="10" t="s">
        <v>762</v>
      </c>
      <c r="D222" s="10">
        <v>5.0</v>
      </c>
      <c r="E222" s="10">
        <v>4.0</v>
      </c>
      <c r="F222" s="10">
        <v>0.01</v>
      </c>
      <c r="G222" s="10">
        <v>0.01</v>
      </c>
      <c r="H222" s="10">
        <v>0.4</v>
      </c>
      <c r="I222" s="10">
        <v>0.4</v>
      </c>
    </row>
    <row r="223" ht="15.75" customHeight="1">
      <c r="A223" s="7" t="s">
        <v>764</v>
      </c>
      <c r="B223" s="10" t="s">
        <v>56</v>
      </c>
      <c r="C223" s="10" t="s">
        <v>765</v>
      </c>
      <c r="D223" s="10">
        <v>5.0</v>
      </c>
      <c r="F223" s="10">
        <v>0.01</v>
      </c>
      <c r="G223" s="10">
        <v>0.01</v>
      </c>
      <c r="H223" s="10">
        <v>0.2</v>
      </c>
    </row>
    <row r="224" ht="15.75" customHeight="1">
      <c r="A224" s="7" t="s">
        <v>767</v>
      </c>
      <c r="B224" s="10" t="s">
        <v>56</v>
      </c>
      <c r="C224" s="10" t="s">
        <v>769</v>
      </c>
      <c r="D224" s="10">
        <v>5.0</v>
      </c>
      <c r="F224" s="10">
        <v>0.01</v>
      </c>
      <c r="G224" s="10">
        <v>0.01</v>
      </c>
      <c r="H224" s="10">
        <v>1.0</v>
      </c>
    </row>
    <row r="225" ht="15.75" customHeight="1">
      <c r="A225" s="7" t="s">
        <v>772</v>
      </c>
      <c r="B225" s="10" t="s">
        <v>17</v>
      </c>
      <c r="C225" s="10" t="s">
        <v>384</v>
      </c>
      <c r="D225" s="10">
        <v>5.0</v>
      </c>
      <c r="F225" s="10">
        <v>0.01</v>
      </c>
      <c r="G225" s="10">
        <v>0.01</v>
      </c>
      <c r="H225" s="10">
        <v>0.0</v>
      </c>
    </row>
    <row r="226" ht="15.75" customHeight="1">
      <c r="A226" s="7" t="s">
        <v>777</v>
      </c>
      <c r="B226" s="10" t="s">
        <v>37</v>
      </c>
      <c r="C226" s="10" t="s">
        <v>779</v>
      </c>
      <c r="D226" s="10">
        <v>4.0</v>
      </c>
      <c r="E226" s="10">
        <v>-20.0</v>
      </c>
      <c r="F226" s="10">
        <v>0.0</v>
      </c>
      <c r="G226" s="10">
        <v>0.01</v>
      </c>
      <c r="H226" s="10">
        <v>1.25</v>
      </c>
      <c r="I226" s="10">
        <v>-0.71</v>
      </c>
    </row>
    <row r="227" ht="15.75" customHeight="1">
      <c r="A227" s="7" t="s">
        <v>782</v>
      </c>
      <c r="B227" s="10" t="s">
        <v>784</v>
      </c>
      <c r="C227" s="10" t="s">
        <v>785</v>
      </c>
      <c r="D227" s="10">
        <v>4.0</v>
      </c>
      <c r="F227" s="10">
        <v>0.0</v>
      </c>
      <c r="G227" s="10">
        <v>0.01</v>
      </c>
      <c r="H227" s="10">
        <v>1.75</v>
      </c>
    </row>
    <row r="228" ht="15.75" customHeight="1">
      <c r="A228" s="7" t="s">
        <v>788</v>
      </c>
      <c r="B228" s="10" t="s">
        <v>279</v>
      </c>
      <c r="C228" s="10" t="s">
        <v>791</v>
      </c>
      <c r="D228" s="10">
        <v>4.0</v>
      </c>
      <c r="E228" s="10">
        <v>3.0</v>
      </c>
      <c r="F228" s="10">
        <v>0.0</v>
      </c>
      <c r="G228" s="10">
        <v>0.01</v>
      </c>
      <c r="H228" s="10">
        <v>0.0</v>
      </c>
      <c r="I228" s="10">
        <v>0.0</v>
      </c>
    </row>
    <row r="229" ht="15.75" customHeight="1">
      <c r="A229" s="7" t="s">
        <v>793</v>
      </c>
      <c r="B229" s="10" t="s">
        <v>17</v>
      </c>
      <c r="C229" s="10" t="s">
        <v>798</v>
      </c>
      <c r="D229" s="10">
        <v>4.0</v>
      </c>
      <c r="E229" s="10">
        <v>3.0</v>
      </c>
      <c r="F229" s="10">
        <v>0.0</v>
      </c>
      <c r="G229" s="10">
        <v>0.01</v>
      </c>
      <c r="H229" s="10">
        <v>2.75</v>
      </c>
      <c r="I229" s="10">
        <v>0.75</v>
      </c>
    </row>
    <row r="230" ht="15.75" customHeight="1">
      <c r="A230" s="7" t="s">
        <v>799</v>
      </c>
      <c r="B230" s="10" t="s">
        <v>56</v>
      </c>
      <c r="C230" s="10" t="s">
        <v>802</v>
      </c>
      <c r="D230" s="10">
        <v>4.0</v>
      </c>
      <c r="F230" s="10">
        <v>0.0</v>
      </c>
      <c r="G230" s="10">
        <v>0.01</v>
      </c>
      <c r="H230" s="10">
        <v>0.0</v>
      </c>
    </row>
    <row r="231" ht="15.75" customHeight="1">
      <c r="A231" s="7" t="s">
        <v>804</v>
      </c>
      <c r="B231" s="10" t="s">
        <v>37</v>
      </c>
      <c r="C231" s="10" t="s">
        <v>806</v>
      </c>
      <c r="D231" s="10">
        <v>4.0</v>
      </c>
      <c r="F231" s="10">
        <v>0.0</v>
      </c>
      <c r="G231" s="10">
        <v>0.01</v>
      </c>
      <c r="H231" s="10">
        <v>1.5</v>
      </c>
    </row>
    <row r="232" ht="15.75" customHeight="1">
      <c r="A232" s="7" t="s">
        <v>808</v>
      </c>
      <c r="B232" s="10" t="s">
        <v>17</v>
      </c>
      <c r="D232" s="10">
        <v>4.0</v>
      </c>
      <c r="E232" s="10">
        <v>3.0</v>
      </c>
      <c r="F232" s="10">
        <v>0.0</v>
      </c>
      <c r="G232" s="10">
        <v>0.01</v>
      </c>
      <c r="H232" s="10">
        <v>1.5</v>
      </c>
      <c r="I232" s="10">
        <v>0.5</v>
      </c>
    </row>
    <row r="233" ht="15.75" customHeight="1">
      <c r="A233" s="7" t="s">
        <v>810</v>
      </c>
      <c r="B233" s="10" t="s">
        <v>17</v>
      </c>
      <c r="D233" s="10">
        <v>4.0</v>
      </c>
      <c r="F233" s="10">
        <v>0.0</v>
      </c>
      <c r="G233" s="10">
        <v>0.01</v>
      </c>
      <c r="H233" s="10">
        <v>1.25</v>
      </c>
    </row>
    <row r="234" ht="15.75" customHeight="1">
      <c r="A234" s="7" t="s">
        <v>813</v>
      </c>
      <c r="B234" s="10" t="s">
        <v>17</v>
      </c>
      <c r="C234" s="10" t="s">
        <v>384</v>
      </c>
      <c r="D234" s="10">
        <v>4.0</v>
      </c>
      <c r="F234" s="10">
        <v>0.0</v>
      </c>
      <c r="G234" s="10">
        <v>0.0</v>
      </c>
      <c r="H234" s="10">
        <v>2.0</v>
      </c>
    </row>
    <row r="235" ht="15.75" customHeight="1">
      <c r="A235" s="7" t="s">
        <v>816</v>
      </c>
      <c r="B235" s="10" t="s">
        <v>17</v>
      </c>
      <c r="C235" s="10" t="s">
        <v>819</v>
      </c>
      <c r="D235" s="10">
        <v>4.0</v>
      </c>
      <c r="E235" s="10">
        <v>-2.0</v>
      </c>
      <c r="F235" s="10">
        <v>0.0</v>
      </c>
      <c r="G235" s="10">
        <v>0.0</v>
      </c>
      <c r="H235" s="10">
        <v>1.25</v>
      </c>
      <c r="I235" s="10">
        <v>0.42</v>
      </c>
    </row>
    <row r="236" ht="15.75" customHeight="1">
      <c r="A236" s="7" t="s">
        <v>821</v>
      </c>
      <c r="B236" s="10" t="s">
        <v>17</v>
      </c>
      <c r="D236" s="10">
        <v>4.0</v>
      </c>
      <c r="E236" s="10">
        <v>3.0</v>
      </c>
      <c r="F236" s="10">
        <v>0.0</v>
      </c>
      <c r="G236" s="10">
        <v>0.0</v>
      </c>
      <c r="H236" s="10">
        <v>0.0</v>
      </c>
      <c r="I236" s="10">
        <v>-4.0</v>
      </c>
    </row>
    <row r="237" ht="15.75" customHeight="1">
      <c r="A237" s="7" t="s">
        <v>823</v>
      </c>
      <c r="B237" s="10" t="s">
        <v>17</v>
      </c>
      <c r="D237" s="10">
        <v>4.0</v>
      </c>
      <c r="E237" s="10">
        <v>2.0</v>
      </c>
      <c r="F237" s="10">
        <v>0.0</v>
      </c>
      <c r="G237" s="10">
        <v>0.0</v>
      </c>
      <c r="H237" s="10">
        <v>0.5</v>
      </c>
      <c r="I237" s="10">
        <v>-0.5</v>
      </c>
    </row>
    <row r="238" ht="15.75" customHeight="1">
      <c r="A238" s="7" t="s">
        <v>826</v>
      </c>
      <c r="B238" s="10" t="s">
        <v>37</v>
      </c>
      <c r="C238" s="10" t="s">
        <v>827</v>
      </c>
      <c r="D238" s="10">
        <v>4.0</v>
      </c>
      <c r="F238" s="10">
        <v>0.0</v>
      </c>
      <c r="G238" s="10">
        <v>0.0</v>
      </c>
      <c r="H238" s="10">
        <v>1.0</v>
      </c>
    </row>
    <row r="239" ht="15.75" customHeight="1">
      <c r="A239" s="7" t="s">
        <v>829</v>
      </c>
      <c r="B239" s="10" t="s">
        <v>17</v>
      </c>
      <c r="C239" s="10" t="s">
        <v>831</v>
      </c>
      <c r="D239" s="10">
        <v>4.0</v>
      </c>
      <c r="F239" s="10">
        <v>0.0</v>
      </c>
      <c r="G239" s="10">
        <v>0.0</v>
      </c>
      <c r="H239" s="10">
        <v>1.25</v>
      </c>
    </row>
    <row r="240" ht="15.75" customHeight="1">
      <c r="A240" s="7" t="s">
        <v>833</v>
      </c>
      <c r="B240" s="10" t="s">
        <v>17</v>
      </c>
      <c r="D240" s="10">
        <v>4.0</v>
      </c>
      <c r="F240" s="10">
        <v>0.0</v>
      </c>
      <c r="G240" s="10">
        <v>0.0</v>
      </c>
      <c r="H240" s="10">
        <v>0.0</v>
      </c>
    </row>
    <row r="241" ht="15.75" customHeight="1">
      <c r="A241" s="7" t="s">
        <v>835</v>
      </c>
      <c r="B241" s="10" t="s">
        <v>17</v>
      </c>
      <c r="C241" s="10" t="s">
        <v>157</v>
      </c>
      <c r="D241" s="10">
        <v>4.0</v>
      </c>
      <c r="E241" s="10">
        <v>1.0</v>
      </c>
      <c r="F241" s="10">
        <v>0.0</v>
      </c>
      <c r="G241" s="10">
        <v>0.0</v>
      </c>
      <c r="H241" s="10">
        <v>2.25</v>
      </c>
      <c r="I241" s="10">
        <v>0.92</v>
      </c>
    </row>
    <row r="242" ht="15.75" customHeight="1">
      <c r="A242" s="10" t="s">
        <v>838</v>
      </c>
      <c r="B242" s="10" t="s">
        <v>75</v>
      </c>
      <c r="C242" s="10" t="s">
        <v>839</v>
      </c>
      <c r="D242" s="10">
        <v>4.0</v>
      </c>
      <c r="E242" s="10">
        <v>3.0</v>
      </c>
      <c r="F242" s="10">
        <v>0.0</v>
      </c>
      <c r="G242" s="10">
        <v>0.0</v>
      </c>
      <c r="H242" s="10">
        <v>0.25</v>
      </c>
      <c r="I242" s="10">
        <v>0.25</v>
      </c>
    </row>
    <row r="243" ht="15.75" customHeight="1">
      <c r="A243" s="7" t="s">
        <v>840</v>
      </c>
      <c r="B243" s="10" t="s">
        <v>17</v>
      </c>
      <c r="C243" s="10" t="s">
        <v>842</v>
      </c>
      <c r="D243" s="10">
        <v>4.0</v>
      </c>
      <c r="E243" s="10">
        <v>2.0</v>
      </c>
      <c r="F243" s="10">
        <v>0.0</v>
      </c>
      <c r="G243" s="10">
        <v>0.0</v>
      </c>
      <c r="H243" s="10">
        <v>1.25</v>
      </c>
      <c r="I243" s="10">
        <v>0.25</v>
      </c>
    </row>
    <row r="244" ht="15.75" customHeight="1">
      <c r="A244" s="7" t="s">
        <v>844</v>
      </c>
      <c r="B244" s="10" t="s">
        <v>17</v>
      </c>
      <c r="C244" s="10" t="s">
        <v>845</v>
      </c>
      <c r="D244" s="10">
        <v>4.0</v>
      </c>
      <c r="F244" s="10">
        <v>0.0</v>
      </c>
      <c r="G244" s="10">
        <v>0.0</v>
      </c>
      <c r="H244" s="10">
        <v>0.0</v>
      </c>
    </row>
    <row r="245" ht="15.75" customHeight="1">
      <c r="A245" s="7" t="s">
        <v>847</v>
      </c>
      <c r="B245" s="10" t="s">
        <v>17</v>
      </c>
      <c r="C245" s="10" t="s">
        <v>849</v>
      </c>
      <c r="D245" s="10">
        <v>4.0</v>
      </c>
      <c r="F245" s="10">
        <v>0.0</v>
      </c>
      <c r="G245" s="10">
        <v>0.0</v>
      </c>
      <c r="H245" s="10">
        <v>0.75</v>
      </c>
    </row>
    <row r="246" ht="15.75" customHeight="1">
      <c r="A246" s="7" t="s">
        <v>852</v>
      </c>
      <c r="B246" s="10" t="s">
        <v>17</v>
      </c>
      <c r="C246" s="10" t="s">
        <v>855</v>
      </c>
      <c r="D246" s="10">
        <v>4.0</v>
      </c>
      <c r="E246" s="10">
        <v>0.0</v>
      </c>
      <c r="F246" s="10">
        <v>0.0</v>
      </c>
      <c r="G246" s="10">
        <v>0.0</v>
      </c>
      <c r="H246" s="10">
        <v>0.25</v>
      </c>
      <c r="I246" s="10">
        <v>-1.0</v>
      </c>
    </row>
    <row r="247" ht="15.75" customHeight="1">
      <c r="A247" s="7" t="s">
        <v>857</v>
      </c>
      <c r="B247" s="10" t="s">
        <v>17</v>
      </c>
      <c r="C247" s="10" t="s">
        <v>859</v>
      </c>
      <c r="D247" s="10">
        <v>4.0</v>
      </c>
      <c r="F247" s="10">
        <v>0.0</v>
      </c>
      <c r="G247" s="10">
        <v>0.0</v>
      </c>
      <c r="H247" s="10">
        <v>0.75</v>
      </c>
    </row>
    <row r="248" ht="15.75" customHeight="1">
      <c r="A248" s="7" t="s">
        <v>860</v>
      </c>
      <c r="B248" s="10" t="s">
        <v>17</v>
      </c>
      <c r="C248" s="10" t="s">
        <v>863</v>
      </c>
      <c r="D248" s="10">
        <v>4.0</v>
      </c>
      <c r="E248" s="10">
        <v>3.0</v>
      </c>
      <c r="F248" s="10">
        <v>0.0</v>
      </c>
      <c r="G248" s="10">
        <v>0.0</v>
      </c>
      <c r="H248" s="10">
        <v>2.0</v>
      </c>
      <c r="I248" s="10">
        <v>2.0</v>
      </c>
    </row>
    <row r="249" ht="15.75" customHeight="1">
      <c r="A249" s="7" t="s">
        <v>865</v>
      </c>
      <c r="B249" s="10" t="s">
        <v>17</v>
      </c>
      <c r="D249" s="10">
        <v>4.0</v>
      </c>
      <c r="E249" s="10">
        <v>2.0</v>
      </c>
      <c r="F249" s="10">
        <v>0.0</v>
      </c>
      <c r="G249" s="10">
        <v>0.0</v>
      </c>
      <c r="H249" s="10">
        <v>1.25</v>
      </c>
      <c r="I249" s="10">
        <v>0.25</v>
      </c>
    </row>
    <row r="250" ht="15.75" customHeight="1">
      <c r="A250" s="7" t="s">
        <v>871</v>
      </c>
      <c r="B250" s="10" t="s">
        <v>17</v>
      </c>
      <c r="C250" s="10" t="s">
        <v>574</v>
      </c>
      <c r="D250" s="10">
        <v>4.0</v>
      </c>
      <c r="F250" s="10">
        <v>0.0</v>
      </c>
      <c r="G250" s="10">
        <v>0.0</v>
      </c>
      <c r="H250" s="10">
        <v>2.25</v>
      </c>
    </row>
    <row r="251" ht="15.75" customHeight="1">
      <c r="A251" s="7" t="s">
        <v>875</v>
      </c>
      <c r="B251" s="10" t="s">
        <v>37</v>
      </c>
      <c r="C251" s="10" t="s">
        <v>877</v>
      </c>
      <c r="D251" s="10">
        <v>4.0</v>
      </c>
      <c r="E251" s="10">
        <v>1.0</v>
      </c>
      <c r="F251" s="10">
        <v>0.0</v>
      </c>
      <c r="G251" s="10">
        <v>0.0</v>
      </c>
      <c r="H251" s="10">
        <v>0.0</v>
      </c>
      <c r="I251" s="10">
        <v>-0.67</v>
      </c>
    </row>
    <row r="252" ht="15.75" customHeight="1">
      <c r="A252" s="7" t="s">
        <v>879</v>
      </c>
      <c r="B252" s="10" t="s">
        <v>17</v>
      </c>
      <c r="C252" s="10" t="s">
        <v>882</v>
      </c>
      <c r="D252" s="10">
        <v>4.0</v>
      </c>
      <c r="E252" s="10">
        <v>-10.0</v>
      </c>
      <c r="F252" s="10">
        <v>0.0</v>
      </c>
      <c r="G252" s="10">
        <v>0.0</v>
      </c>
      <c r="H252" s="10">
        <v>0.25</v>
      </c>
      <c r="I252" s="10">
        <v>-0.39</v>
      </c>
    </row>
    <row r="253" ht="15.75" customHeight="1">
      <c r="A253" s="7" t="s">
        <v>884</v>
      </c>
      <c r="B253" s="10" t="s">
        <v>37</v>
      </c>
      <c r="C253" s="10" t="s">
        <v>887</v>
      </c>
      <c r="D253" s="10">
        <v>4.0</v>
      </c>
      <c r="F253" s="10">
        <v>0.0</v>
      </c>
      <c r="G253" s="10">
        <v>0.0</v>
      </c>
      <c r="H253" s="10">
        <v>1.0</v>
      </c>
    </row>
    <row r="254" ht="15.75" customHeight="1">
      <c r="A254" s="7" t="s">
        <v>890</v>
      </c>
      <c r="B254" s="10" t="s">
        <v>17</v>
      </c>
      <c r="C254" s="10" t="s">
        <v>786</v>
      </c>
      <c r="D254" s="10">
        <v>4.0</v>
      </c>
      <c r="E254" s="10">
        <v>2.0</v>
      </c>
      <c r="F254" s="10">
        <v>0.0</v>
      </c>
      <c r="G254" s="10">
        <v>0.0</v>
      </c>
      <c r="H254" s="10">
        <v>0.0</v>
      </c>
      <c r="I254" s="10">
        <v>0.0</v>
      </c>
    </row>
    <row r="255" ht="15.75" customHeight="1">
      <c r="A255" s="7" t="s">
        <v>891</v>
      </c>
      <c r="B255" s="10" t="s">
        <v>17</v>
      </c>
      <c r="D255" s="10">
        <v>4.0</v>
      </c>
      <c r="F255" s="10">
        <v>0.0</v>
      </c>
      <c r="G255" s="10">
        <v>0.0</v>
      </c>
      <c r="H255" s="10">
        <v>1.0</v>
      </c>
    </row>
    <row r="256" ht="15.75" customHeight="1">
      <c r="A256" s="7" t="s">
        <v>894</v>
      </c>
      <c r="B256" s="10" t="s">
        <v>75</v>
      </c>
      <c r="C256" s="10" t="s">
        <v>897</v>
      </c>
      <c r="D256" s="10">
        <v>4.0</v>
      </c>
      <c r="F256" s="10">
        <v>0.0</v>
      </c>
      <c r="G256" s="10">
        <v>0.0</v>
      </c>
      <c r="H256" s="10">
        <v>2.0</v>
      </c>
    </row>
    <row r="257" ht="15.75" customHeight="1">
      <c r="A257" s="7" t="s">
        <v>899</v>
      </c>
      <c r="B257" s="10" t="s">
        <v>37</v>
      </c>
      <c r="C257" s="10" t="s">
        <v>901</v>
      </c>
      <c r="D257" s="10">
        <v>4.0</v>
      </c>
      <c r="F257" s="10">
        <v>0.0</v>
      </c>
      <c r="G257" s="10">
        <v>0.0</v>
      </c>
      <c r="H257" s="10">
        <v>1.25</v>
      </c>
    </row>
    <row r="258" ht="15.75" customHeight="1">
      <c r="A258" s="7" t="s">
        <v>903</v>
      </c>
      <c r="B258" s="10" t="s">
        <v>17</v>
      </c>
      <c r="C258" s="10" t="s">
        <v>340</v>
      </c>
      <c r="D258" s="10">
        <v>3.0</v>
      </c>
      <c r="F258" s="10">
        <v>0.0</v>
      </c>
      <c r="G258" s="10">
        <v>0.01</v>
      </c>
      <c r="H258" s="10">
        <v>2.33</v>
      </c>
    </row>
    <row r="259" ht="15.75" customHeight="1">
      <c r="A259" s="7" t="s">
        <v>906</v>
      </c>
      <c r="B259" s="10" t="s">
        <v>17</v>
      </c>
      <c r="C259" s="10" t="s">
        <v>157</v>
      </c>
      <c r="D259" s="10">
        <v>3.0</v>
      </c>
      <c r="F259" s="10">
        <v>0.0</v>
      </c>
      <c r="G259" s="10">
        <v>0.01</v>
      </c>
      <c r="H259" s="10">
        <v>1.0</v>
      </c>
    </row>
    <row r="260" ht="15.75" customHeight="1">
      <c r="A260" s="7" t="s">
        <v>907</v>
      </c>
      <c r="B260" s="10" t="s">
        <v>17</v>
      </c>
      <c r="C260" s="10" t="s">
        <v>909</v>
      </c>
      <c r="D260" s="10">
        <v>3.0</v>
      </c>
      <c r="F260" s="10">
        <v>0.0</v>
      </c>
      <c r="G260" s="10">
        <v>0.0</v>
      </c>
      <c r="H260" s="10">
        <v>1.67</v>
      </c>
    </row>
    <row r="261" ht="15.75" customHeight="1">
      <c r="A261" s="7" t="s">
        <v>911</v>
      </c>
      <c r="B261" s="10" t="s">
        <v>37</v>
      </c>
      <c r="C261" s="10" t="s">
        <v>863</v>
      </c>
      <c r="D261" s="10">
        <v>3.0</v>
      </c>
      <c r="E261" s="10">
        <v>-2.0</v>
      </c>
      <c r="F261" s="10">
        <v>0.0</v>
      </c>
      <c r="G261" s="10">
        <v>0.0</v>
      </c>
      <c r="H261" s="10">
        <v>2.67</v>
      </c>
      <c r="I261" s="10">
        <v>1.27</v>
      </c>
    </row>
    <row r="262" ht="15.75" customHeight="1">
      <c r="A262" s="7" t="s">
        <v>913</v>
      </c>
      <c r="B262" s="10" t="s">
        <v>37</v>
      </c>
      <c r="C262" s="10" t="s">
        <v>915</v>
      </c>
      <c r="D262" s="10">
        <v>3.0</v>
      </c>
      <c r="E262" s="10">
        <v>1.0</v>
      </c>
      <c r="F262" s="10">
        <v>0.0</v>
      </c>
      <c r="G262" s="10">
        <v>0.01</v>
      </c>
      <c r="H262" s="10">
        <v>1.67</v>
      </c>
      <c r="I262" s="10">
        <v>0.67</v>
      </c>
    </row>
    <row r="263" ht="15.75" customHeight="1">
      <c r="A263" s="7" t="s">
        <v>916</v>
      </c>
      <c r="B263" s="10" t="s">
        <v>17</v>
      </c>
      <c r="D263" s="10">
        <v>3.0</v>
      </c>
      <c r="F263" s="10">
        <v>0.0</v>
      </c>
      <c r="G263" s="10">
        <v>0.0</v>
      </c>
      <c r="H263" s="10">
        <v>1.33</v>
      </c>
    </row>
    <row r="264" ht="15.75" customHeight="1">
      <c r="A264" s="7" t="s">
        <v>917</v>
      </c>
      <c r="B264" s="10" t="s">
        <v>17</v>
      </c>
      <c r="C264" s="10" t="s">
        <v>919</v>
      </c>
      <c r="D264" s="10">
        <v>3.0</v>
      </c>
      <c r="E264" s="10">
        <v>-2.0</v>
      </c>
      <c r="F264" s="10">
        <v>0.0</v>
      </c>
      <c r="G264" s="10">
        <v>0.0</v>
      </c>
      <c r="H264" s="10">
        <v>0.67</v>
      </c>
      <c r="I264" s="10">
        <v>-0.93</v>
      </c>
    </row>
    <row r="265" ht="15.75" customHeight="1">
      <c r="A265" s="7" t="s">
        <v>921</v>
      </c>
      <c r="B265" s="10" t="s">
        <v>17</v>
      </c>
      <c r="C265" s="10" t="s">
        <v>157</v>
      </c>
      <c r="D265" s="10">
        <v>3.0</v>
      </c>
      <c r="F265" s="10">
        <v>0.0</v>
      </c>
      <c r="G265" s="10">
        <v>0.0</v>
      </c>
      <c r="H265" s="10">
        <v>0.67</v>
      </c>
    </row>
    <row r="266" ht="15.75" customHeight="1">
      <c r="A266" s="7" t="s">
        <v>925</v>
      </c>
      <c r="B266" s="10" t="s">
        <v>17</v>
      </c>
      <c r="D266" s="10">
        <v>3.0</v>
      </c>
      <c r="F266" s="10">
        <v>0.0</v>
      </c>
      <c r="G266" s="10">
        <v>0.0</v>
      </c>
      <c r="H266" s="10">
        <v>2.67</v>
      </c>
    </row>
    <row r="267" ht="15.75" customHeight="1">
      <c r="A267" s="10" t="s">
        <v>928</v>
      </c>
      <c r="B267" s="10" t="s">
        <v>17</v>
      </c>
      <c r="C267" s="10" t="s">
        <v>929</v>
      </c>
      <c r="D267" s="10">
        <v>3.0</v>
      </c>
      <c r="E267" s="10">
        <v>-11.0</v>
      </c>
      <c r="F267" s="10">
        <v>0.0</v>
      </c>
      <c r="G267" s="10">
        <v>0.0</v>
      </c>
      <c r="H267" s="10">
        <v>1.33</v>
      </c>
      <c r="I267" s="10">
        <v>-0.17</v>
      </c>
    </row>
    <row r="268" ht="15.75" customHeight="1">
      <c r="A268" s="7" t="s">
        <v>930</v>
      </c>
      <c r="B268" s="10" t="s">
        <v>17</v>
      </c>
      <c r="C268" s="10" t="s">
        <v>932</v>
      </c>
      <c r="D268" s="10">
        <v>3.0</v>
      </c>
      <c r="F268" s="10">
        <v>0.0</v>
      </c>
      <c r="G268" s="10">
        <v>0.0</v>
      </c>
      <c r="H268" s="10">
        <v>0.67</v>
      </c>
    </row>
    <row r="269" ht="15.75" customHeight="1">
      <c r="A269" s="7" t="s">
        <v>933</v>
      </c>
      <c r="B269" s="10" t="s">
        <v>17</v>
      </c>
      <c r="C269" s="10" t="s">
        <v>937</v>
      </c>
      <c r="D269" s="10">
        <v>3.0</v>
      </c>
      <c r="F269" s="10">
        <v>0.0</v>
      </c>
      <c r="G269" s="10">
        <v>0.0</v>
      </c>
      <c r="H269" s="10">
        <v>2.33</v>
      </c>
    </row>
    <row r="270" ht="15.75" customHeight="1">
      <c r="A270" s="7" t="s">
        <v>938</v>
      </c>
      <c r="B270" s="10" t="s">
        <v>91</v>
      </c>
      <c r="C270" s="10" t="s">
        <v>561</v>
      </c>
      <c r="D270" s="10">
        <v>3.0</v>
      </c>
      <c r="F270" s="10">
        <v>0.0</v>
      </c>
      <c r="G270" s="10">
        <v>0.0</v>
      </c>
      <c r="H270" s="10">
        <v>0.33</v>
      </c>
    </row>
    <row r="271" ht="15.75" customHeight="1">
      <c r="A271" s="7" t="s">
        <v>940</v>
      </c>
      <c r="B271" s="10" t="s">
        <v>17</v>
      </c>
      <c r="C271" s="10" t="s">
        <v>942</v>
      </c>
      <c r="D271" s="10">
        <v>3.0</v>
      </c>
      <c r="E271" s="10">
        <v>-2.0</v>
      </c>
      <c r="F271" s="10">
        <v>0.0</v>
      </c>
      <c r="G271" s="10">
        <v>0.0</v>
      </c>
      <c r="H271" s="10">
        <v>1.67</v>
      </c>
      <c r="I271" s="10">
        <v>1.47</v>
      </c>
    </row>
    <row r="272" ht="15.75" customHeight="1">
      <c r="A272" s="7" t="s">
        <v>944</v>
      </c>
      <c r="B272" s="10" t="s">
        <v>17</v>
      </c>
      <c r="D272" s="10">
        <v>3.0</v>
      </c>
      <c r="E272" s="10">
        <v>-1.0</v>
      </c>
      <c r="F272" s="10">
        <v>0.0</v>
      </c>
      <c r="G272" s="10">
        <v>0.0</v>
      </c>
      <c r="H272" s="10">
        <v>0.0</v>
      </c>
      <c r="I272" s="10">
        <v>0.0</v>
      </c>
    </row>
    <row r="273" ht="15.75" customHeight="1">
      <c r="A273" s="7" t="s">
        <v>946</v>
      </c>
      <c r="B273" s="10" t="s">
        <v>17</v>
      </c>
      <c r="D273" s="10">
        <v>3.0</v>
      </c>
      <c r="F273" s="10">
        <v>0.0</v>
      </c>
      <c r="G273" s="10">
        <v>0.0</v>
      </c>
      <c r="H273" s="10">
        <v>0.0</v>
      </c>
    </row>
    <row r="274" ht="15.75" customHeight="1">
      <c r="A274" s="7" t="s">
        <v>947</v>
      </c>
      <c r="B274" s="10" t="s">
        <v>17</v>
      </c>
      <c r="D274" s="10">
        <v>3.0</v>
      </c>
      <c r="F274" s="10">
        <v>0.0</v>
      </c>
      <c r="G274" s="10">
        <v>0.0</v>
      </c>
      <c r="H274" s="10">
        <v>0.67</v>
      </c>
    </row>
    <row r="275" ht="15.75" customHeight="1">
      <c r="A275" s="7" t="s">
        <v>952</v>
      </c>
      <c r="B275" s="10" t="s">
        <v>75</v>
      </c>
      <c r="C275" s="10" t="s">
        <v>954</v>
      </c>
      <c r="D275" s="10">
        <v>3.0</v>
      </c>
      <c r="E275" s="10">
        <v>2.0</v>
      </c>
      <c r="F275" s="10">
        <v>0.0</v>
      </c>
      <c r="G275" s="10">
        <v>0.0</v>
      </c>
      <c r="H275" s="10">
        <v>2.0</v>
      </c>
      <c r="I275" s="10">
        <v>0.0</v>
      </c>
    </row>
    <row r="276" ht="15.75" customHeight="1">
      <c r="A276" s="7" t="s">
        <v>956</v>
      </c>
      <c r="B276" s="10" t="s">
        <v>91</v>
      </c>
      <c r="D276" s="10">
        <v>3.0</v>
      </c>
      <c r="F276" s="10">
        <v>0.0</v>
      </c>
      <c r="G276" s="10">
        <v>0.0</v>
      </c>
      <c r="H276" s="10">
        <v>2.33</v>
      </c>
    </row>
    <row r="277" ht="15.75" customHeight="1">
      <c r="A277" s="7" t="s">
        <v>959</v>
      </c>
      <c r="B277" s="10" t="s">
        <v>17</v>
      </c>
      <c r="C277" s="10" t="s">
        <v>962</v>
      </c>
      <c r="D277" s="10">
        <v>3.0</v>
      </c>
      <c r="F277" s="10">
        <v>0.0</v>
      </c>
      <c r="G277" s="10">
        <v>0.0</v>
      </c>
      <c r="H277" s="10">
        <v>0.0</v>
      </c>
    </row>
    <row r="278" ht="15.75" customHeight="1">
      <c r="A278" s="7" t="s">
        <v>963</v>
      </c>
      <c r="B278" s="10" t="s">
        <v>17</v>
      </c>
      <c r="C278" s="10" t="s">
        <v>965</v>
      </c>
      <c r="D278" s="10">
        <v>3.0</v>
      </c>
      <c r="E278" s="10">
        <v>0.0</v>
      </c>
      <c r="F278" s="10">
        <v>0.0</v>
      </c>
      <c r="G278" s="10">
        <v>0.0</v>
      </c>
      <c r="H278" s="10">
        <v>0.0</v>
      </c>
      <c r="I278" s="10">
        <v>0.0</v>
      </c>
    </row>
    <row r="279" ht="15.75" customHeight="1">
      <c r="A279" s="7" t="s">
        <v>968</v>
      </c>
      <c r="B279" s="10" t="s">
        <v>17</v>
      </c>
      <c r="C279" s="10" t="s">
        <v>146</v>
      </c>
      <c r="D279" s="10">
        <v>3.0</v>
      </c>
      <c r="E279" s="10">
        <v>2.0</v>
      </c>
      <c r="F279" s="10">
        <v>0.0</v>
      </c>
      <c r="G279" s="10">
        <v>0.0</v>
      </c>
      <c r="H279" s="10">
        <v>1.33</v>
      </c>
      <c r="I279" s="10">
        <v>1.33</v>
      </c>
    </row>
    <row r="280" ht="15.75" customHeight="1">
      <c r="A280" s="7" t="s">
        <v>970</v>
      </c>
      <c r="B280" s="10" t="s">
        <v>17</v>
      </c>
      <c r="D280" s="10">
        <v>3.0</v>
      </c>
      <c r="E280" s="10">
        <v>-4.0</v>
      </c>
      <c r="F280" s="10">
        <v>0.0</v>
      </c>
      <c r="G280" s="10">
        <v>0.0</v>
      </c>
      <c r="H280" s="10">
        <v>0.0</v>
      </c>
      <c r="I280" s="10">
        <v>-0.57</v>
      </c>
    </row>
    <row r="281" ht="15.75" customHeight="1">
      <c r="A281" s="7" t="s">
        <v>972</v>
      </c>
      <c r="B281" s="10" t="s">
        <v>17</v>
      </c>
      <c r="D281" s="10">
        <v>3.0</v>
      </c>
      <c r="F281" s="10">
        <v>0.0</v>
      </c>
      <c r="G281" s="10">
        <v>0.0</v>
      </c>
      <c r="H281" s="10">
        <v>0.0</v>
      </c>
    </row>
    <row r="282" ht="15.75" customHeight="1">
      <c r="A282" s="7" t="s">
        <v>974</v>
      </c>
      <c r="B282" s="10" t="s">
        <v>17</v>
      </c>
      <c r="D282" s="10">
        <v>3.0</v>
      </c>
      <c r="F282" s="10">
        <v>0.0</v>
      </c>
      <c r="G282" s="10">
        <v>0.0</v>
      </c>
      <c r="H282" s="10">
        <v>1.0</v>
      </c>
    </row>
    <row r="283" ht="15.75" customHeight="1">
      <c r="A283" s="7" t="s">
        <v>977</v>
      </c>
      <c r="B283" s="10" t="s">
        <v>17</v>
      </c>
      <c r="C283" s="10" t="s">
        <v>980</v>
      </c>
      <c r="D283" s="10">
        <v>3.0</v>
      </c>
      <c r="E283" s="10">
        <v>2.0</v>
      </c>
      <c r="F283" s="10">
        <v>0.0</v>
      </c>
      <c r="G283" s="10">
        <v>0.0</v>
      </c>
      <c r="H283" s="10">
        <v>0.67</v>
      </c>
      <c r="I283" s="10">
        <v>0.67</v>
      </c>
    </row>
    <row r="284" ht="15.75" customHeight="1">
      <c r="A284" s="7" t="s">
        <v>981</v>
      </c>
      <c r="B284" s="10" t="s">
        <v>17</v>
      </c>
      <c r="D284" s="10">
        <v>3.0</v>
      </c>
      <c r="F284" s="10">
        <v>0.0</v>
      </c>
      <c r="G284" s="10">
        <v>0.0</v>
      </c>
      <c r="H284" s="10">
        <v>1.0</v>
      </c>
    </row>
    <row r="285" ht="15.75" customHeight="1">
      <c r="A285" s="7" t="s">
        <v>983</v>
      </c>
      <c r="B285" s="10" t="s">
        <v>17</v>
      </c>
      <c r="C285" s="10" t="s">
        <v>157</v>
      </c>
      <c r="D285" s="10">
        <v>3.0</v>
      </c>
      <c r="E285" s="10">
        <v>-7.0</v>
      </c>
      <c r="F285" s="10">
        <v>0.0</v>
      </c>
      <c r="G285" s="10">
        <v>0.0</v>
      </c>
      <c r="H285" s="10">
        <v>0.67</v>
      </c>
      <c r="I285" s="10">
        <v>0.47</v>
      </c>
    </row>
    <row r="286" ht="15.75" customHeight="1">
      <c r="A286" s="7" t="s">
        <v>986</v>
      </c>
      <c r="B286" s="10" t="s">
        <v>17</v>
      </c>
      <c r="C286" s="10" t="s">
        <v>988</v>
      </c>
      <c r="D286" s="10">
        <v>3.0</v>
      </c>
      <c r="E286" s="10">
        <v>2.0</v>
      </c>
      <c r="F286" s="10">
        <v>0.0</v>
      </c>
      <c r="G286" s="10">
        <v>0.0</v>
      </c>
      <c r="H286" s="10">
        <v>0.0</v>
      </c>
      <c r="I286" s="10">
        <v>0.0</v>
      </c>
    </row>
    <row r="287" ht="15.75" customHeight="1">
      <c r="A287" s="7" t="s">
        <v>990</v>
      </c>
      <c r="B287" s="10" t="s">
        <v>17</v>
      </c>
      <c r="C287" s="10" t="s">
        <v>991</v>
      </c>
      <c r="D287" s="10">
        <v>3.0</v>
      </c>
      <c r="F287" s="10">
        <v>0.0</v>
      </c>
      <c r="G287" s="10">
        <v>0.0</v>
      </c>
      <c r="H287" s="10">
        <v>1.33</v>
      </c>
    </row>
    <row r="288" ht="15.75" customHeight="1">
      <c r="A288" s="7" t="s">
        <v>993</v>
      </c>
      <c r="B288" s="10" t="s">
        <v>37</v>
      </c>
      <c r="C288" s="10" t="s">
        <v>995</v>
      </c>
      <c r="D288" s="10">
        <v>3.0</v>
      </c>
      <c r="F288" s="10">
        <v>0.0</v>
      </c>
      <c r="G288" s="10">
        <v>0.0</v>
      </c>
      <c r="H288" s="10">
        <v>2.0</v>
      </c>
    </row>
    <row r="289" ht="15.75" customHeight="1">
      <c r="A289" s="7" t="s">
        <v>996</v>
      </c>
      <c r="B289" s="10" t="s">
        <v>17</v>
      </c>
      <c r="C289" s="10" t="s">
        <v>998</v>
      </c>
      <c r="D289" s="10">
        <v>3.0</v>
      </c>
      <c r="F289" s="10">
        <v>0.0</v>
      </c>
      <c r="G289" s="10">
        <v>0.0</v>
      </c>
      <c r="H289" s="10">
        <v>0.0</v>
      </c>
    </row>
    <row r="290" ht="15.75" customHeight="1">
      <c r="A290" s="7" t="s">
        <v>999</v>
      </c>
      <c r="B290" s="10" t="s">
        <v>17</v>
      </c>
      <c r="D290" s="10">
        <v>3.0</v>
      </c>
      <c r="F290" s="10">
        <v>0.0</v>
      </c>
      <c r="G290" s="10">
        <v>0.0</v>
      </c>
      <c r="H290" s="10">
        <v>0.0</v>
      </c>
    </row>
    <row r="291" ht="15.75" customHeight="1">
      <c r="A291" s="7" t="s">
        <v>1001</v>
      </c>
      <c r="B291" s="10" t="s">
        <v>17</v>
      </c>
      <c r="C291" s="10" t="s">
        <v>1003</v>
      </c>
      <c r="D291" s="10">
        <v>3.0</v>
      </c>
      <c r="F291" s="10">
        <v>0.0</v>
      </c>
      <c r="G291" s="10">
        <v>0.0</v>
      </c>
      <c r="H291" s="10">
        <v>0.0</v>
      </c>
    </row>
    <row r="292" ht="15.75" customHeight="1">
      <c r="A292" s="7" t="s">
        <v>1004</v>
      </c>
      <c r="B292" s="10" t="s">
        <v>17</v>
      </c>
      <c r="D292" s="10">
        <v>3.0</v>
      </c>
      <c r="F292" s="10">
        <v>0.0</v>
      </c>
      <c r="G292" s="10">
        <v>0.0</v>
      </c>
      <c r="H292" s="10">
        <v>0.67</v>
      </c>
    </row>
    <row r="293" ht="15.75" customHeight="1">
      <c r="A293" s="7" t="s">
        <v>1005</v>
      </c>
      <c r="B293" s="10" t="s">
        <v>17</v>
      </c>
      <c r="C293" s="10" t="s">
        <v>1007</v>
      </c>
      <c r="D293" s="10">
        <v>3.0</v>
      </c>
      <c r="F293" s="10">
        <v>0.0</v>
      </c>
      <c r="G293" s="10">
        <v>0.0</v>
      </c>
      <c r="H293" s="10">
        <v>0.67</v>
      </c>
    </row>
    <row r="294" ht="15.75" customHeight="1">
      <c r="A294" s="7" t="s">
        <v>1008</v>
      </c>
      <c r="B294" s="10" t="s">
        <v>56</v>
      </c>
      <c r="D294" s="10">
        <v>3.0</v>
      </c>
      <c r="F294" s="10">
        <v>0.0</v>
      </c>
      <c r="G294" s="10">
        <v>0.0</v>
      </c>
      <c r="H294" s="10">
        <v>0.0</v>
      </c>
    </row>
    <row r="295" ht="15.75" customHeight="1">
      <c r="A295" s="7" t="s">
        <v>1009</v>
      </c>
      <c r="B295" s="10" t="s">
        <v>91</v>
      </c>
      <c r="C295" s="10" t="s">
        <v>1011</v>
      </c>
      <c r="D295" s="10">
        <v>3.0</v>
      </c>
      <c r="E295" s="10">
        <v>0.0</v>
      </c>
      <c r="F295" s="10">
        <v>0.0</v>
      </c>
      <c r="G295" s="10">
        <v>0.0</v>
      </c>
      <c r="H295" s="10">
        <v>0.33</v>
      </c>
      <c r="I295" s="10">
        <v>-0.67</v>
      </c>
    </row>
    <row r="296" ht="15.75" customHeight="1">
      <c r="A296" s="7" t="s">
        <v>1012</v>
      </c>
      <c r="B296" s="10" t="s">
        <v>17</v>
      </c>
      <c r="C296" s="10" t="s">
        <v>1013</v>
      </c>
      <c r="D296" s="10">
        <v>3.0</v>
      </c>
      <c r="F296" s="10">
        <v>0.0</v>
      </c>
      <c r="G296" s="10">
        <v>0.0</v>
      </c>
      <c r="H296" s="10">
        <v>1.0</v>
      </c>
    </row>
    <row r="297" ht="15.75" customHeight="1">
      <c r="A297" s="7" t="s">
        <v>1015</v>
      </c>
      <c r="B297" s="10" t="s">
        <v>17</v>
      </c>
      <c r="C297" s="10" t="s">
        <v>157</v>
      </c>
      <c r="D297" s="10">
        <v>3.0</v>
      </c>
      <c r="F297" s="10">
        <v>0.0</v>
      </c>
      <c r="G297" s="10">
        <v>0.0</v>
      </c>
      <c r="H297" s="10">
        <v>0.67</v>
      </c>
    </row>
    <row r="298" ht="15.75" customHeight="1">
      <c r="A298" s="7" t="s">
        <v>1016</v>
      </c>
      <c r="B298" s="10" t="s">
        <v>17</v>
      </c>
      <c r="D298" s="10">
        <v>3.0</v>
      </c>
      <c r="F298" s="10">
        <v>0.0</v>
      </c>
      <c r="G298" s="10">
        <v>0.0</v>
      </c>
      <c r="H298" s="10">
        <v>0.0</v>
      </c>
    </row>
    <row r="299" ht="15.75" customHeight="1">
      <c r="A299" s="7" t="s">
        <v>1018</v>
      </c>
      <c r="B299" s="10" t="s">
        <v>75</v>
      </c>
      <c r="C299" s="10" t="s">
        <v>1020</v>
      </c>
      <c r="D299" s="10">
        <v>2.0</v>
      </c>
      <c r="F299" s="10">
        <v>0.0</v>
      </c>
      <c r="G299" s="10">
        <v>0.0</v>
      </c>
      <c r="H299" s="10">
        <v>2.0</v>
      </c>
    </row>
    <row r="300" ht="15.75" customHeight="1">
      <c r="A300" s="7" t="s">
        <v>1021</v>
      </c>
      <c r="B300" s="10" t="s">
        <v>17</v>
      </c>
      <c r="C300" s="10" t="s">
        <v>1024</v>
      </c>
      <c r="D300" s="10">
        <v>2.0</v>
      </c>
      <c r="F300" s="10">
        <v>0.0</v>
      </c>
      <c r="G300" s="10">
        <v>0.0</v>
      </c>
      <c r="H300" s="10">
        <v>1.0</v>
      </c>
    </row>
    <row r="301" ht="15.75" customHeight="1">
      <c r="A301" s="7" t="s">
        <v>1025</v>
      </c>
      <c r="B301" s="10" t="s">
        <v>91</v>
      </c>
      <c r="C301" s="10" t="s">
        <v>1028</v>
      </c>
      <c r="D301" s="10">
        <v>2.0</v>
      </c>
      <c r="F301" s="10">
        <v>0.0</v>
      </c>
      <c r="G301" s="10">
        <v>0.0</v>
      </c>
      <c r="H301" s="10">
        <v>1.5</v>
      </c>
    </row>
    <row r="302" ht="15.75" customHeight="1">
      <c r="A302" s="7" t="s">
        <v>1029</v>
      </c>
      <c r="B302" s="10" t="s">
        <v>17</v>
      </c>
      <c r="C302" s="10" t="s">
        <v>1030</v>
      </c>
      <c r="D302" s="10">
        <v>2.0</v>
      </c>
      <c r="E302" s="10">
        <v>-18.0</v>
      </c>
      <c r="F302" s="10">
        <v>0.0</v>
      </c>
      <c r="G302" s="10">
        <v>0.0</v>
      </c>
      <c r="H302" s="10">
        <v>1.5</v>
      </c>
      <c r="I302" s="10">
        <v>0.25</v>
      </c>
    </row>
    <row r="303" ht="15.75" customHeight="1">
      <c r="A303" s="7" t="s">
        <v>1033</v>
      </c>
      <c r="B303" s="10" t="s">
        <v>37</v>
      </c>
      <c r="C303" s="10" t="s">
        <v>1035</v>
      </c>
      <c r="D303" s="10">
        <v>2.0</v>
      </c>
      <c r="E303" s="10">
        <v>1.0</v>
      </c>
      <c r="F303" s="10">
        <v>0.0</v>
      </c>
      <c r="G303" s="10">
        <v>0.0</v>
      </c>
      <c r="H303" s="10">
        <v>1.0</v>
      </c>
      <c r="I303" s="10">
        <v>-2.0</v>
      </c>
    </row>
    <row r="304" ht="15.75" customHeight="1">
      <c r="A304" s="7" t="s">
        <v>1036</v>
      </c>
      <c r="B304" s="10" t="s">
        <v>56</v>
      </c>
      <c r="D304" s="10">
        <v>2.0</v>
      </c>
      <c r="F304" s="10">
        <v>0.0</v>
      </c>
      <c r="G304" s="10">
        <v>0.0</v>
      </c>
      <c r="H304" s="10">
        <v>0.0</v>
      </c>
    </row>
    <row r="305" ht="15.75" customHeight="1">
      <c r="A305" s="7" t="s">
        <v>1038</v>
      </c>
      <c r="B305" s="10" t="s">
        <v>17</v>
      </c>
      <c r="C305" s="10" t="s">
        <v>1040</v>
      </c>
      <c r="D305" s="10">
        <v>2.0</v>
      </c>
      <c r="E305" s="10">
        <v>1.0</v>
      </c>
      <c r="F305" s="10">
        <v>0.0</v>
      </c>
      <c r="G305" s="10">
        <v>0.0</v>
      </c>
      <c r="H305" s="10">
        <v>0.5</v>
      </c>
      <c r="I305" s="10">
        <v>0.5</v>
      </c>
    </row>
    <row r="306" ht="15.75" customHeight="1">
      <c r="A306" s="7" t="s">
        <v>1044</v>
      </c>
      <c r="B306" s="10" t="s">
        <v>75</v>
      </c>
      <c r="C306" s="10" t="s">
        <v>1045</v>
      </c>
      <c r="D306" s="10">
        <v>2.0</v>
      </c>
      <c r="F306" s="10">
        <v>0.0</v>
      </c>
      <c r="G306" s="10">
        <v>0.0</v>
      </c>
      <c r="H306" s="10">
        <v>0.0</v>
      </c>
    </row>
    <row r="307" ht="15.75" customHeight="1">
      <c r="A307" s="7" t="s">
        <v>1047</v>
      </c>
      <c r="B307" s="10" t="s">
        <v>17</v>
      </c>
      <c r="C307" s="10" t="s">
        <v>1049</v>
      </c>
      <c r="D307" s="10">
        <v>2.0</v>
      </c>
      <c r="F307" s="10">
        <v>0.0</v>
      </c>
      <c r="G307" s="10">
        <v>0.0</v>
      </c>
      <c r="H307" s="10">
        <v>2.0</v>
      </c>
    </row>
    <row r="308" ht="15.75" customHeight="1">
      <c r="A308" s="7" t="s">
        <v>1050</v>
      </c>
      <c r="B308" s="10" t="s">
        <v>17</v>
      </c>
      <c r="C308" s="10" t="s">
        <v>1052</v>
      </c>
      <c r="D308" s="10">
        <v>2.0</v>
      </c>
      <c r="F308" s="10">
        <v>0.0</v>
      </c>
      <c r="G308" s="10">
        <v>0.0</v>
      </c>
      <c r="H308" s="10">
        <v>0.0</v>
      </c>
    </row>
    <row r="309" ht="15.75" customHeight="1">
      <c r="A309" s="7" t="s">
        <v>1053</v>
      </c>
      <c r="B309" s="10" t="s">
        <v>17</v>
      </c>
      <c r="C309" s="10" t="s">
        <v>1055</v>
      </c>
      <c r="D309" s="10">
        <v>2.0</v>
      </c>
      <c r="F309" s="10">
        <v>0.0</v>
      </c>
      <c r="G309" s="10">
        <v>0.0</v>
      </c>
      <c r="H309" s="10">
        <v>1.0</v>
      </c>
    </row>
    <row r="310" ht="15.75" customHeight="1">
      <c r="A310" s="7" t="s">
        <v>1056</v>
      </c>
      <c r="B310" s="10" t="s">
        <v>17</v>
      </c>
      <c r="D310" s="10">
        <v>2.0</v>
      </c>
      <c r="E310" s="10">
        <v>0.0</v>
      </c>
      <c r="F310" s="10">
        <v>0.0</v>
      </c>
      <c r="G310" s="10">
        <v>0.0</v>
      </c>
      <c r="H310" s="10">
        <v>1.0</v>
      </c>
      <c r="I310" s="10">
        <v>1.0</v>
      </c>
    </row>
    <row r="311" ht="15.75" customHeight="1">
      <c r="A311" s="7" t="s">
        <v>1058</v>
      </c>
      <c r="B311" s="10" t="s">
        <v>37</v>
      </c>
      <c r="C311" s="10" t="s">
        <v>790</v>
      </c>
      <c r="D311" s="10">
        <v>2.0</v>
      </c>
      <c r="F311" s="10">
        <v>0.0</v>
      </c>
      <c r="G311" s="10">
        <v>0.0</v>
      </c>
      <c r="H311" s="10">
        <v>1.0</v>
      </c>
    </row>
    <row r="312" ht="15.75" customHeight="1">
      <c r="A312" s="7" t="s">
        <v>1061</v>
      </c>
      <c r="B312" s="10" t="s">
        <v>17</v>
      </c>
      <c r="C312" s="10" t="s">
        <v>1064</v>
      </c>
      <c r="D312" s="10">
        <v>2.0</v>
      </c>
      <c r="E312" s="10">
        <v>0.0</v>
      </c>
      <c r="F312" s="10">
        <v>0.0</v>
      </c>
      <c r="G312" s="10">
        <v>0.0</v>
      </c>
      <c r="H312" s="10">
        <v>0.5</v>
      </c>
      <c r="I312" s="10">
        <v>-1.0</v>
      </c>
    </row>
    <row r="313" ht="15.75" customHeight="1">
      <c r="A313" s="7" t="s">
        <v>1066</v>
      </c>
      <c r="B313" s="10" t="s">
        <v>44</v>
      </c>
      <c r="D313" s="10">
        <v>2.0</v>
      </c>
      <c r="F313" s="10">
        <v>0.0</v>
      </c>
      <c r="G313" s="10">
        <v>0.0</v>
      </c>
      <c r="H313" s="10">
        <v>0.0</v>
      </c>
    </row>
    <row r="314" ht="15.75" customHeight="1">
      <c r="A314" s="7" t="s">
        <v>1068</v>
      </c>
      <c r="B314" s="10" t="s">
        <v>17</v>
      </c>
      <c r="D314" s="10">
        <v>2.0</v>
      </c>
      <c r="F314" s="10">
        <v>0.0</v>
      </c>
      <c r="G314" s="10">
        <v>0.0</v>
      </c>
      <c r="H314" s="10">
        <v>1.0</v>
      </c>
    </row>
    <row r="315" ht="15.75" customHeight="1">
      <c r="A315" s="7" t="s">
        <v>1071</v>
      </c>
      <c r="B315" s="10" t="s">
        <v>17</v>
      </c>
      <c r="C315" s="10" t="s">
        <v>1073</v>
      </c>
      <c r="D315" s="10">
        <v>2.0</v>
      </c>
      <c r="F315" s="10">
        <v>0.0</v>
      </c>
      <c r="G315" s="10">
        <v>0.0</v>
      </c>
      <c r="H315" s="10">
        <v>0.0</v>
      </c>
    </row>
    <row r="316" ht="15.75" customHeight="1">
      <c r="A316" s="7" t="s">
        <v>1075</v>
      </c>
      <c r="B316" s="10" t="s">
        <v>75</v>
      </c>
      <c r="C316" s="10" t="s">
        <v>1076</v>
      </c>
      <c r="D316" s="10">
        <v>2.0</v>
      </c>
      <c r="E316" s="10">
        <v>-12.0</v>
      </c>
      <c r="F316" s="10">
        <v>0.0</v>
      </c>
      <c r="G316" s="10">
        <v>0.0</v>
      </c>
      <c r="H316" s="10">
        <v>0.0</v>
      </c>
      <c r="I316" s="10">
        <v>-0.07</v>
      </c>
    </row>
    <row r="317" ht="15.75" customHeight="1">
      <c r="A317" s="7" t="s">
        <v>1078</v>
      </c>
      <c r="B317" s="10" t="s">
        <v>17</v>
      </c>
      <c r="C317" s="10" t="s">
        <v>1082</v>
      </c>
      <c r="D317" s="10">
        <v>2.0</v>
      </c>
      <c r="F317" s="10">
        <v>0.0</v>
      </c>
      <c r="G317" s="10">
        <v>0.0</v>
      </c>
      <c r="H317" s="10">
        <v>1.0</v>
      </c>
    </row>
    <row r="318" ht="15.75" customHeight="1">
      <c r="A318" s="10" t="s">
        <v>1083</v>
      </c>
      <c r="B318" s="10" t="s">
        <v>17</v>
      </c>
      <c r="D318" s="10">
        <v>2.0</v>
      </c>
      <c r="E318" s="10">
        <v>1.0</v>
      </c>
      <c r="F318" s="10">
        <v>0.0</v>
      </c>
      <c r="G318" s="10">
        <v>0.0</v>
      </c>
      <c r="H318" s="10">
        <v>0.0</v>
      </c>
      <c r="I318" s="10">
        <v>0.0</v>
      </c>
    </row>
    <row r="319" ht="15.75" customHeight="1">
      <c r="A319" s="7" t="s">
        <v>1085</v>
      </c>
      <c r="B319" s="10" t="s">
        <v>17</v>
      </c>
      <c r="C319" s="10" t="s">
        <v>1088</v>
      </c>
      <c r="D319" s="10">
        <v>2.0</v>
      </c>
      <c r="F319" s="10">
        <v>0.0</v>
      </c>
      <c r="G319" s="10">
        <v>0.0</v>
      </c>
      <c r="H319" s="10">
        <v>1.0</v>
      </c>
    </row>
    <row r="320" ht="15.75" customHeight="1">
      <c r="A320" s="7" t="s">
        <v>1089</v>
      </c>
      <c r="B320" s="10" t="s">
        <v>17</v>
      </c>
      <c r="C320" s="10" t="s">
        <v>1093</v>
      </c>
      <c r="D320" s="10">
        <v>2.0</v>
      </c>
      <c r="F320" s="10">
        <v>0.0</v>
      </c>
      <c r="G320" s="10">
        <v>0.0</v>
      </c>
      <c r="H320" s="10">
        <v>1.0</v>
      </c>
    </row>
    <row r="321" ht="15.75" customHeight="1">
      <c r="A321" s="7" t="s">
        <v>1094</v>
      </c>
      <c r="B321" s="10" t="s">
        <v>91</v>
      </c>
      <c r="C321" s="10" t="s">
        <v>484</v>
      </c>
      <c r="D321" s="10">
        <v>2.0</v>
      </c>
      <c r="F321" s="10">
        <v>0.0</v>
      </c>
      <c r="G321" s="10">
        <v>0.0</v>
      </c>
      <c r="H321" s="10">
        <v>0.0</v>
      </c>
    </row>
    <row r="322" ht="15.75" customHeight="1">
      <c r="A322" s="7" t="s">
        <v>1096</v>
      </c>
      <c r="B322" s="10" t="s">
        <v>17</v>
      </c>
      <c r="C322" s="10" t="s">
        <v>157</v>
      </c>
      <c r="D322" s="10">
        <v>2.0</v>
      </c>
      <c r="F322" s="10">
        <v>0.0</v>
      </c>
      <c r="G322" s="10">
        <v>0.0</v>
      </c>
      <c r="H322" s="10">
        <v>1.0</v>
      </c>
    </row>
    <row r="323" ht="15.75" customHeight="1">
      <c r="A323" s="7" t="s">
        <v>1099</v>
      </c>
      <c r="B323" s="10" t="s">
        <v>17</v>
      </c>
      <c r="D323" s="10">
        <v>2.0</v>
      </c>
      <c r="F323" s="10">
        <v>0.0</v>
      </c>
      <c r="G323" s="10">
        <v>0.0</v>
      </c>
      <c r="H323" s="10">
        <v>0.5</v>
      </c>
    </row>
    <row r="324" ht="15.75" customHeight="1">
      <c r="A324" s="7" t="s">
        <v>1101</v>
      </c>
      <c r="B324" s="10" t="s">
        <v>17</v>
      </c>
      <c r="C324" s="10" t="s">
        <v>1103</v>
      </c>
      <c r="D324" s="10">
        <v>2.0</v>
      </c>
      <c r="F324" s="10">
        <v>0.0</v>
      </c>
      <c r="G324" s="10">
        <v>0.0</v>
      </c>
      <c r="H324" s="10">
        <v>1.0</v>
      </c>
    </row>
    <row r="325" ht="15.75" customHeight="1">
      <c r="A325" s="7" t="s">
        <v>1104</v>
      </c>
      <c r="B325" s="10" t="s">
        <v>91</v>
      </c>
      <c r="C325" s="10" t="s">
        <v>384</v>
      </c>
      <c r="D325" s="10">
        <v>2.0</v>
      </c>
      <c r="F325" s="10">
        <v>0.0</v>
      </c>
      <c r="G325" s="10">
        <v>0.0</v>
      </c>
      <c r="H325" s="10">
        <v>1.0</v>
      </c>
    </row>
    <row r="326" ht="15.75" customHeight="1">
      <c r="A326" s="7" t="s">
        <v>1106</v>
      </c>
      <c r="B326" s="10" t="s">
        <v>17</v>
      </c>
      <c r="D326" s="10">
        <v>2.0</v>
      </c>
      <c r="F326" s="10">
        <v>0.0</v>
      </c>
      <c r="G326" s="10">
        <v>0.0</v>
      </c>
      <c r="H326" s="10">
        <v>2.0</v>
      </c>
    </row>
    <row r="327" ht="15.75" customHeight="1">
      <c r="A327" s="7" t="s">
        <v>1109</v>
      </c>
      <c r="B327" s="10" t="s">
        <v>17</v>
      </c>
      <c r="D327" s="10">
        <v>2.0</v>
      </c>
      <c r="F327" s="10">
        <v>0.0</v>
      </c>
      <c r="G327" s="10">
        <v>0.0</v>
      </c>
      <c r="H327" s="10">
        <v>0.0</v>
      </c>
    </row>
    <row r="328" ht="15.75" customHeight="1">
      <c r="A328" s="7" t="s">
        <v>1112</v>
      </c>
      <c r="B328" s="10" t="s">
        <v>17</v>
      </c>
      <c r="D328" s="10">
        <v>2.0</v>
      </c>
      <c r="F328" s="10">
        <v>0.0</v>
      </c>
      <c r="G328" s="10">
        <v>0.0</v>
      </c>
      <c r="H328" s="10">
        <v>1.0</v>
      </c>
    </row>
    <row r="329" ht="15.75" customHeight="1">
      <c r="A329" s="7" t="s">
        <v>1115</v>
      </c>
      <c r="B329" s="10" t="s">
        <v>17</v>
      </c>
      <c r="D329" s="10">
        <v>2.0</v>
      </c>
      <c r="F329" s="10">
        <v>0.0</v>
      </c>
      <c r="G329" s="10">
        <v>0.0</v>
      </c>
      <c r="H329" s="10">
        <v>0.0</v>
      </c>
    </row>
    <row r="330" ht="15.75" customHeight="1">
      <c r="A330" s="7" t="s">
        <v>1116</v>
      </c>
      <c r="B330" s="10" t="s">
        <v>17</v>
      </c>
      <c r="D330" s="10">
        <v>2.0</v>
      </c>
      <c r="F330" s="10">
        <v>0.0</v>
      </c>
      <c r="G330" s="10">
        <v>0.0</v>
      </c>
      <c r="H330" s="10">
        <v>0.0</v>
      </c>
    </row>
    <row r="331" ht="15.75" customHeight="1">
      <c r="A331" s="7" t="s">
        <v>1119</v>
      </c>
      <c r="B331" s="10" t="s">
        <v>75</v>
      </c>
      <c r="C331" s="10" t="s">
        <v>1122</v>
      </c>
      <c r="D331" s="10">
        <v>2.0</v>
      </c>
      <c r="F331" s="10">
        <v>0.0</v>
      </c>
      <c r="G331" s="10">
        <v>0.0</v>
      </c>
      <c r="H331" s="10">
        <v>0.0</v>
      </c>
    </row>
    <row r="332" ht="15.75" customHeight="1">
      <c r="A332" s="7" t="s">
        <v>1124</v>
      </c>
      <c r="B332" s="10" t="s">
        <v>17</v>
      </c>
      <c r="D332" s="10">
        <v>2.0</v>
      </c>
      <c r="E332" s="10">
        <v>1.0</v>
      </c>
      <c r="F332" s="10">
        <v>0.0</v>
      </c>
      <c r="G332" s="10">
        <v>0.0</v>
      </c>
      <c r="H332" s="10">
        <v>0.0</v>
      </c>
      <c r="I332" s="10">
        <v>-2.0</v>
      </c>
    </row>
    <row r="333" ht="15.75" customHeight="1">
      <c r="A333" s="7" t="s">
        <v>1127</v>
      </c>
      <c r="B333" s="10" t="s">
        <v>17</v>
      </c>
      <c r="D333" s="10">
        <v>2.0</v>
      </c>
      <c r="E333" s="10">
        <v>-8.0</v>
      </c>
      <c r="F333" s="10">
        <v>0.0</v>
      </c>
      <c r="G333" s="10">
        <v>0.0</v>
      </c>
      <c r="H333" s="10">
        <v>0.5</v>
      </c>
      <c r="I333" s="10">
        <v>-0.2</v>
      </c>
    </row>
    <row r="334" ht="15.75" customHeight="1">
      <c r="A334" s="7" t="s">
        <v>1130</v>
      </c>
      <c r="B334" s="10" t="s">
        <v>17</v>
      </c>
      <c r="D334" s="10">
        <v>2.0</v>
      </c>
      <c r="E334" s="10">
        <v>-1.0</v>
      </c>
      <c r="F334" s="10">
        <v>0.0</v>
      </c>
      <c r="G334" s="10">
        <v>0.0</v>
      </c>
      <c r="H334" s="10">
        <v>1.0</v>
      </c>
      <c r="I334" s="10">
        <v>1.0</v>
      </c>
    </row>
    <row r="335" ht="15.75" customHeight="1">
      <c r="A335" s="7" t="s">
        <v>1133</v>
      </c>
      <c r="B335" s="10" t="s">
        <v>17</v>
      </c>
      <c r="D335" s="10">
        <v>2.0</v>
      </c>
      <c r="F335" s="10">
        <v>0.0</v>
      </c>
      <c r="G335" s="10">
        <v>0.0</v>
      </c>
      <c r="H335" s="10">
        <v>0.0</v>
      </c>
    </row>
    <row r="336" ht="15.75" customHeight="1">
      <c r="A336" s="7" t="s">
        <v>1138</v>
      </c>
      <c r="B336" s="10" t="s">
        <v>75</v>
      </c>
      <c r="D336" s="10">
        <v>2.0</v>
      </c>
      <c r="E336" s="10">
        <v>0.0</v>
      </c>
      <c r="F336" s="10">
        <v>0.0</v>
      </c>
      <c r="G336" s="10">
        <v>0.0</v>
      </c>
      <c r="H336" s="10">
        <v>2.0</v>
      </c>
      <c r="I336" s="10">
        <v>0.0</v>
      </c>
    </row>
    <row r="337" ht="15.75" customHeight="1">
      <c r="A337" s="7" t="s">
        <v>1141</v>
      </c>
      <c r="B337" s="10" t="s">
        <v>17</v>
      </c>
      <c r="D337" s="10">
        <v>2.0</v>
      </c>
      <c r="F337" s="10">
        <v>0.0</v>
      </c>
      <c r="G337" s="10">
        <v>0.0</v>
      </c>
      <c r="H337" s="10">
        <v>1.0</v>
      </c>
    </row>
    <row r="338" ht="15.75" customHeight="1">
      <c r="A338" s="7" t="s">
        <v>1143</v>
      </c>
      <c r="B338" s="10" t="s">
        <v>17</v>
      </c>
      <c r="C338" s="10" t="s">
        <v>1144</v>
      </c>
      <c r="D338" s="10">
        <v>2.0</v>
      </c>
      <c r="E338" s="10">
        <v>-3.0</v>
      </c>
      <c r="F338" s="10">
        <v>0.0</v>
      </c>
      <c r="G338" s="10">
        <v>0.0</v>
      </c>
      <c r="H338" s="10">
        <v>0.5</v>
      </c>
      <c r="I338" s="10">
        <v>0.5</v>
      </c>
    </row>
    <row r="339" ht="15.75" customHeight="1">
      <c r="A339" s="7" t="s">
        <v>1146</v>
      </c>
      <c r="B339" s="10" t="s">
        <v>17</v>
      </c>
      <c r="D339" s="10">
        <v>2.0</v>
      </c>
      <c r="F339" s="10">
        <v>0.0</v>
      </c>
      <c r="G339" s="10">
        <v>0.0</v>
      </c>
      <c r="H339" s="10">
        <v>2.0</v>
      </c>
    </row>
    <row r="340" ht="15.75" customHeight="1">
      <c r="A340" s="7" t="s">
        <v>1149</v>
      </c>
      <c r="B340" s="10" t="s">
        <v>17</v>
      </c>
      <c r="D340" s="10">
        <v>2.0</v>
      </c>
      <c r="F340" s="10">
        <v>0.0</v>
      </c>
      <c r="G340" s="10">
        <v>0.0</v>
      </c>
      <c r="H340" s="10">
        <v>2.0</v>
      </c>
    </row>
    <row r="341" ht="15.75" customHeight="1">
      <c r="A341" s="7" t="s">
        <v>1151</v>
      </c>
      <c r="B341" s="10" t="s">
        <v>17</v>
      </c>
      <c r="D341" s="10">
        <v>2.0</v>
      </c>
      <c r="F341" s="10">
        <v>0.0</v>
      </c>
      <c r="G341" s="10">
        <v>0.0</v>
      </c>
      <c r="H341" s="10">
        <v>1.5</v>
      </c>
    </row>
    <row r="342" ht="15.75" customHeight="1">
      <c r="A342" s="7" t="s">
        <v>1153</v>
      </c>
      <c r="B342" s="10" t="s">
        <v>75</v>
      </c>
      <c r="C342" s="10" t="s">
        <v>1156</v>
      </c>
      <c r="D342" s="10">
        <v>2.0</v>
      </c>
      <c r="E342" s="10">
        <v>1.0</v>
      </c>
      <c r="F342" s="10">
        <v>0.0</v>
      </c>
      <c r="G342" s="10">
        <v>0.0</v>
      </c>
      <c r="H342" s="10">
        <v>1.0</v>
      </c>
      <c r="I342" s="10">
        <v>0.0</v>
      </c>
    </row>
    <row r="343" ht="15.75" customHeight="1">
      <c r="A343" s="7" t="s">
        <v>1159</v>
      </c>
      <c r="B343" s="10" t="s">
        <v>17</v>
      </c>
      <c r="C343" s="10" t="s">
        <v>1160</v>
      </c>
      <c r="D343" s="10">
        <v>2.0</v>
      </c>
      <c r="E343" s="10">
        <v>-10.0</v>
      </c>
      <c r="F343" s="10">
        <v>0.0</v>
      </c>
      <c r="G343" s="10">
        <v>0.0</v>
      </c>
      <c r="H343" s="10">
        <v>0.5</v>
      </c>
      <c r="I343" s="10">
        <v>-0.25</v>
      </c>
    </row>
    <row r="344" ht="15.75" customHeight="1">
      <c r="A344" s="7" t="s">
        <v>1162</v>
      </c>
      <c r="B344" s="10" t="s">
        <v>17</v>
      </c>
      <c r="D344" s="10">
        <v>2.0</v>
      </c>
      <c r="F344" s="10">
        <v>0.0</v>
      </c>
      <c r="G344" s="10">
        <v>0.0</v>
      </c>
      <c r="H344" s="10">
        <v>1.0</v>
      </c>
    </row>
    <row r="345" ht="15.75" customHeight="1">
      <c r="A345" s="7" t="s">
        <v>1165</v>
      </c>
      <c r="B345" s="10" t="s">
        <v>17</v>
      </c>
      <c r="D345" s="10">
        <v>2.0</v>
      </c>
      <c r="F345" s="10">
        <v>0.0</v>
      </c>
      <c r="G345" s="10">
        <v>0.0</v>
      </c>
      <c r="H345" s="10">
        <v>0.0</v>
      </c>
    </row>
    <row r="346" ht="15.75" customHeight="1">
      <c r="A346" s="7" t="s">
        <v>1167</v>
      </c>
      <c r="B346" s="10" t="s">
        <v>44</v>
      </c>
      <c r="D346" s="10">
        <v>2.0</v>
      </c>
      <c r="F346" s="10">
        <v>0.0</v>
      </c>
      <c r="G346" s="10">
        <v>0.0</v>
      </c>
      <c r="H346" s="10">
        <v>1.0</v>
      </c>
    </row>
    <row r="347" ht="15.75" customHeight="1">
      <c r="A347" s="7" t="s">
        <v>1169</v>
      </c>
      <c r="B347" s="10" t="s">
        <v>44</v>
      </c>
      <c r="C347" s="10" t="s">
        <v>1171</v>
      </c>
      <c r="D347" s="10">
        <v>2.0</v>
      </c>
      <c r="E347" s="10">
        <v>-4.0</v>
      </c>
      <c r="F347" s="10">
        <v>0.0</v>
      </c>
      <c r="G347" s="10">
        <v>0.0</v>
      </c>
      <c r="H347" s="10">
        <v>0.0</v>
      </c>
      <c r="I347" s="10">
        <v>-0.67</v>
      </c>
    </row>
    <row r="348" ht="15.75" customHeight="1">
      <c r="A348" s="7" t="s">
        <v>1173</v>
      </c>
      <c r="B348" s="10" t="s">
        <v>75</v>
      </c>
      <c r="C348" s="10" t="s">
        <v>384</v>
      </c>
      <c r="D348" s="10">
        <v>2.0</v>
      </c>
      <c r="F348" s="10">
        <v>0.0</v>
      </c>
      <c r="G348" s="10">
        <v>0.0</v>
      </c>
      <c r="H348" s="10">
        <v>2.5</v>
      </c>
    </row>
    <row r="349" ht="15.75" customHeight="1">
      <c r="A349" s="7" t="s">
        <v>1175</v>
      </c>
      <c r="B349" s="10" t="s">
        <v>91</v>
      </c>
      <c r="C349" s="10" t="s">
        <v>1177</v>
      </c>
      <c r="D349" s="10">
        <v>2.0</v>
      </c>
      <c r="F349" s="10">
        <v>0.0</v>
      </c>
      <c r="G349" s="10">
        <v>0.0</v>
      </c>
      <c r="H349" s="10">
        <v>3.0</v>
      </c>
    </row>
    <row r="350" ht="15.75" customHeight="1">
      <c r="A350" s="7" t="s">
        <v>1179</v>
      </c>
      <c r="B350" s="10" t="s">
        <v>56</v>
      </c>
      <c r="C350" s="10" t="s">
        <v>1181</v>
      </c>
      <c r="D350" s="10">
        <v>2.0</v>
      </c>
      <c r="E350" s="10">
        <v>-1.0</v>
      </c>
      <c r="F350" s="10">
        <v>0.0</v>
      </c>
      <c r="G350" s="10">
        <v>0.0</v>
      </c>
      <c r="H350" s="10">
        <v>0.0</v>
      </c>
      <c r="I350" s="10">
        <v>0.0</v>
      </c>
    </row>
    <row r="351" ht="15.75" customHeight="1">
      <c r="A351" s="7" t="s">
        <v>1182</v>
      </c>
      <c r="B351" s="10" t="s">
        <v>56</v>
      </c>
      <c r="C351" s="10" t="s">
        <v>1184</v>
      </c>
      <c r="D351" s="10">
        <v>2.0</v>
      </c>
      <c r="F351" s="10">
        <v>0.0</v>
      </c>
      <c r="G351" s="10">
        <v>0.0</v>
      </c>
      <c r="H351" s="10">
        <v>0.0</v>
      </c>
    </row>
    <row r="352" ht="15.75" customHeight="1">
      <c r="A352" s="7" t="s">
        <v>1185</v>
      </c>
      <c r="B352" s="10" t="s">
        <v>17</v>
      </c>
      <c r="C352" s="10" t="s">
        <v>561</v>
      </c>
      <c r="D352" s="10">
        <v>2.0</v>
      </c>
      <c r="F352" s="10">
        <v>0.0</v>
      </c>
      <c r="G352" s="10">
        <v>0.0</v>
      </c>
      <c r="H352" s="10">
        <v>0.0</v>
      </c>
    </row>
    <row r="353" ht="15.75" customHeight="1">
      <c r="A353" s="7" t="s">
        <v>1188</v>
      </c>
      <c r="B353" s="10" t="s">
        <v>75</v>
      </c>
      <c r="C353" s="10" t="s">
        <v>1190</v>
      </c>
      <c r="D353" s="10">
        <v>2.0</v>
      </c>
      <c r="F353" s="10">
        <v>0.0</v>
      </c>
      <c r="G353" s="10">
        <v>0.0</v>
      </c>
      <c r="H353" s="10">
        <v>0.0</v>
      </c>
    </row>
    <row r="354" ht="15.75" customHeight="1">
      <c r="A354" s="7" t="s">
        <v>1191</v>
      </c>
      <c r="B354" s="10" t="s">
        <v>17</v>
      </c>
      <c r="D354" s="10">
        <v>2.0</v>
      </c>
      <c r="E354" s="10">
        <v>1.0</v>
      </c>
      <c r="F354" s="10">
        <v>0.0</v>
      </c>
      <c r="G354" s="10">
        <v>0.0</v>
      </c>
      <c r="H354" s="10">
        <v>1.0</v>
      </c>
      <c r="I354" s="10">
        <v>1.0</v>
      </c>
    </row>
    <row r="355" ht="15.75" customHeight="1">
      <c r="A355" s="10" t="s">
        <v>1193</v>
      </c>
      <c r="B355" s="10" t="s">
        <v>91</v>
      </c>
      <c r="C355" s="10" t="s">
        <v>1194</v>
      </c>
      <c r="D355" s="10">
        <v>2.0</v>
      </c>
      <c r="E355" s="10">
        <v>-6.0</v>
      </c>
      <c r="F355" s="10">
        <v>0.0</v>
      </c>
      <c r="G355" s="10">
        <v>0.0</v>
      </c>
      <c r="H355" s="10">
        <v>0.0</v>
      </c>
      <c r="I355" s="10">
        <v>0.0</v>
      </c>
    </row>
    <row r="356" ht="15.75" customHeight="1">
      <c r="A356" s="7" t="s">
        <v>1195</v>
      </c>
      <c r="B356" s="10" t="s">
        <v>17</v>
      </c>
      <c r="D356" s="10">
        <v>2.0</v>
      </c>
      <c r="F356" s="10">
        <v>0.0</v>
      </c>
      <c r="G356" s="10">
        <v>0.0</v>
      </c>
      <c r="H356" s="10">
        <v>0.5</v>
      </c>
    </row>
    <row r="357" ht="15.75" customHeight="1">
      <c r="A357" s="10" t="s">
        <v>1196</v>
      </c>
      <c r="B357" s="10" t="s">
        <v>17</v>
      </c>
      <c r="C357" s="10" t="s">
        <v>1198</v>
      </c>
      <c r="D357" s="10">
        <v>2.0</v>
      </c>
      <c r="E357" s="10">
        <v>-10.0</v>
      </c>
      <c r="F357" s="10">
        <v>0.0</v>
      </c>
      <c r="G357" s="10">
        <v>0.0</v>
      </c>
      <c r="H357" s="10">
        <v>0.5</v>
      </c>
      <c r="I357" s="10">
        <v>-0.33</v>
      </c>
    </row>
    <row r="358" ht="15.75" customHeight="1">
      <c r="A358" s="7" t="s">
        <v>1200</v>
      </c>
      <c r="B358" s="10" t="s">
        <v>17</v>
      </c>
      <c r="D358" s="10">
        <v>2.0</v>
      </c>
      <c r="F358" s="10">
        <v>0.0</v>
      </c>
      <c r="G358" s="10">
        <v>0.0</v>
      </c>
      <c r="H358" s="10">
        <v>1.0</v>
      </c>
    </row>
    <row r="359" ht="15.75" customHeight="1">
      <c r="A359" s="7" t="s">
        <v>1201</v>
      </c>
      <c r="B359" s="10" t="s">
        <v>17</v>
      </c>
      <c r="C359" s="10" t="s">
        <v>1203</v>
      </c>
      <c r="D359" s="10">
        <v>2.0</v>
      </c>
      <c r="E359" s="10">
        <v>1.0</v>
      </c>
      <c r="F359" s="10">
        <v>0.0</v>
      </c>
      <c r="G359" s="10">
        <v>0.0</v>
      </c>
      <c r="H359" s="10">
        <v>0.5</v>
      </c>
      <c r="I359" s="10">
        <v>0.5</v>
      </c>
    </row>
    <row r="360" ht="15.75" customHeight="1">
      <c r="A360" s="7" t="s">
        <v>1205</v>
      </c>
      <c r="B360" s="10" t="s">
        <v>17</v>
      </c>
      <c r="D360" s="10">
        <v>2.0</v>
      </c>
      <c r="F360" s="10">
        <v>0.0</v>
      </c>
      <c r="G360" s="10">
        <v>0.0</v>
      </c>
      <c r="H360" s="10">
        <v>0.0</v>
      </c>
    </row>
    <row r="361" ht="15.75" customHeight="1">
      <c r="A361" s="7" t="s">
        <v>1207</v>
      </c>
      <c r="B361" s="10" t="s">
        <v>17</v>
      </c>
      <c r="D361" s="10">
        <v>2.0</v>
      </c>
      <c r="F361" s="10">
        <v>0.0</v>
      </c>
      <c r="G361" s="10">
        <v>0.0</v>
      </c>
      <c r="H361" s="10">
        <v>1.0</v>
      </c>
    </row>
    <row r="362" ht="15.75" customHeight="1">
      <c r="A362" s="7" t="s">
        <v>1209</v>
      </c>
      <c r="B362" s="10" t="s">
        <v>17</v>
      </c>
      <c r="D362" s="10">
        <v>2.0</v>
      </c>
      <c r="F362" s="10">
        <v>0.0</v>
      </c>
      <c r="G362" s="10">
        <v>0.0</v>
      </c>
      <c r="H362" s="10">
        <v>0.0</v>
      </c>
    </row>
    <row r="363" ht="15.75" customHeight="1">
      <c r="A363" s="10" t="s">
        <v>1212</v>
      </c>
      <c r="B363" s="10" t="s">
        <v>17</v>
      </c>
      <c r="C363" s="10" t="s">
        <v>561</v>
      </c>
      <c r="D363" s="10">
        <v>2.0</v>
      </c>
      <c r="F363" s="10">
        <v>0.0</v>
      </c>
      <c r="G363" s="10">
        <v>0.0</v>
      </c>
      <c r="H363" s="10">
        <v>1.0</v>
      </c>
    </row>
    <row r="364" ht="15.75" customHeight="1">
      <c r="A364" s="7" t="s">
        <v>1213</v>
      </c>
      <c r="B364" s="10" t="s">
        <v>17</v>
      </c>
      <c r="C364" s="10" t="s">
        <v>1216</v>
      </c>
      <c r="D364" s="10">
        <v>2.0</v>
      </c>
      <c r="E364" s="10">
        <v>-30.0</v>
      </c>
      <c r="F364" s="10">
        <v>0.0</v>
      </c>
      <c r="G364" s="10">
        <v>0.0</v>
      </c>
      <c r="H364" s="10">
        <v>1.5</v>
      </c>
      <c r="I364" s="10">
        <v>0.69</v>
      </c>
    </row>
    <row r="365" ht="15.75" customHeight="1">
      <c r="A365" s="7" t="s">
        <v>1217</v>
      </c>
      <c r="B365" s="10" t="s">
        <v>17</v>
      </c>
      <c r="C365" s="10" t="s">
        <v>1220</v>
      </c>
      <c r="D365" s="10">
        <v>2.0</v>
      </c>
      <c r="E365" s="10">
        <v>0.0</v>
      </c>
      <c r="F365" s="10">
        <v>0.0</v>
      </c>
      <c r="G365" s="10">
        <v>0.0</v>
      </c>
      <c r="H365" s="10">
        <v>0.5</v>
      </c>
      <c r="I365" s="10">
        <v>-0.5</v>
      </c>
    </row>
    <row r="366" ht="15.75" customHeight="1">
      <c r="A366" s="10" t="s">
        <v>1222</v>
      </c>
      <c r="B366" s="10" t="s">
        <v>17</v>
      </c>
      <c r="D366" s="10">
        <v>2.0</v>
      </c>
      <c r="E366" s="10">
        <v>1.0</v>
      </c>
      <c r="F366" s="10">
        <v>0.0</v>
      </c>
      <c r="G366" s="10">
        <v>0.0</v>
      </c>
      <c r="H366" s="10">
        <v>0.5</v>
      </c>
      <c r="I366" s="10">
        <v>-0.5</v>
      </c>
    </row>
    <row r="367" ht="15.75" customHeight="1">
      <c r="A367" s="7" t="s">
        <v>1224</v>
      </c>
      <c r="B367" s="10" t="s">
        <v>17</v>
      </c>
      <c r="D367" s="10">
        <v>2.0</v>
      </c>
      <c r="E367" s="10">
        <v>-1.0</v>
      </c>
      <c r="F367" s="10">
        <v>0.0</v>
      </c>
      <c r="G367" s="10">
        <v>0.0</v>
      </c>
      <c r="H367" s="10">
        <v>0.0</v>
      </c>
      <c r="I367" s="10">
        <v>0.0</v>
      </c>
    </row>
    <row r="368" ht="15.75" customHeight="1">
      <c r="A368" s="10" t="s">
        <v>1228</v>
      </c>
      <c r="B368" s="10" t="s">
        <v>17</v>
      </c>
      <c r="C368" s="10" t="s">
        <v>1229</v>
      </c>
      <c r="D368" s="10">
        <v>2.0</v>
      </c>
      <c r="F368" s="10">
        <v>0.0</v>
      </c>
      <c r="G368" s="10">
        <v>0.0</v>
      </c>
      <c r="H368" s="10">
        <v>0.0</v>
      </c>
    </row>
    <row r="369" ht="15.75" customHeight="1">
      <c r="A369" s="10" t="s">
        <v>1230</v>
      </c>
      <c r="B369" s="10" t="s">
        <v>17</v>
      </c>
      <c r="C369" s="10" t="s">
        <v>1231</v>
      </c>
      <c r="D369" s="10">
        <v>2.0</v>
      </c>
      <c r="F369" s="10">
        <v>0.0</v>
      </c>
      <c r="G369" s="10">
        <v>0.0</v>
      </c>
      <c r="H369" s="10">
        <v>1.0</v>
      </c>
    </row>
    <row r="370" ht="15.75" customHeight="1">
      <c r="A370" s="7" t="s">
        <v>1233</v>
      </c>
      <c r="B370" s="10" t="s">
        <v>279</v>
      </c>
      <c r="C370" s="10" t="s">
        <v>1236</v>
      </c>
      <c r="D370" s="10">
        <v>2.0</v>
      </c>
      <c r="F370" s="10">
        <v>0.0</v>
      </c>
      <c r="G370" s="10">
        <v>0.0</v>
      </c>
      <c r="H370" s="10">
        <v>1.0</v>
      </c>
    </row>
    <row r="371" ht="15.75" customHeight="1">
      <c r="A371" s="7" t="s">
        <v>1237</v>
      </c>
      <c r="B371" s="10" t="s">
        <v>17</v>
      </c>
      <c r="C371" s="10" t="s">
        <v>1240</v>
      </c>
      <c r="D371" s="10">
        <v>2.0</v>
      </c>
      <c r="F371" s="10">
        <v>0.0</v>
      </c>
      <c r="G371" s="10">
        <v>0.0</v>
      </c>
      <c r="H371" s="10">
        <v>1.0</v>
      </c>
    </row>
    <row r="372" ht="15.75" customHeight="1">
      <c r="A372" s="7" t="s">
        <v>1241</v>
      </c>
      <c r="B372" s="10" t="s">
        <v>17</v>
      </c>
      <c r="C372" s="10" t="s">
        <v>998</v>
      </c>
      <c r="D372" s="10">
        <v>2.0</v>
      </c>
      <c r="F372" s="10">
        <v>0.0</v>
      </c>
      <c r="G372" s="10">
        <v>0.0</v>
      </c>
      <c r="H372" s="10">
        <v>0.0</v>
      </c>
    </row>
    <row r="373" ht="15.75" customHeight="1">
      <c r="A373" s="7" t="s">
        <v>1247</v>
      </c>
      <c r="B373" s="10" t="s">
        <v>17</v>
      </c>
      <c r="C373" s="10" t="s">
        <v>786</v>
      </c>
      <c r="D373" s="10">
        <v>2.0</v>
      </c>
      <c r="E373" s="10">
        <v>0.0</v>
      </c>
      <c r="F373" s="10">
        <v>0.0</v>
      </c>
      <c r="G373" s="10">
        <v>0.0</v>
      </c>
      <c r="H373" s="10">
        <v>0.0</v>
      </c>
      <c r="I373" s="10">
        <v>0.0</v>
      </c>
    </row>
    <row r="374" ht="15.75" customHeight="1">
      <c r="A374" s="7" t="s">
        <v>1249</v>
      </c>
      <c r="B374" s="10" t="s">
        <v>56</v>
      </c>
      <c r="C374" s="10" t="s">
        <v>1252</v>
      </c>
      <c r="D374" s="10">
        <v>2.0</v>
      </c>
      <c r="F374" s="10">
        <v>0.0</v>
      </c>
      <c r="G374" s="10">
        <v>0.0</v>
      </c>
      <c r="H374" s="10">
        <v>0.0</v>
      </c>
    </row>
    <row r="375" ht="15.75" customHeight="1">
      <c r="A375" s="7" t="s">
        <v>1253</v>
      </c>
      <c r="B375" s="10" t="s">
        <v>17</v>
      </c>
      <c r="D375" s="10">
        <v>2.0</v>
      </c>
      <c r="F375" s="10">
        <v>0.0</v>
      </c>
      <c r="G375" s="10">
        <v>0.0</v>
      </c>
      <c r="H375" s="10">
        <v>0.0</v>
      </c>
    </row>
    <row r="376" ht="15.75" customHeight="1">
      <c r="A376" s="7" t="s">
        <v>1256</v>
      </c>
      <c r="B376" s="10" t="s">
        <v>17</v>
      </c>
      <c r="C376" s="10" t="s">
        <v>1258</v>
      </c>
      <c r="D376" s="10">
        <v>2.0</v>
      </c>
      <c r="E376" s="10">
        <v>-8.0</v>
      </c>
      <c r="F376" s="10">
        <v>0.0</v>
      </c>
      <c r="G376" s="10">
        <v>0.0</v>
      </c>
      <c r="H376" s="10">
        <v>1.0</v>
      </c>
      <c r="I376" s="10">
        <v>0.2</v>
      </c>
    </row>
    <row r="377" ht="15.75" customHeight="1">
      <c r="A377" s="7" t="s">
        <v>1260</v>
      </c>
      <c r="B377" s="10" t="s">
        <v>17</v>
      </c>
      <c r="D377" s="10">
        <v>2.0</v>
      </c>
      <c r="F377" s="10">
        <v>0.0</v>
      </c>
      <c r="G377" s="10">
        <v>0.0</v>
      </c>
      <c r="H377" s="10">
        <v>0.0</v>
      </c>
    </row>
    <row r="378" ht="15.75" customHeight="1">
      <c r="A378" s="7" t="s">
        <v>1264</v>
      </c>
      <c r="B378" s="10" t="s">
        <v>17</v>
      </c>
      <c r="C378" s="10" t="s">
        <v>1267</v>
      </c>
      <c r="D378" s="10">
        <v>2.0</v>
      </c>
      <c r="F378" s="10">
        <v>0.0</v>
      </c>
      <c r="G378" s="10">
        <v>0.0</v>
      </c>
      <c r="H378" s="10">
        <v>1.0</v>
      </c>
    </row>
    <row r="379" ht="15.75" customHeight="1">
      <c r="A379" s="7" t="s">
        <v>1269</v>
      </c>
      <c r="B379" s="10" t="s">
        <v>17</v>
      </c>
      <c r="C379" s="10" t="s">
        <v>1271</v>
      </c>
      <c r="D379" s="10">
        <v>2.0</v>
      </c>
      <c r="E379" s="10">
        <v>-9.0</v>
      </c>
      <c r="F379" s="10">
        <v>0.0</v>
      </c>
      <c r="G379" s="10">
        <v>0.0</v>
      </c>
      <c r="H379" s="10">
        <v>2.0</v>
      </c>
      <c r="I379" s="10">
        <v>-0.18</v>
      </c>
    </row>
    <row r="380" ht="15.75" customHeight="1">
      <c r="A380" s="7" t="s">
        <v>1272</v>
      </c>
      <c r="B380" s="10" t="s">
        <v>17</v>
      </c>
      <c r="D380" s="10">
        <v>2.0</v>
      </c>
      <c r="F380" s="10">
        <v>0.0</v>
      </c>
      <c r="G380" s="10">
        <v>0.0</v>
      </c>
      <c r="H380" s="10">
        <v>1.5</v>
      </c>
    </row>
    <row r="381" ht="15.75" customHeight="1">
      <c r="A381" s="7" t="s">
        <v>1276</v>
      </c>
      <c r="B381" s="10" t="s">
        <v>17</v>
      </c>
      <c r="D381" s="10">
        <v>2.0</v>
      </c>
      <c r="F381" s="10">
        <v>0.0</v>
      </c>
      <c r="G381" s="10">
        <v>0.0</v>
      </c>
      <c r="H381" s="10">
        <v>0.0</v>
      </c>
    </row>
    <row r="382" ht="15.75" customHeight="1">
      <c r="A382" s="7" t="s">
        <v>1278</v>
      </c>
      <c r="B382" s="10" t="s">
        <v>17</v>
      </c>
      <c r="C382" s="10" t="s">
        <v>384</v>
      </c>
      <c r="D382" s="10">
        <v>2.0</v>
      </c>
      <c r="E382" s="10">
        <v>-12.0</v>
      </c>
      <c r="F382" s="10">
        <v>0.0</v>
      </c>
      <c r="G382" s="10">
        <v>0.0</v>
      </c>
      <c r="H382" s="10">
        <v>0.5</v>
      </c>
      <c r="I382" s="10">
        <v>0.0</v>
      </c>
    </row>
    <row r="383" ht="15.75" customHeight="1">
      <c r="A383" s="7" t="s">
        <v>1282</v>
      </c>
      <c r="B383" s="10" t="s">
        <v>17</v>
      </c>
      <c r="C383" s="10" t="s">
        <v>157</v>
      </c>
      <c r="D383" s="10">
        <v>2.0</v>
      </c>
      <c r="F383" s="10">
        <v>0.0</v>
      </c>
      <c r="G383" s="10">
        <v>0.0</v>
      </c>
      <c r="H383" s="10">
        <v>1.0</v>
      </c>
    </row>
    <row r="384" ht="15.75" customHeight="1">
      <c r="A384" s="7" t="s">
        <v>1284</v>
      </c>
      <c r="B384" s="10" t="s">
        <v>17</v>
      </c>
      <c r="C384" s="10" t="s">
        <v>1287</v>
      </c>
      <c r="D384" s="10">
        <v>2.0</v>
      </c>
      <c r="F384" s="10">
        <v>0.0</v>
      </c>
      <c r="G384" s="10">
        <v>0.0</v>
      </c>
      <c r="H384" s="10">
        <v>0.0</v>
      </c>
    </row>
    <row r="385" ht="15.75" customHeight="1">
      <c r="A385" s="7" t="s">
        <v>1290</v>
      </c>
      <c r="B385" s="10" t="s">
        <v>17</v>
      </c>
      <c r="C385" s="10" t="s">
        <v>1292</v>
      </c>
      <c r="D385" s="10">
        <v>2.0</v>
      </c>
      <c r="E385" s="10">
        <v>0.0</v>
      </c>
      <c r="F385" s="10">
        <v>0.0</v>
      </c>
      <c r="G385" s="10">
        <v>0.0</v>
      </c>
      <c r="H385" s="10">
        <v>1.0</v>
      </c>
      <c r="I385" s="10">
        <v>1.0</v>
      </c>
    </row>
    <row r="386" ht="15.75" customHeight="1">
      <c r="A386" s="7" t="s">
        <v>1294</v>
      </c>
      <c r="B386" s="10" t="s">
        <v>17</v>
      </c>
      <c r="C386" s="10" t="s">
        <v>1298</v>
      </c>
      <c r="D386" s="10">
        <v>2.0</v>
      </c>
      <c r="F386" s="10">
        <v>0.0</v>
      </c>
      <c r="G386" s="10">
        <v>0.0</v>
      </c>
      <c r="H386" s="10">
        <v>1.0</v>
      </c>
    </row>
    <row r="387" ht="15.75" customHeight="1">
      <c r="A387" s="7" t="s">
        <v>1299</v>
      </c>
      <c r="B387" s="10" t="s">
        <v>17</v>
      </c>
      <c r="C387" s="10" t="s">
        <v>1301</v>
      </c>
      <c r="D387" s="10">
        <v>2.0</v>
      </c>
      <c r="E387" s="10">
        <v>-2.0</v>
      </c>
      <c r="F387" s="10">
        <v>0.0</v>
      </c>
      <c r="G387" s="10">
        <v>0.0</v>
      </c>
      <c r="H387" s="10">
        <v>0.5</v>
      </c>
      <c r="I387" s="10">
        <v>-0.5</v>
      </c>
    </row>
    <row r="388" ht="15.75" customHeight="1">
      <c r="A388" s="7" t="s">
        <v>1302</v>
      </c>
      <c r="B388" s="10" t="s">
        <v>75</v>
      </c>
      <c r="C388" s="10" t="s">
        <v>1306</v>
      </c>
      <c r="D388" s="10">
        <v>2.0</v>
      </c>
      <c r="E388" s="10">
        <v>-12.0</v>
      </c>
      <c r="F388" s="10">
        <v>0.0</v>
      </c>
      <c r="G388" s="10">
        <v>0.0</v>
      </c>
      <c r="H388" s="10">
        <v>0.5</v>
      </c>
      <c r="I388" s="10">
        <v>-0.07</v>
      </c>
    </row>
    <row r="389" ht="15.75" customHeight="1">
      <c r="A389" s="7" t="s">
        <v>1308</v>
      </c>
      <c r="B389" s="10" t="s">
        <v>17</v>
      </c>
      <c r="C389" s="10" t="s">
        <v>384</v>
      </c>
      <c r="D389" s="10">
        <v>2.0</v>
      </c>
      <c r="E389" s="10">
        <v>-5.0</v>
      </c>
      <c r="F389" s="10">
        <v>0.0</v>
      </c>
      <c r="G389" s="10">
        <v>0.0</v>
      </c>
      <c r="H389" s="10">
        <v>0.5</v>
      </c>
      <c r="I389" s="10">
        <v>0.5</v>
      </c>
    </row>
    <row r="390" ht="15.75" customHeight="1">
      <c r="A390" s="7" t="s">
        <v>1311</v>
      </c>
      <c r="B390" s="10" t="s">
        <v>17</v>
      </c>
      <c r="D390" s="10">
        <v>2.0</v>
      </c>
      <c r="F390" s="10">
        <v>0.0</v>
      </c>
      <c r="G390" s="10">
        <v>0.0</v>
      </c>
      <c r="H390" s="10">
        <v>1.0</v>
      </c>
    </row>
    <row r="391" ht="15.75" customHeight="1">
      <c r="A391" s="7" t="s">
        <v>1314</v>
      </c>
      <c r="B391" s="10" t="s">
        <v>17</v>
      </c>
      <c r="C391" s="10" t="s">
        <v>623</v>
      </c>
      <c r="D391" s="10">
        <v>2.0</v>
      </c>
      <c r="E391" s="10">
        <v>1.0</v>
      </c>
      <c r="F391" s="10">
        <v>0.0</v>
      </c>
      <c r="G391" s="10">
        <v>0.0</v>
      </c>
      <c r="H391" s="10">
        <v>0.0</v>
      </c>
      <c r="I391" s="10">
        <v>-1.0</v>
      </c>
    </row>
    <row r="392" ht="15.75" customHeight="1">
      <c r="A392" s="7" t="s">
        <v>1316</v>
      </c>
      <c r="B392" s="10" t="s">
        <v>17</v>
      </c>
      <c r="C392" s="10" t="s">
        <v>1318</v>
      </c>
      <c r="D392" s="10">
        <v>2.0</v>
      </c>
      <c r="E392" s="10">
        <v>-9.0</v>
      </c>
      <c r="F392" s="10">
        <v>0.0</v>
      </c>
      <c r="G392" s="10">
        <v>0.0</v>
      </c>
      <c r="H392" s="10">
        <v>1.5</v>
      </c>
      <c r="I392" s="10">
        <v>-0.05</v>
      </c>
    </row>
    <row r="393" ht="15.75" customHeight="1">
      <c r="A393" s="7" t="s">
        <v>1320</v>
      </c>
      <c r="B393" s="10" t="s">
        <v>17</v>
      </c>
      <c r="C393" s="10" t="s">
        <v>1323</v>
      </c>
      <c r="D393" s="10">
        <v>2.0</v>
      </c>
      <c r="E393" s="10">
        <v>-9.0</v>
      </c>
      <c r="F393" s="10">
        <v>0.0</v>
      </c>
      <c r="G393" s="10">
        <v>0.0</v>
      </c>
      <c r="H393" s="10">
        <v>2.0</v>
      </c>
      <c r="I393" s="10">
        <v>-0.18</v>
      </c>
    </row>
    <row r="394" ht="15.75" customHeight="1">
      <c r="A394" s="7" t="s">
        <v>1324</v>
      </c>
      <c r="B394" s="10" t="s">
        <v>91</v>
      </c>
      <c r="D394" s="10">
        <v>2.0</v>
      </c>
      <c r="F394" s="10">
        <v>0.0</v>
      </c>
      <c r="G394" s="10">
        <v>0.0</v>
      </c>
      <c r="H394" s="10">
        <v>1.5</v>
      </c>
    </row>
    <row r="395" ht="15.75" customHeight="1">
      <c r="A395" s="7" t="s">
        <v>1327</v>
      </c>
      <c r="B395" s="10" t="s">
        <v>17</v>
      </c>
      <c r="C395" s="10" t="s">
        <v>157</v>
      </c>
      <c r="D395" s="10">
        <v>2.0</v>
      </c>
      <c r="E395" s="10">
        <v>-1.0</v>
      </c>
      <c r="F395" s="10">
        <v>0.0</v>
      </c>
      <c r="G395" s="10">
        <v>0.0</v>
      </c>
      <c r="H395" s="10">
        <v>0.0</v>
      </c>
      <c r="I395" s="10">
        <v>-2.0</v>
      </c>
    </row>
    <row r="396" ht="15.75" customHeight="1">
      <c r="A396" s="7" t="s">
        <v>1329</v>
      </c>
      <c r="B396" s="10" t="s">
        <v>56</v>
      </c>
      <c r="C396" s="10" t="s">
        <v>1331</v>
      </c>
      <c r="D396" s="10">
        <v>2.0</v>
      </c>
      <c r="E396" s="10">
        <v>-8.0</v>
      </c>
      <c r="F396" s="10">
        <v>0.0</v>
      </c>
      <c r="G396" s="10">
        <v>0.0</v>
      </c>
      <c r="H396" s="10">
        <v>0.0</v>
      </c>
      <c r="I396" s="10">
        <v>-0.7</v>
      </c>
    </row>
    <row r="397" ht="15.75" customHeight="1">
      <c r="A397" s="7" t="s">
        <v>1333</v>
      </c>
      <c r="B397" s="10" t="s">
        <v>17</v>
      </c>
      <c r="C397" s="10" t="s">
        <v>119</v>
      </c>
      <c r="D397" s="10">
        <v>2.0</v>
      </c>
      <c r="F397" s="10">
        <v>0.0</v>
      </c>
      <c r="G397" s="10">
        <v>0.0</v>
      </c>
      <c r="H397" s="10">
        <v>1.5</v>
      </c>
    </row>
    <row r="398" ht="15.75" customHeight="1">
      <c r="A398" s="7" t="s">
        <v>1336</v>
      </c>
      <c r="B398" s="10" t="s">
        <v>75</v>
      </c>
      <c r="C398" s="10" t="s">
        <v>1338</v>
      </c>
      <c r="D398" s="10">
        <v>2.0</v>
      </c>
      <c r="E398" s="10">
        <v>-2.0</v>
      </c>
      <c r="F398" s="10">
        <v>0.0</v>
      </c>
      <c r="G398" s="10">
        <v>0.0</v>
      </c>
      <c r="H398" s="10">
        <v>2.0</v>
      </c>
      <c r="I398" s="10">
        <v>0.0</v>
      </c>
    </row>
    <row r="399" ht="15.75" customHeight="1">
      <c r="A399" s="7" t="s">
        <v>1339</v>
      </c>
      <c r="B399" s="10" t="s">
        <v>17</v>
      </c>
      <c r="C399" s="10" t="s">
        <v>1341</v>
      </c>
      <c r="D399" s="10">
        <v>2.0</v>
      </c>
      <c r="F399" s="10">
        <v>0.0</v>
      </c>
      <c r="G399" s="10">
        <v>0.0</v>
      </c>
      <c r="H399" s="10">
        <v>0.5</v>
      </c>
    </row>
    <row r="400" ht="15.75" customHeight="1">
      <c r="A400" s="7" t="s">
        <v>1343</v>
      </c>
      <c r="B400" s="10" t="s">
        <v>17</v>
      </c>
      <c r="C400" s="10" t="s">
        <v>1194</v>
      </c>
      <c r="D400" s="10">
        <v>2.0</v>
      </c>
      <c r="F400" s="10">
        <v>0.0</v>
      </c>
      <c r="G400" s="10">
        <v>0.0</v>
      </c>
      <c r="H400" s="10">
        <v>1.0</v>
      </c>
    </row>
    <row r="401" ht="15.75" customHeight="1">
      <c r="A401" s="7" t="s">
        <v>1345</v>
      </c>
      <c r="B401" s="10" t="s">
        <v>17</v>
      </c>
      <c r="C401" s="10" t="s">
        <v>1346</v>
      </c>
      <c r="D401" s="10">
        <v>1.0</v>
      </c>
      <c r="E401" s="10">
        <v>-4.0</v>
      </c>
      <c r="F401" s="10">
        <v>0.0</v>
      </c>
      <c r="G401" s="10">
        <v>0.0</v>
      </c>
      <c r="H401" s="10">
        <v>3.0</v>
      </c>
      <c r="I401" s="10">
        <v>0.8</v>
      </c>
    </row>
    <row r="402" ht="15.75" customHeight="1">
      <c r="A402" s="7" t="s">
        <v>1348</v>
      </c>
      <c r="B402" s="10" t="s">
        <v>17</v>
      </c>
      <c r="C402" s="10" t="s">
        <v>1349</v>
      </c>
      <c r="D402" s="10">
        <v>1.0</v>
      </c>
      <c r="F402" s="10">
        <v>0.0</v>
      </c>
      <c r="G402" s="10">
        <v>0.0</v>
      </c>
      <c r="H402" s="10">
        <v>2.0</v>
      </c>
    </row>
    <row r="403" ht="15.75" customHeight="1">
      <c r="A403" s="7" t="s">
        <v>1351</v>
      </c>
      <c r="B403" s="10" t="s">
        <v>17</v>
      </c>
      <c r="C403" s="10" t="s">
        <v>1177</v>
      </c>
      <c r="D403" s="10">
        <v>1.0</v>
      </c>
      <c r="F403" s="10">
        <v>0.0</v>
      </c>
      <c r="G403" s="10">
        <v>0.0</v>
      </c>
      <c r="H403" s="10">
        <v>3.0</v>
      </c>
    </row>
    <row r="404" ht="15.75" customHeight="1">
      <c r="A404" s="7" t="s">
        <v>1353</v>
      </c>
      <c r="B404" s="10" t="s">
        <v>17</v>
      </c>
      <c r="C404" s="10" t="s">
        <v>1355</v>
      </c>
      <c r="D404" s="10">
        <v>1.0</v>
      </c>
      <c r="F404" s="10">
        <v>0.0</v>
      </c>
      <c r="G404" s="10">
        <v>0.0</v>
      </c>
      <c r="H404" s="10">
        <v>2.0</v>
      </c>
    </row>
    <row r="405" ht="15.75" customHeight="1">
      <c r="A405" s="7" t="s">
        <v>1356</v>
      </c>
      <c r="B405" s="10" t="s">
        <v>17</v>
      </c>
      <c r="C405" s="10" t="s">
        <v>157</v>
      </c>
      <c r="D405" s="10">
        <v>1.0</v>
      </c>
      <c r="F405" s="10">
        <v>0.0</v>
      </c>
      <c r="G405" s="10">
        <v>0.0</v>
      </c>
      <c r="H405" s="10">
        <v>2.0</v>
      </c>
    </row>
    <row r="406" ht="15.75" customHeight="1">
      <c r="A406" s="10" t="s">
        <v>1358</v>
      </c>
      <c r="B406" s="10" t="s">
        <v>17</v>
      </c>
      <c r="D406" s="10">
        <v>1.0</v>
      </c>
      <c r="F406" s="10">
        <v>0.0</v>
      </c>
      <c r="G406" s="10">
        <v>0.0</v>
      </c>
      <c r="H406" s="10">
        <v>2.0</v>
      </c>
    </row>
    <row r="407" ht="15.75" customHeight="1">
      <c r="A407" s="7" t="s">
        <v>1359</v>
      </c>
      <c r="B407" s="10" t="s">
        <v>17</v>
      </c>
      <c r="C407" s="10" t="s">
        <v>1361</v>
      </c>
      <c r="D407" s="10">
        <v>1.0</v>
      </c>
      <c r="E407" s="10">
        <v>0.0</v>
      </c>
      <c r="F407" s="10">
        <v>0.0</v>
      </c>
      <c r="G407" s="10">
        <v>0.0</v>
      </c>
      <c r="H407" s="10">
        <v>2.0</v>
      </c>
      <c r="I407" s="10">
        <v>0.0</v>
      </c>
    </row>
    <row r="408" ht="15.75" customHeight="1">
      <c r="A408" s="7" t="s">
        <v>1363</v>
      </c>
      <c r="B408" s="10" t="s">
        <v>17</v>
      </c>
      <c r="D408" s="10">
        <v>1.0</v>
      </c>
      <c r="F408" s="10">
        <v>0.0</v>
      </c>
      <c r="G408" s="10">
        <v>0.0</v>
      </c>
      <c r="H408" s="10">
        <v>2.0</v>
      </c>
    </row>
    <row r="409" ht="15.75" customHeight="1">
      <c r="A409" s="7" t="s">
        <v>1366</v>
      </c>
      <c r="B409" s="10" t="s">
        <v>17</v>
      </c>
      <c r="C409" s="10" t="s">
        <v>636</v>
      </c>
      <c r="D409" s="10">
        <v>1.0</v>
      </c>
      <c r="E409" s="10">
        <v>-3.0</v>
      </c>
      <c r="F409" s="10">
        <v>0.0</v>
      </c>
      <c r="G409" s="10">
        <v>0.0</v>
      </c>
      <c r="H409" s="10">
        <v>6.0</v>
      </c>
      <c r="I409" s="10">
        <v>5.0</v>
      </c>
    </row>
    <row r="410" ht="15.75" customHeight="1">
      <c r="A410" s="7" t="s">
        <v>1367</v>
      </c>
      <c r="B410" s="10" t="s">
        <v>17</v>
      </c>
      <c r="C410" s="10" t="s">
        <v>1370</v>
      </c>
      <c r="D410" s="10">
        <v>1.0</v>
      </c>
      <c r="E410" s="10">
        <v>-4.0</v>
      </c>
      <c r="F410" s="10">
        <v>0.0</v>
      </c>
      <c r="G410" s="10">
        <v>0.0</v>
      </c>
      <c r="H410" s="10">
        <v>2.0</v>
      </c>
      <c r="I410" s="10">
        <v>-0.2</v>
      </c>
    </row>
    <row r="411" ht="15.75" customHeight="1">
      <c r="A411" s="7" t="s">
        <v>1371</v>
      </c>
      <c r="B411" s="10" t="s">
        <v>37</v>
      </c>
      <c r="C411" s="10" t="s">
        <v>1374</v>
      </c>
      <c r="D411" s="10">
        <v>1.0</v>
      </c>
      <c r="F411" s="10">
        <v>0.0</v>
      </c>
      <c r="G411" s="10">
        <v>0.0</v>
      </c>
      <c r="H411" s="10">
        <v>0.0</v>
      </c>
    </row>
    <row r="412" ht="15.75" customHeight="1">
      <c r="A412" s="7" t="s">
        <v>1375</v>
      </c>
      <c r="B412" s="10" t="s">
        <v>17</v>
      </c>
      <c r="D412" s="10">
        <v>1.0</v>
      </c>
      <c r="E412" s="10">
        <v>0.0</v>
      </c>
      <c r="F412" s="10">
        <v>0.0</v>
      </c>
      <c r="G412" s="10">
        <v>0.0</v>
      </c>
      <c r="H412" s="10">
        <v>0.0</v>
      </c>
      <c r="I412" s="10">
        <v>0.0</v>
      </c>
    </row>
    <row r="413" ht="15.75" customHeight="1">
      <c r="A413" s="7" t="s">
        <v>1379</v>
      </c>
      <c r="B413" s="10" t="s">
        <v>17</v>
      </c>
      <c r="C413" s="10" t="s">
        <v>384</v>
      </c>
      <c r="D413" s="10">
        <v>1.0</v>
      </c>
      <c r="F413" s="10">
        <v>0.0</v>
      </c>
      <c r="G413" s="10">
        <v>0.0</v>
      </c>
      <c r="H413" s="10">
        <v>0.0</v>
      </c>
    </row>
    <row r="414" ht="15.75" customHeight="1">
      <c r="A414" s="7" t="s">
        <v>1382</v>
      </c>
      <c r="B414" s="10" t="s">
        <v>17</v>
      </c>
      <c r="D414" s="10">
        <v>1.0</v>
      </c>
      <c r="F414" s="10">
        <v>0.0</v>
      </c>
      <c r="G414" s="10">
        <v>0.0</v>
      </c>
      <c r="H414" s="10">
        <v>0.0</v>
      </c>
    </row>
    <row r="415" ht="15.75" customHeight="1">
      <c r="A415" s="7" t="s">
        <v>1384</v>
      </c>
      <c r="B415" s="10" t="s">
        <v>17</v>
      </c>
      <c r="D415" s="10">
        <v>1.0</v>
      </c>
      <c r="F415" s="10">
        <v>0.0</v>
      </c>
      <c r="G415" s="10">
        <v>0.0</v>
      </c>
      <c r="H415" s="10">
        <v>1.0</v>
      </c>
    </row>
    <row r="416" ht="15.75" customHeight="1">
      <c r="A416" s="7" t="s">
        <v>1386</v>
      </c>
      <c r="B416" s="10" t="s">
        <v>17</v>
      </c>
      <c r="D416" s="10">
        <v>1.0</v>
      </c>
      <c r="E416" s="10">
        <v>0.0</v>
      </c>
      <c r="F416" s="10">
        <v>0.0</v>
      </c>
      <c r="G416" s="10">
        <v>0.0</v>
      </c>
      <c r="H416" s="10">
        <v>1.0</v>
      </c>
      <c r="I416" s="10">
        <v>0.0</v>
      </c>
    </row>
    <row r="417" ht="15.75" customHeight="1">
      <c r="A417" s="7" t="s">
        <v>1389</v>
      </c>
      <c r="B417" s="10" t="s">
        <v>17</v>
      </c>
      <c r="C417" s="10" t="s">
        <v>1391</v>
      </c>
      <c r="D417" s="10">
        <v>1.0</v>
      </c>
      <c r="E417" s="10">
        <v>-3.0</v>
      </c>
      <c r="F417" s="10">
        <v>0.0</v>
      </c>
      <c r="G417" s="10">
        <v>0.0</v>
      </c>
      <c r="H417" s="10">
        <v>0.0</v>
      </c>
      <c r="I417" s="10">
        <v>-3.5</v>
      </c>
    </row>
    <row r="418" ht="15.75" customHeight="1">
      <c r="A418" s="7" t="s">
        <v>1393</v>
      </c>
      <c r="B418" s="10" t="s">
        <v>17</v>
      </c>
      <c r="D418" s="10">
        <v>1.0</v>
      </c>
      <c r="F418" s="10">
        <v>0.0</v>
      </c>
      <c r="G418" s="10">
        <v>0.0</v>
      </c>
      <c r="H418" s="10">
        <v>1.0</v>
      </c>
    </row>
    <row r="419" ht="15.75" customHeight="1">
      <c r="A419" s="7" t="s">
        <v>1395</v>
      </c>
      <c r="B419" s="10" t="s">
        <v>17</v>
      </c>
      <c r="D419" s="10">
        <v>1.0</v>
      </c>
      <c r="F419" s="10">
        <v>0.0</v>
      </c>
      <c r="G419" s="10">
        <v>0.0</v>
      </c>
      <c r="H419" s="10">
        <v>1.0</v>
      </c>
    </row>
    <row r="420" ht="15.75" customHeight="1">
      <c r="A420" s="7" t="s">
        <v>1399</v>
      </c>
      <c r="B420" s="10" t="s">
        <v>44</v>
      </c>
      <c r="C420" s="10" t="s">
        <v>1402</v>
      </c>
      <c r="D420" s="10">
        <v>1.0</v>
      </c>
      <c r="F420" s="10">
        <v>0.0</v>
      </c>
      <c r="G420" s="10">
        <v>0.0</v>
      </c>
      <c r="H420" s="10">
        <v>1.0</v>
      </c>
    </row>
    <row r="421" ht="15.75" customHeight="1">
      <c r="A421" s="7" t="s">
        <v>1404</v>
      </c>
      <c r="B421" s="10" t="s">
        <v>17</v>
      </c>
      <c r="C421" s="10" t="s">
        <v>1405</v>
      </c>
      <c r="D421" s="10">
        <v>1.0</v>
      </c>
      <c r="E421" s="10">
        <v>-5.0</v>
      </c>
      <c r="F421" s="10">
        <v>0.0</v>
      </c>
      <c r="G421" s="10">
        <v>0.0</v>
      </c>
      <c r="H421" s="10">
        <v>0.0</v>
      </c>
      <c r="I421" s="10">
        <v>0.0</v>
      </c>
    </row>
    <row r="422" ht="15.75" customHeight="1">
      <c r="A422" s="7" t="s">
        <v>1407</v>
      </c>
      <c r="B422" s="10" t="s">
        <v>37</v>
      </c>
      <c r="C422" s="10" t="s">
        <v>1408</v>
      </c>
      <c r="D422" s="10">
        <v>1.0</v>
      </c>
      <c r="F422" s="10">
        <v>0.0</v>
      </c>
      <c r="G422" s="10">
        <v>0.0</v>
      </c>
      <c r="H422" s="10">
        <v>0.0</v>
      </c>
    </row>
    <row r="423" ht="15.75" customHeight="1">
      <c r="A423" s="7" t="s">
        <v>1410</v>
      </c>
      <c r="B423" s="10" t="s">
        <v>75</v>
      </c>
      <c r="C423" s="10" t="s">
        <v>1412</v>
      </c>
      <c r="D423" s="10">
        <v>1.0</v>
      </c>
      <c r="F423" s="10">
        <v>0.0</v>
      </c>
      <c r="G423" s="10">
        <v>0.0</v>
      </c>
      <c r="H423" s="10">
        <v>1.0</v>
      </c>
    </row>
    <row r="424" ht="15.75" customHeight="1">
      <c r="A424" s="7" t="s">
        <v>1414</v>
      </c>
      <c r="B424" s="10" t="s">
        <v>17</v>
      </c>
      <c r="D424" s="10">
        <v>1.0</v>
      </c>
      <c r="F424" s="10">
        <v>0.0</v>
      </c>
      <c r="G424" s="10">
        <v>0.0</v>
      </c>
      <c r="H424" s="10">
        <v>0.0</v>
      </c>
    </row>
    <row r="425" ht="15.75" customHeight="1">
      <c r="A425" s="7" t="s">
        <v>1418</v>
      </c>
      <c r="B425" s="10" t="s">
        <v>17</v>
      </c>
      <c r="C425" s="10" t="s">
        <v>1420</v>
      </c>
      <c r="D425" s="10">
        <v>1.0</v>
      </c>
      <c r="F425" s="10">
        <v>0.0</v>
      </c>
      <c r="G425" s="10">
        <v>0.0</v>
      </c>
      <c r="H425" s="10">
        <v>1.0</v>
      </c>
    </row>
    <row r="426" ht="15.75" customHeight="1">
      <c r="A426" s="7" t="s">
        <v>1422</v>
      </c>
      <c r="B426" s="10" t="s">
        <v>17</v>
      </c>
      <c r="C426" s="10" t="s">
        <v>1424</v>
      </c>
      <c r="D426" s="10">
        <v>1.0</v>
      </c>
      <c r="F426" s="10">
        <v>0.0</v>
      </c>
      <c r="G426" s="10">
        <v>0.0</v>
      </c>
      <c r="H426" s="10">
        <v>0.0</v>
      </c>
    </row>
    <row r="427" ht="15.75" customHeight="1">
      <c r="A427" s="7" t="s">
        <v>1426</v>
      </c>
      <c r="B427" s="10" t="s">
        <v>17</v>
      </c>
      <c r="D427" s="10">
        <v>1.0</v>
      </c>
      <c r="F427" s="10">
        <v>0.0</v>
      </c>
      <c r="G427" s="10">
        <v>0.0</v>
      </c>
      <c r="H427" s="10">
        <v>0.0</v>
      </c>
    </row>
    <row r="428" ht="15.75" customHeight="1">
      <c r="A428" s="7" t="s">
        <v>1428</v>
      </c>
      <c r="B428" s="10" t="s">
        <v>56</v>
      </c>
      <c r="C428" s="10" t="s">
        <v>1431</v>
      </c>
      <c r="D428" s="10">
        <v>1.0</v>
      </c>
      <c r="F428" s="10">
        <v>0.0</v>
      </c>
      <c r="G428" s="10">
        <v>0.0</v>
      </c>
      <c r="H428" s="10">
        <v>0.0</v>
      </c>
    </row>
    <row r="429" ht="15.75" customHeight="1">
      <c r="A429" s="7" t="s">
        <v>1432</v>
      </c>
      <c r="B429" s="10" t="s">
        <v>56</v>
      </c>
      <c r="C429" s="10" t="s">
        <v>1434</v>
      </c>
      <c r="D429" s="10">
        <v>1.0</v>
      </c>
      <c r="E429" s="10">
        <v>0.0</v>
      </c>
      <c r="F429" s="10">
        <v>0.0</v>
      </c>
      <c r="G429" s="10">
        <v>0.0</v>
      </c>
      <c r="H429" s="10">
        <v>0.0</v>
      </c>
      <c r="I429" s="10">
        <v>0.0</v>
      </c>
    </row>
    <row r="430" ht="15.75" customHeight="1">
      <c r="A430" s="7" t="s">
        <v>1436</v>
      </c>
      <c r="B430" s="10" t="s">
        <v>17</v>
      </c>
      <c r="C430" s="10" t="s">
        <v>1439</v>
      </c>
      <c r="D430" s="10">
        <v>1.0</v>
      </c>
      <c r="E430" s="10">
        <v>-3.0</v>
      </c>
      <c r="F430" s="10">
        <v>0.0</v>
      </c>
      <c r="G430" s="10">
        <v>0.0</v>
      </c>
      <c r="H430" s="10">
        <v>0.0</v>
      </c>
      <c r="I430" s="10">
        <v>0.0</v>
      </c>
    </row>
    <row r="431" ht="15.75" customHeight="1">
      <c r="A431" s="7" t="s">
        <v>1441</v>
      </c>
      <c r="B431" s="10" t="s">
        <v>17</v>
      </c>
      <c r="C431" s="10" t="s">
        <v>1442</v>
      </c>
      <c r="D431" s="10">
        <v>1.0</v>
      </c>
      <c r="F431" s="10">
        <v>0.0</v>
      </c>
      <c r="G431" s="10">
        <v>0.0</v>
      </c>
      <c r="H431" s="10">
        <v>0.0</v>
      </c>
    </row>
    <row r="432" ht="15.75" customHeight="1">
      <c r="A432" s="7" t="s">
        <v>1444</v>
      </c>
      <c r="B432" s="10" t="s">
        <v>17</v>
      </c>
      <c r="D432" s="10">
        <v>1.0</v>
      </c>
      <c r="F432" s="10">
        <v>0.0</v>
      </c>
      <c r="G432" s="10">
        <v>0.0</v>
      </c>
      <c r="H432" s="10">
        <v>2.0</v>
      </c>
    </row>
    <row r="433" ht="15.75" customHeight="1">
      <c r="A433" s="7" t="s">
        <v>1446</v>
      </c>
      <c r="B433" s="10" t="s">
        <v>17</v>
      </c>
      <c r="D433" s="10">
        <v>1.0</v>
      </c>
      <c r="F433" s="10">
        <v>0.0</v>
      </c>
      <c r="G433" s="10">
        <v>0.0</v>
      </c>
      <c r="H433" s="10">
        <v>0.0</v>
      </c>
    </row>
    <row r="434" ht="15.75" customHeight="1">
      <c r="A434" s="7" t="s">
        <v>1449</v>
      </c>
      <c r="B434" s="10" t="s">
        <v>37</v>
      </c>
      <c r="C434" s="10" t="s">
        <v>1450</v>
      </c>
      <c r="D434" s="10">
        <v>1.0</v>
      </c>
      <c r="F434" s="10">
        <v>0.0</v>
      </c>
      <c r="G434" s="10">
        <v>0.0</v>
      </c>
      <c r="H434" s="10">
        <v>1.0</v>
      </c>
    </row>
    <row r="435" ht="15.75" customHeight="1">
      <c r="A435" s="7" t="s">
        <v>1452</v>
      </c>
      <c r="B435" s="10" t="s">
        <v>17</v>
      </c>
      <c r="C435" s="10" t="s">
        <v>1459</v>
      </c>
      <c r="D435" s="10">
        <v>1.0</v>
      </c>
      <c r="E435" s="10">
        <v>0.0</v>
      </c>
      <c r="F435" s="10">
        <v>0.0</v>
      </c>
      <c r="G435" s="10">
        <v>0.0</v>
      </c>
      <c r="H435" s="10">
        <v>0.0</v>
      </c>
      <c r="I435" s="10">
        <v>0.0</v>
      </c>
    </row>
    <row r="436" ht="15.75" customHeight="1">
      <c r="A436" s="7" t="s">
        <v>1461</v>
      </c>
      <c r="B436" s="10" t="s">
        <v>91</v>
      </c>
      <c r="D436" s="10">
        <v>1.0</v>
      </c>
      <c r="F436" s="10">
        <v>0.0</v>
      </c>
      <c r="G436" s="10">
        <v>0.0</v>
      </c>
      <c r="H436" s="10">
        <v>1.0</v>
      </c>
    </row>
    <row r="437" ht="15.75" customHeight="1">
      <c r="A437" s="7" t="s">
        <v>1465</v>
      </c>
      <c r="B437" s="10" t="s">
        <v>17</v>
      </c>
      <c r="D437" s="10">
        <v>1.0</v>
      </c>
      <c r="E437" s="10">
        <v>-1.0</v>
      </c>
      <c r="F437" s="10">
        <v>0.0</v>
      </c>
      <c r="G437" s="10">
        <v>0.0</v>
      </c>
      <c r="H437" s="10">
        <v>1.0</v>
      </c>
      <c r="I437" s="10">
        <v>0.0</v>
      </c>
    </row>
    <row r="438" ht="15.75" customHeight="1">
      <c r="A438" s="7" t="s">
        <v>1467</v>
      </c>
      <c r="B438" s="10" t="s">
        <v>17</v>
      </c>
      <c r="D438" s="10">
        <v>1.0</v>
      </c>
      <c r="E438" s="10">
        <v>-5.0</v>
      </c>
      <c r="F438" s="10">
        <v>0.0</v>
      </c>
      <c r="G438" s="10">
        <v>0.0</v>
      </c>
      <c r="H438" s="10">
        <v>0.0</v>
      </c>
      <c r="I438" s="10">
        <v>0.0</v>
      </c>
    </row>
    <row r="439" ht="15.75" customHeight="1">
      <c r="A439" s="7" t="s">
        <v>1470</v>
      </c>
      <c r="B439" s="10" t="s">
        <v>91</v>
      </c>
      <c r="D439" s="10">
        <v>1.0</v>
      </c>
      <c r="F439" s="10">
        <v>0.0</v>
      </c>
      <c r="G439" s="10">
        <v>0.0</v>
      </c>
      <c r="H439" s="10">
        <v>0.0</v>
      </c>
    </row>
    <row r="440" ht="15.75" customHeight="1">
      <c r="A440" s="7" t="s">
        <v>1472</v>
      </c>
      <c r="B440" s="10" t="s">
        <v>37</v>
      </c>
      <c r="C440" s="10" t="s">
        <v>1045</v>
      </c>
      <c r="D440" s="10">
        <v>1.0</v>
      </c>
      <c r="F440" s="10">
        <v>0.0</v>
      </c>
      <c r="G440" s="10">
        <v>0.0</v>
      </c>
      <c r="H440" s="10">
        <v>1.0</v>
      </c>
    </row>
    <row r="441" ht="15.75" customHeight="1">
      <c r="A441" s="7" t="s">
        <v>1475</v>
      </c>
      <c r="B441" s="10" t="s">
        <v>17</v>
      </c>
      <c r="D441" s="10">
        <v>1.0</v>
      </c>
      <c r="F441" s="10">
        <v>0.0</v>
      </c>
      <c r="G441" s="10">
        <v>0.0</v>
      </c>
      <c r="H441" s="10">
        <v>1.0</v>
      </c>
    </row>
    <row r="442" ht="15.75" customHeight="1">
      <c r="A442" s="7" t="s">
        <v>1477</v>
      </c>
      <c r="B442" s="10" t="s">
        <v>17</v>
      </c>
      <c r="D442" s="10">
        <v>1.0</v>
      </c>
      <c r="F442" s="10">
        <v>0.0</v>
      </c>
      <c r="G442" s="10">
        <v>0.0</v>
      </c>
      <c r="H442" s="10">
        <v>0.0</v>
      </c>
    </row>
    <row r="443" ht="15.75" customHeight="1">
      <c r="A443" s="7" t="s">
        <v>1479</v>
      </c>
      <c r="B443" s="10" t="s">
        <v>17</v>
      </c>
      <c r="C443" s="10" t="s">
        <v>474</v>
      </c>
      <c r="D443" s="10">
        <v>1.0</v>
      </c>
      <c r="F443" s="10">
        <v>0.0</v>
      </c>
      <c r="G443" s="10">
        <v>0.0</v>
      </c>
      <c r="H443" s="10">
        <v>1.0</v>
      </c>
    </row>
    <row r="444" ht="15.75" customHeight="1">
      <c r="A444" s="7" t="s">
        <v>1480</v>
      </c>
      <c r="B444" s="10" t="s">
        <v>17</v>
      </c>
      <c r="C444" s="10" t="s">
        <v>901</v>
      </c>
      <c r="D444" s="10">
        <v>1.0</v>
      </c>
      <c r="F444" s="10">
        <v>0.0</v>
      </c>
      <c r="G444" s="10">
        <v>0.0</v>
      </c>
      <c r="H444" s="10">
        <v>1.0</v>
      </c>
    </row>
    <row r="445" ht="15.75" customHeight="1">
      <c r="A445" s="7" t="s">
        <v>1483</v>
      </c>
      <c r="B445" s="10" t="s">
        <v>17</v>
      </c>
      <c r="D445" s="10">
        <v>1.0</v>
      </c>
      <c r="E445" s="10">
        <v>-1.0</v>
      </c>
      <c r="F445" s="10">
        <v>0.0</v>
      </c>
      <c r="G445" s="10">
        <v>0.0</v>
      </c>
      <c r="H445" s="10">
        <v>0.0</v>
      </c>
      <c r="I445" s="10">
        <v>0.0</v>
      </c>
    </row>
    <row r="446" ht="15.75" customHeight="1">
      <c r="A446" s="7" t="s">
        <v>1485</v>
      </c>
      <c r="B446" s="10" t="s">
        <v>17</v>
      </c>
      <c r="D446" s="10">
        <v>1.0</v>
      </c>
      <c r="E446" s="10">
        <v>-6.0</v>
      </c>
      <c r="F446" s="10">
        <v>0.0</v>
      </c>
      <c r="G446" s="10">
        <v>0.0</v>
      </c>
      <c r="H446" s="10">
        <v>2.0</v>
      </c>
      <c r="I446" s="10">
        <v>0.71</v>
      </c>
    </row>
    <row r="447" ht="15.75" customHeight="1">
      <c r="A447" s="7" t="s">
        <v>1488</v>
      </c>
      <c r="B447" s="10" t="s">
        <v>17</v>
      </c>
      <c r="D447" s="10">
        <v>1.0</v>
      </c>
      <c r="F447" s="10">
        <v>0.0</v>
      </c>
      <c r="G447" s="10">
        <v>0.0</v>
      </c>
      <c r="H447" s="10">
        <v>0.0</v>
      </c>
    </row>
    <row r="448" ht="15.75" customHeight="1">
      <c r="A448" s="7" t="s">
        <v>1491</v>
      </c>
      <c r="B448" s="10" t="s">
        <v>17</v>
      </c>
      <c r="D448" s="10">
        <v>1.0</v>
      </c>
      <c r="E448" s="10">
        <v>-1.0</v>
      </c>
      <c r="F448" s="10">
        <v>0.0</v>
      </c>
      <c r="G448" s="10">
        <v>0.0</v>
      </c>
      <c r="H448" s="10">
        <v>0.0</v>
      </c>
      <c r="I448" s="10">
        <v>0.0</v>
      </c>
    </row>
    <row r="449" ht="15.75" customHeight="1">
      <c r="A449" s="7" t="s">
        <v>1494</v>
      </c>
      <c r="B449" s="10" t="s">
        <v>91</v>
      </c>
      <c r="D449" s="10">
        <v>1.0</v>
      </c>
      <c r="F449" s="10">
        <v>0.0</v>
      </c>
      <c r="G449" s="10">
        <v>0.0</v>
      </c>
      <c r="H449" s="10">
        <v>0.0</v>
      </c>
    </row>
    <row r="450" ht="15.75" customHeight="1">
      <c r="A450" s="7" t="s">
        <v>1497</v>
      </c>
      <c r="B450" s="10" t="s">
        <v>17</v>
      </c>
      <c r="D450" s="10">
        <v>1.0</v>
      </c>
      <c r="F450" s="10">
        <v>0.0</v>
      </c>
      <c r="G450" s="10">
        <v>0.0</v>
      </c>
      <c r="H450" s="10">
        <v>1.0</v>
      </c>
    </row>
    <row r="451" ht="15.75" customHeight="1">
      <c r="A451" s="7" t="s">
        <v>1498</v>
      </c>
      <c r="B451" s="10" t="s">
        <v>17</v>
      </c>
      <c r="D451" s="10">
        <v>1.0</v>
      </c>
      <c r="E451" s="10">
        <v>-1.0</v>
      </c>
      <c r="F451" s="10">
        <v>0.0</v>
      </c>
      <c r="G451" s="10">
        <v>0.0</v>
      </c>
      <c r="H451" s="10">
        <v>2.0</v>
      </c>
      <c r="I451" s="10">
        <v>0.0</v>
      </c>
    </row>
    <row r="452" ht="15.75" customHeight="1">
      <c r="A452" s="7" t="s">
        <v>1501</v>
      </c>
      <c r="B452" s="10" t="s">
        <v>279</v>
      </c>
      <c r="C452" s="10" t="s">
        <v>1504</v>
      </c>
      <c r="D452" s="10">
        <v>1.0</v>
      </c>
      <c r="F452" s="10">
        <v>0.0</v>
      </c>
      <c r="G452" s="10">
        <v>0.0</v>
      </c>
      <c r="H452" s="10">
        <v>2.0</v>
      </c>
    </row>
    <row r="453" ht="15.75" customHeight="1">
      <c r="A453" s="7" t="s">
        <v>1506</v>
      </c>
      <c r="B453" s="10" t="s">
        <v>75</v>
      </c>
      <c r="C453" s="10" t="s">
        <v>1507</v>
      </c>
      <c r="D453" s="10">
        <v>1.0</v>
      </c>
      <c r="F453" s="10">
        <v>0.0</v>
      </c>
      <c r="G453" s="10">
        <v>0.0</v>
      </c>
      <c r="H453" s="10">
        <v>2.0</v>
      </c>
    </row>
    <row r="454" ht="15.75" customHeight="1">
      <c r="A454" s="7" t="s">
        <v>1508</v>
      </c>
      <c r="B454" s="10" t="s">
        <v>17</v>
      </c>
      <c r="D454" s="10">
        <v>1.0</v>
      </c>
      <c r="F454" s="10">
        <v>0.0</v>
      </c>
      <c r="G454" s="10">
        <v>0.0</v>
      </c>
      <c r="H454" s="10">
        <v>0.0</v>
      </c>
    </row>
    <row r="455" ht="15.75" customHeight="1">
      <c r="A455" s="7" t="s">
        <v>1511</v>
      </c>
      <c r="B455" s="10" t="s">
        <v>75</v>
      </c>
      <c r="D455" s="10">
        <v>1.0</v>
      </c>
      <c r="E455" s="10">
        <v>0.0</v>
      </c>
      <c r="F455" s="10">
        <v>0.0</v>
      </c>
      <c r="G455" s="10">
        <v>0.0</v>
      </c>
      <c r="H455" s="10">
        <v>2.0</v>
      </c>
      <c r="I455" s="10">
        <v>2.0</v>
      </c>
    </row>
    <row r="456" ht="15.75" customHeight="1">
      <c r="A456" s="7" t="s">
        <v>1514</v>
      </c>
      <c r="B456" s="10" t="s">
        <v>75</v>
      </c>
      <c r="D456" s="10">
        <v>1.0</v>
      </c>
      <c r="E456" s="10">
        <v>0.0</v>
      </c>
      <c r="F456" s="10">
        <v>0.0</v>
      </c>
      <c r="G456" s="10">
        <v>0.0</v>
      </c>
      <c r="H456" s="10">
        <v>1.0</v>
      </c>
      <c r="I456" s="10">
        <v>-1.0</v>
      </c>
    </row>
    <row r="457" ht="15.75" customHeight="1">
      <c r="A457" s="7" t="s">
        <v>1518</v>
      </c>
      <c r="B457" s="10" t="s">
        <v>17</v>
      </c>
      <c r="C457" s="10" t="s">
        <v>157</v>
      </c>
      <c r="D457" s="10">
        <v>1.0</v>
      </c>
      <c r="F457" s="10">
        <v>0.0</v>
      </c>
      <c r="G457" s="10">
        <v>0.0</v>
      </c>
      <c r="H457" s="10">
        <v>1.0</v>
      </c>
    </row>
    <row r="458" ht="15.75" customHeight="1">
      <c r="A458" s="7" t="s">
        <v>1520</v>
      </c>
      <c r="B458" s="10" t="s">
        <v>17</v>
      </c>
      <c r="D458" s="10">
        <v>1.0</v>
      </c>
      <c r="F458" s="10">
        <v>0.0</v>
      </c>
      <c r="G458" s="10">
        <v>0.0</v>
      </c>
      <c r="H458" s="10">
        <v>1.0</v>
      </c>
    </row>
    <row r="459" ht="15.75" customHeight="1">
      <c r="A459" s="7" t="s">
        <v>1522</v>
      </c>
      <c r="B459" s="10" t="s">
        <v>91</v>
      </c>
      <c r="C459" s="10" t="s">
        <v>1524</v>
      </c>
      <c r="D459" s="10">
        <v>1.0</v>
      </c>
      <c r="F459" s="10">
        <v>0.0</v>
      </c>
      <c r="G459" s="10">
        <v>0.0</v>
      </c>
      <c r="H459" s="10">
        <v>0.0</v>
      </c>
    </row>
    <row r="460" ht="15.75" customHeight="1">
      <c r="A460" s="7" t="s">
        <v>1526</v>
      </c>
      <c r="B460" s="10" t="s">
        <v>17</v>
      </c>
      <c r="D460" s="10">
        <v>1.0</v>
      </c>
      <c r="E460" s="10">
        <v>-1.0</v>
      </c>
      <c r="F460" s="10">
        <v>0.0</v>
      </c>
      <c r="G460" s="10">
        <v>0.0</v>
      </c>
      <c r="H460" s="10">
        <v>1.0</v>
      </c>
      <c r="I460" s="10">
        <v>0.0</v>
      </c>
    </row>
    <row r="461" ht="15.75" customHeight="1">
      <c r="A461" s="7" t="s">
        <v>1529</v>
      </c>
      <c r="B461" s="10" t="s">
        <v>17</v>
      </c>
      <c r="D461" s="10">
        <v>1.0</v>
      </c>
      <c r="F461" s="10">
        <v>0.0</v>
      </c>
      <c r="G461" s="10">
        <v>0.0</v>
      </c>
      <c r="H461" s="10">
        <v>0.0</v>
      </c>
    </row>
    <row r="462" ht="15.75" customHeight="1">
      <c r="A462" s="7" t="s">
        <v>1531</v>
      </c>
      <c r="B462" s="10" t="s">
        <v>17</v>
      </c>
      <c r="D462" s="10">
        <v>1.0</v>
      </c>
      <c r="E462" s="10">
        <v>-5.0</v>
      </c>
      <c r="F462" s="10">
        <v>0.0</v>
      </c>
      <c r="G462" s="10">
        <v>0.0</v>
      </c>
      <c r="H462" s="10">
        <v>1.0</v>
      </c>
      <c r="I462" s="10">
        <v>0.33</v>
      </c>
    </row>
    <row r="463" ht="15.75" customHeight="1">
      <c r="A463" s="7" t="s">
        <v>1534</v>
      </c>
      <c r="B463" s="10" t="s">
        <v>17</v>
      </c>
      <c r="D463" s="10">
        <v>1.0</v>
      </c>
      <c r="F463" s="10">
        <v>0.0</v>
      </c>
      <c r="G463" s="10">
        <v>0.0</v>
      </c>
      <c r="H463" s="10">
        <v>0.0</v>
      </c>
    </row>
    <row r="464" ht="15.75" customHeight="1">
      <c r="A464" s="7" t="s">
        <v>1535</v>
      </c>
      <c r="B464" s="10" t="s">
        <v>17</v>
      </c>
      <c r="D464" s="10">
        <v>1.0</v>
      </c>
      <c r="F464" s="10">
        <v>0.0</v>
      </c>
      <c r="G464" s="10">
        <v>0.0</v>
      </c>
      <c r="H464" s="10">
        <v>1.0</v>
      </c>
    </row>
    <row r="465" ht="15.75" customHeight="1">
      <c r="A465" s="7" t="s">
        <v>1537</v>
      </c>
      <c r="B465" s="10" t="s">
        <v>37</v>
      </c>
      <c r="C465" s="10" t="s">
        <v>1540</v>
      </c>
      <c r="D465" s="10">
        <v>1.0</v>
      </c>
      <c r="F465" s="10">
        <v>0.0</v>
      </c>
      <c r="G465" s="10">
        <v>0.0</v>
      </c>
      <c r="H465" s="10">
        <v>1.0</v>
      </c>
    </row>
    <row r="466" ht="15.75" customHeight="1">
      <c r="A466" s="7" t="s">
        <v>1542</v>
      </c>
      <c r="B466" s="10" t="s">
        <v>17</v>
      </c>
      <c r="D466" s="10">
        <v>1.0</v>
      </c>
      <c r="F466" s="10">
        <v>0.0</v>
      </c>
      <c r="G466" s="10">
        <v>0.0</v>
      </c>
      <c r="H466" s="10">
        <v>1.0</v>
      </c>
    </row>
    <row r="467" ht="15.75" customHeight="1">
      <c r="A467" s="7" t="s">
        <v>1545</v>
      </c>
      <c r="B467" s="10" t="s">
        <v>17</v>
      </c>
      <c r="C467" s="10" t="s">
        <v>1547</v>
      </c>
      <c r="D467" s="10">
        <v>1.0</v>
      </c>
      <c r="E467" s="10">
        <v>-14.0</v>
      </c>
      <c r="F467" s="10">
        <v>0.0</v>
      </c>
      <c r="G467" s="10">
        <v>0.0</v>
      </c>
      <c r="H467" s="10">
        <v>0.0</v>
      </c>
      <c r="I467" s="10">
        <v>-0.47</v>
      </c>
    </row>
    <row r="468" ht="15.75" customHeight="1">
      <c r="A468" s="7" t="s">
        <v>1549</v>
      </c>
      <c r="B468" s="10" t="s">
        <v>17</v>
      </c>
      <c r="D468" s="10">
        <v>1.0</v>
      </c>
      <c r="F468" s="10">
        <v>0.0</v>
      </c>
      <c r="G468" s="10">
        <v>0.0</v>
      </c>
      <c r="H468" s="10">
        <v>0.0</v>
      </c>
    </row>
    <row r="469" ht="15.75" customHeight="1">
      <c r="A469" s="7" t="s">
        <v>1552</v>
      </c>
      <c r="B469" s="10" t="s">
        <v>75</v>
      </c>
      <c r="C469" s="10" t="s">
        <v>1555</v>
      </c>
      <c r="D469" s="10">
        <v>1.0</v>
      </c>
      <c r="E469" s="10">
        <v>0.0</v>
      </c>
      <c r="F469" s="10">
        <v>0.0</v>
      </c>
      <c r="G469" s="10">
        <v>0.0</v>
      </c>
      <c r="H469" s="10">
        <v>1.0</v>
      </c>
      <c r="I469" s="10">
        <v>1.0</v>
      </c>
    </row>
    <row r="470" ht="15.75" customHeight="1">
      <c r="A470" s="7" t="s">
        <v>1556</v>
      </c>
      <c r="B470" s="10" t="s">
        <v>17</v>
      </c>
      <c r="D470" s="10">
        <v>1.0</v>
      </c>
      <c r="F470" s="10">
        <v>0.0</v>
      </c>
      <c r="G470" s="10">
        <v>0.0</v>
      </c>
      <c r="H470" s="10">
        <v>0.0</v>
      </c>
    </row>
    <row r="471" ht="15.75" customHeight="1">
      <c r="A471" s="7" t="s">
        <v>1558</v>
      </c>
      <c r="B471" s="10" t="s">
        <v>17</v>
      </c>
      <c r="D471" s="10">
        <v>1.0</v>
      </c>
      <c r="F471" s="10">
        <v>0.0</v>
      </c>
      <c r="G471" s="10">
        <v>0.0</v>
      </c>
      <c r="H471" s="10">
        <v>0.0</v>
      </c>
    </row>
    <row r="472" ht="15.75" customHeight="1">
      <c r="A472" s="7" t="s">
        <v>1561</v>
      </c>
      <c r="B472" s="10" t="s">
        <v>75</v>
      </c>
      <c r="C472" s="10" t="s">
        <v>1562</v>
      </c>
      <c r="D472" s="10">
        <v>1.0</v>
      </c>
      <c r="F472" s="10">
        <v>0.0</v>
      </c>
      <c r="G472" s="10">
        <v>0.0</v>
      </c>
      <c r="H472" s="10">
        <v>1.0</v>
      </c>
    </row>
    <row r="473" ht="15.75" customHeight="1">
      <c r="A473" s="7" t="s">
        <v>1563</v>
      </c>
      <c r="B473" s="10" t="s">
        <v>17</v>
      </c>
      <c r="C473" s="10" t="s">
        <v>384</v>
      </c>
      <c r="D473" s="10">
        <v>1.0</v>
      </c>
      <c r="E473" s="10">
        <v>-2.0</v>
      </c>
      <c r="F473" s="10">
        <v>0.0</v>
      </c>
      <c r="G473" s="10">
        <v>0.0</v>
      </c>
      <c r="H473" s="10">
        <v>0.0</v>
      </c>
      <c r="I473" s="10">
        <v>0.0</v>
      </c>
    </row>
    <row r="474" ht="15.75" customHeight="1">
      <c r="A474" s="7" t="s">
        <v>1566</v>
      </c>
      <c r="B474" s="10" t="s">
        <v>17</v>
      </c>
      <c r="D474" s="10">
        <v>1.0</v>
      </c>
      <c r="F474" s="10">
        <v>0.0</v>
      </c>
      <c r="G474" s="10">
        <v>0.0</v>
      </c>
      <c r="H474" s="10">
        <v>1.0</v>
      </c>
    </row>
    <row r="475" ht="15.75" customHeight="1">
      <c r="A475" s="7" t="s">
        <v>1568</v>
      </c>
      <c r="B475" s="10" t="s">
        <v>17</v>
      </c>
      <c r="C475" s="10" t="s">
        <v>157</v>
      </c>
      <c r="D475" s="10">
        <v>1.0</v>
      </c>
      <c r="F475" s="10">
        <v>0.0</v>
      </c>
      <c r="G475" s="10">
        <v>0.0</v>
      </c>
      <c r="H475" s="10">
        <v>1.0</v>
      </c>
    </row>
    <row r="476" ht="15.75" customHeight="1">
      <c r="A476" s="7" t="s">
        <v>1570</v>
      </c>
      <c r="B476" s="10" t="s">
        <v>17</v>
      </c>
      <c r="D476" s="10">
        <v>1.0</v>
      </c>
      <c r="F476" s="10">
        <v>0.0</v>
      </c>
      <c r="G476" s="10">
        <v>0.0</v>
      </c>
      <c r="H476" s="10">
        <v>1.0</v>
      </c>
    </row>
    <row r="477" ht="15.75" customHeight="1">
      <c r="A477" s="7" t="s">
        <v>1572</v>
      </c>
      <c r="B477" s="10" t="s">
        <v>17</v>
      </c>
      <c r="C477" s="10" t="s">
        <v>636</v>
      </c>
      <c r="D477" s="10">
        <v>1.0</v>
      </c>
      <c r="E477" s="10">
        <v>0.0</v>
      </c>
      <c r="F477" s="10">
        <v>0.0</v>
      </c>
      <c r="G477" s="10">
        <v>0.0</v>
      </c>
      <c r="H477" s="10">
        <v>0.0</v>
      </c>
      <c r="I477" s="10">
        <v>-2.0</v>
      </c>
    </row>
    <row r="478" ht="15.75" customHeight="1">
      <c r="A478" s="7" t="s">
        <v>1576</v>
      </c>
      <c r="B478" s="10" t="s">
        <v>17</v>
      </c>
      <c r="C478" s="10" t="s">
        <v>340</v>
      </c>
      <c r="D478" s="10">
        <v>1.0</v>
      </c>
      <c r="F478" s="10">
        <v>0.0</v>
      </c>
      <c r="G478" s="10">
        <v>0.0</v>
      </c>
      <c r="H478" s="10">
        <v>1.0</v>
      </c>
    </row>
    <row r="479" ht="15.75" customHeight="1">
      <c r="A479" s="7" t="s">
        <v>1579</v>
      </c>
      <c r="B479" s="10" t="s">
        <v>17</v>
      </c>
      <c r="C479" s="10" t="s">
        <v>1582</v>
      </c>
      <c r="D479" s="10">
        <v>1.0</v>
      </c>
      <c r="E479" s="10">
        <v>-5.0</v>
      </c>
      <c r="F479" s="10">
        <v>0.0</v>
      </c>
      <c r="G479" s="10">
        <v>0.0</v>
      </c>
      <c r="H479" s="10">
        <v>0.0</v>
      </c>
      <c r="I479" s="10">
        <v>0.0</v>
      </c>
    </row>
    <row r="480" ht="15.75" customHeight="1">
      <c r="A480" s="10" t="s">
        <v>1583</v>
      </c>
      <c r="B480" s="10" t="s">
        <v>56</v>
      </c>
      <c r="C480" s="10" t="s">
        <v>1584</v>
      </c>
      <c r="D480" s="10">
        <v>1.0</v>
      </c>
      <c r="E480" s="10">
        <v>0.0</v>
      </c>
      <c r="F480" s="10">
        <v>0.0</v>
      </c>
      <c r="G480" s="10">
        <v>0.0</v>
      </c>
      <c r="H480" s="10">
        <v>1.0</v>
      </c>
      <c r="I480" s="10">
        <v>-1.0</v>
      </c>
    </row>
    <row r="481" ht="15.75" customHeight="1">
      <c r="A481" s="7" t="s">
        <v>1585</v>
      </c>
      <c r="B481" s="10" t="s">
        <v>75</v>
      </c>
      <c r="C481" s="10" t="s">
        <v>1587</v>
      </c>
      <c r="D481" s="10">
        <v>1.0</v>
      </c>
      <c r="F481" s="10">
        <v>0.0</v>
      </c>
      <c r="G481" s="10">
        <v>0.0</v>
      </c>
      <c r="H481" s="10">
        <v>0.0</v>
      </c>
    </row>
    <row r="482" ht="15.75" customHeight="1">
      <c r="A482" s="7" t="s">
        <v>1588</v>
      </c>
      <c r="B482" s="10" t="s">
        <v>17</v>
      </c>
      <c r="D482" s="10">
        <v>1.0</v>
      </c>
      <c r="F482" s="10">
        <v>0.0</v>
      </c>
      <c r="G482" s="10">
        <v>0.0</v>
      </c>
      <c r="H482" s="10">
        <v>1.0</v>
      </c>
    </row>
    <row r="483" ht="15.75" customHeight="1">
      <c r="A483" s="7" t="s">
        <v>1592</v>
      </c>
      <c r="B483" s="10" t="s">
        <v>17</v>
      </c>
      <c r="C483" s="10" t="s">
        <v>1594</v>
      </c>
      <c r="D483" s="10">
        <v>1.0</v>
      </c>
      <c r="E483" s="10">
        <v>-7.0</v>
      </c>
      <c r="F483" s="10">
        <v>0.0</v>
      </c>
      <c r="G483" s="10">
        <v>0.0</v>
      </c>
      <c r="H483" s="10">
        <v>0.0</v>
      </c>
      <c r="I483" s="10">
        <v>-1.75</v>
      </c>
    </row>
    <row r="484" ht="15.75" customHeight="1">
      <c r="A484" s="7" t="s">
        <v>1595</v>
      </c>
      <c r="B484" s="10" t="s">
        <v>91</v>
      </c>
      <c r="D484" s="10">
        <v>1.0</v>
      </c>
      <c r="F484" s="10">
        <v>0.0</v>
      </c>
      <c r="G484" s="10">
        <v>0.0</v>
      </c>
      <c r="H484" s="10">
        <v>0.0</v>
      </c>
    </row>
    <row r="485" ht="15.75" customHeight="1">
      <c r="A485" s="7" t="s">
        <v>1598</v>
      </c>
      <c r="B485" s="10" t="s">
        <v>279</v>
      </c>
      <c r="D485" s="10">
        <v>1.0</v>
      </c>
      <c r="F485" s="10">
        <v>0.0</v>
      </c>
      <c r="G485" s="10">
        <v>0.0</v>
      </c>
      <c r="H485" s="10">
        <v>2.0</v>
      </c>
    </row>
    <row r="486" ht="15.75" customHeight="1">
      <c r="A486" s="7" t="s">
        <v>1601</v>
      </c>
      <c r="B486" s="10" t="s">
        <v>91</v>
      </c>
      <c r="D486" s="10">
        <v>1.0</v>
      </c>
      <c r="F486" s="10">
        <v>0.0</v>
      </c>
      <c r="G486" s="10">
        <v>0.0</v>
      </c>
      <c r="H486" s="10">
        <v>1.0</v>
      </c>
    </row>
    <row r="487" ht="15.75" customHeight="1">
      <c r="A487" s="7" t="s">
        <v>1603</v>
      </c>
      <c r="B487" s="10" t="s">
        <v>17</v>
      </c>
      <c r="D487" s="10">
        <v>1.0</v>
      </c>
      <c r="F487" s="10">
        <v>0.0</v>
      </c>
      <c r="G487" s="10">
        <v>0.0</v>
      </c>
      <c r="H487" s="10">
        <v>0.0</v>
      </c>
    </row>
    <row r="488" ht="15.75" customHeight="1">
      <c r="A488" s="7" t="s">
        <v>1606</v>
      </c>
      <c r="B488" s="10" t="s">
        <v>56</v>
      </c>
      <c r="C488" s="10" t="s">
        <v>1610</v>
      </c>
      <c r="D488" s="10">
        <v>1.0</v>
      </c>
      <c r="F488" s="10">
        <v>0.0</v>
      </c>
      <c r="G488" s="10">
        <v>0.0</v>
      </c>
      <c r="H488" s="10">
        <v>1.0</v>
      </c>
    </row>
    <row r="489" ht="15.75" customHeight="1">
      <c r="A489" s="7" t="s">
        <v>1611</v>
      </c>
      <c r="B489" s="10" t="s">
        <v>37</v>
      </c>
      <c r="C489" s="10" t="s">
        <v>1613</v>
      </c>
      <c r="D489" s="10">
        <v>1.0</v>
      </c>
      <c r="F489" s="10">
        <v>0.0</v>
      </c>
      <c r="G489" s="10">
        <v>0.0</v>
      </c>
      <c r="H489" s="10">
        <v>1.0</v>
      </c>
    </row>
    <row r="490" ht="15.75" customHeight="1">
      <c r="A490" s="7" t="s">
        <v>1614</v>
      </c>
      <c r="B490" s="10" t="s">
        <v>17</v>
      </c>
      <c r="D490" s="10">
        <v>1.0</v>
      </c>
      <c r="F490" s="10">
        <v>0.0</v>
      </c>
      <c r="G490" s="10">
        <v>0.0</v>
      </c>
      <c r="H490" s="10">
        <v>0.0</v>
      </c>
    </row>
    <row r="491" ht="15.75" customHeight="1">
      <c r="A491" s="7" t="s">
        <v>1616</v>
      </c>
      <c r="B491" s="10" t="s">
        <v>37</v>
      </c>
      <c r="C491" s="10" t="s">
        <v>1618</v>
      </c>
      <c r="D491" s="10">
        <v>1.0</v>
      </c>
      <c r="E491" s="10">
        <v>-15.0</v>
      </c>
      <c r="F491" s="10">
        <v>0.0</v>
      </c>
      <c r="G491" s="10">
        <v>0.0</v>
      </c>
      <c r="H491" s="10">
        <v>1.0</v>
      </c>
      <c r="I491" s="10">
        <v>0.0</v>
      </c>
    </row>
    <row r="492" ht="15.75" customHeight="1">
      <c r="A492" s="7" t="s">
        <v>1619</v>
      </c>
      <c r="B492" s="10" t="s">
        <v>17</v>
      </c>
      <c r="C492" s="10" t="s">
        <v>1621</v>
      </c>
      <c r="D492" s="10">
        <v>1.0</v>
      </c>
      <c r="E492" s="10">
        <v>0.0</v>
      </c>
      <c r="F492" s="10">
        <v>0.0</v>
      </c>
      <c r="G492" s="10">
        <v>0.0</v>
      </c>
      <c r="H492" s="10">
        <v>0.0</v>
      </c>
      <c r="I492" s="10">
        <v>-1.0</v>
      </c>
    </row>
    <row r="493" ht="15.75" customHeight="1">
      <c r="A493" s="7" t="s">
        <v>1623</v>
      </c>
      <c r="B493" s="10" t="s">
        <v>44</v>
      </c>
      <c r="C493" s="10" t="s">
        <v>340</v>
      </c>
      <c r="D493" s="10">
        <v>1.0</v>
      </c>
      <c r="F493" s="10">
        <v>0.0</v>
      </c>
      <c r="G493" s="10">
        <v>0.0</v>
      </c>
      <c r="H493" s="10">
        <v>0.0</v>
      </c>
    </row>
    <row r="494" ht="15.75" customHeight="1">
      <c r="A494" s="7" t="s">
        <v>1626</v>
      </c>
      <c r="B494" s="10" t="s">
        <v>17</v>
      </c>
      <c r="C494" s="10" t="s">
        <v>561</v>
      </c>
      <c r="D494" s="10">
        <v>1.0</v>
      </c>
      <c r="F494" s="10">
        <v>0.0</v>
      </c>
      <c r="G494" s="10">
        <v>0.0</v>
      </c>
      <c r="H494" s="10">
        <v>0.0</v>
      </c>
    </row>
    <row r="495" ht="15.75" customHeight="1">
      <c r="A495" s="7" t="s">
        <v>1629</v>
      </c>
      <c r="B495" s="10" t="s">
        <v>17</v>
      </c>
      <c r="D495" s="10">
        <v>1.0</v>
      </c>
      <c r="F495" s="10">
        <v>0.0</v>
      </c>
      <c r="G495" s="10">
        <v>0.0</v>
      </c>
      <c r="H495" s="10">
        <v>1.0</v>
      </c>
    </row>
    <row r="496" ht="15.75" customHeight="1">
      <c r="A496" s="7" t="s">
        <v>1632</v>
      </c>
      <c r="B496" s="10" t="s">
        <v>17</v>
      </c>
      <c r="C496" s="10" t="s">
        <v>384</v>
      </c>
      <c r="D496" s="10">
        <v>1.0</v>
      </c>
      <c r="F496" s="10">
        <v>0.0</v>
      </c>
      <c r="G496" s="10">
        <v>0.0</v>
      </c>
      <c r="H496" s="10">
        <v>1.0</v>
      </c>
    </row>
    <row r="497" ht="15.75" customHeight="1">
      <c r="A497" s="7" t="s">
        <v>1635</v>
      </c>
      <c r="B497" s="10" t="s">
        <v>17</v>
      </c>
      <c r="D497" s="10">
        <v>1.0</v>
      </c>
      <c r="F497" s="10">
        <v>0.0</v>
      </c>
      <c r="G497" s="10">
        <v>0.0</v>
      </c>
      <c r="H497" s="10">
        <v>1.0</v>
      </c>
    </row>
    <row r="498" ht="15.75" customHeight="1">
      <c r="A498" s="7" t="s">
        <v>1637</v>
      </c>
      <c r="B498" s="10" t="s">
        <v>17</v>
      </c>
      <c r="C498" s="10" t="s">
        <v>1641</v>
      </c>
      <c r="D498" s="10">
        <v>1.0</v>
      </c>
      <c r="F498" s="10">
        <v>0.0</v>
      </c>
      <c r="G498" s="10">
        <v>0.0</v>
      </c>
      <c r="H498" s="10">
        <v>1.0</v>
      </c>
    </row>
    <row r="499" ht="15.75" customHeight="1">
      <c r="A499" s="7" t="s">
        <v>1642</v>
      </c>
      <c r="B499" s="10" t="s">
        <v>17</v>
      </c>
      <c r="C499" s="10" t="s">
        <v>1442</v>
      </c>
      <c r="D499" s="10">
        <v>1.0</v>
      </c>
      <c r="F499" s="10">
        <v>0.0</v>
      </c>
      <c r="G499" s="10">
        <v>0.0</v>
      </c>
      <c r="H499" s="10">
        <v>1.0</v>
      </c>
    </row>
    <row r="500" ht="15.75" customHeight="1">
      <c r="A500" s="7" t="s">
        <v>1644</v>
      </c>
      <c r="B500" s="10" t="s">
        <v>17</v>
      </c>
      <c r="C500" s="10" t="s">
        <v>1647</v>
      </c>
      <c r="D500" s="10">
        <v>1.0</v>
      </c>
      <c r="E500" s="10">
        <v>-3.0</v>
      </c>
      <c r="F500" s="10">
        <v>0.0</v>
      </c>
      <c r="G500" s="10">
        <v>0.0</v>
      </c>
      <c r="H500" s="10">
        <v>1.0</v>
      </c>
      <c r="I500" s="10">
        <v>-0.75</v>
      </c>
    </row>
    <row r="501" ht="15.75" customHeight="1">
      <c r="A501" s="7" t="s">
        <v>1648</v>
      </c>
      <c r="B501" s="10" t="s">
        <v>17</v>
      </c>
      <c r="D501" s="10">
        <v>1.0</v>
      </c>
      <c r="F501" s="10">
        <v>0.0</v>
      </c>
      <c r="G501" s="10">
        <v>0.0</v>
      </c>
      <c r="H501" s="10">
        <v>0.0</v>
      </c>
    </row>
    <row r="502" ht="15.75" customHeight="1">
      <c r="A502" s="7" t="s">
        <v>1650</v>
      </c>
      <c r="B502" s="10" t="s">
        <v>56</v>
      </c>
      <c r="C502" s="10" t="s">
        <v>1653</v>
      </c>
      <c r="D502" s="10">
        <v>1.0</v>
      </c>
      <c r="F502" s="10">
        <v>0.0</v>
      </c>
      <c r="G502" s="10">
        <v>0.0</v>
      </c>
      <c r="H502" s="10">
        <v>0.0</v>
      </c>
    </row>
    <row r="503" ht="15.75" customHeight="1">
      <c r="A503" s="7" t="s">
        <v>1655</v>
      </c>
      <c r="B503" s="10" t="s">
        <v>17</v>
      </c>
      <c r="D503" s="10">
        <v>1.0</v>
      </c>
      <c r="E503" s="10">
        <v>-2.0</v>
      </c>
      <c r="F503" s="10">
        <v>0.0</v>
      </c>
      <c r="G503" s="10">
        <v>0.0</v>
      </c>
      <c r="H503" s="10">
        <v>1.0</v>
      </c>
      <c r="I503" s="10">
        <v>-0.33</v>
      </c>
    </row>
    <row r="504" ht="15.75" customHeight="1">
      <c r="A504" s="7" t="s">
        <v>1657</v>
      </c>
      <c r="B504" s="10" t="s">
        <v>17</v>
      </c>
      <c r="C504" s="10" t="s">
        <v>1659</v>
      </c>
      <c r="D504" s="10">
        <v>1.0</v>
      </c>
      <c r="F504" s="10">
        <v>0.0</v>
      </c>
      <c r="G504" s="10">
        <v>0.0</v>
      </c>
      <c r="H504" s="10">
        <v>1.0</v>
      </c>
    </row>
    <row r="505" ht="15.75" customHeight="1">
      <c r="A505" s="7" t="s">
        <v>1661</v>
      </c>
      <c r="B505" s="10" t="s">
        <v>17</v>
      </c>
      <c r="C505" s="10" t="s">
        <v>157</v>
      </c>
      <c r="D505" s="10">
        <v>1.0</v>
      </c>
      <c r="F505" s="10">
        <v>0.0</v>
      </c>
      <c r="G505" s="10">
        <v>0.0</v>
      </c>
      <c r="H505" s="10">
        <v>2.0</v>
      </c>
    </row>
    <row r="506" ht="15.75" customHeight="1">
      <c r="A506" s="7" t="s">
        <v>1663</v>
      </c>
      <c r="B506" s="10" t="s">
        <v>91</v>
      </c>
      <c r="C506" s="10" t="s">
        <v>1665</v>
      </c>
      <c r="D506" s="10">
        <v>1.0</v>
      </c>
      <c r="F506" s="10">
        <v>0.0</v>
      </c>
      <c r="G506" s="10">
        <v>0.0</v>
      </c>
      <c r="H506" s="10">
        <v>0.0</v>
      </c>
    </row>
    <row r="507" ht="15.75" customHeight="1">
      <c r="A507" s="7" t="s">
        <v>1666</v>
      </c>
      <c r="B507" s="10" t="s">
        <v>17</v>
      </c>
      <c r="D507" s="10">
        <v>1.0</v>
      </c>
      <c r="F507" s="10">
        <v>0.0</v>
      </c>
      <c r="G507" s="10">
        <v>0.0</v>
      </c>
      <c r="H507" s="10">
        <v>1.0</v>
      </c>
    </row>
    <row r="508" ht="15.75" customHeight="1">
      <c r="A508" s="7" t="s">
        <v>1668</v>
      </c>
      <c r="B508" s="10" t="s">
        <v>17</v>
      </c>
      <c r="D508" s="10">
        <v>1.0</v>
      </c>
      <c r="F508" s="10">
        <v>0.0</v>
      </c>
      <c r="G508" s="10">
        <v>0.0</v>
      </c>
      <c r="H508" s="10">
        <v>1.0</v>
      </c>
    </row>
    <row r="509" ht="15.75" customHeight="1">
      <c r="A509" s="7" t="s">
        <v>1670</v>
      </c>
      <c r="B509" s="10" t="s">
        <v>17</v>
      </c>
      <c r="D509" s="10">
        <v>1.0</v>
      </c>
      <c r="E509" s="10">
        <v>-3.0</v>
      </c>
      <c r="F509" s="10">
        <v>0.0</v>
      </c>
      <c r="G509" s="10">
        <v>0.0</v>
      </c>
      <c r="H509" s="10">
        <v>0.0</v>
      </c>
      <c r="I509" s="10">
        <v>-0.75</v>
      </c>
    </row>
    <row r="510" ht="15.75" customHeight="1">
      <c r="A510" s="7" t="s">
        <v>1673</v>
      </c>
      <c r="B510" s="10" t="s">
        <v>17</v>
      </c>
      <c r="D510" s="10">
        <v>1.0</v>
      </c>
      <c r="E510" s="10">
        <v>-1.0</v>
      </c>
      <c r="F510" s="10">
        <v>0.0</v>
      </c>
      <c r="G510" s="10">
        <v>0.0</v>
      </c>
      <c r="H510" s="10">
        <v>2.0</v>
      </c>
      <c r="I510" s="10">
        <v>0.0</v>
      </c>
    </row>
    <row r="511" ht="15.75" customHeight="1">
      <c r="A511" s="7" t="s">
        <v>1678</v>
      </c>
      <c r="B511" s="10" t="s">
        <v>91</v>
      </c>
      <c r="C511" s="10" t="s">
        <v>922</v>
      </c>
      <c r="D511" s="10">
        <v>1.0</v>
      </c>
      <c r="F511" s="10">
        <v>0.0</v>
      </c>
      <c r="G511" s="10">
        <v>0.0</v>
      </c>
      <c r="H511" s="10">
        <v>3.0</v>
      </c>
    </row>
    <row r="512" ht="15.75" customHeight="1">
      <c r="A512" s="7" t="s">
        <v>1681</v>
      </c>
      <c r="B512" s="10" t="s">
        <v>17</v>
      </c>
      <c r="D512" s="10">
        <v>1.0</v>
      </c>
      <c r="F512" s="10">
        <v>0.0</v>
      </c>
      <c r="G512" s="10">
        <v>0.0</v>
      </c>
      <c r="H512" s="10">
        <v>0.0</v>
      </c>
    </row>
    <row r="513" ht="15.75" customHeight="1">
      <c r="A513" s="7" t="s">
        <v>1684</v>
      </c>
      <c r="B513" s="10" t="s">
        <v>17</v>
      </c>
      <c r="D513" s="10">
        <v>1.0</v>
      </c>
      <c r="F513" s="10">
        <v>0.0</v>
      </c>
      <c r="G513" s="10">
        <v>0.0</v>
      </c>
      <c r="H513" s="10">
        <v>0.0</v>
      </c>
    </row>
    <row r="514" ht="15.75" customHeight="1">
      <c r="A514" s="7" t="s">
        <v>1686</v>
      </c>
      <c r="B514" s="10" t="s">
        <v>17</v>
      </c>
      <c r="D514" s="10">
        <v>1.0</v>
      </c>
      <c r="E514" s="10">
        <v>-1.0</v>
      </c>
      <c r="F514" s="10">
        <v>0.0</v>
      </c>
      <c r="G514" s="10">
        <v>0.0</v>
      </c>
      <c r="H514" s="10">
        <v>0.0</v>
      </c>
      <c r="I514" s="10">
        <v>-0.5</v>
      </c>
    </row>
    <row r="515" ht="15.75" customHeight="1">
      <c r="A515" s="7" t="s">
        <v>1689</v>
      </c>
      <c r="B515" s="10" t="s">
        <v>75</v>
      </c>
      <c r="C515" s="10" t="s">
        <v>1691</v>
      </c>
      <c r="D515" s="10">
        <v>1.0</v>
      </c>
      <c r="E515" s="10">
        <v>-7.0</v>
      </c>
      <c r="F515" s="10">
        <v>0.0</v>
      </c>
      <c r="G515" s="10">
        <v>0.0</v>
      </c>
      <c r="H515" s="10">
        <v>0.0</v>
      </c>
      <c r="I515" s="10">
        <v>0.0</v>
      </c>
    </row>
    <row r="516" ht="15.75" customHeight="1">
      <c r="A516" s="7" t="s">
        <v>1693</v>
      </c>
      <c r="B516" s="10" t="s">
        <v>17</v>
      </c>
      <c r="C516" s="10" t="s">
        <v>1694</v>
      </c>
      <c r="D516" s="10">
        <v>1.0</v>
      </c>
      <c r="F516" s="10">
        <v>0.0</v>
      </c>
      <c r="G516" s="10">
        <v>0.0</v>
      </c>
      <c r="H516" s="10">
        <v>2.0</v>
      </c>
    </row>
    <row r="517" ht="15.75" customHeight="1">
      <c r="A517" s="7" t="s">
        <v>1696</v>
      </c>
      <c r="B517" s="10" t="s">
        <v>279</v>
      </c>
      <c r="D517" s="10">
        <v>1.0</v>
      </c>
      <c r="F517" s="10">
        <v>0.0</v>
      </c>
      <c r="G517" s="10">
        <v>0.0</v>
      </c>
      <c r="H517" s="10">
        <v>0.0</v>
      </c>
    </row>
    <row r="518" ht="15.75" customHeight="1">
      <c r="A518" s="7" t="s">
        <v>1699</v>
      </c>
      <c r="B518" s="10" t="s">
        <v>17</v>
      </c>
      <c r="C518" s="10" t="s">
        <v>1701</v>
      </c>
      <c r="D518" s="10">
        <v>1.0</v>
      </c>
      <c r="F518" s="10">
        <v>0.0</v>
      </c>
      <c r="G518" s="10">
        <v>0.0</v>
      </c>
      <c r="H518" s="10">
        <v>0.0</v>
      </c>
    </row>
    <row r="519" ht="15.75" customHeight="1">
      <c r="A519" s="7" t="s">
        <v>1702</v>
      </c>
      <c r="B519" s="10" t="s">
        <v>17</v>
      </c>
      <c r="D519" s="10">
        <v>1.0</v>
      </c>
      <c r="F519" s="10">
        <v>0.0</v>
      </c>
      <c r="G519" s="10">
        <v>0.0</v>
      </c>
      <c r="H519" s="10">
        <v>0.0</v>
      </c>
    </row>
    <row r="520" ht="15.75" customHeight="1">
      <c r="A520" s="7" t="s">
        <v>1704</v>
      </c>
      <c r="B520" s="10" t="s">
        <v>75</v>
      </c>
      <c r="D520" s="10">
        <v>1.0</v>
      </c>
      <c r="F520" s="10">
        <v>0.0</v>
      </c>
      <c r="G520" s="10">
        <v>0.0</v>
      </c>
      <c r="H520" s="10">
        <v>1.0</v>
      </c>
    </row>
    <row r="521" ht="15.75" customHeight="1">
      <c r="A521" s="10" t="s">
        <v>1707</v>
      </c>
      <c r="B521" s="10" t="s">
        <v>17</v>
      </c>
      <c r="D521" s="10">
        <v>1.0</v>
      </c>
      <c r="F521" s="10">
        <v>0.0</v>
      </c>
      <c r="G521" s="10">
        <v>0.0</v>
      </c>
      <c r="H521" s="10">
        <v>1.0</v>
      </c>
    </row>
    <row r="522" ht="15.75" customHeight="1">
      <c r="A522" s="7" t="s">
        <v>1708</v>
      </c>
      <c r="B522" s="10" t="s">
        <v>17</v>
      </c>
      <c r="C522" s="10" t="s">
        <v>1711</v>
      </c>
      <c r="D522" s="10">
        <v>1.0</v>
      </c>
      <c r="F522" s="10">
        <v>0.0</v>
      </c>
      <c r="G522" s="10">
        <v>0.0</v>
      </c>
      <c r="H522" s="10">
        <v>0.0</v>
      </c>
    </row>
    <row r="523" ht="15.75" customHeight="1">
      <c r="A523" s="7" t="s">
        <v>1712</v>
      </c>
      <c r="B523" s="10" t="s">
        <v>56</v>
      </c>
      <c r="C523" s="10" t="s">
        <v>584</v>
      </c>
      <c r="D523" s="10">
        <v>1.0</v>
      </c>
      <c r="F523" s="10">
        <v>0.0</v>
      </c>
      <c r="G523" s="10">
        <v>0.0</v>
      </c>
      <c r="H523" s="10">
        <v>1.0</v>
      </c>
    </row>
    <row r="524" ht="15.75" customHeight="1">
      <c r="A524" s="7" t="s">
        <v>1718</v>
      </c>
      <c r="B524" s="10" t="s">
        <v>17</v>
      </c>
      <c r="D524" s="10">
        <v>1.0</v>
      </c>
      <c r="F524" s="10">
        <v>0.0</v>
      </c>
      <c r="G524" s="10">
        <v>0.0</v>
      </c>
      <c r="H524" s="10">
        <v>1.0</v>
      </c>
    </row>
    <row r="525" ht="15.75" customHeight="1">
      <c r="A525" s="7" t="s">
        <v>1721</v>
      </c>
      <c r="B525" s="10" t="s">
        <v>91</v>
      </c>
      <c r="D525" s="10">
        <v>1.0</v>
      </c>
      <c r="F525" s="10">
        <v>0.0</v>
      </c>
      <c r="G525" s="10">
        <v>0.0</v>
      </c>
      <c r="H525" s="10">
        <v>1.0</v>
      </c>
    </row>
    <row r="526" ht="15.75" customHeight="1">
      <c r="A526" s="7" t="s">
        <v>1725</v>
      </c>
      <c r="B526" s="10" t="s">
        <v>17</v>
      </c>
      <c r="D526" s="10">
        <v>1.0</v>
      </c>
      <c r="E526" s="10">
        <v>-1.0</v>
      </c>
      <c r="F526" s="10">
        <v>0.0</v>
      </c>
      <c r="G526" s="10">
        <v>0.0</v>
      </c>
      <c r="H526" s="10">
        <v>2.0</v>
      </c>
      <c r="I526" s="10">
        <v>1.0</v>
      </c>
    </row>
    <row r="527" ht="15.75" customHeight="1">
      <c r="A527" s="7" t="s">
        <v>1728</v>
      </c>
      <c r="B527" s="10" t="s">
        <v>56</v>
      </c>
      <c r="D527" s="10">
        <v>1.0</v>
      </c>
      <c r="E527" s="10">
        <v>0.0</v>
      </c>
      <c r="F527" s="10">
        <v>0.0</v>
      </c>
      <c r="G527" s="10">
        <v>0.0</v>
      </c>
      <c r="H527" s="10">
        <v>0.0</v>
      </c>
      <c r="I527" s="10">
        <v>0.0</v>
      </c>
    </row>
    <row r="528" ht="15.75" customHeight="1">
      <c r="A528" s="7" t="s">
        <v>1731</v>
      </c>
      <c r="B528" s="10" t="s">
        <v>91</v>
      </c>
      <c r="C528" s="10" t="s">
        <v>1733</v>
      </c>
      <c r="D528" s="10">
        <v>1.0</v>
      </c>
      <c r="E528" s="10">
        <v>-4.0</v>
      </c>
      <c r="F528" s="10">
        <v>0.0</v>
      </c>
      <c r="G528" s="10">
        <v>0.0</v>
      </c>
      <c r="H528" s="10">
        <v>0.0</v>
      </c>
      <c r="I528" s="10">
        <v>-1.0</v>
      </c>
    </row>
    <row r="529" ht="15.75" customHeight="1">
      <c r="A529" s="7" t="s">
        <v>1735</v>
      </c>
      <c r="B529" s="10" t="s">
        <v>17</v>
      </c>
      <c r="D529" s="10">
        <v>1.0</v>
      </c>
      <c r="F529" s="10">
        <v>0.0</v>
      </c>
      <c r="G529" s="10">
        <v>0.0</v>
      </c>
      <c r="H529" s="10">
        <v>1.0</v>
      </c>
    </row>
    <row r="530" ht="15.75" customHeight="1">
      <c r="A530" s="7" t="s">
        <v>1737</v>
      </c>
      <c r="B530" s="10" t="s">
        <v>17</v>
      </c>
      <c r="C530" s="10" t="s">
        <v>1740</v>
      </c>
      <c r="D530" s="10">
        <v>1.0</v>
      </c>
      <c r="F530" s="10">
        <v>0.0</v>
      </c>
      <c r="G530" s="10">
        <v>0.0</v>
      </c>
      <c r="H530" s="10">
        <v>0.0</v>
      </c>
    </row>
    <row r="531" ht="15.75" customHeight="1">
      <c r="A531" s="7" t="s">
        <v>1741</v>
      </c>
      <c r="B531" s="10" t="s">
        <v>17</v>
      </c>
      <c r="C531" s="10" t="s">
        <v>417</v>
      </c>
      <c r="D531" s="10">
        <v>1.0</v>
      </c>
      <c r="F531" s="10">
        <v>0.0</v>
      </c>
      <c r="G531" s="10">
        <v>0.0</v>
      </c>
      <c r="H531" s="10">
        <v>0.0</v>
      </c>
    </row>
    <row r="532" ht="15.75" customHeight="1">
      <c r="A532" s="7" t="s">
        <v>1743</v>
      </c>
      <c r="B532" s="10" t="s">
        <v>17</v>
      </c>
      <c r="C532" s="10" t="s">
        <v>1744</v>
      </c>
      <c r="D532" s="10">
        <v>1.0</v>
      </c>
      <c r="E532" s="10">
        <v>0.0</v>
      </c>
      <c r="F532" s="10">
        <v>0.0</v>
      </c>
      <c r="G532" s="10">
        <v>0.0</v>
      </c>
      <c r="H532" s="10">
        <v>0.0</v>
      </c>
      <c r="I532" s="10">
        <v>0.0</v>
      </c>
    </row>
    <row r="533" ht="15.75" customHeight="1">
      <c r="A533" s="7" t="s">
        <v>1746</v>
      </c>
      <c r="B533" s="10" t="s">
        <v>17</v>
      </c>
      <c r="D533" s="10">
        <v>1.0</v>
      </c>
      <c r="E533" s="10">
        <v>-4.0</v>
      </c>
      <c r="F533" s="10">
        <v>0.0</v>
      </c>
      <c r="G533" s="10">
        <v>0.0</v>
      </c>
      <c r="H533" s="10">
        <v>0.0</v>
      </c>
      <c r="I533" s="10">
        <v>-0.4</v>
      </c>
    </row>
    <row r="534" ht="15.75" customHeight="1">
      <c r="A534" s="7" t="s">
        <v>1747</v>
      </c>
      <c r="B534" s="10" t="s">
        <v>17</v>
      </c>
      <c r="D534" s="10">
        <v>1.0</v>
      </c>
      <c r="F534" s="10">
        <v>0.0</v>
      </c>
      <c r="G534" s="10">
        <v>0.0</v>
      </c>
      <c r="H534" s="10">
        <v>1.0</v>
      </c>
    </row>
    <row r="535" ht="15.75" customHeight="1">
      <c r="A535" s="7" t="s">
        <v>1749</v>
      </c>
      <c r="B535" s="10" t="s">
        <v>75</v>
      </c>
      <c r="D535" s="10">
        <v>1.0</v>
      </c>
      <c r="F535" s="10">
        <v>0.0</v>
      </c>
      <c r="G535" s="10">
        <v>0.0</v>
      </c>
      <c r="H535" s="10">
        <v>0.0</v>
      </c>
    </row>
    <row r="536" ht="15.75" customHeight="1">
      <c r="A536" s="7" t="s">
        <v>1751</v>
      </c>
      <c r="B536" s="10" t="s">
        <v>17</v>
      </c>
      <c r="C536" s="10" t="s">
        <v>384</v>
      </c>
      <c r="D536" s="10">
        <v>1.0</v>
      </c>
      <c r="E536" s="10">
        <v>-6.0</v>
      </c>
      <c r="F536" s="10">
        <v>0.0</v>
      </c>
      <c r="G536" s="10">
        <v>0.0</v>
      </c>
      <c r="H536" s="10">
        <v>1.0</v>
      </c>
      <c r="I536" s="10">
        <v>0.43</v>
      </c>
    </row>
    <row r="537" ht="15.75" customHeight="1">
      <c r="A537" s="7" t="s">
        <v>1754</v>
      </c>
      <c r="B537" s="10" t="s">
        <v>17</v>
      </c>
      <c r="C537" s="10" t="s">
        <v>119</v>
      </c>
      <c r="D537" s="10">
        <v>1.0</v>
      </c>
      <c r="F537" s="10">
        <v>0.0</v>
      </c>
      <c r="G537" s="10">
        <v>0.0</v>
      </c>
      <c r="H537" s="10">
        <v>0.0</v>
      </c>
    </row>
    <row r="538" ht="15.75" customHeight="1">
      <c r="A538" s="7" t="s">
        <v>1756</v>
      </c>
      <c r="B538" s="10" t="s">
        <v>17</v>
      </c>
      <c r="D538" s="10">
        <v>1.0</v>
      </c>
      <c r="E538" s="10">
        <v>-2.0</v>
      </c>
      <c r="F538" s="10">
        <v>0.0</v>
      </c>
      <c r="G538" s="10">
        <v>0.0</v>
      </c>
      <c r="H538" s="10">
        <v>0.0</v>
      </c>
      <c r="I538" s="10">
        <v>-0.67</v>
      </c>
    </row>
    <row r="539" ht="15.75" customHeight="1">
      <c r="A539" s="7" t="s">
        <v>1759</v>
      </c>
      <c r="B539" s="10" t="s">
        <v>17</v>
      </c>
      <c r="C539" s="10" t="s">
        <v>1761</v>
      </c>
      <c r="D539" s="10">
        <v>1.0</v>
      </c>
      <c r="E539" s="10">
        <v>0.0</v>
      </c>
      <c r="F539" s="10">
        <v>0.0</v>
      </c>
      <c r="G539" s="10">
        <v>0.0</v>
      </c>
      <c r="H539" s="10">
        <v>0.0</v>
      </c>
      <c r="I539" s="10">
        <v>0.0</v>
      </c>
    </row>
    <row r="540" ht="15.75" customHeight="1">
      <c r="A540" s="7" t="s">
        <v>1763</v>
      </c>
      <c r="B540" s="10" t="s">
        <v>17</v>
      </c>
      <c r="C540" s="10" t="s">
        <v>1765</v>
      </c>
      <c r="D540" s="10">
        <v>1.0</v>
      </c>
      <c r="F540" s="10">
        <v>0.0</v>
      </c>
      <c r="G540" s="10">
        <v>0.0</v>
      </c>
      <c r="H540" s="10">
        <v>0.0</v>
      </c>
    </row>
    <row r="541" ht="15.75" customHeight="1">
      <c r="A541" s="7" t="s">
        <v>1766</v>
      </c>
      <c r="B541" s="10" t="s">
        <v>17</v>
      </c>
      <c r="C541" s="10" t="s">
        <v>119</v>
      </c>
      <c r="D541" s="10">
        <v>1.0</v>
      </c>
      <c r="F541" s="10">
        <v>0.0</v>
      </c>
      <c r="G541" s="10">
        <v>0.0</v>
      </c>
      <c r="H541" s="10">
        <v>1.0</v>
      </c>
    </row>
    <row r="542" ht="15.75" customHeight="1">
      <c r="A542" s="7" t="s">
        <v>1768</v>
      </c>
      <c r="B542" s="10" t="s">
        <v>17</v>
      </c>
      <c r="D542" s="10">
        <v>1.0</v>
      </c>
      <c r="F542" s="10">
        <v>0.0</v>
      </c>
      <c r="G542" s="10">
        <v>0.0</v>
      </c>
      <c r="H542" s="10">
        <v>0.0</v>
      </c>
    </row>
    <row r="543" ht="15.75" customHeight="1">
      <c r="A543" s="7" t="s">
        <v>1772</v>
      </c>
      <c r="B543" s="10" t="s">
        <v>17</v>
      </c>
      <c r="D543" s="10">
        <v>1.0</v>
      </c>
      <c r="E543" s="10">
        <v>-1.0</v>
      </c>
      <c r="F543" s="10">
        <v>0.0</v>
      </c>
      <c r="G543" s="10">
        <v>0.0</v>
      </c>
      <c r="H543" s="10">
        <v>0.0</v>
      </c>
      <c r="I543" s="10">
        <v>0.0</v>
      </c>
    </row>
    <row r="544" ht="15.75" customHeight="1">
      <c r="A544" s="7" t="s">
        <v>1775</v>
      </c>
      <c r="B544" s="10" t="s">
        <v>17</v>
      </c>
      <c r="D544" s="10">
        <v>1.0</v>
      </c>
      <c r="F544" s="10">
        <v>0.0</v>
      </c>
      <c r="G544" s="10">
        <v>0.0</v>
      </c>
      <c r="H544" s="10">
        <v>1.0</v>
      </c>
    </row>
    <row r="545" ht="15.75" customHeight="1">
      <c r="A545" s="7" t="s">
        <v>1777</v>
      </c>
      <c r="B545" s="10" t="s">
        <v>17</v>
      </c>
      <c r="C545" s="10" t="s">
        <v>1778</v>
      </c>
      <c r="D545" s="10">
        <v>1.0</v>
      </c>
      <c r="E545" s="10">
        <v>-1.0</v>
      </c>
      <c r="F545" s="10">
        <v>0.0</v>
      </c>
      <c r="G545" s="10">
        <v>0.0</v>
      </c>
      <c r="H545" s="10">
        <v>0.0</v>
      </c>
      <c r="I545" s="10">
        <v>-1.0</v>
      </c>
    </row>
    <row r="546" ht="15.75" customHeight="1">
      <c r="A546" s="7" t="s">
        <v>1780</v>
      </c>
      <c r="B546" s="10" t="s">
        <v>17</v>
      </c>
      <c r="C546" s="10" t="s">
        <v>157</v>
      </c>
      <c r="D546" s="10">
        <v>1.0</v>
      </c>
      <c r="E546" s="10">
        <v>-2.0</v>
      </c>
      <c r="F546" s="10">
        <v>0.0</v>
      </c>
      <c r="G546" s="10">
        <v>0.0</v>
      </c>
      <c r="H546" s="10">
        <v>0.0</v>
      </c>
      <c r="I546" s="10">
        <v>-1.33</v>
      </c>
    </row>
    <row r="547" ht="15.75" customHeight="1">
      <c r="A547" s="7" t="s">
        <v>1784</v>
      </c>
      <c r="B547" s="10" t="s">
        <v>17</v>
      </c>
      <c r="D547" s="10">
        <v>1.0</v>
      </c>
      <c r="F547" s="10">
        <v>0.0</v>
      </c>
      <c r="G547" s="10">
        <v>0.0</v>
      </c>
      <c r="H547" s="10">
        <v>1.0</v>
      </c>
    </row>
    <row r="548" ht="15.75" customHeight="1">
      <c r="A548" s="7" t="s">
        <v>1787</v>
      </c>
      <c r="B548" s="10" t="s">
        <v>17</v>
      </c>
      <c r="D548" s="10">
        <v>1.0</v>
      </c>
      <c r="E548" s="10">
        <v>-4.0</v>
      </c>
      <c r="F548" s="10">
        <v>0.0</v>
      </c>
      <c r="G548" s="10">
        <v>0.0</v>
      </c>
      <c r="H548" s="10">
        <v>0.0</v>
      </c>
      <c r="I548" s="10">
        <v>-0.4</v>
      </c>
    </row>
    <row r="549" ht="15.75" customHeight="1">
      <c r="A549" s="7" t="s">
        <v>1791</v>
      </c>
      <c r="B549" s="10" t="s">
        <v>44</v>
      </c>
      <c r="C549" s="10" t="s">
        <v>1402</v>
      </c>
      <c r="D549" s="10">
        <v>1.0</v>
      </c>
      <c r="F549" s="10">
        <v>0.0</v>
      </c>
      <c r="G549" s="10">
        <v>0.0</v>
      </c>
      <c r="H549" s="10">
        <v>1.0</v>
      </c>
    </row>
    <row r="550" ht="15.75" customHeight="1">
      <c r="A550" s="7" t="s">
        <v>1795</v>
      </c>
      <c r="B550" s="10" t="s">
        <v>44</v>
      </c>
      <c r="C550" s="10" t="s">
        <v>1799</v>
      </c>
      <c r="D550" s="10">
        <v>1.0</v>
      </c>
      <c r="F550" s="10">
        <v>0.0</v>
      </c>
      <c r="G550" s="10">
        <v>0.0</v>
      </c>
      <c r="H550" s="10">
        <v>1.0</v>
      </c>
    </row>
    <row r="551" ht="15.75" customHeight="1">
      <c r="A551" s="7" t="s">
        <v>1801</v>
      </c>
      <c r="B551" s="10" t="s">
        <v>17</v>
      </c>
      <c r="D551" s="10">
        <v>1.0</v>
      </c>
      <c r="F551" s="10">
        <v>0.0</v>
      </c>
      <c r="G551" s="10">
        <v>0.0</v>
      </c>
      <c r="H551" s="10">
        <v>1.0</v>
      </c>
    </row>
    <row r="552" ht="15.75" customHeight="1">
      <c r="A552" s="7" t="s">
        <v>1804</v>
      </c>
      <c r="B552" s="10" t="s">
        <v>37</v>
      </c>
      <c r="C552" s="10" t="s">
        <v>1808</v>
      </c>
      <c r="D552" s="10">
        <v>1.0</v>
      </c>
      <c r="F552" s="10">
        <v>0.0</v>
      </c>
      <c r="G552" s="10">
        <v>0.0</v>
      </c>
      <c r="H552" s="10">
        <v>2.0</v>
      </c>
    </row>
    <row r="553" ht="15.75" customHeight="1">
      <c r="A553" s="7" t="s">
        <v>1810</v>
      </c>
      <c r="B553" s="10" t="s">
        <v>17</v>
      </c>
      <c r="D553" s="10">
        <v>1.0</v>
      </c>
      <c r="F553" s="10">
        <v>0.0</v>
      </c>
      <c r="G553" s="10">
        <v>0.0</v>
      </c>
      <c r="H553" s="10">
        <v>1.0</v>
      </c>
    </row>
    <row r="554" ht="15.75" customHeight="1">
      <c r="A554" s="7" t="s">
        <v>1814</v>
      </c>
      <c r="B554" s="10" t="s">
        <v>17</v>
      </c>
      <c r="C554" s="10" t="s">
        <v>1817</v>
      </c>
      <c r="D554" s="10">
        <v>1.0</v>
      </c>
      <c r="E554" s="10">
        <v>-2.0</v>
      </c>
      <c r="F554" s="10">
        <v>0.0</v>
      </c>
      <c r="G554" s="10">
        <v>0.0</v>
      </c>
      <c r="H554" s="10">
        <v>2.0</v>
      </c>
      <c r="I554" s="10">
        <v>0.0</v>
      </c>
    </row>
    <row r="555" ht="15.75" customHeight="1">
      <c r="A555" s="7" t="s">
        <v>1819</v>
      </c>
      <c r="B555" s="10" t="s">
        <v>17</v>
      </c>
      <c r="C555" s="10" t="s">
        <v>384</v>
      </c>
      <c r="D555" s="10">
        <v>1.0</v>
      </c>
      <c r="F555" s="10">
        <v>0.0</v>
      </c>
      <c r="G555" s="10">
        <v>0.0</v>
      </c>
      <c r="H555" s="10">
        <v>0.0</v>
      </c>
    </row>
    <row r="556" ht="15.75" customHeight="1">
      <c r="A556" s="7" t="s">
        <v>1824</v>
      </c>
      <c r="B556" s="10" t="s">
        <v>17</v>
      </c>
      <c r="C556" s="10" t="s">
        <v>1826</v>
      </c>
      <c r="D556" s="10">
        <v>1.0</v>
      </c>
      <c r="F556" s="10">
        <v>0.0</v>
      </c>
      <c r="G556" s="10">
        <v>0.0</v>
      </c>
      <c r="H556" s="10">
        <v>0.0</v>
      </c>
    </row>
    <row r="557" ht="15.75" customHeight="1">
      <c r="A557" s="7" t="s">
        <v>1828</v>
      </c>
      <c r="B557" s="10" t="s">
        <v>17</v>
      </c>
      <c r="D557" s="10">
        <v>1.0</v>
      </c>
      <c r="E557" s="10">
        <v>-1.0</v>
      </c>
      <c r="F557" s="10">
        <v>0.0</v>
      </c>
      <c r="G557" s="10">
        <v>0.0</v>
      </c>
      <c r="H557" s="10">
        <v>0.0</v>
      </c>
      <c r="I557" s="10">
        <v>-0.5</v>
      </c>
    </row>
    <row r="558" ht="15.75" customHeight="1">
      <c r="A558" s="7" t="s">
        <v>1833</v>
      </c>
      <c r="B558" s="10" t="s">
        <v>17</v>
      </c>
      <c r="C558" s="10" t="s">
        <v>119</v>
      </c>
      <c r="D558" s="10">
        <v>1.0</v>
      </c>
      <c r="E558" s="10">
        <v>0.0</v>
      </c>
      <c r="F558" s="10">
        <v>0.0</v>
      </c>
      <c r="G558" s="10">
        <v>0.0</v>
      </c>
      <c r="H558" s="10">
        <v>1.0</v>
      </c>
      <c r="I558" s="10">
        <v>0.0</v>
      </c>
    </row>
    <row r="559" ht="15.75" customHeight="1">
      <c r="A559" s="7" t="s">
        <v>1838</v>
      </c>
      <c r="B559" s="10" t="s">
        <v>17</v>
      </c>
      <c r="C559" s="10" t="s">
        <v>1841</v>
      </c>
      <c r="D559" s="10">
        <v>1.0</v>
      </c>
      <c r="E559" s="10">
        <v>-28.0</v>
      </c>
      <c r="F559" s="10">
        <v>0.0</v>
      </c>
      <c r="G559" s="10">
        <v>0.0</v>
      </c>
      <c r="H559" s="10">
        <v>1.0</v>
      </c>
      <c r="I559" s="10">
        <v>-0.24</v>
      </c>
    </row>
    <row r="560" ht="15.75" customHeight="1">
      <c r="A560" s="7" t="s">
        <v>1843</v>
      </c>
      <c r="B560" s="10" t="s">
        <v>75</v>
      </c>
      <c r="C560" s="10" t="s">
        <v>1847</v>
      </c>
      <c r="D560" s="10">
        <v>1.0</v>
      </c>
      <c r="F560" s="10">
        <v>0.0</v>
      </c>
      <c r="G560" s="10">
        <v>0.0</v>
      </c>
      <c r="H560" s="10">
        <v>0.0</v>
      </c>
    </row>
    <row r="561" ht="15.75" customHeight="1">
      <c r="A561" s="7" t="s">
        <v>1848</v>
      </c>
      <c r="B561" s="10" t="s">
        <v>17</v>
      </c>
      <c r="D561" s="10">
        <v>1.0</v>
      </c>
      <c r="E561" s="10">
        <v>0.0</v>
      </c>
      <c r="F561" s="10">
        <v>0.0</v>
      </c>
      <c r="G561" s="10">
        <v>0.0</v>
      </c>
      <c r="H561" s="10">
        <v>0.0</v>
      </c>
      <c r="I561" s="10">
        <v>0.0</v>
      </c>
    </row>
    <row r="562" ht="15.75" customHeight="1">
      <c r="A562" s="7" t="s">
        <v>1853</v>
      </c>
      <c r="B562" s="10" t="s">
        <v>17</v>
      </c>
      <c r="C562" s="10" t="s">
        <v>157</v>
      </c>
      <c r="D562" s="10">
        <v>1.0</v>
      </c>
      <c r="F562" s="10">
        <v>0.0</v>
      </c>
      <c r="G562" s="10">
        <v>0.0</v>
      </c>
      <c r="H562" s="10">
        <v>0.0</v>
      </c>
    </row>
    <row r="563" ht="15.75" customHeight="1">
      <c r="A563" s="7" t="s">
        <v>1857</v>
      </c>
      <c r="B563" s="10" t="s">
        <v>37</v>
      </c>
      <c r="C563" s="10" t="s">
        <v>1861</v>
      </c>
      <c r="D563" s="10">
        <v>1.0</v>
      </c>
      <c r="E563" s="10">
        <v>-13.0</v>
      </c>
      <c r="F563" s="10">
        <v>0.0</v>
      </c>
      <c r="G563" s="10">
        <v>0.0</v>
      </c>
      <c r="H563" s="10">
        <v>1.0</v>
      </c>
      <c r="I563" s="10">
        <v>-0.21</v>
      </c>
    </row>
    <row r="564" ht="15.75" customHeight="1">
      <c r="A564" s="7" t="s">
        <v>1863</v>
      </c>
      <c r="B564" s="10" t="s">
        <v>17</v>
      </c>
      <c r="C564" s="10" t="s">
        <v>1865</v>
      </c>
      <c r="D564" s="10">
        <v>1.0</v>
      </c>
      <c r="E564" s="10">
        <v>-1.0</v>
      </c>
      <c r="F564" s="10">
        <v>0.0</v>
      </c>
      <c r="G564" s="10">
        <v>0.0</v>
      </c>
      <c r="H564" s="10">
        <v>0.0</v>
      </c>
      <c r="I564" s="10">
        <v>-3.0</v>
      </c>
    </row>
    <row r="565" ht="15.75" customHeight="1">
      <c r="A565" s="7" t="s">
        <v>1867</v>
      </c>
      <c r="B565" s="10" t="s">
        <v>17</v>
      </c>
      <c r="C565" s="10" t="s">
        <v>1869</v>
      </c>
      <c r="D565" s="10">
        <v>1.0</v>
      </c>
      <c r="E565" s="10">
        <v>-1.0</v>
      </c>
      <c r="F565" s="10">
        <v>0.0</v>
      </c>
      <c r="G565" s="10">
        <v>0.0</v>
      </c>
      <c r="H565" s="10">
        <v>0.0</v>
      </c>
      <c r="I565" s="10">
        <v>0.0</v>
      </c>
    </row>
    <row r="566" ht="15.75" customHeight="1">
      <c r="A566" s="10" t="s">
        <v>1871</v>
      </c>
      <c r="B566" s="10" t="s">
        <v>17</v>
      </c>
      <c r="C566" s="10" t="s">
        <v>1872</v>
      </c>
      <c r="D566" s="10">
        <v>1.0</v>
      </c>
      <c r="F566" s="10">
        <v>0.0</v>
      </c>
      <c r="G566" s="10">
        <v>0.0</v>
      </c>
      <c r="H566" s="10">
        <v>1.0</v>
      </c>
    </row>
    <row r="567" ht="15.75" customHeight="1">
      <c r="A567" s="7" t="s">
        <v>1874</v>
      </c>
      <c r="B567" s="10" t="s">
        <v>17</v>
      </c>
      <c r="D567" s="10">
        <v>1.0</v>
      </c>
      <c r="F567" s="10">
        <v>0.0</v>
      </c>
      <c r="G567" s="10">
        <v>0.0</v>
      </c>
      <c r="H567" s="10">
        <v>1.0</v>
      </c>
    </row>
    <row r="568" ht="15.75" customHeight="1">
      <c r="A568" s="7" t="s">
        <v>1876</v>
      </c>
      <c r="B568" s="10" t="s">
        <v>91</v>
      </c>
      <c r="C568" s="10" t="s">
        <v>1877</v>
      </c>
      <c r="D568" s="10">
        <v>1.0</v>
      </c>
      <c r="F568" s="10">
        <v>0.0</v>
      </c>
      <c r="G568" s="10">
        <v>0.0</v>
      </c>
      <c r="H568" s="10">
        <v>1.0</v>
      </c>
    </row>
    <row r="569" ht="15.75" customHeight="1">
      <c r="A569" s="10" t="s">
        <v>1879</v>
      </c>
      <c r="B569" s="10" t="s">
        <v>91</v>
      </c>
      <c r="D569" s="10">
        <v>1.0</v>
      </c>
      <c r="F569" s="10">
        <v>0.0</v>
      </c>
      <c r="G569" s="10">
        <v>0.0</v>
      </c>
      <c r="H569" s="10">
        <v>1.0</v>
      </c>
    </row>
    <row r="570" ht="15.75" customHeight="1">
      <c r="A570" s="7" t="s">
        <v>1881</v>
      </c>
      <c r="B570" s="10" t="s">
        <v>17</v>
      </c>
      <c r="C570" s="10" t="s">
        <v>384</v>
      </c>
      <c r="D570" s="10">
        <v>1.0</v>
      </c>
      <c r="F570" s="10">
        <v>0.0</v>
      </c>
      <c r="G570" s="10">
        <v>0.0</v>
      </c>
      <c r="H570" s="10">
        <v>0.0</v>
      </c>
    </row>
    <row r="571" ht="15.75" customHeight="1">
      <c r="A571" s="7" t="s">
        <v>1885</v>
      </c>
      <c r="B571" s="10" t="s">
        <v>17</v>
      </c>
      <c r="D571" s="10">
        <v>1.0</v>
      </c>
      <c r="F571" s="10">
        <v>0.0</v>
      </c>
      <c r="G571" s="10">
        <v>0.0</v>
      </c>
      <c r="H571" s="10">
        <v>0.0</v>
      </c>
    </row>
    <row r="572" ht="15.75" customHeight="1">
      <c r="A572" s="7" t="s">
        <v>1889</v>
      </c>
      <c r="B572" s="10" t="s">
        <v>17</v>
      </c>
      <c r="C572" s="10" t="s">
        <v>1893</v>
      </c>
      <c r="D572" s="10">
        <v>1.0</v>
      </c>
      <c r="F572" s="10">
        <v>0.0</v>
      </c>
      <c r="G572" s="10">
        <v>0.0</v>
      </c>
      <c r="H572" s="10">
        <v>0.0</v>
      </c>
    </row>
    <row r="573" ht="15.75" customHeight="1">
      <c r="A573" s="10" t="s">
        <v>1895</v>
      </c>
      <c r="B573" s="10" t="s">
        <v>17</v>
      </c>
      <c r="D573" s="10">
        <v>1.0</v>
      </c>
      <c r="E573" s="10">
        <v>-1.0</v>
      </c>
      <c r="F573" s="10">
        <v>0.0</v>
      </c>
      <c r="G573" s="10">
        <v>0.0</v>
      </c>
      <c r="H573" s="10">
        <v>0.0</v>
      </c>
      <c r="I573" s="10">
        <v>0.0</v>
      </c>
    </row>
    <row r="574" ht="15.75" customHeight="1">
      <c r="A574" s="7" t="s">
        <v>1896</v>
      </c>
      <c r="B574" s="10" t="s">
        <v>17</v>
      </c>
      <c r="D574" s="10">
        <v>1.0</v>
      </c>
      <c r="F574" s="10">
        <v>0.0</v>
      </c>
      <c r="G574" s="10">
        <v>0.0</v>
      </c>
      <c r="H574" s="10">
        <v>0.0</v>
      </c>
    </row>
    <row r="575" ht="15.75" customHeight="1">
      <c r="A575" s="7" t="s">
        <v>1901</v>
      </c>
      <c r="B575" s="10" t="s">
        <v>17</v>
      </c>
      <c r="C575" s="10" t="s">
        <v>636</v>
      </c>
      <c r="D575" s="10">
        <v>1.0</v>
      </c>
      <c r="E575" s="10">
        <v>-8.0</v>
      </c>
      <c r="F575" s="10">
        <v>0.0</v>
      </c>
      <c r="G575" s="10">
        <v>0.0</v>
      </c>
      <c r="H575" s="10">
        <v>2.0</v>
      </c>
      <c r="I575" s="10">
        <v>1.67</v>
      </c>
    </row>
    <row r="576" ht="15.75" customHeight="1">
      <c r="A576" s="7" t="s">
        <v>1904</v>
      </c>
      <c r="B576" s="10" t="s">
        <v>17</v>
      </c>
      <c r="C576" s="10" t="s">
        <v>1906</v>
      </c>
      <c r="D576" s="10">
        <v>1.0</v>
      </c>
      <c r="F576" s="10">
        <v>0.0</v>
      </c>
      <c r="G576" s="10">
        <v>0.0</v>
      </c>
      <c r="H576" s="10">
        <v>0.0</v>
      </c>
    </row>
    <row r="577" ht="15.75" customHeight="1">
      <c r="A577" s="7" t="s">
        <v>1908</v>
      </c>
      <c r="B577" s="10" t="s">
        <v>17</v>
      </c>
      <c r="D577" s="10">
        <v>1.0</v>
      </c>
      <c r="F577" s="10">
        <v>0.0</v>
      </c>
      <c r="G577" s="10">
        <v>0.0</v>
      </c>
      <c r="H577" s="10">
        <v>1.0</v>
      </c>
    </row>
    <row r="578" ht="15.75" customHeight="1">
      <c r="A578" s="7" t="s">
        <v>1911</v>
      </c>
      <c r="B578" s="10" t="s">
        <v>279</v>
      </c>
      <c r="C578" s="10" t="s">
        <v>1913</v>
      </c>
      <c r="D578" s="10">
        <v>1.0</v>
      </c>
      <c r="F578" s="10">
        <v>0.0</v>
      </c>
      <c r="G578" s="10">
        <v>0.0</v>
      </c>
      <c r="H578" s="10">
        <v>1.0</v>
      </c>
    </row>
    <row r="579" ht="15.75" customHeight="1">
      <c r="A579" s="7" t="s">
        <v>1914</v>
      </c>
      <c r="B579" s="10" t="s">
        <v>17</v>
      </c>
      <c r="C579" s="10" t="s">
        <v>1916</v>
      </c>
      <c r="D579" s="10">
        <v>1.0</v>
      </c>
      <c r="E579" s="10">
        <v>-11.0</v>
      </c>
      <c r="F579" s="10">
        <v>0.0</v>
      </c>
      <c r="G579" s="10">
        <v>0.0</v>
      </c>
      <c r="H579" s="10">
        <v>0.0</v>
      </c>
      <c r="I579" s="10">
        <v>-0.17</v>
      </c>
    </row>
    <row r="580" ht="15.75" customHeight="1">
      <c r="A580" s="7" t="s">
        <v>1918</v>
      </c>
      <c r="B580" s="10" t="s">
        <v>17</v>
      </c>
      <c r="D580" s="10">
        <v>1.0</v>
      </c>
      <c r="F580" s="10">
        <v>0.0</v>
      </c>
      <c r="G580" s="10">
        <v>0.0</v>
      </c>
      <c r="H580" s="10">
        <v>0.0</v>
      </c>
    </row>
    <row r="581" ht="15.75" customHeight="1">
      <c r="A581" s="7" t="s">
        <v>1923</v>
      </c>
      <c r="B581" s="10" t="s">
        <v>17</v>
      </c>
      <c r="D581" s="10">
        <v>1.0</v>
      </c>
      <c r="F581" s="10">
        <v>0.0</v>
      </c>
      <c r="G581" s="10">
        <v>0.0</v>
      </c>
      <c r="H581" s="10">
        <v>0.0</v>
      </c>
    </row>
    <row r="582" ht="15.75" customHeight="1">
      <c r="A582" s="7" t="s">
        <v>1926</v>
      </c>
      <c r="B582" s="10" t="s">
        <v>17</v>
      </c>
      <c r="D582" s="10">
        <v>1.0</v>
      </c>
      <c r="E582" s="10">
        <v>0.0</v>
      </c>
      <c r="F582" s="10">
        <v>0.0</v>
      </c>
      <c r="G582" s="10">
        <v>0.0</v>
      </c>
      <c r="H582" s="10">
        <v>0.0</v>
      </c>
      <c r="I582" s="10">
        <v>0.0</v>
      </c>
    </row>
    <row r="583" ht="15.75" customHeight="1">
      <c r="A583" s="7" t="s">
        <v>1931</v>
      </c>
      <c r="B583" s="10" t="s">
        <v>17</v>
      </c>
      <c r="D583" s="10">
        <v>1.0</v>
      </c>
      <c r="F583" s="10">
        <v>0.0</v>
      </c>
      <c r="G583" s="10">
        <v>0.0</v>
      </c>
      <c r="H583" s="10">
        <v>0.0</v>
      </c>
    </row>
    <row r="584" ht="15.75" customHeight="1">
      <c r="A584" s="7" t="s">
        <v>1936</v>
      </c>
      <c r="B584" s="10" t="s">
        <v>17</v>
      </c>
      <c r="C584" s="10" t="s">
        <v>157</v>
      </c>
      <c r="D584" s="10">
        <v>1.0</v>
      </c>
      <c r="E584" s="10">
        <v>0.0</v>
      </c>
      <c r="F584" s="10">
        <v>0.0</v>
      </c>
      <c r="G584" s="10">
        <v>0.0</v>
      </c>
      <c r="H584" s="10">
        <v>1.0</v>
      </c>
      <c r="I584" s="10">
        <v>0.0</v>
      </c>
    </row>
    <row r="585" ht="15.75" customHeight="1">
      <c r="A585" s="7" t="s">
        <v>1940</v>
      </c>
      <c r="B585" s="10" t="s">
        <v>44</v>
      </c>
      <c r="C585" s="10" t="s">
        <v>561</v>
      </c>
      <c r="D585" s="10">
        <v>1.0</v>
      </c>
      <c r="F585" s="10">
        <v>0.0</v>
      </c>
      <c r="G585" s="10">
        <v>0.0</v>
      </c>
      <c r="H585" s="10">
        <v>1.0</v>
      </c>
    </row>
    <row r="586" ht="15.75" customHeight="1">
      <c r="A586" s="7" t="s">
        <v>1943</v>
      </c>
      <c r="B586" s="10" t="s">
        <v>91</v>
      </c>
      <c r="C586" s="10" t="s">
        <v>157</v>
      </c>
      <c r="D586" s="10">
        <v>1.0</v>
      </c>
      <c r="F586" s="10">
        <v>0.0</v>
      </c>
      <c r="G586" s="10">
        <v>0.0</v>
      </c>
      <c r="H586" s="10">
        <v>1.0</v>
      </c>
    </row>
    <row r="587" ht="15.75" customHeight="1">
      <c r="A587" s="7" t="s">
        <v>1944</v>
      </c>
      <c r="B587" s="10" t="s">
        <v>17</v>
      </c>
      <c r="C587" s="10" t="s">
        <v>340</v>
      </c>
      <c r="D587" s="10">
        <v>1.0</v>
      </c>
      <c r="F587" s="10">
        <v>0.0</v>
      </c>
      <c r="G587" s="10">
        <v>0.0</v>
      </c>
      <c r="H587" s="10">
        <v>0.0</v>
      </c>
    </row>
    <row r="588" ht="15.75" customHeight="1">
      <c r="A588" s="7" t="s">
        <v>1947</v>
      </c>
      <c r="B588" s="10" t="s">
        <v>17</v>
      </c>
      <c r="C588" s="10" t="s">
        <v>1950</v>
      </c>
      <c r="D588" s="10">
        <v>1.0</v>
      </c>
      <c r="F588" s="10">
        <v>0.0</v>
      </c>
      <c r="G588" s="10">
        <v>0.0</v>
      </c>
      <c r="H588" s="10">
        <v>1.0</v>
      </c>
    </row>
    <row r="589" ht="15.75" customHeight="1">
      <c r="A589" s="7" t="s">
        <v>1951</v>
      </c>
      <c r="B589" s="10" t="s">
        <v>37</v>
      </c>
      <c r="C589" s="10" t="s">
        <v>1402</v>
      </c>
      <c r="D589" s="10">
        <v>1.0</v>
      </c>
      <c r="F589" s="10">
        <v>0.0</v>
      </c>
      <c r="G589" s="10">
        <v>0.0</v>
      </c>
      <c r="H589" s="10">
        <v>1.0</v>
      </c>
    </row>
    <row r="590" ht="15.75" customHeight="1">
      <c r="A590" s="7" t="s">
        <v>1953</v>
      </c>
      <c r="B590" s="10" t="s">
        <v>17</v>
      </c>
      <c r="D590" s="10">
        <v>1.0</v>
      </c>
      <c r="F590" s="10">
        <v>0.0</v>
      </c>
      <c r="G590" s="10">
        <v>0.0</v>
      </c>
      <c r="H590" s="10">
        <v>1.0</v>
      </c>
    </row>
    <row r="591" ht="15.75" customHeight="1">
      <c r="A591" s="7" t="s">
        <v>1957</v>
      </c>
      <c r="B591" s="10" t="s">
        <v>75</v>
      </c>
      <c r="C591" s="10" t="s">
        <v>1959</v>
      </c>
      <c r="D591" s="10">
        <v>1.0</v>
      </c>
      <c r="F591" s="10">
        <v>0.0</v>
      </c>
      <c r="G591" s="10">
        <v>0.0</v>
      </c>
      <c r="H591" s="10">
        <v>1.0</v>
      </c>
    </row>
    <row r="592" ht="15.75" customHeight="1">
      <c r="A592" s="7" t="s">
        <v>1961</v>
      </c>
      <c r="B592" s="10" t="s">
        <v>91</v>
      </c>
      <c r="C592" s="10" t="s">
        <v>1965</v>
      </c>
      <c r="D592" s="10">
        <v>1.0</v>
      </c>
      <c r="F592" s="10">
        <v>0.0</v>
      </c>
      <c r="G592" s="10">
        <v>0.0</v>
      </c>
      <c r="H592" s="10">
        <v>1.0</v>
      </c>
    </row>
    <row r="593" ht="15.75" customHeight="1">
      <c r="A593" s="7" t="s">
        <v>1967</v>
      </c>
      <c r="B593" s="10" t="s">
        <v>17</v>
      </c>
      <c r="D593" s="10">
        <v>1.0</v>
      </c>
      <c r="F593" s="10">
        <v>0.0</v>
      </c>
      <c r="G593" s="10">
        <v>0.0</v>
      </c>
      <c r="H593" s="10">
        <v>0.0</v>
      </c>
    </row>
    <row r="594" ht="15.75" customHeight="1">
      <c r="A594" s="7" t="s">
        <v>1968</v>
      </c>
      <c r="B594" s="10" t="s">
        <v>17</v>
      </c>
      <c r="C594" s="10" t="s">
        <v>1970</v>
      </c>
      <c r="D594" s="10">
        <v>1.0</v>
      </c>
      <c r="F594" s="10">
        <v>0.0</v>
      </c>
      <c r="G594" s="10">
        <v>0.0</v>
      </c>
      <c r="H594" s="10">
        <v>1.0</v>
      </c>
    </row>
    <row r="595" ht="15.75" customHeight="1">
      <c r="A595" s="7" t="s">
        <v>1971</v>
      </c>
      <c r="B595" s="10" t="s">
        <v>17</v>
      </c>
      <c r="C595" s="10" t="s">
        <v>1974</v>
      </c>
      <c r="D595" s="10">
        <v>1.0</v>
      </c>
      <c r="F595" s="10">
        <v>0.0</v>
      </c>
      <c r="G595" s="10">
        <v>0.0</v>
      </c>
      <c r="H595" s="10">
        <v>0.0</v>
      </c>
    </row>
    <row r="596" ht="15.75" customHeight="1">
      <c r="A596" s="10" t="s">
        <v>1976</v>
      </c>
      <c r="B596" s="10" t="s">
        <v>17</v>
      </c>
      <c r="C596" s="10" t="s">
        <v>340</v>
      </c>
      <c r="D596" s="10">
        <v>1.0</v>
      </c>
      <c r="F596" s="10">
        <v>0.0</v>
      </c>
      <c r="G596" s="10">
        <v>0.0</v>
      </c>
      <c r="H596" s="10">
        <v>1.0</v>
      </c>
    </row>
    <row r="597" ht="15.75" customHeight="1">
      <c r="A597" s="7" t="s">
        <v>1978</v>
      </c>
      <c r="B597" s="10" t="s">
        <v>17</v>
      </c>
      <c r="C597" s="10" t="s">
        <v>1982</v>
      </c>
      <c r="D597" s="10">
        <v>1.0</v>
      </c>
      <c r="E597" s="10">
        <v>0.0</v>
      </c>
      <c r="F597" s="10">
        <v>0.0</v>
      </c>
      <c r="G597" s="10">
        <v>0.0</v>
      </c>
      <c r="H597" s="10">
        <v>0.0</v>
      </c>
      <c r="I597" s="10">
        <v>0.0</v>
      </c>
    </row>
    <row r="598" ht="15.75" customHeight="1">
      <c r="A598" s="7" t="s">
        <v>1983</v>
      </c>
      <c r="B598" s="10" t="s">
        <v>17</v>
      </c>
      <c r="D598" s="10">
        <v>1.0</v>
      </c>
      <c r="F598" s="10">
        <v>0.0</v>
      </c>
      <c r="G598" s="10">
        <v>0.0</v>
      </c>
      <c r="H598" s="10">
        <v>0.0</v>
      </c>
    </row>
    <row r="599" ht="15.75" customHeight="1">
      <c r="A599" s="7" t="s">
        <v>1988</v>
      </c>
      <c r="B599" s="10" t="s">
        <v>17</v>
      </c>
      <c r="D599" s="10">
        <v>1.0</v>
      </c>
      <c r="F599" s="10">
        <v>0.0</v>
      </c>
      <c r="G599" s="10">
        <v>0.0</v>
      </c>
      <c r="H599" s="10">
        <v>0.0</v>
      </c>
    </row>
    <row r="600" ht="15.75" customHeight="1">
      <c r="A600" s="7" t="s">
        <v>1990</v>
      </c>
      <c r="B600" s="10" t="s">
        <v>17</v>
      </c>
      <c r="D600" s="10">
        <v>1.0</v>
      </c>
      <c r="F600" s="10">
        <v>0.0</v>
      </c>
      <c r="G600" s="10">
        <v>0.0</v>
      </c>
      <c r="H600" s="10">
        <v>3.0</v>
      </c>
    </row>
    <row r="601" ht="15.75" customHeight="1">
      <c r="A601" s="7" t="s">
        <v>1993</v>
      </c>
      <c r="B601" s="10" t="s">
        <v>17</v>
      </c>
      <c r="D601" s="10">
        <v>1.0</v>
      </c>
      <c r="F601" s="10">
        <v>0.0</v>
      </c>
      <c r="G601" s="10">
        <v>0.0</v>
      </c>
      <c r="H601" s="10">
        <v>2.0</v>
      </c>
    </row>
    <row r="602" ht="15.75" customHeight="1">
      <c r="A602" s="7" t="s">
        <v>1997</v>
      </c>
      <c r="B602" s="10" t="s">
        <v>91</v>
      </c>
      <c r="C602" s="10" t="s">
        <v>384</v>
      </c>
      <c r="D602" s="10">
        <v>1.0</v>
      </c>
      <c r="F602" s="10">
        <v>0.0</v>
      </c>
      <c r="G602" s="10">
        <v>0.0</v>
      </c>
      <c r="H602" s="10">
        <v>1.0</v>
      </c>
    </row>
    <row r="603" ht="15.75" customHeight="1">
      <c r="A603" s="7" t="s">
        <v>1998</v>
      </c>
      <c r="B603" s="10" t="s">
        <v>17</v>
      </c>
      <c r="D603" s="10">
        <v>1.0</v>
      </c>
      <c r="F603" s="10">
        <v>0.0</v>
      </c>
      <c r="G603" s="10">
        <v>0.0</v>
      </c>
      <c r="H603" s="10">
        <v>3.0</v>
      </c>
    </row>
    <row r="604" ht="15.75" customHeight="1">
      <c r="A604" s="10" t="s">
        <v>2002</v>
      </c>
      <c r="B604" s="10" t="s">
        <v>17</v>
      </c>
      <c r="D604" s="10">
        <v>1.0</v>
      </c>
      <c r="F604" s="10">
        <v>0.0</v>
      </c>
      <c r="G604" s="10">
        <v>0.0</v>
      </c>
      <c r="H604" s="10">
        <v>1.0</v>
      </c>
    </row>
    <row r="605" ht="15.75" customHeight="1">
      <c r="A605" s="7" t="s">
        <v>2004</v>
      </c>
      <c r="B605" s="10" t="s">
        <v>17</v>
      </c>
      <c r="D605" s="10">
        <v>1.0</v>
      </c>
      <c r="E605" s="10">
        <v>-2.0</v>
      </c>
      <c r="F605" s="10">
        <v>0.0</v>
      </c>
      <c r="G605" s="10">
        <v>0.0</v>
      </c>
      <c r="H605" s="10">
        <v>1.0</v>
      </c>
      <c r="I605" s="10">
        <v>0.0</v>
      </c>
    </row>
    <row r="606" ht="15.75" customHeight="1">
      <c r="A606" s="7" t="s">
        <v>2007</v>
      </c>
      <c r="B606" s="10" t="s">
        <v>17</v>
      </c>
      <c r="D606" s="10">
        <v>1.0</v>
      </c>
      <c r="F606" s="10">
        <v>0.0</v>
      </c>
      <c r="G606" s="10">
        <v>0.0</v>
      </c>
      <c r="H606" s="10">
        <v>0.0</v>
      </c>
    </row>
    <row r="607" ht="15.75" customHeight="1">
      <c r="A607" s="7" t="s">
        <v>2011</v>
      </c>
      <c r="B607" s="10" t="s">
        <v>17</v>
      </c>
      <c r="C607" s="10" t="s">
        <v>157</v>
      </c>
      <c r="D607" s="10">
        <v>1.0</v>
      </c>
      <c r="E607" s="10">
        <v>-2.0</v>
      </c>
      <c r="F607" s="10">
        <v>0.0</v>
      </c>
      <c r="G607" s="10">
        <v>0.0</v>
      </c>
      <c r="H607" s="10">
        <v>2.0</v>
      </c>
      <c r="I607" s="10">
        <v>-0.33</v>
      </c>
    </row>
    <row r="608" ht="15.75" customHeight="1">
      <c r="A608" s="7" t="s">
        <v>2013</v>
      </c>
      <c r="B608" s="10" t="s">
        <v>17</v>
      </c>
      <c r="C608" s="10" t="s">
        <v>2015</v>
      </c>
      <c r="D608" s="10">
        <v>1.0</v>
      </c>
      <c r="F608" s="10">
        <v>0.0</v>
      </c>
      <c r="G608" s="10">
        <v>0.0</v>
      </c>
      <c r="H608" s="10">
        <v>0.0</v>
      </c>
    </row>
    <row r="609" ht="15.75" customHeight="1">
      <c r="A609" s="7" t="s">
        <v>2017</v>
      </c>
      <c r="B609" s="10" t="s">
        <v>17</v>
      </c>
      <c r="D609" s="10">
        <v>1.0</v>
      </c>
      <c r="E609" s="10">
        <v>-1.0</v>
      </c>
      <c r="F609" s="10">
        <v>0.0</v>
      </c>
      <c r="G609" s="10">
        <v>0.0</v>
      </c>
      <c r="H609" s="10">
        <v>0.0</v>
      </c>
      <c r="I609" s="10">
        <v>0.0</v>
      </c>
    </row>
    <row r="610" ht="15.75" customHeight="1">
      <c r="A610" s="7" t="s">
        <v>2020</v>
      </c>
      <c r="B610" s="10" t="s">
        <v>44</v>
      </c>
      <c r="C610" s="10" t="s">
        <v>2022</v>
      </c>
      <c r="D610" s="10">
        <v>1.0</v>
      </c>
      <c r="E610" s="10">
        <v>0.0</v>
      </c>
      <c r="F610" s="10">
        <v>0.0</v>
      </c>
      <c r="G610" s="10">
        <v>0.0</v>
      </c>
      <c r="H610" s="10">
        <v>1.0</v>
      </c>
      <c r="I610" s="10">
        <v>-1.0</v>
      </c>
    </row>
    <row r="611" ht="15.75" customHeight="1">
      <c r="A611" s="7" t="s">
        <v>2023</v>
      </c>
      <c r="B611" s="10" t="s">
        <v>37</v>
      </c>
      <c r="C611" s="10" t="s">
        <v>1024</v>
      </c>
      <c r="D611" s="10">
        <v>1.0</v>
      </c>
      <c r="F611" s="10">
        <v>0.0</v>
      </c>
      <c r="G611" s="10">
        <v>0.0</v>
      </c>
      <c r="H611" s="10">
        <v>1.0</v>
      </c>
    </row>
    <row r="612" ht="15.75" customHeight="1">
      <c r="A612" s="7" t="s">
        <v>2025</v>
      </c>
      <c r="B612" s="10" t="s">
        <v>17</v>
      </c>
      <c r="C612" s="10" t="s">
        <v>384</v>
      </c>
      <c r="D612" s="10">
        <v>1.0</v>
      </c>
      <c r="F612" s="10">
        <v>0.0</v>
      </c>
      <c r="G612" s="10">
        <v>0.0</v>
      </c>
      <c r="H612" s="10">
        <v>1.0</v>
      </c>
    </row>
    <row r="613" ht="15.75" customHeight="1">
      <c r="A613" s="7" t="s">
        <v>2027</v>
      </c>
      <c r="B613" s="10" t="s">
        <v>17</v>
      </c>
      <c r="D613" s="10">
        <v>1.0</v>
      </c>
      <c r="E613" s="10">
        <v>0.0</v>
      </c>
      <c r="F613" s="10">
        <v>0.0</v>
      </c>
      <c r="G613" s="10">
        <v>0.0</v>
      </c>
      <c r="H613" s="10">
        <v>1.0</v>
      </c>
      <c r="I613" s="10">
        <v>0.0</v>
      </c>
    </row>
    <row r="614" ht="15.75" customHeight="1">
      <c r="A614" s="7" t="s">
        <v>2029</v>
      </c>
      <c r="B614" s="10" t="s">
        <v>279</v>
      </c>
      <c r="C614" s="10" t="s">
        <v>146</v>
      </c>
      <c r="D614" s="10">
        <v>1.0</v>
      </c>
      <c r="F614" s="10">
        <v>0.0</v>
      </c>
      <c r="G614" s="10">
        <v>0.0</v>
      </c>
      <c r="H614" s="10">
        <v>2.0</v>
      </c>
    </row>
    <row r="615" ht="15.75" customHeight="1">
      <c r="A615" s="7" t="s">
        <v>2034</v>
      </c>
      <c r="B615" s="10" t="s">
        <v>75</v>
      </c>
      <c r="C615" s="10" t="s">
        <v>2036</v>
      </c>
      <c r="D615" s="10">
        <v>1.0</v>
      </c>
      <c r="F615" s="10">
        <v>0.0</v>
      </c>
      <c r="G615" s="10">
        <v>0.0</v>
      </c>
      <c r="H615" s="10">
        <v>0.0</v>
      </c>
    </row>
    <row r="616" ht="15.75" customHeight="1">
      <c r="A616" s="7" t="s">
        <v>2037</v>
      </c>
      <c r="B616" s="10" t="s">
        <v>91</v>
      </c>
      <c r="C616" s="10" t="s">
        <v>2039</v>
      </c>
      <c r="D616" s="10">
        <v>1.0</v>
      </c>
      <c r="F616" s="10">
        <v>0.0</v>
      </c>
      <c r="G616" s="10">
        <v>0.0</v>
      </c>
      <c r="H616" s="10">
        <v>0.0</v>
      </c>
    </row>
    <row r="617" ht="15.75" customHeight="1">
      <c r="A617" s="7" t="s">
        <v>2040</v>
      </c>
      <c r="B617" s="10" t="s">
        <v>17</v>
      </c>
      <c r="D617" s="10">
        <v>1.0</v>
      </c>
      <c r="E617" s="10">
        <v>-1.0</v>
      </c>
      <c r="F617" s="10">
        <v>0.0</v>
      </c>
      <c r="G617" s="10">
        <v>0.0</v>
      </c>
      <c r="H617" s="10">
        <v>0.0</v>
      </c>
      <c r="I617" s="10">
        <v>0.0</v>
      </c>
    </row>
    <row r="618" ht="15.75" customHeight="1">
      <c r="A618" s="7" t="s">
        <v>2044</v>
      </c>
      <c r="B618" s="10" t="s">
        <v>75</v>
      </c>
      <c r="C618" s="10" t="s">
        <v>1714</v>
      </c>
      <c r="D618" s="10">
        <v>1.0</v>
      </c>
      <c r="F618" s="10">
        <v>0.0</v>
      </c>
      <c r="G618" s="10">
        <v>0.0</v>
      </c>
      <c r="H618" s="10">
        <v>0.0</v>
      </c>
    </row>
    <row r="619" ht="15.75" customHeight="1">
      <c r="A619" s="7" t="s">
        <v>2045</v>
      </c>
      <c r="B619" s="10" t="s">
        <v>17</v>
      </c>
      <c r="D619" s="10">
        <v>1.0</v>
      </c>
      <c r="F619" s="10">
        <v>0.0</v>
      </c>
      <c r="G619" s="10">
        <v>0.0</v>
      </c>
      <c r="H619" s="10">
        <v>1.0</v>
      </c>
    </row>
    <row r="620" ht="15.75" customHeight="1">
      <c r="A620" s="7" t="s">
        <v>2046</v>
      </c>
      <c r="B620" s="10" t="s">
        <v>91</v>
      </c>
      <c r="C620" s="10" t="s">
        <v>2048</v>
      </c>
      <c r="D620" s="10">
        <v>1.0</v>
      </c>
      <c r="E620" s="10">
        <v>-5.0</v>
      </c>
      <c r="F620" s="10">
        <v>0.0</v>
      </c>
      <c r="G620" s="10">
        <v>0.0</v>
      </c>
      <c r="H620" s="10">
        <v>0.0</v>
      </c>
      <c r="I620" s="10">
        <v>0.0</v>
      </c>
    </row>
    <row r="621" ht="15.75" customHeight="1">
      <c r="A621" s="7" t="s">
        <v>2050</v>
      </c>
      <c r="B621" s="10" t="s">
        <v>75</v>
      </c>
      <c r="C621" s="10" t="s">
        <v>2052</v>
      </c>
      <c r="D621" s="10">
        <v>1.0</v>
      </c>
      <c r="F621" s="10">
        <v>0.0</v>
      </c>
      <c r="G621" s="10">
        <v>0.0</v>
      </c>
      <c r="H621" s="10">
        <v>1.0</v>
      </c>
    </row>
    <row r="622" ht="15.75" customHeight="1">
      <c r="A622" s="7" t="s">
        <v>2053</v>
      </c>
      <c r="B622" s="10" t="s">
        <v>17</v>
      </c>
      <c r="D622" s="10">
        <v>1.0</v>
      </c>
      <c r="F622" s="10">
        <v>0.0</v>
      </c>
      <c r="G622" s="10">
        <v>0.0</v>
      </c>
      <c r="H622" s="10">
        <v>0.0</v>
      </c>
    </row>
    <row r="623" ht="15.75" customHeight="1">
      <c r="A623" s="7" t="s">
        <v>2056</v>
      </c>
      <c r="B623" s="10" t="s">
        <v>17</v>
      </c>
      <c r="C623" s="10" t="s">
        <v>2058</v>
      </c>
      <c r="D623" s="10">
        <v>1.0</v>
      </c>
      <c r="E623" s="10">
        <v>-11.0</v>
      </c>
      <c r="F623" s="10">
        <v>0.0</v>
      </c>
      <c r="G623" s="10">
        <v>0.0</v>
      </c>
      <c r="H623" s="10">
        <v>1.0</v>
      </c>
      <c r="I623" s="10">
        <v>-0.08</v>
      </c>
    </row>
    <row r="624" ht="15.75" customHeight="1">
      <c r="A624" s="7" t="s">
        <v>2060</v>
      </c>
      <c r="B624" s="10" t="s">
        <v>17</v>
      </c>
      <c r="D624" s="10">
        <v>1.0</v>
      </c>
      <c r="F624" s="10">
        <v>0.0</v>
      </c>
      <c r="G624" s="10">
        <v>0.0</v>
      </c>
      <c r="H624" s="10">
        <v>0.0</v>
      </c>
    </row>
    <row r="625" ht="15.75" customHeight="1">
      <c r="A625" s="7" t="s">
        <v>2062</v>
      </c>
      <c r="B625" s="10" t="s">
        <v>17</v>
      </c>
      <c r="D625" s="10">
        <v>1.0</v>
      </c>
      <c r="E625" s="10">
        <v>0.0</v>
      </c>
      <c r="F625" s="10">
        <v>0.0</v>
      </c>
      <c r="G625" s="10">
        <v>0.0</v>
      </c>
      <c r="H625" s="10">
        <v>2.0</v>
      </c>
      <c r="I625" s="10">
        <v>2.0</v>
      </c>
    </row>
    <row r="626" ht="15.75" customHeight="1">
      <c r="A626" s="7" t="s">
        <v>2064</v>
      </c>
      <c r="B626" s="10" t="s">
        <v>17</v>
      </c>
      <c r="D626" s="10">
        <v>1.0</v>
      </c>
      <c r="F626" s="10">
        <v>0.0</v>
      </c>
      <c r="G626" s="10">
        <v>0.0</v>
      </c>
      <c r="H626" s="10">
        <v>0.0</v>
      </c>
    </row>
    <row r="627" ht="15.75" customHeight="1">
      <c r="A627" s="7" t="s">
        <v>2066</v>
      </c>
      <c r="B627" s="10" t="s">
        <v>17</v>
      </c>
      <c r="C627" s="10" t="s">
        <v>384</v>
      </c>
      <c r="D627" s="10">
        <v>1.0</v>
      </c>
      <c r="E627" s="10">
        <v>-1.0</v>
      </c>
      <c r="F627" s="10">
        <v>0.0</v>
      </c>
      <c r="G627" s="10">
        <v>0.0</v>
      </c>
      <c r="H627" s="10">
        <v>1.0</v>
      </c>
      <c r="I627" s="10">
        <v>0.0</v>
      </c>
    </row>
    <row r="628" ht="15.75" customHeight="1">
      <c r="A628" s="7" t="s">
        <v>2067</v>
      </c>
      <c r="B628" s="10" t="s">
        <v>17</v>
      </c>
      <c r="D628" s="10">
        <v>1.0</v>
      </c>
      <c r="F628" s="10">
        <v>0.0</v>
      </c>
      <c r="G628" s="10">
        <v>0.0</v>
      </c>
      <c r="H628" s="10">
        <v>1.0</v>
      </c>
    </row>
    <row r="629" ht="15.75" customHeight="1">
      <c r="A629" s="7" t="s">
        <v>2070</v>
      </c>
      <c r="B629" s="10" t="s">
        <v>17</v>
      </c>
      <c r="C629" s="10" t="s">
        <v>798</v>
      </c>
      <c r="D629" s="10">
        <v>1.0</v>
      </c>
      <c r="F629" s="10">
        <v>0.0</v>
      </c>
      <c r="G629" s="10">
        <v>0.0</v>
      </c>
      <c r="H629" s="10">
        <v>1.0</v>
      </c>
    </row>
    <row r="630" ht="15.75" customHeight="1">
      <c r="A630" s="7" t="s">
        <v>2074</v>
      </c>
      <c r="B630" s="10" t="s">
        <v>17</v>
      </c>
      <c r="D630" s="10">
        <v>1.0</v>
      </c>
      <c r="F630" s="10">
        <v>0.0</v>
      </c>
      <c r="G630" s="10">
        <v>0.0</v>
      </c>
      <c r="H630" s="10">
        <v>1.0</v>
      </c>
    </row>
    <row r="631" ht="15.75" customHeight="1">
      <c r="A631" s="10" t="s">
        <v>2077</v>
      </c>
      <c r="B631" s="10" t="s">
        <v>17</v>
      </c>
      <c r="C631" s="10" t="s">
        <v>785</v>
      </c>
      <c r="D631" s="10">
        <v>1.0</v>
      </c>
      <c r="F631" s="10">
        <v>0.0</v>
      </c>
      <c r="G631" s="10">
        <v>0.0</v>
      </c>
      <c r="H631" s="10">
        <v>1.0</v>
      </c>
    </row>
    <row r="632" ht="15.75" customHeight="1">
      <c r="A632" s="7" t="s">
        <v>2078</v>
      </c>
      <c r="B632" s="10" t="s">
        <v>17</v>
      </c>
      <c r="D632" s="10">
        <v>1.0</v>
      </c>
      <c r="F632" s="10">
        <v>0.0</v>
      </c>
      <c r="G632" s="10">
        <v>0.0</v>
      </c>
      <c r="H632" s="10">
        <v>1.0</v>
      </c>
    </row>
    <row r="633" ht="15.75" customHeight="1">
      <c r="A633" s="7" t="s">
        <v>2080</v>
      </c>
      <c r="B633" s="10" t="s">
        <v>17</v>
      </c>
      <c r="C633" s="10" t="s">
        <v>2083</v>
      </c>
      <c r="D633" s="10">
        <v>1.0</v>
      </c>
      <c r="F633" s="10">
        <v>0.0</v>
      </c>
      <c r="G633" s="10">
        <v>0.0</v>
      </c>
      <c r="H633" s="10">
        <v>0.0</v>
      </c>
    </row>
    <row r="634" ht="15.75" customHeight="1">
      <c r="A634" s="7" t="s">
        <v>2084</v>
      </c>
      <c r="B634" s="10" t="s">
        <v>17</v>
      </c>
      <c r="C634" s="10" t="s">
        <v>1898</v>
      </c>
      <c r="D634" s="10">
        <v>1.0</v>
      </c>
      <c r="E634" s="10">
        <v>-3.0</v>
      </c>
      <c r="F634" s="10">
        <v>0.0</v>
      </c>
      <c r="G634" s="10">
        <v>0.0</v>
      </c>
      <c r="H634" s="10">
        <v>2.0</v>
      </c>
      <c r="I634" s="10">
        <v>1.5</v>
      </c>
    </row>
    <row r="635" ht="15.75" customHeight="1">
      <c r="A635" s="10" t="s">
        <v>2087</v>
      </c>
      <c r="B635" s="10" t="s">
        <v>17</v>
      </c>
      <c r="D635" s="10">
        <v>1.0</v>
      </c>
      <c r="F635" s="10">
        <v>0.0</v>
      </c>
      <c r="G635" s="10">
        <v>0.0</v>
      </c>
      <c r="H635" s="10">
        <v>0.0</v>
      </c>
    </row>
    <row r="636" ht="15.75" customHeight="1">
      <c r="A636" s="7" t="s">
        <v>2089</v>
      </c>
      <c r="B636" s="10" t="s">
        <v>37</v>
      </c>
      <c r="C636" s="10" t="s">
        <v>561</v>
      </c>
      <c r="D636" s="10">
        <v>1.0</v>
      </c>
      <c r="F636" s="10">
        <v>0.0</v>
      </c>
      <c r="G636" s="10">
        <v>0.0</v>
      </c>
      <c r="H636" s="10">
        <v>1.0</v>
      </c>
    </row>
    <row r="637" ht="15.75" customHeight="1">
      <c r="A637" s="7" t="s">
        <v>2093</v>
      </c>
      <c r="B637" s="10" t="s">
        <v>17</v>
      </c>
      <c r="D637" s="10">
        <v>1.0</v>
      </c>
      <c r="E637" s="10">
        <v>0.0</v>
      </c>
      <c r="F637" s="10">
        <v>0.0</v>
      </c>
      <c r="G637" s="10">
        <v>0.0</v>
      </c>
      <c r="H637" s="10">
        <v>1.0</v>
      </c>
      <c r="I637" s="10">
        <v>1.0</v>
      </c>
    </row>
    <row r="638" ht="15.75" customHeight="1">
      <c r="A638" s="7" t="s">
        <v>2097</v>
      </c>
      <c r="B638" s="10" t="s">
        <v>17</v>
      </c>
      <c r="C638" s="10" t="s">
        <v>2099</v>
      </c>
      <c r="D638" s="10">
        <v>1.0</v>
      </c>
      <c r="F638" s="10">
        <v>0.0</v>
      </c>
      <c r="G638" s="10">
        <v>0.0</v>
      </c>
      <c r="H638" s="10">
        <v>0.0</v>
      </c>
    </row>
    <row r="639" ht="15.75" customHeight="1">
      <c r="A639" s="7" t="s">
        <v>2101</v>
      </c>
      <c r="B639" s="10" t="s">
        <v>56</v>
      </c>
      <c r="C639" s="10" t="s">
        <v>2102</v>
      </c>
      <c r="D639" s="10">
        <v>1.0</v>
      </c>
      <c r="F639" s="10">
        <v>0.0</v>
      </c>
      <c r="G639" s="10">
        <v>0.0</v>
      </c>
      <c r="H639" s="10">
        <v>1.0</v>
      </c>
    </row>
    <row r="640" ht="15.75" customHeight="1">
      <c r="A640" s="7" t="s">
        <v>2104</v>
      </c>
      <c r="B640" s="10" t="s">
        <v>17</v>
      </c>
      <c r="D640" s="10">
        <v>1.0</v>
      </c>
      <c r="F640" s="10">
        <v>0.0</v>
      </c>
      <c r="G640" s="10">
        <v>0.0</v>
      </c>
      <c r="H640" s="10">
        <v>2.0</v>
      </c>
    </row>
    <row r="641" ht="15.75" customHeight="1">
      <c r="A641" s="7" t="s">
        <v>2107</v>
      </c>
      <c r="B641" s="10" t="s">
        <v>17</v>
      </c>
      <c r="C641" s="10" t="s">
        <v>2109</v>
      </c>
      <c r="D641" s="10">
        <v>1.0</v>
      </c>
      <c r="E641" s="10">
        <v>-7.0</v>
      </c>
      <c r="F641" s="10">
        <v>0.0</v>
      </c>
      <c r="G641" s="10">
        <v>0.0</v>
      </c>
      <c r="H641" s="10">
        <v>0.0</v>
      </c>
      <c r="I641" s="10">
        <v>-0.25</v>
      </c>
    </row>
    <row r="642" ht="15.75" customHeight="1">
      <c r="A642" s="7" t="s">
        <v>2110</v>
      </c>
      <c r="B642" s="10" t="s">
        <v>17</v>
      </c>
      <c r="C642" s="10" t="s">
        <v>2111</v>
      </c>
      <c r="D642" s="10">
        <v>1.0</v>
      </c>
      <c r="E642" s="10">
        <v>-4.0</v>
      </c>
      <c r="F642" s="10">
        <v>0.0</v>
      </c>
      <c r="G642" s="10">
        <v>0.0</v>
      </c>
      <c r="H642" s="10">
        <v>0.0</v>
      </c>
      <c r="I642" s="10">
        <v>-0.4</v>
      </c>
    </row>
    <row r="643" ht="15.75" customHeight="1">
      <c r="A643" s="7" t="s">
        <v>2113</v>
      </c>
      <c r="B643" s="10" t="s">
        <v>17</v>
      </c>
      <c r="C643" s="10" t="s">
        <v>2114</v>
      </c>
      <c r="D643" s="10">
        <v>1.0</v>
      </c>
      <c r="F643" s="10">
        <v>0.0</v>
      </c>
      <c r="G643" s="10">
        <v>0.0</v>
      </c>
      <c r="H643" s="10">
        <v>0.0</v>
      </c>
    </row>
    <row r="644" ht="15.75" customHeight="1">
      <c r="A644" s="7" t="s">
        <v>2115</v>
      </c>
      <c r="B644" s="10" t="s">
        <v>17</v>
      </c>
      <c r="C644" s="10" t="s">
        <v>2118</v>
      </c>
      <c r="D644" s="10">
        <v>1.0</v>
      </c>
      <c r="E644" s="10">
        <v>-5.0</v>
      </c>
      <c r="F644" s="10">
        <v>0.0</v>
      </c>
      <c r="G644" s="10">
        <v>0.0</v>
      </c>
      <c r="H644" s="10">
        <v>1.0</v>
      </c>
      <c r="I644" s="10">
        <v>0.17</v>
      </c>
    </row>
    <row r="645" ht="15.75" customHeight="1">
      <c r="A645" s="7" t="s">
        <v>2119</v>
      </c>
      <c r="B645" s="10" t="s">
        <v>17</v>
      </c>
      <c r="C645" s="10" t="s">
        <v>2121</v>
      </c>
      <c r="D645" s="10">
        <v>1.0</v>
      </c>
      <c r="F645" s="10">
        <v>0.0</v>
      </c>
      <c r="G645" s="10">
        <v>0.0</v>
      </c>
      <c r="H645" s="10">
        <v>2.0</v>
      </c>
    </row>
    <row r="646" ht="15.75" customHeight="1">
      <c r="A646" s="10" t="s">
        <v>2122</v>
      </c>
      <c r="B646" s="10" t="s">
        <v>17</v>
      </c>
      <c r="C646" s="10" t="s">
        <v>157</v>
      </c>
      <c r="D646" s="10">
        <v>1.0</v>
      </c>
      <c r="E646" s="10">
        <v>0.0</v>
      </c>
      <c r="F646" s="10">
        <v>0.0</v>
      </c>
      <c r="G646" s="10">
        <v>0.0</v>
      </c>
      <c r="H646" s="10">
        <v>1.0</v>
      </c>
      <c r="I646" s="10">
        <v>0.0</v>
      </c>
    </row>
    <row r="647" ht="15.75" customHeight="1">
      <c r="A647" s="7" t="s">
        <v>2123</v>
      </c>
      <c r="B647" s="10" t="s">
        <v>91</v>
      </c>
      <c r="C647" s="10" t="s">
        <v>2126</v>
      </c>
      <c r="D647" s="10">
        <v>1.0</v>
      </c>
      <c r="F647" s="10">
        <v>0.0</v>
      </c>
      <c r="G647" s="10">
        <v>0.0</v>
      </c>
      <c r="H647" s="10">
        <v>1.0</v>
      </c>
    </row>
    <row r="648" ht="15.75" customHeight="1">
      <c r="A648" s="7" t="s">
        <v>2128</v>
      </c>
      <c r="B648" s="10" t="s">
        <v>17</v>
      </c>
      <c r="D648" s="10">
        <v>1.0</v>
      </c>
      <c r="F648" s="10">
        <v>0.0</v>
      </c>
      <c r="G648" s="10">
        <v>0.0</v>
      </c>
      <c r="H648" s="10">
        <v>0.0</v>
      </c>
    </row>
    <row r="649" ht="15.75" customHeight="1">
      <c r="A649" s="7" t="s">
        <v>2132</v>
      </c>
      <c r="B649" s="10" t="s">
        <v>17</v>
      </c>
      <c r="D649" s="10">
        <v>1.0</v>
      </c>
      <c r="F649" s="10">
        <v>0.0</v>
      </c>
      <c r="G649" s="10">
        <v>0.0</v>
      </c>
      <c r="H649" s="10">
        <v>1.0</v>
      </c>
    </row>
    <row r="650" ht="15.75" customHeight="1">
      <c r="A650" s="7" t="s">
        <v>2136</v>
      </c>
      <c r="B650" s="10" t="s">
        <v>17</v>
      </c>
      <c r="C650" s="10" t="s">
        <v>561</v>
      </c>
      <c r="D650" s="10">
        <v>1.0</v>
      </c>
      <c r="E650" s="10">
        <v>-5.0</v>
      </c>
      <c r="F650" s="10">
        <v>0.0</v>
      </c>
      <c r="G650" s="10">
        <v>0.0</v>
      </c>
      <c r="H650" s="10">
        <v>0.0</v>
      </c>
      <c r="I650" s="10">
        <v>0.0</v>
      </c>
    </row>
    <row r="651" ht="15.75" customHeight="1">
      <c r="A651" s="7" t="s">
        <v>2138</v>
      </c>
      <c r="B651" s="10" t="s">
        <v>17</v>
      </c>
      <c r="C651" s="10" t="s">
        <v>2140</v>
      </c>
      <c r="D651" s="10">
        <v>1.0</v>
      </c>
      <c r="E651" s="10">
        <v>-8.0</v>
      </c>
      <c r="F651" s="10">
        <v>0.0</v>
      </c>
      <c r="G651" s="10">
        <v>0.0</v>
      </c>
      <c r="H651" s="10">
        <v>1.0</v>
      </c>
      <c r="I651" s="10">
        <v>0.22</v>
      </c>
    </row>
    <row r="652" ht="15.75" customHeight="1">
      <c r="A652" s="7" t="s">
        <v>2141</v>
      </c>
      <c r="B652" s="10" t="s">
        <v>17</v>
      </c>
      <c r="C652" s="10" t="s">
        <v>2143</v>
      </c>
      <c r="D652" s="10">
        <v>1.0</v>
      </c>
      <c r="E652" s="10">
        <v>-17.0</v>
      </c>
      <c r="F652" s="10">
        <v>0.0</v>
      </c>
      <c r="G652" s="10">
        <v>0.0</v>
      </c>
      <c r="H652" s="10">
        <v>0.0</v>
      </c>
      <c r="I652" s="10">
        <v>-1.06</v>
      </c>
    </row>
    <row r="653" ht="15.75" customHeight="1">
      <c r="A653" s="7" t="s">
        <v>2144</v>
      </c>
      <c r="B653" s="10" t="s">
        <v>17</v>
      </c>
      <c r="C653" s="10" t="s">
        <v>2145</v>
      </c>
      <c r="D653" s="10">
        <v>1.0</v>
      </c>
      <c r="F653" s="10">
        <v>0.0</v>
      </c>
      <c r="G653" s="10">
        <v>0.0</v>
      </c>
      <c r="H653" s="10">
        <v>0.0</v>
      </c>
    </row>
    <row r="654" ht="15.75" customHeight="1">
      <c r="A654" s="7" t="s">
        <v>2147</v>
      </c>
      <c r="B654" s="10" t="s">
        <v>17</v>
      </c>
      <c r="C654" s="10" t="s">
        <v>384</v>
      </c>
      <c r="D654" s="10">
        <v>1.0</v>
      </c>
      <c r="F654" s="10">
        <v>0.0</v>
      </c>
      <c r="G654" s="10">
        <v>0.0</v>
      </c>
      <c r="H654" s="10">
        <v>0.0</v>
      </c>
    </row>
    <row r="655" ht="15.75" customHeight="1">
      <c r="A655" s="7" t="s">
        <v>2149</v>
      </c>
      <c r="B655" s="10" t="s">
        <v>17</v>
      </c>
      <c r="C655" s="10" t="s">
        <v>2150</v>
      </c>
      <c r="D655" s="10">
        <v>1.0</v>
      </c>
      <c r="F655" s="10">
        <v>0.0</v>
      </c>
      <c r="G655" s="10">
        <v>0.0</v>
      </c>
      <c r="H655" s="10">
        <v>1.0</v>
      </c>
    </row>
    <row r="656" ht="15.75" customHeight="1">
      <c r="A656" s="7" t="s">
        <v>2152</v>
      </c>
      <c r="B656" s="10" t="s">
        <v>56</v>
      </c>
      <c r="C656" s="10" t="s">
        <v>806</v>
      </c>
      <c r="D656" s="10">
        <v>1.0</v>
      </c>
      <c r="F656" s="10">
        <v>0.0</v>
      </c>
      <c r="G656" s="10">
        <v>0.0</v>
      </c>
      <c r="H656" s="10">
        <v>1.0</v>
      </c>
    </row>
    <row r="657" ht="15.75" customHeight="1">
      <c r="A657" s="10" t="s">
        <v>2156</v>
      </c>
      <c r="B657" s="10" t="s">
        <v>37</v>
      </c>
      <c r="C657" s="10" t="s">
        <v>2158</v>
      </c>
      <c r="D657" s="10">
        <v>1.0</v>
      </c>
      <c r="F657" s="10">
        <v>0.0</v>
      </c>
      <c r="G657" s="10">
        <v>0.0</v>
      </c>
      <c r="H657" s="10">
        <v>0.0</v>
      </c>
    </row>
    <row r="658" ht="15.75" customHeight="1">
      <c r="A658" s="7" t="s">
        <v>2160</v>
      </c>
      <c r="B658" s="10" t="s">
        <v>17</v>
      </c>
      <c r="C658" s="10" t="s">
        <v>2121</v>
      </c>
      <c r="D658" s="10">
        <v>1.0</v>
      </c>
      <c r="F658" s="10">
        <v>0.0</v>
      </c>
      <c r="G658" s="10">
        <v>0.0</v>
      </c>
      <c r="H658" s="10">
        <v>0.0</v>
      </c>
    </row>
    <row r="659" ht="15.75" customHeight="1">
      <c r="A659" s="7" t="s">
        <v>2162</v>
      </c>
      <c r="B659" s="10" t="s">
        <v>17</v>
      </c>
      <c r="C659" s="10" t="s">
        <v>2165</v>
      </c>
      <c r="D659" s="10">
        <v>1.0</v>
      </c>
      <c r="E659" s="10">
        <v>-2.0</v>
      </c>
      <c r="F659" s="10">
        <v>0.0</v>
      </c>
      <c r="G659" s="10">
        <v>0.0</v>
      </c>
      <c r="H659" s="10">
        <v>0.0</v>
      </c>
      <c r="I659" s="10">
        <v>-1.0</v>
      </c>
    </row>
    <row r="660" ht="15.75" customHeight="1">
      <c r="A660" s="7" t="s">
        <v>2166</v>
      </c>
      <c r="B660" s="10" t="s">
        <v>37</v>
      </c>
      <c r="C660" s="10" t="s">
        <v>384</v>
      </c>
      <c r="D660" s="10">
        <v>1.0</v>
      </c>
      <c r="F660" s="10">
        <v>0.0</v>
      </c>
      <c r="G660" s="10">
        <v>0.0</v>
      </c>
      <c r="H660" s="10">
        <v>1.0</v>
      </c>
    </row>
    <row r="661" ht="15.75" customHeight="1">
      <c r="A661" s="7" t="s">
        <v>2170</v>
      </c>
      <c r="B661" s="10" t="s">
        <v>17</v>
      </c>
      <c r="C661" s="10" t="s">
        <v>1103</v>
      </c>
      <c r="D661" s="10">
        <v>1.0</v>
      </c>
      <c r="F661" s="10">
        <v>0.0</v>
      </c>
      <c r="G661" s="10">
        <v>0.0</v>
      </c>
      <c r="H661" s="10">
        <v>1.0</v>
      </c>
    </row>
    <row r="662" ht="15.75" customHeight="1">
      <c r="A662" s="7" t="s">
        <v>2173</v>
      </c>
      <c r="B662" s="10" t="s">
        <v>17</v>
      </c>
      <c r="D662" s="10">
        <v>1.0</v>
      </c>
      <c r="F662" s="10">
        <v>0.0</v>
      </c>
      <c r="G662" s="10">
        <v>0.0</v>
      </c>
      <c r="H662" s="10">
        <v>1.0</v>
      </c>
    </row>
    <row r="663" ht="15.75" customHeight="1">
      <c r="A663" s="7" t="s">
        <v>2177</v>
      </c>
      <c r="B663" s="10" t="s">
        <v>17</v>
      </c>
      <c r="D663" s="10">
        <v>1.0</v>
      </c>
      <c r="E663" s="10">
        <v>-4.0</v>
      </c>
      <c r="F663" s="10">
        <v>0.0</v>
      </c>
      <c r="G663" s="10">
        <v>0.0</v>
      </c>
      <c r="H663" s="10">
        <v>1.0</v>
      </c>
      <c r="I663" s="10">
        <v>0.4</v>
      </c>
    </row>
    <row r="664" ht="15.75" customHeight="1">
      <c r="A664" s="7" t="s">
        <v>2181</v>
      </c>
      <c r="B664" s="10" t="s">
        <v>17</v>
      </c>
      <c r="C664" s="10" t="s">
        <v>2184</v>
      </c>
      <c r="D664" s="10">
        <v>1.0</v>
      </c>
      <c r="F664" s="10">
        <v>0.0</v>
      </c>
      <c r="G664" s="10">
        <v>0.0</v>
      </c>
      <c r="H664" s="10">
        <v>0.0</v>
      </c>
    </row>
    <row r="665" ht="15.75" customHeight="1">
      <c r="A665" s="7" t="s">
        <v>2185</v>
      </c>
      <c r="B665" s="10" t="s">
        <v>17</v>
      </c>
      <c r="D665" s="10">
        <v>1.0</v>
      </c>
      <c r="F665" s="10">
        <v>0.0</v>
      </c>
      <c r="G665" s="10">
        <v>0.0</v>
      </c>
      <c r="H665" s="10">
        <v>1.0</v>
      </c>
    </row>
    <row r="666" ht="15.75" customHeight="1">
      <c r="A666" s="7" t="s">
        <v>2188</v>
      </c>
      <c r="B666" s="10" t="s">
        <v>17</v>
      </c>
      <c r="C666" s="10" t="s">
        <v>2190</v>
      </c>
      <c r="D666" s="10">
        <v>1.0</v>
      </c>
      <c r="E666" s="10">
        <v>-4.0</v>
      </c>
      <c r="F666" s="10">
        <v>0.0</v>
      </c>
      <c r="G666" s="10">
        <v>0.0</v>
      </c>
      <c r="H666" s="10">
        <v>0.0</v>
      </c>
      <c r="I666" s="10">
        <v>-0.8</v>
      </c>
    </row>
    <row r="667" ht="15.75" customHeight="1">
      <c r="A667" s="7" t="s">
        <v>2192</v>
      </c>
      <c r="B667" s="10" t="s">
        <v>17</v>
      </c>
      <c r="C667" s="10" t="s">
        <v>1562</v>
      </c>
      <c r="D667" s="10">
        <v>1.0</v>
      </c>
      <c r="E667" s="10">
        <v>0.0</v>
      </c>
      <c r="F667" s="10">
        <v>0.0</v>
      </c>
      <c r="G667" s="10">
        <v>0.0</v>
      </c>
      <c r="H667" s="10">
        <v>0.0</v>
      </c>
      <c r="I667" s="10">
        <v>-2.0</v>
      </c>
    </row>
    <row r="668" ht="15.75" customHeight="1">
      <c r="A668" s="7" t="s">
        <v>2195</v>
      </c>
      <c r="B668" s="10" t="s">
        <v>17</v>
      </c>
      <c r="C668" s="10" t="s">
        <v>1562</v>
      </c>
      <c r="D668" s="10">
        <v>1.0</v>
      </c>
      <c r="F668" s="10">
        <v>0.0</v>
      </c>
      <c r="G668" s="10">
        <v>0.0</v>
      </c>
      <c r="H668" s="10">
        <v>0.0</v>
      </c>
    </row>
    <row r="669" ht="15.75" customHeight="1">
      <c r="A669" s="7" t="s">
        <v>2199</v>
      </c>
      <c r="B669" s="10" t="s">
        <v>17</v>
      </c>
      <c r="C669" s="10" t="s">
        <v>2200</v>
      </c>
      <c r="D669" s="10">
        <v>1.0</v>
      </c>
      <c r="F669" s="10">
        <v>0.0</v>
      </c>
      <c r="G669" s="10">
        <v>0.0</v>
      </c>
      <c r="H669" s="10">
        <v>1.0</v>
      </c>
    </row>
    <row r="670" ht="15.75" customHeight="1">
      <c r="A670" s="7" t="s">
        <v>2201</v>
      </c>
      <c r="B670" s="10" t="s">
        <v>17</v>
      </c>
      <c r="C670" s="10" t="s">
        <v>2203</v>
      </c>
      <c r="D670" s="10">
        <v>1.0</v>
      </c>
      <c r="F670" s="10">
        <v>0.0</v>
      </c>
      <c r="G670" s="10">
        <v>0.0</v>
      </c>
      <c r="H670" s="10">
        <v>0.0</v>
      </c>
    </row>
    <row r="671" ht="15.75" customHeight="1">
      <c r="A671" s="7" t="s">
        <v>2204</v>
      </c>
      <c r="B671" s="10" t="s">
        <v>44</v>
      </c>
      <c r="C671" s="10" t="s">
        <v>2206</v>
      </c>
      <c r="D671" s="10">
        <v>1.0</v>
      </c>
      <c r="F671" s="10">
        <v>0.0</v>
      </c>
      <c r="G671" s="10">
        <v>0.0</v>
      </c>
      <c r="H671" s="10">
        <v>1.0</v>
      </c>
    </row>
    <row r="672" ht="15.75" customHeight="1">
      <c r="A672" s="10" t="s">
        <v>2207</v>
      </c>
      <c r="B672" s="10" t="s">
        <v>17</v>
      </c>
      <c r="D672" s="10">
        <v>1.0</v>
      </c>
      <c r="F672" s="10">
        <v>0.0</v>
      </c>
      <c r="G672" s="10">
        <v>0.0</v>
      </c>
      <c r="H672" s="10">
        <v>0.0</v>
      </c>
    </row>
    <row r="673" ht="15.75" customHeight="1">
      <c r="A673" s="7" t="s">
        <v>2209</v>
      </c>
      <c r="B673" s="10" t="s">
        <v>75</v>
      </c>
      <c r="C673" s="10" t="s">
        <v>2211</v>
      </c>
      <c r="D673" s="10">
        <v>1.0</v>
      </c>
      <c r="F673" s="10">
        <v>0.0</v>
      </c>
      <c r="G673" s="10">
        <v>0.0</v>
      </c>
      <c r="H673" s="10">
        <v>1.0</v>
      </c>
    </row>
    <row r="674" ht="15.75" customHeight="1">
      <c r="A674" s="7" t="s">
        <v>2212</v>
      </c>
      <c r="B674" s="10" t="s">
        <v>17</v>
      </c>
      <c r="D674" s="10">
        <v>1.0</v>
      </c>
      <c r="F674" s="10">
        <v>0.0</v>
      </c>
      <c r="G674" s="10">
        <v>0.0</v>
      </c>
      <c r="H674" s="10">
        <v>1.0</v>
      </c>
    </row>
    <row r="675" ht="15.75" customHeight="1">
      <c r="A675" s="7" t="s">
        <v>2214</v>
      </c>
      <c r="B675" s="10" t="s">
        <v>17</v>
      </c>
      <c r="C675" s="10" t="s">
        <v>2121</v>
      </c>
      <c r="D675" s="10">
        <v>1.0</v>
      </c>
      <c r="F675" s="10">
        <v>0.0</v>
      </c>
      <c r="G675" s="10">
        <v>0.0</v>
      </c>
      <c r="H675" s="10">
        <v>1.0</v>
      </c>
    </row>
    <row r="676" ht="15.75" customHeight="1">
      <c r="A676" s="7" t="s">
        <v>2217</v>
      </c>
      <c r="B676" s="10" t="s">
        <v>17</v>
      </c>
      <c r="D676" s="10">
        <v>1.0</v>
      </c>
      <c r="F676" s="10">
        <v>0.0</v>
      </c>
      <c r="G676" s="10">
        <v>0.0</v>
      </c>
      <c r="H676" s="10">
        <v>1.0</v>
      </c>
    </row>
    <row r="677" ht="15.75" customHeight="1">
      <c r="A677" s="7" t="s">
        <v>2219</v>
      </c>
      <c r="B677" s="10" t="s">
        <v>17</v>
      </c>
      <c r="D677" s="10">
        <v>1.0</v>
      </c>
      <c r="F677" s="10">
        <v>0.0</v>
      </c>
      <c r="G677" s="10">
        <v>0.0</v>
      </c>
      <c r="H677" s="10">
        <v>0.0</v>
      </c>
    </row>
    <row r="678" ht="15.75" customHeight="1">
      <c r="A678" s="7" t="s">
        <v>2221</v>
      </c>
      <c r="B678" s="10" t="s">
        <v>91</v>
      </c>
      <c r="D678" s="10">
        <v>1.0</v>
      </c>
      <c r="F678" s="10">
        <v>0.0</v>
      </c>
      <c r="G678" s="10">
        <v>0.0</v>
      </c>
      <c r="H678" s="10">
        <v>1.0</v>
      </c>
    </row>
    <row r="679" ht="15.75" customHeight="1">
      <c r="A679" s="7" t="s">
        <v>2222</v>
      </c>
      <c r="B679" s="10" t="s">
        <v>17</v>
      </c>
      <c r="C679" s="10" t="s">
        <v>2224</v>
      </c>
      <c r="D679" s="10">
        <v>1.0</v>
      </c>
      <c r="F679" s="10">
        <v>0.0</v>
      </c>
      <c r="G679" s="10">
        <v>0.0</v>
      </c>
      <c r="H679" s="10">
        <v>0.0</v>
      </c>
    </row>
    <row r="680" ht="15.75" customHeight="1">
      <c r="A680" s="7" t="s">
        <v>2225</v>
      </c>
      <c r="B680" s="10" t="s">
        <v>17</v>
      </c>
      <c r="C680" s="10" t="s">
        <v>2227</v>
      </c>
      <c r="D680" s="10">
        <v>1.0</v>
      </c>
      <c r="F680" s="10">
        <v>0.0</v>
      </c>
      <c r="G680" s="10">
        <v>0.0</v>
      </c>
      <c r="H680" s="10">
        <v>1.0</v>
      </c>
    </row>
    <row r="681" ht="15.75" customHeight="1">
      <c r="A681" s="10" t="s">
        <v>2229</v>
      </c>
      <c r="B681" s="10" t="s">
        <v>17</v>
      </c>
      <c r="D681" s="10">
        <v>1.0</v>
      </c>
      <c r="F681" s="10">
        <v>0.0</v>
      </c>
      <c r="G681" s="10">
        <v>0.0</v>
      </c>
      <c r="H681" s="10">
        <v>0.0</v>
      </c>
    </row>
    <row r="682" ht="15.75" customHeight="1">
      <c r="A682" s="7" t="s">
        <v>2231</v>
      </c>
      <c r="B682" s="10" t="s">
        <v>17</v>
      </c>
      <c r="D682" s="10">
        <v>1.0</v>
      </c>
      <c r="F682" s="10">
        <v>0.0</v>
      </c>
      <c r="G682" s="10">
        <v>0.0</v>
      </c>
      <c r="H682" s="10">
        <v>0.0</v>
      </c>
    </row>
    <row r="683" ht="15.75" customHeight="1">
      <c r="A683" s="7" t="s">
        <v>2233</v>
      </c>
      <c r="B683" s="10" t="s">
        <v>17</v>
      </c>
      <c r="D683" s="10">
        <v>1.0</v>
      </c>
      <c r="F683" s="10">
        <v>0.0</v>
      </c>
      <c r="G683" s="10">
        <v>0.0</v>
      </c>
      <c r="H683" s="10">
        <v>0.0</v>
      </c>
    </row>
    <row r="684" ht="15.75" customHeight="1">
      <c r="A684" s="7" t="s">
        <v>2234</v>
      </c>
      <c r="B684" s="10" t="s">
        <v>17</v>
      </c>
      <c r="C684" s="10" t="s">
        <v>2236</v>
      </c>
      <c r="D684" s="10">
        <v>1.0</v>
      </c>
      <c r="F684" s="10">
        <v>0.0</v>
      </c>
      <c r="G684" s="10">
        <v>0.0</v>
      </c>
      <c r="H684" s="10">
        <v>1.0</v>
      </c>
    </row>
    <row r="685" ht="15.75" customHeight="1">
      <c r="A685" s="7" t="s">
        <v>2237</v>
      </c>
      <c r="B685" s="10" t="s">
        <v>17</v>
      </c>
      <c r="C685" s="10" t="s">
        <v>2239</v>
      </c>
      <c r="D685" s="10">
        <v>1.0</v>
      </c>
      <c r="F685" s="10">
        <v>0.0</v>
      </c>
      <c r="G685" s="10">
        <v>0.0</v>
      </c>
      <c r="H685" s="10">
        <v>1.0</v>
      </c>
    </row>
    <row r="686" ht="15.75" customHeight="1">
      <c r="A686" s="7" t="s">
        <v>2241</v>
      </c>
      <c r="B686" s="10" t="s">
        <v>17</v>
      </c>
      <c r="C686" s="10" t="s">
        <v>384</v>
      </c>
      <c r="D686" s="10">
        <v>1.0</v>
      </c>
      <c r="E686" s="10">
        <v>-5.0</v>
      </c>
      <c r="F686" s="10">
        <v>0.0</v>
      </c>
      <c r="G686" s="10">
        <v>0.0</v>
      </c>
      <c r="H686" s="10">
        <v>0.0</v>
      </c>
      <c r="I686" s="10">
        <v>-1.5</v>
      </c>
    </row>
    <row r="687" ht="15.75" customHeight="1">
      <c r="A687" s="7" t="s">
        <v>2245</v>
      </c>
      <c r="B687" s="10" t="s">
        <v>17</v>
      </c>
      <c r="C687" s="10" t="s">
        <v>2249</v>
      </c>
      <c r="D687" s="10">
        <v>1.0</v>
      </c>
      <c r="F687" s="10">
        <v>0.0</v>
      </c>
      <c r="G687" s="10">
        <v>0.0</v>
      </c>
      <c r="H687" s="10">
        <v>2.0</v>
      </c>
    </row>
    <row r="688" ht="15.75" customHeight="1">
      <c r="A688" s="10" t="s">
        <v>2252</v>
      </c>
      <c r="B688" s="10" t="s">
        <v>17</v>
      </c>
      <c r="C688" s="10" t="s">
        <v>1714</v>
      </c>
      <c r="D688" s="10">
        <v>1.0</v>
      </c>
      <c r="F688" s="10">
        <v>0.0</v>
      </c>
      <c r="G688" s="10">
        <v>0.0</v>
      </c>
      <c r="H688" s="10">
        <v>0.0</v>
      </c>
    </row>
    <row r="689" ht="15.75" customHeight="1">
      <c r="A689" s="7" t="s">
        <v>2255</v>
      </c>
      <c r="B689" s="10" t="s">
        <v>17</v>
      </c>
      <c r="C689" s="10" t="s">
        <v>2259</v>
      </c>
      <c r="D689" s="10">
        <v>1.0</v>
      </c>
      <c r="F689" s="10">
        <v>0.0</v>
      </c>
      <c r="G689" s="10">
        <v>0.0</v>
      </c>
      <c r="H689" s="10">
        <v>1.0</v>
      </c>
    </row>
    <row r="690" ht="15.75" customHeight="1">
      <c r="A690" s="7" t="s">
        <v>2261</v>
      </c>
      <c r="B690" s="10" t="s">
        <v>17</v>
      </c>
      <c r="D690" s="10">
        <v>1.0</v>
      </c>
      <c r="F690" s="10">
        <v>0.0</v>
      </c>
      <c r="G690" s="10">
        <v>0.0</v>
      </c>
      <c r="H690" s="10">
        <v>1.0</v>
      </c>
    </row>
    <row r="691" ht="15.75" customHeight="1">
      <c r="A691" s="7" t="s">
        <v>2267</v>
      </c>
      <c r="B691" s="10" t="s">
        <v>17</v>
      </c>
      <c r="D691" s="10">
        <v>1.0</v>
      </c>
      <c r="F691" s="10">
        <v>0.0</v>
      </c>
      <c r="G691" s="10">
        <v>0.0</v>
      </c>
      <c r="H691" s="10">
        <v>0.0</v>
      </c>
    </row>
    <row r="692" ht="15.75" customHeight="1">
      <c r="A692" s="7" t="s">
        <v>2268</v>
      </c>
      <c r="B692" s="10" t="s">
        <v>17</v>
      </c>
      <c r="D692" s="10">
        <v>1.0</v>
      </c>
      <c r="F692" s="10">
        <v>0.0</v>
      </c>
      <c r="G692" s="10">
        <v>0.0</v>
      </c>
      <c r="H692" s="10">
        <v>0.0</v>
      </c>
    </row>
    <row r="693" ht="15.75" customHeight="1">
      <c r="A693" s="7" t="s">
        <v>2271</v>
      </c>
      <c r="B693" s="10" t="s">
        <v>17</v>
      </c>
      <c r="D693" s="10">
        <v>1.0</v>
      </c>
      <c r="F693" s="10">
        <v>0.0</v>
      </c>
      <c r="G693" s="10">
        <v>0.0</v>
      </c>
      <c r="H693" s="10">
        <v>0.0</v>
      </c>
    </row>
    <row r="694" ht="15.75" customHeight="1">
      <c r="A694" s="7" t="s">
        <v>2275</v>
      </c>
      <c r="B694" s="10" t="s">
        <v>17</v>
      </c>
      <c r="C694" s="10" t="s">
        <v>1442</v>
      </c>
      <c r="D694" s="10">
        <v>1.0</v>
      </c>
      <c r="E694" s="10">
        <v>-4.0</v>
      </c>
      <c r="F694" s="10">
        <v>0.0</v>
      </c>
      <c r="G694" s="10">
        <v>0.0</v>
      </c>
      <c r="H694" s="10">
        <v>1.0</v>
      </c>
      <c r="I694" s="10">
        <v>-0.8</v>
      </c>
    </row>
    <row r="695" ht="15.75" customHeight="1">
      <c r="A695" s="7" t="s">
        <v>2280</v>
      </c>
      <c r="B695" s="10" t="s">
        <v>75</v>
      </c>
      <c r="C695" s="10" t="s">
        <v>842</v>
      </c>
      <c r="D695" s="10">
        <v>1.0</v>
      </c>
      <c r="F695" s="10">
        <v>0.0</v>
      </c>
      <c r="G695" s="10">
        <v>0.0</v>
      </c>
      <c r="H695" s="10">
        <v>0.0</v>
      </c>
    </row>
    <row r="696" ht="15.75" customHeight="1">
      <c r="A696" s="10" t="s">
        <v>2283</v>
      </c>
      <c r="B696" s="10" t="s">
        <v>17</v>
      </c>
      <c r="D696" s="10">
        <v>1.0</v>
      </c>
      <c r="F696" s="10">
        <v>0.0</v>
      </c>
      <c r="G696" s="10">
        <v>0.0</v>
      </c>
      <c r="H696" s="10">
        <v>0.0</v>
      </c>
    </row>
    <row r="697" ht="15.75" customHeight="1">
      <c r="A697" s="7" t="s">
        <v>2285</v>
      </c>
      <c r="B697" s="10" t="s">
        <v>17</v>
      </c>
      <c r="C697" s="10" t="s">
        <v>2287</v>
      </c>
      <c r="D697" s="10">
        <v>1.0</v>
      </c>
      <c r="E697" s="10">
        <v>-6.0</v>
      </c>
      <c r="F697" s="10">
        <v>0.0</v>
      </c>
      <c r="G697" s="10">
        <v>0.0</v>
      </c>
      <c r="H697" s="10">
        <v>4.0</v>
      </c>
      <c r="I697" s="10">
        <v>-0.29</v>
      </c>
    </row>
    <row r="698" ht="15.75" customHeight="1">
      <c r="A698" s="7" t="s">
        <v>2288</v>
      </c>
      <c r="B698" s="10" t="s">
        <v>17</v>
      </c>
      <c r="D698" s="10">
        <v>1.0</v>
      </c>
      <c r="F698" s="10">
        <v>0.0</v>
      </c>
      <c r="G698" s="10">
        <v>0.0</v>
      </c>
      <c r="H698" s="10">
        <v>1.0</v>
      </c>
    </row>
    <row r="699" ht="15.75" customHeight="1">
      <c r="A699" s="10" t="s">
        <v>2290</v>
      </c>
      <c r="B699" s="10" t="s">
        <v>17</v>
      </c>
      <c r="D699" s="10">
        <v>1.0</v>
      </c>
      <c r="F699" s="10">
        <v>0.0</v>
      </c>
      <c r="G699" s="10">
        <v>0.0</v>
      </c>
      <c r="H699" s="10">
        <v>1.0</v>
      </c>
    </row>
    <row r="700" ht="15.75" customHeight="1">
      <c r="A700" s="7" t="s">
        <v>2292</v>
      </c>
      <c r="B700" s="10" t="s">
        <v>17</v>
      </c>
      <c r="C700" s="10" t="s">
        <v>384</v>
      </c>
      <c r="D700" s="10">
        <v>1.0</v>
      </c>
      <c r="E700" s="10">
        <v>-3.0</v>
      </c>
      <c r="F700" s="10">
        <v>0.0</v>
      </c>
      <c r="G700" s="10">
        <v>0.0</v>
      </c>
      <c r="H700" s="10">
        <v>0.0</v>
      </c>
      <c r="I700" s="10">
        <v>-0.5</v>
      </c>
    </row>
    <row r="701" ht="15.75" customHeight="1">
      <c r="A701" s="7" t="s">
        <v>2295</v>
      </c>
      <c r="B701" s="10" t="s">
        <v>17</v>
      </c>
      <c r="C701" s="10" t="s">
        <v>1859</v>
      </c>
      <c r="D701" s="10">
        <v>1.0</v>
      </c>
      <c r="F701" s="10">
        <v>0.0</v>
      </c>
      <c r="G701" s="10">
        <v>0.0</v>
      </c>
      <c r="H701" s="10">
        <v>1.0</v>
      </c>
    </row>
    <row r="702" ht="15.75" customHeight="1">
      <c r="A702" s="7" t="s">
        <v>2298</v>
      </c>
      <c r="B702" s="10" t="s">
        <v>91</v>
      </c>
      <c r="C702" s="10" t="s">
        <v>2301</v>
      </c>
      <c r="D702" s="10">
        <v>1.0</v>
      </c>
      <c r="E702" s="10">
        <v>-2.0</v>
      </c>
      <c r="F702" s="10">
        <v>0.0</v>
      </c>
      <c r="G702" s="10">
        <v>0.0</v>
      </c>
      <c r="H702" s="10">
        <v>0.0</v>
      </c>
      <c r="I702" s="10">
        <v>-0.67</v>
      </c>
    </row>
    <row r="703" ht="15.75" customHeight="1">
      <c r="A703" s="10" t="s">
        <v>2302</v>
      </c>
      <c r="B703" s="10" t="s">
        <v>17</v>
      </c>
      <c r="D703" s="10">
        <v>1.0</v>
      </c>
      <c r="F703" s="10">
        <v>0.0</v>
      </c>
      <c r="G703" s="10">
        <v>0.0</v>
      </c>
      <c r="H703" s="10">
        <v>1.0</v>
      </c>
    </row>
    <row r="704" ht="15.75" customHeight="1">
      <c r="A704" s="7" t="s">
        <v>2304</v>
      </c>
      <c r="B704" s="10" t="s">
        <v>17</v>
      </c>
      <c r="D704" s="10">
        <v>1.0</v>
      </c>
      <c r="F704" s="10">
        <v>0.0</v>
      </c>
      <c r="G704" s="10">
        <v>0.0</v>
      </c>
      <c r="H704" s="10">
        <v>2.0</v>
      </c>
    </row>
    <row r="705" ht="15.75" customHeight="1">
      <c r="A705" s="7" t="s">
        <v>2308</v>
      </c>
      <c r="B705" s="10" t="s">
        <v>17</v>
      </c>
      <c r="D705" s="10">
        <v>1.0</v>
      </c>
      <c r="F705" s="10">
        <v>0.0</v>
      </c>
      <c r="G705" s="10">
        <v>0.0</v>
      </c>
      <c r="H705" s="10">
        <v>1.0</v>
      </c>
    </row>
    <row r="706" ht="15.75" customHeight="1">
      <c r="A706" s="7" t="s">
        <v>2312</v>
      </c>
      <c r="B706" s="10" t="s">
        <v>17</v>
      </c>
      <c r="D706" s="10">
        <v>1.0</v>
      </c>
      <c r="F706" s="10">
        <v>0.0</v>
      </c>
      <c r="G706" s="10">
        <v>0.0</v>
      </c>
      <c r="H706" s="10">
        <v>1.0</v>
      </c>
    </row>
    <row r="707" ht="15.75" customHeight="1">
      <c r="A707" s="7" t="s">
        <v>2316</v>
      </c>
      <c r="B707" s="10" t="s">
        <v>17</v>
      </c>
      <c r="D707" s="10">
        <v>1.0</v>
      </c>
      <c r="F707" s="10">
        <v>0.0</v>
      </c>
      <c r="G707" s="10">
        <v>0.0</v>
      </c>
      <c r="H707" s="10">
        <v>0.0</v>
      </c>
    </row>
    <row r="708" ht="15.75" customHeight="1">
      <c r="A708" s="7" t="s">
        <v>2318</v>
      </c>
      <c r="B708" s="10" t="s">
        <v>17</v>
      </c>
      <c r="C708" s="10" t="s">
        <v>403</v>
      </c>
      <c r="D708" s="10">
        <v>1.0</v>
      </c>
      <c r="F708" s="10">
        <v>0.0</v>
      </c>
      <c r="G708" s="10">
        <v>0.0</v>
      </c>
      <c r="H708" s="10">
        <v>0.0</v>
      </c>
    </row>
    <row r="709" ht="15.75" customHeight="1">
      <c r="A709" s="7" t="s">
        <v>2321</v>
      </c>
      <c r="B709" s="10" t="s">
        <v>37</v>
      </c>
      <c r="C709" s="10" t="s">
        <v>2323</v>
      </c>
      <c r="D709" s="10">
        <v>1.0</v>
      </c>
      <c r="F709" s="10">
        <v>0.0</v>
      </c>
      <c r="G709" s="10">
        <v>0.0</v>
      </c>
      <c r="H709" s="10">
        <v>0.0</v>
      </c>
    </row>
    <row r="710" ht="15.75" customHeight="1">
      <c r="A710" s="7" t="s">
        <v>2324</v>
      </c>
      <c r="B710" s="10" t="s">
        <v>91</v>
      </c>
      <c r="C710" s="10" t="s">
        <v>2327</v>
      </c>
      <c r="D710" s="10">
        <v>1.0</v>
      </c>
      <c r="F710" s="10">
        <v>0.0</v>
      </c>
      <c r="G710" s="10">
        <v>0.0</v>
      </c>
      <c r="H710" s="10">
        <v>2.0</v>
      </c>
    </row>
    <row r="711" ht="15.75" customHeight="1">
      <c r="A711" s="7" t="s">
        <v>2328</v>
      </c>
      <c r="B711" s="10" t="s">
        <v>17</v>
      </c>
      <c r="C711" s="10" t="s">
        <v>798</v>
      </c>
      <c r="D711" s="10">
        <v>1.0</v>
      </c>
      <c r="F711" s="10">
        <v>0.0</v>
      </c>
      <c r="G711" s="10">
        <v>0.0</v>
      </c>
      <c r="H711" s="10">
        <v>2.0</v>
      </c>
    </row>
    <row r="712" ht="15.75" customHeight="1">
      <c r="A712" s="7" t="s">
        <v>2330</v>
      </c>
      <c r="B712" s="10" t="s">
        <v>37</v>
      </c>
      <c r="C712" s="10" t="s">
        <v>2332</v>
      </c>
      <c r="D712" s="10">
        <v>1.0</v>
      </c>
      <c r="F712" s="10">
        <v>0.0</v>
      </c>
      <c r="G712" s="10">
        <v>0.0</v>
      </c>
      <c r="H712" s="10">
        <v>0.0</v>
      </c>
    </row>
    <row r="713" ht="15.75" customHeight="1">
      <c r="A713" s="7" t="s">
        <v>2333</v>
      </c>
      <c r="B713" s="10" t="s">
        <v>17</v>
      </c>
      <c r="C713" s="10" t="s">
        <v>384</v>
      </c>
      <c r="D713" s="10">
        <v>1.0</v>
      </c>
      <c r="E713" s="10">
        <v>0.0</v>
      </c>
      <c r="F713" s="10">
        <v>0.0</v>
      </c>
      <c r="G713" s="10">
        <v>0.0</v>
      </c>
      <c r="H713" s="10">
        <v>0.0</v>
      </c>
      <c r="I713" s="10">
        <v>-1.0</v>
      </c>
    </row>
    <row r="714" ht="15.75" customHeight="1">
      <c r="A714" s="7" t="s">
        <v>2335</v>
      </c>
      <c r="B714" s="10" t="s">
        <v>17</v>
      </c>
      <c r="D714" s="10">
        <v>1.0</v>
      </c>
      <c r="F714" s="10">
        <v>0.0</v>
      </c>
      <c r="G714" s="10">
        <v>0.0</v>
      </c>
      <c r="H714" s="10">
        <v>1.0</v>
      </c>
    </row>
    <row r="715" ht="15.75" customHeight="1">
      <c r="A715" s="7" t="s">
        <v>2339</v>
      </c>
      <c r="B715" s="10" t="s">
        <v>17</v>
      </c>
      <c r="C715" s="10" t="s">
        <v>623</v>
      </c>
      <c r="D715" s="10">
        <v>1.0</v>
      </c>
      <c r="F715" s="10">
        <v>0.0</v>
      </c>
      <c r="G715" s="10">
        <v>0.0</v>
      </c>
      <c r="H715" s="10">
        <v>0.0</v>
      </c>
    </row>
    <row r="716" ht="15.75" customHeight="1">
      <c r="A716" s="7" t="s">
        <v>2341</v>
      </c>
      <c r="B716" s="10" t="s">
        <v>17</v>
      </c>
      <c r="C716" s="10" t="s">
        <v>1412</v>
      </c>
      <c r="D716" s="10">
        <v>1.0</v>
      </c>
      <c r="F716" s="10">
        <v>0.0</v>
      </c>
      <c r="G716" s="10">
        <v>0.0</v>
      </c>
      <c r="H716" s="10">
        <v>1.0</v>
      </c>
    </row>
    <row r="717" ht="15.75" customHeight="1">
      <c r="A717" s="7" t="s">
        <v>2343</v>
      </c>
      <c r="B717" s="10" t="s">
        <v>17</v>
      </c>
      <c r="C717" s="10" t="s">
        <v>340</v>
      </c>
      <c r="D717" s="10">
        <v>1.0</v>
      </c>
      <c r="F717" s="10">
        <v>0.0</v>
      </c>
      <c r="G717" s="10">
        <v>0.0</v>
      </c>
      <c r="H717" s="10">
        <v>1.0</v>
      </c>
    </row>
    <row r="718" ht="15.75" customHeight="1">
      <c r="A718" s="7" t="s">
        <v>2345</v>
      </c>
      <c r="B718" s="10" t="s">
        <v>17</v>
      </c>
      <c r="C718" s="10" t="s">
        <v>119</v>
      </c>
      <c r="D718" s="10">
        <v>1.0</v>
      </c>
      <c r="F718" s="10">
        <v>0.0</v>
      </c>
      <c r="G718" s="10">
        <v>0.0</v>
      </c>
      <c r="H718" s="10">
        <v>1.0</v>
      </c>
    </row>
    <row r="719" ht="15.75" customHeight="1">
      <c r="A719" s="7" t="s">
        <v>2347</v>
      </c>
      <c r="B719" s="10" t="s">
        <v>17</v>
      </c>
      <c r="C719" s="10" t="s">
        <v>2350</v>
      </c>
      <c r="D719" s="10">
        <v>1.0</v>
      </c>
      <c r="F719" s="10">
        <v>0.0</v>
      </c>
      <c r="G719" s="10">
        <v>0.0</v>
      </c>
      <c r="H719" s="10">
        <v>0.0</v>
      </c>
    </row>
    <row r="720" ht="15.75" customHeight="1">
      <c r="A720" s="7" t="s">
        <v>2351</v>
      </c>
      <c r="B720" s="10" t="s">
        <v>17</v>
      </c>
      <c r="C720" s="10" t="s">
        <v>806</v>
      </c>
      <c r="D720" s="10">
        <v>1.0</v>
      </c>
      <c r="F720" s="10">
        <v>0.0</v>
      </c>
      <c r="G720" s="10">
        <v>0.0</v>
      </c>
      <c r="H720" s="10">
        <v>0.0</v>
      </c>
    </row>
    <row r="721" ht="15.75" customHeight="1">
      <c r="A721" s="7" t="s">
        <v>2354</v>
      </c>
      <c r="B721" s="10" t="s">
        <v>56</v>
      </c>
      <c r="C721" s="10" t="s">
        <v>2356</v>
      </c>
      <c r="D721" s="10">
        <v>1.0</v>
      </c>
      <c r="E721" s="10">
        <v>0.0</v>
      </c>
      <c r="F721" s="10">
        <v>0.0</v>
      </c>
      <c r="G721" s="10">
        <v>0.0</v>
      </c>
      <c r="H721" s="10">
        <v>0.0</v>
      </c>
      <c r="I721" s="10">
        <v>0.0</v>
      </c>
    </row>
    <row r="722" ht="15.75" customHeight="1">
      <c r="A722" s="7" t="s">
        <v>2358</v>
      </c>
      <c r="B722" s="10" t="s">
        <v>17</v>
      </c>
      <c r="D722" s="10">
        <v>1.0</v>
      </c>
      <c r="F722" s="10">
        <v>0.0</v>
      </c>
      <c r="G722" s="10">
        <v>0.0</v>
      </c>
      <c r="H722" s="10">
        <v>0.0</v>
      </c>
    </row>
    <row r="723" ht="15.75" customHeight="1">
      <c r="A723" s="7" t="s">
        <v>2361</v>
      </c>
      <c r="B723" s="10" t="s">
        <v>17</v>
      </c>
      <c r="D723" s="10">
        <v>1.0</v>
      </c>
      <c r="F723" s="10">
        <v>0.0</v>
      </c>
      <c r="G723" s="10">
        <v>0.0</v>
      </c>
      <c r="H723" s="10">
        <v>1.0</v>
      </c>
    </row>
    <row r="724" ht="15.75" customHeight="1">
      <c r="A724" s="7" t="s">
        <v>2365</v>
      </c>
      <c r="B724" s="10" t="s">
        <v>17</v>
      </c>
      <c r="C724" s="10" t="s">
        <v>1898</v>
      </c>
      <c r="D724" s="10">
        <v>1.0</v>
      </c>
      <c r="F724" s="10">
        <v>0.0</v>
      </c>
      <c r="G724" s="10">
        <v>0.0</v>
      </c>
      <c r="H724" s="10">
        <v>0.0</v>
      </c>
    </row>
    <row r="725" ht="15.75" customHeight="1">
      <c r="A725" s="7" t="s">
        <v>2367</v>
      </c>
      <c r="B725" s="10" t="s">
        <v>44</v>
      </c>
      <c r="D725" s="10">
        <v>1.0</v>
      </c>
      <c r="F725" s="10">
        <v>0.0</v>
      </c>
      <c r="G725" s="10">
        <v>0.0</v>
      </c>
      <c r="H725" s="10">
        <v>1.0</v>
      </c>
    </row>
    <row r="726" ht="15.75" customHeight="1">
      <c r="A726" s="7" t="s">
        <v>2368</v>
      </c>
      <c r="B726" s="10" t="s">
        <v>17</v>
      </c>
      <c r="C726" s="10" t="s">
        <v>1088</v>
      </c>
      <c r="D726" s="10">
        <v>1.0</v>
      </c>
      <c r="E726" s="10">
        <v>-6.0</v>
      </c>
      <c r="F726" s="10">
        <v>0.0</v>
      </c>
      <c r="G726" s="10">
        <v>0.0</v>
      </c>
      <c r="H726" s="10">
        <v>1.0</v>
      </c>
      <c r="I726" s="10">
        <v>0.29</v>
      </c>
    </row>
    <row r="727" ht="15.75" customHeight="1">
      <c r="A727" s="10" t="s">
        <v>2371</v>
      </c>
      <c r="B727" s="10" t="s">
        <v>17</v>
      </c>
      <c r="D727" s="10">
        <v>1.0</v>
      </c>
      <c r="E727" s="10">
        <v>-2.0</v>
      </c>
      <c r="F727" s="10">
        <v>0.0</v>
      </c>
      <c r="G727" s="10">
        <v>0.0</v>
      </c>
      <c r="H727" s="10">
        <v>2.0</v>
      </c>
      <c r="I727" s="10">
        <v>-0.33</v>
      </c>
    </row>
    <row r="728" ht="15.75" customHeight="1">
      <c r="A728" s="7" t="s">
        <v>2372</v>
      </c>
      <c r="B728" s="10" t="s">
        <v>17</v>
      </c>
      <c r="D728" s="10">
        <v>1.0</v>
      </c>
      <c r="F728" s="10">
        <v>0.0</v>
      </c>
      <c r="G728" s="10">
        <v>0.0</v>
      </c>
      <c r="H728" s="10">
        <v>1.0</v>
      </c>
    </row>
    <row r="729" ht="15.75" customHeight="1">
      <c r="A729" s="7" t="s">
        <v>2373</v>
      </c>
      <c r="B729" s="10" t="s">
        <v>279</v>
      </c>
      <c r="D729" s="10">
        <v>1.0</v>
      </c>
      <c r="F729" s="10">
        <v>0.0</v>
      </c>
      <c r="G729" s="10">
        <v>0.0</v>
      </c>
      <c r="H729" s="10">
        <v>0.0</v>
      </c>
    </row>
    <row r="730" ht="15.75" customHeight="1">
      <c r="A730" s="7" t="s">
        <v>2375</v>
      </c>
      <c r="B730" s="10" t="s">
        <v>17</v>
      </c>
      <c r="C730" s="10" t="s">
        <v>2376</v>
      </c>
      <c r="D730" s="10">
        <v>1.0</v>
      </c>
      <c r="F730" s="10">
        <v>0.0</v>
      </c>
      <c r="G730" s="10">
        <v>0.0</v>
      </c>
      <c r="H730" s="10">
        <v>2.0</v>
      </c>
    </row>
    <row r="731" ht="15.75" customHeight="1">
      <c r="A731" s="7" t="s">
        <v>2378</v>
      </c>
      <c r="B731" s="10" t="s">
        <v>17</v>
      </c>
      <c r="C731" s="10" t="s">
        <v>340</v>
      </c>
      <c r="D731" s="10">
        <v>1.0</v>
      </c>
      <c r="F731" s="10">
        <v>0.0</v>
      </c>
      <c r="G731" s="10">
        <v>0.0</v>
      </c>
      <c r="H731" s="10">
        <v>0.0</v>
      </c>
    </row>
    <row r="732" ht="15.75" customHeight="1">
      <c r="A732" s="7" t="s">
        <v>2380</v>
      </c>
      <c r="B732" s="10" t="s">
        <v>17</v>
      </c>
      <c r="D732" s="10">
        <v>1.0</v>
      </c>
      <c r="E732" s="10">
        <v>0.0</v>
      </c>
      <c r="F732" s="10">
        <v>0.0</v>
      </c>
      <c r="G732" s="10">
        <v>0.0</v>
      </c>
      <c r="H732" s="10">
        <v>0.0</v>
      </c>
      <c r="I732" s="10">
        <v>0.0</v>
      </c>
    </row>
    <row r="733" ht="15.75" customHeight="1">
      <c r="A733" s="7" t="s">
        <v>2383</v>
      </c>
      <c r="B733" s="10" t="s">
        <v>17</v>
      </c>
      <c r="D733" s="10">
        <v>1.0</v>
      </c>
      <c r="F733" s="10">
        <v>0.0</v>
      </c>
      <c r="G733" s="10">
        <v>0.0</v>
      </c>
      <c r="H733" s="10">
        <v>1.0</v>
      </c>
    </row>
    <row r="734" ht="15.75" customHeight="1">
      <c r="A734" s="10" t="s">
        <v>2385</v>
      </c>
      <c r="B734" s="10" t="s">
        <v>17</v>
      </c>
      <c r="C734" s="10" t="s">
        <v>157</v>
      </c>
      <c r="D734" s="10">
        <v>1.0</v>
      </c>
      <c r="E734" s="10">
        <v>-2.0</v>
      </c>
      <c r="F734" s="10">
        <v>0.0</v>
      </c>
      <c r="G734" s="10">
        <v>0.0</v>
      </c>
      <c r="H734" s="10">
        <v>1.0</v>
      </c>
      <c r="I734" s="10">
        <v>0.0</v>
      </c>
    </row>
    <row r="735" ht="15.75" customHeight="1">
      <c r="A735" s="7" t="s">
        <v>2388</v>
      </c>
      <c r="B735" s="10" t="s">
        <v>17</v>
      </c>
      <c r="D735" s="10">
        <v>1.0</v>
      </c>
      <c r="F735" s="10">
        <v>0.0</v>
      </c>
      <c r="G735" s="10">
        <v>0.0</v>
      </c>
      <c r="H735" s="10">
        <v>0.0</v>
      </c>
    </row>
    <row r="736" ht="15.75" customHeight="1">
      <c r="A736" s="7" t="s">
        <v>2389</v>
      </c>
      <c r="B736" s="10" t="s">
        <v>17</v>
      </c>
      <c r="C736" s="10" t="s">
        <v>180</v>
      </c>
      <c r="D736" s="10">
        <v>1.0</v>
      </c>
      <c r="F736" s="10">
        <v>0.0</v>
      </c>
      <c r="G736" s="10">
        <v>0.0</v>
      </c>
      <c r="H736" s="10">
        <v>0.0</v>
      </c>
    </row>
    <row r="737" ht="15.75" customHeight="1">
      <c r="A737" s="7" t="s">
        <v>2391</v>
      </c>
      <c r="B737" s="10" t="s">
        <v>17</v>
      </c>
      <c r="D737" s="10">
        <v>1.0</v>
      </c>
      <c r="F737" s="10">
        <v>0.0</v>
      </c>
      <c r="G737" s="10">
        <v>0.0</v>
      </c>
      <c r="H737" s="10">
        <v>1.0</v>
      </c>
    </row>
    <row r="738" ht="15.75" customHeight="1">
      <c r="A738" s="7" t="s">
        <v>2392</v>
      </c>
      <c r="B738" s="10" t="s">
        <v>17</v>
      </c>
      <c r="C738" s="10" t="s">
        <v>2394</v>
      </c>
      <c r="D738" s="10">
        <v>1.0</v>
      </c>
      <c r="F738" s="10">
        <v>0.0</v>
      </c>
      <c r="G738" s="10">
        <v>0.0</v>
      </c>
      <c r="H738" s="10">
        <v>1.0</v>
      </c>
    </row>
    <row r="739" ht="15.75" customHeight="1">
      <c r="A739" s="7" t="s">
        <v>2395</v>
      </c>
      <c r="B739" s="10" t="s">
        <v>17</v>
      </c>
      <c r="C739" s="10" t="s">
        <v>2109</v>
      </c>
      <c r="D739" s="10">
        <v>1.0</v>
      </c>
      <c r="E739" s="10">
        <v>-1.0</v>
      </c>
      <c r="F739" s="10">
        <v>0.0</v>
      </c>
      <c r="G739" s="10">
        <v>0.0</v>
      </c>
      <c r="H739" s="10">
        <v>0.0</v>
      </c>
      <c r="I739" s="10">
        <v>0.0</v>
      </c>
    </row>
    <row r="740" ht="15.75" customHeight="1">
      <c r="A740" s="7" t="s">
        <v>2396</v>
      </c>
      <c r="B740" s="10" t="s">
        <v>17</v>
      </c>
      <c r="D740" s="10">
        <v>1.0</v>
      </c>
      <c r="F740" s="10">
        <v>0.0</v>
      </c>
      <c r="G740" s="10">
        <v>0.0</v>
      </c>
      <c r="H740" s="10">
        <v>1.0</v>
      </c>
    </row>
    <row r="741" ht="15.75" customHeight="1">
      <c r="A741" s="7" t="s">
        <v>2398</v>
      </c>
      <c r="B741" s="10" t="s">
        <v>17</v>
      </c>
      <c r="C741" s="10" t="s">
        <v>636</v>
      </c>
      <c r="D741" s="10">
        <v>1.0</v>
      </c>
      <c r="F741" s="10">
        <v>0.0</v>
      </c>
      <c r="G741" s="10">
        <v>0.0</v>
      </c>
      <c r="H741" s="10">
        <v>1.0</v>
      </c>
    </row>
    <row r="742" ht="15.75" customHeight="1">
      <c r="A742" s="7" t="s">
        <v>2400</v>
      </c>
      <c r="B742" s="10" t="s">
        <v>17</v>
      </c>
      <c r="D742" s="10">
        <v>1.0</v>
      </c>
      <c r="F742" s="10">
        <v>0.0</v>
      </c>
      <c r="G742" s="10">
        <v>0.0</v>
      </c>
      <c r="H742" s="10">
        <v>0.0</v>
      </c>
    </row>
    <row r="743" ht="15.75" customHeight="1">
      <c r="A743" s="7" t="s">
        <v>2403</v>
      </c>
      <c r="B743" s="10" t="s">
        <v>56</v>
      </c>
      <c r="C743" s="10" t="s">
        <v>2405</v>
      </c>
      <c r="D743" s="10">
        <v>1.0</v>
      </c>
      <c r="E743" s="10">
        <v>0.0</v>
      </c>
      <c r="F743" s="10">
        <v>0.0</v>
      </c>
      <c r="G743" s="10">
        <v>0.0</v>
      </c>
      <c r="H743" s="10">
        <v>0.0</v>
      </c>
      <c r="I743" s="10">
        <v>0.0</v>
      </c>
    </row>
    <row r="744" ht="15.75" customHeight="1">
      <c r="A744" s="7" t="s">
        <v>2406</v>
      </c>
      <c r="B744" s="10" t="s">
        <v>17</v>
      </c>
      <c r="D744" s="10">
        <v>1.0</v>
      </c>
      <c r="F744" s="10">
        <v>0.0</v>
      </c>
      <c r="G744" s="10">
        <v>0.0</v>
      </c>
      <c r="H744" s="10">
        <v>1.0</v>
      </c>
    </row>
    <row r="745" ht="15.75" customHeight="1">
      <c r="A745" s="7" t="s">
        <v>2408</v>
      </c>
      <c r="B745" s="10" t="s">
        <v>91</v>
      </c>
      <c r="C745" s="10" t="s">
        <v>2409</v>
      </c>
      <c r="D745" s="10">
        <v>1.0</v>
      </c>
      <c r="F745" s="10">
        <v>0.0</v>
      </c>
      <c r="G745" s="10">
        <v>0.0</v>
      </c>
      <c r="H745" s="10">
        <v>1.0</v>
      </c>
    </row>
    <row r="746" ht="15.75" customHeight="1">
      <c r="A746" s="7" t="s">
        <v>2410</v>
      </c>
      <c r="B746" s="10" t="s">
        <v>91</v>
      </c>
      <c r="C746" s="10" t="s">
        <v>2411</v>
      </c>
      <c r="D746" s="10">
        <v>1.0</v>
      </c>
      <c r="F746" s="10">
        <v>0.0</v>
      </c>
      <c r="G746" s="10">
        <v>0.0</v>
      </c>
      <c r="H746" s="10">
        <v>0.0</v>
      </c>
    </row>
    <row r="747" ht="15.75" customHeight="1">
      <c r="A747" s="7" t="s">
        <v>2412</v>
      </c>
      <c r="B747" s="10" t="s">
        <v>17</v>
      </c>
      <c r="D747" s="10">
        <v>1.0</v>
      </c>
      <c r="F747" s="10">
        <v>0.0</v>
      </c>
      <c r="G747" s="10">
        <v>0.0</v>
      </c>
      <c r="H747" s="10">
        <v>0.0</v>
      </c>
    </row>
    <row r="748" ht="15.75" customHeight="1">
      <c r="A748" s="7" t="s">
        <v>2414</v>
      </c>
      <c r="B748" s="10" t="s">
        <v>17</v>
      </c>
      <c r="C748" s="10" t="s">
        <v>2415</v>
      </c>
      <c r="D748" s="10">
        <v>1.0</v>
      </c>
      <c r="E748" s="10">
        <v>-2.0</v>
      </c>
      <c r="F748" s="10">
        <v>0.0</v>
      </c>
      <c r="G748" s="10">
        <v>0.0</v>
      </c>
      <c r="H748" s="10">
        <v>2.0</v>
      </c>
      <c r="I748" s="10">
        <v>1.0</v>
      </c>
    </row>
    <row r="749" ht="15.75" customHeight="1">
      <c r="A749" s="7" t="s">
        <v>2416</v>
      </c>
      <c r="B749" s="10" t="s">
        <v>17</v>
      </c>
      <c r="D749" s="10">
        <v>1.0</v>
      </c>
      <c r="F749" s="10">
        <v>0.0</v>
      </c>
      <c r="G749" s="10">
        <v>0.0</v>
      </c>
      <c r="H749" s="10">
        <v>1.0</v>
      </c>
    </row>
    <row r="750" ht="15.75" customHeight="1">
      <c r="A750" s="7" t="s">
        <v>2418</v>
      </c>
      <c r="B750" s="10" t="s">
        <v>17</v>
      </c>
      <c r="C750" s="10" t="s">
        <v>2421</v>
      </c>
      <c r="D750" s="10">
        <v>1.0</v>
      </c>
      <c r="F750" s="10">
        <v>0.0</v>
      </c>
      <c r="G750" s="10">
        <v>0.0</v>
      </c>
      <c r="H750" s="10">
        <v>0.0</v>
      </c>
    </row>
    <row r="751" ht="15.75" customHeight="1">
      <c r="A751" s="7" t="s">
        <v>2422</v>
      </c>
      <c r="B751" s="10" t="s">
        <v>17</v>
      </c>
      <c r="C751" s="10" t="s">
        <v>2425</v>
      </c>
      <c r="D751" s="10">
        <v>1.0</v>
      </c>
      <c r="E751" s="10">
        <v>-3.0</v>
      </c>
      <c r="F751" s="10">
        <v>0.0</v>
      </c>
      <c r="G751" s="10">
        <v>0.0</v>
      </c>
      <c r="H751" s="10">
        <v>2.0</v>
      </c>
      <c r="I751" s="10">
        <v>1.75</v>
      </c>
    </row>
    <row r="752" ht="15.75" customHeight="1">
      <c r="A752" s="7" t="s">
        <v>2426</v>
      </c>
      <c r="B752" s="10" t="s">
        <v>44</v>
      </c>
      <c r="D752" s="10">
        <v>1.0</v>
      </c>
      <c r="E752" s="10">
        <v>-1.0</v>
      </c>
      <c r="F752" s="10">
        <v>0.0</v>
      </c>
      <c r="G752" s="10">
        <v>0.0</v>
      </c>
      <c r="H752" s="10">
        <v>1.0</v>
      </c>
      <c r="I752" s="10">
        <v>0.0</v>
      </c>
    </row>
    <row r="753" ht="15.75" customHeight="1">
      <c r="A753" s="7" t="s">
        <v>2430</v>
      </c>
      <c r="B753" s="10" t="s">
        <v>75</v>
      </c>
      <c r="D753" s="10">
        <v>1.0</v>
      </c>
      <c r="E753" s="10">
        <v>-1.0</v>
      </c>
      <c r="F753" s="10">
        <v>0.0</v>
      </c>
      <c r="G753" s="10">
        <v>0.0</v>
      </c>
      <c r="H753" s="10">
        <v>0.0</v>
      </c>
      <c r="I753" s="10">
        <v>-0.5</v>
      </c>
    </row>
    <row r="754" ht="15.75" customHeight="1">
      <c r="A754" s="7" t="s">
        <v>2432</v>
      </c>
      <c r="B754" s="10" t="s">
        <v>75</v>
      </c>
      <c r="D754" s="10">
        <v>1.0</v>
      </c>
      <c r="F754" s="10">
        <v>0.0</v>
      </c>
      <c r="G754" s="10">
        <v>0.0</v>
      </c>
      <c r="H754" s="10">
        <v>0.0</v>
      </c>
    </row>
    <row r="755" ht="15.75" customHeight="1">
      <c r="A755" s="7" t="s">
        <v>2433</v>
      </c>
      <c r="B755" s="10" t="s">
        <v>17</v>
      </c>
      <c r="C755" s="10" t="s">
        <v>2435</v>
      </c>
      <c r="D755" s="10">
        <v>1.0</v>
      </c>
      <c r="F755" s="10">
        <v>0.0</v>
      </c>
      <c r="G755" s="10">
        <v>0.0</v>
      </c>
      <c r="H755" s="10">
        <v>1.0</v>
      </c>
    </row>
    <row r="756" ht="15.75" customHeight="1">
      <c r="A756" s="7" t="s">
        <v>2436</v>
      </c>
      <c r="B756" s="10" t="s">
        <v>17</v>
      </c>
      <c r="D756" s="10">
        <v>1.0</v>
      </c>
      <c r="F756" s="10">
        <v>0.0</v>
      </c>
      <c r="G756" s="10">
        <v>0.0</v>
      </c>
      <c r="H756" s="10">
        <v>2.0</v>
      </c>
    </row>
    <row r="757" ht="15.75" customHeight="1">
      <c r="A757" s="7" t="s">
        <v>2437</v>
      </c>
      <c r="B757" s="10" t="s">
        <v>17</v>
      </c>
      <c r="D757" s="10">
        <v>1.0</v>
      </c>
      <c r="F757" s="10">
        <v>0.0</v>
      </c>
      <c r="G757" s="10">
        <v>0.0</v>
      </c>
      <c r="H757" s="10">
        <v>1.0</v>
      </c>
    </row>
    <row r="758" ht="15.75" customHeight="1">
      <c r="A758" s="7" t="s">
        <v>2439</v>
      </c>
      <c r="B758" s="10" t="s">
        <v>17</v>
      </c>
      <c r="C758" s="10" t="s">
        <v>2441</v>
      </c>
      <c r="D758" s="10">
        <v>1.0</v>
      </c>
      <c r="E758" s="10">
        <v>0.0</v>
      </c>
      <c r="F758" s="10">
        <v>0.0</v>
      </c>
      <c r="G758" s="10">
        <v>0.0</v>
      </c>
      <c r="H758" s="10">
        <v>1.0</v>
      </c>
      <c r="I758" s="10">
        <v>1.0</v>
      </c>
    </row>
    <row r="759" ht="15.75" customHeight="1">
      <c r="A759" s="7" t="s">
        <v>2443</v>
      </c>
      <c r="B759" s="10" t="s">
        <v>17</v>
      </c>
      <c r="C759" s="10" t="s">
        <v>2444</v>
      </c>
      <c r="D759" s="10">
        <v>1.0</v>
      </c>
      <c r="E759" s="10">
        <v>-1.0</v>
      </c>
      <c r="F759" s="10">
        <v>0.0</v>
      </c>
      <c r="G759" s="10">
        <v>0.0</v>
      </c>
      <c r="H759" s="10">
        <v>0.0</v>
      </c>
      <c r="I759" s="10">
        <v>-1.0</v>
      </c>
    </row>
    <row r="760" ht="15.75" customHeight="1">
      <c r="A760" s="7" t="s">
        <v>2445</v>
      </c>
      <c r="B760" s="10" t="s">
        <v>56</v>
      </c>
      <c r="C760" s="10" t="s">
        <v>2447</v>
      </c>
      <c r="D760" s="10">
        <v>1.0</v>
      </c>
      <c r="F760" s="10">
        <v>0.0</v>
      </c>
      <c r="G760" s="10">
        <v>0.0</v>
      </c>
      <c r="H760" s="10">
        <v>1.0</v>
      </c>
    </row>
    <row r="761" ht="15.75" customHeight="1">
      <c r="A761" s="7" t="s">
        <v>2448</v>
      </c>
      <c r="B761" s="10" t="s">
        <v>17</v>
      </c>
      <c r="C761" s="10" t="s">
        <v>1013</v>
      </c>
      <c r="D761" s="10">
        <v>1.0</v>
      </c>
      <c r="F761" s="10">
        <v>0.0</v>
      </c>
      <c r="G761" s="10">
        <v>0.0</v>
      </c>
      <c r="H761" s="10">
        <v>1.0</v>
      </c>
    </row>
    <row r="762" ht="15.75" customHeight="1">
      <c r="A762" s="7" t="s">
        <v>2451</v>
      </c>
      <c r="B762" s="10" t="s">
        <v>17</v>
      </c>
      <c r="D762" s="10">
        <v>1.0</v>
      </c>
      <c r="F762" s="10">
        <v>0.0</v>
      </c>
      <c r="G762" s="10">
        <v>0.0</v>
      </c>
      <c r="H762" s="10">
        <v>1.0</v>
      </c>
    </row>
    <row r="763" ht="15.75" customHeight="1">
      <c r="A763" s="10" t="s">
        <v>2453</v>
      </c>
      <c r="B763" s="10" t="s">
        <v>17</v>
      </c>
      <c r="D763" s="10">
        <v>1.0</v>
      </c>
      <c r="E763" s="10">
        <v>0.0</v>
      </c>
      <c r="F763" s="10">
        <v>0.0</v>
      </c>
      <c r="G763" s="10">
        <v>0.0</v>
      </c>
      <c r="H763" s="10">
        <v>3.0</v>
      </c>
      <c r="I763" s="10">
        <v>3.0</v>
      </c>
    </row>
    <row r="764" ht="15.75" customHeight="1">
      <c r="A764" s="7" t="s">
        <v>2454</v>
      </c>
      <c r="B764" s="10" t="s">
        <v>17</v>
      </c>
      <c r="C764" s="10" t="s">
        <v>2022</v>
      </c>
      <c r="D764" s="10">
        <v>1.0</v>
      </c>
      <c r="F764" s="10">
        <v>0.0</v>
      </c>
      <c r="G764" s="10">
        <v>0.0</v>
      </c>
      <c r="H764" s="10">
        <v>2.0</v>
      </c>
    </row>
    <row r="765" ht="15.75" customHeight="1">
      <c r="A765" s="7" t="s">
        <v>2456</v>
      </c>
      <c r="B765" s="10" t="s">
        <v>44</v>
      </c>
      <c r="D765" s="10">
        <v>1.0</v>
      </c>
      <c r="F765" s="10">
        <v>0.0</v>
      </c>
      <c r="G765" s="10">
        <v>0.0</v>
      </c>
      <c r="H765" s="10">
        <v>1.0</v>
      </c>
    </row>
    <row r="766" ht="15.75" customHeight="1">
      <c r="A766" s="7" t="s">
        <v>2457</v>
      </c>
      <c r="B766" s="10" t="s">
        <v>17</v>
      </c>
      <c r="C766" s="10" t="s">
        <v>157</v>
      </c>
      <c r="D766" s="10">
        <v>1.0</v>
      </c>
      <c r="F766" s="10">
        <v>0.0</v>
      </c>
      <c r="G766" s="10">
        <v>0.0</v>
      </c>
      <c r="H766" s="10">
        <v>1.0</v>
      </c>
    </row>
    <row r="767" ht="15.75" customHeight="1">
      <c r="A767" s="7" t="s">
        <v>2459</v>
      </c>
      <c r="B767" s="10" t="s">
        <v>17</v>
      </c>
      <c r="D767" s="10">
        <v>1.0</v>
      </c>
      <c r="F767" s="10">
        <v>0.0</v>
      </c>
      <c r="G767" s="10">
        <v>0.0</v>
      </c>
      <c r="H767" s="10">
        <v>1.0</v>
      </c>
    </row>
    <row r="768" ht="15.75" customHeight="1">
      <c r="A768" s="7" t="s">
        <v>2460</v>
      </c>
      <c r="B768" s="10" t="s">
        <v>17</v>
      </c>
      <c r="C768" s="10" t="s">
        <v>2216</v>
      </c>
      <c r="D768" s="10">
        <v>1.0</v>
      </c>
      <c r="F768" s="10">
        <v>0.0</v>
      </c>
      <c r="G768" s="10">
        <v>0.0</v>
      </c>
      <c r="H768" s="10">
        <v>2.0</v>
      </c>
    </row>
    <row r="769" ht="15.75" customHeight="1">
      <c r="A769" s="7" t="s">
        <v>2461</v>
      </c>
      <c r="B769" s="10" t="s">
        <v>17</v>
      </c>
      <c r="D769" s="10">
        <v>1.0</v>
      </c>
      <c r="E769" s="10">
        <v>-3.0</v>
      </c>
      <c r="F769" s="10">
        <v>0.0</v>
      </c>
      <c r="G769" s="10">
        <v>0.0</v>
      </c>
      <c r="H769" s="10">
        <v>0.0</v>
      </c>
      <c r="I769" s="10">
        <v>-1.0</v>
      </c>
    </row>
    <row r="770" ht="15.75" customHeight="1">
      <c r="A770" s="7" t="s">
        <v>2463</v>
      </c>
      <c r="B770" s="10" t="s">
        <v>91</v>
      </c>
      <c r="D770" s="10">
        <v>1.0</v>
      </c>
      <c r="F770" s="10">
        <v>0.0</v>
      </c>
      <c r="G770" s="10">
        <v>0.0</v>
      </c>
      <c r="H770" s="10">
        <v>1.0</v>
      </c>
    </row>
    <row r="771" ht="15.75" customHeight="1">
      <c r="A771" s="7" t="s">
        <v>2464</v>
      </c>
      <c r="B771" s="10" t="s">
        <v>91</v>
      </c>
      <c r="D771" s="10">
        <v>1.0</v>
      </c>
      <c r="F771" s="10">
        <v>0.0</v>
      </c>
      <c r="G771" s="10">
        <v>0.0</v>
      </c>
      <c r="H771" s="10">
        <v>1.0</v>
      </c>
    </row>
    <row r="772" ht="15.75" customHeight="1">
      <c r="A772" s="7" t="s">
        <v>2465</v>
      </c>
      <c r="B772" s="10" t="s">
        <v>37</v>
      </c>
      <c r="C772" s="10" t="s">
        <v>2467</v>
      </c>
      <c r="D772" s="10">
        <v>1.0</v>
      </c>
      <c r="F772" s="10">
        <v>0.0</v>
      </c>
      <c r="G772" s="10">
        <v>0.0</v>
      </c>
      <c r="H772" s="10">
        <v>1.0</v>
      </c>
    </row>
    <row r="773" ht="15.75" customHeight="1">
      <c r="A773" s="7" t="s">
        <v>2468</v>
      </c>
      <c r="B773" s="10" t="s">
        <v>17</v>
      </c>
      <c r="D773" s="10">
        <v>1.0</v>
      </c>
      <c r="F773" s="10">
        <v>0.0</v>
      </c>
      <c r="G773" s="10">
        <v>0.0</v>
      </c>
      <c r="H773" s="10">
        <v>1.0</v>
      </c>
    </row>
    <row r="774" ht="15.75" customHeight="1">
      <c r="A774" s="7" t="s">
        <v>2470</v>
      </c>
      <c r="B774" s="10" t="s">
        <v>17</v>
      </c>
      <c r="D774" s="10">
        <v>1.0</v>
      </c>
      <c r="E774" s="10">
        <v>0.0</v>
      </c>
      <c r="F774" s="10">
        <v>0.0</v>
      </c>
      <c r="G774" s="10">
        <v>0.0</v>
      </c>
      <c r="H774" s="10">
        <v>0.0</v>
      </c>
      <c r="I774" s="10">
        <v>0.0</v>
      </c>
    </row>
    <row r="775" ht="15.75" customHeight="1">
      <c r="A775" s="7" t="s">
        <v>2471</v>
      </c>
      <c r="B775" s="10" t="s">
        <v>17</v>
      </c>
      <c r="C775" s="10" t="s">
        <v>2474</v>
      </c>
      <c r="D775" s="10">
        <v>1.0</v>
      </c>
      <c r="F775" s="10">
        <v>0.0</v>
      </c>
      <c r="G775" s="10">
        <v>0.0</v>
      </c>
      <c r="H775" s="10">
        <v>3.0</v>
      </c>
    </row>
    <row r="776" ht="15.75" customHeight="1">
      <c r="A776" s="7" t="s">
        <v>2475</v>
      </c>
      <c r="B776" s="10" t="s">
        <v>17</v>
      </c>
      <c r="D776" s="10">
        <v>1.0</v>
      </c>
      <c r="F776" s="10">
        <v>0.0</v>
      </c>
      <c r="G776" s="10">
        <v>0.0</v>
      </c>
      <c r="H776" s="10">
        <v>1.0</v>
      </c>
    </row>
    <row r="777" ht="15.75" customHeight="1">
      <c r="A777" s="10" t="s">
        <v>2477</v>
      </c>
      <c r="B777" s="10" t="s">
        <v>17</v>
      </c>
      <c r="D777" s="10">
        <v>1.0</v>
      </c>
      <c r="F777" s="10">
        <v>0.0</v>
      </c>
      <c r="G777" s="10">
        <v>0.0</v>
      </c>
      <c r="H777" s="10">
        <v>1.0</v>
      </c>
    </row>
    <row r="778" ht="15.75" customHeight="1">
      <c r="A778" s="7" t="s">
        <v>2479</v>
      </c>
      <c r="B778" s="10" t="s">
        <v>17</v>
      </c>
      <c r="D778" s="10">
        <v>1.0</v>
      </c>
      <c r="F778" s="10">
        <v>0.0</v>
      </c>
      <c r="G778" s="10">
        <v>0.0</v>
      </c>
      <c r="H778" s="10">
        <v>1.0</v>
      </c>
    </row>
    <row r="779" ht="15.75" customHeight="1">
      <c r="A779" s="7" t="s">
        <v>2482</v>
      </c>
      <c r="B779" s="10" t="s">
        <v>17</v>
      </c>
      <c r="C779" s="10" t="s">
        <v>119</v>
      </c>
      <c r="D779" s="10">
        <v>1.0</v>
      </c>
      <c r="E779" s="10">
        <v>0.0</v>
      </c>
      <c r="F779" s="10">
        <v>0.0</v>
      </c>
      <c r="G779" s="10">
        <v>0.0</v>
      </c>
      <c r="H779" s="10">
        <v>1.0</v>
      </c>
      <c r="I779" s="10">
        <v>0.0</v>
      </c>
    </row>
    <row r="780" ht="15.75" customHeight="1">
      <c r="A780" s="7" t="s">
        <v>2484</v>
      </c>
      <c r="B780" s="10" t="s">
        <v>17</v>
      </c>
      <c r="C780" s="10" t="s">
        <v>340</v>
      </c>
      <c r="D780" s="10">
        <v>1.0</v>
      </c>
      <c r="F780" s="10">
        <v>0.0</v>
      </c>
      <c r="G780" s="10">
        <v>0.0</v>
      </c>
      <c r="H780" s="10">
        <v>1.0</v>
      </c>
    </row>
    <row r="781" ht="15.75" customHeight="1">
      <c r="A781" s="7" t="s">
        <v>2486</v>
      </c>
      <c r="B781" s="10" t="s">
        <v>17</v>
      </c>
      <c r="C781" s="10" t="s">
        <v>384</v>
      </c>
      <c r="D781" s="10">
        <v>1.0</v>
      </c>
      <c r="F781" s="10">
        <v>0.0</v>
      </c>
      <c r="G781" s="10">
        <v>0.0</v>
      </c>
      <c r="H781" s="10">
        <v>2.0</v>
      </c>
    </row>
    <row r="782" ht="15.75" customHeight="1">
      <c r="A782" s="7" t="s">
        <v>2488</v>
      </c>
      <c r="B782" s="10" t="s">
        <v>17</v>
      </c>
      <c r="D782" s="10">
        <v>1.0</v>
      </c>
      <c r="F782" s="10">
        <v>0.0</v>
      </c>
      <c r="G782" s="10">
        <v>0.0</v>
      </c>
      <c r="H782" s="10">
        <v>0.0</v>
      </c>
    </row>
    <row r="783" ht="15.75" customHeight="1">
      <c r="A783" s="7" t="s">
        <v>2490</v>
      </c>
      <c r="B783" s="10" t="s">
        <v>17</v>
      </c>
      <c r="C783" s="10" t="s">
        <v>119</v>
      </c>
      <c r="D783" s="10">
        <v>1.0</v>
      </c>
      <c r="E783" s="10">
        <v>-2.0</v>
      </c>
      <c r="F783" s="10">
        <v>0.0</v>
      </c>
      <c r="G783" s="10">
        <v>0.0</v>
      </c>
      <c r="H783" s="10">
        <v>0.0</v>
      </c>
      <c r="I783" s="10">
        <v>0.0</v>
      </c>
    </row>
    <row r="784" ht="15.75" customHeight="1">
      <c r="A784" s="10" t="s">
        <v>2491</v>
      </c>
      <c r="B784" s="10" t="s">
        <v>17</v>
      </c>
      <c r="D784" s="10">
        <v>1.0</v>
      </c>
      <c r="E784" s="10">
        <v>0.0</v>
      </c>
      <c r="F784" s="10">
        <v>0.0</v>
      </c>
      <c r="G784" s="10">
        <v>0.0</v>
      </c>
      <c r="H784" s="10">
        <v>0.0</v>
      </c>
      <c r="I784" s="10">
        <v>-2.0</v>
      </c>
    </row>
    <row r="785" ht="15.75" customHeight="1">
      <c r="A785" s="10" t="s">
        <v>2493</v>
      </c>
      <c r="B785" s="10" t="s">
        <v>17</v>
      </c>
      <c r="C785" s="10" t="s">
        <v>2494</v>
      </c>
      <c r="D785" s="10">
        <v>1.0</v>
      </c>
      <c r="F785" s="10">
        <v>0.0</v>
      </c>
      <c r="G785" s="10">
        <v>0.0</v>
      </c>
      <c r="H785" s="10">
        <v>1.0</v>
      </c>
    </row>
    <row r="786" ht="15.75" customHeight="1">
      <c r="A786" s="7" t="s">
        <v>2495</v>
      </c>
      <c r="B786" s="10" t="s">
        <v>17</v>
      </c>
      <c r="D786" s="10">
        <v>1.0</v>
      </c>
      <c r="F786" s="10">
        <v>0.0</v>
      </c>
      <c r="G786" s="10">
        <v>0.0</v>
      </c>
      <c r="H786" s="10">
        <v>1.0</v>
      </c>
    </row>
    <row r="787" ht="15.75" customHeight="1">
      <c r="A787" s="7" t="s">
        <v>2497</v>
      </c>
      <c r="B787" s="10" t="s">
        <v>17</v>
      </c>
      <c r="D787" s="10">
        <v>1.0</v>
      </c>
      <c r="E787" s="10">
        <v>-11.0</v>
      </c>
      <c r="F787" s="10">
        <v>0.0</v>
      </c>
      <c r="G787" s="10">
        <v>0.0</v>
      </c>
      <c r="H787" s="10">
        <v>1.0</v>
      </c>
      <c r="I787" s="10">
        <v>0.17</v>
      </c>
    </row>
    <row r="788" ht="15.75" customHeight="1">
      <c r="A788" s="7" t="s">
        <v>2499</v>
      </c>
      <c r="B788" s="10" t="s">
        <v>17</v>
      </c>
      <c r="D788" s="10">
        <v>1.0</v>
      </c>
      <c r="F788" s="10">
        <v>0.0</v>
      </c>
      <c r="G788" s="10">
        <v>0.0</v>
      </c>
      <c r="H788" s="10">
        <v>1.0</v>
      </c>
    </row>
    <row r="789" ht="15.75" customHeight="1">
      <c r="A789" s="7" t="s">
        <v>2502</v>
      </c>
      <c r="B789" s="10" t="s">
        <v>17</v>
      </c>
      <c r="D789" s="10">
        <v>1.0</v>
      </c>
      <c r="F789" s="10">
        <v>0.0</v>
      </c>
      <c r="G789" s="10">
        <v>0.0</v>
      </c>
      <c r="H789" s="10">
        <v>1.0</v>
      </c>
    </row>
    <row r="790" ht="15.75" customHeight="1">
      <c r="A790" s="7" t="s">
        <v>2504</v>
      </c>
      <c r="B790" s="10" t="s">
        <v>37</v>
      </c>
      <c r="C790" s="10" t="s">
        <v>2376</v>
      </c>
      <c r="D790" s="10">
        <v>1.0</v>
      </c>
      <c r="E790" s="10">
        <v>0.0</v>
      </c>
      <c r="F790" s="10">
        <v>0.0</v>
      </c>
      <c r="G790" s="10">
        <v>0.0</v>
      </c>
      <c r="H790" s="10">
        <v>1.0</v>
      </c>
      <c r="I790" s="10">
        <v>0.0</v>
      </c>
    </row>
    <row r="791" ht="15.75" customHeight="1">
      <c r="A791" s="7" t="s">
        <v>2506</v>
      </c>
      <c r="B791" s="10" t="s">
        <v>17</v>
      </c>
      <c r="C791" s="10" t="s">
        <v>1562</v>
      </c>
      <c r="D791" s="10">
        <v>1.0</v>
      </c>
      <c r="F791" s="10">
        <v>0.0</v>
      </c>
      <c r="G791" s="10">
        <v>0.0</v>
      </c>
      <c r="H791" s="10">
        <v>0.0</v>
      </c>
    </row>
    <row r="792" ht="15.75" customHeight="1">
      <c r="A792" s="7" t="s">
        <v>2508</v>
      </c>
      <c r="B792" s="10" t="s">
        <v>91</v>
      </c>
      <c r="D792" s="10">
        <v>1.0</v>
      </c>
      <c r="F792" s="10">
        <v>0.0</v>
      </c>
      <c r="G792" s="10">
        <v>0.0</v>
      </c>
      <c r="H792" s="10">
        <v>1.0</v>
      </c>
    </row>
    <row r="793" ht="15.75" customHeight="1">
      <c r="A793" s="7" t="s">
        <v>2511</v>
      </c>
      <c r="B793" s="10" t="s">
        <v>17</v>
      </c>
      <c r="C793" s="10" t="s">
        <v>584</v>
      </c>
      <c r="D793" s="10">
        <v>1.0</v>
      </c>
      <c r="F793" s="10">
        <v>0.0</v>
      </c>
      <c r="G793" s="10">
        <v>0.0</v>
      </c>
      <c r="H793" s="10">
        <v>0.0</v>
      </c>
    </row>
    <row r="794" ht="15.75" customHeight="1">
      <c r="A794" s="7" t="s">
        <v>2513</v>
      </c>
      <c r="B794" s="10" t="s">
        <v>17</v>
      </c>
      <c r="C794" s="10" t="s">
        <v>2514</v>
      </c>
      <c r="D794" s="10">
        <v>1.0</v>
      </c>
      <c r="F794" s="10">
        <v>0.0</v>
      </c>
      <c r="G794" s="10">
        <v>0.0</v>
      </c>
      <c r="H794" s="10">
        <v>1.0</v>
      </c>
    </row>
    <row r="795" ht="15.75" customHeight="1">
      <c r="A795" s="7" t="s">
        <v>2516</v>
      </c>
      <c r="B795" s="10" t="s">
        <v>279</v>
      </c>
      <c r="D795" s="10">
        <v>1.0</v>
      </c>
      <c r="F795" s="10">
        <v>0.0</v>
      </c>
      <c r="G795" s="10">
        <v>0.0</v>
      </c>
      <c r="H795" s="10">
        <v>2.0</v>
      </c>
    </row>
    <row r="796" ht="15.75" customHeight="1">
      <c r="A796" s="7" t="s">
        <v>2518</v>
      </c>
      <c r="B796" s="10" t="s">
        <v>17</v>
      </c>
      <c r="D796" s="10">
        <v>1.0</v>
      </c>
      <c r="F796" s="10">
        <v>0.0</v>
      </c>
      <c r="G796" s="10">
        <v>0.0</v>
      </c>
      <c r="H796" s="10">
        <v>0.0</v>
      </c>
    </row>
    <row r="797" ht="15.75" customHeight="1">
      <c r="A797" s="7" t="s">
        <v>2519</v>
      </c>
      <c r="B797" s="10" t="s">
        <v>17</v>
      </c>
      <c r="C797" s="10" t="s">
        <v>2521</v>
      </c>
      <c r="D797" s="10">
        <v>1.0</v>
      </c>
      <c r="F797" s="10">
        <v>0.0</v>
      </c>
      <c r="G797" s="10">
        <v>0.0</v>
      </c>
      <c r="H797" s="10">
        <v>0.0</v>
      </c>
    </row>
    <row r="798" ht="15.75" customHeight="1">
      <c r="A798" s="7" t="s">
        <v>2522</v>
      </c>
      <c r="B798" s="10" t="s">
        <v>17</v>
      </c>
      <c r="C798" s="10" t="s">
        <v>2523</v>
      </c>
      <c r="D798" s="10">
        <v>1.0</v>
      </c>
      <c r="F798" s="10">
        <v>0.0</v>
      </c>
      <c r="G798" s="10">
        <v>0.0</v>
      </c>
      <c r="H798" s="10">
        <v>0.0</v>
      </c>
    </row>
    <row r="799" ht="15.75" customHeight="1">
      <c r="A799" s="7" t="s">
        <v>2524</v>
      </c>
      <c r="B799" s="10" t="s">
        <v>17</v>
      </c>
      <c r="D799" s="10">
        <v>1.0</v>
      </c>
      <c r="F799" s="10">
        <v>0.0</v>
      </c>
      <c r="G799" s="10">
        <v>0.0</v>
      </c>
      <c r="H799" s="10">
        <v>1.0</v>
      </c>
    </row>
    <row r="800" ht="15.75" customHeight="1">
      <c r="A800" s="7" t="s">
        <v>2525</v>
      </c>
      <c r="B800" s="10" t="s">
        <v>56</v>
      </c>
      <c r="C800" s="10" t="s">
        <v>2527</v>
      </c>
      <c r="D800" s="10">
        <v>1.0</v>
      </c>
      <c r="E800" s="10">
        <v>-3.0</v>
      </c>
      <c r="F800" s="10">
        <v>0.0</v>
      </c>
      <c r="G800" s="10">
        <v>0.0</v>
      </c>
      <c r="H800" s="10">
        <v>2.0</v>
      </c>
      <c r="I800" s="10">
        <v>-1.0</v>
      </c>
    </row>
    <row r="801" ht="15.75" customHeight="1">
      <c r="A801" s="7" t="s">
        <v>2528</v>
      </c>
      <c r="B801" s="10" t="s">
        <v>17</v>
      </c>
      <c r="C801" s="10" t="s">
        <v>384</v>
      </c>
      <c r="D801" s="10">
        <v>1.0</v>
      </c>
      <c r="F801" s="10">
        <v>0.0</v>
      </c>
      <c r="G801" s="10">
        <v>0.0</v>
      </c>
      <c r="H801" s="10">
        <v>1.0</v>
      </c>
    </row>
    <row r="802" ht="15.75" customHeight="1">
      <c r="A802" s="7" t="s">
        <v>2530</v>
      </c>
      <c r="B802" s="10" t="s">
        <v>17</v>
      </c>
      <c r="C802" s="10" t="s">
        <v>157</v>
      </c>
      <c r="D802" s="10">
        <v>1.0</v>
      </c>
      <c r="E802" s="10">
        <v>-3.0</v>
      </c>
      <c r="F802" s="10">
        <v>0.0</v>
      </c>
      <c r="G802" s="10">
        <v>0.0</v>
      </c>
      <c r="H802" s="10">
        <v>0.0</v>
      </c>
      <c r="I802" s="10">
        <v>-0.5</v>
      </c>
    </row>
    <row r="803" ht="15.75" customHeight="1">
      <c r="A803" s="7" t="s">
        <v>2533</v>
      </c>
      <c r="B803" s="10" t="s">
        <v>17</v>
      </c>
      <c r="C803" s="10" t="s">
        <v>2534</v>
      </c>
      <c r="D803" s="10">
        <v>1.0</v>
      </c>
      <c r="E803" s="10">
        <v>0.0</v>
      </c>
      <c r="F803" s="10">
        <v>0.0</v>
      </c>
      <c r="G803" s="10">
        <v>0.0</v>
      </c>
      <c r="H803" s="10">
        <v>2.0</v>
      </c>
      <c r="I803" s="10">
        <v>1.0</v>
      </c>
    </row>
    <row r="804" ht="15.75" customHeight="1">
      <c r="A804" s="7" t="s">
        <v>2535</v>
      </c>
      <c r="B804" s="10" t="s">
        <v>17</v>
      </c>
      <c r="D804" s="10">
        <v>1.0</v>
      </c>
      <c r="E804" s="10">
        <v>0.0</v>
      </c>
      <c r="F804" s="10">
        <v>0.0</v>
      </c>
      <c r="G804" s="10">
        <v>0.0</v>
      </c>
      <c r="H804" s="10">
        <v>0.0</v>
      </c>
      <c r="I804" s="10">
        <v>0.0</v>
      </c>
    </row>
    <row r="805" ht="15.75" customHeight="1">
      <c r="A805" s="10" t="s">
        <v>2536</v>
      </c>
      <c r="B805" s="10" t="s">
        <v>75</v>
      </c>
      <c r="D805" s="10">
        <v>1.0</v>
      </c>
      <c r="F805" s="10">
        <v>0.0</v>
      </c>
      <c r="G805" s="10">
        <v>0.0</v>
      </c>
      <c r="H805" s="10">
        <v>0.0</v>
      </c>
    </row>
    <row r="806" ht="15.75" customHeight="1">
      <c r="A806" s="7" t="s">
        <v>2537</v>
      </c>
      <c r="B806" s="10" t="s">
        <v>91</v>
      </c>
      <c r="C806" s="10" t="s">
        <v>574</v>
      </c>
      <c r="D806" s="10">
        <v>1.0</v>
      </c>
      <c r="F806" s="10">
        <v>0.0</v>
      </c>
      <c r="G806" s="10">
        <v>0.0</v>
      </c>
      <c r="H806" s="10">
        <v>1.0</v>
      </c>
    </row>
    <row r="807" ht="15.75" customHeight="1">
      <c r="A807" s="7" t="s">
        <v>2538</v>
      </c>
      <c r="B807" s="10" t="s">
        <v>75</v>
      </c>
      <c r="C807" s="10" t="s">
        <v>2540</v>
      </c>
      <c r="D807" s="10">
        <v>1.0</v>
      </c>
      <c r="E807" s="10">
        <v>-4.0</v>
      </c>
      <c r="F807" s="10">
        <v>0.0</v>
      </c>
      <c r="G807" s="10">
        <v>0.0</v>
      </c>
      <c r="H807" s="10">
        <v>1.0</v>
      </c>
      <c r="I807" s="10">
        <v>-0.4</v>
      </c>
    </row>
    <row r="808" ht="15.75" customHeight="1">
      <c r="A808" s="7" t="s">
        <v>2541</v>
      </c>
      <c r="B808" s="10" t="s">
        <v>17</v>
      </c>
      <c r="C808" s="10" t="s">
        <v>157</v>
      </c>
      <c r="D808" s="10">
        <v>1.0</v>
      </c>
      <c r="F808" s="10">
        <v>0.0</v>
      </c>
      <c r="G808" s="10">
        <v>0.0</v>
      </c>
      <c r="H808" s="10">
        <v>1.0</v>
      </c>
    </row>
    <row r="809" ht="15.75" customHeight="1">
      <c r="A809" s="7" t="s">
        <v>2543</v>
      </c>
      <c r="B809" s="10" t="s">
        <v>17</v>
      </c>
      <c r="C809" s="10" t="s">
        <v>2545</v>
      </c>
      <c r="D809" s="10">
        <v>1.0</v>
      </c>
      <c r="F809" s="10">
        <v>0.0</v>
      </c>
      <c r="G809" s="10">
        <v>0.0</v>
      </c>
      <c r="H809" s="10">
        <v>0.0</v>
      </c>
    </row>
    <row r="810" ht="15.75" customHeight="1">
      <c r="A810" s="7" t="s">
        <v>2546</v>
      </c>
      <c r="B810" s="10" t="s">
        <v>17</v>
      </c>
      <c r="C810" s="10" t="s">
        <v>2548</v>
      </c>
      <c r="D810" s="10">
        <v>1.0</v>
      </c>
      <c r="F810" s="10">
        <v>0.0</v>
      </c>
      <c r="G810" s="10">
        <v>0.0</v>
      </c>
      <c r="H810" s="10">
        <v>1.0</v>
      </c>
    </row>
    <row r="811" ht="15.75" customHeight="1">
      <c r="A811" s="7" t="s">
        <v>2550</v>
      </c>
      <c r="B811" s="10" t="s">
        <v>17</v>
      </c>
      <c r="C811" s="10" t="s">
        <v>157</v>
      </c>
      <c r="D811" s="10">
        <v>1.0</v>
      </c>
      <c r="E811" s="10">
        <v>-6.0</v>
      </c>
      <c r="F811" s="10">
        <v>0.0</v>
      </c>
      <c r="G811" s="10">
        <v>0.0</v>
      </c>
      <c r="H811" s="10">
        <v>3.0</v>
      </c>
      <c r="I811" s="10">
        <v>1.14</v>
      </c>
    </row>
    <row r="812" ht="15.75" customHeight="1">
      <c r="A812" s="7" t="s">
        <v>2551</v>
      </c>
      <c r="B812" s="10" t="s">
        <v>17</v>
      </c>
      <c r="D812" s="10">
        <v>1.0</v>
      </c>
      <c r="E812" s="10">
        <v>-5.0</v>
      </c>
      <c r="F812" s="10">
        <v>0.0</v>
      </c>
      <c r="G812" s="10">
        <v>0.0</v>
      </c>
      <c r="H812" s="10">
        <v>0.0</v>
      </c>
      <c r="I812" s="10">
        <v>0.0</v>
      </c>
    </row>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Z$996"/>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7"/>
    <hyperlink r:id="rId36" ref="A39"/>
    <hyperlink r:id="rId37" ref="A40"/>
    <hyperlink r:id="rId38" ref="A41"/>
    <hyperlink r:id="rId39" ref="A42"/>
    <hyperlink r:id="rId40" ref="A43"/>
    <hyperlink r:id="rId41" ref="A44"/>
    <hyperlink r:id="rId42" ref="A45"/>
    <hyperlink r:id="rId43" ref="A46"/>
    <hyperlink r:id="rId44" ref="A47"/>
    <hyperlink r:id="rId45" ref="A48"/>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7"/>
    <hyperlink r:id="rId64" ref="A69"/>
    <hyperlink r:id="rId65" ref="A70"/>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1"/>
    <hyperlink r:id="rId77" ref="A82"/>
    <hyperlink r:id="rId78" ref="A83"/>
    <hyperlink r:id="rId79" ref="A84"/>
    <hyperlink r:id="rId80" ref="A85"/>
    <hyperlink r:id="rId81" ref="A86"/>
    <hyperlink r:id="rId82" ref="A87"/>
    <hyperlink r:id="rId83" ref="A88"/>
    <hyperlink r:id="rId84" ref="A89"/>
    <hyperlink r:id="rId85" ref="A90"/>
    <hyperlink r:id="rId86" ref="A91"/>
    <hyperlink r:id="rId87" ref="A92"/>
    <hyperlink r:id="rId88" ref="A93"/>
    <hyperlink r:id="rId89" ref="A94"/>
    <hyperlink r:id="rId90" ref="A95"/>
    <hyperlink r:id="rId91" ref="A96"/>
    <hyperlink r:id="rId92" ref="A97"/>
    <hyperlink r:id="rId93" ref="A98"/>
    <hyperlink r:id="rId94" ref="A99"/>
    <hyperlink r:id="rId95" ref="A100"/>
    <hyperlink r:id="rId96" ref="A101"/>
    <hyperlink r:id="rId97" ref="A102"/>
    <hyperlink r:id="rId98" ref="A103"/>
    <hyperlink r:id="rId99" ref="A104"/>
    <hyperlink r:id="rId100" ref="A105"/>
    <hyperlink r:id="rId101" ref="A106"/>
    <hyperlink r:id="rId102" ref="A107"/>
    <hyperlink r:id="rId103" ref="A108"/>
    <hyperlink r:id="rId104" ref="A109"/>
    <hyperlink r:id="rId105" ref="A110"/>
    <hyperlink r:id="rId106" ref="A111"/>
    <hyperlink r:id="rId107" ref="A112"/>
    <hyperlink r:id="rId108" ref="A113"/>
    <hyperlink r:id="rId109" ref="A114"/>
    <hyperlink r:id="rId110" ref="A115"/>
    <hyperlink r:id="rId111" ref="A116"/>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2"/>
    <hyperlink r:id="rId135" ref="A143"/>
    <hyperlink r:id="rId136" ref="A144"/>
    <hyperlink r:id="rId137" ref="A145"/>
    <hyperlink r:id="rId138" ref="A146"/>
    <hyperlink r:id="rId139" ref="A147"/>
    <hyperlink r:id="rId140" ref="A148"/>
    <hyperlink r:id="rId141" ref="A149"/>
    <hyperlink r:id="rId142" ref="A150"/>
    <hyperlink r:id="rId143" ref="A151"/>
    <hyperlink r:id="rId144" ref="A153"/>
    <hyperlink r:id="rId145" ref="A154"/>
    <hyperlink r:id="rId146" ref="A155"/>
    <hyperlink r:id="rId147" ref="A156"/>
    <hyperlink r:id="rId148" ref="A157"/>
    <hyperlink r:id="rId149" ref="A159"/>
    <hyperlink r:id="rId150" ref="A160"/>
    <hyperlink r:id="rId151" ref="A161"/>
    <hyperlink r:id="rId152" ref="A162"/>
    <hyperlink r:id="rId153" ref="A163"/>
    <hyperlink r:id="rId154" ref="A164"/>
    <hyperlink r:id="rId155" ref="A165"/>
    <hyperlink r:id="rId156" ref="A166"/>
    <hyperlink r:id="rId157" ref="A167"/>
    <hyperlink r:id="rId158" ref="A168"/>
    <hyperlink r:id="rId159" ref="A169"/>
    <hyperlink r:id="rId160" ref="A170"/>
    <hyperlink r:id="rId161" ref="A171"/>
    <hyperlink r:id="rId162" ref="A172"/>
    <hyperlink r:id="rId163" ref="A173"/>
    <hyperlink r:id="rId164" ref="A174"/>
    <hyperlink r:id="rId165" ref="A175"/>
    <hyperlink r:id="rId166" ref="A176"/>
    <hyperlink r:id="rId167" ref="A177"/>
    <hyperlink r:id="rId168" ref="A178"/>
    <hyperlink r:id="rId169" ref="A179"/>
    <hyperlink r:id="rId170" ref="A180"/>
    <hyperlink r:id="rId171" ref="A181"/>
    <hyperlink r:id="rId172" ref="A182"/>
    <hyperlink r:id="rId173" ref="A183"/>
    <hyperlink r:id="rId174" ref="A184"/>
    <hyperlink r:id="rId175" ref="A185"/>
    <hyperlink r:id="rId176" ref="A186"/>
    <hyperlink r:id="rId177" ref="A187"/>
    <hyperlink r:id="rId178" ref="A188"/>
    <hyperlink r:id="rId179" ref="A189"/>
    <hyperlink r:id="rId180" ref="A193"/>
    <hyperlink r:id="rId181" ref="A194"/>
    <hyperlink r:id="rId182" ref="A195"/>
    <hyperlink r:id="rId183" ref="A196"/>
    <hyperlink r:id="rId184" ref="A197"/>
    <hyperlink r:id="rId185" ref="A198"/>
    <hyperlink r:id="rId186" ref="A199"/>
    <hyperlink r:id="rId187" ref="A200"/>
    <hyperlink r:id="rId188" ref="A202"/>
    <hyperlink r:id="rId189" ref="A203"/>
    <hyperlink r:id="rId190" ref="A204"/>
    <hyperlink r:id="rId191" ref="A205"/>
    <hyperlink r:id="rId192" ref="A206"/>
    <hyperlink r:id="rId193" ref="A207"/>
    <hyperlink r:id="rId194" ref="A208"/>
    <hyperlink r:id="rId195" ref="A209"/>
    <hyperlink r:id="rId196" ref="A210"/>
    <hyperlink r:id="rId197" ref="A211"/>
    <hyperlink r:id="rId198" ref="A212"/>
    <hyperlink r:id="rId199" ref="A214"/>
    <hyperlink r:id="rId200" ref="A215"/>
    <hyperlink r:id="rId201" ref="A216"/>
    <hyperlink r:id="rId202" ref="A217"/>
    <hyperlink r:id="rId203" ref="A218"/>
    <hyperlink r:id="rId204" ref="A219"/>
    <hyperlink r:id="rId205" ref="A220"/>
    <hyperlink r:id="rId206" ref="A221"/>
    <hyperlink r:id="rId207" ref="A222"/>
    <hyperlink r:id="rId208" ref="A223"/>
    <hyperlink r:id="rId209" ref="A224"/>
    <hyperlink r:id="rId210" ref="A225"/>
    <hyperlink r:id="rId211" ref="A226"/>
    <hyperlink r:id="rId212" ref="A227"/>
    <hyperlink r:id="rId213" ref="A228"/>
    <hyperlink r:id="rId214" ref="A229"/>
    <hyperlink r:id="rId215" ref="A230"/>
    <hyperlink r:id="rId216" ref="A231"/>
    <hyperlink r:id="rId217" ref="A232"/>
    <hyperlink r:id="rId218" ref="A233"/>
    <hyperlink r:id="rId219" ref="A234"/>
    <hyperlink r:id="rId220" ref="A235"/>
    <hyperlink r:id="rId221" ref="A236"/>
    <hyperlink r:id="rId222" ref="A237"/>
    <hyperlink r:id="rId223" ref="A238"/>
    <hyperlink r:id="rId224" ref="A239"/>
    <hyperlink r:id="rId225" ref="A240"/>
    <hyperlink r:id="rId226" ref="A241"/>
    <hyperlink r:id="rId227" ref="A243"/>
    <hyperlink r:id="rId228" ref="A244"/>
    <hyperlink r:id="rId229" ref="A245"/>
    <hyperlink r:id="rId230" ref="A246"/>
    <hyperlink r:id="rId231" ref="A247"/>
    <hyperlink r:id="rId232" ref="A248"/>
    <hyperlink r:id="rId233" ref="A249"/>
    <hyperlink r:id="rId234" ref="A250"/>
    <hyperlink r:id="rId235" ref="A251"/>
    <hyperlink r:id="rId236" ref="A252"/>
    <hyperlink r:id="rId237" ref="A253"/>
    <hyperlink r:id="rId238" ref="A254"/>
    <hyperlink r:id="rId239" ref="A255"/>
    <hyperlink r:id="rId240" ref="A256"/>
    <hyperlink r:id="rId241" ref="A257"/>
    <hyperlink r:id="rId242" ref="A258"/>
    <hyperlink r:id="rId243" ref="A259"/>
    <hyperlink r:id="rId244" ref="A260"/>
    <hyperlink r:id="rId245" ref="A261"/>
    <hyperlink r:id="rId246" ref="A262"/>
    <hyperlink r:id="rId247" ref="A263"/>
    <hyperlink r:id="rId248" ref="A264"/>
    <hyperlink r:id="rId249" ref="A265"/>
    <hyperlink r:id="rId250" ref="A266"/>
    <hyperlink r:id="rId251" ref="A268"/>
    <hyperlink r:id="rId252" ref="A269"/>
    <hyperlink r:id="rId253" ref="A270"/>
    <hyperlink r:id="rId254" ref="A271"/>
    <hyperlink r:id="rId255" ref="A272"/>
    <hyperlink r:id="rId256" ref="A273"/>
    <hyperlink r:id="rId257" ref="A274"/>
    <hyperlink r:id="rId258" ref="A275"/>
    <hyperlink r:id="rId259" ref="A276"/>
    <hyperlink r:id="rId260" ref="A277"/>
    <hyperlink r:id="rId261" ref="A278"/>
    <hyperlink r:id="rId262" ref="A279"/>
    <hyperlink r:id="rId263" ref="A280"/>
    <hyperlink r:id="rId264" ref="A281"/>
    <hyperlink r:id="rId265" ref="A282"/>
    <hyperlink r:id="rId266" ref="A283"/>
    <hyperlink r:id="rId267" ref="A284"/>
    <hyperlink r:id="rId268" ref="A285"/>
    <hyperlink r:id="rId269" ref="A286"/>
    <hyperlink r:id="rId270" ref="A287"/>
    <hyperlink r:id="rId271" ref="A288"/>
    <hyperlink r:id="rId272" ref="A289"/>
    <hyperlink r:id="rId273" ref="A290"/>
    <hyperlink r:id="rId274" ref="A291"/>
    <hyperlink r:id="rId275" ref="A292"/>
    <hyperlink r:id="rId276" ref="A293"/>
    <hyperlink r:id="rId277" ref="A294"/>
    <hyperlink r:id="rId278" ref="A295"/>
    <hyperlink r:id="rId279" ref="A296"/>
    <hyperlink r:id="rId280" ref="A297"/>
    <hyperlink r:id="rId281" ref="A298"/>
    <hyperlink r:id="rId282" ref="A299"/>
    <hyperlink r:id="rId283" ref="A300"/>
    <hyperlink r:id="rId284" ref="A301"/>
    <hyperlink r:id="rId285" ref="A302"/>
    <hyperlink r:id="rId286" ref="A303"/>
    <hyperlink r:id="rId287" ref="A304"/>
    <hyperlink r:id="rId288" ref="A305"/>
    <hyperlink r:id="rId289" ref="A306"/>
    <hyperlink r:id="rId290" ref="A307"/>
    <hyperlink r:id="rId291" ref="A308"/>
    <hyperlink r:id="rId292" ref="A309"/>
    <hyperlink r:id="rId293" ref="A310"/>
    <hyperlink r:id="rId294" ref="A311"/>
    <hyperlink r:id="rId295" ref="A312"/>
    <hyperlink r:id="rId296" ref="A313"/>
    <hyperlink r:id="rId297" ref="A314"/>
    <hyperlink r:id="rId298" ref="A315"/>
    <hyperlink r:id="rId299" ref="A316"/>
    <hyperlink r:id="rId300" ref="A317"/>
    <hyperlink r:id="rId301" ref="A319"/>
    <hyperlink r:id="rId302" ref="A320"/>
    <hyperlink r:id="rId303" ref="A321"/>
    <hyperlink r:id="rId304" ref="A322"/>
    <hyperlink r:id="rId305" ref="A323"/>
    <hyperlink r:id="rId306" ref="A324"/>
    <hyperlink r:id="rId307" ref="A325"/>
    <hyperlink r:id="rId308" ref="A326"/>
    <hyperlink r:id="rId309" ref="A327"/>
    <hyperlink r:id="rId310" ref="A328"/>
    <hyperlink r:id="rId311" ref="A329"/>
    <hyperlink r:id="rId312" ref="A330"/>
    <hyperlink r:id="rId313" ref="A331"/>
    <hyperlink r:id="rId314" ref="A332"/>
    <hyperlink r:id="rId315" ref="A333"/>
    <hyperlink r:id="rId316" ref="A334"/>
    <hyperlink r:id="rId317" ref="A335"/>
    <hyperlink r:id="rId318" ref="A336"/>
    <hyperlink r:id="rId319" ref="A337"/>
    <hyperlink r:id="rId320" ref="A338"/>
    <hyperlink r:id="rId321" ref="A339"/>
    <hyperlink r:id="rId322" ref="A340"/>
    <hyperlink r:id="rId323" ref="A341"/>
    <hyperlink r:id="rId324" ref="A342"/>
    <hyperlink r:id="rId325" ref="A343"/>
    <hyperlink r:id="rId326" ref="A344"/>
    <hyperlink r:id="rId327" ref="A345"/>
    <hyperlink r:id="rId328" ref="A346"/>
    <hyperlink r:id="rId329" ref="A347"/>
    <hyperlink r:id="rId330" ref="A348"/>
    <hyperlink r:id="rId331" ref="A349"/>
    <hyperlink r:id="rId332" ref="A350"/>
    <hyperlink r:id="rId333" ref="A351"/>
    <hyperlink r:id="rId334" ref="A352"/>
    <hyperlink r:id="rId335" ref="A353"/>
    <hyperlink r:id="rId336" ref="A354"/>
    <hyperlink r:id="rId337" ref="A356"/>
    <hyperlink r:id="rId338" ref="A358"/>
    <hyperlink r:id="rId339" ref="A359"/>
    <hyperlink r:id="rId340" ref="A360"/>
    <hyperlink r:id="rId341" ref="A361"/>
    <hyperlink r:id="rId342" ref="A362"/>
    <hyperlink r:id="rId343" ref="A364"/>
    <hyperlink r:id="rId344" ref="A365"/>
    <hyperlink r:id="rId345" ref="A367"/>
    <hyperlink r:id="rId346" ref="A370"/>
    <hyperlink r:id="rId347" ref="A371"/>
    <hyperlink r:id="rId348" ref="A372"/>
    <hyperlink r:id="rId349" ref="A373"/>
    <hyperlink r:id="rId350" ref="A374"/>
    <hyperlink r:id="rId351" ref="A375"/>
    <hyperlink r:id="rId352" ref="A376"/>
    <hyperlink r:id="rId353" ref="A377"/>
    <hyperlink r:id="rId354" ref="A378"/>
    <hyperlink r:id="rId355" ref="A379"/>
    <hyperlink r:id="rId356" ref="A380"/>
    <hyperlink r:id="rId357" ref="A381"/>
    <hyperlink r:id="rId358" ref="A382"/>
    <hyperlink r:id="rId359" ref="A383"/>
    <hyperlink r:id="rId360" ref="A384"/>
    <hyperlink r:id="rId361" ref="A385"/>
    <hyperlink r:id="rId362" ref="A386"/>
    <hyperlink r:id="rId363" ref="A387"/>
    <hyperlink r:id="rId364" ref="A388"/>
    <hyperlink r:id="rId365" ref="A389"/>
    <hyperlink r:id="rId366" ref="A390"/>
    <hyperlink r:id="rId367" ref="A391"/>
    <hyperlink r:id="rId368" ref="A392"/>
    <hyperlink r:id="rId369" ref="A393"/>
    <hyperlink r:id="rId370" ref="A394"/>
    <hyperlink r:id="rId371" ref="A395"/>
    <hyperlink r:id="rId372" ref="A396"/>
    <hyperlink r:id="rId373" ref="A397"/>
    <hyperlink r:id="rId374" ref="A398"/>
    <hyperlink r:id="rId375" ref="A399"/>
    <hyperlink r:id="rId376" ref="A400"/>
    <hyperlink r:id="rId377" ref="A401"/>
    <hyperlink r:id="rId378" ref="A402"/>
    <hyperlink r:id="rId379" ref="A403"/>
    <hyperlink r:id="rId380" ref="A404"/>
    <hyperlink r:id="rId381" ref="A405"/>
    <hyperlink r:id="rId382" ref="A407"/>
    <hyperlink r:id="rId383" ref="A408"/>
    <hyperlink r:id="rId384" ref="A409"/>
    <hyperlink r:id="rId385" ref="A410"/>
    <hyperlink r:id="rId386" ref="A411"/>
    <hyperlink r:id="rId387" ref="A412"/>
    <hyperlink r:id="rId388" ref="A413"/>
    <hyperlink r:id="rId389" ref="A414"/>
    <hyperlink r:id="rId390" ref="A415"/>
    <hyperlink r:id="rId391" ref="A416"/>
    <hyperlink r:id="rId392" ref="A417"/>
    <hyperlink r:id="rId393" ref="A418"/>
    <hyperlink r:id="rId394" ref="A419"/>
    <hyperlink r:id="rId395" ref="A420"/>
    <hyperlink r:id="rId396" ref="A421"/>
    <hyperlink r:id="rId397" ref="A422"/>
    <hyperlink r:id="rId398" ref="A423"/>
    <hyperlink r:id="rId399" ref="A424"/>
    <hyperlink r:id="rId400" ref="A425"/>
    <hyperlink r:id="rId401" ref="A426"/>
    <hyperlink r:id="rId402" ref="A427"/>
    <hyperlink r:id="rId403" ref="A428"/>
    <hyperlink r:id="rId404" ref="A429"/>
    <hyperlink r:id="rId405" ref="A430"/>
    <hyperlink r:id="rId406" ref="A431"/>
    <hyperlink r:id="rId407" ref="A432"/>
    <hyperlink r:id="rId408" ref="A433"/>
    <hyperlink r:id="rId409" ref="A434"/>
    <hyperlink r:id="rId410" ref="A435"/>
    <hyperlink r:id="rId411" ref="A436"/>
    <hyperlink r:id="rId412" ref="A437"/>
    <hyperlink r:id="rId413" ref="A438"/>
    <hyperlink r:id="rId414" ref="A439"/>
    <hyperlink r:id="rId415" ref="A440"/>
    <hyperlink r:id="rId416" ref="A441"/>
    <hyperlink r:id="rId417" ref="A442"/>
    <hyperlink r:id="rId418" ref="A443"/>
    <hyperlink r:id="rId419" ref="A444"/>
    <hyperlink r:id="rId420" ref="A445"/>
    <hyperlink r:id="rId421" ref="A446"/>
    <hyperlink r:id="rId422" ref="A447"/>
    <hyperlink r:id="rId423" ref="A448"/>
    <hyperlink r:id="rId424" ref="A449"/>
    <hyperlink r:id="rId425" ref="A450"/>
    <hyperlink r:id="rId426" ref="A451"/>
    <hyperlink r:id="rId427" ref="A452"/>
    <hyperlink r:id="rId428" ref="A453"/>
    <hyperlink r:id="rId429" ref="A454"/>
    <hyperlink r:id="rId430" ref="A455"/>
    <hyperlink r:id="rId431" ref="A456"/>
    <hyperlink r:id="rId432" ref="A457"/>
    <hyperlink r:id="rId433" ref="A458"/>
    <hyperlink r:id="rId434" ref="A459"/>
    <hyperlink r:id="rId435" ref="A460"/>
    <hyperlink r:id="rId436" ref="A461"/>
    <hyperlink r:id="rId437" ref="A462"/>
    <hyperlink r:id="rId438" ref="A463"/>
    <hyperlink r:id="rId439" ref="A464"/>
    <hyperlink r:id="rId440" ref="A465"/>
    <hyperlink r:id="rId441" ref="A466"/>
    <hyperlink r:id="rId442" ref="A467"/>
    <hyperlink r:id="rId443" ref="A468"/>
    <hyperlink r:id="rId444" ref="A469"/>
    <hyperlink r:id="rId445" ref="A470"/>
    <hyperlink r:id="rId446" ref="A471"/>
    <hyperlink r:id="rId447" ref="A472"/>
    <hyperlink r:id="rId448" ref="A473"/>
    <hyperlink r:id="rId449" ref="A474"/>
    <hyperlink r:id="rId450" ref="A475"/>
    <hyperlink r:id="rId451" ref="A476"/>
    <hyperlink r:id="rId452" ref="A477"/>
    <hyperlink r:id="rId453" ref="A478"/>
    <hyperlink r:id="rId454" ref="A479"/>
    <hyperlink r:id="rId455" ref="A481"/>
    <hyperlink r:id="rId456" ref="A482"/>
    <hyperlink r:id="rId457" ref="A483"/>
    <hyperlink r:id="rId458" ref="A484"/>
    <hyperlink r:id="rId459" ref="A485"/>
    <hyperlink r:id="rId460" ref="A486"/>
    <hyperlink r:id="rId461" ref="A487"/>
    <hyperlink r:id="rId462" ref="A488"/>
    <hyperlink r:id="rId463" ref="A489"/>
    <hyperlink r:id="rId464" ref="A490"/>
    <hyperlink r:id="rId465" ref="A491"/>
    <hyperlink r:id="rId466" ref="A492"/>
    <hyperlink r:id="rId467" ref="A493"/>
    <hyperlink r:id="rId468" ref="A494"/>
    <hyperlink r:id="rId469" ref="A495"/>
    <hyperlink r:id="rId470" ref="A496"/>
    <hyperlink r:id="rId471" ref="A497"/>
    <hyperlink r:id="rId472" ref="A498"/>
    <hyperlink r:id="rId473" ref="A499"/>
    <hyperlink r:id="rId474" ref="A500"/>
    <hyperlink r:id="rId475" ref="A501"/>
    <hyperlink r:id="rId476" ref="A502"/>
    <hyperlink r:id="rId477" ref="A503"/>
    <hyperlink r:id="rId478" ref="A504"/>
    <hyperlink r:id="rId479" ref="A505"/>
    <hyperlink r:id="rId480" ref="A506"/>
    <hyperlink r:id="rId481" ref="A507"/>
    <hyperlink r:id="rId482" ref="A508"/>
    <hyperlink r:id="rId483" ref="A509"/>
    <hyperlink r:id="rId484" ref="A510"/>
    <hyperlink r:id="rId485" ref="A511"/>
    <hyperlink r:id="rId486" ref="A512"/>
    <hyperlink r:id="rId487" ref="A513"/>
    <hyperlink r:id="rId488" ref="A514"/>
    <hyperlink r:id="rId489" ref="A515"/>
    <hyperlink r:id="rId490" ref="A516"/>
    <hyperlink r:id="rId491" ref="A517"/>
    <hyperlink r:id="rId492" ref="A518"/>
    <hyperlink r:id="rId493" ref="A519"/>
    <hyperlink r:id="rId494" ref="A520"/>
    <hyperlink r:id="rId495" ref="A522"/>
    <hyperlink r:id="rId496" ref="A523"/>
    <hyperlink r:id="rId497" ref="A524"/>
    <hyperlink r:id="rId498" ref="A525"/>
    <hyperlink r:id="rId499" ref="A526"/>
    <hyperlink r:id="rId500" ref="A527"/>
    <hyperlink r:id="rId501" ref="A528"/>
    <hyperlink r:id="rId502" ref="A529"/>
    <hyperlink r:id="rId503" ref="A530"/>
    <hyperlink r:id="rId504" ref="A531"/>
    <hyperlink r:id="rId505" ref="A532"/>
    <hyperlink r:id="rId506" ref="A533"/>
    <hyperlink r:id="rId507" ref="A534"/>
    <hyperlink r:id="rId508" ref="A535"/>
    <hyperlink r:id="rId509" ref="A536"/>
    <hyperlink r:id="rId510" ref="A537"/>
    <hyperlink r:id="rId511" ref="A538"/>
    <hyperlink r:id="rId512" ref="A539"/>
    <hyperlink r:id="rId513" ref="A540"/>
    <hyperlink r:id="rId514" ref="A541"/>
    <hyperlink r:id="rId515" ref="A542"/>
    <hyperlink r:id="rId516" ref="A543"/>
    <hyperlink r:id="rId517" ref="A544"/>
    <hyperlink r:id="rId518" ref="A545"/>
    <hyperlink r:id="rId519" ref="A546"/>
    <hyperlink r:id="rId520" ref="A547"/>
    <hyperlink r:id="rId521" ref="A548"/>
    <hyperlink r:id="rId522" ref="A549"/>
    <hyperlink r:id="rId523" ref="A550"/>
    <hyperlink r:id="rId524" ref="A551"/>
    <hyperlink r:id="rId525" ref="A552"/>
    <hyperlink r:id="rId526" ref="A553"/>
    <hyperlink r:id="rId527" ref="A554"/>
    <hyperlink r:id="rId528" ref="A555"/>
    <hyperlink r:id="rId529" ref="A556"/>
    <hyperlink r:id="rId530" ref="A557"/>
    <hyperlink r:id="rId531" ref="A558"/>
    <hyperlink r:id="rId532" ref="A559"/>
    <hyperlink r:id="rId533" ref="A560"/>
    <hyperlink r:id="rId534" ref="A561"/>
    <hyperlink r:id="rId535" ref="A562"/>
    <hyperlink r:id="rId536" ref="A563"/>
    <hyperlink r:id="rId537" ref="A564"/>
    <hyperlink r:id="rId538" ref="A565"/>
    <hyperlink r:id="rId539" ref="A567"/>
    <hyperlink r:id="rId540" ref="A568"/>
    <hyperlink r:id="rId541" ref="A570"/>
    <hyperlink r:id="rId542" ref="A571"/>
    <hyperlink r:id="rId543" ref="A572"/>
    <hyperlink r:id="rId544" ref="A574"/>
    <hyperlink r:id="rId545" ref="A575"/>
    <hyperlink r:id="rId546" ref="A576"/>
    <hyperlink r:id="rId547" ref="A577"/>
    <hyperlink r:id="rId548" ref="A578"/>
    <hyperlink r:id="rId549" ref="A579"/>
    <hyperlink r:id="rId550" ref="A580"/>
    <hyperlink r:id="rId551" ref="A581"/>
    <hyperlink r:id="rId552" ref="A582"/>
    <hyperlink r:id="rId553" ref="A583"/>
    <hyperlink r:id="rId554" ref="A584"/>
    <hyperlink r:id="rId555" ref="A585"/>
    <hyperlink r:id="rId556" ref="A586"/>
    <hyperlink r:id="rId557" ref="A587"/>
    <hyperlink r:id="rId558" ref="A588"/>
    <hyperlink r:id="rId559" ref="A589"/>
    <hyperlink r:id="rId560" ref="A590"/>
    <hyperlink r:id="rId561" ref="A591"/>
    <hyperlink r:id="rId562" ref="A592"/>
    <hyperlink r:id="rId563" ref="A593"/>
    <hyperlink r:id="rId564" ref="A594"/>
    <hyperlink r:id="rId565" ref="A595"/>
    <hyperlink r:id="rId566" ref="A597"/>
    <hyperlink r:id="rId567" ref="A598"/>
    <hyperlink r:id="rId568" ref="A599"/>
    <hyperlink r:id="rId569" ref="A600"/>
    <hyperlink r:id="rId570" ref="A601"/>
    <hyperlink r:id="rId571" ref="A602"/>
    <hyperlink r:id="rId572" ref="A603"/>
    <hyperlink r:id="rId573" ref="A605"/>
    <hyperlink r:id="rId574" ref="A606"/>
    <hyperlink r:id="rId575" ref="A607"/>
    <hyperlink r:id="rId576" ref="A608"/>
    <hyperlink r:id="rId577" ref="A609"/>
    <hyperlink r:id="rId578" ref="A610"/>
    <hyperlink r:id="rId579" ref="A611"/>
    <hyperlink r:id="rId580" ref="A612"/>
    <hyperlink r:id="rId581" ref="A613"/>
    <hyperlink r:id="rId582" ref="A614"/>
    <hyperlink r:id="rId583" ref="A615"/>
    <hyperlink r:id="rId584" ref="A616"/>
    <hyperlink r:id="rId585" ref="A617"/>
    <hyperlink r:id="rId586" ref="A618"/>
    <hyperlink r:id="rId587" ref="A619"/>
    <hyperlink r:id="rId588" ref="A620"/>
    <hyperlink r:id="rId589" ref="A621"/>
    <hyperlink r:id="rId590" ref="A622"/>
    <hyperlink r:id="rId591" ref="A623"/>
    <hyperlink r:id="rId592" ref="A624"/>
    <hyperlink r:id="rId593" ref="A625"/>
    <hyperlink r:id="rId594" ref="A626"/>
    <hyperlink r:id="rId595" ref="A627"/>
    <hyperlink r:id="rId596" ref="A628"/>
    <hyperlink r:id="rId597" ref="A629"/>
    <hyperlink r:id="rId598" ref="A630"/>
    <hyperlink r:id="rId599" ref="A632"/>
    <hyperlink r:id="rId600" ref="A633"/>
    <hyperlink r:id="rId601" ref="A634"/>
    <hyperlink r:id="rId602" ref="A636"/>
    <hyperlink r:id="rId603" ref="A637"/>
    <hyperlink r:id="rId604" ref="A638"/>
    <hyperlink r:id="rId605" ref="A639"/>
    <hyperlink r:id="rId606" ref="A640"/>
    <hyperlink r:id="rId607" ref="A641"/>
    <hyperlink r:id="rId608" ref="A642"/>
    <hyperlink r:id="rId609" ref="A643"/>
    <hyperlink r:id="rId610" ref="A644"/>
    <hyperlink r:id="rId611" ref="A645"/>
    <hyperlink r:id="rId612" ref="A647"/>
    <hyperlink r:id="rId613" ref="A648"/>
    <hyperlink r:id="rId614" ref="A649"/>
    <hyperlink r:id="rId615" ref="A650"/>
    <hyperlink r:id="rId616" ref="A651"/>
    <hyperlink r:id="rId617" ref="A652"/>
    <hyperlink r:id="rId618" ref="A653"/>
    <hyperlink r:id="rId619" ref="A654"/>
    <hyperlink r:id="rId620" ref="A655"/>
    <hyperlink r:id="rId621" ref="A656"/>
    <hyperlink r:id="rId622" ref="A658"/>
    <hyperlink r:id="rId623" ref="A659"/>
    <hyperlink r:id="rId624" ref="A660"/>
    <hyperlink r:id="rId625" ref="A661"/>
    <hyperlink r:id="rId626" ref="A662"/>
    <hyperlink r:id="rId627" ref="A663"/>
    <hyperlink r:id="rId628" ref="A664"/>
    <hyperlink r:id="rId629" ref="A665"/>
    <hyperlink r:id="rId630" ref="A666"/>
    <hyperlink r:id="rId631" ref="A667"/>
    <hyperlink r:id="rId632" ref="A668"/>
    <hyperlink r:id="rId633" ref="A669"/>
    <hyperlink r:id="rId634" ref="A670"/>
    <hyperlink r:id="rId635" ref="A671"/>
    <hyperlink r:id="rId636" ref="A673"/>
    <hyperlink r:id="rId637" ref="A674"/>
    <hyperlink r:id="rId638" ref="A675"/>
    <hyperlink r:id="rId639" ref="A676"/>
    <hyperlink r:id="rId640" ref="A677"/>
    <hyperlink r:id="rId641" ref="A678"/>
    <hyperlink r:id="rId642" ref="A679"/>
    <hyperlink r:id="rId643" ref="A680"/>
    <hyperlink r:id="rId644" ref="A682"/>
    <hyperlink r:id="rId645" ref="A683"/>
    <hyperlink r:id="rId646" ref="A684"/>
    <hyperlink r:id="rId647" ref="A685"/>
    <hyperlink r:id="rId648" ref="A686"/>
    <hyperlink r:id="rId649" ref="A687"/>
    <hyperlink r:id="rId650" ref="A689"/>
    <hyperlink r:id="rId651" ref="A690"/>
    <hyperlink r:id="rId652" ref="A691"/>
    <hyperlink r:id="rId653" ref="A692"/>
    <hyperlink r:id="rId654" ref="A693"/>
    <hyperlink r:id="rId655" ref="A694"/>
    <hyperlink r:id="rId656" ref="A695"/>
    <hyperlink r:id="rId657" ref="A697"/>
    <hyperlink r:id="rId658" ref="A698"/>
    <hyperlink r:id="rId659" ref="A700"/>
    <hyperlink r:id="rId660" ref="A701"/>
    <hyperlink r:id="rId661" ref="A702"/>
    <hyperlink r:id="rId662" ref="A704"/>
    <hyperlink r:id="rId663" ref="A705"/>
    <hyperlink r:id="rId664" ref="A706"/>
    <hyperlink r:id="rId665" ref="A707"/>
    <hyperlink r:id="rId666" ref="A708"/>
    <hyperlink r:id="rId667" ref="A709"/>
    <hyperlink r:id="rId668" ref="A710"/>
    <hyperlink r:id="rId669" ref="A711"/>
    <hyperlink r:id="rId670" ref="A712"/>
    <hyperlink r:id="rId671" ref="A713"/>
    <hyperlink r:id="rId672" ref="A714"/>
    <hyperlink r:id="rId673" ref="A715"/>
    <hyperlink r:id="rId674" ref="A716"/>
    <hyperlink r:id="rId675" ref="A717"/>
    <hyperlink r:id="rId676" ref="A718"/>
    <hyperlink r:id="rId677" ref="A719"/>
    <hyperlink r:id="rId678" ref="A720"/>
    <hyperlink r:id="rId679" ref="A721"/>
    <hyperlink r:id="rId680" ref="A722"/>
    <hyperlink r:id="rId681" ref="A723"/>
    <hyperlink r:id="rId682" ref="A724"/>
    <hyperlink r:id="rId683" ref="A725"/>
    <hyperlink r:id="rId684" ref="A726"/>
    <hyperlink r:id="rId685" ref="A728"/>
    <hyperlink r:id="rId686" ref="A729"/>
    <hyperlink r:id="rId687" ref="A730"/>
    <hyperlink r:id="rId688" ref="A731"/>
    <hyperlink r:id="rId689" ref="A732"/>
    <hyperlink r:id="rId690" ref="A733"/>
    <hyperlink r:id="rId691" ref="A735"/>
    <hyperlink r:id="rId692" ref="A736"/>
    <hyperlink r:id="rId693" ref="A737"/>
    <hyperlink r:id="rId694" ref="A738"/>
    <hyperlink r:id="rId695" ref="A739"/>
    <hyperlink r:id="rId696" ref="A740"/>
    <hyperlink r:id="rId697" ref="A741"/>
    <hyperlink r:id="rId698" ref="A742"/>
    <hyperlink r:id="rId699" ref="A743"/>
    <hyperlink r:id="rId700" ref="A744"/>
    <hyperlink r:id="rId701" ref="A745"/>
    <hyperlink r:id="rId702" ref="A746"/>
    <hyperlink r:id="rId703" ref="A747"/>
    <hyperlink r:id="rId704" ref="A748"/>
    <hyperlink r:id="rId705" ref="A749"/>
    <hyperlink r:id="rId706" ref="A750"/>
    <hyperlink r:id="rId707" ref="A751"/>
    <hyperlink r:id="rId708" ref="A752"/>
    <hyperlink r:id="rId709" ref="A753"/>
    <hyperlink r:id="rId710" ref="A754"/>
    <hyperlink r:id="rId711" ref="A755"/>
    <hyperlink r:id="rId712" ref="A756"/>
    <hyperlink r:id="rId713" ref="A757"/>
    <hyperlink r:id="rId714" ref="A758"/>
    <hyperlink r:id="rId715" ref="A759"/>
    <hyperlink r:id="rId716" ref="A760"/>
    <hyperlink r:id="rId717" ref="A761"/>
    <hyperlink r:id="rId718" ref="A762"/>
    <hyperlink r:id="rId719" ref="A764"/>
    <hyperlink r:id="rId720" ref="A765"/>
    <hyperlink r:id="rId721" ref="A766"/>
    <hyperlink r:id="rId722" ref="A767"/>
    <hyperlink r:id="rId723" ref="A768"/>
    <hyperlink r:id="rId724" ref="A769"/>
    <hyperlink r:id="rId725" ref="A770"/>
    <hyperlink r:id="rId726" ref="A771"/>
    <hyperlink r:id="rId727" ref="A772"/>
    <hyperlink r:id="rId728" ref="A773"/>
    <hyperlink r:id="rId729" ref="A774"/>
    <hyperlink r:id="rId730" ref="A775"/>
    <hyperlink r:id="rId731" ref="A776"/>
    <hyperlink r:id="rId732" ref="A778"/>
    <hyperlink r:id="rId733" ref="A779"/>
    <hyperlink r:id="rId734" ref="A780"/>
    <hyperlink r:id="rId735" ref="A781"/>
    <hyperlink r:id="rId736" ref="A782"/>
    <hyperlink r:id="rId737" ref="A783"/>
    <hyperlink r:id="rId738" ref="A786"/>
    <hyperlink r:id="rId739" ref="A787"/>
    <hyperlink r:id="rId740" ref="A788"/>
    <hyperlink r:id="rId741" ref="A789"/>
    <hyperlink r:id="rId742" ref="A790"/>
    <hyperlink r:id="rId743" ref="A791"/>
    <hyperlink r:id="rId744" ref="A792"/>
    <hyperlink r:id="rId745" ref="A793"/>
    <hyperlink r:id="rId746" ref="A794"/>
    <hyperlink r:id="rId747" ref="A795"/>
    <hyperlink r:id="rId748" ref="A796"/>
    <hyperlink r:id="rId749" ref="A797"/>
    <hyperlink r:id="rId750" ref="A798"/>
    <hyperlink r:id="rId751" ref="A799"/>
    <hyperlink r:id="rId752" ref="A800"/>
    <hyperlink r:id="rId753" ref="A801"/>
    <hyperlink r:id="rId754" ref="A802"/>
    <hyperlink r:id="rId755" ref="A803"/>
    <hyperlink r:id="rId756" ref="A804"/>
    <hyperlink r:id="rId757" ref="A806"/>
    <hyperlink r:id="rId758" ref="A807"/>
    <hyperlink r:id="rId759" ref="A808"/>
    <hyperlink r:id="rId760" ref="A809"/>
    <hyperlink r:id="rId761" ref="A810"/>
    <hyperlink r:id="rId762" ref="A811"/>
    <hyperlink r:id="rId763" ref="A812"/>
  </hyperlinks>
  <drawing r:id="rId76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 customWidth="1" min="10" max="10" width="19.75"/>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9" t="s">
        <v>15</v>
      </c>
      <c r="B2" s="12" t="s">
        <v>18</v>
      </c>
      <c r="C2" s="14" t="s">
        <v>20</v>
      </c>
      <c r="D2" s="15" t="s">
        <v>22</v>
      </c>
      <c r="E2" s="16" t="s">
        <v>24</v>
      </c>
      <c r="F2" s="10" t="s">
        <v>25</v>
      </c>
      <c r="G2" s="10" t="b">
        <v>0</v>
      </c>
      <c r="H2" s="10" t="s">
        <v>26</v>
      </c>
      <c r="I2" s="10">
        <v>111.0</v>
      </c>
      <c r="J2" s="10">
        <v>0.12</v>
      </c>
      <c r="K2" s="10">
        <v>0.92</v>
      </c>
    </row>
    <row r="3" ht="15.75" customHeight="1">
      <c r="A3" s="7" t="s">
        <v>28</v>
      </c>
      <c r="B3" s="12" t="s">
        <v>31</v>
      </c>
      <c r="C3" s="14" t="s">
        <v>32</v>
      </c>
      <c r="D3" s="15" t="s">
        <v>34</v>
      </c>
      <c r="E3" s="16" t="s">
        <v>24</v>
      </c>
      <c r="F3" s="10" t="s">
        <v>35</v>
      </c>
      <c r="G3" s="10" t="b">
        <v>0</v>
      </c>
      <c r="H3" s="10" t="s">
        <v>36</v>
      </c>
      <c r="I3" s="10">
        <v>97.0</v>
      </c>
      <c r="J3" s="10">
        <v>0.1</v>
      </c>
      <c r="K3" s="10">
        <v>2.69</v>
      </c>
    </row>
    <row r="4" ht="15.75" customHeight="1">
      <c r="A4" s="7" t="s">
        <v>39</v>
      </c>
      <c r="B4" s="12" t="s">
        <v>40</v>
      </c>
      <c r="C4" s="14" t="s">
        <v>42</v>
      </c>
      <c r="D4" s="15" t="s">
        <v>34</v>
      </c>
      <c r="E4" s="16" t="s">
        <v>43</v>
      </c>
      <c r="F4" s="10" t="s">
        <v>35</v>
      </c>
      <c r="G4" s="10" t="b">
        <v>0</v>
      </c>
      <c r="H4" s="10" t="s">
        <v>46</v>
      </c>
      <c r="I4" s="10">
        <v>95.0</v>
      </c>
      <c r="J4" s="10">
        <v>0.1</v>
      </c>
      <c r="K4" s="10">
        <v>1.22</v>
      </c>
    </row>
    <row r="5" ht="15.75" customHeight="1">
      <c r="A5" s="7" t="s">
        <v>47</v>
      </c>
      <c r="B5" s="12" t="s">
        <v>49</v>
      </c>
      <c r="C5" s="14" t="s">
        <v>23</v>
      </c>
      <c r="D5" s="15" t="s">
        <v>51</v>
      </c>
      <c r="E5" s="16" t="s">
        <v>24</v>
      </c>
      <c r="F5" s="10" t="s">
        <v>52</v>
      </c>
      <c r="G5" s="10" t="b">
        <v>0</v>
      </c>
      <c r="H5" s="10" t="s">
        <v>53</v>
      </c>
      <c r="I5" s="10">
        <v>92.0</v>
      </c>
      <c r="J5" s="10">
        <v>0.1</v>
      </c>
      <c r="K5" s="10">
        <v>0.55</v>
      </c>
    </row>
    <row r="6" ht="15.75" customHeight="1">
      <c r="A6" s="7" t="s">
        <v>55</v>
      </c>
      <c r="B6" s="12" t="s">
        <v>58</v>
      </c>
      <c r="C6" s="14" t="s">
        <v>20</v>
      </c>
      <c r="D6" s="15" t="s">
        <v>22</v>
      </c>
      <c r="E6" s="16" t="s">
        <v>24</v>
      </c>
      <c r="F6" s="10" t="s">
        <v>25</v>
      </c>
      <c r="G6" s="10" t="b">
        <v>0</v>
      </c>
      <c r="H6" s="10" t="s">
        <v>59</v>
      </c>
      <c r="I6" s="10">
        <v>87.0</v>
      </c>
      <c r="J6" s="10">
        <v>0.09</v>
      </c>
      <c r="K6" s="10">
        <v>1.1</v>
      </c>
    </row>
    <row r="7" ht="15.75" customHeight="1">
      <c r="A7" s="7" t="s">
        <v>60</v>
      </c>
      <c r="B7" s="12" t="s">
        <v>62</v>
      </c>
      <c r="C7" s="14" t="s">
        <v>29</v>
      </c>
      <c r="D7" s="15" t="s">
        <v>34</v>
      </c>
      <c r="E7" s="16" t="s">
        <v>24</v>
      </c>
      <c r="F7" s="10" t="s">
        <v>35</v>
      </c>
      <c r="G7" s="10" t="b">
        <v>0</v>
      </c>
      <c r="H7" s="10" t="s">
        <v>64</v>
      </c>
      <c r="I7" s="10">
        <v>81.0</v>
      </c>
      <c r="J7" s="10">
        <v>0.08</v>
      </c>
      <c r="K7" s="10">
        <v>1.41</v>
      </c>
    </row>
    <row r="8" ht="15.75" customHeight="1">
      <c r="A8" s="7" t="s">
        <v>65</v>
      </c>
      <c r="B8" s="12" t="s">
        <v>67</v>
      </c>
      <c r="C8" s="14" t="s">
        <v>16</v>
      </c>
      <c r="D8" s="15" t="s">
        <v>22</v>
      </c>
      <c r="E8" s="16" t="s">
        <v>24</v>
      </c>
      <c r="F8" s="10" t="s">
        <v>25</v>
      </c>
      <c r="G8" s="10" t="b">
        <v>0</v>
      </c>
      <c r="H8" s="10" t="s">
        <v>70</v>
      </c>
      <c r="I8" s="10">
        <v>75.0</v>
      </c>
      <c r="J8" s="10">
        <v>0.08</v>
      </c>
      <c r="K8" s="10">
        <v>0.96</v>
      </c>
    </row>
    <row r="9" ht="15.75" customHeight="1">
      <c r="A9" s="7" t="s">
        <v>71</v>
      </c>
      <c r="B9" s="12" t="s">
        <v>74</v>
      </c>
      <c r="C9" s="14" t="s">
        <v>48</v>
      </c>
      <c r="D9" s="15" t="s">
        <v>22</v>
      </c>
      <c r="E9" s="16" t="s">
        <v>24</v>
      </c>
      <c r="F9" s="10" t="s">
        <v>25</v>
      </c>
      <c r="G9" s="10" t="b">
        <v>0</v>
      </c>
      <c r="H9" s="10" t="s">
        <v>77</v>
      </c>
      <c r="I9" s="10">
        <v>66.0</v>
      </c>
      <c r="J9" s="10">
        <v>0.07</v>
      </c>
      <c r="K9" s="10">
        <v>0.68</v>
      </c>
    </row>
    <row r="10" ht="15.75" customHeight="1">
      <c r="A10" s="7" t="s">
        <v>78</v>
      </c>
      <c r="B10" s="12" t="s">
        <v>80</v>
      </c>
      <c r="C10" s="14" t="s">
        <v>29</v>
      </c>
      <c r="D10" s="15" t="s">
        <v>34</v>
      </c>
      <c r="E10" s="16" t="s">
        <v>24</v>
      </c>
      <c r="F10" s="10" t="s">
        <v>35</v>
      </c>
      <c r="G10" s="10" t="b">
        <v>0</v>
      </c>
      <c r="H10" s="10" t="s">
        <v>81</v>
      </c>
      <c r="I10" s="10">
        <v>62.0</v>
      </c>
      <c r="J10" s="10">
        <v>0.06</v>
      </c>
      <c r="K10" s="10">
        <v>1.1</v>
      </c>
    </row>
    <row r="11" ht="15.75" customHeight="1">
      <c r="A11" s="7" t="s">
        <v>83</v>
      </c>
      <c r="B11" s="12" t="s">
        <v>85</v>
      </c>
      <c r="C11" s="14" t="s">
        <v>16</v>
      </c>
      <c r="D11" s="15" t="s">
        <v>34</v>
      </c>
      <c r="E11" s="16" t="s">
        <v>24</v>
      </c>
      <c r="F11" s="10" t="s">
        <v>35</v>
      </c>
      <c r="G11" s="10" t="b">
        <v>0</v>
      </c>
      <c r="H11" s="10" t="s">
        <v>86</v>
      </c>
      <c r="I11" s="10">
        <v>62.0</v>
      </c>
      <c r="J11" s="10">
        <v>0.06</v>
      </c>
      <c r="K11" s="10">
        <v>1.35</v>
      </c>
    </row>
    <row r="12" ht="15.75" customHeight="1">
      <c r="A12" s="7" t="s">
        <v>88</v>
      </c>
      <c r="B12" s="12" t="s">
        <v>90</v>
      </c>
      <c r="C12" s="14" t="s">
        <v>29</v>
      </c>
      <c r="D12" s="15" t="s">
        <v>34</v>
      </c>
      <c r="E12" s="16" t="s">
        <v>24</v>
      </c>
      <c r="F12" s="10" t="s">
        <v>35</v>
      </c>
      <c r="G12" s="10" t="b">
        <v>0</v>
      </c>
      <c r="H12" s="10" t="s">
        <v>93</v>
      </c>
      <c r="I12" s="10">
        <v>61.0</v>
      </c>
      <c r="J12" s="10">
        <v>0.06</v>
      </c>
      <c r="K12" s="10">
        <v>1.93</v>
      </c>
    </row>
    <row r="13" ht="15.75" customHeight="1">
      <c r="A13" s="7" t="s">
        <v>95</v>
      </c>
      <c r="B13" s="12" t="s">
        <v>97</v>
      </c>
      <c r="C13" s="14" t="s">
        <v>73</v>
      </c>
      <c r="D13" s="15" t="s">
        <v>34</v>
      </c>
      <c r="E13" s="16" t="s">
        <v>99</v>
      </c>
      <c r="F13" s="10" t="s">
        <v>35</v>
      </c>
      <c r="G13" s="10" t="b">
        <v>0</v>
      </c>
      <c r="H13" s="10" t="s">
        <v>100</v>
      </c>
      <c r="I13" s="10">
        <v>56.0</v>
      </c>
      <c r="J13" s="10">
        <v>0.06</v>
      </c>
      <c r="K13" s="10">
        <v>0.45</v>
      </c>
    </row>
    <row r="14" ht="15.75" customHeight="1">
      <c r="A14" s="7" t="s">
        <v>102</v>
      </c>
      <c r="B14" s="12" t="s">
        <v>104</v>
      </c>
      <c r="C14" s="14" t="s">
        <v>94</v>
      </c>
      <c r="D14" s="15" t="s">
        <v>34</v>
      </c>
      <c r="E14" s="16" t="s">
        <v>107</v>
      </c>
      <c r="F14" s="10" t="s">
        <v>35</v>
      </c>
      <c r="G14" s="10" t="b">
        <v>0</v>
      </c>
      <c r="H14" s="10" t="s">
        <v>108</v>
      </c>
      <c r="I14" s="10">
        <v>53.0</v>
      </c>
      <c r="J14" s="10">
        <v>0.06</v>
      </c>
      <c r="K14" s="10">
        <v>3.11</v>
      </c>
    </row>
    <row r="15" ht="15.75" customHeight="1">
      <c r="A15" s="7" t="s">
        <v>109</v>
      </c>
      <c r="B15" s="12" t="s">
        <v>112</v>
      </c>
      <c r="C15" s="14" t="s">
        <v>33</v>
      </c>
      <c r="D15" s="15" t="s">
        <v>34</v>
      </c>
      <c r="E15" s="16" t="s">
        <v>107</v>
      </c>
      <c r="F15" s="10" t="s">
        <v>35</v>
      </c>
      <c r="G15" s="10" t="b">
        <v>0</v>
      </c>
      <c r="H15" s="10" t="s">
        <v>115</v>
      </c>
      <c r="I15" s="10">
        <v>51.0</v>
      </c>
      <c r="J15" s="10">
        <v>0.05</v>
      </c>
      <c r="K15" s="10">
        <v>0.96</v>
      </c>
    </row>
    <row r="16" ht="15.75" customHeight="1">
      <c r="A16" s="7" t="s">
        <v>116</v>
      </c>
      <c r="B16" s="12" t="s">
        <v>117</v>
      </c>
      <c r="C16" s="14" t="s">
        <v>16</v>
      </c>
      <c r="D16" s="15" t="s">
        <v>22</v>
      </c>
      <c r="E16" s="16" t="s">
        <v>24</v>
      </c>
      <c r="F16" s="10" t="s">
        <v>25</v>
      </c>
      <c r="G16" s="10" t="b">
        <v>0</v>
      </c>
      <c r="H16" s="10" t="s">
        <v>119</v>
      </c>
      <c r="I16" s="10">
        <v>50.0</v>
      </c>
      <c r="J16" s="10">
        <v>0.05</v>
      </c>
      <c r="K16" s="10">
        <v>0.62</v>
      </c>
    </row>
    <row r="17" ht="15.75" customHeight="1">
      <c r="A17" s="7" t="s">
        <v>121</v>
      </c>
      <c r="B17" s="12" t="s">
        <v>123</v>
      </c>
      <c r="C17" s="14" t="s">
        <v>23</v>
      </c>
      <c r="D17" s="15" t="s">
        <v>22</v>
      </c>
      <c r="E17" s="16" t="s">
        <v>24</v>
      </c>
      <c r="F17" s="10" t="s">
        <v>25</v>
      </c>
      <c r="G17" s="10" t="b">
        <v>0</v>
      </c>
      <c r="H17" s="10" t="s">
        <v>125</v>
      </c>
      <c r="I17" s="10">
        <v>48.0</v>
      </c>
      <c r="J17" s="10">
        <v>0.05</v>
      </c>
      <c r="K17" s="10">
        <v>0.98</v>
      </c>
    </row>
    <row r="18" ht="15.75" customHeight="1">
      <c r="A18" s="7" t="s">
        <v>126</v>
      </c>
      <c r="B18" s="12" t="s">
        <v>129</v>
      </c>
      <c r="C18" s="14" t="s">
        <v>16</v>
      </c>
      <c r="D18" s="15" t="s">
        <v>22</v>
      </c>
      <c r="E18" s="16" t="s">
        <v>24</v>
      </c>
      <c r="F18" s="10" t="s">
        <v>25</v>
      </c>
      <c r="G18" s="10" t="b">
        <v>0</v>
      </c>
      <c r="H18" s="10" t="s">
        <v>130</v>
      </c>
      <c r="I18" s="10">
        <v>47.0</v>
      </c>
      <c r="J18" s="10">
        <v>0.05</v>
      </c>
      <c r="K18" s="10">
        <v>1.49</v>
      </c>
    </row>
    <row r="19" ht="15.75" customHeight="1">
      <c r="A19" s="7" t="s">
        <v>131</v>
      </c>
      <c r="B19" s="12" t="s">
        <v>134</v>
      </c>
      <c r="C19" s="14" t="s">
        <v>29</v>
      </c>
      <c r="D19" s="15" t="s">
        <v>34</v>
      </c>
      <c r="E19" s="16" t="s">
        <v>24</v>
      </c>
      <c r="F19" s="10" t="s">
        <v>35</v>
      </c>
      <c r="G19" s="10" t="b">
        <v>0</v>
      </c>
      <c r="H19" s="10" t="s">
        <v>135</v>
      </c>
      <c r="I19" s="10">
        <v>45.0</v>
      </c>
      <c r="J19" s="10">
        <v>0.05</v>
      </c>
      <c r="K19" s="10">
        <v>1.0</v>
      </c>
    </row>
    <row r="20" ht="15.75" customHeight="1">
      <c r="A20" s="7" t="s">
        <v>137</v>
      </c>
      <c r="B20" s="12" t="s">
        <v>140</v>
      </c>
      <c r="C20" s="14" t="s">
        <v>69</v>
      </c>
      <c r="D20" s="15" t="s">
        <v>22</v>
      </c>
      <c r="E20" s="16" t="s">
        <v>44</v>
      </c>
      <c r="F20" s="10" t="s">
        <v>25</v>
      </c>
      <c r="G20" s="10" t="b">
        <v>0</v>
      </c>
      <c r="H20" s="10" t="s">
        <v>142</v>
      </c>
      <c r="I20" s="10">
        <v>43.0</v>
      </c>
      <c r="J20" s="10">
        <v>0.04</v>
      </c>
      <c r="K20" s="10">
        <v>0.09</v>
      </c>
    </row>
    <row r="21" ht="15.75" customHeight="1">
      <c r="A21" s="7" t="s">
        <v>144</v>
      </c>
      <c r="B21" s="12" t="s">
        <v>147</v>
      </c>
      <c r="C21" s="14" t="s">
        <v>54</v>
      </c>
      <c r="D21" s="15" t="s">
        <v>22</v>
      </c>
      <c r="E21" s="16" t="s">
        <v>43</v>
      </c>
      <c r="F21" s="10" t="s">
        <v>25</v>
      </c>
      <c r="G21" s="10" t="b">
        <v>0</v>
      </c>
      <c r="H21" s="10" t="s">
        <v>150</v>
      </c>
      <c r="I21" s="10">
        <v>39.0</v>
      </c>
      <c r="J21" s="10">
        <v>0.04</v>
      </c>
      <c r="K21" s="10">
        <v>1.33</v>
      </c>
    </row>
    <row r="22" ht="15.75" customHeight="1">
      <c r="A22" s="7" t="s">
        <v>152</v>
      </c>
      <c r="B22" s="12" t="s">
        <v>154</v>
      </c>
      <c r="C22" s="14" t="s">
        <v>156</v>
      </c>
      <c r="D22" s="15" t="s">
        <v>51</v>
      </c>
      <c r="E22" s="16" t="s">
        <v>107</v>
      </c>
      <c r="F22" s="10" t="s">
        <v>52</v>
      </c>
      <c r="G22" s="10" t="b">
        <v>0</v>
      </c>
      <c r="H22" s="10" t="s">
        <v>158</v>
      </c>
      <c r="I22" s="10">
        <v>38.0</v>
      </c>
      <c r="J22" s="10">
        <v>0.04</v>
      </c>
      <c r="K22" s="10">
        <v>1.42</v>
      </c>
    </row>
    <row r="23" ht="15.75" customHeight="1">
      <c r="A23" s="7" t="s">
        <v>159</v>
      </c>
      <c r="B23" s="12" t="s">
        <v>161</v>
      </c>
      <c r="C23" s="12" t="s">
        <v>162</v>
      </c>
      <c r="D23" s="15" t="s">
        <v>34</v>
      </c>
      <c r="E23" s="16" t="s">
        <v>24</v>
      </c>
      <c r="F23" s="10" t="s">
        <v>35</v>
      </c>
      <c r="G23" s="10" t="b">
        <v>0</v>
      </c>
      <c r="H23" s="10" t="s">
        <v>164</v>
      </c>
      <c r="I23" s="10">
        <v>37.0</v>
      </c>
      <c r="J23" s="10">
        <v>0.04</v>
      </c>
      <c r="K23" s="10">
        <v>1.73</v>
      </c>
    </row>
    <row r="24" ht="15.75" customHeight="1">
      <c r="A24" s="7" t="s">
        <v>165</v>
      </c>
      <c r="B24" s="12" t="s">
        <v>168</v>
      </c>
      <c r="C24" s="14" t="s">
        <v>16</v>
      </c>
      <c r="D24" s="15" t="s">
        <v>22</v>
      </c>
      <c r="E24" s="16" t="s">
        <v>24</v>
      </c>
      <c r="F24" s="10" t="s">
        <v>25</v>
      </c>
      <c r="G24" s="10" t="b">
        <v>0</v>
      </c>
      <c r="H24" s="10" t="s">
        <v>169</v>
      </c>
      <c r="I24" s="10">
        <v>37.0</v>
      </c>
      <c r="J24" s="10">
        <v>0.04</v>
      </c>
      <c r="K24" s="10">
        <v>0.57</v>
      </c>
    </row>
    <row r="25" ht="15.75" customHeight="1">
      <c r="A25" s="7" t="s">
        <v>171</v>
      </c>
      <c r="B25" s="12" t="s">
        <v>174</v>
      </c>
      <c r="C25" s="14" t="s">
        <v>155</v>
      </c>
      <c r="D25" s="15" t="s">
        <v>22</v>
      </c>
      <c r="E25" s="16" t="s">
        <v>176</v>
      </c>
      <c r="F25" s="10" t="s">
        <v>25</v>
      </c>
      <c r="G25" s="10" t="b">
        <v>0</v>
      </c>
      <c r="H25" s="10" t="s">
        <v>157</v>
      </c>
      <c r="I25" s="10">
        <v>37.0</v>
      </c>
      <c r="J25" s="10">
        <v>0.04</v>
      </c>
      <c r="K25" s="10">
        <v>0.51</v>
      </c>
    </row>
    <row r="26" ht="15.75" customHeight="1">
      <c r="A26" s="7" t="s">
        <v>178</v>
      </c>
      <c r="B26" s="12" t="s">
        <v>181</v>
      </c>
      <c r="C26" s="14" t="s">
        <v>16</v>
      </c>
      <c r="D26" s="15" t="s">
        <v>22</v>
      </c>
      <c r="E26" s="16" t="s">
        <v>24</v>
      </c>
      <c r="F26" s="10" t="s">
        <v>25</v>
      </c>
      <c r="G26" s="10" t="b">
        <v>0</v>
      </c>
      <c r="H26" s="10" t="s">
        <v>184</v>
      </c>
      <c r="I26" s="10">
        <v>36.0</v>
      </c>
      <c r="J26" s="10">
        <v>0.04</v>
      </c>
      <c r="K26" s="10">
        <v>1.14</v>
      </c>
    </row>
    <row r="27" ht="15.75" customHeight="1">
      <c r="A27" s="7" t="s">
        <v>185</v>
      </c>
      <c r="B27" s="12" t="s">
        <v>188</v>
      </c>
      <c r="C27" s="14" t="s">
        <v>29</v>
      </c>
      <c r="D27" s="15" t="s">
        <v>34</v>
      </c>
      <c r="E27" s="16" t="s">
        <v>24</v>
      </c>
      <c r="F27" s="10" t="s">
        <v>35</v>
      </c>
      <c r="G27" s="10" t="b">
        <v>0</v>
      </c>
      <c r="H27" s="10" t="s">
        <v>190</v>
      </c>
      <c r="I27" s="10">
        <v>35.0</v>
      </c>
      <c r="J27" s="10">
        <v>0.04</v>
      </c>
      <c r="K27" s="10">
        <v>1.06</v>
      </c>
    </row>
    <row r="28" ht="15.75" customHeight="1">
      <c r="A28" s="7" t="s">
        <v>191</v>
      </c>
      <c r="B28" s="12" t="s">
        <v>194</v>
      </c>
      <c r="C28" s="14" t="s">
        <v>114</v>
      </c>
      <c r="D28" s="15" t="s">
        <v>196</v>
      </c>
      <c r="E28" s="16" t="s">
        <v>107</v>
      </c>
      <c r="F28" s="10" t="s">
        <v>198</v>
      </c>
      <c r="G28" s="10" t="b">
        <v>0</v>
      </c>
      <c r="H28" s="10" t="s">
        <v>118</v>
      </c>
      <c r="I28" s="10">
        <v>35.0</v>
      </c>
      <c r="J28" s="10">
        <v>0.04</v>
      </c>
      <c r="K28" s="10">
        <v>0.91</v>
      </c>
    </row>
    <row r="29" ht="15.75" customHeight="1">
      <c r="A29" s="7" t="s">
        <v>199</v>
      </c>
      <c r="B29" s="12" t="s">
        <v>201</v>
      </c>
      <c r="C29" s="14" t="s">
        <v>20</v>
      </c>
      <c r="D29" s="15" t="s">
        <v>22</v>
      </c>
      <c r="E29" s="16" t="s">
        <v>24</v>
      </c>
      <c r="F29" s="10" t="s">
        <v>25</v>
      </c>
      <c r="G29" s="10" t="b">
        <v>0</v>
      </c>
      <c r="H29" s="10" t="s">
        <v>203</v>
      </c>
      <c r="I29" s="10">
        <v>34.0</v>
      </c>
      <c r="J29" s="10">
        <v>0.04</v>
      </c>
      <c r="K29" s="10">
        <v>0.79</v>
      </c>
    </row>
    <row r="30" ht="15.75" customHeight="1">
      <c r="A30" s="7" t="s">
        <v>204</v>
      </c>
      <c r="B30" s="12" t="s">
        <v>206</v>
      </c>
      <c r="C30" s="14" t="s">
        <v>148</v>
      </c>
      <c r="D30" s="15" t="s">
        <v>34</v>
      </c>
      <c r="E30" s="16" t="s">
        <v>107</v>
      </c>
      <c r="F30" s="10" t="s">
        <v>35</v>
      </c>
      <c r="G30" s="10" t="b">
        <v>0</v>
      </c>
      <c r="H30" s="10" t="s">
        <v>209</v>
      </c>
      <c r="I30" s="10">
        <v>34.0</v>
      </c>
      <c r="J30" s="10">
        <v>0.04</v>
      </c>
      <c r="K30" s="10">
        <v>1.62</v>
      </c>
    </row>
    <row r="31" ht="15.75" customHeight="1">
      <c r="A31" s="7" t="s">
        <v>210</v>
      </c>
      <c r="B31" s="12" t="s">
        <v>212</v>
      </c>
      <c r="C31" s="14" t="s">
        <v>141</v>
      </c>
      <c r="D31" s="15" t="s">
        <v>34</v>
      </c>
      <c r="E31" s="16" t="s">
        <v>176</v>
      </c>
      <c r="F31" s="10" t="s">
        <v>35</v>
      </c>
      <c r="G31" s="10" t="b">
        <v>0</v>
      </c>
      <c r="H31" s="10" t="s">
        <v>216</v>
      </c>
      <c r="I31" s="10">
        <v>34.0</v>
      </c>
      <c r="J31" s="10">
        <v>0.04</v>
      </c>
      <c r="K31" s="10">
        <v>2.85</v>
      </c>
    </row>
    <row r="32" ht="15.75" customHeight="1">
      <c r="A32" s="7" t="s">
        <v>217</v>
      </c>
      <c r="B32" s="12" t="s">
        <v>219</v>
      </c>
      <c r="C32" s="14" t="s">
        <v>84</v>
      </c>
      <c r="D32" s="15" t="s">
        <v>222</v>
      </c>
      <c r="E32" s="16" t="s">
        <v>44</v>
      </c>
      <c r="F32" s="10" t="s">
        <v>223</v>
      </c>
      <c r="G32" s="10" t="b">
        <v>0</v>
      </c>
      <c r="H32" s="10" t="s">
        <v>225</v>
      </c>
      <c r="I32" s="10">
        <v>34.0</v>
      </c>
      <c r="J32" s="10">
        <v>0.04</v>
      </c>
      <c r="K32" s="10">
        <v>1.97</v>
      </c>
    </row>
    <row r="33" ht="15.75" customHeight="1">
      <c r="A33" s="7" t="s">
        <v>226</v>
      </c>
      <c r="B33" s="12" t="s">
        <v>229</v>
      </c>
      <c r="C33" s="14" t="s">
        <v>16</v>
      </c>
      <c r="D33" s="15" t="s">
        <v>22</v>
      </c>
      <c r="E33" s="16" t="s">
        <v>24</v>
      </c>
      <c r="F33" s="10" t="s">
        <v>25</v>
      </c>
      <c r="G33" s="10" t="b">
        <v>0</v>
      </c>
      <c r="H33" s="10" t="s">
        <v>231</v>
      </c>
      <c r="I33" s="10">
        <v>34.0</v>
      </c>
      <c r="J33" s="10">
        <v>0.04</v>
      </c>
      <c r="K33" s="10">
        <v>1.09</v>
      </c>
    </row>
    <row r="34" ht="15.75" customHeight="1">
      <c r="A34" s="7" t="s">
        <v>233</v>
      </c>
      <c r="B34" s="12" t="s">
        <v>234</v>
      </c>
      <c r="C34" s="14" t="s">
        <v>16</v>
      </c>
      <c r="D34" s="15" t="s">
        <v>22</v>
      </c>
      <c r="E34" s="16" t="s">
        <v>24</v>
      </c>
      <c r="F34" s="10" t="s">
        <v>25</v>
      </c>
      <c r="G34" s="10" t="b">
        <v>0</v>
      </c>
      <c r="H34" s="10" t="s">
        <v>235</v>
      </c>
      <c r="I34" s="10">
        <v>34.0</v>
      </c>
      <c r="J34" s="10">
        <v>0.04</v>
      </c>
      <c r="K34" s="10">
        <v>2.32</v>
      </c>
    </row>
    <row r="35" ht="15.75" customHeight="1">
      <c r="A35" s="7" t="s">
        <v>237</v>
      </c>
      <c r="B35" s="12" t="s">
        <v>238</v>
      </c>
      <c r="C35" s="14" t="s">
        <v>160</v>
      </c>
      <c r="D35" s="15" t="s">
        <v>240</v>
      </c>
      <c r="E35" s="16" t="s">
        <v>107</v>
      </c>
      <c r="F35" s="10" t="s">
        <v>241</v>
      </c>
      <c r="G35" s="10" t="b">
        <v>0</v>
      </c>
      <c r="H35" s="10" t="s">
        <v>163</v>
      </c>
      <c r="I35" s="10">
        <v>34.0</v>
      </c>
      <c r="J35" s="10">
        <v>0.04</v>
      </c>
      <c r="K35" s="10">
        <v>1.26</v>
      </c>
    </row>
    <row r="36" ht="15.75" customHeight="1">
      <c r="A36" s="7" t="s">
        <v>243</v>
      </c>
      <c r="B36" s="12" t="s">
        <v>245</v>
      </c>
      <c r="C36" s="14" t="s">
        <v>128</v>
      </c>
      <c r="D36" s="15" t="s">
        <v>34</v>
      </c>
      <c r="E36" s="16" t="s">
        <v>107</v>
      </c>
      <c r="F36" s="10" t="s">
        <v>35</v>
      </c>
      <c r="G36" s="10" t="b">
        <v>0</v>
      </c>
      <c r="H36" s="10" t="s">
        <v>248</v>
      </c>
      <c r="I36" s="10">
        <v>34.0</v>
      </c>
      <c r="J36" s="10">
        <v>0.04</v>
      </c>
      <c r="K36" s="10">
        <v>1.32</v>
      </c>
    </row>
    <row r="37" ht="15.75" customHeight="1">
      <c r="A37" s="7" t="s">
        <v>250</v>
      </c>
      <c r="B37" s="12" t="s">
        <v>252</v>
      </c>
      <c r="C37" s="14" t="s">
        <v>20</v>
      </c>
      <c r="D37" s="15" t="s">
        <v>22</v>
      </c>
      <c r="E37" s="16" t="s">
        <v>24</v>
      </c>
      <c r="F37" s="10" t="s">
        <v>25</v>
      </c>
      <c r="G37" s="10" t="b">
        <v>0</v>
      </c>
      <c r="H37" s="10" t="s">
        <v>254</v>
      </c>
      <c r="I37" s="10">
        <v>33.0</v>
      </c>
      <c r="J37" s="10">
        <v>0.03</v>
      </c>
      <c r="K37" s="10">
        <v>0.36</v>
      </c>
    </row>
    <row r="38" ht="15.75" customHeight="1">
      <c r="A38" s="7" t="s">
        <v>255</v>
      </c>
      <c r="B38" s="12" t="s">
        <v>258</v>
      </c>
      <c r="C38" s="14" t="s">
        <v>33</v>
      </c>
      <c r="D38" s="15" t="s">
        <v>34</v>
      </c>
      <c r="E38" s="16" t="s">
        <v>107</v>
      </c>
      <c r="F38" s="10" t="s">
        <v>35</v>
      </c>
      <c r="G38" s="10" t="b">
        <v>0</v>
      </c>
      <c r="H38" s="10" t="s">
        <v>259</v>
      </c>
      <c r="I38" s="10">
        <v>33.0</v>
      </c>
      <c r="J38" s="10">
        <v>0.03</v>
      </c>
      <c r="K38" s="10">
        <v>1.79</v>
      </c>
    </row>
    <row r="39" ht="15.75" customHeight="1">
      <c r="A39" s="7" t="s">
        <v>261</v>
      </c>
      <c r="B39" s="12" t="s">
        <v>263</v>
      </c>
      <c r="C39" s="14" t="s">
        <v>16</v>
      </c>
      <c r="D39" s="15" t="s">
        <v>22</v>
      </c>
      <c r="E39" s="16" t="s">
        <v>24</v>
      </c>
      <c r="F39" s="10" t="s">
        <v>25</v>
      </c>
      <c r="G39" s="10" t="b">
        <v>0</v>
      </c>
      <c r="H39" s="10" t="s">
        <v>265</v>
      </c>
      <c r="I39" s="10">
        <v>32.0</v>
      </c>
      <c r="J39" s="10">
        <v>0.03</v>
      </c>
      <c r="K39" s="10">
        <v>0.56</v>
      </c>
    </row>
    <row r="40" ht="15.75" customHeight="1">
      <c r="A40" s="7" t="s">
        <v>267</v>
      </c>
      <c r="B40" s="12" t="s">
        <v>269</v>
      </c>
      <c r="C40" s="14" t="s">
        <v>16</v>
      </c>
      <c r="D40" s="15" t="s">
        <v>22</v>
      </c>
      <c r="E40" s="16" t="s">
        <v>24</v>
      </c>
      <c r="F40" s="10" t="s">
        <v>25</v>
      </c>
      <c r="G40" s="10" t="b">
        <v>0</v>
      </c>
      <c r="I40" s="10">
        <v>32.0</v>
      </c>
      <c r="J40" s="10">
        <v>0.03</v>
      </c>
      <c r="K40" s="10">
        <v>0.84</v>
      </c>
    </row>
    <row r="41" ht="15.75" customHeight="1">
      <c r="A41" s="7" t="s">
        <v>271</v>
      </c>
      <c r="B41" s="12" t="s">
        <v>272</v>
      </c>
      <c r="C41" s="14" t="s">
        <v>20</v>
      </c>
      <c r="D41" s="15" t="s">
        <v>22</v>
      </c>
      <c r="E41" s="16" t="s">
        <v>24</v>
      </c>
      <c r="F41" s="10" t="s">
        <v>25</v>
      </c>
      <c r="G41" s="10" t="b">
        <v>0</v>
      </c>
      <c r="I41" s="10">
        <v>31.0</v>
      </c>
      <c r="J41" s="10">
        <v>0.03</v>
      </c>
      <c r="K41" s="10">
        <v>0.19</v>
      </c>
    </row>
    <row r="42" ht="15.75" customHeight="1">
      <c r="A42" s="7" t="s">
        <v>275</v>
      </c>
      <c r="B42" s="12" t="s">
        <v>278</v>
      </c>
      <c r="C42" s="14" t="s">
        <v>186</v>
      </c>
      <c r="D42" s="15" t="s">
        <v>51</v>
      </c>
      <c r="E42" s="16" t="s">
        <v>107</v>
      </c>
      <c r="F42" s="10" t="s">
        <v>52</v>
      </c>
      <c r="G42" s="10" t="b">
        <v>0</v>
      </c>
      <c r="H42" s="10" t="s">
        <v>187</v>
      </c>
      <c r="I42" s="10">
        <v>30.0</v>
      </c>
      <c r="J42" s="10">
        <v>0.03</v>
      </c>
      <c r="K42" s="10">
        <v>1.43</v>
      </c>
    </row>
    <row r="43" ht="15.75" customHeight="1">
      <c r="A43" s="7" t="s">
        <v>284</v>
      </c>
      <c r="B43" s="12" t="s">
        <v>287</v>
      </c>
      <c r="C43" s="14" t="s">
        <v>103</v>
      </c>
      <c r="D43" s="15" t="s">
        <v>34</v>
      </c>
      <c r="E43" s="16" t="s">
        <v>107</v>
      </c>
      <c r="F43" s="10" t="s">
        <v>35</v>
      </c>
      <c r="G43" s="10" t="b">
        <v>0</v>
      </c>
      <c r="H43" s="10" t="s">
        <v>105</v>
      </c>
      <c r="I43" s="10">
        <v>30.0</v>
      </c>
      <c r="J43" s="10">
        <v>0.03</v>
      </c>
      <c r="K43" s="10">
        <v>1.17</v>
      </c>
    </row>
    <row r="44" ht="15.75" customHeight="1">
      <c r="A44" s="7" t="s">
        <v>291</v>
      </c>
      <c r="B44" s="12" t="s">
        <v>294</v>
      </c>
      <c r="C44" s="14" t="s">
        <v>29</v>
      </c>
      <c r="D44" s="15" t="s">
        <v>34</v>
      </c>
      <c r="E44" s="16" t="s">
        <v>24</v>
      </c>
      <c r="F44" s="10" t="s">
        <v>35</v>
      </c>
      <c r="G44" s="10" t="b">
        <v>0</v>
      </c>
      <c r="H44" s="10" t="s">
        <v>296</v>
      </c>
      <c r="I44" s="10">
        <v>30.0</v>
      </c>
      <c r="J44" s="10">
        <v>0.03</v>
      </c>
      <c r="K44" s="10">
        <v>1.03</v>
      </c>
    </row>
    <row r="45" ht="15.75" customHeight="1">
      <c r="A45" s="7" t="s">
        <v>298</v>
      </c>
      <c r="B45" s="12" t="s">
        <v>300</v>
      </c>
      <c r="C45" s="14" t="s">
        <v>23</v>
      </c>
      <c r="D45" s="15" t="s">
        <v>22</v>
      </c>
      <c r="E45" s="16" t="s">
        <v>24</v>
      </c>
      <c r="F45" s="10" t="s">
        <v>25</v>
      </c>
      <c r="G45" s="10" t="b">
        <v>0</v>
      </c>
      <c r="H45" s="10" t="s">
        <v>301</v>
      </c>
      <c r="I45" s="10">
        <v>29.0</v>
      </c>
      <c r="J45" s="10">
        <v>0.03</v>
      </c>
      <c r="K45" s="10">
        <v>1.07</v>
      </c>
    </row>
    <row r="46" ht="15.75" customHeight="1">
      <c r="A46" s="7" t="s">
        <v>302</v>
      </c>
      <c r="B46" s="12" t="s">
        <v>305</v>
      </c>
      <c r="C46" s="14" t="s">
        <v>145</v>
      </c>
      <c r="D46" s="15" t="s">
        <v>196</v>
      </c>
      <c r="E46" s="16" t="s">
        <v>107</v>
      </c>
      <c r="F46" s="10" t="s">
        <v>198</v>
      </c>
      <c r="G46" s="10" t="b">
        <v>0</v>
      </c>
      <c r="H46" s="10" t="s">
        <v>146</v>
      </c>
      <c r="I46" s="10">
        <v>29.0</v>
      </c>
      <c r="J46" s="10">
        <v>0.03</v>
      </c>
      <c r="K46" s="10">
        <v>1.28</v>
      </c>
    </row>
    <row r="47" ht="15.75" customHeight="1">
      <c r="A47" s="7" t="s">
        <v>306</v>
      </c>
      <c r="B47" s="12" t="s">
        <v>309</v>
      </c>
      <c r="C47" s="14" t="s">
        <v>120</v>
      </c>
      <c r="D47" s="15" t="s">
        <v>34</v>
      </c>
      <c r="E47" s="16" t="s">
        <v>107</v>
      </c>
      <c r="F47" s="10" t="s">
        <v>35</v>
      </c>
      <c r="G47" s="10" t="b">
        <v>1</v>
      </c>
      <c r="H47" s="10" t="s">
        <v>311</v>
      </c>
      <c r="I47" s="10">
        <v>28.0</v>
      </c>
      <c r="J47" s="10">
        <v>0.03</v>
      </c>
      <c r="K47" s="10">
        <v>1.71</v>
      </c>
    </row>
    <row r="48" ht="15.75" customHeight="1">
      <c r="A48" s="7" t="s">
        <v>313</v>
      </c>
      <c r="B48" s="12" t="s">
        <v>315</v>
      </c>
      <c r="C48" s="14" t="s">
        <v>48</v>
      </c>
      <c r="D48" s="15" t="s">
        <v>22</v>
      </c>
      <c r="E48" s="16" t="s">
        <v>24</v>
      </c>
      <c r="F48" s="10" t="s">
        <v>25</v>
      </c>
      <c r="G48" s="10" t="b">
        <v>0</v>
      </c>
      <c r="H48" s="10" t="s">
        <v>317</v>
      </c>
      <c r="I48" s="10">
        <v>28.0</v>
      </c>
      <c r="J48" s="10">
        <v>0.03</v>
      </c>
      <c r="K48" s="10">
        <v>0.57</v>
      </c>
    </row>
    <row r="49" ht="15.75" customHeight="1">
      <c r="A49" s="7" t="s">
        <v>318</v>
      </c>
      <c r="B49" s="12" t="s">
        <v>320</v>
      </c>
      <c r="C49" s="14" t="s">
        <v>98</v>
      </c>
      <c r="D49" s="15" t="s">
        <v>22</v>
      </c>
      <c r="E49" s="16" t="s">
        <v>176</v>
      </c>
      <c r="F49" s="10" t="s">
        <v>25</v>
      </c>
      <c r="G49" s="10" t="b">
        <v>0</v>
      </c>
      <c r="H49" s="10" t="s">
        <v>323</v>
      </c>
      <c r="I49" s="10">
        <v>28.0</v>
      </c>
      <c r="J49" s="10">
        <v>0.03</v>
      </c>
      <c r="K49" s="10">
        <v>0.89</v>
      </c>
    </row>
    <row r="50" ht="15.75" customHeight="1">
      <c r="A50" s="7" t="s">
        <v>324</v>
      </c>
      <c r="B50" s="12" t="s">
        <v>326</v>
      </c>
      <c r="C50" s="14" t="s">
        <v>23</v>
      </c>
      <c r="D50" s="15" t="s">
        <v>22</v>
      </c>
      <c r="E50" s="16" t="s">
        <v>24</v>
      </c>
      <c r="F50" s="10" t="s">
        <v>25</v>
      </c>
      <c r="G50" s="10" t="b">
        <v>0</v>
      </c>
      <c r="H50" s="10" t="s">
        <v>328</v>
      </c>
      <c r="I50" s="10">
        <v>27.0</v>
      </c>
      <c r="J50" s="10">
        <v>0.03</v>
      </c>
      <c r="K50" s="10">
        <v>0.67</v>
      </c>
    </row>
    <row r="51" ht="15.75" customHeight="1">
      <c r="A51" s="7" t="s">
        <v>329</v>
      </c>
      <c r="B51" s="12" t="s">
        <v>333</v>
      </c>
      <c r="C51" s="14" t="s">
        <v>208</v>
      </c>
      <c r="D51" s="15" t="s">
        <v>240</v>
      </c>
      <c r="E51" s="16" t="s">
        <v>43</v>
      </c>
      <c r="F51" s="10" t="s">
        <v>241</v>
      </c>
      <c r="G51" s="10" t="b">
        <v>0</v>
      </c>
      <c r="H51" s="10" t="s">
        <v>336</v>
      </c>
      <c r="I51" s="10">
        <v>27.0</v>
      </c>
      <c r="J51" s="10">
        <v>0.03</v>
      </c>
      <c r="K51" s="10">
        <v>0.89</v>
      </c>
    </row>
    <row r="52" ht="15.75" customHeight="1">
      <c r="A52" s="7" t="s">
        <v>338</v>
      </c>
      <c r="B52" s="12" t="s">
        <v>342</v>
      </c>
      <c r="C52" s="14" t="s">
        <v>197</v>
      </c>
      <c r="D52" s="15" t="s">
        <v>34</v>
      </c>
      <c r="E52" s="16" t="s">
        <v>43</v>
      </c>
      <c r="F52" s="10" t="s">
        <v>35</v>
      </c>
      <c r="G52" s="10" t="b">
        <v>0</v>
      </c>
      <c r="H52" s="10" t="s">
        <v>344</v>
      </c>
      <c r="I52" s="10">
        <v>27.0</v>
      </c>
      <c r="J52" s="10">
        <v>0.03</v>
      </c>
      <c r="K52" s="10">
        <v>1.15</v>
      </c>
    </row>
    <row r="53" ht="15.75" customHeight="1">
      <c r="A53" s="7" t="s">
        <v>345</v>
      </c>
      <c r="B53" s="12" t="s">
        <v>348</v>
      </c>
      <c r="C53" s="14" t="s">
        <v>215</v>
      </c>
      <c r="D53" s="15" t="s">
        <v>34</v>
      </c>
      <c r="E53" s="16" t="s">
        <v>24</v>
      </c>
      <c r="F53" s="10" t="s">
        <v>35</v>
      </c>
      <c r="G53" s="10" t="b">
        <v>0</v>
      </c>
      <c r="H53" s="10" t="s">
        <v>353</v>
      </c>
      <c r="I53" s="10">
        <v>26.0</v>
      </c>
      <c r="J53" s="10">
        <v>0.03</v>
      </c>
      <c r="K53" s="10">
        <v>0.54</v>
      </c>
    </row>
    <row r="54" ht="15.75" customHeight="1">
      <c r="A54" s="7" t="s">
        <v>355</v>
      </c>
      <c r="B54" s="12" t="s">
        <v>359</v>
      </c>
      <c r="C54" s="14" t="s">
        <v>20</v>
      </c>
      <c r="D54" s="15" t="s">
        <v>22</v>
      </c>
      <c r="E54" s="16" t="s">
        <v>24</v>
      </c>
      <c r="F54" s="10" t="s">
        <v>25</v>
      </c>
      <c r="G54" s="10" t="b">
        <v>0</v>
      </c>
      <c r="H54" s="10" t="s">
        <v>360</v>
      </c>
      <c r="I54" s="10">
        <v>26.0</v>
      </c>
      <c r="J54" s="10">
        <v>0.03</v>
      </c>
      <c r="K54" s="10">
        <v>2.23</v>
      </c>
    </row>
    <row r="55" ht="15.75" customHeight="1">
      <c r="A55" s="7" t="s">
        <v>362</v>
      </c>
      <c r="B55" s="12" t="s">
        <v>365</v>
      </c>
      <c r="C55" s="14" t="s">
        <v>69</v>
      </c>
      <c r="D55" s="15" t="s">
        <v>22</v>
      </c>
      <c r="E55" s="16" t="s">
        <v>44</v>
      </c>
      <c r="F55" s="10" t="s">
        <v>25</v>
      </c>
      <c r="G55" s="10" t="b">
        <v>0</v>
      </c>
      <c r="H55" s="10" t="s">
        <v>366</v>
      </c>
      <c r="I55" s="10">
        <v>26.0</v>
      </c>
      <c r="J55" s="10">
        <v>0.03</v>
      </c>
      <c r="K55" s="10">
        <v>0.58</v>
      </c>
    </row>
    <row r="56" ht="15.75" customHeight="1">
      <c r="A56" s="7" t="s">
        <v>368</v>
      </c>
      <c r="B56" s="12" t="s">
        <v>372</v>
      </c>
      <c r="C56" s="14" t="s">
        <v>98</v>
      </c>
      <c r="D56" s="15" t="s">
        <v>34</v>
      </c>
      <c r="E56" s="16" t="s">
        <v>176</v>
      </c>
      <c r="F56" s="10" t="s">
        <v>35</v>
      </c>
      <c r="G56" s="10" t="b">
        <v>0</v>
      </c>
      <c r="H56" s="10" t="s">
        <v>374</v>
      </c>
      <c r="I56" s="10">
        <v>26.0</v>
      </c>
      <c r="J56" s="10">
        <v>0.03</v>
      </c>
      <c r="K56" s="10">
        <v>0.15</v>
      </c>
    </row>
    <row r="57" ht="15.75" customHeight="1">
      <c r="A57" s="7" t="s">
        <v>375</v>
      </c>
      <c r="B57" s="12" t="s">
        <v>380</v>
      </c>
      <c r="C57" s="14" t="s">
        <v>124</v>
      </c>
      <c r="D57" s="15" t="s">
        <v>51</v>
      </c>
      <c r="E57" s="16" t="s">
        <v>43</v>
      </c>
      <c r="F57" s="10" t="s">
        <v>52</v>
      </c>
      <c r="G57" s="10" t="b">
        <v>0</v>
      </c>
      <c r="H57" s="10" t="s">
        <v>385</v>
      </c>
      <c r="I57" s="10">
        <v>24.0</v>
      </c>
      <c r="J57" s="10">
        <v>0.02</v>
      </c>
      <c r="K57" s="10">
        <v>0.33</v>
      </c>
    </row>
    <row r="58" ht="15.75" customHeight="1">
      <c r="A58" s="7" t="s">
        <v>386</v>
      </c>
      <c r="B58" s="12" t="s">
        <v>389</v>
      </c>
      <c r="C58" s="14" t="s">
        <v>41</v>
      </c>
      <c r="D58" s="15" t="s">
        <v>51</v>
      </c>
      <c r="E58" s="16" t="s">
        <v>44</v>
      </c>
      <c r="F58" s="10" t="s">
        <v>52</v>
      </c>
      <c r="G58" s="10" t="b">
        <v>0</v>
      </c>
      <c r="H58" s="10" t="s">
        <v>392</v>
      </c>
      <c r="I58" s="10">
        <v>24.0</v>
      </c>
      <c r="J58" s="10">
        <v>0.02</v>
      </c>
      <c r="K58" s="10">
        <v>0.54</v>
      </c>
    </row>
    <row r="59" ht="15.75" customHeight="1">
      <c r="A59" s="7" t="s">
        <v>394</v>
      </c>
      <c r="B59" s="12" t="s">
        <v>397</v>
      </c>
      <c r="C59" s="14" t="s">
        <v>103</v>
      </c>
      <c r="D59" s="15" t="s">
        <v>34</v>
      </c>
      <c r="E59" s="16" t="s">
        <v>107</v>
      </c>
      <c r="F59" s="10" t="s">
        <v>35</v>
      </c>
      <c r="G59" s="10" t="b">
        <v>0</v>
      </c>
      <c r="H59" s="10" t="s">
        <v>105</v>
      </c>
      <c r="I59" s="10">
        <v>24.0</v>
      </c>
      <c r="J59" s="10">
        <v>0.02</v>
      </c>
      <c r="K59" s="10">
        <v>1.08</v>
      </c>
    </row>
    <row r="60" ht="15.75" customHeight="1">
      <c r="A60" s="7" t="s">
        <v>398</v>
      </c>
      <c r="B60" s="12" t="s">
        <v>401</v>
      </c>
      <c r="C60" s="14" t="s">
        <v>66</v>
      </c>
      <c r="D60" s="15" t="s">
        <v>404</v>
      </c>
      <c r="E60" s="16" t="s">
        <v>24</v>
      </c>
      <c r="F60" s="10" t="s">
        <v>405</v>
      </c>
      <c r="G60" s="10" t="b">
        <v>0</v>
      </c>
      <c r="H60" s="10" t="s">
        <v>407</v>
      </c>
      <c r="I60" s="10">
        <v>24.0</v>
      </c>
      <c r="J60" s="10">
        <v>0.02</v>
      </c>
      <c r="K60" s="10">
        <v>3.75</v>
      </c>
    </row>
    <row r="61" ht="15.75" customHeight="1">
      <c r="A61" s="7" t="s">
        <v>408</v>
      </c>
      <c r="B61" s="12" t="s">
        <v>411</v>
      </c>
      <c r="C61" s="14" t="s">
        <v>54</v>
      </c>
      <c r="D61" s="15" t="s">
        <v>51</v>
      </c>
      <c r="E61" s="16" t="s">
        <v>43</v>
      </c>
      <c r="F61" s="10" t="s">
        <v>52</v>
      </c>
      <c r="G61" s="10" t="b">
        <v>0</v>
      </c>
      <c r="H61" s="10" t="s">
        <v>413</v>
      </c>
      <c r="I61" s="10">
        <v>24.0</v>
      </c>
      <c r="J61" s="10">
        <v>0.02</v>
      </c>
      <c r="K61" s="10">
        <v>0.29</v>
      </c>
    </row>
    <row r="62" ht="15.75" customHeight="1">
      <c r="A62" s="7" t="s">
        <v>414</v>
      </c>
      <c r="B62" s="12" t="s">
        <v>416</v>
      </c>
      <c r="C62" s="14" t="s">
        <v>128</v>
      </c>
      <c r="D62" s="15" t="s">
        <v>34</v>
      </c>
      <c r="E62" s="16" t="s">
        <v>107</v>
      </c>
      <c r="F62" s="10" t="s">
        <v>35</v>
      </c>
      <c r="G62" s="10" t="b">
        <v>0</v>
      </c>
      <c r="H62" s="10" t="s">
        <v>248</v>
      </c>
      <c r="I62" s="10">
        <v>24.0</v>
      </c>
      <c r="J62" s="10">
        <v>0.02</v>
      </c>
      <c r="K62" s="10">
        <v>0.83</v>
      </c>
    </row>
    <row r="63" ht="15.75" customHeight="1">
      <c r="A63" s="7" t="s">
        <v>419</v>
      </c>
      <c r="B63" s="12" t="s">
        <v>422</v>
      </c>
      <c r="C63" s="14" t="s">
        <v>224</v>
      </c>
      <c r="D63" s="15" t="s">
        <v>34</v>
      </c>
      <c r="E63" s="16" t="s">
        <v>24</v>
      </c>
      <c r="F63" s="10" t="s">
        <v>35</v>
      </c>
      <c r="G63" s="10" t="b">
        <v>0</v>
      </c>
      <c r="H63" s="10" t="s">
        <v>424</v>
      </c>
      <c r="I63" s="10">
        <v>24.0</v>
      </c>
      <c r="J63" s="10">
        <v>0.02</v>
      </c>
      <c r="K63" s="10">
        <v>1.17</v>
      </c>
    </row>
    <row r="64" ht="15.75" customHeight="1">
      <c r="A64" s="7" t="s">
        <v>425</v>
      </c>
      <c r="B64" s="12" t="s">
        <v>427</v>
      </c>
      <c r="C64" s="14" t="s">
        <v>33</v>
      </c>
      <c r="D64" s="15" t="s">
        <v>34</v>
      </c>
      <c r="E64" s="16" t="s">
        <v>107</v>
      </c>
      <c r="F64" s="10" t="s">
        <v>35</v>
      </c>
      <c r="G64" s="10" t="b">
        <v>0</v>
      </c>
      <c r="H64" s="10" t="s">
        <v>388</v>
      </c>
      <c r="I64" s="10">
        <v>23.0</v>
      </c>
      <c r="J64" s="10">
        <v>0.02</v>
      </c>
      <c r="K64" s="10">
        <v>0.22</v>
      </c>
    </row>
    <row r="65" ht="15.75" customHeight="1">
      <c r="A65" s="7" t="s">
        <v>429</v>
      </c>
      <c r="B65" s="12" t="s">
        <v>432</v>
      </c>
      <c r="C65" s="14" t="s">
        <v>54</v>
      </c>
      <c r="D65" s="15" t="s">
        <v>51</v>
      </c>
      <c r="E65" s="16" t="s">
        <v>43</v>
      </c>
      <c r="F65" s="10" t="s">
        <v>52</v>
      </c>
      <c r="G65" s="10" t="b">
        <v>0</v>
      </c>
      <c r="H65" s="10" t="s">
        <v>434</v>
      </c>
      <c r="I65" s="10">
        <v>23.0</v>
      </c>
      <c r="J65" s="10">
        <v>0.02</v>
      </c>
      <c r="K65" s="10">
        <v>0.48</v>
      </c>
    </row>
    <row r="66" ht="15.75" customHeight="1">
      <c r="A66" s="7" t="s">
        <v>435</v>
      </c>
      <c r="B66" s="12" t="s">
        <v>439</v>
      </c>
      <c r="C66" s="14" t="s">
        <v>23</v>
      </c>
      <c r="D66" s="15" t="s">
        <v>176</v>
      </c>
      <c r="E66" s="16" t="s">
        <v>24</v>
      </c>
      <c r="F66" s="10" t="s">
        <v>91</v>
      </c>
      <c r="G66" s="10" t="b">
        <v>0</v>
      </c>
      <c r="H66" s="10" t="s">
        <v>442</v>
      </c>
      <c r="I66" s="10">
        <v>22.0</v>
      </c>
      <c r="J66" s="10">
        <v>0.02</v>
      </c>
      <c r="K66" s="10">
        <v>0.41</v>
      </c>
    </row>
    <row r="67" ht="15.75" customHeight="1">
      <c r="A67" s="7" t="s">
        <v>444</v>
      </c>
      <c r="B67" s="12" t="s">
        <v>446</v>
      </c>
      <c r="C67" s="14" t="s">
        <v>120</v>
      </c>
      <c r="D67" s="15" t="s">
        <v>34</v>
      </c>
      <c r="E67" s="16" t="s">
        <v>107</v>
      </c>
      <c r="F67" s="10" t="s">
        <v>35</v>
      </c>
      <c r="G67" s="10" t="b">
        <v>0</v>
      </c>
      <c r="H67" s="10" t="s">
        <v>447</v>
      </c>
      <c r="I67" s="10">
        <v>22.0</v>
      </c>
      <c r="J67" s="10">
        <v>0.02</v>
      </c>
      <c r="K67" s="10">
        <v>0.5</v>
      </c>
    </row>
    <row r="68" ht="15.75" customHeight="1">
      <c r="A68" s="7" t="s">
        <v>449</v>
      </c>
      <c r="B68" s="12" t="s">
        <v>451</v>
      </c>
      <c r="C68" s="14" t="s">
        <v>145</v>
      </c>
      <c r="D68" s="15" t="s">
        <v>196</v>
      </c>
      <c r="E68" s="16" t="s">
        <v>107</v>
      </c>
      <c r="F68" s="10" t="s">
        <v>198</v>
      </c>
      <c r="G68" s="10" t="b">
        <v>0</v>
      </c>
      <c r="H68" s="10" t="s">
        <v>146</v>
      </c>
      <c r="I68" s="10">
        <v>22.0</v>
      </c>
      <c r="J68" s="10">
        <v>0.02</v>
      </c>
      <c r="K68" s="10">
        <v>1.45</v>
      </c>
    </row>
    <row r="69" ht="15.75" customHeight="1">
      <c r="A69" s="7" t="s">
        <v>453</v>
      </c>
      <c r="B69" s="12" t="s">
        <v>457</v>
      </c>
      <c r="C69" s="14" t="s">
        <v>103</v>
      </c>
      <c r="D69" s="15" t="s">
        <v>34</v>
      </c>
      <c r="E69" s="16" t="s">
        <v>107</v>
      </c>
      <c r="F69" s="10" t="s">
        <v>35</v>
      </c>
      <c r="G69" s="10" t="b">
        <v>0</v>
      </c>
      <c r="H69" s="10" t="s">
        <v>105</v>
      </c>
      <c r="I69" s="10">
        <v>22.0</v>
      </c>
      <c r="J69" s="10">
        <v>0.02</v>
      </c>
      <c r="K69" s="10">
        <v>0.68</v>
      </c>
    </row>
    <row r="70" ht="15.75" customHeight="1">
      <c r="A70" s="7" t="s">
        <v>459</v>
      </c>
      <c r="B70" s="12" t="s">
        <v>462</v>
      </c>
      <c r="C70" s="14" t="s">
        <v>79</v>
      </c>
      <c r="D70" s="15" t="s">
        <v>34</v>
      </c>
      <c r="E70" s="16" t="s">
        <v>24</v>
      </c>
      <c r="F70" s="10" t="s">
        <v>35</v>
      </c>
      <c r="G70" s="10" t="b">
        <v>0</v>
      </c>
      <c r="H70" s="10" t="s">
        <v>464</v>
      </c>
      <c r="I70" s="10">
        <v>22.0</v>
      </c>
      <c r="J70" s="10">
        <v>0.02</v>
      </c>
      <c r="K70" s="10">
        <v>1.77</v>
      </c>
    </row>
    <row r="71" ht="15.75" customHeight="1">
      <c r="A71" s="7" t="s">
        <v>466</v>
      </c>
      <c r="B71" s="12" t="s">
        <v>468</v>
      </c>
      <c r="C71" s="14" t="s">
        <v>249</v>
      </c>
      <c r="D71" s="15" t="s">
        <v>34</v>
      </c>
      <c r="E71" s="16" t="s">
        <v>24</v>
      </c>
      <c r="F71" s="10" t="s">
        <v>35</v>
      </c>
      <c r="G71" s="10" t="b">
        <v>0</v>
      </c>
      <c r="H71" s="10" t="s">
        <v>470</v>
      </c>
      <c r="I71" s="10">
        <v>22.0</v>
      </c>
      <c r="J71" s="10">
        <v>0.02</v>
      </c>
      <c r="K71" s="10">
        <v>0.73</v>
      </c>
    </row>
    <row r="72" ht="15.75" customHeight="1">
      <c r="A72" s="7" t="s">
        <v>472</v>
      </c>
      <c r="B72" s="12" t="s">
        <v>475</v>
      </c>
      <c r="C72" s="14" t="s">
        <v>23</v>
      </c>
      <c r="D72" s="15" t="s">
        <v>22</v>
      </c>
      <c r="E72" s="16" t="s">
        <v>24</v>
      </c>
      <c r="F72" s="10" t="s">
        <v>25</v>
      </c>
      <c r="G72" s="10" t="b">
        <v>0</v>
      </c>
      <c r="H72" s="10" t="s">
        <v>477</v>
      </c>
      <c r="I72" s="10">
        <v>21.0</v>
      </c>
      <c r="J72" s="10">
        <v>0.02</v>
      </c>
      <c r="K72" s="10">
        <v>0.76</v>
      </c>
    </row>
    <row r="73" ht="15.75" customHeight="1">
      <c r="A73" s="7" t="s">
        <v>478</v>
      </c>
      <c r="B73" s="12" t="s">
        <v>480</v>
      </c>
      <c r="C73" s="14" t="s">
        <v>242</v>
      </c>
      <c r="D73" s="15" t="s">
        <v>34</v>
      </c>
      <c r="E73" s="16" t="s">
        <v>43</v>
      </c>
      <c r="F73" s="10" t="s">
        <v>35</v>
      </c>
      <c r="G73" s="10" t="b">
        <v>0</v>
      </c>
      <c r="H73" s="10" t="s">
        <v>482</v>
      </c>
      <c r="I73" s="10">
        <v>21.0</v>
      </c>
      <c r="J73" s="10">
        <v>0.02</v>
      </c>
      <c r="K73" s="10">
        <v>0.38</v>
      </c>
    </row>
    <row r="74" ht="15.75" customHeight="1">
      <c r="A74" s="7" t="s">
        <v>483</v>
      </c>
      <c r="B74" s="12" t="s">
        <v>486</v>
      </c>
      <c r="C74" s="14" t="s">
        <v>124</v>
      </c>
      <c r="D74" s="15" t="s">
        <v>22</v>
      </c>
      <c r="E74" s="16" t="s">
        <v>43</v>
      </c>
      <c r="F74" s="10" t="s">
        <v>25</v>
      </c>
      <c r="G74" s="10" t="b">
        <v>0</v>
      </c>
      <c r="I74" s="10">
        <v>21.0</v>
      </c>
      <c r="J74" s="10">
        <v>0.02</v>
      </c>
      <c r="K74" s="10">
        <v>0.9</v>
      </c>
    </row>
    <row r="75" ht="15.75" customHeight="1">
      <c r="A75" s="7" t="s">
        <v>488</v>
      </c>
      <c r="B75" s="12" t="s">
        <v>490</v>
      </c>
      <c r="C75" s="14" t="s">
        <v>262</v>
      </c>
      <c r="D75" s="15" t="s">
        <v>22</v>
      </c>
      <c r="E75" s="16" t="s">
        <v>43</v>
      </c>
      <c r="F75" s="10" t="s">
        <v>25</v>
      </c>
      <c r="G75" s="10" t="b">
        <v>0</v>
      </c>
      <c r="H75" s="10" t="s">
        <v>493</v>
      </c>
      <c r="I75" s="10">
        <v>21.0</v>
      </c>
      <c r="J75" s="10">
        <v>0.02</v>
      </c>
      <c r="K75" s="10">
        <v>0.43</v>
      </c>
    </row>
    <row r="76" ht="15.75" customHeight="1">
      <c r="A76" s="7" t="s">
        <v>494</v>
      </c>
      <c r="B76" s="12" t="s">
        <v>497</v>
      </c>
      <c r="C76" s="14" t="s">
        <v>220</v>
      </c>
      <c r="D76" s="15" t="s">
        <v>34</v>
      </c>
      <c r="E76" s="16" t="s">
        <v>99</v>
      </c>
      <c r="F76" s="10" t="s">
        <v>35</v>
      </c>
      <c r="G76" s="10" t="b">
        <v>0</v>
      </c>
      <c r="H76" s="10" t="s">
        <v>501</v>
      </c>
      <c r="I76" s="10">
        <v>21.0</v>
      </c>
      <c r="J76" s="10">
        <v>0.02</v>
      </c>
      <c r="K76" s="10">
        <v>0.29</v>
      </c>
    </row>
    <row r="77" ht="15.75" customHeight="1">
      <c r="A77" s="7" t="s">
        <v>504</v>
      </c>
      <c r="B77" s="12" t="s">
        <v>506</v>
      </c>
      <c r="C77" s="14" t="s">
        <v>167</v>
      </c>
      <c r="D77" s="15" t="s">
        <v>34</v>
      </c>
      <c r="E77" s="16" t="s">
        <v>107</v>
      </c>
      <c r="F77" s="10" t="s">
        <v>35</v>
      </c>
      <c r="G77" s="10" t="b">
        <v>0</v>
      </c>
      <c r="H77" s="10" t="s">
        <v>509</v>
      </c>
      <c r="I77" s="10">
        <v>21.0</v>
      </c>
      <c r="J77" s="10">
        <v>0.02</v>
      </c>
      <c r="K77" s="10">
        <v>1.52</v>
      </c>
    </row>
    <row r="78" ht="15.75" customHeight="1">
      <c r="A78" s="7" t="s">
        <v>510</v>
      </c>
      <c r="B78" s="12" t="s">
        <v>514</v>
      </c>
      <c r="C78" s="14" t="s">
        <v>236</v>
      </c>
      <c r="D78" s="15" t="s">
        <v>34</v>
      </c>
      <c r="E78" s="16" t="s">
        <v>24</v>
      </c>
      <c r="F78" s="10" t="s">
        <v>35</v>
      </c>
      <c r="G78" s="10" t="b">
        <v>1</v>
      </c>
      <c r="H78" s="10" t="s">
        <v>517</v>
      </c>
      <c r="I78" s="10">
        <v>21.0</v>
      </c>
      <c r="J78" s="10">
        <v>0.02</v>
      </c>
      <c r="K78" s="10">
        <v>1.0</v>
      </c>
    </row>
    <row r="79" ht="15.75" customHeight="1">
      <c r="A79" s="7" t="s">
        <v>518</v>
      </c>
      <c r="B79" s="12" t="s">
        <v>520</v>
      </c>
      <c r="C79" s="14" t="s">
        <v>20</v>
      </c>
      <c r="D79" s="15" t="s">
        <v>22</v>
      </c>
      <c r="E79" s="16" t="s">
        <v>24</v>
      </c>
      <c r="F79" s="10" t="s">
        <v>25</v>
      </c>
      <c r="G79" s="10" t="b">
        <v>0</v>
      </c>
      <c r="H79" s="10" t="s">
        <v>522</v>
      </c>
      <c r="I79" s="10">
        <v>20.0</v>
      </c>
      <c r="J79" s="10">
        <v>0.02</v>
      </c>
      <c r="K79" s="10">
        <v>0.05</v>
      </c>
    </row>
    <row r="80" ht="15.75" customHeight="1">
      <c r="A80" s="7" t="s">
        <v>523</v>
      </c>
      <c r="B80" s="12" t="s">
        <v>526</v>
      </c>
      <c r="C80" s="14" t="s">
        <v>20</v>
      </c>
      <c r="D80" s="15" t="s">
        <v>22</v>
      </c>
      <c r="E80" s="16" t="s">
        <v>24</v>
      </c>
      <c r="F80" s="10" t="s">
        <v>25</v>
      </c>
      <c r="G80" s="10" t="b">
        <v>0</v>
      </c>
      <c r="H80" s="10" t="s">
        <v>527</v>
      </c>
      <c r="I80" s="10">
        <v>20.0</v>
      </c>
      <c r="J80" s="10">
        <v>0.02</v>
      </c>
      <c r="K80" s="10">
        <v>1.35</v>
      </c>
    </row>
    <row r="81" ht="15.75" customHeight="1">
      <c r="A81" s="7" t="s">
        <v>529</v>
      </c>
      <c r="B81" s="12" t="s">
        <v>97</v>
      </c>
      <c r="C81" s="14" t="s">
        <v>73</v>
      </c>
      <c r="D81" s="15" t="s">
        <v>34</v>
      </c>
      <c r="E81" s="16" t="s">
        <v>99</v>
      </c>
      <c r="F81" s="10" t="s">
        <v>35</v>
      </c>
      <c r="G81" s="10" t="b">
        <v>0</v>
      </c>
      <c r="H81" s="10" t="s">
        <v>100</v>
      </c>
      <c r="I81" s="10">
        <v>20.0</v>
      </c>
      <c r="J81" s="10">
        <v>0.02</v>
      </c>
      <c r="K81" s="10">
        <v>1.2</v>
      </c>
    </row>
    <row r="82" ht="15.75" customHeight="1">
      <c r="A82" s="7" t="s">
        <v>533</v>
      </c>
      <c r="B82" s="12" t="s">
        <v>535</v>
      </c>
      <c r="C82" s="14" t="s">
        <v>274</v>
      </c>
      <c r="D82" s="15" t="s">
        <v>34</v>
      </c>
      <c r="E82" s="16" t="s">
        <v>24</v>
      </c>
      <c r="F82" s="10" t="s">
        <v>35</v>
      </c>
      <c r="G82" s="10" t="b">
        <v>0</v>
      </c>
      <c r="H82" s="10" t="s">
        <v>538</v>
      </c>
      <c r="I82" s="10">
        <v>20.0</v>
      </c>
      <c r="J82" s="10">
        <v>0.02</v>
      </c>
      <c r="K82" s="10">
        <v>0.65</v>
      </c>
    </row>
    <row r="83" ht="15.75" customHeight="1">
      <c r="A83" s="7" t="s">
        <v>540</v>
      </c>
      <c r="B83" s="12" t="s">
        <v>542</v>
      </c>
      <c r="C83" s="12" t="s">
        <v>172</v>
      </c>
      <c r="D83" s="15" t="s">
        <v>34</v>
      </c>
      <c r="E83" s="16" t="s">
        <v>176</v>
      </c>
      <c r="F83" s="10" t="s">
        <v>35</v>
      </c>
      <c r="G83" s="10" t="b">
        <v>0</v>
      </c>
      <c r="H83" s="10" t="s">
        <v>543</v>
      </c>
      <c r="I83" s="10">
        <v>20.0</v>
      </c>
      <c r="J83" s="10">
        <v>0.02</v>
      </c>
      <c r="K83" s="10">
        <v>1.0</v>
      </c>
    </row>
    <row r="84" ht="15.75" customHeight="1">
      <c r="A84" s="7" t="s">
        <v>544</v>
      </c>
      <c r="B84" s="12" t="s">
        <v>549</v>
      </c>
      <c r="C84" s="14" t="s">
        <v>189</v>
      </c>
      <c r="D84" s="15" t="s">
        <v>240</v>
      </c>
      <c r="E84" s="16" t="s">
        <v>24</v>
      </c>
      <c r="F84" s="10" t="s">
        <v>241</v>
      </c>
      <c r="G84" s="10" t="b">
        <v>0</v>
      </c>
      <c r="H84" s="10" t="s">
        <v>192</v>
      </c>
      <c r="I84" s="10">
        <v>20.0</v>
      </c>
      <c r="J84" s="10">
        <v>0.02</v>
      </c>
      <c r="K84" s="10">
        <v>1.15</v>
      </c>
    </row>
    <row r="85" ht="15.75" customHeight="1">
      <c r="A85" s="7" t="s">
        <v>552</v>
      </c>
      <c r="B85" s="12" t="s">
        <v>555</v>
      </c>
      <c r="C85" s="14" t="s">
        <v>151</v>
      </c>
      <c r="D85" s="15" t="s">
        <v>240</v>
      </c>
      <c r="E85" s="16" t="s">
        <v>107</v>
      </c>
      <c r="F85" s="10" t="s">
        <v>241</v>
      </c>
      <c r="G85" s="10" t="b">
        <v>0</v>
      </c>
      <c r="H85" s="10" t="s">
        <v>557</v>
      </c>
      <c r="I85" s="10">
        <v>20.0</v>
      </c>
      <c r="J85" s="10">
        <v>0.02</v>
      </c>
      <c r="K85" s="10">
        <v>1.45</v>
      </c>
    </row>
    <row r="86" ht="15.75" customHeight="1">
      <c r="A86" s="7" t="s">
        <v>559</v>
      </c>
      <c r="B86" s="12" t="s">
        <v>562</v>
      </c>
      <c r="C86" s="14" t="s">
        <v>20</v>
      </c>
      <c r="D86" s="15" t="s">
        <v>22</v>
      </c>
      <c r="E86" s="16" t="s">
        <v>24</v>
      </c>
      <c r="F86" s="10" t="s">
        <v>25</v>
      </c>
      <c r="G86" s="10" t="b">
        <v>0</v>
      </c>
      <c r="H86" s="10" t="s">
        <v>564</v>
      </c>
      <c r="I86" s="10">
        <v>19.0</v>
      </c>
      <c r="J86" s="10">
        <v>0.02</v>
      </c>
      <c r="K86" s="10">
        <v>1.11</v>
      </c>
    </row>
    <row r="87" ht="15.75" customHeight="1">
      <c r="A87" s="7" t="s">
        <v>566</v>
      </c>
      <c r="B87" s="12" t="s">
        <v>569</v>
      </c>
      <c r="C87" s="14" t="s">
        <v>79</v>
      </c>
      <c r="D87" s="15" t="s">
        <v>34</v>
      </c>
      <c r="E87" s="16" t="s">
        <v>24</v>
      </c>
      <c r="F87" s="10" t="s">
        <v>35</v>
      </c>
      <c r="G87" s="10" t="b">
        <v>0</v>
      </c>
      <c r="H87" s="10" t="s">
        <v>571</v>
      </c>
      <c r="I87" s="10">
        <v>19.0</v>
      </c>
      <c r="J87" s="10">
        <v>0.02</v>
      </c>
      <c r="K87" s="10">
        <v>0.32</v>
      </c>
    </row>
    <row r="88" ht="15.75" customHeight="1">
      <c r="A88" s="7" t="s">
        <v>573</v>
      </c>
      <c r="B88" s="12" t="s">
        <v>575</v>
      </c>
      <c r="C88" s="14" t="s">
        <v>151</v>
      </c>
      <c r="D88" s="15" t="s">
        <v>577</v>
      </c>
      <c r="E88" s="16" t="s">
        <v>107</v>
      </c>
      <c r="F88" s="10" t="s">
        <v>578</v>
      </c>
      <c r="G88" s="10" t="b">
        <v>0</v>
      </c>
      <c r="H88" s="10" t="s">
        <v>579</v>
      </c>
      <c r="I88" s="10">
        <v>19.0</v>
      </c>
      <c r="J88" s="10">
        <v>0.02</v>
      </c>
      <c r="K88" s="10">
        <v>1.05</v>
      </c>
    </row>
    <row r="89" ht="15.75" customHeight="1">
      <c r="A89" s="7" t="s">
        <v>580</v>
      </c>
      <c r="B89" s="12" t="s">
        <v>581</v>
      </c>
      <c r="C89" s="14" t="s">
        <v>54</v>
      </c>
      <c r="D89" s="15" t="s">
        <v>22</v>
      </c>
      <c r="E89" s="16" t="s">
        <v>43</v>
      </c>
      <c r="F89" s="10" t="s">
        <v>25</v>
      </c>
      <c r="G89" s="10" t="b">
        <v>0</v>
      </c>
      <c r="H89" s="10" t="s">
        <v>340</v>
      </c>
      <c r="I89" s="10">
        <v>19.0</v>
      </c>
      <c r="J89" s="10">
        <v>0.02</v>
      </c>
      <c r="K89" s="10">
        <v>0.05</v>
      </c>
    </row>
    <row r="90" ht="15.75" customHeight="1">
      <c r="A90" s="7" t="s">
        <v>582</v>
      </c>
      <c r="B90" s="12" t="s">
        <v>583</v>
      </c>
      <c r="C90" s="14" t="s">
        <v>133</v>
      </c>
      <c r="D90" s="15" t="s">
        <v>34</v>
      </c>
      <c r="E90" s="16" t="s">
        <v>44</v>
      </c>
      <c r="F90" s="10" t="s">
        <v>35</v>
      </c>
      <c r="G90" s="10" t="b">
        <v>0</v>
      </c>
      <c r="H90" s="10" t="s">
        <v>584</v>
      </c>
      <c r="I90" s="10">
        <v>19.0</v>
      </c>
      <c r="J90" s="10">
        <v>0.02</v>
      </c>
      <c r="K90" s="10">
        <v>0.68</v>
      </c>
    </row>
    <row r="91" ht="15.75" customHeight="1">
      <c r="A91" s="7" t="s">
        <v>585</v>
      </c>
      <c r="B91" s="12" t="s">
        <v>586</v>
      </c>
      <c r="C91" s="14" t="s">
        <v>207</v>
      </c>
      <c r="D91" s="15" t="s">
        <v>22</v>
      </c>
      <c r="E91" s="16" t="s">
        <v>24</v>
      </c>
      <c r="F91" s="10" t="s">
        <v>25</v>
      </c>
      <c r="G91" s="10" t="b">
        <v>0</v>
      </c>
      <c r="I91" s="10">
        <v>18.0</v>
      </c>
      <c r="J91" s="10">
        <v>0.02</v>
      </c>
      <c r="K91" s="10">
        <v>0.33</v>
      </c>
    </row>
    <row r="92" ht="15.75" customHeight="1">
      <c r="A92" s="7" t="s">
        <v>588</v>
      </c>
      <c r="B92" s="12" t="s">
        <v>590</v>
      </c>
      <c r="C92" s="14" t="s">
        <v>175</v>
      </c>
      <c r="D92" s="15" t="s">
        <v>34</v>
      </c>
      <c r="E92" s="16" t="s">
        <v>176</v>
      </c>
      <c r="F92" s="10" t="s">
        <v>35</v>
      </c>
      <c r="G92" s="10" t="b">
        <v>0</v>
      </c>
      <c r="H92" s="10" t="s">
        <v>158</v>
      </c>
      <c r="I92" s="10">
        <v>18.0</v>
      </c>
      <c r="J92" s="10">
        <v>0.02</v>
      </c>
      <c r="K92" s="10">
        <v>0.22</v>
      </c>
    </row>
    <row r="93" ht="15.75" customHeight="1">
      <c r="A93" s="7" t="s">
        <v>593</v>
      </c>
      <c r="B93" s="12" t="s">
        <v>596</v>
      </c>
      <c r="C93" s="14" t="s">
        <v>20</v>
      </c>
      <c r="D93" s="15" t="s">
        <v>176</v>
      </c>
      <c r="E93" s="16" t="s">
        <v>24</v>
      </c>
      <c r="F93" s="10" t="s">
        <v>91</v>
      </c>
      <c r="G93" s="10" t="b">
        <v>0</v>
      </c>
      <c r="H93" s="10" t="s">
        <v>597</v>
      </c>
      <c r="I93" s="10">
        <v>18.0</v>
      </c>
      <c r="J93" s="10">
        <v>0.02</v>
      </c>
      <c r="K93" s="10">
        <v>0.67</v>
      </c>
    </row>
    <row r="94" ht="15.75" customHeight="1">
      <c r="A94" s="7" t="s">
        <v>598</v>
      </c>
      <c r="B94" s="12" t="s">
        <v>600</v>
      </c>
      <c r="C94" s="14" t="s">
        <v>208</v>
      </c>
      <c r="D94" s="15" t="s">
        <v>51</v>
      </c>
      <c r="E94" s="16" t="s">
        <v>43</v>
      </c>
      <c r="F94" s="10" t="s">
        <v>52</v>
      </c>
      <c r="G94" s="10" t="b">
        <v>0</v>
      </c>
      <c r="H94" s="10" t="s">
        <v>336</v>
      </c>
      <c r="I94" s="10">
        <v>18.0</v>
      </c>
      <c r="J94" s="10">
        <v>0.02</v>
      </c>
      <c r="K94" s="10">
        <v>3.17</v>
      </c>
    </row>
    <row r="95" ht="15.75" customHeight="1">
      <c r="A95" s="7" t="s">
        <v>603</v>
      </c>
      <c r="B95" s="12" t="s">
        <v>606</v>
      </c>
      <c r="C95" s="14" t="s">
        <v>253</v>
      </c>
      <c r="D95" s="15" t="s">
        <v>22</v>
      </c>
      <c r="E95" s="16" t="s">
        <v>107</v>
      </c>
      <c r="F95" s="10" t="s">
        <v>25</v>
      </c>
      <c r="G95" s="10" t="b">
        <v>0</v>
      </c>
      <c r="H95" s="10" t="s">
        <v>256</v>
      </c>
      <c r="I95" s="10">
        <v>18.0</v>
      </c>
      <c r="J95" s="10">
        <v>0.02</v>
      </c>
      <c r="K95" s="10">
        <v>1.67</v>
      </c>
    </row>
    <row r="96" ht="15.75" customHeight="1">
      <c r="A96" s="7" t="s">
        <v>608</v>
      </c>
      <c r="B96" s="12" t="s">
        <v>610</v>
      </c>
      <c r="C96" s="14" t="s">
        <v>179</v>
      </c>
      <c r="D96" s="15" t="s">
        <v>196</v>
      </c>
      <c r="E96" s="16" t="s">
        <v>107</v>
      </c>
      <c r="F96" s="10" t="s">
        <v>198</v>
      </c>
      <c r="G96" s="10" t="b">
        <v>0</v>
      </c>
      <c r="H96" s="10" t="s">
        <v>180</v>
      </c>
      <c r="I96" s="10">
        <v>18.0</v>
      </c>
      <c r="J96" s="10">
        <v>0.02</v>
      </c>
      <c r="K96" s="10">
        <v>0.56</v>
      </c>
    </row>
    <row r="97" ht="15.75" customHeight="1">
      <c r="A97" s="7" t="s">
        <v>612</v>
      </c>
      <c r="B97" s="12" t="s">
        <v>615</v>
      </c>
      <c r="C97" s="14" t="s">
        <v>289</v>
      </c>
      <c r="D97" s="15" t="s">
        <v>196</v>
      </c>
      <c r="E97" s="16" t="s">
        <v>107</v>
      </c>
      <c r="F97" s="10" t="s">
        <v>198</v>
      </c>
      <c r="G97" s="10" t="b">
        <v>0</v>
      </c>
      <c r="H97" s="10" t="s">
        <v>290</v>
      </c>
      <c r="I97" s="10">
        <v>18.0</v>
      </c>
      <c r="J97" s="10">
        <v>0.02</v>
      </c>
      <c r="K97" s="10">
        <v>0.28</v>
      </c>
    </row>
    <row r="98" ht="15.75" customHeight="1">
      <c r="A98" s="7" t="s">
        <v>617</v>
      </c>
      <c r="B98" s="12" t="s">
        <v>619</v>
      </c>
      <c r="C98" s="14" t="s">
        <v>94</v>
      </c>
      <c r="D98" s="15" t="s">
        <v>34</v>
      </c>
      <c r="E98" s="16" t="s">
        <v>107</v>
      </c>
      <c r="F98" s="10" t="s">
        <v>35</v>
      </c>
      <c r="G98" s="10" t="b">
        <v>0</v>
      </c>
      <c r="H98" s="10" t="s">
        <v>620</v>
      </c>
      <c r="I98" s="10">
        <v>18.0</v>
      </c>
      <c r="J98" s="10">
        <v>0.02</v>
      </c>
      <c r="K98" s="10">
        <v>0.78</v>
      </c>
    </row>
    <row r="99" ht="15.75" customHeight="1">
      <c r="A99" s="7" t="s">
        <v>622</v>
      </c>
      <c r="B99" s="12" t="s">
        <v>624</v>
      </c>
      <c r="C99" s="14" t="s">
        <v>167</v>
      </c>
      <c r="D99" s="15" t="s">
        <v>34</v>
      </c>
      <c r="E99" s="16" t="s">
        <v>107</v>
      </c>
      <c r="F99" s="10" t="s">
        <v>35</v>
      </c>
      <c r="G99" s="10" t="b">
        <v>0</v>
      </c>
      <c r="H99" s="10" t="s">
        <v>626</v>
      </c>
      <c r="I99" s="10">
        <v>18.0</v>
      </c>
      <c r="J99" s="10">
        <v>0.02</v>
      </c>
      <c r="K99" s="10">
        <v>1.22</v>
      </c>
    </row>
    <row r="100" ht="15.75" customHeight="1">
      <c r="A100" s="7" t="s">
        <v>627</v>
      </c>
      <c r="B100" s="12" t="s">
        <v>629</v>
      </c>
      <c r="C100" s="14" t="s">
        <v>292</v>
      </c>
      <c r="D100" s="15" t="s">
        <v>34</v>
      </c>
      <c r="E100" s="16" t="s">
        <v>24</v>
      </c>
      <c r="F100" s="10" t="s">
        <v>35</v>
      </c>
      <c r="G100" s="10" t="b">
        <v>0</v>
      </c>
      <c r="H100" s="10" t="s">
        <v>293</v>
      </c>
      <c r="I100" s="10">
        <v>18.0</v>
      </c>
      <c r="J100" s="10">
        <v>0.02</v>
      </c>
      <c r="K100" s="10">
        <v>0.06</v>
      </c>
    </row>
    <row r="101" ht="15.75" customHeight="1">
      <c r="A101" s="7" t="s">
        <v>631</v>
      </c>
      <c r="B101" s="12" t="s">
        <v>634</v>
      </c>
      <c r="C101" s="14" t="s">
        <v>23</v>
      </c>
      <c r="D101" s="15" t="s">
        <v>22</v>
      </c>
      <c r="E101" s="16" t="s">
        <v>24</v>
      </c>
      <c r="F101" s="10" t="s">
        <v>25</v>
      </c>
      <c r="G101" s="10" t="b">
        <v>0</v>
      </c>
      <c r="H101" s="10" t="s">
        <v>635</v>
      </c>
      <c r="I101" s="10">
        <v>17.0</v>
      </c>
      <c r="J101" s="10">
        <v>0.02</v>
      </c>
      <c r="K101" s="10">
        <v>0.0</v>
      </c>
    </row>
    <row r="102" ht="15.75" customHeight="1">
      <c r="A102" s="7" t="s">
        <v>637</v>
      </c>
      <c r="B102" s="12" t="s">
        <v>639</v>
      </c>
      <c r="C102" s="14" t="s">
        <v>20</v>
      </c>
      <c r="D102" s="15" t="s">
        <v>22</v>
      </c>
      <c r="E102" s="16" t="s">
        <v>24</v>
      </c>
      <c r="F102" s="10" t="s">
        <v>25</v>
      </c>
      <c r="G102" s="10" t="b">
        <v>0</v>
      </c>
      <c r="H102" s="10" t="s">
        <v>293</v>
      </c>
      <c r="I102" s="10">
        <v>17.0</v>
      </c>
      <c r="J102" s="10">
        <v>0.02</v>
      </c>
      <c r="K102" s="10">
        <v>0.06</v>
      </c>
    </row>
    <row r="103" ht="15.75" customHeight="1">
      <c r="A103" s="7" t="s">
        <v>642</v>
      </c>
      <c r="B103" s="12" t="s">
        <v>644</v>
      </c>
      <c r="C103" s="14" t="s">
        <v>228</v>
      </c>
      <c r="D103" s="15" t="s">
        <v>196</v>
      </c>
      <c r="E103" s="16" t="s">
        <v>107</v>
      </c>
      <c r="F103" s="10" t="s">
        <v>198</v>
      </c>
      <c r="G103" s="10" t="b">
        <v>0</v>
      </c>
      <c r="H103" s="10" t="s">
        <v>230</v>
      </c>
      <c r="I103" s="10">
        <v>17.0</v>
      </c>
      <c r="J103" s="10">
        <v>0.02</v>
      </c>
      <c r="K103" s="10">
        <v>1.41</v>
      </c>
    </row>
    <row r="104" ht="15.75" customHeight="1">
      <c r="A104" s="7" t="s">
        <v>647</v>
      </c>
      <c r="B104" s="12" t="s">
        <v>649</v>
      </c>
      <c r="C104" s="14" t="s">
        <v>89</v>
      </c>
      <c r="D104" s="15" t="s">
        <v>22</v>
      </c>
      <c r="E104" s="16" t="s">
        <v>176</v>
      </c>
      <c r="F104" s="10" t="s">
        <v>25</v>
      </c>
      <c r="G104" s="10" t="b">
        <v>0</v>
      </c>
      <c r="H104" s="10" t="s">
        <v>652</v>
      </c>
      <c r="I104" s="10">
        <v>17.0</v>
      </c>
      <c r="J104" s="10">
        <v>0.02</v>
      </c>
      <c r="K104" s="10">
        <v>0.59</v>
      </c>
    </row>
    <row r="105" ht="15.75" customHeight="1">
      <c r="A105" s="7" t="s">
        <v>653</v>
      </c>
      <c r="B105" s="12" t="s">
        <v>656</v>
      </c>
      <c r="C105" s="14" t="s">
        <v>89</v>
      </c>
      <c r="D105" s="15" t="s">
        <v>22</v>
      </c>
      <c r="E105" s="16" t="s">
        <v>176</v>
      </c>
      <c r="F105" s="10" t="s">
        <v>25</v>
      </c>
      <c r="G105" s="10" t="b">
        <v>0</v>
      </c>
      <c r="H105" s="10" t="s">
        <v>657</v>
      </c>
      <c r="I105" s="10">
        <v>17.0</v>
      </c>
      <c r="J105" s="10">
        <v>0.02</v>
      </c>
      <c r="K105" s="10">
        <v>0.0</v>
      </c>
    </row>
    <row r="106" ht="15.75" customHeight="1">
      <c r="A106" s="7" t="s">
        <v>658</v>
      </c>
      <c r="B106" s="12" t="s">
        <v>663</v>
      </c>
      <c r="C106" s="14" t="s">
        <v>266</v>
      </c>
      <c r="D106" s="15" t="s">
        <v>51</v>
      </c>
      <c r="E106" s="16" t="s">
        <v>24</v>
      </c>
      <c r="F106" s="10" t="s">
        <v>52</v>
      </c>
      <c r="G106" s="10" t="b">
        <v>0</v>
      </c>
      <c r="H106" s="10" t="s">
        <v>666</v>
      </c>
      <c r="I106" s="10">
        <v>17.0</v>
      </c>
      <c r="J106" s="10">
        <v>0.02</v>
      </c>
      <c r="K106" s="10">
        <v>1.71</v>
      </c>
    </row>
    <row r="107" ht="15.75" customHeight="1">
      <c r="A107" s="7" t="s">
        <v>669</v>
      </c>
      <c r="B107" s="12" t="s">
        <v>673</v>
      </c>
      <c r="C107" s="14" t="s">
        <v>16</v>
      </c>
      <c r="D107" s="15" t="s">
        <v>22</v>
      </c>
      <c r="E107" s="16" t="s">
        <v>24</v>
      </c>
      <c r="F107" s="10" t="s">
        <v>25</v>
      </c>
      <c r="G107" s="10" t="b">
        <v>0</v>
      </c>
      <c r="H107" s="10" t="s">
        <v>674</v>
      </c>
      <c r="I107" s="10">
        <v>17.0</v>
      </c>
      <c r="J107" s="10">
        <v>0.02</v>
      </c>
      <c r="K107" s="10">
        <v>1.0</v>
      </c>
    </row>
    <row r="108" ht="15.75" customHeight="1">
      <c r="A108" s="7" t="s">
        <v>676</v>
      </c>
      <c r="B108" s="12" t="s">
        <v>679</v>
      </c>
      <c r="C108" s="14" t="s">
        <v>16</v>
      </c>
      <c r="D108" s="15" t="s">
        <v>22</v>
      </c>
      <c r="E108" s="16" t="s">
        <v>24</v>
      </c>
      <c r="F108" s="10" t="s">
        <v>25</v>
      </c>
      <c r="G108" s="10" t="b">
        <v>0</v>
      </c>
      <c r="H108" s="10" t="s">
        <v>681</v>
      </c>
      <c r="I108" s="10">
        <v>17.0</v>
      </c>
      <c r="J108" s="10">
        <v>0.02</v>
      </c>
      <c r="K108" s="10">
        <v>0.24</v>
      </c>
    </row>
    <row r="109" ht="15.75" customHeight="1">
      <c r="A109" s="7" t="s">
        <v>682</v>
      </c>
      <c r="B109" s="12" t="s">
        <v>685</v>
      </c>
      <c r="C109" s="14" t="s">
        <v>66</v>
      </c>
      <c r="D109" s="15" t="s">
        <v>22</v>
      </c>
      <c r="E109" s="16" t="s">
        <v>24</v>
      </c>
      <c r="F109" s="10" t="s">
        <v>25</v>
      </c>
      <c r="G109" s="10" t="b">
        <v>0</v>
      </c>
      <c r="H109" s="10" t="s">
        <v>686</v>
      </c>
      <c r="I109" s="10">
        <v>17.0</v>
      </c>
      <c r="J109" s="10">
        <v>0.02</v>
      </c>
      <c r="K109" s="10">
        <v>1.47</v>
      </c>
    </row>
    <row r="110" ht="15.75" customHeight="1">
      <c r="A110" s="7" t="s">
        <v>687</v>
      </c>
      <c r="B110" s="12" t="s">
        <v>690</v>
      </c>
      <c r="C110" s="14" t="s">
        <v>138</v>
      </c>
      <c r="D110" s="15" t="s">
        <v>176</v>
      </c>
      <c r="E110" s="16" t="s">
        <v>176</v>
      </c>
      <c r="F110" s="10" t="s">
        <v>91</v>
      </c>
      <c r="G110" s="10" t="b">
        <v>0</v>
      </c>
      <c r="I110" s="10">
        <v>17.0</v>
      </c>
      <c r="J110" s="10">
        <v>0.02</v>
      </c>
      <c r="K110" s="10">
        <v>1.65</v>
      </c>
    </row>
    <row r="111" ht="15.75" customHeight="1">
      <c r="A111" s="7" t="s">
        <v>693</v>
      </c>
      <c r="B111" s="12" t="s">
        <v>695</v>
      </c>
      <c r="C111" s="14" t="s">
        <v>106</v>
      </c>
      <c r="D111" s="15" t="s">
        <v>34</v>
      </c>
      <c r="E111" s="16" t="s">
        <v>43</v>
      </c>
      <c r="F111" s="10" t="s">
        <v>35</v>
      </c>
      <c r="G111" s="10" t="b">
        <v>0</v>
      </c>
      <c r="H111" s="10" t="s">
        <v>697</v>
      </c>
      <c r="I111" s="10">
        <v>17.0</v>
      </c>
      <c r="J111" s="10">
        <v>0.02</v>
      </c>
      <c r="K111" s="10">
        <v>0.41</v>
      </c>
    </row>
    <row r="112" ht="15.75" customHeight="1">
      <c r="A112" s="7" t="s">
        <v>698</v>
      </c>
      <c r="B112" s="12" t="s">
        <v>701</v>
      </c>
      <c r="C112" s="14" t="s">
        <v>299</v>
      </c>
      <c r="D112" s="15" t="s">
        <v>577</v>
      </c>
      <c r="E112" s="16" t="s">
        <v>107</v>
      </c>
      <c r="F112" s="10" t="s">
        <v>578</v>
      </c>
      <c r="G112" s="10" t="b">
        <v>0</v>
      </c>
      <c r="H112" s="10" t="s">
        <v>303</v>
      </c>
      <c r="I112" s="10">
        <v>17.0</v>
      </c>
      <c r="J112" s="10">
        <v>0.02</v>
      </c>
      <c r="K112" s="10">
        <v>0.18</v>
      </c>
    </row>
    <row r="113" ht="15.75" customHeight="1">
      <c r="A113" s="7" t="s">
        <v>705</v>
      </c>
      <c r="B113" s="12" t="s">
        <v>708</v>
      </c>
      <c r="C113" s="14" t="s">
        <v>20</v>
      </c>
      <c r="D113" s="15" t="s">
        <v>22</v>
      </c>
      <c r="E113" s="16" t="s">
        <v>24</v>
      </c>
      <c r="F113" s="10" t="s">
        <v>25</v>
      </c>
      <c r="G113" s="10" t="b">
        <v>0</v>
      </c>
      <c r="H113" s="10" t="s">
        <v>709</v>
      </c>
      <c r="I113" s="10">
        <v>16.0</v>
      </c>
      <c r="J113" s="10">
        <v>0.02</v>
      </c>
      <c r="K113" s="10">
        <v>0.25</v>
      </c>
    </row>
    <row r="114" ht="15.75" customHeight="1">
      <c r="A114" s="7" t="s">
        <v>711</v>
      </c>
      <c r="B114" s="12" t="s">
        <v>713</v>
      </c>
      <c r="C114" s="14" t="s">
        <v>111</v>
      </c>
      <c r="D114" s="15" t="s">
        <v>22</v>
      </c>
      <c r="E114" s="16" t="s">
        <v>176</v>
      </c>
      <c r="F114" s="10" t="s">
        <v>25</v>
      </c>
      <c r="G114" s="10" t="b">
        <v>0</v>
      </c>
      <c r="I114" s="10">
        <v>16.0</v>
      </c>
      <c r="J114" s="10">
        <v>0.02</v>
      </c>
      <c r="K114" s="10">
        <v>1.25</v>
      </c>
    </row>
    <row r="115" ht="15.75" customHeight="1">
      <c r="A115" s="7" t="s">
        <v>716</v>
      </c>
      <c r="B115" s="12" t="s">
        <v>718</v>
      </c>
      <c r="C115" s="14" t="s">
        <v>41</v>
      </c>
      <c r="D115" s="15" t="s">
        <v>176</v>
      </c>
      <c r="E115" s="16" t="s">
        <v>44</v>
      </c>
      <c r="F115" s="10" t="s">
        <v>91</v>
      </c>
      <c r="G115" s="10" t="b">
        <v>0</v>
      </c>
      <c r="H115" s="10" t="s">
        <v>392</v>
      </c>
      <c r="I115" s="10">
        <v>16.0</v>
      </c>
      <c r="J115" s="10">
        <v>0.02</v>
      </c>
      <c r="K115" s="10">
        <v>0.88</v>
      </c>
    </row>
    <row r="116" ht="15.75" customHeight="1">
      <c r="A116" s="7" t="s">
        <v>721</v>
      </c>
      <c r="B116" s="12" t="s">
        <v>723</v>
      </c>
      <c r="C116" s="14" t="s">
        <v>257</v>
      </c>
      <c r="D116" s="15" t="s">
        <v>34</v>
      </c>
      <c r="E116" s="16" t="s">
        <v>107</v>
      </c>
      <c r="F116" s="10" t="s">
        <v>35</v>
      </c>
      <c r="G116" s="10" t="b">
        <v>0</v>
      </c>
      <c r="H116" s="10" t="s">
        <v>726</v>
      </c>
      <c r="I116" s="10">
        <v>16.0</v>
      </c>
      <c r="J116" s="10">
        <v>0.02</v>
      </c>
      <c r="K116" s="10">
        <v>1.13</v>
      </c>
    </row>
    <row r="117" ht="15.75" customHeight="1">
      <c r="A117" s="7" t="s">
        <v>727</v>
      </c>
      <c r="B117" s="12" t="s">
        <v>731</v>
      </c>
      <c r="C117" s="14" t="s">
        <v>114</v>
      </c>
      <c r="D117" s="15" t="s">
        <v>196</v>
      </c>
      <c r="E117" s="16" t="s">
        <v>107</v>
      </c>
      <c r="F117" s="10" t="s">
        <v>198</v>
      </c>
      <c r="G117" s="10" t="b">
        <v>0</v>
      </c>
      <c r="H117" s="10" t="s">
        <v>118</v>
      </c>
      <c r="I117" s="10">
        <v>16.0</v>
      </c>
      <c r="J117" s="10">
        <v>0.02</v>
      </c>
      <c r="K117" s="10">
        <v>1.0</v>
      </c>
    </row>
    <row r="118" ht="15.75" customHeight="1">
      <c r="A118" s="7" t="s">
        <v>733</v>
      </c>
      <c r="B118" s="12" t="s">
        <v>738</v>
      </c>
      <c r="C118" s="14" t="s">
        <v>202</v>
      </c>
      <c r="D118" s="15" t="s">
        <v>22</v>
      </c>
      <c r="E118" s="16" t="s">
        <v>99</v>
      </c>
      <c r="F118" s="10" t="s">
        <v>25</v>
      </c>
      <c r="G118" s="10" t="b">
        <v>0</v>
      </c>
      <c r="H118" s="10" t="s">
        <v>323</v>
      </c>
      <c r="I118" s="10">
        <v>16.0</v>
      </c>
      <c r="J118" s="10">
        <v>0.02</v>
      </c>
      <c r="K118" s="10">
        <v>1.0</v>
      </c>
    </row>
    <row r="119" ht="15.75" customHeight="1">
      <c r="A119" s="7" t="s">
        <v>742</v>
      </c>
      <c r="B119" s="12" t="s">
        <v>745</v>
      </c>
      <c r="C119" s="14" t="s">
        <v>312</v>
      </c>
      <c r="D119" s="15" t="s">
        <v>749</v>
      </c>
      <c r="E119" s="16" t="s">
        <v>107</v>
      </c>
      <c r="F119" s="10" t="s">
        <v>750</v>
      </c>
      <c r="G119" s="10" t="b">
        <v>0</v>
      </c>
      <c r="H119" s="10" t="s">
        <v>751</v>
      </c>
      <c r="I119" s="10">
        <v>15.0</v>
      </c>
      <c r="J119" s="10">
        <v>0.02</v>
      </c>
      <c r="K119" s="10">
        <v>1.73</v>
      </c>
    </row>
    <row r="120" ht="15.75" customHeight="1">
      <c r="A120" s="7" t="s">
        <v>753</v>
      </c>
      <c r="B120" s="12" t="s">
        <v>757</v>
      </c>
      <c r="C120" s="12" t="s">
        <v>286</v>
      </c>
      <c r="D120" s="15" t="s">
        <v>22</v>
      </c>
      <c r="E120" s="16" t="s">
        <v>24</v>
      </c>
      <c r="F120" s="10" t="s">
        <v>25</v>
      </c>
      <c r="G120" s="10" t="b">
        <v>0</v>
      </c>
      <c r="I120" s="10">
        <v>15.0</v>
      </c>
      <c r="J120" s="10">
        <v>0.02</v>
      </c>
      <c r="K120" s="10">
        <v>0.53</v>
      </c>
    </row>
    <row r="121" ht="15.75" customHeight="1">
      <c r="A121" s="7" t="s">
        <v>759</v>
      </c>
      <c r="B121" s="12" t="s">
        <v>763</v>
      </c>
      <c r="C121" s="14" t="s">
        <v>343</v>
      </c>
      <c r="D121" s="15" t="s">
        <v>577</v>
      </c>
      <c r="E121" s="16" t="s">
        <v>24</v>
      </c>
      <c r="F121" s="10" t="s">
        <v>578</v>
      </c>
      <c r="G121" s="10" t="b">
        <v>0</v>
      </c>
      <c r="H121" s="10" t="s">
        <v>766</v>
      </c>
      <c r="I121" s="10">
        <v>15.0</v>
      </c>
      <c r="J121" s="10">
        <v>0.02</v>
      </c>
      <c r="K121" s="10">
        <v>0.8</v>
      </c>
    </row>
    <row r="122" ht="15.75" customHeight="1">
      <c r="A122" s="7" t="s">
        <v>768</v>
      </c>
      <c r="B122" s="12" t="s">
        <v>770</v>
      </c>
      <c r="C122" s="14" t="s">
        <v>41</v>
      </c>
      <c r="D122" s="15" t="s">
        <v>51</v>
      </c>
      <c r="E122" s="16" t="s">
        <v>44</v>
      </c>
      <c r="F122" s="10" t="s">
        <v>52</v>
      </c>
      <c r="G122" s="10" t="b">
        <v>0</v>
      </c>
      <c r="H122" s="10" t="s">
        <v>771</v>
      </c>
      <c r="I122" s="10">
        <v>15.0</v>
      </c>
      <c r="J122" s="10">
        <v>0.02</v>
      </c>
      <c r="K122" s="10">
        <v>0.93</v>
      </c>
    </row>
    <row r="123" ht="15.75" customHeight="1">
      <c r="A123" s="7" t="s">
        <v>773</v>
      </c>
      <c r="B123" s="12" t="s">
        <v>774</v>
      </c>
      <c r="C123" s="14" t="s">
        <v>41</v>
      </c>
      <c r="D123" s="15" t="s">
        <v>51</v>
      </c>
      <c r="E123" s="16" t="s">
        <v>44</v>
      </c>
      <c r="F123" s="10" t="s">
        <v>52</v>
      </c>
      <c r="G123" s="10" t="b">
        <v>0</v>
      </c>
      <c r="H123" s="10" t="s">
        <v>775</v>
      </c>
      <c r="I123" s="10">
        <v>15.0</v>
      </c>
      <c r="J123" s="10">
        <v>0.02</v>
      </c>
      <c r="K123" s="10">
        <v>0.33</v>
      </c>
    </row>
    <row r="124" ht="15.75" customHeight="1">
      <c r="A124" s="7" t="s">
        <v>776</v>
      </c>
      <c r="B124" s="12" t="s">
        <v>778</v>
      </c>
      <c r="C124" s="14" t="s">
        <v>321</v>
      </c>
      <c r="D124" s="15" t="s">
        <v>22</v>
      </c>
      <c r="E124" s="16" t="s">
        <v>24</v>
      </c>
      <c r="F124" s="10" t="s">
        <v>25</v>
      </c>
      <c r="G124" s="10" t="b">
        <v>0</v>
      </c>
      <c r="H124" s="10" t="s">
        <v>780</v>
      </c>
      <c r="I124" s="10">
        <v>15.0</v>
      </c>
      <c r="J124" s="10">
        <v>0.02</v>
      </c>
      <c r="K124" s="10">
        <v>0.47</v>
      </c>
    </row>
    <row r="125" ht="15.75" customHeight="1">
      <c r="A125" s="7" t="s">
        <v>781</v>
      </c>
      <c r="B125" s="12" t="s">
        <v>783</v>
      </c>
      <c r="C125" s="14" t="s">
        <v>295</v>
      </c>
      <c r="D125" s="15" t="s">
        <v>196</v>
      </c>
      <c r="E125" s="16" t="s">
        <v>107</v>
      </c>
      <c r="F125" s="10" t="s">
        <v>198</v>
      </c>
      <c r="G125" s="10" t="b">
        <v>0</v>
      </c>
      <c r="H125" s="10" t="s">
        <v>786</v>
      </c>
      <c r="I125" s="10">
        <v>15.0</v>
      </c>
      <c r="J125" s="10">
        <v>0.02</v>
      </c>
      <c r="K125" s="10">
        <v>0.33</v>
      </c>
    </row>
    <row r="126" ht="15.75" customHeight="1">
      <c r="A126" s="7" t="s">
        <v>787</v>
      </c>
      <c r="B126" s="12" t="s">
        <v>789</v>
      </c>
      <c r="C126" s="14" t="s">
        <v>79</v>
      </c>
      <c r="D126" s="15" t="s">
        <v>34</v>
      </c>
      <c r="E126" s="16" t="s">
        <v>24</v>
      </c>
      <c r="F126" s="10" t="s">
        <v>35</v>
      </c>
      <c r="G126" s="10" t="b">
        <v>0</v>
      </c>
      <c r="H126" s="10" t="s">
        <v>790</v>
      </c>
      <c r="I126" s="10">
        <v>15.0</v>
      </c>
      <c r="J126" s="10">
        <v>0.02</v>
      </c>
      <c r="K126" s="10">
        <v>1.33</v>
      </c>
    </row>
    <row r="127" ht="15.75" customHeight="1">
      <c r="A127" s="7" t="s">
        <v>792</v>
      </c>
      <c r="B127" s="12" t="s">
        <v>794</v>
      </c>
      <c r="C127" s="14" t="s">
        <v>79</v>
      </c>
      <c r="D127" s="15" t="s">
        <v>34</v>
      </c>
      <c r="E127" s="16" t="s">
        <v>24</v>
      </c>
      <c r="F127" s="10" t="s">
        <v>35</v>
      </c>
      <c r="G127" s="10" t="b">
        <v>0</v>
      </c>
      <c r="H127" s="10" t="s">
        <v>795</v>
      </c>
      <c r="I127" s="10">
        <v>15.0</v>
      </c>
      <c r="J127" s="10">
        <v>0.02</v>
      </c>
      <c r="K127" s="10">
        <v>0.87</v>
      </c>
    </row>
    <row r="128" ht="15.75" customHeight="1">
      <c r="A128" s="7" t="s">
        <v>796</v>
      </c>
      <c r="B128" s="12" t="s">
        <v>797</v>
      </c>
      <c r="C128" s="14" t="s">
        <v>330</v>
      </c>
      <c r="D128" s="15" t="s">
        <v>34</v>
      </c>
      <c r="E128" s="16" t="s">
        <v>24</v>
      </c>
      <c r="F128" s="10" t="s">
        <v>35</v>
      </c>
      <c r="G128" s="10" t="b">
        <v>0</v>
      </c>
      <c r="H128" s="10" t="s">
        <v>800</v>
      </c>
      <c r="I128" s="10">
        <v>15.0</v>
      </c>
      <c r="J128" s="10">
        <v>0.02</v>
      </c>
      <c r="K128" s="10">
        <v>0.47</v>
      </c>
    </row>
    <row r="129" ht="15.75" customHeight="1">
      <c r="A129" s="7" t="s">
        <v>801</v>
      </c>
      <c r="B129" s="12" t="s">
        <v>803</v>
      </c>
      <c r="C129" s="14" t="s">
        <v>66</v>
      </c>
      <c r="D129" s="15" t="s">
        <v>51</v>
      </c>
      <c r="E129" s="16" t="s">
        <v>24</v>
      </c>
      <c r="F129" s="10" t="s">
        <v>52</v>
      </c>
      <c r="G129" s="10" t="b">
        <v>0</v>
      </c>
      <c r="I129" s="10">
        <v>15.0</v>
      </c>
      <c r="J129" s="10">
        <v>0.02</v>
      </c>
      <c r="K129" s="10">
        <v>2.87</v>
      </c>
    </row>
    <row r="130" ht="15.75" customHeight="1">
      <c r="A130" s="7" t="s">
        <v>805</v>
      </c>
      <c r="B130" s="12" t="s">
        <v>807</v>
      </c>
      <c r="C130" s="14" t="s">
        <v>335</v>
      </c>
      <c r="D130" s="15" t="s">
        <v>196</v>
      </c>
      <c r="E130" s="16" t="s">
        <v>107</v>
      </c>
      <c r="F130" s="10" t="s">
        <v>198</v>
      </c>
      <c r="G130" s="10" t="b">
        <v>0</v>
      </c>
      <c r="H130" s="10" t="s">
        <v>337</v>
      </c>
      <c r="I130" s="10">
        <v>15.0</v>
      </c>
      <c r="J130" s="10">
        <v>0.02</v>
      </c>
      <c r="K130" s="10">
        <v>1.47</v>
      </c>
    </row>
    <row r="131" ht="15.75" customHeight="1">
      <c r="A131" s="7" t="s">
        <v>809</v>
      </c>
      <c r="B131" s="12" t="s">
        <v>811</v>
      </c>
      <c r="C131" s="14" t="s">
        <v>339</v>
      </c>
      <c r="D131" s="15" t="s">
        <v>577</v>
      </c>
      <c r="E131" s="16" t="s">
        <v>99</v>
      </c>
      <c r="F131" s="10" t="s">
        <v>578</v>
      </c>
      <c r="G131" s="10" t="b">
        <v>0</v>
      </c>
      <c r="H131" s="10" t="s">
        <v>340</v>
      </c>
      <c r="I131" s="10">
        <v>15.0</v>
      </c>
      <c r="J131" s="10">
        <v>0.02</v>
      </c>
      <c r="K131" s="10">
        <v>2.13</v>
      </c>
    </row>
    <row r="132" ht="15.75" customHeight="1">
      <c r="A132" s="7" t="s">
        <v>812</v>
      </c>
      <c r="B132" s="12" t="s">
        <v>814</v>
      </c>
      <c r="C132" s="14" t="s">
        <v>350</v>
      </c>
      <c r="D132" s="15" t="s">
        <v>34</v>
      </c>
      <c r="E132" s="16" t="s">
        <v>24</v>
      </c>
      <c r="F132" s="10" t="s">
        <v>35</v>
      </c>
      <c r="G132" s="10" t="b">
        <v>0</v>
      </c>
      <c r="H132" s="10" t="s">
        <v>815</v>
      </c>
      <c r="I132" s="10">
        <v>14.0</v>
      </c>
      <c r="J132" s="10">
        <v>0.01</v>
      </c>
      <c r="K132" s="10">
        <v>0.0</v>
      </c>
    </row>
    <row r="133" ht="15.75" customHeight="1">
      <c r="A133" s="7" t="s">
        <v>817</v>
      </c>
      <c r="B133" s="12" t="s">
        <v>818</v>
      </c>
      <c r="C133" s="14" t="s">
        <v>350</v>
      </c>
      <c r="D133" s="15" t="s">
        <v>34</v>
      </c>
      <c r="E133" s="16" t="s">
        <v>24</v>
      </c>
      <c r="F133" s="10" t="s">
        <v>35</v>
      </c>
      <c r="G133" s="10" t="b">
        <v>0</v>
      </c>
      <c r="H133" s="10" t="s">
        <v>820</v>
      </c>
      <c r="I133" s="10">
        <v>14.0</v>
      </c>
      <c r="J133" s="10">
        <v>0.01</v>
      </c>
      <c r="K133" s="10">
        <v>0.07</v>
      </c>
    </row>
    <row r="134" ht="15.75" customHeight="1">
      <c r="A134" s="7" t="s">
        <v>822</v>
      </c>
      <c r="B134" s="12" t="s">
        <v>824</v>
      </c>
      <c r="C134" s="14" t="s">
        <v>23</v>
      </c>
      <c r="D134" s="15" t="s">
        <v>176</v>
      </c>
      <c r="E134" s="16" t="s">
        <v>24</v>
      </c>
      <c r="F134" s="10" t="s">
        <v>91</v>
      </c>
      <c r="G134" s="10" t="b">
        <v>0</v>
      </c>
      <c r="H134" s="10" t="s">
        <v>301</v>
      </c>
      <c r="I134" s="10">
        <v>14.0</v>
      </c>
      <c r="J134" s="10">
        <v>0.01</v>
      </c>
      <c r="K134" s="10">
        <v>0.14</v>
      </c>
    </row>
    <row r="135" ht="15.75" customHeight="1">
      <c r="A135" s="7" t="s">
        <v>825</v>
      </c>
      <c r="B135" s="12" t="s">
        <v>828</v>
      </c>
      <c r="C135" s="14" t="s">
        <v>304</v>
      </c>
      <c r="D135" s="15" t="s">
        <v>22</v>
      </c>
      <c r="E135" s="16" t="s">
        <v>24</v>
      </c>
      <c r="F135" s="10" t="s">
        <v>25</v>
      </c>
      <c r="G135" s="10" t="b">
        <v>0</v>
      </c>
      <c r="H135" s="10" t="s">
        <v>830</v>
      </c>
      <c r="I135" s="10">
        <v>14.0</v>
      </c>
      <c r="J135" s="10">
        <v>0.01</v>
      </c>
      <c r="K135" s="10">
        <v>0.43</v>
      </c>
    </row>
    <row r="136" ht="15.75" customHeight="1">
      <c r="A136" s="7" t="s">
        <v>832</v>
      </c>
      <c r="B136" s="12" t="s">
        <v>834</v>
      </c>
      <c r="C136" s="14" t="s">
        <v>356</v>
      </c>
      <c r="D136" s="15" t="s">
        <v>34</v>
      </c>
      <c r="E136" s="16" t="s">
        <v>176</v>
      </c>
      <c r="F136" s="10" t="s">
        <v>35</v>
      </c>
      <c r="G136" s="10" t="b">
        <v>0</v>
      </c>
      <c r="H136" s="10" t="s">
        <v>357</v>
      </c>
      <c r="I136" s="10">
        <v>14.0</v>
      </c>
      <c r="J136" s="10">
        <v>0.01</v>
      </c>
      <c r="K136" s="10">
        <v>0.14</v>
      </c>
    </row>
    <row r="137" ht="15.75" customHeight="1">
      <c r="A137" s="7" t="s">
        <v>836</v>
      </c>
      <c r="B137" s="12" t="s">
        <v>837</v>
      </c>
      <c r="C137" s="14" t="s">
        <v>232</v>
      </c>
      <c r="D137" s="15" t="s">
        <v>51</v>
      </c>
      <c r="E137" s="16" t="s">
        <v>24</v>
      </c>
      <c r="F137" s="10" t="s">
        <v>52</v>
      </c>
      <c r="G137" s="10" t="b">
        <v>0</v>
      </c>
      <c r="H137" s="10" t="s">
        <v>157</v>
      </c>
      <c r="I137" s="10">
        <v>14.0</v>
      </c>
      <c r="J137" s="10">
        <v>0.01</v>
      </c>
      <c r="K137" s="10">
        <v>0.71</v>
      </c>
    </row>
    <row r="138" ht="15.75" customHeight="1">
      <c r="A138" s="7" t="s">
        <v>841</v>
      </c>
      <c r="B138" s="12" t="s">
        <v>843</v>
      </c>
      <c r="C138" s="14" t="s">
        <v>270</v>
      </c>
      <c r="D138" s="15" t="s">
        <v>240</v>
      </c>
      <c r="E138" s="16" t="s">
        <v>24</v>
      </c>
      <c r="F138" s="10" t="s">
        <v>241</v>
      </c>
      <c r="G138" s="10" t="b">
        <v>0</v>
      </c>
      <c r="I138" s="10">
        <v>14.0</v>
      </c>
      <c r="J138" s="10">
        <v>0.01</v>
      </c>
      <c r="K138" s="10">
        <v>0.57</v>
      </c>
    </row>
    <row r="139" ht="15.75" customHeight="1">
      <c r="A139" s="7" t="s">
        <v>846</v>
      </c>
      <c r="B139" s="12" t="s">
        <v>848</v>
      </c>
      <c r="C139" s="14" t="s">
        <v>89</v>
      </c>
      <c r="D139" s="15" t="s">
        <v>22</v>
      </c>
      <c r="E139" s="16" t="s">
        <v>176</v>
      </c>
      <c r="F139" s="10" t="s">
        <v>25</v>
      </c>
      <c r="G139" s="10" t="b">
        <v>0</v>
      </c>
      <c r="H139" s="10" t="s">
        <v>850</v>
      </c>
      <c r="I139" s="10">
        <v>14.0</v>
      </c>
      <c r="J139" s="10">
        <v>0.01</v>
      </c>
      <c r="K139" s="10">
        <v>0.71</v>
      </c>
    </row>
    <row r="140" ht="15.75" customHeight="1">
      <c r="A140" s="7" t="s">
        <v>851</v>
      </c>
      <c r="B140" s="12" t="s">
        <v>853</v>
      </c>
      <c r="C140" s="12" t="s">
        <v>172</v>
      </c>
      <c r="D140" s="15" t="s">
        <v>34</v>
      </c>
      <c r="E140" s="16" t="s">
        <v>176</v>
      </c>
      <c r="F140" s="10" t="s">
        <v>35</v>
      </c>
      <c r="G140" s="10" t="b">
        <v>0</v>
      </c>
      <c r="H140" s="10" t="s">
        <v>854</v>
      </c>
      <c r="I140" s="10">
        <v>14.0</v>
      </c>
      <c r="J140" s="10">
        <v>0.01</v>
      </c>
      <c r="K140" s="10">
        <v>1.21</v>
      </c>
    </row>
    <row r="141" ht="15.75" customHeight="1">
      <c r="A141" s="7" t="s">
        <v>856</v>
      </c>
      <c r="B141" s="12" t="s">
        <v>858</v>
      </c>
      <c r="C141" s="14" t="s">
        <v>213</v>
      </c>
      <c r="D141" s="15" t="s">
        <v>34</v>
      </c>
      <c r="E141" s="16" t="s">
        <v>107</v>
      </c>
      <c r="F141" s="10" t="s">
        <v>35</v>
      </c>
      <c r="G141" s="10" t="b">
        <v>0</v>
      </c>
      <c r="H141" s="10" t="s">
        <v>861</v>
      </c>
      <c r="I141" s="10">
        <v>14.0</v>
      </c>
      <c r="J141" s="10">
        <v>0.01</v>
      </c>
      <c r="K141" s="10">
        <v>1.71</v>
      </c>
    </row>
    <row r="142" ht="15.75" customHeight="1">
      <c r="A142" s="7" t="s">
        <v>862</v>
      </c>
      <c r="B142" s="12" t="s">
        <v>864</v>
      </c>
      <c r="C142" s="14" t="s">
        <v>308</v>
      </c>
      <c r="D142" s="15" t="s">
        <v>577</v>
      </c>
      <c r="E142" s="16" t="s">
        <v>99</v>
      </c>
      <c r="F142" s="10" t="s">
        <v>578</v>
      </c>
      <c r="G142" s="10" t="b">
        <v>0</v>
      </c>
      <c r="H142" s="10" t="s">
        <v>866</v>
      </c>
      <c r="I142" s="10">
        <v>14.0</v>
      </c>
      <c r="J142" s="10">
        <v>0.01</v>
      </c>
      <c r="K142" s="10">
        <v>1.07</v>
      </c>
    </row>
    <row r="143" ht="15.75" customHeight="1">
      <c r="A143" s="7" t="s">
        <v>867</v>
      </c>
      <c r="B143" s="12" t="s">
        <v>868</v>
      </c>
      <c r="C143" s="14" t="s">
        <v>202</v>
      </c>
      <c r="D143" s="15" t="s">
        <v>22</v>
      </c>
      <c r="E143" s="16" t="s">
        <v>99</v>
      </c>
      <c r="F143" s="10" t="s">
        <v>25</v>
      </c>
      <c r="G143" s="10" t="b">
        <v>0</v>
      </c>
      <c r="H143" s="10" t="s">
        <v>869</v>
      </c>
      <c r="I143" s="10">
        <v>14.0</v>
      </c>
      <c r="J143" s="10">
        <v>0.01</v>
      </c>
      <c r="K143" s="10">
        <v>0.0</v>
      </c>
    </row>
    <row r="144" ht="15.75" customHeight="1">
      <c r="A144" s="7" t="s">
        <v>870</v>
      </c>
      <c r="B144" s="12" t="s">
        <v>872</v>
      </c>
      <c r="C144" s="14" t="s">
        <v>66</v>
      </c>
      <c r="D144" s="15" t="s">
        <v>22</v>
      </c>
      <c r="E144" s="16" t="s">
        <v>24</v>
      </c>
      <c r="F144" s="10" t="s">
        <v>25</v>
      </c>
      <c r="G144" s="10" t="b">
        <v>0</v>
      </c>
      <c r="H144" s="10" t="s">
        <v>873</v>
      </c>
      <c r="I144" s="10">
        <v>14.0</v>
      </c>
      <c r="J144" s="10">
        <v>0.01</v>
      </c>
      <c r="K144" s="10">
        <v>2.86</v>
      </c>
    </row>
    <row r="145" ht="15.75" customHeight="1">
      <c r="A145" s="7" t="s">
        <v>874</v>
      </c>
      <c r="B145" s="12" t="s">
        <v>876</v>
      </c>
      <c r="C145" s="14" t="s">
        <v>325</v>
      </c>
      <c r="D145" s="15" t="s">
        <v>34</v>
      </c>
      <c r="E145" s="16" t="s">
        <v>43</v>
      </c>
      <c r="F145" s="10" t="s">
        <v>35</v>
      </c>
      <c r="G145" s="10" t="b">
        <v>0</v>
      </c>
      <c r="H145" s="10" t="s">
        <v>878</v>
      </c>
      <c r="I145" s="10">
        <v>14.0</v>
      </c>
      <c r="J145" s="10">
        <v>0.01</v>
      </c>
      <c r="K145" s="10">
        <v>0.0</v>
      </c>
    </row>
    <row r="146" ht="15.75" customHeight="1">
      <c r="A146" s="7" t="s">
        <v>880</v>
      </c>
      <c r="B146" s="12" t="s">
        <v>881</v>
      </c>
      <c r="C146" s="14" t="s">
        <v>106</v>
      </c>
      <c r="D146" s="15" t="s">
        <v>51</v>
      </c>
      <c r="E146" s="16" t="s">
        <v>43</v>
      </c>
      <c r="F146" s="10" t="s">
        <v>52</v>
      </c>
      <c r="G146" s="10" t="b">
        <v>0</v>
      </c>
      <c r="H146" s="10" t="s">
        <v>883</v>
      </c>
      <c r="I146" s="10">
        <v>14.0</v>
      </c>
      <c r="J146" s="10">
        <v>0.01</v>
      </c>
      <c r="K146" s="10">
        <v>0.0</v>
      </c>
    </row>
    <row r="147" ht="15.75" customHeight="1">
      <c r="A147" s="7" t="s">
        <v>885</v>
      </c>
      <c r="B147" s="12" t="s">
        <v>886</v>
      </c>
      <c r="C147" s="14" t="s">
        <v>23</v>
      </c>
      <c r="D147" s="15" t="s">
        <v>176</v>
      </c>
      <c r="E147" s="16" t="s">
        <v>24</v>
      </c>
      <c r="F147" s="10" t="s">
        <v>91</v>
      </c>
      <c r="G147" s="10" t="b">
        <v>0</v>
      </c>
      <c r="H147" s="10" t="s">
        <v>888</v>
      </c>
      <c r="I147" s="10">
        <v>13.0</v>
      </c>
      <c r="J147" s="10">
        <v>0.01</v>
      </c>
      <c r="K147" s="10">
        <v>0.08</v>
      </c>
    </row>
    <row r="148" ht="15.75" customHeight="1">
      <c r="A148" s="7" t="s">
        <v>889</v>
      </c>
      <c r="B148" s="16"/>
      <c r="C148" s="14" t="s">
        <v>377</v>
      </c>
      <c r="D148" s="15" t="s">
        <v>34</v>
      </c>
      <c r="E148" s="16" t="s">
        <v>24</v>
      </c>
      <c r="F148" s="10" t="s">
        <v>35</v>
      </c>
      <c r="G148" s="10" t="b">
        <v>0</v>
      </c>
      <c r="H148" s="10" t="s">
        <v>892</v>
      </c>
      <c r="I148" s="10">
        <v>13.0</v>
      </c>
      <c r="J148" s="10">
        <v>0.01</v>
      </c>
      <c r="K148" s="10">
        <v>0.77</v>
      </c>
    </row>
    <row r="149" ht="15.75" customHeight="1">
      <c r="A149" s="7" t="s">
        <v>893</v>
      </c>
      <c r="B149" s="12" t="s">
        <v>895</v>
      </c>
      <c r="C149" s="14" t="s">
        <v>20</v>
      </c>
      <c r="D149" s="15" t="s">
        <v>22</v>
      </c>
      <c r="E149" s="16" t="s">
        <v>24</v>
      </c>
      <c r="F149" s="10" t="s">
        <v>25</v>
      </c>
      <c r="G149" s="10" t="b">
        <v>0</v>
      </c>
      <c r="H149" s="10" t="s">
        <v>896</v>
      </c>
      <c r="I149" s="10">
        <v>13.0</v>
      </c>
      <c r="J149" s="10">
        <v>0.01</v>
      </c>
      <c r="K149" s="10">
        <v>0.0</v>
      </c>
    </row>
    <row r="150" ht="15.75" customHeight="1">
      <c r="A150" s="7" t="s">
        <v>898</v>
      </c>
      <c r="B150" s="12" t="s">
        <v>900</v>
      </c>
      <c r="C150" s="14" t="s">
        <v>20</v>
      </c>
      <c r="D150" s="15" t="s">
        <v>22</v>
      </c>
      <c r="E150" s="16" t="s">
        <v>24</v>
      </c>
      <c r="F150" s="10" t="s">
        <v>25</v>
      </c>
      <c r="G150" s="10" t="b">
        <v>0</v>
      </c>
      <c r="H150" s="10" t="s">
        <v>902</v>
      </c>
      <c r="I150" s="10">
        <v>13.0</v>
      </c>
      <c r="J150" s="10">
        <v>0.01</v>
      </c>
      <c r="K150" s="10">
        <v>0.54</v>
      </c>
    </row>
    <row r="151" ht="15.75" customHeight="1">
      <c r="A151" s="7" t="s">
        <v>904</v>
      </c>
      <c r="B151" s="12" t="s">
        <v>905</v>
      </c>
      <c r="C151" s="14" t="s">
        <v>379</v>
      </c>
      <c r="D151" s="15" t="s">
        <v>34</v>
      </c>
      <c r="E151" s="16" t="s">
        <v>24</v>
      </c>
      <c r="F151" s="10" t="s">
        <v>35</v>
      </c>
      <c r="G151" s="10" t="b">
        <v>0</v>
      </c>
      <c r="H151" s="10" t="s">
        <v>381</v>
      </c>
      <c r="I151" s="10">
        <v>13.0</v>
      </c>
      <c r="J151" s="10">
        <v>0.01</v>
      </c>
      <c r="K151" s="10">
        <v>0.08</v>
      </c>
    </row>
    <row r="152" ht="15.75" customHeight="1">
      <c r="A152" s="7" t="s">
        <v>908</v>
      </c>
      <c r="B152" s="12" t="s">
        <v>910</v>
      </c>
      <c r="C152" s="14" t="s">
        <v>111</v>
      </c>
      <c r="D152" s="15" t="s">
        <v>22</v>
      </c>
      <c r="E152" s="16" t="s">
        <v>176</v>
      </c>
      <c r="F152" s="10" t="s">
        <v>25</v>
      </c>
      <c r="G152" s="10" t="b">
        <v>0</v>
      </c>
      <c r="I152" s="10">
        <v>13.0</v>
      </c>
      <c r="J152" s="10">
        <v>0.01</v>
      </c>
      <c r="K152" s="10">
        <v>0.46</v>
      </c>
    </row>
    <row r="153" ht="15.75" customHeight="1">
      <c r="A153" s="7" t="s">
        <v>912</v>
      </c>
      <c r="B153" s="12" t="s">
        <v>914</v>
      </c>
      <c r="C153" s="14" t="s">
        <v>246</v>
      </c>
      <c r="D153" s="15" t="s">
        <v>22</v>
      </c>
      <c r="E153" s="16" t="s">
        <v>43</v>
      </c>
      <c r="F153" s="10" t="s">
        <v>25</v>
      </c>
      <c r="G153" s="10" t="b">
        <v>0</v>
      </c>
      <c r="H153" s="10" t="s">
        <v>392</v>
      </c>
      <c r="I153" s="10">
        <v>13.0</v>
      </c>
      <c r="J153" s="10">
        <v>0.01</v>
      </c>
      <c r="K153" s="10">
        <v>0.23</v>
      </c>
    </row>
    <row r="154" ht="15.75" customHeight="1">
      <c r="A154" s="7" t="s">
        <v>918</v>
      </c>
      <c r="B154" s="12" t="s">
        <v>920</v>
      </c>
      <c r="C154" s="14" t="s">
        <v>270</v>
      </c>
      <c r="D154" s="15" t="s">
        <v>34</v>
      </c>
      <c r="E154" s="16" t="s">
        <v>24</v>
      </c>
      <c r="F154" s="10" t="s">
        <v>35</v>
      </c>
      <c r="G154" s="10" t="b">
        <v>0</v>
      </c>
      <c r="H154" s="10" t="s">
        <v>922</v>
      </c>
      <c r="I154" s="10">
        <v>13.0</v>
      </c>
      <c r="J154" s="10">
        <v>0.01</v>
      </c>
      <c r="K154" s="10">
        <v>1.85</v>
      </c>
    </row>
    <row r="155" ht="15.75" customHeight="1">
      <c r="A155" s="7" t="s">
        <v>923</v>
      </c>
      <c r="B155" s="12" t="s">
        <v>924</v>
      </c>
      <c r="C155" s="14" t="s">
        <v>103</v>
      </c>
      <c r="D155" s="15" t="s">
        <v>34</v>
      </c>
      <c r="E155" s="16" t="s">
        <v>107</v>
      </c>
      <c r="F155" s="10" t="s">
        <v>35</v>
      </c>
      <c r="G155" s="10" t="b">
        <v>0</v>
      </c>
      <c r="H155" s="10" t="s">
        <v>105</v>
      </c>
      <c r="I155" s="10">
        <v>13.0</v>
      </c>
      <c r="J155" s="10">
        <v>0.01</v>
      </c>
      <c r="K155" s="10">
        <v>0.54</v>
      </c>
    </row>
    <row r="156" ht="15.75" customHeight="1">
      <c r="A156" s="7" t="s">
        <v>926</v>
      </c>
      <c r="B156" s="12" t="s">
        <v>927</v>
      </c>
      <c r="C156" s="14" t="s">
        <v>382</v>
      </c>
      <c r="D156" s="15" t="s">
        <v>34</v>
      </c>
      <c r="E156" s="16" t="s">
        <v>24</v>
      </c>
      <c r="F156" s="10" t="s">
        <v>35</v>
      </c>
      <c r="G156" s="10" t="b">
        <v>0</v>
      </c>
      <c r="H156" s="10" t="s">
        <v>285</v>
      </c>
      <c r="I156" s="10">
        <v>13.0</v>
      </c>
      <c r="J156" s="10">
        <v>0.01</v>
      </c>
      <c r="K156" s="10">
        <v>2.08</v>
      </c>
    </row>
    <row r="157" ht="15.75" customHeight="1">
      <c r="A157" s="7" t="s">
        <v>931</v>
      </c>
      <c r="B157" s="18" t="s">
        <v>934</v>
      </c>
      <c r="C157" s="14" t="s">
        <v>29</v>
      </c>
      <c r="D157" s="15" t="s">
        <v>34</v>
      </c>
      <c r="E157" s="16" t="s">
        <v>24</v>
      </c>
      <c r="F157" s="10" t="s">
        <v>35</v>
      </c>
      <c r="G157" s="10" t="b">
        <v>0</v>
      </c>
      <c r="H157" s="10" t="s">
        <v>935</v>
      </c>
      <c r="I157" s="10">
        <v>13.0</v>
      </c>
      <c r="J157" s="10">
        <v>0.01</v>
      </c>
      <c r="K157" s="10">
        <v>0.0</v>
      </c>
    </row>
    <row r="158" ht="15.75" customHeight="1">
      <c r="A158" s="7" t="s">
        <v>936</v>
      </c>
      <c r="B158" s="12" t="s">
        <v>939</v>
      </c>
      <c r="C158" s="14" t="s">
        <v>387</v>
      </c>
      <c r="D158" s="15" t="s">
        <v>34</v>
      </c>
      <c r="E158" s="16" t="s">
        <v>44</v>
      </c>
      <c r="F158" s="10" t="s">
        <v>35</v>
      </c>
      <c r="G158" s="10" t="b">
        <v>0</v>
      </c>
      <c r="H158" s="10" t="s">
        <v>388</v>
      </c>
      <c r="I158" s="10">
        <v>13.0</v>
      </c>
      <c r="J158" s="10">
        <v>0.01</v>
      </c>
      <c r="K158" s="10">
        <v>0.69</v>
      </c>
    </row>
    <row r="159" ht="15.75" customHeight="1">
      <c r="A159" s="7" t="s">
        <v>941</v>
      </c>
      <c r="B159" s="12" t="s">
        <v>943</v>
      </c>
      <c r="C159" s="14" t="s">
        <v>373</v>
      </c>
      <c r="D159" s="15" t="s">
        <v>196</v>
      </c>
      <c r="E159" s="16" t="s">
        <v>107</v>
      </c>
      <c r="F159" s="10" t="s">
        <v>198</v>
      </c>
      <c r="G159" s="10" t="b">
        <v>0</v>
      </c>
      <c r="H159" s="10" t="s">
        <v>376</v>
      </c>
      <c r="I159" s="10">
        <v>13.0</v>
      </c>
      <c r="J159" s="10">
        <v>0.01</v>
      </c>
      <c r="K159" s="10">
        <v>1.15</v>
      </c>
    </row>
    <row r="160" ht="15.75" customHeight="1">
      <c r="A160" s="7" t="s">
        <v>945</v>
      </c>
      <c r="B160" s="16"/>
      <c r="C160" s="14" t="s">
        <v>363</v>
      </c>
      <c r="D160" s="15" t="s">
        <v>176</v>
      </c>
      <c r="E160" s="16" t="s">
        <v>24</v>
      </c>
      <c r="F160" s="10" t="s">
        <v>91</v>
      </c>
      <c r="H160" s="10" t="s">
        <v>948</v>
      </c>
      <c r="I160" s="10">
        <v>13.0</v>
      </c>
      <c r="J160" s="10">
        <v>0.01</v>
      </c>
      <c r="K160" s="10">
        <v>1.0</v>
      </c>
    </row>
    <row r="161" ht="15.75" customHeight="1">
      <c r="A161" s="7" t="s">
        <v>949</v>
      </c>
      <c r="B161" s="12" t="s">
        <v>950</v>
      </c>
      <c r="C161" s="14" t="s">
        <v>16</v>
      </c>
      <c r="D161" s="15" t="s">
        <v>22</v>
      </c>
      <c r="E161" s="16" t="s">
        <v>24</v>
      </c>
      <c r="F161" s="10" t="s">
        <v>25</v>
      </c>
      <c r="G161" s="10" t="b">
        <v>0</v>
      </c>
      <c r="H161" s="10" t="s">
        <v>951</v>
      </c>
      <c r="I161" s="10">
        <v>13.0</v>
      </c>
      <c r="J161" s="10">
        <v>0.01</v>
      </c>
      <c r="K161" s="10">
        <v>0.85</v>
      </c>
    </row>
    <row r="162" ht="15.75" customHeight="1">
      <c r="A162" s="7" t="s">
        <v>953</v>
      </c>
      <c r="B162" s="12" t="s">
        <v>955</v>
      </c>
      <c r="C162" s="14" t="s">
        <v>16</v>
      </c>
      <c r="D162" s="15" t="s">
        <v>22</v>
      </c>
      <c r="E162" s="16" t="s">
        <v>24</v>
      </c>
      <c r="F162" s="10" t="s">
        <v>25</v>
      </c>
      <c r="G162" s="10" t="b">
        <v>0</v>
      </c>
      <c r="H162" s="10" t="s">
        <v>951</v>
      </c>
      <c r="I162" s="10">
        <v>13.0</v>
      </c>
      <c r="J162" s="10">
        <v>0.01</v>
      </c>
      <c r="K162" s="10">
        <v>1.77</v>
      </c>
    </row>
    <row r="163" ht="15.75" customHeight="1">
      <c r="A163" s="7" t="s">
        <v>957</v>
      </c>
      <c r="B163" s="12" t="s">
        <v>958</v>
      </c>
      <c r="C163" s="14" t="s">
        <v>347</v>
      </c>
      <c r="D163" s="15" t="s">
        <v>34</v>
      </c>
      <c r="E163" s="16" t="s">
        <v>99</v>
      </c>
      <c r="F163" s="10" t="s">
        <v>35</v>
      </c>
      <c r="G163" s="10" t="b">
        <v>0</v>
      </c>
      <c r="H163" s="10" t="s">
        <v>960</v>
      </c>
      <c r="I163" s="10">
        <v>13.0</v>
      </c>
      <c r="J163" s="10">
        <v>0.01</v>
      </c>
      <c r="K163" s="10">
        <v>0.15</v>
      </c>
    </row>
    <row r="164" ht="15.75" customHeight="1">
      <c r="A164" s="7" t="s">
        <v>961</v>
      </c>
      <c r="B164" s="12" t="s">
        <v>964</v>
      </c>
      <c r="C164" s="14" t="s">
        <v>106</v>
      </c>
      <c r="D164" s="15" t="s">
        <v>22</v>
      </c>
      <c r="E164" s="16" t="s">
        <v>43</v>
      </c>
      <c r="F164" s="10" t="s">
        <v>25</v>
      </c>
      <c r="G164" s="10" t="b">
        <v>0</v>
      </c>
      <c r="H164" s="10" t="s">
        <v>966</v>
      </c>
      <c r="I164" s="10">
        <v>13.0</v>
      </c>
      <c r="J164" s="10">
        <v>0.01</v>
      </c>
      <c r="K164" s="10">
        <v>0.0</v>
      </c>
    </row>
    <row r="165" ht="15.75" customHeight="1">
      <c r="A165" s="7" t="s">
        <v>967</v>
      </c>
      <c r="B165" s="12" t="s">
        <v>969</v>
      </c>
      <c r="C165" s="14" t="s">
        <v>364</v>
      </c>
      <c r="D165" s="15" t="s">
        <v>34</v>
      </c>
      <c r="E165" s="16" t="s">
        <v>43</v>
      </c>
      <c r="F165" s="10" t="s">
        <v>35</v>
      </c>
      <c r="G165" s="10" t="b">
        <v>0</v>
      </c>
      <c r="I165" s="10">
        <v>13.0</v>
      </c>
      <c r="J165" s="10">
        <v>0.01</v>
      </c>
      <c r="K165" s="10">
        <v>0.62</v>
      </c>
    </row>
    <row r="166" ht="15.75" customHeight="1">
      <c r="A166" s="7" t="s">
        <v>971</v>
      </c>
      <c r="B166" s="12" t="s">
        <v>973</v>
      </c>
      <c r="C166" s="14" t="s">
        <v>23</v>
      </c>
      <c r="D166" s="15" t="s">
        <v>22</v>
      </c>
      <c r="E166" s="16" t="s">
        <v>24</v>
      </c>
      <c r="F166" s="10" t="s">
        <v>25</v>
      </c>
      <c r="G166" s="10" t="b">
        <v>0</v>
      </c>
      <c r="H166" s="10" t="s">
        <v>975</v>
      </c>
      <c r="I166" s="10">
        <v>12.0</v>
      </c>
      <c r="J166" s="10">
        <v>0.01</v>
      </c>
      <c r="K166" s="10">
        <v>0.25</v>
      </c>
    </row>
    <row r="167" ht="15.75" customHeight="1">
      <c r="A167" s="7" t="s">
        <v>976</v>
      </c>
      <c r="B167" s="12" t="s">
        <v>978</v>
      </c>
      <c r="C167" s="14" t="s">
        <v>175</v>
      </c>
      <c r="D167" s="15" t="s">
        <v>34</v>
      </c>
      <c r="E167" s="16" t="s">
        <v>176</v>
      </c>
      <c r="F167" s="10" t="s">
        <v>35</v>
      </c>
      <c r="G167" s="10" t="b">
        <v>0</v>
      </c>
      <c r="I167" s="10">
        <v>12.0</v>
      </c>
      <c r="J167" s="10">
        <v>0.01</v>
      </c>
      <c r="K167" s="10">
        <v>0.0</v>
      </c>
    </row>
    <row r="168" ht="15.75" customHeight="1">
      <c r="A168" s="7" t="s">
        <v>979</v>
      </c>
      <c r="B168" s="12" t="s">
        <v>982</v>
      </c>
      <c r="C168" s="14" t="s">
        <v>406</v>
      </c>
      <c r="D168" s="15" t="s">
        <v>240</v>
      </c>
      <c r="E168" s="16" t="s">
        <v>24</v>
      </c>
      <c r="F168" s="10" t="s">
        <v>241</v>
      </c>
      <c r="G168" s="10" t="b">
        <v>0</v>
      </c>
      <c r="I168" s="10">
        <v>12.0</v>
      </c>
      <c r="J168" s="10">
        <v>0.01</v>
      </c>
      <c r="K168" s="10">
        <v>0.0</v>
      </c>
    </row>
    <row r="169" ht="15.75" customHeight="1">
      <c r="A169" s="7" t="s">
        <v>984</v>
      </c>
      <c r="B169" s="12" t="s">
        <v>985</v>
      </c>
      <c r="C169" s="14" t="s">
        <v>20</v>
      </c>
      <c r="D169" s="15" t="s">
        <v>22</v>
      </c>
      <c r="E169" s="16" t="s">
        <v>24</v>
      </c>
      <c r="F169" s="10" t="s">
        <v>25</v>
      </c>
      <c r="G169" s="10" t="b">
        <v>0</v>
      </c>
      <c r="H169" s="10" t="s">
        <v>987</v>
      </c>
      <c r="I169" s="10">
        <v>12.0</v>
      </c>
      <c r="J169" s="10">
        <v>0.01</v>
      </c>
      <c r="K169" s="10">
        <v>1.83</v>
      </c>
    </row>
    <row r="170" ht="15.75" customHeight="1">
      <c r="A170" s="7" t="s">
        <v>989</v>
      </c>
      <c r="B170" s="12" t="s">
        <v>992</v>
      </c>
      <c r="C170" s="14" t="s">
        <v>20</v>
      </c>
      <c r="D170" s="15" t="s">
        <v>22</v>
      </c>
      <c r="E170" s="16" t="s">
        <v>24</v>
      </c>
      <c r="F170" s="10" t="s">
        <v>25</v>
      </c>
      <c r="G170" s="10" t="b">
        <v>0</v>
      </c>
      <c r="I170" s="10">
        <v>12.0</v>
      </c>
      <c r="J170" s="10">
        <v>0.01</v>
      </c>
      <c r="K170" s="10">
        <v>0.17</v>
      </c>
    </row>
    <row r="171" ht="15.75" customHeight="1">
      <c r="A171" s="7" t="s">
        <v>994</v>
      </c>
      <c r="B171" s="12" t="s">
        <v>997</v>
      </c>
      <c r="C171" s="14" t="s">
        <v>409</v>
      </c>
      <c r="D171" s="15" t="s">
        <v>34</v>
      </c>
      <c r="E171" s="16" t="s">
        <v>1000</v>
      </c>
      <c r="F171" s="10" t="s">
        <v>35</v>
      </c>
      <c r="G171" s="10" t="b">
        <v>0</v>
      </c>
      <c r="H171" s="10" t="s">
        <v>410</v>
      </c>
      <c r="I171" s="10">
        <v>12.0</v>
      </c>
      <c r="J171" s="10">
        <v>0.01</v>
      </c>
      <c r="K171" s="10">
        <v>0.0</v>
      </c>
    </row>
    <row r="172" ht="15.75" customHeight="1">
      <c r="A172" s="7" t="s">
        <v>1002</v>
      </c>
      <c r="B172" s="12" t="s">
        <v>1006</v>
      </c>
      <c r="C172" s="14" t="s">
        <v>412</v>
      </c>
      <c r="D172" s="15" t="s">
        <v>240</v>
      </c>
      <c r="E172" s="16" t="s">
        <v>99</v>
      </c>
      <c r="F172" s="10" t="s">
        <v>241</v>
      </c>
      <c r="G172" s="10" t="b">
        <v>0</v>
      </c>
      <c r="I172" s="10">
        <v>12.0</v>
      </c>
      <c r="J172" s="10">
        <v>0.01</v>
      </c>
      <c r="K172" s="10">
        <v>0.0</v>
      </c>
    </row>
    <row r="173" ht="15.75" customHeight="1">
      <c r="A173" s="7" t="s">
        <v>1010</v>
      </c>
      <c r="B173" s="12" t="s">
        <v>1014</v>
      </c>
      <c r="C173" s="14" t="s">
        <v>232</v>
      </c>
      <c r="D173" s="15" t="s">
        <v>51</v>
      </c>
      <c r="E173" s="16" t="s">
        <v>24</v>
      </c>
      <c r="F173" s="10" t="s">
        <v>52</v>
      </c>
      <c r="G173" s="10" t="b">
        <v>0</v>
      </c>
      <c r="H173" s="10" t="s">
        <v>157</v>
      </c>
      <c r="I173" s="10">
        <v>12.0</v>
      </c>
      <c r="J173" s="10">
        <v>0.01</v>
      </c>
      <c r="K173" s="10">
        <v>0.33</v>
      </c>
    </row>
    <row r="174" ht="15.75" customHeight="1">
      <c r="A174" s="7" t="s">
        <v>1017</v>
      </c>
      <c r="B174" s="12" t="s">
        <v>1019</v>
      </c>
      <c r="C174" s="14" t="s">
        <v>41</v>
      </c>
      <c r="D174" s="15" t="s">
        <v>22</v>
      </c>
      <c r="E174" s="16" t="s">
        <v>44</v>
      </c>
      <c r="F174" s="10" t="s">
        <v>25</v>
      </c>
      <c r="G174" s="10" t="b">
        <v>0</v>
      </c>
      <c r="H174" s="10" t="s">
        <v>771</v>
      </c>
      <c r="I174" s="10">
        <v>12.0</v>
      </c>
      <c r="J174" s="10">
        <v>0.01</v>
      </c>
      <c r="K174" s="10">
        <v>0.33</v>
      </c>
    </row>
    <row r="175" ht="15.75" customHeight="1">
      <c r="A175" s="7" t="s">
        <v>1022</v>
      </c>
      <c r="B175" s="12" t="s">
        <v>1023</v>
      </c>
      <c r="C175" s="14" t="s">
        <v>393</v>
      </c>
      <c r="D175" s="15" t="s">
        <v>34</v>
      </c>
      <c r="E175" s="16" t="s">
        <v>24</v>
      </c>
      <c r="F175" s="10" t="s">
        <v>35</v>
      </c>
      <c r="G175" s="10" t="b">
        <v>0</v>
      </c>
      <c r="H175" s="10" t="s">
        <v>1026</v>
      </c>
      <c r="I175" s="10">
        <v>12.0</v>
      </c>
      <c r="J175" s="10">
        <v>0.01</v>
      </c>
      <c r="K175" s="10">
        <v>0.83</v>
      </c>
    </row>
    <row r="176" ht="15.75" customHeight="1">
      <c r="A176" s="7" t="s">
        <v>1027</v>
      </c>
      <c r="B176" s="12" t="s">
        <v>1031</v>
      </c>
      <c r="C176" s="14" t="s">
        <v>29</v>
      </c>
      <c r="D176" s="15" t="s">
        <v>34</v>
      </c>
      <c r="E176" s="16" t="s">
        <v>24</v>
      </c>
      <c r="F176" s="10" t="s">
        <v>35</v>
      </c>
      <c r="G176" s="10" t="b">
        <v>0</v>
      </c>
      <c r="H176" s="10" t="s">
        <v>1032</v>
      </c>
      <c r="I176" s="10">
        <v>12.0</v>
      </c>
      <c r="J176" s="10">
        <v>0.01</v>
      </c>
      <c r="K176" s="10">
        <v>2.0</v>
      </c>
    </row>
    <row r="177" ht="15.75" customHeight="1">
      <c r="A177" s="7" t="s">
        <v>1034</v>
      </c>
      <c r="B177" s="12" t="s">
        <v>1037</v>
      </c>
      <c r="C177" s="14" t="s">
        <v>418</v>
      </c>
      <c r="D177" s="15" t="s">
        <v>196</v>
      </c>
      <c r="E177" s="16" t="s">
        <v>24</v>
      </c>
      <c r="F177" s="10" t="s">
        <v>198</v>
      </c>
      <c r="G177" s="10" t="b">
        <v>0</v>
      </c>
      <c r="I177" s="10">
        <v>12.0</v>
      </c>
      <c r="J177" s="10">
        <v>0.01</v>
      </c>
      <c r="K177" s="10">
        <v>0.33</v>
      </c>
    </row>
    <row r="178" ht="15.75" customHeight="1">
      <c r="A178" s="7" t="s">
        <v>1039</v>
      </c>
      <c r="B178" s="12" t="s">
        <v>1041</v>
      </c>
      <c r="C178" s="14" t="s">
        <v>79</v>
      </c>
      <c r="D178" s="15" t="s">
        <v>34</v>
      </c>
      <c r="E178" s="16" t="s">
        <v>24</v>
      </c>
      <c r="F178" s="10" t="s">
        <v>35</v>
      </c>
      <c r="G178" s="10" t="b">
        <v>0</v>
      </c>
      <c r="H178" s="10" t="s">
        <v>1042</v>
      </c>
      <c r="I178" s="10">
        <v>12.0</v>
      </c>
      <c r="J178" s="10">
        <v>0.01</v>
      </c>
      <c r="K178" s="10">
        <v>0.0</v>
      </c>
    </row>
    <row r="179" ht="15.75" customHeight="1">
      <c r="A179" s="7" t="s">
        <v>1043</v>
      </c>
      <c r="B179" s="12" t="s">
        <v>1046</v>
      </c>
      <c r="C179" s="14" t="s">
        <v>383</v>
      </c>
      <c r="D179" s="15" t="s">
        <v>34</v>
      </c>
      <c r="E179" s="16" t="s">
        <v>24</v>
      </c>
      <c r="F179" s="10" t="s">
        <v>35</v>
      </c>
      <c r="G179" s="10" t="b">
        <v>0</v>
      </c>
      <c r="I179" s="10">
        <v>12.0</v>
      </c>
      <c r="J179" s="10">
        <v>0.01</v>
      </c>
      <c r="K179" s="10">
        <v>1.67</v>
      </c>
    </row>
    <row r="180" ht="15.75" customHeight="1">
      <c r="A180" s="7" t="s">
        <v>1048</v>
      </c>
      <c r="B180" s="12" t="s">
        <v>1051</v>
      </c>
      <c r="C180" s="14" t="s">
        <v>182</v>
      </c>
      <c r="D180" s="15" t="s">
        <v>51</v>
      </c>
      <c r="E180" s="16" t="s">
        <v>176</v>
      </c>
      <c r="F180" s="10" t="s">
        <v>52</v>
      </c>
      <c r="G180" s="10" t="b">
        <v>0</v>
      </c>
      <c r="H180" s="10" t="s">
        <v>501</v>
      </c>
      <c r="I180" s="10">
        <v>12.0</v>
      </c>
      <c r="J180" s="10">
        <v>0.01</v>
      </c>
      <c r="K180" s="10">
        <v>0.0</v>
      </c>
    </row>
    <row r="181" ht="15.75" customHeight="1">
      <c r="A181" s="7" t="s">
        <v>1054</v>
      </c>
      <c r="B181" s="12" t="s">
        <v>1057</v>
      </c>
      <c r="C181" s="14" t="s">
        <v>420</v>
      </c>
      <c r="D181" s="15" t="s">
        <v>240</v>
      </c>
      <c r="E181" s="16" t="s">
        <v>24</v>
      </c>
      <c r="F181" s="10" t="s">
        <v>241</v>
      </c>
      <c r="G181" s="10" t="b">
        <v>0</v>
      </c>
      <c r="I181" s="10">
        <v>12.0</v>
      </c>
      <c r="J181" s="10">
        <v>0.01</v>
      </c>
      <c r="K181" s="10">
        <v>0.83</v>
      </c>
    </row>
    <row r="182" ht="15.75" customHeight="1">
      <c r="A182" s="7" t="s">
        <v>1059</v>
      </c>
      <c r="B182" s="12" t="s">
        <v>1060</v>
      </c>
      <c r="C182" s="14" t="s">
        <v>141</v>
      </c>
      <c r="D182" s="15" t="s">
        <v>34</v>
      </c>
      <c r="E182" s="16" t="s">
        <v>176</v>
      </c>
      <c r="F182" s="10" t="s">
        <v>35</v>
      </c>
      <c r="G182" s="10" t="b">
        <v>0</v>
      </c>
      <c r="H182" s="10" t="s">
        <v>1062</v>
      </c>
      <c r="I182" s="10">
        <v>12.0</v>
      </c>
      <c r="J182" s="10">
        <v>0.01</v>
      </c>
      <c r="K182" s="10">
        <v>0.42</v>
      </c>
    </row>
    <row r="183" ht="15.75" customHeight="1">
      <c r="A183" s="7" t="s">
        <v>1063</v>
      </c>
      <c r="B183" s="12" t="s">
        <v>1065</v>
      </c>
      <c r="C183" s="14" t="s">
        <v>421</v>
      </c>
      <c r="D183" s="15" t="s">
        <v>240</v>
      </c>
      <c r="E183" s="16" t="s">
        <v>24</v>
      </c>
      <c r="F183" s="10" t="s">
        <v>241</v>
      </c>
      <c r="G183" s="10" t="b">
        <v>0</v>
      </c>
      <c r="H183" s="10" t="s">
        <v>384</v>
      </c>
      <c r="I183" s="10">
        <v>12.0</v>
      </c>
      <c r="J183" s="10">
        <v>0.01</v>
      </c>
      <c r="K183" s="10">
        <v>2.75</v>
      </c>
    </row>
    <row r="184" ht="15.75" customHeight="1">
      <c r="A184" s="7" t="s">
        <v>1067</v>
      </c>
      <c r="B184" s="12" t="s">
        <v>1069</v>
      </c>
      <c r="C184" s="14" t="s">
        <v>16</v>
      </c>
      <c r="D184" s="15" t="s">
        <v>22</v>
      </c>
      <c r="E184" s="16" t="s">
        <v>24</v>
      </c>
      <c r="F184" s="10" t="s">
        <v>25</v>
      </c>
      <c r="G184" s="10" t="b">
        <v>0</v>
      </c>
      <c r="H184" s="10" t="s">
        <v>1070</v>
      </c>
      <c r="I184" s="10">
        <v>12.0</v>
      </c>
      <c r="J184" s="10">
        <v>0.01</v>
      </c>
      <c r="K184" s="10">
        <v>0.08</v>
      </c>
    </row>
    <row r="185" ht="15.75" customHeight="1">
      <c r="A185" s="7" t="s">
        <v>1072</v>
      </c>
      <c r="B185" s="12" t="s">
        <v>1074</v>
      </c>
      <c r="C185" s="14" t="s">
        <v>402</v>
      </c>
      <c r="D185" s="15" t="s">
        <v>51</v>
      </c>
      <c r="E185" s="16" t="s">
        <v>176</v>
      </c>
      <c r="F185" s="10" t="s">
        <v>52</v>
      </c>
      <c r="G185" s="10" t="b">
        <v>0</v>
      </c>
      <c r="H185" s="10" t="s">
        <v>384</v>
      </c>
      <c r="I185" s="10">
        <v>11.0</v>
      </c>
      <c r="J185" s="10">
        <v>0.01</v>
      </c>
      <c r="K185" s="10">
        <v>0.55</v>
      </c>
    </row>
    <row r="186" ht="15.75" customHeight="1">
      <c r="A186" s="7" t="s">
        <v>1077</v>
      </c>
      <c r="B186" s="12" t="s">
        <v>1079</v>
      </c>
      <c r="C186" s="14" t="s">
        <v>23</v>
      </c>
      <c r="D186" s="15" t="s">
        <v>22</v>
      </c>
      <c r="E186" s="16" t="s">
        <v>24</v>
      </c>
      <c r="F186" s="10" t="s">
        <v>25</v>
      </c>
      <c r="G186" s="10" t="b">
        <v>0</v>
      </c>
      <c r="H186" s="10" t="s">
        <v>1080</v>
      </c>
      <c r="I186" s="10">
        <v>11.0</v>
      </c>
      <c r="J186" s="10">
        <v>0.01</v>
      </c>
      <c r="K186" s="10">
        <v>0.0</v>
      </c>
    </row>
    <row r="187" ht="15.75" customHeight="1">
      <c r="A187" s="7" t="s">
        <v>1081</v>
      </c>
      <c r="B187" s="12" t="s">
        <v>1084</v>
      </c>
      <c r="C187" s="14" t="s">
        <v>341</v>
      </c>
      <c r="D187" s="15" t="s">
        <v>196</v>
      </c>
      <c r="E187" s="16" t="s">
        <v>24</v>
      </c>
      <c r="F187" s="10" t="s">
        <v>198</v>
      </c>
      <c r="G187" s="10" t="b">
        <v>0</v>
      </c>
      <c r="I187" s="10">
        <v>11.0</v>
      </c>
      <c r="J187" s="10">
        <v>0.01</v>
      </c>
      <c r="K187" s="10">
        <v>0.0</v>
      </c>
    </row>
    <row r="188" ht="15.75" customHeight="1">
      <c r="A188" s="7" t="s">
        <v>1086</v>
      </c>
      <c r="B188" s="12" t="s">
        <v>1087</v>
      </c>
      <c r="C188" s="14" t="s">
        <v>277</v>
      </c>
      <c r="D188" s="15" t="s">
        <v>22</v>
      </c>
      <c r="E188" s="16" t="s">
        <v>1000</v>
      </c>
      <c r="F188" s="10" t="s">
        <v>25</v>
      </c>
      <c r="G188" s="10" t="b">
        <v>0</v>
      </c>
      <c r="H188" s="10" t="s">
        <v>1090</v>
      </c>
      <c r="I188" s="10">
        <v>11.0</v>
      </c>
      <c r="J188" s="10">
        <v>0.01</v>
      </c>
      <c r="K188" s="10">
        <v>1.36</v>
      </c>
    </row>
    <row r="189" ht="15.75" customHeight="1">
      <c r="A189" s="7" t="s">
        <v>1091</v>
      </c>
      <c r="B189" s="12" t="s">
        <v>1092</v>
      </c>
      <c r="C189" s="14" t="s">
        <v>426</v>
      </c>
      <c r="D189" s="15" t="s">
        <v>34</v>
      </c>
      <c r="E189" s="16" t="s">
        <v>176</v>
      </c>
      <c r="F189" s="10" t="s">
        <v>35</v>
      </c>
      <c r="G189" s="10" t="b">
        <v>0</v>
      </c>
      <c r="H189" s="10" t="s">
        <v>1095</v>
      </c>
      <c r="I189" s="10">
        <v>11.0</v>
      </c>
      <c r="J189" s="10">
        <v>0.01</v>
      </c>
      <c r="K189" s="10">
        <v>0.45</v>
      </c>
    </row>
    <row r="190" ht="15.75" customHeight="1">
      <c r="A190" s="7" t="s">
        <v>1097</v>
      </c>
      <c r="B190" s="12" t="s">
        <v>1098</v>
      </c>
      <c r="C190" s="14" t="s">
        <v>400</v>
      </c>
      <c r="D190" s="15" t="s">
        <v>240</v>
      </c>
      <c r="E190" s="16" t="s">
        <v>24</v>
      </c>
      <c r="F190" s="10" t="s">
        <v>241</v>
      </c>
      <c r="G190" s="10" t="b">
        <v>0</v>
      </c>
      <c r="H190" s="10" t="s">
        <v>384</v>
      </c>
      <c r="I190" s="10">
        <v>11.0</v>
      </c>
      <c r="J190" s="10">
        <v>0.01</v>
      </c>
      <c r="K190" s="10">
        <v>0.55</v>
      </c>
    </row>
    <row r="191" ht="15.75" customHeight="1">
      <c r="A191" s="7" t="s">
        <v>1100</v>
      </c>
      <c r="B191" s="12" t="s">
        <v>1102</v>
      </c>
      <c r="C191" s="14" t="s">
        <v>111</v>
      </c>
      <c r="D191" s="15" t="s">
        <v>22</v>
      </c>
      <c r="E191" s="16" t="s">
        <v>176</v>
      </c>
      <c r="F191" s="10" t="s">
        <v>25</v>
      </c>
      <c r="G191" s="10" t="b">
        <v>0</v>
      </c>
      <c r="H191" s="10" t="s">
        <v>113</v>
      </c>
      <c r="I191" s="10">
        <v>11.0</v>
      </c>
      <c r="J191" s="10">
        <v>0.01</v>
      </c>
      <c r="K191" s="10">
        <v>1.09</v>
      </c>
    </row>
    <row r="192" ht="15.75" customHeight="1">
      <c r="A192" s="7" t="s">
        <v>1105</v>
      </c>
      <c r="B192" s="12" t="s">
        <v>1107</v>
      </c>
      <c r="C192" s="14" t="s">
        <v>138</v>
      </c>
      <c r="D192" s="15" t="s">
        <v>22</v>
      </c>
      <c r="E192" s="16" t="s">
        <v>176</v>
      </c>
      <c r="F192" s="10" t="s">
        <v>25</v>
      </c>
      <c r="G192" s="10" t="b">
        <v>0</v>
      </c>
      <c r="I192" s="10">
        <v>11.0</v>
      </c>
      <c r="J192" s="10">
        <v>0.01</v>
      </c>
      <c r="K192" s="10">
        <v>0.0</v>
      </c>
    </row>
    <row r="193" ht="15.75" customHeight="1">
      <c r="A193" s="7" t="s">
        <v>1108</v>
      </c>
      <c r="B193" s="12" t="s">
        <v>1110</v>
      </c>
      <c r="C193" s="14" t="s">
        <v>430</v>
      </c>
      <c r="D193" s="15" t="s">
        <v>34</v>
      </c>
      <c r="E193" s="16" t="s">
        <v>24</v>
      </c>
      <c r="F193" s="10" t="s">
        <v>35</v>
      </c>
      <c r="G193" s="10" t="b">
        <v>0</v>
      </c>
      <c r="H193" s="10" t="s">
        <v>1111</v>
      </c>
      <c r="I193" s="10">
        <v>11.0</v>
      </c>
      <c r="J193" s="10">
        <v>0.01</v>
      </c>
      <c r="K193" s="10">
        <v>0.0</v>
      </c>
    </row>
    <row r="194" ht="15.75" customHeight="1">
      <c r="A194" s="7" t="s">
        <v>1113</v>
      </c>
      <c r="B194" s="12" t="s">
        <v>1114</v>
      </c>
      <c r="C194" s="14" t="s">
        <v>415</v>
      </c>
      <c r="D194" s="15" t="s">
        <v>34</v>
      </c>
      <c r="E194" s="16" t="s">
        <v>176</v>
      </c>
      <c r="F194" s="10" t="s">
        <v>35</v>
      </c>
      <c r="G194" s="10" t="b">
        <v>0</v>
      </c>
      <c r="H194" s="10" t="s">
        <v>417</v>
      </c>
      <c r="I194" s="10">
        <v>11.0</v>
      </c>
      <c r="J194" s="10">
        <v>0.01</v>
      </c>
      <c r="K194" s="10">
        <v>0.0</v>
      </c>
    </row>
    <row r="195" ht="15.75" customHeight="1">
      <c r="A195" s="7" t="s">
        <v>1117</v>
      </c>
      <c r="B195" s="12" t="s">
        <v>1118</v>
      </c>
      <c r="C195" s="14" t="s">
        <v>433</v>
      </c>
      <c r="D195" s="15" t="s">
        <v>34</v>
      </c>
      <c r="E195" s="16" t="s">
        <v>43</v>
      </c>
      <c r="F195" s="10" t="s">
        <v>35</v>
      </c>
      <c r="G195" s="10" t="b">
        <v>0</v>
      </c>
      <c r="H195" s="10" t="s">
        <v>1120</v>
      </c>
      <c r="I195" s="10">
        <v>11.0</v>
      </c>
      <c r="J195" s="10">
        <v>0.01</v>
      </c>
      <c r="K195" s="10">
        <v>0.82</v>
      </c>
    </row>
    <row r="196" ht="15.75" customHeight="1">
      <c r="A196" s="7" t="s">
        <v>1121</v>
      </c>
      <c r="B196" s="12" t="s">
        <v>1123</v>
      </c>
      <c r="C196" s="14" t="s">
        <v>179</v>
      </c>
      <c r="D196" s="15" t="s">
        <v>196</v>
      </c>
      <c r="E196" s="16" t="s">
        <v>107</v>
      </c>
      <c r="F196" s="10" t="s">
        <v>198</v>
      </c>
      <c r="G196" s="10" t="b">
        <v>0</v>
      </c>
      <c r="H196" s="10" t="s">
        <v>180</v>
      </c>
      <c r="I196" s="10">
        <v>11.0</v>
      </c>
      <c r="J196" s="10">
        <v>0.01</v>
      </c>
      <c r="K196" s="10">
        <v>1.18</v>
      </c>
    </row>
    <row r="197" ht="15.75" customHeight="1">
      <c r="A197" s="7" t="s">
        <v>1125</v>
      </c>
      <c r="B197" s="12" t="s">
        <v>1126</v>
      </c>
      <c r="C197" s="12" t="s">
        <v>440</v>
      </c>
      <c r="D197" s="15" t="s">
        <v>34</v>
      </c>
      <c r="E197" s="16" t="s">
        <v>24</v>
      </c>
      <c r="F197" s="10" t="s">
        <v>35</v>
      </c>
      <c r="G197" s="10" t="b">
        <v>0</v>
      </c>
      <c r="H197" s="10" t="s">
        <v>441</v>
      </c>
      <c r="I197" s="10">
        <v>11.0</v>
      </c>
      <c r="J197" s="10">
        <v>0.01</v>
      </c>
      <c r="K197" s="10">
        <v>0.55</v>
      </c>
    </row>
    <row r="198" ht="15.75" customHeight="1">
      <c r="A198" s="7" t="s">
        <v>1128</v>
      </c>
      <c r="B198" s="12" t="s">
        <v>1129</v>
      </c>
      <c r="C198" s="14" t="s">
        <v>16</v>
      </c>
      <c r="D198" s="15" t="s">
        <v>22</v>
      </c>
      <c r="E198" s="16" t="s">
        <v>24</v>
      </c>
      <c r="F198" s="10" t="s">
        <v>25</v>
      </c>
      <c r="G198" s="10" t="b">
        <v>0</v>
      </c>
      <c r="H198" s="10" t="s">
        <v>1131</v>
      </c>
      <c r="I198" s="10">
        <v>11.0</v>
      </c>
      <c r="J198" s="10">
        <v>0.01</v>
      </c>
      <c r="K198" s="10">
        <v>0.0</v>
      </c>
    </row>
    <row r="199" ht="15.75" customHeight="1">
      <c r="A199" s="7" t="s">
        <v>1132</v>
      </c>
      <c r="B199" s="12" t="s">
        <v>1134</v>
      </c>
      <c r="C199" s="14" t="s">
        <v>66</v>
      </c>
      <c r="D199" s="15" t="s">
        <v>51</v>
      </c>
      <c r="E199" s="16" t="s">
        <v>24</v>
      </c>
      <c r="F199" s="10" t="s">
        <v>52</v>
      </c>
      <c r="G199" s="10" t="b">
        <v>0</v>
      </c>
      <c r="H199" s="10" t="s">
        <v>1135</v>
      </c>
      <c r="I199" s="10">
        <v>11.0</v>
      </c>
      <c r="J199" s="10">
        <v>0.01</v>
      </c>
      <c r="K199" s="10">
        <v>0.18</v>
      </c>
    </row>
    <row r="200" ht="15.75" customHeight="1">
      <c r="A200" s="7" t="s">
        <v>1136</v>
      </c>
      <c r="B200" s="12" t="s">
        <v>1137</v>
      </c>
      <c r="C200" s="14" t="s">
        <v>133</v>
      </c>
      <c r="D200" s="15" t="s">
        <v>34</v>
      </c>
      <c r="E200" s="16" t="s">
        <v>44</v>
      </c>
      <c r="F200" s="10" t="s">
        <v>35</v>
      </c>
      <c r="G200" s="10" t="b">
        <v>0</v>
      </c>
      <c r="H200" s="10" t="s">
        <v>105</v>
      </c>
      <c r="I200" s="10">
        <v>11.0</v>
      </c>
      <c r="J200" s="10">
        <v>0.01</v>
      </c>
      <c r="K200" s="10">
        <v>1.09</v>
      </c>
    </row>
    <row r="201" ht="15.75" customHeight="1">
      <c r="A201" s="7" t="s">
        <v>1139</v>
      </c>
      <c r="B201" s="12" t="s">
        <v>1140</v>
      </c>
      <c r="C201" s="14" t="s">
        <v>423</v>
      </c>
      <c r="D201" s="15" t="s">
        <v>34</v>
      </c>
      <c r="E201" s="16" t="s">
        <v>24</v>
      </c>
      <c r="F201" s="10" t="s">
        <v>35</v>
      </c>
      <c r="G201" s="10" t="b">
        <v>0</v>
      </c>
      <c r="I201" s="10">
        <v>10.0</v>
      </c>
      <c r="J201" s="10">
        <v>0.01</v>
      </c>
      <c r="K201" s="10">
        <v>0.1</v>
      </c>
    </row>
    <row r="202" ht="15.75" customHeight="1">
      <c r="A202" s="7" t="s">
        <v>1142</v>
      </c>
      <c r="B202" s="12" t="s">
        <v>1145</v>
      </c>
      <c r="C202" s="14" t="s">
        <v>23</v>
      </c>
      <c r="D202" s="15" t="s">
        <v>176</v>
      </c>
      <c r="E202" s="16" t="s">
        <v>24</v>
      </c>
      <c r="F202" s="10" t="s">
        <v>91</v>
      </c>
      <c r="G202" s="10" t="b">
        <v>0</v>
      </c>
      <c r="H202" s="10" t="s">
        <v>301</v>
      </c>
      <c r="I202" s="10">
        <v>10.0</v>
      </c>
      <c r="J202" s="10">
        <v>0.01</v>
      </c>
      <c r="K202" s="10">
        <v>0.2</v>
      </c>
    </row>
    <row r="203" ht="15.75" customHeight="1">
      <c r="A203" s="7" t="s">
        <v>1147</v>
      </c>
      <c r="B203" s="12" t="s">
        <v>1148</v>
      </c>
      <c r="C203" s="14" t="s">
        <v>23</v>
      </c>
      <c r="D203" s="15" t="s">
        <v>22</v>
      </c>
      <c r="E203" s="16" t="s">
        <v>24</v>
      </c>
      <c r="F203" s="10" t="s">
        <v>25</v>
      </c>
      <c r="G203" s="10" t="b">
        <v>0</v>
      </c>
      <c r="H203" s="10" t="s">
        <v>125</v>
      </c>
      <c r="I203" s="10">
        <v>10.0</v>
      </c>
      <c r="J203" s="10">
        <v>0.01</v>
      </c>
      <c r="K203" s="10">
        <v>0.5</v>
      </c>
    </row>
    <row r="204" ht="15.75" customHeight="1">
      <c r="A204" s="7" t="s">
        <v>1150</v>
      </c>
      <c r="B204" s="12" t="s">
        <v>1152</v>
      </c>
      <c r="C204" s="14" t="s">
        <v>20</v>
      </c>
      <c r="D204" s="15" t="s">
        <v>22</v>
      </c>
      <c r="E204" s="16" t="s">
        <v>24</v>
      </c>
      <c r="F204" s="10" t="s">
        <v>25</v>
      </c>
      <c r="G204" s="10" t="b">
        <v>0</v>
      </c>
      <c r="I204" s="10">
        <v>10.0</v>
      </c>
      <c r="J204" s="10">
        <v>0.01</v>
      </c>
      <c r="K204" s="10">
        <v>0.0</v>
      </c>
    </row>
    <row r="205" ht="15.75" customHeight="1">
      <c r="A205" s="7" t="s">
        <v>1154</v>
      </c>
      <c r="B205" s="12" t="s">
        <v>1155</v>
      </c>
      <c r="C205" s="14" t="s">
        <v>33</v>
      </c>
      <c r="D205" s="15" t="s">
        <v>34</v>
      </c>
      <c r="E205" s="16" t="s">
        <v>107</v>
      </c>
      <c r="F205" s="10" t="s">
        <v>35</v>
      </c>
      <c r="G205" s="10" t="b">
        <v>0</v>
      </c>
      <c r="H205" s="10" t="s">
        <v>1157</v>
      </c>
      <c r="I205" s="10">
        <v>10.0</v>
      </c>
      <c r="J205" s="10">
        <v>0.01</v>
      </c>
      <c r="K205" s="10">
        <v>0.4</v>
      </c>
    </row>
    <row r="206" ht="15.75" customHeight="1">
      <c r="A206" s="7" t="s">
        <v>1158</v>
      </c>
      <c r="B206" s="12" t="s">
        <v>1161</v>
      </c>
      <c r="C206" s="14" t="s">
        <v>33</v>
      </c>
      <c r="D206" s="15" t="s">
        <v>196</v>
      </c>
      <c r="E206" s="16" t="s">
        <v>107</v>
      </c>
      <c r="F206" s="10" t="s">
        <v>198</v>
      </c>
      <c r="G206" s="10" t="b">
        <v>0</v>
      </c>
      <c r="H206" s="10" t="s">
        <v>1163</v>
      </c>
      <c r="I206" s="10">
        <v>10.0</v>
      </c>
      <c r="J206" s="10">
        <v>0.01</v>
      </c>
      <c r="K206" s="10">
        <v>1.3</v>
      </c>
    </row>
    <row r="207" ht="15.75" customHeight="1">
      <c r="A207" s="7" t="s">
        <v>1164</v>
      </c>
      <c r="B207" s="12" t="s">
        <v>1166</v>
      </c>
      <c r="C207" s="14" t="s">
        <v>469</v>
      </c>
      <c r="D207" s="15" t="s">
        <v>34</v>
      </c>
      <c r="E207" s="16" t="s">
        <v>24</v>
      </c>
      <c r="F207" s="10" t="s">
        <v>35</v>
      </c>
      <c r="G207" s="10" t="b">
        <v>0</v>
      </c>
      <c r="H207" s="10" t="s">
        <v>1168</v>
      </c>
      <c r="I207" s="10">
        <v>10.0</v>
      </c>
      <c r="J207" s="10">
        <v>0.01</v>
      </c>
      <c r="K207" s="10">
        <v>0.2</v>
      </c>
    </row>
    <row r="208" ht="15.75" customHeight="1">
      <c r="A208" s="7" t="s">
        <v>1170</v>
      </c>
      <c r="B208" s="12" t="s">
        <v>1172</v>
      </c>
      <c r="C208" s="14" t="s">
        <v>473</v>
      </c>
      <c r="D208" s="15" t="s">
        <v>34</v>
      </c>
      <c r="E208" s="16" t="s">
        <v>24</v>
      </c>
      <c r="F208" s="10" t="s">
        <v>35</v>
      </c>
      <c r="G208" s="10" t="b">
        <v>0</v>
      </c>
      <c r="H208" s="10" t="s">
        <v>474</v>
      </c>
      <c r="I208" s="10">
        <v>10.0</v>
      </c>
      <c r="J208" s="10">
        <v>0.01</v>
      </c>
      <c r="K208" s="10">
        <v>0.0</v>
      </c>
    </row>
    <row r="209" ht="15.75" customHeight="1">
      <c r="A209" s="7" t="s">
        <v>1174</v>
      </c>
      <c r="B209" s="12" t="s">
        <v>1176</v>
      </c>
      <c r="C209" s="14" t="s">
        <v>138</v>
      </c>
      <c r="D209" s="15" t="s">
        <v>51</v>
      </c>
      <c r="E209" s="16" t="s">
        <v>176</v>
      </c>
      <c r="F209" s="10" t="s">
        <v>52</v>
      </c>
      <c r="G209" s="10" t="b">
        <v>0</v>
      </c>
      <c r="I209" s="10">
        <v>10.0</v>
      </c>
      <c r="J209" s="10">
        <v>0.01</v>
      </c>
      <c r="K209" s="10">
        <v>0.0</v>
      </c>
    </row>
    <row r="210" ht="15.75" customHeight="1">
      <c r="A210" s="7" t="s">
        <v>1178</v>
      </c>
      <c r="B210" s="12" t="s">
        <v>1180</v>
      </c>
      <c r="C210" s="14" t="s">
        <v>458</v>
      </c>
      <c r="D210" s="15" t="s">
        <v>22</v>
      </c>
      <c r="E210" s="16" t="s">
        <v>24</v>
      </c>
      <c r="F210" s="10" t="s">
        <v>25</v>
      </c>
      <c r="G210" s="10" t="b">
        <v>0</v>
      </c>
      <c r="I210" s="10">
        <v>10.0</v>
      </c>
      <c r="J210" s="10">
        <v>0.01</v>
      </c>
      <c r="K210" s="10">
        <v>1.4</v>
      </c>
    </row>
    <row r="211" ht="15.75" customHeight="1">
      <c r="A211" s="7" t="s">
        <v>1183</v>
      </c>
      <c r="B211" s="12" t="s">
        <v>1186</v>
      </c>
      <c r="C211" s="14" t="s">
        <v>295</v>
      </c>
      <c r="D211" s="15" t="s">
        <v>196</v>
      </c>
      <c r="E211" s="16" t="s">
        <v>107</v>
      </c>
      <c r="F211" s="10" t="s">
        <v>198</v>
      </c>
      <c r="G211" s="10" t="b">
        <v>0</v>
      </c>
      <c r="H211" s="10" t="s">
        <v>1187</v>
      </c>
      <c r="I211" s="10">
        <v>10.0</v>
      </c>
      <c r="J211" s="10">
        <v>0.01</v>
      </c>
      <c r="K211" s="10">
        <v>0.0</v>
      </c>
    </row>
    <row r="212" ht="15.75" customHeight="1">
      <c r="A212" s="7" t="s">
        <v>1189</v>
      </c>
      <c r="B212" s="12" t="s">
        <v>1192</v>
      </c>
      <c r="C212" s="14" t="s">
        <v>367</v>
      </c>
      <c r="D212" s="15" t="s">
        <v>196</v>
      </c>
      <c r="E212" s="16" t="s">
        <v>107</v>
      </c>
      <c r="F212" s="10" t="s">
        <v>198</v>
      </c>
      <c r="G212" s="10" t="b">
        <v>0</v>
      </c>
      <c r="H212" s="10" t="s">
        <v>1197</v>
      </c>
      <c r="I212" s="10">
        <v>10.0</v>
      </c>
      <c r="J212" s="10">
        <v>0.01</v>
      </c>
      <c r="K212" s="10">
        <v>0.9</v>
      </c>
    </row>
    <row r="213" ht="15.75" customHeight="1">
      <c r="A213" s="7" t="s">
        <v>1199</v>
      </c>
      <c r="B213" s="12" t="s">
        <v>97</v>
      </c>
      <c r="C213" s="14" t="s">
        <v>73</v>
      </c>
      <c r="D213" s="15" t="s">
        <v>34</v>
      </c>
      <c r="E213" s="16" t="s">
        <v>99</v>
      </c>
      <c r="F213" s="10" t="s">
        <v>35</v>
      </c>
      <c r="G213" s="10" t="b">
        <v>0</v>
      </c>
      <c r="H213" s="10" t="s">
        <v>1202</v>
      </c>
      <c r="I213" s="10">
        <v>10.0</v>
      </c>
      <c r="J213" s="10">
        <v>0.01</v>
      </c>
      <c r="K213" s="10">
        <v>0.0</v>
      </c>
    </row>
    <row r="214" ht="15.75" customHeight="1">
      <c r="A214" s="7" t="s">
        <v>1204</v>
      </c>
      <c r="B214" s="12" t="s">
        <v>97</v>
      </c>
      <c r="C214" s="14" t="s">
        <v>73</v>
      </c>
      <c r="D214" s="15" t="s">
        <v>176</v>
      </c>
      <c r="E214" s="16" t="s">
        <v>99</v>
      </c>
      <c r="F214" s="10" t="s">
        <v>91</v>
      </c>
      <c r="G214" s="10" t="b">
        <v>0</v>
      </c>
      <c r="H214" s="10" t="s">
        <v>1206</v>
      </c>
      <c r="I214" s="10">
        <v>10.0</v>
      </c>
      <c r="J214" s="10">
        <v>0.01</v>
      </c>
      <c r="K214" s="10">
        <v>0.0</v>
      </c>
    </row>
    <row r="215" ht="15.75" customHeight="1">
      <c r="A215" s="7" t="s">
        <v>1208</v>
      </c>
      <c r="B215" s="12" t="s">
        <v>97</v>
      </c>
      <c r="C215" s="14" t="s">
        <v>73</v>
      </c>
      <c r="D215" s="15" t="s">
        <v>176</v>
      </c>
      <c r="E215" s="16" t="s">
        <v>99</v>
      </c>
      <c r="F215" s="10" t="s">
        <v>91</v>
      </c>
      <c r="G215" s="10" t="b">
        <v>0</v>
      </c>
      <c r="H215" s="10" t="s">
        <v>1210</v>
      </c>
      <c r="I215" s="10">
        <v>10.0</v>
      </c>
      <c r="J215" s="10">
        <v>0.01</v>
      </c>
      <c r="K215" s="10">
        <v>0.8</v>
      </c>
    </row>
    <row r="216" ht="15.75" customHeight="1">
      <c r="A216" s="7" t="s">
        <v>1211</v>
      </c>
      <c r="B216" s="12" t="s">
        <v>1214</v>
      </c>
      <c r="C216" s="14" t="s">
        <v>29</v>
      </c>
      <c r="D216" s="15" t="s">
        <v>34</v>
      </c>
      <c r="E216" s="16" t="s">
        <v>24</v>
      </c>
      <c r="F216" s="10" t="s">
        <v>35</v>
      </c>
      <c r="G216" s="10" t="b">
        <v>0</v>
      </c>
      <c r="H216" s="10" t="s">
        <v>93</v>
      </c>
      <c r="I216" s="10">
        <v>10.0</v>
      </c>
      <c r="J216" s="10">
        <v>0.01</v>
      </c>
      <c r="K216" s="10">
        <v>0.0</v>
      </c>
    </row>
    <row r="217" ht="15.75" customHeight="1">
      <c r="A217" s="7" t="s">
        <v>1215</v>
      </c>
      <c r="B217" s="12" t="s">
        <v>1218</v>
      </c>
      <c r="C217" s="14" t="s">
        <v>29</v>
      </c>
      <c r="D217" s="15" t="s">
        <v>34</v>
      </c>
      <c r="E217" s="16" t="s">
        <v>24</v>
      </c>
      <c r="F217" s="10" t="s">
        <v>35</v>
      </c>
      <c r="G217" s="10" t="b">
        <v>0</v>
      </c>
      <c r="H217" s="10" t="s">
        <v>93</v>
      </c>
      <c r="I217" s="10">
        <v>10.0</v>
      </c>
      <c r="J217" s="10">
        <v>0.01</v>
      </c>
      <c r="K217" s="10">
        <v>0.1</v>
      </c>
    </row>
    <row r="218" ht="15.75" customHeight="1">
      <c r="A218" s="7" t="s">
        <v>1219</v>
      </c>
      <c r="B218" s="12" t="s">
        <v>1221</v>
      </c>
      <c r="C218" s="14" t="s">
        <v>29</v>
      </c>
      <c r="D218" s="15" t="s">
        <v>34</v>
      </c>
      <c r="E218" s="16" t="s">
        <v>24</v>
      </c>
      <c r="F218" s="10" t="s">
        <v>35</v>
      </c>
      <c r="G218" s="10" t="b">
        <v>0</v>
      </c>
      <c r="H218" s="10" t="s">
        <v>1032</v>
      </c>
      <c r="I218" s="10">
        <v>10.0</v>
      </c>
      <c r="J218" s="10">
        <v>0.01</v>
      </c>
      <c r="K218" s="10">
        <v>0.0</v>
      </c>
    </row>
    <row r="219" ht="15.75" customHeight="1">
      <c r="A219" s="7" t="s">
        <v>1223</v>
      </c>
      <c r="B219" s="12" t="s">
        <v>1225</v>
      </c>
      <c r="C219" s="14" t="s">
        <v>79</v>
      </c>
      <c r="D219" s="15" t="s">
        <v>34</v>
      </c>
      <c r="E219" s="16" t="s">
        <v>24</v>
      </c>
      <c r="F219" s="10" t="s">
        <v>35</v>
      </c>
      <c r="G219" s="10" t="b">
        <v>0</v>
      </c>
      <c r="H219" s="10" t="s">
        <v>1226</v>
      </c>
      <c r="I219" s="10">
        <v>10.0</v>
      </c>
      <c r="J219" s="10">
        <v>0.01</v>
      </c>
      <c r="K219" s="10">
        <v>0.9</v>
      </c>
    </row>
    <row r="220" ht="15.75" customHeight="1">
      <c r="A220" s="7" t="s">
        <v>1227</v>
      </c>
      <c r="B220" s="12" t="s">
        <v>1232</v>
      </c>
      <c r="C220" s="14" t="s">
        <v>358</v>
      </c>
      <c r="D220" s="15" t="s">
        <v>22</v>
      </c>
      <c r="E220" s="16" t="s">
        <v>24</v>
      </c>
      <c r="F220" s="10" t="s">
        <v>25</v>
      </c>
      <c r="G220" s="10" t="b">
        <v>0</v>
      </c>
      <c r="H220" s="10" t="s">
        <v>1234</v>
      </c>
      <c r="I220" s="10">
        <v>10.0</v>
      </c>
      <c r="J220" s="10">
        <v>0.01</v>
      </c>
      <c r="K220" s="10">
        <v>0.0</v>
      </c>
    </row>
    <row r="221" ht="15.75" customHeight="1">
      <c r="A221" s="7" t="s">
        <v>1235</v>
      </c>
      <c r="B221" s="12" t="s">
        <v>1238</v>
      </c>
      <c r="C221" s="14" t="s">
        <v>479</v>
      </c>
      <c r="D221" s="15" t="s">
        <v>196</v>
      </c>
      <c r="E221" s="16" t="s">
        <v>24</v>
      </c>
      <c r="F221" s="10" t="s">
        <v>198</v>
      </c>
      <c r="G221" s="10" t="b">
        <v>0</v>
      </c>
      <c r="I221" s="10">
        <v>10.0</v>
      </c>
      <c r="J221" s="10">
        <v>0.01</v>
      </c>
      <c r="K221" s="10">
        <v>0.7</v>
      </c>
    </row>
    <row r="222" ht="15.75" customHeight="1">
      <c r="A222" s="7" t="s">
        <v>1239</v>
      </c>
      <c r="B222" s="12" t="s">
        <v>1242</v>
      </c>
      <c r="C222" s="14" t="s">
        <v>332</v>
      </c>
      <c r="D222" s="15" t="s">
        <v>51</v>
      </c>
      <c r="E222" s="16" t="s">
        <v>1000</v>
      </c>
      <c r="F222" s="10" t="s">
        <v>52</v>
      </c>
      <c r="G222" s="10" t="b">
        <v>0</v>
      </c>
      <c r="H222" s="10" t="s">
        <v>1243</v>
      </c>
      <c r="I222" s="10">
        <v>10.0</v>
      </c>
      <c r="J222" s="10">
        <v>0.01</v>
      </c>
      <c r="K222" s="10">
        <v>0.0</v>
      </c>
    </row>
    <row r="223" ht="15.75" customHeight="1">
      <c r="A223" s="7" t="s">
        <v>1244</v>
      </c>
      <c r="B223" s="12" t="s">
        <v>1245</v>
      </c>
      <c r="C223" s="14" t="s">
        <v>443</v>
      </c>
      <c r="D223" s="15" t="s">
        <v>196</v>
      </c>
      <c r="E223" s="16" t="s">
        <v>24</v>
      </c>
      <c r="F223" s="10" t="s">
        <v>198</v>
      </c>
      <c r="G223" s="10" t="b">
        <v>0</v>
      </c>
      <c r="I223" s="10">
        <v>10.0</v>
      </c>
      <c r="J223" s="10">
        <v>0.01</v>
      </c>
      <c r="K223" s="10">
        <v>1.1</v>
      </c>
    </row>
    <row r="224" ht="15.75" customHeight="1">
      <c r="A224" s="7" t="s">
        <v>1246</v>
      </c>
      <c r="B224" s="12" t="s">
        <v>1248</v>
      </c>
      <c r="C224" s="14" t="s">
        <v>481</v>
      </c>
      <c r="D224" s="15" t="s">
        <v>34</v>
      </c>
      <c r="E224" s="16" t="s">
        <v>24</v>
      </c>
      <c r="F224" s="10" t="s">
        <v>35</v>
      </c>
      <c r="G224" s="10" t="b">
        <v>0</v>
      </c>
      <c r="H224" s="10" t="s">
        <v>484</v>
      </c>
      <c r="I224" s="10">
        <v>10.0</v>
      </c>
      <c r="J224" s="10">
        <v>0.01</v>
      </c>
      <c r="K224" s="10">
        <v>0.1</v>
      </c>
    </row>
    <row r="225" ht="15.75" customHeight="1">
      <c r="A225" s="7" t="s">
        <v>1250</v>
      </c>
      <c r="B225" s="12" t="s">
        <v>1251</v>
      </c>
      <c r="C225" s="14" t="s">
        <v>485</v>
      </c>
      <c r="D225" s="15" t="s">
        <v>34</v>
      </c>
      <c r="E225" s="16" t="s">
        <v>24</v>
      </c>
      <c r="F225" s="10" t="s">
        <v>35</v>
      </c>
      <c r="G225" s="10" t="b">
        <v>0</v>
      </c>
      <c r="H225" s="10" t="s">
        <v>1254</v>
      </c>
      <c r="I225" s="10">
        <v>10.0</v>
      </c>
      <c r="J225" s="10">
        <v>0.01</v>
      </c>
      <c r="K225" s="10">
        <v>0.0</v>
      </c>
    </row>
    <row r="226" ht="15.75" customHeight="1">
      <c r="A226" s="7" t="s">
        <v>1255</v>
      </c>
      <c r="B226" s="12" t="s">
        <v>1257</v>
      </c>
      <c r="C226" s="14" t="s">
        <v>16</v>
      </c>
      <c r="D226" s="15" t="s">
        <v>22</v>
      </c>
      <c r="E226" s="16" t="s">
        <v>24</v>
      </c>
      <c r="F226" s="10" t="s">
        <v>25</v>
      </c>
      <c r="G226" s="10" t="b">
        <v>0</v>
      </c>
      <c r="H226" s="10" t="s">
        <v>686</v>
      </c>
      <c r="I226" s="10">
        <v>10.0</v>
      </c>
      <c r="J226" s="10">
        <v>0.01</v>
      </c>
      <c r="K226" s="10">
        <v>0.0</v>
      </c>
    </row>
    <row r="227" ht="15.75" customHeight="1">
      <c r="A227" s="7" t="s">
        <v>1259</v>
      </c>
      <c r="B227" s="12" t="s">
        <v>1261</v>
      </c>
      <c r="C227" s="14" t="s">
        <v>16</v>
      </c>
      <c r="D227" s="15" t="s">
        <v>22</v>
      </c>
      <c r="E227" s="16" t="s">
        <v>24</v>
      </c>
      <c r="F227" s="10" t="s">
        <v>25</v>
      </c>
      <c r="G227" s="10" t="b">
        <v>0</v>
      </c>
      <c r="H227" s="10" t="s">
        <v>1262</v>
      </c>
      <c r="I227" s="10">
        <v>10.0</v>
      </c>
      <c r="J227" s="10">
        <v>0.01</v>
      </c>
      <c r="K227" s="10">
        <v>0.0</v>
      </c>
    </row>
    <row r="228" ht="15.75" customHeight="1">
      <c r="A228" s="7" t="s">
        <v>1263</v>
      </c>
      <c r="B228" s="12" t="s">
        <v>1265</v>
      </c>
      <c r="C228" s="14" t="s">
        <v>98</v>
      </c>
      <c r="D228" s="15" t="s">
        <v>22</v>
      </c>
      <c r="E228" s="16" t="s">
        <v>176</v>
      </c>
      <c r="F228" s="10" t="s">
        <v>25</v>
      </c>
      <c r="G228" s="10" t="b">
        <v>0</v>
      </c>
      <c r="H228" s="10" t="s">
        <v>1266</v>
      </c>
      <c r="I228" s="10">
        <v>10.0</v>
      </c>
      <c r="J228" s="10">
        <v>0.01</v>
      </c>
      <c r="K228" s="10">
        <v>0.1</v>
      </c>
    </row>
    <row r="229" ht="15.75" customHeight="1">
      <c r="A229" s="7" t="s">
        <v>1268</v>
      </c>
      <c r="B229" s="12" t="s">
        <v>1270</v>
      </c>
      <c r="C229" s="14" t="s">
        <v>492</v>
      </c>
      <c r="D229" s="15" t="s">
        <v>240</v>
      </c>
      <c r="E229" s="16" t="s">
        <v>24</v>
      </c>
      <c r="F229" s="10" t="s">
        <v>241</v>
      </c>
      <c r="G229" s="10" t="b">
        <v>0</v>
      </c>
      <c r="H229" s="10" t="s">
        <v>1273</v>
      </c>
      <c r="I229" s="10">
        <v>10.0</v>
      </c>
      <c r="J229" s="10">
        <v>0.01</v>
      </c>
      <c r="K229" s="10">
        <v>0.0</v>
      </c>
    </row>
    <row r="230" ht="15.75" customHeight="1">
      <c r="A230" s="7" t="s">
        <v>1274</v>
      </c>
      <c r="B230" s="12" t="s">
        <v>1275</v>
      </c>
      <c r="C230" s="14" t="s">
        <v>207</v>
      </c>
      <c r="D230" s="15" t="s">
        <v>176</v>
      </c>
      <c r="E230" s="16" t="s">
        <v>24</v>
      </c>
      <c r="F230" s="10" t="s">
        <v>91</v>
      </c>
      <c r="G230" s="10" t="b">
        <v>0</v>
      </c>
      <c r="I230" s="10">
        <v>9.0</v>
      </c>
      <c r="J230" s="10">
        <v>0.01</v>
      </c>
      <c r="K230" s="10">
        <v>0.44</v>
      </c>
    </row>
    <row r="231" ht="15.75" customHeight="1">
      <c r="A231" s="7" t="s">
        <v>1277</v>
      </c>
      <c r="B231" s="12" t="s">
        <v>1279</v>
      </c>
      <c r="C231" s="14" t="s">
        <v>23</v>
      </c>
      <c r="D231" s="15" t="s">
        <v>22</v>
      </c>
      <c r="E231" s="16" t="s">
        <v>24</v>
      </c>
      <c r="F231" s="10" t="s">
        <v>25</v>
      </c>
      <c r="G231" s="10" t="b">
        <v>0</v>
      </c>
      <c r="H231" s="10" t="s">
        <v>1280</v>
      </c>
      <c r="I231" s="10">
        <v>9.0</v>
      </c>
      <c r="J231" s="10">
        <v>0.01</v>
      </c>
      <c r="K231" s="10">
        <v>0.33</v>
      </c>
    </row>
    <row r="232" ht="15.75" customHeight="1">
      <c r="A232" s="7" t="s">
        <v>1281</v>
      </c>
      <c r="B232" s="12" t="s">
        <v>1283</v>
      </c>
      <c r="C232" s="14" t="s">
        <v>508</v>
      </c>
      <c r="D232" s="15" t="s">
        <v>577</v>
      </c>
      <c r="E232" s="16" t="s">
        <v>176</v>
      </c>
      <c r="F232" s="10" t="s">
        <v>578</v>
      </c>
      <c r="G232" s="10" t="b">
        <v>0</v>
      </c>
      <c r="I232" s="10">
        <v>9.0</v>
      </c>
      <c r="J232" s="10">
        <v>0.01</v>
      </c>
      <c r="K232" s="10">
        <v>0.56</v>
      </c>
    </row>
    <row r="233" ht="15.75" customHeight="1">
      <c r="A233" s="7" t="s">
        <v>1285</v>
      </c>
      <c r="B233" s="12" t="s">
        <v>1286</v>
      </c>
      <c r="C233" s="14" t="s">
        <v>32</v>
      </c>
      <c r="D233" s="15" t="s">
        <v>34</v>
      </c>
      <c r="E233" s="16" t="s">
        <v>24</v>
      </c>
      <c r="F233" s="10" t="s">
        <v>35</v>
      </c>
      <c r="G233" s="10" t="b">
        <v>0</v>
      </c>
      <c r="H233" s="10" t="s">
        <v>36</v>
      </c>
      <c r="I233" s="10">
        <v>9.0</v>
      </c>
      <c r="J233" s="10">
        <v>0.01</v>
      </c>
      <c r="K233" s="10">
        <v>0.22</v>
      </c>
    </row>
    <row r="234" ht="15.75" customHeight="1">
      <c r="A234" s="7" t="s">
        <v>1288</v>
      </c>
      <c r="B234" s="12" t="s">
        <v>1289</v>
      </c>
      <c r="C234" s="14" t="s">
        <v>511</v>
      </c>
      <c r="D234" s="15" t="s">
        <v>22</v>
      </c>
      <c r="E234" s="16" t="s">
        <v>176</v>
      </c>
      <c r="F234" s="10" t="s">
        <v>25</v>
      </c>
      <c r="G234" s="10" t="b">
        <v>0</v>
      </c>
      <c r="I234" s="10">
        <v>9.0</v>
      </c>
      <c r="J234" s="10">
        <v>0.01</v>
      </c>
      <c r="K234" s="10">
        <v>0.11</v>
      </c>
    </row>
    <row r="235" ht="15.75" customHeight="1">
      <c r="A235" s="7" t="s">
        <v>1291</v>
      </c>
      <c r="B235" s="12" t="s">
        <v>1293</v>
      </c>
      <c r="C235" s="12" t="s">
        <v>512</v>
      </c>
      <c r="D235" s="15" t="s">
        <v>196</v>
      </c>
      <c r="E235" s="16" t="s">
        <v>24</v>
      </c>
      <c r="F235" s="10" t="s">
        <v>198</v>
      </c>
      <c r="G235" s="10" t="b">
        <v>0</v>
      </c>
      <c r="H235" s="10" t="s">
        <v>1295</v>
      </c>
      <c r="I235" s="10">
        <v>9.0</v>
      </c>
      <c r="J235" s="10">
        <v>0.01</v>
      </c>
      <c r="K235" s="10">
        <v>1.22</v>
      </c>
    </row>
    <row r="236" ht="15.75" customHeight="1">
      <c r="A236" s="7" t="s">
        <v>1296</v>
      </c>
      <c r="B236" s="12" t="s">
        <v>1297</v>
      </c>
      <c r="C236" s="14" t="s">
        <v>515</v>
      </c>
      <c r="D236" s="15" t="s">
        <v>34</v>
      </c>
      <c r="E236" s="16" t="s">
        <v>24</v>
      </c>
      <c r="F236" s="10" t="s">
        <v>35</v>
      </c>
      <c r="G236" s="10" t="b">
        <v>0</v>
      </c>
      <c r="H236" s="10" t="s">
        <v>384</v>
      </c>
      <c r="I236" s="10">
        <v>9.0</v>
      </c>
      <c r="J236" s="10">
        <v>0.01</v>
      </c>
      <c r="K236" s="10">
        <v>0.11</v>
      </c>
    </row>
    <row r="237" ht="15.75" customHeight="1">
      <c r="A237" s="7" t="s">
        <v>1300</v>
      </c>
      <c r="B237" s="12" t="s">
        <v>1303</v>
      </c>
      <c r="C237" s="12" t="s">
        <v>286</v>
      </c>
      <c r="D237" s="15" t="s">
        <v>22</v>
      </c>
      <c r="E237" s="16" t="s">
        <v>24</v>
      </c>
      <c r="F237" s="10" t="s">
        <v>25</v>
      </c>
      <c r="G237" s="10" t="b">
        <v>1</v>
      </c>
      <c r="H237" s="10" t="s">
        <v>1304</v>
      </c>
      <c r="I237" s="10">
        <v>9.0</v>
      </c>
      <c r="J237" s="10">
        <v>0.01</v>
      </c>
      <c r="K237" s="10">
        <v>0.22</v>
      </c>
    </row>
    <row r="238" ht="15.75" customHeight="1">
      <c r="A238" s="7" t="s">
        <v>1305</v>
      </c>
      <c r="B238" s="12" t="s">
        <v>1307</v>
      </c>
      <c r="C238" s="14" t="s">
        <v>516</v>
      </c>
      <c r="D238" s="15" t="s">
        <v>34</v>
      </c>
      <c r="E238" s="16" t="s">
        <v>24</v>
      </c>
      <c r="F238" s="10" t="s">
        <v>35</v>
      </c>
      <c r="G238" s="10" t="b">
        <v>0</v>
      </c>
      <c r="H238" s="10" t="s">
        <v>1309</v>
      </c>
      <c r="I238" s="10">
        <v>9.0</v>
      </c>
      <c r="J238" s="10">
        <v>0.01</v>
      </c>
      <c r="K238" s="10">
        <v>0.0</v>
      </c>
    </row>
    <row r="239" ht="15.75" customHeight="1">
      <c r="A239" s="7" t="s">
        <v>1310</v>
      </c>
      <c r="B239" s="12" t="s">
        <v>1312</v>
      </c>
      <c r="C239" s="14" t="s">
        <v>246</v>
      </c>
      <c r="D239" s="15" t="s">
        <v>22</v>
      </c>
      <c r="E239" s="16" t="s">
        <v>43</v>
      </c>
      <c r="F239" s="10" t="s">
        <v>25</v>
      </c>
      <c r="G239" s="10" t="b">
        <v>0</v>
      </c>
      <c r="I239" s="10">
        <v>9.0</v>
      </c>
      <c r="J239" s="10">
        <v>0.01</v>
      </c>
      <c r="K239" s="10">
        <v>0.0</v>
      </c>
    </row>
    <row r="240" ht="15.75" customHeight="1">
      <c r="A240" s="7" t="s">
        <v>1313</v>
      </c>
      <c r="B240" s="12" t="s">
        <v>1315</v>
      </c>
      <c r="C240" s="14" t="s">
        <v>445</v>
      </c>
      <c r="D240" s="15" t="s">
        <v>196</v>
      </c>
      <c r="E240" s="16" t="s">
        <v>107</v>
      </c>
      <c r="F240" s="10" t="s">
        <v>198</v>
      </c>
      <c r="G240" s="10" t="b">
        <v>0</v>
      </c>
      <c r="H240" s="10" t="s">
        <v>448</v>
      </c>
      <c r="I240" s="10">
        <v>9.0</v>
      </c>
      <c r="J240" s="10">
        <v>0.01</v>
      </c>
      <c r="K240" s="10">
        <v>0.89</v>
      </c>
    </row>
    <row r="241" ht="15.75" customHeight="1">
      <c r="A241" s="7" t="s">
        <v>1317</v>
      </c>
      <c r="B241" s="12" t="s">
        <v>1319</v>
      </c>
      <c r="C241" s="14" t="s">
        <v>69</v>
      </c>
      <c r="D241" s="15" t="s">
        <v>22</v>
      </c>
      <c r="E241" s="16" t="s">
        <v>44</v>
      </c>
      <c r="F241" s="10" t="s">
        <v>25</v>
      </c>
      <c r="G241" s="10" t="b">
        <v>0</v>
      </c>
      <c r="H241" s="10" t="s">
        <v>1321</v>
      </c>
      <c r="I241" s="10">
        <v>9.0</v>
      </c>
      <c r="J241" s="10">
        <v>0.01</v>
      </c>
      <c r="K241" s="10">
        <v>0.0</v>
      </c>
    </row>
    <row r="242" ht="15.75" customHeight="1">
      <c r="A242" s="7" t="s">
        <v>1322</v>
      </c>
      <c r="B242" s="12" t="s">
        <v>1325</v>
      </c>
      <c r="C242" s="14" t="s">
        <v>352</v>
      </c>
      <c r="D242" s="15" t="s">
        <v>196</v>
      </c>
      <c r="E242" s="16" t="s">
        <v>24</v>
      </c>
      <c r="F242" s="10" t="s">
        <v>198</v>
      </c>
      <c r="G242" s="10" t="b">
        <v>0</v>
      </c>
      <c r="H242" s="10" t="s">
        <v>1326</v>
      </c>
      <c r="I242" s="10">
        <v>9.0</v>
      </c>
      <c r="J242" s="10">
        <v>0.01</v>
      </c>
      <c r="K242" s="10">
        <v>1.33</v>
      </c>
    </row>
    <row r="243" ht="15.75" customHeight="1">
      <c r="A243" s="7" t="s">
        <v>1328</v>
      </c>
      <c r="B243" s="12" t="s">
        <v>97</v>
      </c>
      <c r="C243" s="14" t="s">
        <v>73</v>
      </c>
      <c r="D243" s="15" t="s">
        <v>34</v>
      </c>
      <c r="E243" s="16" t="s">
        <v>99</v>
      </c>
      <c r="F243" s="10" t="s">
        <v>35</v>
      </c>
      <c r="G243" s="10" t="b">
        <v>0</v>
      </c>
      <c r="H243" s="10" t="s">
        <v>1202</v>
      </c>
      <c r="I243" s="10">
        <v>9.0</v>
      </c>
      <c r="J243" s="10">
        <v>0.01</v>
      </c>
      <c r="K243" s="10">
        <v>0.0</v>
      </c>
    </row>
    <row r="244" ht="15.75" customHeight="1">
      <c r="A244" s="7" t="s">
        <v>1330</v>
      </c>
      <c r="B244" s="12" t="s">
        <v>97</v>
      </c>
      <c r="C244" s="14" t="s">
        <v>73</v>
      </c>
      <c r="D244" s="15" t="s">
        <v>176</v>
      </c>
      <c r="E244" s="16" t="s">
        <v>99</v>
      </c>
      <c r="F244" s="10" t="s">
        <v>91</v>
      </c>
      <c r="G244" s="10" t="b">
        <v>0</v>
      </c>
      <c r="H244" s="10" t="s">
        <v>1332</v>
      </c>
      <c r="I244" s="10">
        <v>9.0</v>
      </c>
      <c r="J244" s="10">
        <v>0.01</v>
      </c>
      <c r="K244" s="10">
        <v>0.22</v>
      </c>
    </row>
    <row r="245" ht="15.75" customHeight="1">
      <c r="A245" s="7" t="s">
        <v>1334</v>
      </c>
      <c r="B245" s="12" t="s">
        <v>1335</v>
      </c>
      <c r="C245" s="14" t="s">
        <v>29</v>
      </c>
      <c r="D245" s="15" t="s">
        <v>34</v>
      </c>
      <c r="E245" s="16" t="s">
        <v>24</v>
      </c>
      <c r="F245" s="10" t="s">
        <v>35</v>
      </c>
      <c r="G245" s="10" t="b">
        <v>0</v>
      </c>
      <c r="H245" s="10" t="s">
        <v>93</v>
      </c>
      <c r="I245" s="10">
        <v>9.0</v>
      </c>
      <c r="J245" s="10">
        <v>0.01</v>
      </c>
      <c r="K245" s="10">
        <v>0.0</v>
      </c>
    </row>
    <row r="246" ht="15.75" customHeight="1">
      <c r="A246" s="7" t="s">
        <v>1337</v>
      </c>
      <c r="B246" s="12" t="s">
        <v>1340</v>
      </c>
      <c r="C246" s="14" t="s">
        <v>29</v>
      </c>
      <c r="D246" s="15" t="s">
        <v>34</v>
      </c>
      <c r="E246" s="16" t="s">
        <v>24</v>
      </c>
      <c r="F246" s="10" t="s">
        <v>35</v>
      </c>
      <c r="G246" s="10" t="b">
        <v>0</v>
      </c>
      <c r="H246" s="10" t="s">
        <v>1032</v>
      </c>
      <c r="I246" s="10">
        <v>9.0</v>
      </c>
      <c r="J246" s="10">
        <v>0.01</v>
      </c>
      <c r="K246" s="10">
        <v>0.44</v>
      </c>
    </row>
    <row r="247" ht="15.75" customHeight="1">
      <c r="A247" s="7" t="s">
        <v>1342</v>
      </c>
      <c r="B247" s="12" t="s">
        <v>1344</v>
      </c>
      <c r="C247" s="14" t="s">
        <v>521</v>
      </c>
      <c r="D247" s="15" t="s">
        <v>34</v>
      </c>
      <c r="E247" s="16" t="s">
        <v>24</v>
      </c>
      <c r="F247" s="10" t="s">
        <v>35</v>
      </c>
      <c r="G247" s="10" t="b">
        <v>0</v>
      </c>
      <c r="H247" s="10" t="s">
        <v>524</v>
      </c>
      <c r="I247" s="10">
        <v>9.0</v>
      </c>
      <c r="J247" s="10">
        <v>0.01</v>
      </c>
      <c r="K247" s="10">
        <v>0.0</v>
      </c>
    </row>
    <row r="248" ht="15.75" customHeight="1">
      <c r="A248" s="7" t="s">
        <v>1347</v>
      </c>
      <c r="B248" s="12" t="s">
        <v>1350</v>
      </c>
      <c r="C248" s="14" t="s">
        <v>476</v>
      </c>
      <c r="D248" s="15" t="s">
        <v>34</v>
      </c>
      <c r="E248" s="16" t="s">
        <v>24</v>
      </c>
      <c r="F248" s="10" t="s">
        <v>35</v>
      </c>
      <c r="G248" s="10" t="b">
        <v>0</v>
      </c>
      <c r="I248" s="10">
        <v>9.0</v>
      </c>
      <c r="J248" s="10">
        <v>0.01</v>
      </c>
      <c r="K248" s="10">
        <v>1.11</v>
      </c>
    </row>
    <row r="249" ht="15.75" customHeight="1">
      <c r="A249" s="7" t="s">
        <v>1352</v>
      </c>
      <c r="B249" s="12" t="s">
        <v>1354</v>
      </c>
      <c r="C249" s="14" t="s">
        <v>525</v>
      </c>
      <c r="D249" s="15" t="s">
        <v>240</v>
      </c>
      <c r="E249" s="16" t="s">
        <v>24</v>
      </c>
      <c r="F249" s="10" t="s">
        <v>241</v>
      </c>
      <c r="G249" s="10" t="b">
        <v>0</v>
      </c>
      <c r="I249" s="10">
        <v>9.0</v>
      </c>
      <c r="J249" s="10">
        <v>0.01</v>
      </c>
      <c r="K249" s="10">
        <v>0.78</v>
      </c>
    </row>
    <row r="250" ht="15.75" customHeight="1">
      <c r="A250" s="7" t="s">
        <v>1357</v>
      </c>
      <c r="B250" s="12" t="s">
        <v>1360</v>
      </c>
      <c r="C250" s="14" t="s">
        <v>450</v>
      </c>
      <c r="D250" s="15" t="s">
        <v>196</v>
      </c>
      <c r="E250" s="16" t="s">
        <v>24</v>
      </c>
      <c r="F250" s="10" t="s">
        <v>198</v>
      </c>
      <c r="G250" s="10" t="b">
        <v>0</v>
      </c>
      <c r="I250" s="10">
        <v>9.0</v>
      </c>
      <c r="J250" s="10">
        <v>0.01</v>
      </c>
      <c r="K250" s="10">
        <v>0.44</v>
      </c>
    </row>
    <row r="251" ht="15.75" customHeight="1">
      <c r="A251" s="7" t="s">
        <v>1362</v>
      </c>
      <c r="B251" s="12" t="s">
        <v>1364</v>
      </c>
      <c r="C251" s="14" t="s">
        <v>89</v>
      </c>
      <c r="D251" s="15" t="s">
        <v>22</v>
      </c>
      <c r="E251" s="16" t="s">
        <v>176</v>
      </c>
      <c r="F251" s="10" t="s">
        <v>25</v>
      </c>
      <c r="G251" s="10" t="b">
        <v>0</v>
      </c>
      <c r="H251" s="10" t="s">
        <v>657</v>
      </c>
      <c r="I251" s="10">
        <v>9.0</v>
      </c>
      <c r="J251" s="10">
        <v>0.01</v>
      </c>
      <c r="K251" s="10">
        <v>0.44</v>
      </c>
    </row>
    <row r="252" ht="15.75" customHeight="1">
      <c r="A252" s="7" t="s">
        <v>1365</v>
      </c>
      <c r="B252" s="12" t="s">
        <v>1051</v>
      </c>
      <c r="C252" s="14" t="s">
        <v>182</v>
      </c>
      <c r="D252" s="15" t="s">
        <v>176</v>
      </c>
      <c r="E252" s="16" t="s">
        <v>176</v>
      </c>
      <c r="F252" s="10" t="s">
        <v>91</v>
      </c>
      <c r="G252" s="10" t="b">
        <v>0</v>
      </c>
      <c r="H252" s="10" t="s">
        <v>1210</v>
      </c>
      <c r="I252" s="10">
        <v>9.0</v>
      </c>
      <c r="J252" s="10">
        <v>0.01</v>
      </c>
      <c r="K252" s="10">
        <v>0.0</v>
      </c>
    </row>
    <row r="253" ht="15.75" customHeight="1">
      <c r="A253" s="7" t="s">
        <v>1368</v>
      </c>
      <c r="B253" s="12" t="s">
        <v>1369</v>
      </c>
      <c r="C253" s="14" t="s">
        <v>528</v>
      </c>
      <c r="D253" s="15" t="s">
        <v>404</v>
      </c>
      <c r="E253" s="16" t="s">
        <v>24</v>
      </c>
      <c r="F253" s="10" t="s">
        <v>405</v>
      </c>
      <c r="G253" s="10" t="b">
        <v>0</v>
      </c>
      <c r="H253" s="10" t="s">
        <v>1372</v>
      </c>
      <c r="I253" s="10">
        <v>9.0</v>
      </c>
      <c r="J253" s="10">
        <v>0.01</v>
      </c>
      <c r="K253" s="10">
        <v>0.89</v>
      </c>
    </row>
    <row r="254" ht="15.75" customHeight="1">
      <c r="A254" s="7" t="s">
        <v>1373</v>
      </c>
      <c r="B254" s="12" t="s">
        <v>1376</v>
      </c>
      <c r="C254" s="14" t="s">
        <v>167</v>
      </c>
      <c r="D254" s="15" t="s">
        <v>34</v>
      </c>
      <c r="E254" s="16" t="s">
        <v>107</v>
      </c>
      <c r="F254" s="10" t="s">
        <v>35</v>
      </c>
      <c r="G254" s="10" t="b">
        <v>0</v>
      </c>
      <c r="H254" s="10" t="s">
        <v>1377</v>
      </c>
      <c r="I254" s="10">
        <v>9.0</v>
      </c>
      <c r="J254" s="10">
        <v>0.01</v>
      </c>
      <c r="K254" s="10">
        <v>1.67</v>
      </c>
    </row>
    <row r="255" ht="15.75" customHeight="1">
      <c r="A255" s="7" t="s">
        <v>1378</v>
      </c>
      <c r="B255" s="12" t="s">
        <v>1380</v>
      </c>
      <c r="C255" s="14" t="s">
        <v>23</v>
      </c>
      <c r="D255" s="15" t="s">
        <v>51</v>
      </c>
      <c r="E255" s="16" t="s">
        <v>24</v>
      </c>
      <c r="F255" s="10" t="s">
        <v>52</v>
      </c>
      <c r="G255" s="10" t="b">
        <v>0</v>
      </c>
      <c r="H255" s="10" t="s">
        <v>1381</v>
      </c>
      <c r="I255" s="10">
        <v>9.0</v>
      </c>
      <c r="J255" s="10">
        <v>0.01</v>
      </c>
      <c r="K255" s="10">
        <v>0.0</v>
      </c>
    </row>
    <row r="256" ht="15.75" customHeight="1">
      <c r="A256" s="7" t="s">
        <v>1383</v>
      </c>
      <c r="B256" s="12" t="s">
        <v>864</v>
      </c>
      <c r="C256" s="14" t="s">
        <v>308</v>
      </c>
      <c r="D256" s="15" t="s">
        <v>577</v>
      </c>
      <c r="E256" s="16" t="s">
        <v>99</v>
      </c>
      <c r="F256" s="10" t="s">
        <v>578</v>
      </c>
      <c r="G256" s="10" t="b">
        <v>0</v>
      </c>
      <c r="H256" s="10" t="s">
        <v>866</v>
      </c>
      <c r="I256" s="10">
        <v>9.0</v>
      </c>
      <c r="J256" s="10">
        <v>0.01</v>
      </c>
      <c r="K256" s="10">
        <v>0.0</v>
      </c>
    </row>
    <row r="257" ht="15.75" customHeight="1">
      <c r="A257" s="7" t="s">
        <v>1385</v>
      </c>
      <c r="B257" s="12" t="s">
        <v>1387</v>
      </c>
      <c r="C257" s="14" t="s">
        <v>16</v>
      </c>
      <c r="D257" s="15" t="s">
        <v>34</v>
      </c>
      <c r="E257" s="16" t="s">
        <v>24</v>
      </c>
      <c r="F257" s="10" t="s">
        <v>35</v>
      </c>
      <c r="G257" s="10" t="b">
        <v>0</v>
      </c>
      <c r="H257" s="10" t="s">
        <v>1131</v>
      </c>
      <c r="I257" s="10">
        <v>9.0</v>
      </c>
      <c r="J257" s="10">
        <v>0.01</v>
      </c>
      <c r="K257" s="10">
        <v>0.0</v>
      </c>
    </row>
    <row r="258" ht="15.75" customHeight="1">
      <c r="A258" s="7" t="s">
        <v>1388</v>
      </c>
      <c r="B258" s="12" t="s">
        <v>1390</v>
      </c>
      <c r="C258" s="14" t="s">
        <v>16</v>
      </c>
      <c r="D258" s="15" t="s">
        <v>22</v>
      </c>
      <c r="E258" s="16" t="s">
        <v>24</v>
      </c>
      <c r="F258" s="10" t="s">
        <v>25</v>
      </c>
      <c r="G258" s="10" t="b">
        <v>0</v>
      </c>
      <c r="H258" s="10" t="s">
        <v>1392</v>
      </c>
      <c r="I258" s="10">
        <v>9.0</v>
      </c>
      <c r="J258" s="10">
        <v>0.01</v>
      </c>
      <c r="K258" s="10">
        <v>0.44</v>
      </c>
    </row>
    <row r="259" ht="15.75" customHeight="1">
      <c r="A259" s="7" t="s">
        <v>1394</v>
      </c>
      <c r="B259" s="12" t="s">
        <v>1396</v>
      </c>
      <c r="C259" s="14" t="s">
        <v>98</v>
      </c>
      <c r="D259" s="15" t="s">
        <v>22</v>
      </c>
      <c r="E259" s="16" t="s">
        <v>176</v>
      </c>
      <c r="F259" s="10" t="s">
        <v>25</v>
      </c>
      <c r="G259" s="10" t="b">
        <v>0</v>
      </c>
      <c r="H259" s="10" t="s">
        <v>1397</v>
      </c>
      <c r="I259" s="10">
        <v>9.0</v>
      </c>
      <c r="J259" s="10">
        <v>0.01</v>
      </c>
      <c r="K259" s="10">
        <v>0.0</v>
      </c>
    </row>
    <row r="260" ht="15.75" customHeight="1">
      <c r="A260" s="7" t="s">
        <v>1398</v>
      </c>
      <c r="B260" s="12" t="s">
        <v>1400</v>
      </c>
      <c r="C260" s="14" t="s">
        <v>316</v>
      </c>
      <c r="D260" s="15" t="s">
        <v>34</v>
      </c>
      <c r="E260" s="16" t="s">
        <v>24</v>
      </c>
      <c r="F260" s="10" t="s">
        <v>35</v>
      </c>
      <c r="G260" s="10" t="b">
        <v>0</v>
      </c>
      <c r="H260" s="10" t="s">
        <v>1401</v>
      </c>
      <c r="I260" s="10">
        <v>9.0</v>
      </c>
      <c r="J260" s="10">
        <v>0.01</v>
      </c>
      <c r="K260" s="10">
        <v>1.78</v>
      </c>
    </row>
    <row r="261" ht="15.75" customHeight="1">
      <c r="A261" s="7" t="s">
        <v>1403</v>
      </c>
      <c r="B261" s="12" t="s">
        <v>1406</v>
      </c>
      <c r="C261" s="14" t="s">
        <v>531</v>
      </c>
      <c r="D261" s="15" t="s">
        <v>34</v>
      </c>
      <c r="E261" s="16" t="s">
        <v>24</v>
      </c>
      <c r="F261" s="10" t="s">
        <v>35</v>
      </c>
      <c r="G261" s="10" t="b">
        <v>0</v>
      </c>
      <c r="H261" s="10" t="s">
        <v>1409</v>
      </c>
      <c r="I261" s="10">
        <v>9.0</v>
      </c>
      <c r="J261" s="10">
        <v>0.01</v>
      </c>
      <c r="K261" s="10">
        <v>0.67</v>
      </c>
    </row>
    <row r="262" ht="15.75" customHeight="1">
      <c r="A262" s="7" t="s">
        <v>1411</v>
      </c>
      <c r="B262" s="12" t="s">
        <v>1413</v>
      </c>
      <c r="C262" s="14" t="s">
        <v>534</v>
      </c>
      <c r="D262" s="15" t="s">
        <v>34</v>
      </c>
      <c r="E262" s="16" t="s">
        <v>24</v>
      </c>
      <c r="F262" s="10" t="s">
        <v>35</v>
      </c>
      <c r="G262" s="10" t="b">
        <v>0</v>
      </c>
      <c r="H262" s="10" t="s">
        <v>1415</v>
      </c>
      <c r="I262" s="10">
        <v>9.0</v>
      </c>
      <c r="J262" s="10">
        <v>0.01</v>
      </c>
      <c r="K262" s="10">
        <v>1.0</v>
      </c>
    </row>
    <row r="263" ht="15.75" customHeight="1">
      <c r="A263" s="7" t="s">
        <v>1416</v>
      </c>
      <c r="B263" s="12" t="s">
        <v>1417</v>
      </c>
      <c r="C263" s="14" t="s">
        <v>455</v>
      </c>
      <c r="D263" s="15" t="s">
        <v>749</v>
      </c>
      <c r="E263" s="16" t="s">
        <v>1000</v>
      </c>
      <c r="F263" s="10" t="s">
        <v>750</v>
      </c>
      <c r="G263" s="10" t="b">
        <v>0</v>
      </c>
      <c r="H263" s="10" t="s">
        <v>1419</v>
      </c>
      <c r="I263" s="10">
        <v>8.0</v>
      </c>
      <c r="J263" s="10">
        <v>0.01</v>
      </c>
      <c r="K263" s="10">
        <v>1.5</v>
      </c>
    </row>
    <row r="264" ht="15.75" customHeight="1">
      <c r="A264" s="7" t="s">
        <v>1421</v>
      </c>
      <c r="B264" s="12" t="s">
        <v>1423</v>
      </c>
      <c r="C264" s="12" t="s">
        <v>547</v>
      </c>
      <c r="D264" s="15" t="s">
        <v>196</v>
      </c>
      <c r="E264" s="16" t="s">
        <v>107</v>
      </c>
      <c r="F264" s="10" t="s">
        <v>198</v>
      </c>
      <c r="G264" s="10" t="b">
        <v>0</v>
      </c>
      <c r="H264" s="10" t="s">
        <v>548</v>
      </c>
      <c r="I264" s="10">
        <v>8.0</v>
      </c>
      <c r="J264" s="10">
        <v>0.01</v>
      </c>
      <c r="K264" s="10">
        <v>1.5</v>
      </c>
    </row>
    <row r="265" ht="15.75" customHeight="1">
      <c r="A265" s="7" t="s">
        <v>1425</v>
      </c>
      <c r="B265" s="12" t="s">
        <v>1427</v>
      </c>
      <c r="C265" s="14" t="s">
        <v>550</v>
      </c>
      <c r="D265" s="15" t="s">
        <v>749</v>
      </c>
      <c r="E265" s="16" t="s">
        <v>99</v>
      </c>
      <c r="F265" s="10" t="s">
        <v>750</v>
      </c>
      <c r="G265" s="10" t="b">
        <v>0</v>
      </c>
      <c r="I265" s="10">
        <v>8.0</v>
      </c>
      <c r="J265" s="10">
        <v>0.01</v>
      </c>
      <c r="K265" s="10">
        <v>2.25</v>
      </c>
    </row>
    <row r="266" ht="15.75" customHeight="1">
      <c r="A266" s="7" t="s">
        <v>1429</v>
      </c>
      <c r="B266" s="12" t="s">
        <v>1430</v>
      </c>
      <c r="C266" s="14" t="s">
        <v>551</v>
      </c>
      <c r="D266" s="15" t="s">
        <v>577</v>
      </c>
      <c r="E266" s="16" t="s">
        <v>24</v>
      </c>
      <c r="F266" s="10" t="s">
        <v>578</v>
      </c>
      <c r="G266" s="10" t="b">
        <v>0</v>
      </c>
      <c r="H266" s="10" t="s">
        <v>553</v>
      </c>
      <c r="I266" s="10">
        <v>8.0</v>
      </c>
      <c r="J266" s="10">
        <v>0.01</v>
      </c>
      <c r="K266" s="10">
        <v>1.38</v>
      </c>
    </row>
    <row r="267" ht="15.75" customHeight="1">
      <c r="A267" s="7" t="s">
        <v>1433</v>
      </c>
      <c r="B267" s="12" t="s">
        <v>1435</v>
      </c>
      <c r="C267" s="14" t="s">
        <v>20</v>
      </c>
      <c r="D267" s="15" t="s">
        <v>22</v>
      </c>
      <c r="E267" s="16" t="s">
        <v>24</v>
      </c>
      <c r="F267" s="10" t="s">
        <v>25</v>
      </c>
      <c r="G267" s="10" t="b">
        <v>0</v>
      </c>
      <c r="H267" s="10" t="s">
        <v>1437</v>
      </c>
      <c r="I267" s="10">
        <v>8.0</v>
      </c>
      <c r="J267" s="10">
        <v>0.01</v>
      </c>
      <c r="K267" s="10">
        <v>0.0</v>
      </c>
    </row>
    <row r="268" ht="15.75" customHeight="1">
      <c r="A268" s="7" t="s">
        <v>1438</v>
      </c>
      <c r="B268" s="12" t="s">
        <v>1440</v>
      </c>
      <c r="C268" s="14" t="s">
        <v>554</v>
      </c>
      <c r="D268" s="15" t="s">
        <v>240</v>
      </c>
      <c r="E268" s="16" t="s">
        <v>176</v>
      </c>
      <c r="F268" s="10" t="s">
        <v>241</v>
      </c>
      <c r="G268" s="10" t="b">
        <v>0</v>
      </c>
      <c r="H268" s="10" t="s">
        <v>384</v>
      </c>
      <c r="I268" s="10">
        <v>8.0</v>
      </c>
      <c r="J268" s="10">
        <v>0.01</v>
      </c>
      <c r="K268" s="10">
        <v>1.38</v>
      </c>
    </row>
    <row r="269" ht="15.75" customHeight="1">
      <c r="A269" s="7" t="s">
        <v>1443</v>
      </c>
      <c r="B269" s="12" t="s">
        <v>1445</v>
      </c>
      <c r="C269" s="14" t="s">
        <v>556</v>
      </c>
      <c r="D269" s="15" t="s">
        <v>34</v>
      </c>
      <c r="E269" s="16" t="s">
        <v>24</v>
      </c>
      <c r="F269" s="10" t="s">
        <v>35</v>
      </c>
      <c r="G269" s="10" t="b">
        <v>0</v>
      </c>
      <c r="H269" s="10" t="s">
        <v>1447</v>
      </c>
      <c r="I269" s="10">
        <v>8.0</v>
      </c>
      <c r="J269" s="10">
        <v>0.01</v>
      </c>
      <c r="K269" s="10">
        <v>0.0</v>
      </c>
    </row>
    <row r="270" ht="15.75" customHeight="1">
      <c r="A270" s="7" t="s">
        <v>1448</v>
      </c>
      <c r="B270" s="12" t="s">
        <v>1451</v>
      </c>
      <c r="C270" s="14" t="s">
        <v>48</v>
      </c>
      <c r="D270" s="15" t="s">
        <v>22</v>
      </c>
      <c r="E270" s="16" t="s">
        <v>24</v>
      </c>
      <c r="F270" s="10" t="s">
        <v>25</v>
      </c>
      <c r="G270" s="10" t="b">
        <v>0</v>
      </c>
      <c r="H270" s="10" t="s">
        <v>1453</v>
      </c>
      <c r="I270" s="10">
        <v>8.0</v>
      </c>
      <c r="J270" s="10">
        <v>0.01</v>
      </c>
      <c r="K270" s="10">
        <v>0.25</v>
      </c>
    </row>
    <row r="271" ht="15.75" customHeight="1">
      <c r="A271" s="7" t="s">
        <v>1454</v>
      </c>
      <c r="B271" s="12" t="s">
        <v>1455</v>
      </c>
      <c r="C271" s="14" t="s">
        <v>463</v>
      </c>
      <c r="D271" s="15" t="s">
        <v>34</v>
      </c>
      <c r="E271" s="16" t="s">
        <v>99</v>
      </c>
      <c r="F271" s="10" t="s">
        <v>35</v>
      </c>
      <c r="G271" s="10" t="b">
        <v>0</v>
      </c>
      <c r="H271" s="10" t="s">
        <v>1456</v>
      </c>
      <c r="I271" s="10">
        <v>8.0</v>
      </c>
      <c r="J271" s="10">
        <v>0.01</v>
      </c>
      <c r="K271" s="10">
        <v>0.75</v>
      </c>
    </row>
    <row r="272" ht="15.75" customHeight="1">
      <c r="A272" s="7" t="s">
        <v>1457</v>
      </c>
      <c r="B272" s="12" t="s">
        <v>1458</v>
      </c>
      <c r="C272" s="14" t="s">
        <v>560</v>
      </c>
      <c r="D272" s="15" t="s">
        <v>240</v>
      </c>
      <c r="E272" s="16" t="s">
        <v>24</v>
      </c>
      <c r="F272" s="10" t="s">
        <v>241</v>
      </c>
      <c r="G272" s="10" t="b">
        <v>0</v>
      </c>
      <c r="H272" s="10" t="s">
        <v>561</v>
      </c>
      <c r="I272" s="10">
        <v>8.0</v>
      </c>
      <c r="J272" s="10">
        <v>0.01</v>
      </c>
      <c r="K272" s="10">
        <v>1.5</v>
      </c>
    </row>
    <row r="273" ht="15.75" customHeight="1">
      <c r="A273" s="7" t="s">
        <v>1460</v>
      </c>
      <c r="B273" s="12" t="s">
        <v>1462</v>
      </c>
      <c r="C273" s="14" t="s">
        <v>41</v>
      </c>
      <c r="D273" s="15" t="s">
        <v>51</v>
      </c>
      <c r="E273" s="16" t="s">
        <v>44</v>
      </c>
      <c r="F273" s="10" t="s">
        <v>52</v>
      </c>
      <c r="G273" s="10" t="b">
        <v>0</v>
      </c>
      <c r="H273" s="10" t="s">
        <v>1463</v>
      </c>
      <c r="I273" s="10">
        <v>8.0</v>
      </c>
      <c r="J273" s="10">
        <v>0.01</v>
      </c>
      <c r="K273" s="10">
        <v>0.0</v>
      </c>
    </row>
    <row r="274" ht="15.75" customHeight="1">
      <c r="A274" s="7" t="s">
        <v>1464</v>
      </c>
      <c r="B274" s="16"/>
      <c r="C274" s="12" t="s">
        <v>563</v>
      </c>
      <c r="D274" s="15" t="s">
        <v>176</v>
      </c>
      <c r="E274" s="16" t="s">
        <v>24</v>
      </c>
      <c r="F274" s="10" t="s">
        <v>91</v>
      </c>
      <c r="H274" s="10" t="s">
        <v>948</v>
      </c>
      <c r="I274" s="10">
        <v>8.0</v>
      </c>
      <c r="J274" s="10">
        <v>0.01</v>
      </c>
      <c r="K274" s="10">
        <v>0.25</v>
      </c>
    </row>
    <row r="275" ht="15.75" customHeight="1">
      <c r="A275" s="7" t="s">
        <v>1466</v>
      </c>
      <c r="B275" s="12" t="s">
        <v>97</v>
      </c>
      <c r="C275" s="14" t="s">
        <v>73</v>
      </c>
      <c r="D275" s="15" t="s">
        <v>51</v>
      </c>
      <c r="E275" s="16" t="s">
        <v>99</v>
      </c>
      <c r="F275" s="10" t="s">
        <v>52</v>
      </c>
      <c r="G275" s="10" t="b">
        <v>0</v>
      </c>
      <c r="H275" s="10" t="s">
        <v>1468</v>
      </c>
      <c r="I275" s="10">
        <v>8.0</v>
      </c>
      <c r="J275" s="10">
        <v>0.01</v>
      </c>
      <c r="K275" s="10">
        <v>0.0</v>
      </c>
    </row>
    <row r="276" ht="15.75" customHeight="1">
      <c r="A276" s="7" t="s">
        <v>1469</v>
      </c>
      <c r="B276" s="12" t="s">
        <v>1471</v>
      </c>
      <c r="C276" s="14" t="s">
        <v>437</v>
      </c>
      <c r="D276" s="15" t="s">
        <v>34</v>
      </c>
      <c r="E276" s="16" t="s">
        <v>107</v>
      </c>
      <c r="F276" s="10" t="s">
        <v>35</v>
      </c>
      <c r="G276" s="10" t="b">
        <v>0</v>
      </c>
      <c r="H276" s="10" t="s">
        <v>1473</v>
      </c>
      <c r="I276" s="10">
        <v>8.0</v>
      </c>
      <c r="J276" s="10">
        <v>0.01</v>
      </c>
      <c r="K276" s="10">
        <v>0.63</v>
      </c>
    </row>
    <row r="277" ht="15.75" customHeight="1">
      <c r="A277" s="7" t="s">
        <v>1474</v>
      </c>
      <c r="B277" s="12" t="s">
        <v>848</v>
      </c>
      <c r="C277" s="14" t="s">
        <v>89</v>
      </c>
      <c r="D277" s="15" t="s">
        <v>22</v>
      </c>
      <c r="E277" s="16" t="s">
        <v>176</v>
      </c>
      <c r="F277" s="10" t="s">
        <v>25</v>
      </c>
      <c r="G277" s="10" t="b">
        <v>0</v>
      </c>
      <c r="H277" s="10" t="s">
        <v>652</v>
      </c>
      <c r="I277" s="10">
        <v>8.0</v>
      </c>
      <c r="J277" s="10">
        <v>0.01</v>
      </c>
      <c r="K277" s="10">
        <v>1.5</v>
      </c>
    </row>
    <row r="278" ht="15.75" customHeight="1">
      <c r="A278" s="7" t="s">
        <v>1476</v>
      </c>
      <c r="B278" s="12" t="s">
        <v>1051</v>
      </c>
      <c r="C278" s="14" t="s">
        <v>182</v>
      </c>
      <c r="D278" s="15" t="s">
        <v>176</v>
      </c>
      <c r="E278" s="16" t="s">
        <v>176</v>
      </c>
      <c r="F278" s="10" t="s">
        <v>91</v>
      </c>
      <c r="G278" s="10" t="b">
        <v>0</v>
      </c>
      <c r="H278" s="10" t="s">
        <v>1206</v>
      </c>
      <c r="I278" s="10">
        <v>8.0</v>
      </c>
      <c r="J278" s="10">
        <v>0.01</v>
      </c>
      <c r="K278" s="10">
        <v>0.0</v>
      </c>
    </row>
    <row r="279" ht="15.75" customHeight="1">
      <c r="A279" s="7" t="s">
        <v>1478</v>
      </c>
      <c r="B279" s="12" t="s">
        <v>1051</v>
      </c>
      <c r="C279" s="14" t="s">
        <v>182</v>
      </c>
      <c r="D279" s="15" t="s">
        <v>176</v>
      </c>
      <c r="E279" s="16" t="s">
        <v>176</v>
      </c>
      <c r="F279" s="10" t="s">
        <v>91</v>
      </c>
      <c r="G279" s="10" t="b">
        <v>0</v>
      </c>
      <c r="H279" s="10" t="s">
        <v>1210</v>
      </c>
      <c r="I279" s="10">
        <v>8.0</v>
      </c>
      <c r="J279" s="10">
        <v>0.01</v>
      </c>
      <c r="K279" s="10">
        <v>0.0</v>
      </c>
    </row>
    <row r="280" ht="15.75" customHeight="1">
      <c r="A280" s="7" t="s">
        <v>1481</v>
      </c>
      <c r="B280" s="12" t="s">
        <v>1482</v>
      </c>
      <c r="C280" s="14" t="s">
        <v>541</v>
      </c>
      <c r="D280" s="15" t="s">
        <v>240</v>
      </c>
      <c r="E280" s="16" t="s">
        <v>24</v>
      </c>
      <c r="F280" s="10" t="s">
        <v>241</v>
      </c>
      <c r="G280" s="10" t="b">
        <v>0</v>
      </c>
      <c r="I280" s="10">
        <v>8.0</v>
      </c>
      <c r="J280" s="10">
        <v>0.01</v>
      </c>
      <c r="K280" s="10">
        <v>0.75</v>
      </c>
    </row>
    <row r="281" ht="15.75" customHeight="1">
      <c r="A281" s="7" t="s">
        <v>1484</v>
      </c>
      <c r="B281" s="12" t="s">
        <v>1486</v>
      </c>
      <c r="C281" s="14" t="s">
        <v>84</v>
      </c>
      <c r="D281" s="15" t="s">
        <v>222</v>
      </c>
      <c r="E281" s="16" t="s">
        <v>44</v>
      </c>
      <c r="F281" s="10" t="s">
        <v>223</v>
      </c>
      <c r="G281" s="10" t="b">
        <v>0</v>
      </c>
      <c r="H281" s="10" t="s">
        <v>1487</v>
      </c>
      <c r="I281" s="10">
        <v>8.0</v>
      </c>
      <c r="J281" s="10">
        <v>0.01</v>
      </c>
      <c r="K281" s="10">
        <v>1.88</v>
      </c>
    </row>
    <row r="282" ht="15.75" customHeight="1">
      <c r="A282" s="7" t="s">
        <v>1489</v>
      </c>
      <c r="B282" s="12" t="s">
        <v>1490</v>
      </c>
      <c r="C282" s="14" t="s">
        <v>16</v>
      </c>
      <c r="D282" s="15" t="s">
        <v>51</v>
      </c>
      <c r="E282" s="16" t="s">
        <v>24</v>
      </c>
      <c r="F282" s="10" t="s">
        <v>52</v>
      </c>
      <c r="G282" s="10" t="b">
        <v>0</v>
      </c>
      <c r="H282" s="10" t="s">
        <v>1492</v>
      </c>
      <c r="I282" s="10">
        <v>8.0</v>
      </c>
      <c r="J282" s="10">
        <v>0.01</v>
      </c>
      <c r="K282" s="10">
        <v>0.25</v>
      </c>
    </row>
    <row r="283" ht="15.75" customHeight="1">
      <c r="A283" s="7" t="s">
        <v>1493</v>
      </c>
      <c r="B283" s="12" t="s">
        <v>1495</v>
      </c>
      <c r="C283" s="14" t="s">
        <v>16</v>
      </c>
      <c r="D283" s="15" t="s">
        <v>22</v>
      </c>
      <c r="E283" s="16" t="s">
        <v>24</v>
      </c>
      <c r="F283" s="10" t="s">
        <v>25</v>
      </c>
      <c r="G283" s="10" t="b">
        <v>0</v>
      </c>
      <c r="H283" s="10" t="s">
        <v>1392</v>
      </c>
      <c r="I283" s="10">
        <v>8.0</v>
      </c>
      <c r="J283" s="10">
        <v>0.01</v>
      </c>
      <c r="K283" s="10">
        <v>0.38</v>
      </c>
    </row>
    <row r="284" ht="15.75" customHeight="1">
      <c r="A284" s="7" t="s">
        <v>1496</v>
      </c>
      <c r="B284" s="12" t="s">
        <v>181</v>
      </c>
      <c r="C284" s="14" t="s">
        <v>16</v>
      </c>
      <c r="D284" s="15" t="s">
        <v>22</v>
      </c>
      <c r="E284" s="16" t="s">
        <v>24</v>
      </c>
      <c r="F284" s="10" t="s">
        <v>25</v>
      </c>
      <c r="G284" s="10" t="b">
        <v>0</v>
      </c>
      <c r="H284" s="10" t="s">
        <v>1499</v>
      </c>
      <c r="I284" s="10">
        <v>8.0</v>
      </c>
      <c r="J284" s="10">
        <v>0.01</v>
      </c>
      <c r="K284" s="10">
        <v>0.5</v>
      </c>
    </row>
    <row r="285" ht="15.75" customHeight="1">
      <c r="A285" s="7" t="s">
        <v>1500</v>
      </c>
      <c r="B285" s="12" t="s">
        <v>1502</v>
      </c>
      <c r="C285" s="14" t="s">
        <v>16</v>
      </c>
      <c r="D285" s="15" t="s">
        <v>22</v>
      </c>
      <c r="E285" s="16" t="s">
        <v>24</v>
      </c>
      <c r="F285" s="10" t="s">
        <v>25</v>
      </c>
      <c r="G285" s="10" t="b">
        <v>0</v>
      </c>
      <c r="H285" s="10" t="s">
        <v>1503</v>
      </c>
      <c r="I285" s="10">
        <v>8.0</v>
      </c>
      <c r="J285" s="10">
        <v>0.01</v>
      </c>
      <c r="K285" s="10">
        <v>0.0</v>
      </c>
    </row>
    <row r="286" ht="15.75" customHeight="1">
      <c r="A286" s="7" t="s">
        <v>1505</v>
      </c>
      <c r="B286" s="16"/>
      <c r="C286" s="14" t="s">
        <v>138</v>
      </c>
      <c r="D286" s="15" t="s">
        <v>176</v>
      </c>
      <c r="E286" s="16" t="s">
        <v>176</v>
      </c>
      <c r="F286" s="10" t="s">
        <v>91</v>
      </c>
      <c r="H286" s="10" t="s">
        <v>948</v>
      </c>
      <c r="I286" s="10">
        <v>8.0</v>
      </c>
      <c r="J286" s="10">
        <v>0.01</v>
      </c>
      <c r="K286" s="10">
        <v>1.5</v>
      </c>
    </row>
    <row r="287" ht="15.75" customHeight="1">
      <c r="A287" s="7" t="s">
        <v>1509</v>
      </c>
      <c r="B287" s="12" t="s">
        <v>1510</v>
      </c>
      <c r="C287" s="14" t="s">
        <v>390</v>
      </c>
      <c r="D287" s="15" t="s">
        <v>34</v>
      </c>
      <c r="E287" s="16" t="s">
        <v>99</v>
      </c>
      <c r="F287" s="10" t="s">
        <v>35</v>
      </c>
      <c r="G287" s="10" t="b">
        <v>0</v>
      </c>
      <c r="H287" s="10" t="s">
        <v>1512</v>
      </c>
      <c r="I287" s="10">
        <v>8.0</v>
      </c>
      <c r="J287" s="10">
        <v>0.01</v>
      </c>
      <c r="K287" s="10">
        <v>0.0</v>
      </c>
    </row>
    <row r="288" ht="15.75" customHeight="1">
      <c r="A288" s="7" t="s">
        <v>1513</v>
      </c>
      <c r="B288" s="12" t="s">
        <v>1515</v>
      </c>
      <c r="C288" s="14" t="s">
        <v>496</v>
      </c>
      <c r="D288" s="15" t="s">
        <v>34</v>
      </c>
      <c r="E288" s="16" t="s">
        <v>24</v>
      </c>
      <c r="F288" s="10" t="s">
        <v>35</v>
      </c>
      <c r="G288" s="10" t="b">
        <v>0</v>
      </c>
      <c r="H288" s="10" t="s">
        <v>1516</v>
      </c>
      <c r="I288" s="10">
        <v>8.0</v>
      </c>
      <c r="J288" s="10">
        <v>0.01</v>
      </c>
      <c r="K288" s="10">
        <v>0.0</v>
      </c>
    </row>
    <row r="289" ht="15.75" customHeight="1">
      <c r="A289" s="7" t="s">
        <v>1517</v>
      </c>
      <c r="B289" s="12" t="s">
        <v>1519</v>
      </c>
      <c r="C289" s="14" t="s">
        <v>572</v>
      </c>
      <c r="D289" s="15" t="s">
        <v>34</v>
      </c>
      <c r="E289" s="16" t="s">
        <v>24</v>
      </c>
      <c r="F289" s="10" t="s">
        <v>35</v>
      </c>
      <c r="G289" s="10" t="b">
        <v>0</v>
      </c>
      <c r="H289" s="10" t="s">
        <v>574</v>
      </c>
      <c r="I289" s="10">
        <v>8.0</v>
      </c>
      <c r="J289" s="10">
        <v>0.01</v>
      </c>
      <c r="K289" s="10">
        <v>0.75</v>
      </c>
    </row>
    <row r="290" ht="15.75" customHeight="1">
      <c r="A290" s="7" t="s">
        <v>1521</v>
      </c>
      <c r="B290" s="12" t="s">
        <v>1523</v>
      </c>
      <c r="C290" s="14" t="s">
        <v>133</v>
      </c>
      <c r="D290" s="15" t="s">
        <v>34</v>
      </c>
      <c r="E290" s="16" t="s">
        <v>44</v>
      </c>
      <c r="F290" s="10" t="s">
        <v>35</v>
      </c>
      <c r="G290" s="10" t="b">
        <v>0</v>
      </c>
      <c r="H290" s="10" t="s">
        <v>1525</v>
      </c>
      <c r="I290" s="10">
        <v>8.0</v>
      </c>
      <c r="J290" s="10">
        <v>0.01</v>
      </c>
      <c r="K290" s="10">
        <v>1.13</v>
      </c>
    </row>
    <row r="291" ht="15.75" customHeight="1">
      <c r="A291" s="7" t="s">
        <v>1527</v>
      </c>
      <c r="B291" s="12" t="s">
        <v>1528</v>
      </c>
      <c r="C291" s="14" t="s">
        <v>207</v>
      </c>
      <c r="D291" s="15" t="s">
        <v>22</v>
      </c>
      <c r="E291" s="16" t="s">
        <v>24</v>
      </c>
      <c r="F291" s="10" t="s">
        <v>25</v>
      </c>
      <c r="G291" s="10" t="b">
        <v>0</v>
      </c>
      <c r="I291" s="10">
        <v>7.0</v>
      </c>
      <c r="J291" s="10">
        <v>0.01</v>
      </c>
      <c r="K291" s="10">
        <v>0.57</v>
      </c>
    </row>
    <row r="292" ht="15.75" customHeight="1">
      <c r="A292" s="7" t="s">
        <v>1530</v>
      </c>
      <c r="B292" s="12" t="s">
        <v>1532</v>
      </c>
      <c r="C292" s="14" t="s">
        <v>207</v>
      </c>
      <c r="D292" s="15" t="s">
        <v>176</v>
      </c>
      <c r="E292" s="16" t="s">
        <v>24</v>
      </c>
      <c r="F292" s="10" t="s">
        <v>91</v>
      </c>
      <c r="G292" s="10" t="b">
        <v>0</v>
      </c>
      <c r="I292" s="10">
        <v>7.0</v>
      </c>
      <c r="J292" s="10">
        <v>0.01</v>
      </c>
      <c r="K292" s="10">
        <v>0.0</v>
      </c>
    </row>
    <row r="293" ht="15.75" customHeight="1">
      <c r="A293" s="7" t="s">
        <v>1533</v>
      </c>
      <c r="B293" s="16"/>
      <c r="C293" s="14" t="s">
        <v>576</v>
      </c>
      <c r="D293" s="15" t="s">
        <v>22</v>
      </c>
      <c r="E293" s="16" t="s">
        <v>43</v>
      </c>
      <c r="F293" s="10" t="s">
        <v>25</v>
      </c>
      <c r="G293" s="10" t="b">
        <v>0</v>
      </c>
      <c r="I293" s="10">
        <v>7.0</v>
      </c>
      <c r="J293" s="10">
        <v>0.01</v>
      </c>
      <c r="K293" s="10">
        <v>0.0</v>
      </c>
    </row>
    <row r="294" ht="15.75" customHeight="1">
      <c r="A294" s="7" t="s">
        <v>1536</v>
      </c>
      <c r="B294" s="16"/>
      <c r="C294" s="14" t="s">
        <v>576</v>
      </c>
      <c r="D294" s="15" t="s">
        <v>22</v>
      </c>
      <c r="E294" s="16" t="s">
        <v>43</v>
      </c>
      <c r="F294" s="10" t="s">
        <v>25</v>
      </c>
      <c r="G294" s="10" t="b">
        <v>0</v>
      </c>
      <c r="I294" s="10">
        <v>7.0</v>
      </c>
      <c r="J294" s="10">
        <v>0.01</v>
      </c>
      <c r="K294" s="10">
        <v>0.0</v>
      </c>
    </row>
    <row r="295" ht="15.75" customHeight="1">
      <c r="A295" s="7" t="s">
        <v>1538</v>
      </c>
      <c r="B295" s="12" t="s">
        <v>1539</v>
      </c>
      <c r="C295" s="14" t="s">
        <v>23</v>
      </c>
      <c r="D295" s="15" t="s">
        <v>176</v>
      </c>
      <c r="E295" s="16" t="s">
        <v>24</v>
      </c>
      <c r="F295" s="10" t="s">
        <v>91</v>
      </c>
      <c r="G295" s="10" t="b">
        <v>0</v>
      </c>
      <c r="H295" s="10" t="s">
        <v>301</v>
      </c>
      <c r="I295" s="10">
        <v>7.0</v>
      </c>
      <c r="J295" s="10">
        <v>0.01</v>
      </c>
      <c r="K295" s="10">
        <v>1.71</v>
      </c>
    </row>
    <row r="296" ht="15.75" customHeight="1">
      <c r="A296" s="7" t="s">
        <v>1541</v>
      </c>
      <c r="B296" s="12" t="s">
        <v>1543</v>
      </c>
      <c r="C296" s="14" t="s">
        <v>23</v>
      </c>
      <c r="D296" s="15" t="s">
        <v>22</v>
      </c>
      <c r="E296" s="16" t="s">
        <v>24</v>
      </c>
      <c r="F296" s="10" t="s">
        <v>25</v>
      </c>
      <c r="G296" s="10" t="b">
        <v>0</v>
      </c>
      <c r="H296" s="10" t="s">
        <v>53</v>
      </c>
      <c r="I296" s="10">
        <v>7.0</v>
      </c>
      <c r="J296" s="10">
        <v>0.01</v>
      </c>
      <c r="K296" s="10">
        <v>0.14</v>
      </c>
    </row>
    <row r="297" ht="15.75" customHeight="1">
      <c r="A297" s="7" t="s">
        <v>1544</v>
      </c>
      <c r="B297" s="12" t="s">
        <v>1546</v>
      </c>
      <c r="C297" s="14" t="s">
        <v>599</v>
      </c>
      <c r="D297" s="15" t="s">
        <v>34</v>
      </c>
      <c r="E297" s="16" t="s">
        <v>24</v>
      </c>
      <c r="F297" s="10" t="s">
        <v>35</v>
      </c>
      <c r="G297" s="10" t="b">
        <v>0</v>
      </c>
      <c r="H297" s="10" t="s">
        <v>1548</v>
      </c>
      <c r="I297" s="10">
        <v>7.0</v>
      </c>
      <c r="J297" s="10">
        <v>0.01</v>
      </c>
      <c r="K297" s="10">
        <v>1.29</v>
      </c>
    </row>
    <row r="298" ht="15.75" customHeight="1">
      <c r="A298" s="7" t="s">
        <v>1550</v>
      </c>
      <c r="B298" s="12" t="s">
        <v>1551</v>
      </c>
      <c r="C298" s="14" t="s">
        <v>589</v>
      </c>
      <c r="D298" s="15" t="s">
        <v>240</v>
      </c>
      <c r="E298" s="16" t="s">
        <v>24</v>
      </c>
      <c r="F298" s="10" t="s">
        <v>241</v>
      </c>
      <c r="G298" s="10" t="b">
        <v>0</v>
      </c>
      <c r="H298" s="10" t="s">
        <v>1553</v>
      </c>
      <c r="I298" s="10">
        <v>7.0</v>
      </c>
      <c r="J298" s="10">
        <v>0.01</v>
      </c>
      <c r="K298" s="10">
        <v>1.29</v>
      </c>
    </row>
    <row r="299" ht="15.75" customHeight="1">
      <c r="A299" s="7" t="s">
        <v>1554</v>
      </c>
      <c r="B299" s="12" t="s">
        <v>590</v>
      </c>
      <c r="C299" s="14" t="s">
        <v>175</v>
      </c>
      <c r="D299" s="15" t="s">
        <v>34</v>
      </c>
      <c r="E299" s="16" t="s">
        <v>176</v>
      </c>
      <c r="F299" s="10" t="s">
        <v>35</v>
      </c>
      <c r="G299" s="10" t="b">
        <v>0</v>
      </c>
      <c r="H299" s="10" t="s">
        <v>158</v>
      </c>
      <c r="I299" s="10">
        <v>7.0</v>
      </c>
      <c r="J299" s="10">
        <v>0.01</v>
      </c>
      <c r="K299" s="10">
        <v>0.14</v>
      </c>
    </row>
    <row r="300" ht="15.75" customHeight="1">
      <c r="A300" s="7" t="s">
        <v>1557</v>
      </c>
      <c r="B300" s="12" t="s">
        <v>1559</v>
      </c>
      <c r="C300" s="14" t="s">
        <v>20</v>
      </c>
      <c r="D300" s="15" t="s">
        <v>22</v>
      </c>
      <c r="E300" s="16" t="s">
        <v>24</v>
      </c>
      <c r="F300" s="10" t="s">
        <v>25</v>
      </c>
      <c r="G300" s="10" t="b">
        <v>0</v>
      </c>
      <c r="I300" s="10">
        <v>7.0</v>
      </c>
      <c r="J300" s="10">
        <v>0.01</v>
      </c>
      <c r="K300" s="10">
        <v>0.0</v>
      </c>
    </row>
    <row r="301" ht="15.75" customHeight="1">
      <c r="A301" s="7" t="s">
        <v>1560</v>
      </c>
      <c r="B301" s="16"/>
      <c r="C301" s="14" t="s">
        <v>605</v>
      </c>
      <c r="D301" s="15" t="s">
        <v>176</v>
      </c>
      <c r="E301" s="16" t="s">
        <v>24</v>
      </c>
      <c r="F301" s="10" t="s">
        <v>91</v>
      </c>
      <c r="H301" s="10" t="s">
        <v>948</v>
      </c>
      <c r="I301" s="10">
        <v>7.0</v>
      </c>
      <c r="J301" s="10">
        <v>0.01</v>
      </c>
      <c r="K301" s="10">
        <v>1.29</v>
      </c>
    </row>
    <row r="302" ht="15.75" customHeight="1">
      <c r="A302" s="7" t="s">
        <v>1564</v>
      </c>
      <c r="B302" s="12" t="s">
        <v>1565</v>
      </c>
      <c r="C302" s="14" t="s">
        <v>607</v>
      </c>
      <c r="D302" s="15" t="s">
        <v>240</v>
      </c>
      <c r="E302" s="16" t="s">
        <v>24</v>
      </c>
      <c r="F302" s="10" t="s">
        <v>241</v>
      </c>
      <c r="G302" s="10" t="b">
        <v>0</v>
      </c>
      <c r="I302" s="10">
        <v>7.0</v>
      </c>
      <c r="J302" s="10">
        <v>0.01</v>
      </c>
      <c r="K302" s="10">
        <v>1.71</v>
      </c>
    </row>
    <row r="303" ht="15.75" customHeight="1">
      <c r="A303" s="7" t="s">
        <v>1567</v>
      </c>
      <c r="B303" s="12" t="s">
        <v>1569</v>
      </c>
      <c r="C303" s="14" t="s">
        <v>370</v>
      </c>
      <c r="D303" s="15" t="s">
        <v>22</v>
      </c>
      <c r="E303" s="16" t="s">
        <v>24</v>
      </c>
      <c r="F303" s="10" t="s">
        <v>25</v>
      </c>
      <c r="G303" s="10" t="b">
        <v>0</v>
      </c>
      <c r="H303" s="10" t="s">
        <v>371</v>
      </c>
      <c r="I303" s="10">
        <v>7.0</v>
      </c>
      <c r="J303" s="10">
        <v>0.01</v>
      </c>
      <c r="K303" s="10">
        <v>0.0</v>
      </c>
    </row>
    <row r="304" ht="15.75" customHeight="1">
      <c r="A304" s="7" t="s">
        <v>1571</v>
      </c>
      <c r="B304" s="12" t="s">
        <v>1573</v>
      </c>
      <c r="C304" s="14" t="s">
        <v>111</v>
      </c>
      <c r="D304" s="15" t="s">
        <v>22</v>
      </c>
      <c r="E304" s="16" t="s">
        <v>176</v>
      </c>
      <c r="F304" s="10" t="s">
        <v>25</v>
      </c>
      <c r="G304" s="10" t="b">
        <v>0</v>
      </c>
      <c r="I304" s="10">
        <v>7.0</v>
      </c>
      <c r="J304" s="10">
        <v>0.01</v>
      </c>
      <c r="K304" s="10">
        <v>2.43</v>
      </c>
    </row>
    <row r="305" ht="15.75" customHeight="1">
      <c r="A305" s="7" t="s">
        <v>1574</v>
      </c>
      <c r="B305" s="12" t="s">
        <v>1575</v>
      </c>
      <c r="C305" s="14" t="s">
        <v>41</v>
      </c>
      <c r="D305" s="15" t="s">
        <v>22</v>
      </c>
      <c r="E305" s="16" t="s">
        <v>44</v>
      </c>
      <c r="F305" s="10" t="s">
        <v>25</v>
      </c>
      <c r="G305" s="10" t="b">
        <v>0</v>
      </c>
      <c r="H305" s="10" t="s">
        <v>775</v>
      </c>
      <c r="I305" s="10">
        <v>7.0</v>
      </c>
      <c r="J305" s="10">
        <v>0.01</v>
      </c>
      <c r="K305" s="10">
        <v>0.43</v>
      </c>
    </row>
    <row r="306" ht="15.75" customHeight="1">
      <c r="A306" s="7" t="s">
        <v>1577</v>
      </c>
      <c r="B306" s="12" t="s">
        <v>1578</v>
      </c>
      <c r="C306" s="14" t="s">
        <v>41</v>
      </c>
      <c r="D306" s="15" t="s">
        <v>51</v>
      </c>
      <c r="E306" s="16" t="s">
        <v>44</v>
      </c>
      <c r="F306" s="10" t="s">
        <v>52</v>
      </c>
      <c r="G306" s="10" t="b">
        <v>0</v>
      </c>
      <c r="H306" s="10" t="s">
        <v>1580</v>
      </c>
      <c r="I306" s="10">
        <v>7.0</v>
      </c>
      <c r="J306" s="10">
        <v>0.01</v>
      </c>
      <c r="K306" s="10">
        <v>1.29</v>
      </c>
    </row>
    <row r="307" ht="15.75" customHeight="1">
      <c r="A307" s="7" t="s">
        <v>1581</v>
      </c>
      <c r="B307" s="16"/>
      <c r="C307" s="14" t="s">
        <v>609</v>
      </c>
      <c r="D307" s="15" t="s">
        <v>196</v>
      </c>
      <c r="E307" s="16" t="s">
        <v>24</v>
      </c>
      <c r="F307" s="10" t="s">
        <v>198</v>
      </c>
      <c r="G307" s="10" t="b">
        <v>0</v>
      </c>
      <c r="I307" s="10">
        <v>7.0</v>
      </c>
      <c r="J307" s="10">
        <v>0.01</v>
      </c>
      <c r="K307" s="10">
        <v>0.0</v>
      </c>
    </row>
    <row r="308" ht="15.75" customHeight="1">
      <c r="A308" s="7" t="s">
        <v>1586</v>
      </c>
      <c r="B308" s="12" t="s">
        <v>1589</v>
      </c>
      <c r="C308" s="14" t="s">
        <v>69</v>
      </c>
      <c r="D308" s="15" t="s">
        <v>22</v>
      </c>
      <c r="E308" s="16" t="s">
        <v>44</v>
      </c>
      <c r="F308" s="10" t="s">
        <v>25</v>
      </c>
      <c r="G308" s="10" t="b">
        <v>0</v>
      </c>
      <c r="H308" s="10" t="s">
        <v>1590</v>
      </c>
      <c r="I308" s="10">
        <v>7.0</v>
      </c>
      <c r="J308" s="10">
        <v>0.01</v>
      </c>
      <c r="K308" s="10">
        <v>0.0</v>
      </c>
    </row>
    <row r="309" ht="15.75" customHeight="1">
      <c r="A309" s="7" t="s">
        <v>1591</v>
      </c>
      <c r="B309" s="12" t="s">
        <v>1593</v>
      </c>
      <c r="C309" s="14" t="s">
        <v>611</v>
      </c>
      <c r="D309" s="15" t="s">
        <v>34</v>
      </c>
      <c r="E309" s="16" t="s">
        <v>176</v>
      </c>
      <c r="F309" s="10" t="s">
        <v>35</v>
      </c>
      <c r="G309" s="10" t="b">
        <v>0</v>
      </c>
      <c r="H309" s="10" t="s">
        <v>1596</v>
      </c>
      <c r="I309" s="10">
        <v>7.0</v>
      </c>
      <c r="J309" s="10">
        <v>0.01</v>
      </c>
      <c r="K309" s="10">
        <v>0.29</v>
      </c>
    </row>
    <row r="310" ht="15.75" customHeight="1">
      <c r="A310" s="7" t="s">
        <v>1597</v>
      </c>
      <c r="B310" s="12" t="s">
        <v>97</v>
      </c>
      <c r="C310" s="14" t="s">
        <v>73</v>
      </c>
      <c r="D310" s="15" t="s">
        <v>176</v>
      </c>
      <c r="E310" s="16" t="s">
        <v>99</v>
      </c>
      <c r="F310" s="10" t="s">
        <v>91</v>
      </c>
      <c r="G310" s="10" t="b">
        <v>0</v>
      </c>
      <c r="H310" s="10" t="s">
        <v>1599</v>
      </c>
      <c r="I310" s="10">
        <v>7.0</v>
      </c>
      <c r="J310" s="10">
        <v>0.01</v>
      </c>
      <c r="K310" s="10">
        <v>0.0</v>
      </c>
    </row>
    <row r="311" ht="15.75" customHeight="1">
      <c r="A311" s="7" t="s">
        <v>1600</v>
      </c>
      <c r="B311" s="12" t="s">
        <v>1602</v>
      </c>
      <c r="C311" s="14" t="s">
        <v>545</v>
      </c>
      <c r="D311" s="15" t="s">
        <v>34</v>
      </c>
      <c r="E311" s="16" t="s">
        <v>99</v>
      </c>
      <c r="F311" s="10" t="s">
        <v>35</v>
      </c>
      <c r="G311" s="10" t="b">
        <v>0</v>
      </c>
      <c r="H311" s="10" t="s">
        <v>1604</v>
      </c>
      <c r="I311" s="10">
        <v>7.0</v>
      </c>
      <c r="J311" s="10">
        <v>0.01</v>
      </c>
      <c r="K311" s="10">
        <v>0.43</v>
      </c>
    </row>
    <row r="312" ht="15.75" customHeight="1">
      <c r="A312" s="7" t="s">
        <v>1605</v>
      </c>
      <c r="B312" s="12" t="s">
        <v>1607</v>
      </c>
      <c r="C312" s="14" t="s">
        <v>330</v>
      </c>
      <c r="D312" s="15" t="s">
        <v>34</v>
      </c>
      <c r="E312" s="16" t="s">
        <v>24</v>
      </c>
      <c r="F312" s="10" t="s">
        <v>35</v>
      </c>
      <c r="G312" s="10" t="b">
        <v>0</v>
      </c>
      <c r="H312" s="10" t="s">
        <v>1608</v>
      </c>
      <c r="I312" s="10">
        <v>7.0</v>
      </c>
      <c r="J312" s="10">
        <v>0.01</v>
      </c>
      <c r="K312" s="10">
        <v>0.0</v>
      </c>
    </row>
    <row r="313" ht="15.75" customHeight="1">
      <c r="A313" s="7" t="s">
        <v>1609</v>
      </c>
      <c r="B313" s="12" t="s">
        <v>1612</v>
      </c>
      <c r="C313" s="14" t="s">
        <v>614</v>
      </c>
      <c r="D313" s="15" t="s">
        <v>240</v>
      </c>
      <c r="E313" s="16" t="s">
        <v>24</v>
      </c>
      <c r="F313" s="10" t="s">
        <v>241</v>
      </c>
      <c r="G313" s="10" t="b">
        <v>0</v>
      </c>
      <c r="H313" s="10" t="s">
        <v>384</v>
      </c>
      <c r="I313" s="10">
        <v>7.0</v>
      </c>
      <c r="J313" s="10">
        <v>0.01</v>
      </c>
      <c r="K313" s="10">
        <v>1.0</v>
      </c>
    </row>
    <row r="314" ht="15.75" customHeight="1">
      <c r="A314" s="7" t="s">
        <v>1615</v>
      </c>
      <c r="B314" s="12" t="s">
        <v>1617</v>
      </c>
      <c r="C314" s="14" t="s">
        <v>189</v>
      </c>
      <c r="D314" s="15" t="s">
        <v>176</v>
      </c>
      <c r="E314" s="16" t="s">
        <v>24</v>
      </c>
      <c r="F314" s="10" t="s">
        <v>91</v>
      </c>
      <c r="G314" s="10" t="b">
        <v>0</v>
      </c>
      <c r="H314" s="10" t="s">
        <v>192</v>
      </c>
      <c r="I314" s="10">
        <v>7.0</v>
      </c>
      <c r="J314" s="10">
        <v>0.01</v>
      </c>
      <c r="K314" s="10">
        <v>0.0</v>
      </c>
    </row>
    <row r="315" ht="15.75" customHeight="1">
      <c r="A315" s="7" t="s">
        <v>1620</v>
      </c>
      <c r="B315" s="12" t="s">
        <v>1622</v>
      </c>
      <c r="C315" s="14" t="s">
        <v>84</v>
      </c>
      <c r="D315" s="15" t="s">
        <v>222</v>
      </c>
      <c r="E315" s="16" t="s">
        <v>44</v>
      </c>
      <c r="F315" s="10" t="s">
        <v>223</v>
      </c>
      <c r="G315" s="10" t="b">
        <v>0</v>
      </c>
      <c r="H315" s="10" t="s">
        <v>1624</v>
      </c>
      <c r="I315" s="10">
        <v>7.0</v>
      </c>
      <c r="J315" s="10">
        <v>0.01</v>
      </c>
      <c r="K315" s="10">
        <v>3.0</v>
      </c>
    </row>
    <row r="316" ht="15.75" customHeight="1">
      <c r="A316" s="7" t="s">
        <v>1625</v>
      </c>
      <c r="B316" s="12" t="s">
        <v>1627</v>
      </c>
      <c r="C316" s="14" t="s">
        <v>616</v>
      </c>
      <c r="D316" s="15" t="s">
        <v>196</v>
      </c>
      <c r="E316" s="16" t="s">
        <v>24</v>
      </c>
      <c r="F316" s="10" t="s">
        <v>198</v>
      </c>
      <c r="G316" s="10" t="b">
        <v>0</v>
      </c>
      <c r="I316" s="10">
        <v>7.0</v>
      </c>
      <c r="J316" s="10">
        <v>0.01</v>
      </c>
      <c r="K316" s="10">
        <v>0.0</v>
      </c>
    </row>
    <row r="317" ht="15.75" customHeight="1">
      <c r="A317" s="7" t="s">
        <v>1628</v>
      </c>
      <c r="B317" s="12" t="s">
        <v>1630</v>
      </c>
      <c r="C317" s="12" t="s">
        <v>502</v>
      </c>
      <c r="D317" s="15" t="s">
        <v>240</v>
      </c>
      <c r="E317" s="16" t="s">
        <v>107</v>
      </c>
      <c r="F317" s="10" t="s">
        <v>241</v>
      </c>
      <c r="G317" s="10" t="b">
        <v>0</v>
      </c>
      <c r="H317" s="10" t="s">
        <v>1631</v>
      </c>
      <c r="I317" s="10">
        <v>7.0</v>
      </c>
      <c r="J317" s="10">
        <v>0.01</v>
      </c>
      <c r="K317" s="10">
        <v>1.29</v>
      </c>
    </row>
    <row r="318" ht="15.75" customHeight="1">
      <c r="A318" s="7" t="s">
        <v>1633</v>
      </c>
      <c r="B318" s="12" t="s">
        <v>1634</v>
      </c>
      <c r="C318" s="14" t="s">
        <v>618</v>
      </c>
      <c r="D318" s="15" t="s">
        <v>240</v>
      </c>
      <c r="E318" s="16" t="s">
        <v>24</v>
      </c>
      <c r="F318" s="10" t="s">
        <v>241</v>
      </c>
      <c r="G318" s="10" t="b">
        <v>0</v>
      </c>
      <c r="H318" s="10" t="s">
        <v>384</v>
      </c>
      <c r="I318" s="10">
        <v>7.0</v>
      </c>
      <c r="J318" s="10">
        <v>0.01</v>
      </c>
      <c r="K318" s="10">
        <v>1.29</v>
      </c>
    </row>
    <row r="319" ht="15.75" customHeight="1">
      <c r="A319" s="7" t="s">
        <v>1636</v>
      </c>
      <c r="B319" s="12" t="s">
        <v>1638</v>
      </c>
      <c r="C319" s="14" t="s">
        <v>66</v>
      </c>
      <c r="D319" s="15" t="s">
        <v>22</v>
      </c>
      <c r="E319" s="16" t="s">
        <v>24</v>
      </c>
      <c r="F319" s="10" t="s">
        <v>25</v>
      </c>
      <c r="G319" s="10" t="b">
        <v>0</v>
      </c>
      <c r="H319" s="10" t="s">
        <v>1639</v>
      </c>
      <c r="I319" s="10">
        <v>7.0</v>
      </c>
      <c r="J319" s="10">
        <v>0.01</v>
      </c>
      <c r="K319" s="10">
        <v>0.0</v>
      </c>
    </row>
    <row r="320" ht="15.75" customHeight="1">
      <c r="A320" s="7" t="s">
        <v>1640</v>
      </c>
      <c r="B320" s="12" t="s">
        <v>1643</v>
      </c>
      <c r="C320" s="14" t="s">
        <v>625</v>
      </c>
      <c r="D320" s="15" t="s">
        <v>22</v>
      </c>
      <c r="E320" s="16" t="s">
        <v>44</v>
      </c>
      <c r="F320" s="10" t="s">
        <v>25</v>
      </c>
      <c r="G320" s="10" t="b">
        <v>0</v>
      </c>
      <c r="H320" s="10" t="s">
        <v>340</v>
      </c>
      <c r="I320" s="10">
        <v>7.0</v>
      </c>
      <c r="J320" s="10">
        <v>0.01</v>
      </c>
      <c r="K320" s="10">
        <v>0.0</v>
      </c>
    </row>
    <row r="321" ht="15.75" customHeight="1">
      <c r="A321" s="7" t="s">
        <v>1645</v>
      </c>
      <c r="B321" s="12" t="s">
        <v>1646</v>
      </c>
      <c r="C321" s="14" t="s">
        <v>628</v>
      </c>
      <c r="D321" s="15" t="s">
        <v>222</v>
      </c>
      <c r="E321" s="16" t="s">
        <v>44</v>
      </c>
      <c r="F321" s="10" t="s">
        <v>223</v>
      </c>
      <c r="G321" s="10" t="b">
        <v>0</v>
      </c>
      <c r="H321" s="10" t="s">
        <v>105</v>
      </c>
      <c r="I321" s="10">
        <v>7.0</v>
      </c>
      <c r="J321" s="10">
        <v>0.01</v>
      </c>
      <c r="K321" s="10">
        <v>0.0</v>
      </c>
    </row>
    <row r="322" ht="15.75" customHeight="1">
      <c r="A322" s="7" t="s">
        <v>1649</v>
      </c>
      <c r="B322" s="12" t="s">
        <v>278</v>
      </c>
      <c r="C322" s="14" t="s">
        <v>186</v>
      </c>
      <c r="D322" s="15" t="s">
        <v>51</v>
      </c>
      <c r="E322" s="16" t="s">
        <v>107</v>
      </c>
      <c r="F322" s="10" t="s">
        <v>52</v>
      </c>
      <c r="G322" s="10" t="b">
        <v>0</v>
      </c>
      <c r="H322" s="10" t="s">
        <v>187</v>
      </c>
      <c r="I322" s="10">
        <v>6.0</v>
      </c>
      <c r="J322" s="10">
        <v>0.01</v>
      </c>
      <c r="K322" s="10">
        <v>0.33</v>
      </c>
    </row>
    <row r="323" ht="15.75" customHeight="1">
      <c r="A323" s="7" t="s">
        <v>1651</v>
      </c>
      <c r="B323" s="12" t="s">
        <v>1652</v>
      </c>
      <c r="C323" s="14" t="s">
        <v>23</v>
      </c>
      <c r="D323" s="15" t="s">
        <v>22</v>
      </c>
      <c r="E323" s="16" t="s">
        <v>24</v>
      </c>
      <c r="F323" s="10" t="s">
        <v>25</v>
      </c>
      <c r="G323" s="10" t="b">
        <v>0</v>
      </c>
      <c r="H323" s="10" t="s">
        <v>125</v>
      </c>
      <c r="I323" s="10">
        <v>6.0</v>
      </c>
      <c r="J323" s="10">
        <v>0.01</v>
      </c>
      <c r="K323" s="10">
        <v>0.17</v>
      </c>
    </row>
    <row r="324" ht="15.75" customHeight="1">
      <c r="A324" s="7" t="s">
        <v>1654</v>
      </c>
      <c r="B324" s="12" t="s">
        <v>1656</v>
      </c>
      <c r="C324" s="14" t="s">
        <v>633</v>
      </c>
      <c r="D324" s="15" t="s">
        <v>404</v>
      </c>
      <c r="E324" s="16" t="s">
        <v>24</v>
      </c>
      <c r="F324" s="10" t="s">
        <v>405</v>
      </c>
      <c r="G324" s="10" t="b">
        <v>0</v>
      </c>
      <c r="H324" s="10" t="s">
        <v>636</v>
      </c>
      <c r="I324" s="10">
        <v>6.0</v>
      </c>
      <c r="J324" s="10">
        <v>0.01</v>
      </c>
      <c r="K324" s="10">
        <v>0.0</v>
      </c>
    </row>
    <row r="325" ht="15.75" customHeight="1">
      <c r="A325" s="7" t="s">
        <v>1658</v>
      </c>
      <c r="B325" s="12" t="s">
        <v>1660</v>
      </c>
      <c r="C325" s="14" t="s">
        <v>283</v>
      </c>
      <c r="D325" s="15" t="s">
        <v>196</v>
      </c>
      <c r="E325" s="16" t="s">
        <v>24</v>
      </c>
      <c r="F325" s="10" t="s">
        <v>198</v>
      </c>
      <c r="G325" s="10" t="b">
        <v>0</v>
      </c>
      <c r="H325" s="10" t="s">
        <v>285</v>
      </c>
      <c r="I325" s="10">
        <v>6.0</v>
      </c>
      <c r="J325" s="10">
        <v>0.01</v>
      </c>
      <c r="K325" s="10">
        <v>1.67</v>
      </c>
    </row>
    <row r="326" ht="15.75" customHeight="1">
      <c r="A326" s="7" t="s">
        <v>1662</v>
      </c>
      <c r="B326" s="12" t="s">
        <v>1664</v>
      </c>
      <c r="C326" s="14" t="s">
        <v>602</v>
      </c>
      <c r="D326" s="15" t="s">
        <v>51</v>
      </c>
      <c r="E326" s="16" t="s">
        <v>24</v>
      </c>
      <c r="F326" s="10" t="s">
        <v>52</v>
      </c>
      <c r="G326" s="10" t="b">
        <v>0</v>
      </c>
      <c r="H326" s="10" t="s">
        <v>604</v>
      </c>
      <c r="I326" s="10">
        <v>6.0</v>
      </c>
      <c r="J326" s="10">
        <v>0.01</v>
      </c>
      <c r="K326" s="10">
        <v>0.5</v>
      </c>
    </row>
    <row r="327" ht="15.75" customHeight="1">
      <c r="A327" s="7" t="s">
        <v>1667</v>
      </c>
      <c r="B327" s="12" t="s">
        <v>1669</v>
      </c>
      <c r="C327" s="14" t="s">
        <v>660</v>
      </c>
      <c r="D327" s="15" t="s">
        <v>34</v>
      </c>
      <c r="E327" s="16" t="s">
        <v>24</v>
      </c>
      <c r="F327" s="10" t="s">
        <v>35</v>
      </c>
      <c r="G327" s="10" t="b">
        <v>0</v>
      </c>
      <c r="H327" s="10" t="s">
        <v>1671</v>
      </c>
      <c r="I327" s="10">
        <v>6.0</v>
      </c>
      <c r="J327" s="10">
        <v>0.01</v>
      </c>
      <c r="K327" s="10">
        <v>0.17</v>
      </c>
    </row>
    <row r="328" ht="15.75" customHeight="1">
      <c r="A328" s="7" t="s">
        <v>1672</v>
      </c>
      <c r="B328" s="12" t="s">
        <v>1674</v>
      </c>
      <c r="C328" s="14" t="s">
        <v>20</v>
      </c>
      <c r="D328" s="15" t="s">
        <v>22</v>
      </c>
      <c r="E328" s="16" t="s">
        <v>24</v>
      </c>
      <c r="F328" s="10" t="s">
        <v>25</v>
      </c>
      <c r="G328" s="10" t="b">
        <v>0</v>
      </c>
      <c r="H328" s="10" t="s">
        <v>1675</v>
      </c>
      <c r="I328" s="10">
        <v>6.0</v>
      </c>
      <c r="J328" s="10">
        <v>0.01</v>
      </c>
      <c r="K328" s="10">
        <v>0.0</v>
      </c>
    </row>
    <row r="329" ht="15.75" customHeight="1">
      <c r="A329" s="7" t="s">
        <v>1676</v>
      </c>
      <c r="B329" s="12" t="s">
        <v>1677</v>
      </c>
      <c r="C329" s="14" t="s">
        <v>193</v>
      </c>
      <c r="D329" s="15" t="s">
        <v>51</v>
      </c>
      <c r="E329" s="16" t="s">
        <v>44</v>
      </c>
      <c r="F329" s="10" t="s">
        <v>52</v>
      </c>
      <c r="G329" s="10" t="b">
        <v>0</v>
      </c>
      <c r="H329" s="10" t="s">
        <v>1679</v>
      </c>
      <c r="I329" s="10">
        <v>6.0</v>
      </c>
      <c r="J329" s="10">
        <v>0.01</v>
      </c>
      <c r="K329" s="10">
        <v>1.0</v>
      </c>
    </row>
    <row r="330" ht="15.75" customHeight="1">
      <c r="A330" s="7" t="s">
        <v>1680</v>
      </c>
      <c r="B330" s="12" t="s">
        <v>1682</v>
      </c>
      <c r="C330" s="12" t="s">
        <v>281</v>
      </c>
      <c r="D330" s="15" t="s">
        <v>176</v>
      </c>
      <c r="E330" s="16" t="s">
        <v>24</v>
      </c>
      <c r="F330" s="10" t="s">
        <v>91</v>
      </c>
      <c r="G330" s="10" t="b">
        <v>0</v>
      </c>
      <c r="H330" s="10" t="s">
        <v>1683</v>
      </c>
      <c r="I330" s="10">
        <v>6.0</v>
      </c>
      <c r="J330" s="10">
        <v>0.01</v>
      </c>
      <c r="K330" s="10">
        <v>1.33</v>
      </c>
    </row>
    <row r="331" ht="15.75" customHeight="1">
      <c r="A331" s="7" t="s">
        <v>1685</v>
      </c>
      <c r="B331" s="12" t="s">
        <v>1687</v>
      </c>
      <c r="C331" s="14" t="s">
        <v>232</v>
      </c>
      <c r="D331" s="15" t="s">
        <v>51</v>
      </c>
      <c r="E331" s="16" t="s">
        <v>24</v>
      </c>
      <c r="F331" s="10" t="s">
        <v>52</v>
      </c>
      <c r="G331" s="10" t="b">
        <v>0</v>
      </c>
      <c r="H331" s="10" t="s">
        <v>157</v>
      </c>
      <c r="I331" s="10">
        <v>6.0</v>
      </c>
      <c r="J331" s="10">
        <v>0.01</v>
      </c>
      <c r="K331" s="10">
        <v>0.0</v>
      </c>
    </row>
    <row r="332" ht="15.75" customHeight="1">
      <c r="A332" s="7" t="s">
        <v>1688</v>
      </c>
      <c r="B332" s="12" t="s">
        <v>1690</v>
      </c>
      <c r="C332" s="14" t="s">
        <v>111</v>
      </c>
      <c r="D332" s="15" t="s">
        <v>176</v>
      </c>
      <c r="E332" s="16" t="s">
        <v>176</v>
      </c>
      <c r="F332" s="10" t="s">
        <v>91</v>
      </c>
      <c r="G332" s="10" t="b">
        <v>0</v>
      </c>
      <c r="H332" s="10" t="s">
        <v>1013</v>
      </c>
      <c r="I332" s="10">
        <v>6.0</v>
      </c>
      <c r="J332" s="10">
        <v>0.01</v>
      </c>
      <c r="K332" s="10">
        <v>2.5</v>
      </c>
    </row>
    <row r="333" ht="15.75" customHeight="1">
      <c r="A333" s="7" t="s">
        <v>1692</v>
      </c>
      <c r="B333" s="12" t="s">
        <v>1695</v>
      </c>
      <c r="C333" s="14" t="s">
        <v>41</v>
      </c>
      <c r="D333" s="15" t="s">
        <v>22</v>
      </c>
      <c r="E333" s="16" t="s">
        <v>44</v>
      </c>
      <c r="F333" s="10" t="s">
        <v>25</v>
      </c>
      <c r="G333" s="10" t="b">
        <v>0</v>
      </c>
      <c r="H333" s="10" t="s">
        <v>1697</v>
      </c>
      <c r="I333" s="10">
        <v>6.0</v>
      </c>
      <c r="J333" s="10">
        <v>0.01</v>
      </c>
      <c r="K333" s="10">
        <v>0.0</v>
      </c>
    </row>
    <row r="334" ht="15.75" customHeight="1">
      <c r="A334" s="7" t="s">
        <v>1698</v>
      </c>
      <c r="B334" s="12" t="s">
        <v>1700</v>
      </c>
      <c r="C334" s="14" t="s">
        <v>664</v>
      </c>
      <c r="D334" s="15" t="s">
        <v>34</v>
      </c>
      <c r="E334" s="16" t="s">
        <v>24</v>
      </c>
      <c r="F334" s="10" t="s">
        <v>35</v>
      </c>
      <c r="G334" s="10" t="b">
        <v>0</v>
      </c>
      <c r="I334" s="10">
        <v>6.0</v>
      </c>
      <c r="J334" s="10">
        <v>0.01</v>
      </c>
      <c r="K334" s="10">
        <v>0.83</v>
      </c>
    </row>
    <row r="335" ht="15.75" customHeight="1">
      <c r="A335" s="7" t="s">
        <v>1703</v>
      </c>
      <c r="B335" s="12" t="s">
        <v>1705</v>
      </c>
      <c r="C335" s="12" t="s">
        <v>665</v>
      </c>
      <c r="D335" s="15" t="s">
        <v>240</v>
      </c>
      <c r="E335" s="16" t="s">
        <v>24</v>
      </c>
      <c r="F335" s="10" t="s">
        <v>241</v>
      </c>
      <c r="G335" s="10" t="b">
        <v>0</v>
      </c>
      <c r="I335" s="10">
        <v>6.0</v>
      </c>
      <c r="J335" s="10">
        <v>0.01</v>
      </c>
      <c r="K335" s="10">
        <v>1.0</v>
      </c>
    </row>
    <row r="336" ht="15.75" customHeight="1">
      <c r="A336" s="7" t="s">
        <v>1706</v>
      </c>
      <c r="B336" s="12" t="s">
        <v>1709</v>
      </c>
      <c r="C336" s="14" t="s">
        <v>103</v>
      </c>
      <c r="D336" s="15" t="s">
        <v>34</v>
      </c>
      <c r="E336" s="16" t="s">
        <v>107</v>
      </c>
      <c r="F336" s="10" t="s">
        <v>35</v>
      </c>
      <c r="G336" s="10" t="b">
        <v>0</v>
      </c>
      <c r="H336" s="10" t="s">
        <v>105</v>
      </c>
      <c r="I336" s="10">
        <v>6.0</v>
      </c>
      <c r="J336" s="10">
        <v>0.01</v>
      </c>
      <c r="K336" s="10">
        <v>2.33</v>
      </c>
    </row>
    <row r="337" ht="15.75" customHeight="1">
      <c r="A337" s="7" t="s">
        <v>1710</v>
      </c>
      <c r="B337" s="12" t="s">
        <v>1713</v>
      </c>
      <c r="C337" s="14" t="s">
        <v>367</v>
      </c>
      <c r="D337" s="15" t="s">
        <v>240</v>
      </c>
      <c r="E337" s="16" t="s">
        <v>107</v>
      </c>
      <c r="F337" s="10" t="s">
        <v>241</v>
      </c>
      <c r="G337" s="10" t="b">
        <v>0</v>
      </c>
      <c r="H337" s="10" t="s">
        <v>1714</v>
      </c>
      <c r="I337" s="10">
        <v>6.0</v>
      </c>
      <c r="J337" s="10">
        <v>0.01</v>
      </c>
      <c r="K337" s="10">
        <v>1.0</v>
      </c>
    </row>
    <row r="338" ht="15.75" customHeight="1">
      <c r="A338" s="7" t="s">
        <v>1715</v>
      </c>
      <c r="B338" s="12" t="s">
        <v>1716</v>
      </c>
      <c r="C338" s="14" t="s">
        <v>29</v>
      </c>
      <c r="D338" s="15" t="s">
        <v>34</v>
      </c>
      <c r="E338" s="16" t="s">
        <v>24</v>
      </c>
      <c r="F338" s="10" t="s">
        <v>35</v>
      </c>
      <c r="G338" s="10" t="b">
        <v>0</v>
      </c>
      <c r="H338" s="10" t="s">
        <v>1717</v>
      </c>
      <c r="I338" s="10">
        <v>6.0</v>
      </c>
      <c r="J338" s="10">
        <v>0.01</v>
      </c>
      <c r="K338" s="10">
        <v>0.0</v>
      </c>
    </row>
    <row r="339" ht="15.75" customHeight="1">
      <c r="A339" s="7" t="s">
        <v>1719</v>
      </c>
      <c r="B339" s="12" t="s">
        <v>1720</v>
      </c>
      <c r="C339" s="12" t="s">
        <v>670</v>
      </c>
      <c r="D339" s="15" t="s">
        <v>34</v>
      </c>
      <c r="E339" s="16" t="s">
        <v>176</v>
      </c>
      <c r="F339" s="10" t="s">
        <v>35</v>
      </c>
      <c r="G339" s="10" t="b">
        <v>0</v>
      </c>
      <c r="H339" s="10" t="s">
        <v>1722</v>
      </c>
      <c r="I339" s="10">
        <v>6.0</v>
      </c>
      <c r="J339" s="10">
        <v>0.01</v>
      </c>
      <c r="K339" s="10">
        <v>0.33</v>
      </c>
    </row>
    <row r="340" ht="15.75" customHeight="1">
      <c r="A340" s="7" t="s">
        <v>1723</v>
      </c>
      <c r="B340" s="12" t="s">
        <v>1724</v>
      </c>
      <c r="C340" s="14" t="s">
        <v>148</v>
      </c>
      <c r="D340" s="15" t="s">
        <v>34</v>
      </c>
      <c r="E340" s="16" t="s">
        <v>107</v>
      </c>
      <c r="F340" s="10" t="s">
        <v>35</v>
      </c>
      <c r="G340" s="10" t="b">
        <v>0</v>
      </c>
      <c r="H340" s="10" t="s">
        <v>209</v>
      </c>
      <c r="I340" s="10">
        <v>6.0</v>
      </c>
      <c r="J340" s="10">
        <v>0.01</v>
      </c>
      <c r="K340" s="10">
        <v>2.0</v>
      </c>
    </row>
    <row r="341" ht="15.75" customHeight="1">
      <c r="A341" s="7" t="s">
        <v>1726</v>
      </c>
      <c r="B341" s="12" t="s">
        <v>1727</v>
      </c>
      <c r="C341" s="14" t="s">
        <v>148</v>
      </c>
      <c r="D341" s="15" t="s">
        <v>196</v>
      </c>
      <c r="E341" s="16" t="s">
        <v>107</v>
      </c>
      <c r="F341" s="10" t="s">
        <v>198</v>
      </c>
      <c r="G341" s="10" t="b">
        <v>0</v>
      </c>
      <c r="H341" s="10" t="s">
        <v>157</v>
      </c>
      <c r="I341" s="10">
        <v>6.0</v>
      </c>
      <c r="J341" s="10">
        <v>0.01</v>
      </c>
      <c r="K341" s="10">
        <v>0.83</v>
      </c>
    </row>
    <row r="342" ht="15.75" customHeight="1">
      <c r="A342" s="7" t="s">
        <v>1729</v>
      </c>
      <c r="B342" s="12" t="s">
        <v>1730</v>
      </c>
      <c r="C342" s="14" t="s">
        <v>565</v>
      </c>
      <c r="D342" s="15" t="s">
        <v>34</v>
      </c>
      <c r="E342" s="16" t="s">
        <v>24</v>
      </c>
      <c r="F342" s="10" t="s">
        <v>35</v>
      </c>
      <c r="G342" s="10" t="b">
        <v>0</v>
      </c>
      <c r="H342" s="10" t="s">
        <v>1732</v>
      </c>
      <c r="I342" s="10">
        <v>6.0</v>
      </c>
      <c r="J342" s="10">
        <v>0.01</v>
      </c>
      <c r="K342" s="10">
        <v>1.5</v>
      </c>
    </row>
    <row r="343" ht="15.75" customHeight="1">
      <c r="A343" s="7" t="s">
        <v>1734</v>
      </c>
      <c r="B343" s="12" t="s">
        <v>1736</v>
      </c>
      <c r="C343" s="14" t="s">
        <v>228</v>
      </c>
      <c r="D343" s="15" t="s">
        <v>196</v>
      </c>
      <c r="E343" s="16" t="s">
        <v>107</v>
      </c>
      <c r="F343" s="10" t="s">
        <v>198</v>
      </c>
      <c r="G343" s="10" t="b">
        <v>0</v>
      </c>
      <c r="H343" s="10" t="s">
        <v>230</v>
      </c>
      <c r="I343" s="10">
        <v>6.0</v>
      </c>
      <c r="J343" s="10">
        <v>0.01</v>
      </c>
      <c r="K343" s="10">
        <v>1.0</v>
      </c>
    </row>
    <row r="344" ht="15.75" customHeight="1">
      <c r="A344" s="7" t="s">
        <v>1738</v>
      </c>
      <c r="B344" s="12" t="s">
        <v>1739</v>
      </c>
      <c r="C344" s="14" t="s">
        <v>595</v>
      </c>
      <c r="D344" s="15" t="s">
        <v>196</v>
      </c>
      <c r="E344" s="16" t="s">
        <v>24</v>
      </c>
      <c r="F344" s="10" t="s">
        <v>198</v>
      </c>
      <c r="G344" s="10" t="b">
        <v>0</v>
      </c>
      <c r="I344" s="10">
        <v>6.0</v>
      </c>
      <c r="J344" s="10">
        <v>0.01</v>
      </c>
      <c r="K344" s="10">
        <v>2.17</v>
      </c>
    </row>
    <row r="345" ht="15.75" customHeight="1">
      <c r="A345" s="7" t="s">
        <v>1742</v>
      </c>
      <c r="B345" s="12" t="s">
        <v>1051</v>
      </c>
      <c r="C345" s="14" t="s">
        <v>182</v>
      </c>
      <c r="D345" s="15" t="s">
        <v>22</v>
      </c>
      <c r="E345" s="16" t="s">
        <v>176</v>
      </c>
      <c r="F345" s="10" t="s">
        <v>25</v>
      </c>
      <c r="G345" s="10" t="b">
        <v>0</v>
      </c>
      <c r="H345" s="10" t="s">
        <v>501</v>
      </c>
      <c r="I345" s="10">
        <v>6.0</v>
      </c>
      <c r="J345" s="10">
        <v>0.01</v>
      </c>
      <c r="K345" s="10">
        <v>0.33</v>
      </c>
    </row>
    <row r="346" ht="15.75" customHeight="1">
      <c r="A346" s="7" t="s">
        <v>1745</v>
      </c>
      <c r="B346" s="12" t="s">
        <v>1051</v>
      </c>
      <c r="C346" s="14" t="s">
        <v>182</v>
      </c>
      <c r="D346" s="15" t="s">
        <v>34</v>
      </c>
      <c r="E346" s="16" t="s">
        <v>176</v>
      </c>
      <c r="F346" s="10" t="s">
        <v>35</v>
      </c>
      <c r="G346" s="10" t="b">
        <v>0</v>
      </c>
      <c r="H346" s="10" t="s">
        <v>100</v>
      </c>
      <c r="I346" s="10">
        <v>6.0</v>
      </c>
      <c r="J346" s="10">
        <v>0.01</v>
      </c>
      <c r="K346" s="10">
        <v>0.0</v>
      </c>
    </row>
    <row r="347" ht="15.75" customHeight="1">
      <c r="A347" s="7" t="s">
        <v>1748</v>
      </c>
      <c r="B347" s="12" t="s">
        <v>1750</v>
      </c>
      <c r="C347" s="14" t="s">
        <v>672</v>
      </c>
      <c r="D347" s="15" t="s">
        <v>34</v>
      </c>
      <c r="E347" s="16" t="s">
        <v>24</v>
      </c>
      <c r="F347" s="10" t="s">
        <v>35</v>
      </c>
      <c r="G347" s="10" t="b">
        <v>0</v>
      </c>
      <c r="H347" s="10" t="s">
        <v>1752</v>
      </c>
      <c r="I347" s="10">
        <v>6.0</v>
      </c>
      <c r="J347" s="10">
        <v>0.01</v>
      </c>
      <c r="K347" s="10">
        <v>1.0</v>
      </c>
    </row>
    <row r="348" ht="15.75" customHeight="1">
      <c r="A348" s="7" t="s">
        <v>1753</v>
      </c>
      <c r="B348" s="12" t="s">
        <v>1755</v>
      </c>
      <c r="C348" s="14" t="s">
        <v>684</v>
      </c>
      <c r="D348" s="15" t="s">
        <v>240</v>
      </c>
      <c r="E348" s="16" t="s">
        <v>24</v>
      </c>
      <c r="F348" s="10" t="s">
        <v>241</v>
      </c>
      <c r="G348" s="10" t="b">
        <v>0</v>
      </c>
      <c r="H348" s="10" t="s">
        <v>1757</v>
      </c>
      <c r="I348" s="10">
        <v>6.0</v>
      </c>
      <c r="J348" s="10">
        <v>0.01</v>
      </c>
      <c r="K348" s="10">
        <v>0.5</v>
      </c>
    </row>
    <row r="349" ht="15.75" customHeight="1">
      <c r="A349" s="7" t="s">
        <v>1758</v>
      </c>
      <c r="B349" s="12" t="s">
        <v>1760</v>
      </c>
      <c r="C349" s="14" t="s">
        <v>689</v>
      </c>
      <c r="D349" s="15" t="s">
        <v>51</v>
      </c>
      <c r="E349" s="16" t="s">
        <v>24</v>
      </c>
      <c r="F349" s="10" t="s">
        <v>52</v>
      </c>
      <c r="G349" s="10" t="b">
        <v>0</v>
      </c>
      <c r="H349" s="10" t="s">
        <v>1762</v>
      </c>
      <c r="I349" s="10">
        <v>6.0</v>
      </c>
      <c r="J349" s="10">
        <v>0.01</v>
      </c>
      <c r="K349" s="10">
        <v>0.0</v>
      </c>
    </row>
    <row r="350" ht="15.75" customHeight="1">
      <c r="A350" s="7" t="s">
        <v>1764</v>
      </c>
      <c r="B350" s="16"/>
      <c r="C350" s="14" t="s">
        <v>138</v>
      </c>
      <c r="D350" s="15" t="s">
        <v>176</v>
      </c>
      <c r="E350" s="16" t="s">
        <v>176</v>
      </c>
      <c r="F350" s="10" t="s">
        <v>91</v>
      </c>
      <c r="H350" s="10" t="s">
        <v>948</v>
      </c>
      <c r="I350" s="10">
        <v>6.0</v>
      </c>
      <c r="J350" s="10">
        <v>0.01</v>
      </c>
      <c r="K350" s="10">
        <v>0.5</v>
      </c>
    </row>
    <row r="351" ht="15.75" customHeight="1">
      <c r="A351" s="7" t="s">
        <v>1767</v>
      </c>
      <c r="B351" s="12" t="s">
        <v>1769</v>
      </c>
      <c r="C351" s="14" t="s">
        <v>106</v>
      </c>
      <c r="D351" s="15" t="s">
        <v>176</v>
      </c>
      <c r="E351" s="16" t="s">
        <v>43</v>
      </c>
      <c r="F351" s="10" t="s">
        <v>91</v>
      </c>
      <c r="G351" s="10" t="b">
        <v>0</v>
      </c>
      <c r="H351" s="10" t="s">
        <v>1770</v>
      </c>
      <c r="I351" s="10">
        <v>6.0</v>
      </c>
      <c r="J351" s="10">
        <v>0.01</v>
      </c>
      <c r="K351" s="10">
        <v>1.0</v>
      </c>
    </row>
    <row r="352" ht="15.75" customHeight="1">
      <c r="A352" s="7" t="s">
        <v>1771</v>
      </c>
      <c r="B352" s="12" t="s">
        <v>1773</v>
      </c>
      <c r="C352" s="14" t="s">
        <v>155</v>
      </c>
      <c r="D352" s="15" t="s">
        <v>196</v>
      </c>
      <c r="E352" s="16" t="s">
        <v>176</v>
      </c>
      <c r="F352" s="10" t="s">
        <v>198</v>
      </c>
      <c r="G352" s="10" t="b">
        <v>0</v>
      </c>
      <c r="I352" s="10">
        <v>6.0</v>
      </c>
      <c r="J352" s="10">
        <v>0.01</v>
      </c>
      <c r="K352" s="10">
        <v>1.0</v>
      </c>
    </row>
    <row r="353" ht="15.75" customHeight="1">
      <c r="A353" s="7" t="s">
        <v>1774</v>
      </c>
      <c r="B353" s="12" t="s">
        <v>1776</v>
      </c>
      <c r="C353" s="14" t="s">
        <v>712</v>
      </c>
      <c r="D353" s="15" t="s">
        <v>34</v>
      </c>
      <c r="E353" s="16" t="s">
        <v>99</v>
      </c>
      <c r="F353" s="10" t="s">
        <v>35</v>
      </c>
      <c r="G353" s="10" t="b">
        <v>0</v>
      </c>
      <c r="H353" s="10" t="s">
        <v>1779</v>
      </c>
      <c r="I353" s="10">
        <v>5.0</v>
      </c>
      <c r="J353" s="10">
        <v>0.01</v>
      </c>
      <c r="K353" s="10">
        <v>0.0</v>
      </c>
    </row>
    <row r="354" ht="15.75" customHeight="1">
      <c r="A354" s="7" t="s">
        <v>1781</v>
      </c>
      <c r="B354" s="12" t="s">
        <v>1782</v>
      </c>
      <c r="C354" s="14" t="s">
        <v>696</v>
      </c>
      <c r="D354" s="15" t="s">
        <v>176</v>
      </c>
      <c r="E354" s="16" t="s">
        <v>24</v>
      </c>
      <c r="F354" s="10" t="s">
        <v>91</v>
      </c>
      <c r="G354" s="10" t="b">
        <v>0</v>
      </c>
      <c r="I354" s="10">
        <v>5.0</v>
      </c>
      <c r="J354" s="10">
        <v>0.01</v>
      </c>
      <c r="K354" s="10">
        <v>1.4</v>
      </c>
    </row>
    <row r="355" ht="15.75" customHeight="1">
      <c r="A355" s="7" t="s">
        <v>1783</v>
      </c>
      <c r="B355" s="12" t="s">
        <v>1785</v>
      </c>
      <c r="C355" s="14" t="s">
        <v>715</v>
      </c>
      <c r="D355" s="15" t="s">
        <v>240</v>
      </c>
      <c r="E355" s="16" t="s">
        <v>24</v>
      </c>
      <c r="F355" s="10" t="s">
        <v>241</v>
      </c>
      <c r="G355" s="10" t="b">
        <v>0</v>
      </c>
      <c r="I355" s="10">
        <v>5.0</v>
      </c>
      <c r="J355" s="10">
        <v>0.01</v>
      </c>
      <c r="K355" s="10">
        <v>0.0</v>
      </c>
    </row>
    <row r="356" ht="15.75" customHeight="1">
      <c r="A356" s="7" t="s">
        <v>1786</v>
      </c>
      <c r="B356" s="12" t="s">
        <v>1788</v>
      </c>
      <c r="C356" s="14" t="s">
        <v>23</v>
      </c>
      <c r="D356" s="15" t="s">
        <v>22</v>
      </c>
      <c r="E356" s="16" t="s">
        <v>24</v>
      </c>
      <c r="F356" s="10" t="s">
        <v>25</v>
      </c>
      <c r="G356" s="10" t="b">
        <v>0</v>
      </c>
      <c r="I356" s="10">
        <v>5.0</v>
      </c>
      <c r="J356" s="10">
        <v>0.01</v>
      </c>
      <c r="K356" s="10">
        <v>1.0</v>
      </c>
    </row>
    <row r="357" ht="15.75" customHeight="1">
      <c r="A357" s="7" t="s">
        <v>1789</v>
      </c>
      <c r="B357" s="12" t="s">
        <v>1790</v>
      </c>
      <c r="C357" s="14" t="s">
        <v>23</v>
      </c>
      <c r="D357" s="15" t="s">
        <v>22</v>
      </c>
      <c r="E357" s="16" t="s">
        <v>24</v>
      </c>
      <c r="F357" s="10" t="s">
        <v>25</v>
      </c>
      <c r="G357" s="10" t="b">
        <v>0</v>
      </c>
      <c r="H357" s="10" t="s">
        <v>1792</v>
      </c>
      <c r="I357" s="10">
        <v>5.0</v>
      </c>
      <c r="J357" s="10">
        <v>0.01</v>
      </c>
      <c r="K357" s="10">
        <v>0.8</v>
      </c>
    </row>
    <row r="358" ht="15.75" customHeight="1">
      <c r="A358" s="7" t="s">
        <v>1793</v>
      </c>
      <c r="B358" s="12" t="s">
        <v>1794</v>
      </c>
      <c r="C358" s="14" t="s">
        <v>717</v>
      </c>
      <c r="D358" s="15" t="s">
        <v>34</v>
      </c>
      <c r="E358" s="16" t="s">
        <v>44</v>
      </c>
      <c r="F358" s="10" t="s">
        <v>35</v>
      </c>
      <c r="G358" s="10" t="b">
        <v>0</v>
      </c>
      <c r="H358" s="10" t="s">
        <v>1796</v>
      </c>
      <c r="I358" s="10">
        <v>5.0</v>
      </c>
      <c r="J358" s="10">
        <v>0.01</v>
      </c>
      <c r="K358" s="10">
        <v>1.8</v>
      </c>
    </row>
    <row r="359" ht="15.75" customHeight="1">
      <c r="A359" s="7" t="s">
        <v>1797</v>
      </c>
      <c r="B359" s="12" t="s">
        <v>1798</v>
      </c>
      <c r="C359" s="14" t="s">
        <v>277</v>
      </c>
      <c r="D359" s="15" t="s">
        <v>34</v>
      </c>
      <c r="E359" s="16" t="s">
        <v>1000</v>
      </c>
      <c r="F359" s="10" t="s">
        <v>35</v>
      </c>
      <c r="G359" s="10" t="b">
        <v>0</v>
      </c>
      <c r="H359" s="10" t="s">
        <v>1800</v>
      </c>
      <c r="I359" s="10">
        <v>5.0</v>
      </c>
      <c r="J359" s="10">
        <v>0.01</v>
      </c>
      <c r="K359" s="10">
        <v>0.0</v>
      </c>
    </row>
    <row r="360" ht="15.75" customHeight="1">
      <c r="A360" s="7" t="s">
        <v>1802</v>
      </c>
      <c r="B360" s="12" t="s">
        <v>1803</v>
      </c>
      <c r="C360" s="14" t="s">
        <v>645</v>
      </c>
      <c r="D360" s="15" t="s">
        <v>34</v>
      </c>
      <c r="E360" s="16" t="s">
        <v>99</v>
      </c>
      <c r="F360" s="10" t="s">
        <v>35</v>
      </c>
      <c r="G360" s="10" t="b">
        <v>0</v>
      </c>
      <c r="H360" s="10" t="s">
        <v>1805</v>
      </c>
      <c r="I360" s="10">
        <v>5.0</v>
      </c>
      <c r="J360" s="10">
        <v>0.01</v>
      </c>
      <c r="K360" s="10">
        <v>0.4</v>
      </c>
    </row>
    <row r="361" ht="15.75" customHeight="1">
      <c r="A361" s="7" t="s">
        <v>1806</v>
      </c>
      <c r="B361" s="12" t="s">
        <v>1807</v>
      </c>
      <c r="C361" s="14" t="s">
        <v>20</v>
      </c>
      <c r="D361" s="15" t="s">
        <v>22</v>
      </c>
      <c r="E361" s="16" t="s">
        <v>24</v>
      </c>
      <c r="F361" s="10" t="s">
        <v>25</v>
      </c>
      <c r="G361" s="10" t="b">
        <v>0</v>
      </c>
      <c r="I361" s="10">
        <v>5.0</v>
      </c>
      <c r="J361" s="10">
        <v>0.01</v>
      </c>
      <c r="K361" s="10">
        <v>0.0</v>
      </c>
    </row>
    <row r="362" ht="15.75" customHeight="1">
      <c r="A362" s="7" t="s">
        <v>1809</v>
      </c>
      <c r="B362" s="12" t="s">
        <v>1811</v>
      </c>
      <c r="C362" s="14" t="s">
        <v>20</v>
      </c>
      <c r="D362" s="15" t="s">
        <v>22</v>
      </c>
      <c r="E362" s="16" t="s">
        <v>24</v>
      </c>
      <c r="F362" s="10" t="s">
        <v>25</v>
      </c>
      <c r="G362" s="10" t="b">
        <v>0</v>
      </c>
      <c r="H362" s="10" t="s">
        <v>1812</v>
      </c>
      <c r="I362" s="10">
        <v>5.0</v>
      </c>
      <c r="J362" s="10">
        <v>0.01</v>
      </c>
      <c r="K362" s="10">
        <v>1.4</v>
      </c>
    </row>
    <row r="363" ht="15.75" customHeight="1">
      <c r="A363" s="7" t="s">
        <v>1813</v>
      </c>
      <c r="B363" s="12" t="s">
        <v>1815</v>
      </c>
      <c r="C363" s="14" t="s">
        <v>20</v>
      </c>
      <c r="D363" s="15" t="s">
        <v>176</v>
      </c>
      <c r="E363" s="16" t="s">
        <v>24</v>
      </c>
      <c r="F363" s="10" t="s">
        <v>91</v>
      </c>
      <c r="G363" s="10" t="b">
        <v>0</v>
      </c>
      <c r="I363" s="10">
        <v>5.0</v>
      </c>
      <c r="J363" s="10">
        <v>0.01</v>
      </c>
      <c r="K363" s="10">
        <v>0.4</v>
      </c>
    </row>
    <row r="364" ht="15.75" customHeight="1">
      <c r="A364" s="7" t="s">
        <v>1816</v>
      </c>
      <c r="B364" s="12" t="s">
        <v>1818</v>
      </c>
      <c r="C364" s="14" t="s">
        <v>20</v>
      </c>
      <c r="D364" s="15" t="s">
        <v>22</v>
      </c>
      <c r="E364" s="16" t="s">
        <v>24</v>
      </c>
      <c r="F364" s="10" t="s">
        <v>25</v>
      </c>
      <c r="G364" s="10" t="b">
        <v>0</v>
      </c>
      <c r="I364" s="10">
        <v>5.0</v>
      </c>
      <c r="J364" s="10">
        <v>0.01</v>
      </c>
      <c r="K364" s="10">
        <v>0.2</v>
      </c>
    </row>
    <row r="365" ht="15.75" customHeight="1">
      <c r="A365" s="7" t="s">
        <v>1820</v>
      </c>
      <c r="B365" s="12" t="s">
        <v>1821</v>
      </c>
      <c r="C365" s="14" t="s">
        <v>20</v>
      </c>
      <c r="D365" s="15" t="s">
        <v>22</v>
      </c>
      <c r="E365" s="16" t="s">
        <v>24</v>
      </c>
      <c r="F365" s="10" t="s">
        <v>25</v>
      </c>
      <c r="G365" s="10" t="b">
        <v>0</v>
      </c>
      <c r="H365" s="10" t="s">
        <v>1822</v>
      </c>
      <c r="I365" s="10">
        <v>5.0</v>
      </c>
      <c r="J365" s="10">
        <v>0.01</v>
      </c>
      <c r="K365" s="10">
        <v>0.0</v>
      </c>
    </row>
    <row r="366" ht="15.75" customHeight="1">
      <c r="A366" s="7" t="s">
        <v>1823</v>
      </c>
      <c r="B366" s="16"/>
      <c r="C366" s="14" t="s">
        <v>724</v>
      </c>
      <c r="D366" s="15" t="s">
        <v>176</v>
      </c>
      <c r="E366" s="16" t="s">
        <v>24</v>
      </c>
      <c r="F366" s="10" t="s">
        <v>91</v>
      </c>
      <c r="H366" s="10" t="s">
        <v>948</v>
      </c>
      <c r="I366" s="10">
        <v>5.0</v>
      </c>
      <c r="J366" s="10">
        <v>0.01</v>
      </c>
      <c r="K366" s="10">
        <v>2.4</v>
      </c>
    </row>
    <row r="367" ht="15.75" customHeight="1">
      <c r="A367" s="7" t="s">
        <v>1825</v>
      </c>
      <c r="B367" s="12" t="s">
        <v>1827</v>
      </c>
      <c r="C367" s="14" t="s">
        <v>537</v>
      </c>
      <c r="D367" s="15" t="s">
        <v>51</v>
      </c>
      <c r="E367" s="16" t="s">
        <v>43</v>
      </c>
      <c r="F367" s="10" t="s">
        <v>52</v>
      </c>
      <c r="G367" s="10" t="b">
        <v>0</v>
      </c>
      <c r="H367" s="10" t="s">
        <v>1829</v>
      </c>
      <c r="I367" s="10">
        <v>5.0</v>
      </c>
      <c r="J367" s="10">
        <v>0.01</v>
      </c>
      <c r="K367" s="10">
        <v>1.0</v>
      </c>
    </row>
    <row r="368" ht="15.75" customHeight="1">
      <c r="A368" s="7" t="s">
        <v>1830</v>
      </c>
      <c r="B368" s="12" t="s">
        <v>1831</v>
      </c>
      <c r="C368" s="14" t="s">
        <v>48</v>
      </c>
      <c r="D368" s="15" t="s">
        <v>22</v>
      </c>
      <c r="E368" s="16" t="s">
        <v>24</v>
      </c>
      <c r="F368" s="10" t="s">
        <v>25</v>
      </c>
      <c r="G368" s="10" t="b">
        <v>0</v>
      </c>
      <c r="I368" s="10">
        <v>5.0</v>
      </c>
      <c r="J368" s="10">
        <v>0.01</v>
      </c>
      <c r="K368" s="10">
        <v>0.0</v>
      </c>
    </row>
    <row r="369" ht="15.75" customHeight="1">
      <c r="A369" s="7" t="s">
        <v>1832</v>
      </c>
      <c r="B369" s="12" t="s">
        <v>1834</v>
      </c>
      <c r="C369" s="12" t="s">
        <v>281</v>
      </c>
      <c r="D369" s="15" t="s">
        <v>196</v>
      </c>
      <c r="E369" s="16" t="s">
        <v>24</v>
      </c>
      <c r="F369" s="10" t="s">
        <v>198</v>
      </c>
      <c r="G369" s="10" t="b">
        <v>0</v>
      </c>
      <c r="H369" s="10" t="s">
        <v>1835</v>
      </c>
      <c r="I369" s="10">
        <v>5.0</v>
      </c>
      <c r="J369" s="10">
        <v>0.01</v>
      </c>
      <c r="K369" s="10">
        <v>0.6</v>
      </c>
    </row>
    <row r="370" ht="15.75" customHeight="1">
      <c r="A370" s="7" t="s">
        <v>1836</v>
      </c>
      <c r="B370" s="12" t="s">
        <v>1837</v>
      </c>
      <c r="C370" s="12" t="s">
        <v>281</v>
      </c>
      <c r="D370" s="15" t="s">
        <v>196</v>
      </c>
      <c r="E370" s="16" t="s">
        <v>24</v>
      </c>
      <c r="F370" s="10" t="s">
        <v>198</v>
      </c>
      <c r="G370" s="10" t="b">
        <v>0</v>
      </c>
      <c r="H370" s="10" t="s">
        <v>1683</v>
      </c>
      <c r="I370" s="10">
        <v>5.0</v>
      </c>
      <c r="J370" s="10">
        <v>0.01</v>
      </c>
      <c r="K370" s="10">
        <v>0.8</v>
      </c>
    </row>
    <row r="371" ht="15.75" customHeight="1">
      <c r="A371" s="7" t="s">
        <v>1839</v>
      </c>
      <c r="B371" s="12" t="s">
        <v>1840</v>
      </c>
      <c r="C371" s="14" t="s">
        <v>725</v>
      </c>
      <c r="D371" s="15" t="s">
        <v>240</v>
      </c>
      <c r="E371" s="16" t="s">
        <v>24</v>
      </c>
      <c r="F371" s="10" t="s">
        <v>241</v>
      </c>
      <c r="G371" s="10" t="b">
        <v>0</v>
      </c>
      <c r="I371" s="10">
        <v>5.0</v>
      </c>
      <c r="J371" s="10">
        <v>0.01</v>
      </c>
      <c r="K371" s="10">
        <v>0.8</v>
      </c>
    </row>
    <row r="372" ht="15.75" customHeight="1">
      <c r="A372" s="7" t="s">
        <v>1842</v>
      </c>
      <c r="B372" s="12" t="s">
        <v>1844</v>
      </c>
      <c r="C372" s="14" t="s">
        <v>729</v>
      </c>
      <c r="D372" s="15" t="s">
        <v>34</v>
      </c>
      <c r="E372" s="16" t="s">
        <v>24</v>
      </c>
      <c r="F372" s="10" t="s">
        <v>35</v>
      </c>
      <c r="G372" s="10" t="b">
        <v>0</v>
      </c>
      <c r="H372" s="10" t="s">
        <v>1845</v>
      </c>
      <c r="I372" s="10">
        <v>5.0</v>
      </c>
      <c r="J372" s="10">
        <v>0.01</v>
      </c>
      <c r="K372" s="10">
        <v>0.0</v>
      </c>
    </row>
    <row r="373" ht="15.75" customHeight="1">
      <c r="A373" s="7" t="s">
        <v>1846</v>
      </c>
      <c r="B373" s="12" t="s">
        <v>1849</v>
      </c>
      <c r="C373" s="14" t="s">
        <v>732</v>
      </c>
      <c r="D373" s="15" t="s">
        <v>404</v>
      </c>
      <c r="E373" s="16" t="s">
        <v>24</v>
      </c>
      <c r="F373" s="10" t="s">
        <v>405</v>
      </c>
      <c r="G373" s="10" t="b">
        <v>0</v>
      </c>
      <c r="H373" s="10" t="s">
        <v>1850</v>
      </c>
      <c r="I373" s="10">
        <v>5.0</v>
      </c>
      <c r="J373" s="10">
        <v>0.01</v>
      </c>
      <c r="K373" s="10">
        <v>1.0</v>
      </c>
    </row>
    <row r="374" ht="15.75" customHeight="1">
      <c r="A374" s="7" t="s">
        <v>1851</v>
      </c>
      <c r="B374" s="12" t="s">
        <v>1852</v>
      </c>
      <c r="C374" s="12" t="s">
        <v>735</v>
      </c>
      <c r="D374" s="15" t="s">
        <v>577</v>
      </c>
      <c r="E374" s="16" t="s">
        <v>24</v>
      </c>
      <c r="F374" s="10" t="s">
        <v>578</v>
      </c>
      <c r="G374" s="10" t="b">
        <v>0</v>
      </c>
      <c r="H374" s="10" t="s">
        <v>1854</v>
      </c>
      <c r="I374" s="10">
        <v>5.0</v>
      </c>
      <c r="J374" s="10">
        <v>0.01</v>
      </c>
      <c r="K374" s="10">
        <v>1.4</v>
      </c>
    </row>
    <row r="375" ht="15.75" customHeight="1">
      <c r="A375" s="7" t="s">
        <v>1855</v>
      </c>
      <c r="B375" s="16"/>
      <c r="C375" s="14" t="s">
        <v>138</v>
      </c>
      <c r="D375" s="15" t="s">
        <v>176</v>
      </c>
      <c r="E375" s="16" t="s">
        <v>176</v>
      </c>
      <c r="F375" s="10" t="s">
        <v>91</v>
      </c>
      <c r="H375" s="10" t="s">
        <v>948</v>
      </c>
      <c r="I375" s="10">
        <v>5.0</v>
      </c>
      <c r="J375" s="10">
        <v>0.01</v>
      </c>
      <c r="K375" s="10">
        <v>0.2</v>
      </c>
    </row>
    <row r="376" ht="15.75" customHeight="1">
      <c r="A376" s="7" t="s">
        <v>1856</v>
      </c>
      <c r="B376" s="12" t="s">
        <v>1858</v>
      </c>
      <c r="C376" s="14" t="s">
        <v>352</v>
      </c>
      <c r="D376" s="15" t="s">
        <v>51</v>
      </c>
      <c r="E376" s="16" t="s">
        <v>24</v>
      </c>
      <c r="F376" s="10" t="s">
        <v>52</v>
      </c>
      <c r="G376" s="10" t="b">
        <v>0</v>
      </c>
      <c r="H376" s="10" t="s">
        <v>1859</v>
      </c>
      <c r="I376" s="10">
        <v>5.0</v>
      </c>
      <c r="J376" s="10">
        <v>0.01</v>
      </c>
      <c r="K376" s="10">
        <v>1.2</v>
      </c>
    </row>
    <row r="377" ht="15.75" customHeight="1">
      <c r="A377" s="7" t="s">
        <v>1860</v>
      </c>
      <c r="B377" s="12" t="s">
        <v>1862</v>
      </c>
      <c r="C377" s="14" t="s">
        <v>450</v>
      </c>
      <c r="D377" s="15" t="s">
        <v>196</v>
      </c>
      <c r="E377" s="16" t="s">
        <v>24</v>
      </c>
      <c r="F377" s="10" t="s">
        <v>198</v>
      </c>
      <c r="G377" s="10" t="b">
        <v>0</v>
      </c>
      <c r="I377" s="10">
        <v>5.0</v>
      </c>
      <c r="J377" s="10">
        <v>0.01</v>
      </c>
      <c r="K377" s="10">
        <v>1.6</v>
      </c>
    </row>
    <row r="378" ht="15.75" customHeight="1">
      <c r="A378" s="7" t="s">
        <v>1864</v>
      </c>
      <c r="B378" s="16"/>
      <c r="C378" s="14" t="s">
        <v>138</v>
      </c>
      <c r="D378" s="15" t="s">
        <v>176</v>
      </c>
      <c r="E378" s="16" t="s">
        <v>176</v>
      </c>
      <c r="F378" s="10" t="s">
        <v>91</v>
      </c>
      <c r="H378" s="10" t="s">
        <v>948</v>
      </c>
      <c r="I378" s="10">
        <v>5.0</v>
      </c>
      <c r="J378" s="10">
        <v>0.01</v>
      </c>
      <c r="K378" s="10">
        <v>2.4</v>
      </c>
    </row>
    <row r="379" ht="15.75" customHeight="1">
      <c r="A379" s="7" t="s">
        <v>1866</v>
      </c>
      <c r="B379" s="12" t="s">
        <v>1868</v>
      </c>
      <c r="C379" s="14" t="s">
        <v>138</v>
      </c>
      <c r="D379" s="15" t="s">
        <v>22</v>
      </c>
      <c r="E379" s="16" t="s">
        <v>176</v>
      </c>
      <c r="F379" s="10" t="s">
        <v>25</v>
      </c>
      <c r="G379" s="10" t="b">
        <v>0</v>
      </c>
      <c r="I379" s="10">
        <v>5.0</v>
      </c>
      <c r="J379" s="10">
        <v>0.01</v>
      </c>
      <c r="K379" s="10">
        <v>0.8</v>
      </c>
    </row>
    <row r="380" ht="15.75" customHeight="1">
      <c r="A380" s="7" t="s">
        <v>1870</v>
      </c>
      <c r="B380" s="12" t="s">
        <v>1873</v>
      </c>
      <c r="C380" s="14" t="s">
        <v>754</v>
      </c>
      <c r="D380" s="15" t="s">
        <v>34</v>
      </c>
      <c r="E380" s="16" t="s">
        <v>24</v>
      </c>
      <c r="F380" s="10" t="s">
        <v>35</v>
      </c>
      <c r="G380" s="10" t="b">
        <v>0</v>
      </c>
      <c r="H380" s="10" t="s">
        <v>755</v>
      </c>
      <c r="I380" s="10">
        <v>5.0</v>
      </c>
      <c r="J380" s="10">
        <v>0.01</v>
      </c>
      <c r="K380" s="10">
        <v>0.0</v>
      </c>
    </row>
    <row r="381" ht="15.75" customHeight="1">
      <c r="A381" s="7" t="s">
        <v>1875</v>
      </c>
      <c r="B381" s="12" t="s">
        <v>1878</v>
      </c>
      <c r="C381" s="14" t="s">
        <v>189</v>
      </c>
      <c r="D381" s="15" t="s">
        <v>22</v>
      </c>
      <c r="E381" s="16" t="s">
        <v>24</v>
      </c>
      <c r="F381" s="10" t="s">
        <v>25</v>
      </c>
      <c r="G381" s="10" t="b">
        <v>0</v>
      </c>
      <c r="H381" s="10" t="s">
        <v>192</v>
      </c>
      <c r="I381" s="10">
        <v>5.0</v>
      </c>
      <c r="J381" s="10">
        <v>0.01</v>
      </c>
      <c r="K381" s="10">
        <v>0.2</v>
      </c>
    </row>
    <row r="382" ht="15.75" customHeight="1">
      <c r="A382" s="7" t="s">
        <v>1880</v>
      </c>
      <c r="B382" s="12" t="s">
        <v>1882</v>
      </c>
      <c r="C382" s="14" t="s">
        <v>756</v>
      </c>
      <c r="D382" s="15" t="s">
        <v>240</v>
      </c>
      <c r="E382" s="16" t="s">
        <v>24</v>
      </c>
      <c r="F382" s="10" t="s">
        <v>241</v>
      </c>
      <c r="G382" s="10" t="b">
        <v>0</v>
      </c>
      <c r="I382" s="10">
        <v>5.0</v>
      </c>
      <c r="J382" s="10">
        <v>0.01</v>
      </c>
      <c r="K382" s="10">
        <v>0.6</v>
      </c>
    </row>
    <row r="383" ht="15.75" customHeight="1">
      <c r="A383" s="7" t="s">
        <v>1883</v>
      </c>
      <c r="B383" s="12" t="s">
        <v>1884</v>
      </c>
      <c r="C383" s="14" t="s">
        <v>758</v>
      </c>
      <c r="D383" s="15" t="s">
        <v>34</v>
      </c>
      <c r="E383" s="16" t="s">
        <v>24</v>
      </c>
      <c r="F383" s="10" t="s">
        <v>35</v>
      </c>
      <c r="G383" s="10" t="b">
        <v>0</v>
      </c>
      <c r="H383" s="10" t="s">
        <v>1886</v>
      </c>
      <c r="I383" s="10">
        <v>5.0</v>
      </c>
      <c r="J383" s="10">
        <v>0.01</v>
      </c>
      <c r="K383" s="10">
        <v>0.8</v>
      </c>
    </row>
    <row r="384" ht="15.75" customHeight="1">
      <c r="A384" s="7" t="s">
        <v>1887</v>
      </c>
      <c r="B384" s="12" t="s">
        <v>1888</v>
      </c>
      <c r="C384" s="14" t="s">
        <v>213</v>
      </c>
      <c r="D384" s="15" t="s">
        <v>34</v>
      </c>
      <c r="E384" s="16" t="s">
        <v>107</v>
      </c>
      <c r="F384" s="10" t="s">
        <v>35</v>
      </c>
      <c r="G384" s="10" t="b">
        <v>0</v>
      </c>
      <c r="H384" s="10" t="s">
        <v>1890</v>
      </c>
      <c r="I384" s="10">
        <v>5.0</v>
      </c>
      <c r="J384" s="10">
        <v>0.01</v>
      </c>
      <c r="K384" s="10">
        <v>0.2</v>
      </c>
    </row>
    <row r="385" ht="15.75" customHeight="1">
      <c r="A385" s="7" t="s">
        <v>1891</v>
      </c>
      <c r="B385" s="12" t="s">
        <v>1892</v>
      </c>
      <c r="C385" s="14" t="s">
        <v>621</v>
      </c>
      <c r="D385" s="15" t="s">
        <v>51</v>
      </c>
      <c r="E385" s="16" t="s">
        <v>107</v>
      </c>
      <c r="F385" s="10" t="s">
        <v>52</v>
      </c>
      <c r="G385" s="10" t="b">
        <v>0</v>
      </c>
      <c r="H385" s="10" t="s">
        <v>623</v>
      </c>
      <c r="I385" s="10">
        <v>5.0</v>
      </c>
      <c r="J385" s="10">
        <v>0.01</v>
      </c>
      <c r="K385" s="10">
        <v>0.6</v>
      </c>
    </row>
    <row r="386" ht="15.75" customHeight="1">
      <c r="A386" s="7" t="s">
        <v>1894</v>
      </c>
      <c r="B386" s="12" t="s">
        <v>1897</v>
      </c>
      <c r="C386" s="14" t="s">
        <v>16</v>
      </c>
      <c r="D386" s="15" t="s">
        <v>22</v>
      </c>
      <c r="E386" s="16" t="s">
        <v>24</v>
      </c>
      <c r="F386" s="10" t="s">
        <v>25</v>
      </c>
      <c r="G386" s="10" t="b">
        <v>0</v>
      </c>
      <c r="H386" s="10" t="s">
        <v>1898</v>
      </c>
      <c r="I386" s="10">
        <v>5.0</v>
      </c>
      <c r="J386" s="10">
        <v>0.01</v>
      </c>
      <c r="K386" s="10">
        <v>1.4</v>
      </c>
    </row>
    <row r="387" ht="15.75" customHeight="1">
      <c r="A387" s="7" t="s">
        <v>1899</v>
      </c>
      <c r="B387" s="12" t="s">
        <v>1900</v>
      </c>
      <c r="C387" s="14" t="s">
        <v>66</v>
      </c>
      <c r="D387" s="15" t="s">
        <v>22</v>
      </c>
      <c r="E387" s="16" t="s">
        <v>24</v>
      </c>
      <c r="F387" s="10" t="s">
        <v>25</v>
      </c>
      <c r="G387" s="10" t="b">
        <v>0</v>
      </c>
      <c r="H387" s="10" t="s">
        <v>1613</v>
      </c>
      <c r="I387" s="10">
        <v>5.0</v>
      </c>
      <c r="J387" s="10">
        <v>0.01</v>
      </c>
      <c r="K387" s="10">
        <v>2.4</v>
      </c>
    </row>
    <row r="388" ht="15.75" customHeight="1">
      <c r="A388" s="7" t="s">
        <v>1902</v>
      </c>
      <c r="B388" s="12" t="s">
        <v>1903</v>
      </c>
      <c r="C388" s="14" t="s">
        <v>66</v>
      </c>
      <c r="D388" s="15" t="s">
        <v>51</v>
      </c>
      <c r="E388" s="16" t="s">
        <v>24</v>
      </c>
      <c r="F388" s="10" t="s">
        <v>52</v>
      </c>
      <c r="G388" s="10" t="b">
        <v>0</v>
      </c>
      <c r="H388" s="10" t="s">
        <v>384</v>
      </c>
      <c r="I388" s="10">
        <v>5.0</v>
      </c>
      <c r="J388" s="10">
        <v>0.01</v>
      </c>
      <c r="K388" s="10">
        <v>0.0</v>
      </c>
    </row>
    <row r="389" ht="15.75" customHeight="1">
      <c r="A389" s="7" t="s">
        <v>1905</v>
      </c>
      <c r="B389" s="12" t="s">
        <v>1907</v>
      </c>
      <c r="C389" s="14" t="s">
        <v>66</v>
      </c>
      <c r="D389" s="15" t="s">
        <v>22</v>
      </c>
      <c r="E389" s="16" t="s">
        <v>24</v>
      </c>
      <c r="F389" s="10" t="s">
        <v>25</v>
      </c>
      <c r="G389" s="10" t="b">
        <v>0</v>
      </c>
      <c r="H389" s="10" t="s">
        <v>1492</v>
      </c>
      <c r="I389" s="10">
        <v>5.0</v>
      </c>
      <c r="J389" s="10">
        <v>0.01</v>
      </c>
      <c r="K389" s="10">
        <v>0.6</v>
      </c>
    </row>
    <row r="390" ht="15.75" customHeight="1">
      <c r="A390" s="7" t="s">
        <v>1909</v>
      </c>
      <c r="B390" s="12" t="s">
        <v>1910</v>
      </c>
      <c r="C390" s="14" t="s">
        <v>98</v>
      </c>
      <c r="D390" s="15" t="s">
        <v>22</v>
      </c>
      <c r="E390" s="16" t="s">
        <v>176</v>
      </c>
      <c r="F390" s="10" t="s">
        <v>25</v>
      </c>
      <c r="G390" s="10" t="b">
        <v>0</v>
      </c>
      <c r="I390" s="10">
        <v>5.0</v>
      </c>
      <c r="J390" s="10">
        <v>0.01</v>
      </c>
      <c r="K390" s="10">
        <v>0.0</v>
      </c>
    </row>
    <row r="391" ht="15.75" customHeight="1">
      <c r="A391" s="7" t="s">
        <v>1912</v>
      </c>
      <c r="B391" s="12" t="s">
        <v>1915</v>
      </c>
      <c r="C391" s="14" t="s">
        <v>489</v>
      </c>
      <c r="D391" s="15" t="s">
        <v>749</v>
      </c>
      <c r="E391" s="16" t="s">
        <v>24</v>
      </c>
      <c r="F391" s="10" t="s">
        <v>750</v>
      </c>
      <c r="G391" s="10" t="b">
        <v>0</v>
      </c>
      <c r="H391" s="10" t="s">
        <v>1917</v>
      </c>
      <c r="I391" s="10">
        <v>5.0</v>
      </c>
      <c r="J391" s="10">
        <v>0.01</v>
      </c>
      <c r="K391" s="10">
        <v>0.0</v>
      </c>
    </row>
    <row r="392" ht="15.75" customHeight="1">
      <c r="A392" s="7" t="s">
        <v>1919</v>
      </c>
      <c r="B392" s="12" t="s">
        <v>1920</v>
      </c>
      <c r="C392" s="14" t="s">
        <v>489</v>
      </c>
      <c r="D392" s="15" t="s">
        <v>34</v>
      </c>
      <c r="E392" s="16" t="s">
        <v>24</v>
      </c>
      <c r="F392" s="10" t="s">
        <v>35</v>
      </c>
      <c r="G392" s="10" t="b">
        <v>0</v>
      </c>
      <c r="H392" s="10" t="s">
        <v>1921</v>
      </c>
      <c r="I392" s="10">
        <v>5.0</v>
      </c>
      <c r="J392" s="10">
        <v>0.01</v>
      </c>
      <c r="K392" s="10">
        <v>0.6</v>
      </c>
    </row>
    <row r="393" ht="15.75" customHeight="1">
      <c r="A393" s="7" t="s">
        <v>1922</v>
      </c>
      <c r="B393" s="12" t="s">
        <v>1924</v>
      </c>
      <c r="C393" s="14" t="s">
        <v>133</v>
      </c>
      <c r="D393" s="15" t="s">
        <v>404</v>
      </c>
      <c r="E393" s="16" t="s">
        <v>44</v>
      </c>
      <c r="F393" s="10" t="s">
        <v>405</v>
      </c>
      <c r="G393" s="10" t="b">
        <v>0</v>
      </c>
      <c r="I393" s="10">
        <v>5.0</v>
      </c>
      <c r="J393" s="10">
        <v>0.01</v>
      </c>
      <c r="K393" s="10">
        <v>1.0</v>
      </c>
    </row>
    <row r="394" ht="15.75" customHeight="1">
      <c r="A394" s="7" t="s">
        <v>1925</v>
      </c>
      <c r="B394" s="12" t="s">
        <v>1927</v>
      </c>
      <c r="C394" s="14" t="s">
        <v>23</v>
      </c>
      <c r="D394" s="15" t="s">
        <v>22</v>
      </c>
      <c r="E394" s="16" t="s">
        <v>24</v>
      </c>
      <c r="F394" s="10" t="s">
        <v>25</v>
      </c>
      <c r="G394" s="10" t="b">
        <v>0</v>
      </c>
      <c r="H394" s="10" t="s">
        <v>975</v>
      </c>
      <c r="I394" s="10">
        <v>4.0</v>
      </c>
      <c r="J394" s="10">
        <v>0.0</v>
      </c>
      <c r="K394" s="10">
        <v>0.0</v>
      </c>
    </row>
    <row r="395" ht="15.75" customHeight="1">
      <c r="A395" s="7" t="s">
        <v>1928</v>
      </c>
      <c r="B395" s="12" t="s">
        <v>1929</v>
      </c>
      <c r="C395" s="14" t="s">
        <v>23</v>
      </c>
      <c r="D395" s="15" t="s">
        <v>176</v>
      </c>
      <c r="E395" s="16" t="s">
        <v>24</v>
      </c>
      <c r="F395" s="10" t="s">
        <v>91</v>
      </c>
      <c r="G395" s="10" t="b">
        <v>0</v>
      </c>
      <c r="H395" s="10" t="s">
        <v>1930</v>
      </c>
      <c r="I395" s="10">
        <v>4.0</v>
      </c>
      <c r="J395" s="10">
        <v>0.0</v>
      </c>
      <c r="K395" s="10">
        <v>0.0</v>
      </c>
    </row>
    <row r="396" ht="15.75" customHeight="1">
      <c r="A396" s="7" t="s">
        <v>1932</v>
      </c>
      <c r="B396" s="12" t="s">
        <v>1933</v>
      </c>
      <c r="C396" s="14" t="s">
        <v>23</v>
      </c>
      <c r="D396" s="15" t="s">
        <v>22</v>
      </c>
      <c r="E396" s="16" t="s">
        <v>24</v>
      </c>
      <c r="F396" s="10" t="s">
        <v>25</v>
      </c>
      <c r="G396" s="10" t="b">
        <v>0</v>
      </c>
      <c r="H396" s="10" t="s">
        <v>1934</v>
      </c>
      <c r="I396" s="10">
        <v>4.0</v>
      </c>
      <c r="J396" s="10">
        <v>0.0</v>
      </c>
      <c r="K396" s="10">
        <v>0.75</v>
      </c>
    </row>
    <row r="397" ht="15.75" customHeight="1">
      <c r="A397" s="7" t="s">
        <v>1935</v>
      </c>
      <c r="B397" s="12" t="s">
        <v>1937</v>
      </c>
      <c r="C397" s="14" t="s">
        <v>813</v>
      </c>
      <c r="D397" s="15" t="s">
        <v>240</v>
      </c>
      <c r="E397" s="16" t="s">
        <v>24</v>
      </c>
      <c r="F397" s="10" t="s">
        <v>241</v>
      </c>
      <c r="G397" s="10" t="b">
        <v>0</v>
      </c>
      <c r="H397" s="10" t="s">
        <v>384</v>
      </c>
      <c r="I397" s="10">
        <v>4.0</v>
      </c>
      <c r="J397" s="10">
        <v>0.0</v>
      </c>
      <c r="K397" s="10">
        <v>2.0</v>
      </c>
    </row>
    <row r="398" ht="15.75" customHeight="1">
      <c r="A398" s="7" t="s">
        <v>1938</v>
      </c>
      <c r="B398" s="12" t="s">
        <v>1939</v>
      </c>
      <c r="C398" s="14" t="s">
        <v>816</v>
      </c>
      <c r="D398" s="15" t="s">
        <v>34</v>
      </c>
      <c r="E398" s="16" t="s">
        <v>24</v>
      </c>
      <c r="F398" s="10" t="s">
        <v>35</v>
      </c>
      <c r="G398" s="10" t="b">
        <v>0</v>
      </c>
      <c r="H398" s="10" t="s">
        <v>1941</v>
      </c>
      <c r="I398" s="10">
        <v>4.0</v>
      </c>
      <c r="J398" s="10">
        <v>0.0</v>
      </c>
      <c r="K398" s="10">
        <v>1.25</v>
      </c>
    </row>
    <row r="399" ht="15.75" customHeight="1">
      <c r="A399" s="7" t="s">
        <v>1942</v>
      </c>
      <c r="B399" s="16"/>
      <c r="C399" s="14" t="s">
        <v>821</v>
      </c>
      <c r="D399" s="15" t="s">
        <v>196</v>
      </c>
      <c r="E399" s="16" t="s">
        <v>24</v>
      </c>
      <c r="F399" s="10" t="s">
        <v>198</v>
      </c>
      <c r="G399" s="10" t="b">
        <v>0</v>
      </c>
      <c r="I399" s="10">
        <v>4.0</v>
      </c>
      <c r="J399" s="10">
        <v>0.0</v>
      </c>
      <c r="K399" s="10">
        <v>0.0</v>
      </c>
    </row>
    <row r="400" ht="15.75" customHeight="1">
      <c r="A400" s="7" t="s">
        <v>1945</v>
      </c>
      <c r="B400" s="12" t="s">
        <v>1946</v>
      </c>
      <c r="C400" s="14" t="s">
        <v>283</v>
      </c>
      <c r="D400" s="15" t="s">
        <v>22</v>
      </c>
      <c r="E400" s="16" t="s">
        <v>24</v>
      </c>
      <c r="F400" s="10" t="s">
        <v>25</v>
      </c>
      <c r="G400" s="10" t="b">
        <v>0</v>
      </c>
      <c r="H400" s="10" t="s">
        <v>285</v>
      </c>
      <c r="I400" s="10">
        <v>4.0</v>
      </c>
      <c r="J400" s="10">
        <v>0.0</v>
      </c>
      <c r="K400" s="10">
        <v>0.75</v>
      </c>
    </row>
    <row r="401" ht="15.75" customHeight="1">
      <c r="A401" s="7" t="s">
        <v>1948</v>
      </c>
      <c r="B401" s="12" t="s">
        <v>1949</v>
      </c>
      <c r="C401" s="14" t="s">
        <v>467</v>
      </c>
      <c r="D401" s="15" t="s">
        <v>749</v>
      </c>
      <c r="E401" s="16" t="s">
        <v>43</v>
      </c>
      <c r="F401" s="10" t="s">
        <v>750</v>
      </c>
      <c r="G401" s="10" t="b">
        <v>0</v>
      </c>
      <c r="I401" s="10">
        <v>4.0</v>
      </c>
      <c r="J401" s="10">
        <v>0.0</v>
      </c>
      <c r="K401" s="10">
        <v>2.0</v>
      </c>
    </row>
    <row r="402" ht="15.75" customHeight="1">
      <c r="A402" s="7" t="s">
        <v>1952</v>
      </c>
      <c r="B402" s="12" t="s">
        <v>1954</v>
      </c>
      <c r="C402" s="14" t="s">
        <v>341</v>
      </c>
      <c r="D402" s="15" t="s">
        <v>196</v>
      </c>
      <c r="E402" s="16" t="s">
        <v>24</v>
      </c>
      <c r="F402" s="10" t="s">
        <v>198</v>
      </c>
      <c r="G402" s="10" t="b">
        <v>0</v>
      </c>
      <c r="I402" s="10">
        <v>4.0</v>
      </c>
      <c r="J402" s="10">
        <v>0.0</v>
      </c>
      <c r="K402" s="10">
        <v>1.75</v>
      </c>
    </row>
    <row r="403" ht="15.75" customHeight="1">
      <c r="A403" s="7" t="s">
        <v>1955</v>
      </c>
      <c r="B403" s="12" t="s">
        <v>1956</v>
      </c>
      <c r="C403" s="14" t="s">
        <v>823</v>
      </c>
      <c r="D403" s="15" t="s">
        <v>240</v>
      </c>
      <c r="E403" s="16" t="s">
        <v>24</v>
      </c>
      <c r="F403" s="10" t="s">
        <v>241</v>
      </c>
      <c r="G403" s="10" t="b">
        <v>0</v>
      </c>
      <c r="I403" s="10">
        <v>4.0</v>
      </c>
      <c r="J403" s="10">
        <v>0.0</v>
      </c>
      <c r="K403" s="10">
        <v>0.5</v>
      </c>
    </row>
    <row r="404" ht="15.75" customHeight="1">
      <c r="A404" s="7" t="s">
        <v>1958</v>
      </c>
      <c r="B404" s="12" t="s">
        <v>1960</v>
      </c>
      <c r="C404" s="14" t="s">
        <v>138</v>
      </c>
      <c r="D404" s="15" t="s">
        <v>196</v>
      </c>
      <c r="E404" s="16" t="s">
        <v>176</v>
      </c>
      <c r="F404" s="10" t="s">
        <v>198</v>
      </c>
      <c r="G404" s="10" t="b">
        <v>0</v>
      </c>
      <c r="H404" s="10" t="s">
        <v>1962</v>
      </c>
      <c r="I404" s="10">
        <v>4.0</v>
      </c>
      <c r="J404" s="10">
        <v>0.0</v>
      </c>
      <c r="K404" s="10">
        <v>0.0</v>
      </c>
    </row>
    <row r="405" ht="15.75" customHeight="1">
      <c r="A405" s="7" t="s">
        <v>1963</v>
      </c>
      <c r="B405" s="12" t="s">
        <v>1964</v>
      </c>
      <c r="C405" s="14" t="s">
        <v>138</v>
      </c>
      <c r="D405" s="15" t="s">
        <v>196</v>
      </c>
      <c r="E405" s="16" t="s">
        <v>176</v>
      </c>
      <c r="F405" s="10" t="s">
        <v>198</v>
      </c>
      <c r="G405" s="10" t="b">
        <v>0</v>
      </c>
      <c r="H405" s="10" t="s">
        <v>1962</v>
      </c>
      <c r="I405" s="10">
        <v>4.0</v>
      </c>
      <c r="J405" s="10">
        <v>0.0</v>
      </c>
      <c r="K405" s="10">
        <v>1.0</v>
      </c>
    </row>
    <row r="406" ht="15.75" customHeight="1">
      <c r="A406" s="7" t="s">
        <v>1966</v>
      </c>
      <c r="B406" s="12" t="s">
        <v>1969</v>
      </c>
      <c r="C406" s="14" t="s">
        <v>138</v>
      </c>
      <c r="D406" s="15" t="s">
        <v>749</v>
      </c>
      <c r="E406" s="16" t="s">
        <v>176</v>
      </c>
      <c r="F406" s="10" t="s">
        <v>750</v>
      </c>
      <c r="G406" s="10" t="b">
        <v>0</v>
      </c>
      <c r="I406" s="10">
        <v>4.0</v>
      </c>
      <c r="J406" s="10">
        <v>0.0</v>
      </c>
      <c r="K406" s="10">
        <v>1.0</v>
      </c>
    </row>
    <row r="407" ht="15.75" customHeight="1">
      <c r="A407" s="7" t="s">
        <v>1972</v>
      </c>
      <c r="B407" s="12" t="s">
        <v>1973</v>
      </c>
      <c r="C407" s="14" t="s">
        <v>20</v>
      </c>
      <c r="D407" s="15" t="s">
        <v>22</v>
      </c>
      <c r="E407" s="16" t="s">
        <v>24</v>
      </c>
      <c r="F407" s="10" t="s">
        <v>25</v>
      </c>
      <c r="G407" s="10" t="b">
        <v>0</v>
      </c>
      <c r="H407" s="10" t="s">
        <v>1975</v>
      </c>
      <c r="I407" s="10">
        <v>4.0</v>
      </c>
      <c r="J407" s="10">
        <v>0.0</v>
      </c>
      <c r="K407" s="10">
        <v>0.0</v>
      </c>
    </row>
    <row r="408" ht="15.75" customHeight="1">
      <c r="A408" s="7" t="s">
        <v>1977</v>
      </c>
      <c r="B408" s="12" t="s">
        <v>1979</v>
      </c>
      <c r="C408" s="14" t="s">
        <v>20</v>
      </c>
      <c r="D408" s="15" t="s">
        <v>51</v>
      </c>
      <c r="E408" s="16" t="s">
        <v>24</v>
      </c>
      <c r="F408" s="10" t="s">
        <v>52</v>
      </c>
      <c r="G408" s="10" t="b">
        <v>0</v>
      </c>
      <c r="H408" s="10" t="s">
        <v>1980</v>
      </c>
      <c r="I408" s="10">
        <v>4.0</v>
      </c>
      <c r="J408" s="10">
        <v>0.0</v>
      </c>
      <c r="K408" s="10">
        <v>0.75</v>
      </c>
    </row>
    <row r="409" ht="15.75" customHeight="1">
      <c r="A409" s="7" t="s">
        <v>1981</v>
      </c>
      <c r="B409" s="12" t="s">
        <v>1984</v>
      </c>
      <c r="C409" s="14" t="s">
        <v>829</v>
      </c>
      <c r="D409" s="15" t="s">
        <v>34</v>
      </c>
      <c r="E409" s="16" t="s">
        <v>24</v>
      </c>
      <c r="F409" s="10" t="s">
        <v>35</v>
      </c>
      <c r="G409" s="10" t="b">
        <v>0</v>
      </c>
      <c r="H409" s="10" t="s">
        <v>1985</v>
      </c>
      <c r="I409" s="10">
        <v>4.0</v>
      </c>
      <c r="J409" s="10">
        <v>0.0</v>
      </c>
      <c r="K409" s="10">
        <v>1.25</v>
      </c>
    </row>
    <row r="410" ht="15.75" customHeight="1">
      <c r="A410" s="7" t="s">
        <v>1986</v>
      </c>
      <c r="B410" s="12" t="s">
        <v>1987</v>
      </c>
      <c r="C410" s="12" t="s">
        <v>702</v>
      </c>
      <c r="D410" s="15" t="s">
        <v>34</v>
      </c>
      <c r="E410" s="16" t="s">
        <v>24</v>
      </c>
      <c r="F410" s="10" t="s">
        <v>35</v>
      </c>
      <c r="G410" s="10" t="b">
        <v>0</v>
      </c>
      <c r="H410" s="10" t="s">
        <v>703</v>
      </c>
      <c r="I410" s="10">
        <v>4.0</v>
      </c>
      <c r="J410" s="10">
        <v>0.0</v>
      </c>
      <c r="K410" s="10">
        <v>1.25</v>
      </c>
    </row>
    <row r="411" ht="15.75" customHeight="1">
      <c r="A411" s="7" t="s">
        <v>1989</v>
      </c>
      <c r="B411" s="16"/>
      <c r="C411" s="14" t="s">
        <v>648</v>
      </c>
      <c r="D411" s="15" t="s">
        <v>176</v>
      </c>
      <c r="E411" s="16" t="s">
        <v>24</v>
      </c>
      <c r="F411" s="10" t="s">
        <v>91</v>
      </c>
      <c r="H411" s="10" t="s">
        <v>948</v>
      </c>
      <c r="I411" s="10">
        <v>4.0</v>
      </c>
      <c r="J411" s="10">
        <v>0.0</v>
      </c>
      <c r="K411" s="10">
        <v>1.75</v>
      </c>
    </row>
    <row r="412" ht="15.75" customHeight="1">
      <c r="A412" s="7" t="s">
        <v>1991</v>
      </c>
      <c r="B412" s="12" t="s">
        <v>1992</v>
      </c>
      <c r="C412" s="14" t="s">
        <v>193</v>
      </c>
      <c r="D412" s="15" t="s">
        <v>51</v>
      </c>
      <c r="E412" s="16" t="s">
        <v>44</v>
      </c>
      <c r="F412" s="10" t="s">
        <v>52</v>
      </c>
      <c r="G412" s="10" t="b">
        <v>0</v>
      </c>
      <c r="H412" s="10" t="s">
        <v>1994</v>
      </c>
      <c r="I412" s="10">
        <v>4.0</v>
      </c>
      <c r="J412" s="10">
        <v>0.0</v>
      </c>
      <c r="K412" s="10">
        <v>1.25</v>
      </c>
    </row>
    <row r="413" ht="15.75" customHeight="1">
      <c r="A413" s="7" t="s">
        <v>1995</v>
      </c>
      <c r="B413" s="12" t="s">
        <v>1996</v>
      </c>
      <c r="C413" s="14" t="s">
        <v>764</v>
      </c>
      <c r="D413" s="15" t="s">
        <v>34</v>
      </c>
      <c r="E413" s="16" t="s">
        <v>43</v>
      </c>
      <c r="F413" s="10" t="s">
        <v>35</v>
      </c>
      <c r="G413" s="10" t="b">
        <v>0</v>
      </c>
      <c r="H413" s="10" t="s">
        <v>1999</v>
      </c>
      <c r="I413" s="10">
        <v>4.0</v>
      </c>
      <c r="J413" s="10">
        <v>0.0</v>
      </c>
      <c r="K413" s="10">
        <v>0.0</v>
      </c>
    </row>
    <row r="414" ht="15.75" customHeight="1">
      <c r="A414" s="7" t="s">
        <v>2000</v>
      </c>
      <c r="B414" s="12" t="s">
        <v>2001</v>
      </c>
      <c r="C414" s="14" t="s">
        <v>537</v>
      </c>
      <c r="D414" s="15" t="s">
        <v>749</v>
      </c>
      <c r="E414" s="16" t="s">
        <v>43</v>
      </c>
      <c r="F414" s="10" t="s">
        <v>750</v>
      </c>
      <c r="G414" s="10" t="b">
        <v>0</v>
      </c>
      <c r="H414" s="10" t="s">
        <v>2003</v>
      </c>
      <c r="I414" s="10">
        <v>4.0</v>
      </c>
      <c r="J414" s="10">
        <v>0.0</v>
      </c>
      <c r="K414" s="10">
        <v>1.25</v>
      </c>
    </row>
    <row r="415" ht="15.75" customHeight="1">
      <c r="A415" s="7" t="s">
        <v>2005</v>
      </c>
      <c r="B415" s="12" t="s">
        <v>2006</v>
      </c>
      <c r="C415" s="14" t="s">
        <v>537</v>
      </c>
      <c r="D415" s="15" t="s">
        <v>51</v>
      </c>
      <c r="E415" s="16" t="s">
        <v>43</v>
      </c>
      <c r="F415" s="10" t="s">
        <v>52</v>
      </c>
      <c r="G415" s="10" t="b">
        <v>0</v>
      </c>
      <c r="H415" s="10" t="s">
        <v>2008</v>
      </c>
      <c r="I415" s="10">
        <v>4.0</v>
      </c>
      <c r="J415" s="10">
        <v>0.0</v>
      </c>
      <c r="K415" s="10">
        <v>1.5</v>
      </c>
    </row>
    <row r="416" ht="15.75" customHeight="1">
      <c r="A416" s="7" t="s">
        <v>2009</v>
      </c>
      <c r="B416" s="12" t="s">
        <v>2010</v>
      </c>
      <c r="C416" s="14" t="s">
        <v>833</v>
      </c>
      <c r="D416" s="15" t="s">
        <v>196</v>
      </c>
      <c r="E416" s="16" t="s">
        <v>24</v>
      </c>
      <c r="F416" s="10" t="s">
        <v>198</v>
      </c>
      <c r="G416" s="10" t="b">
        <v>0</v>
      </c>
      <c r="I416" s="10">
        <v>4.0</v>
      </c>
      <c r="J416" s="10">
        <v>0.0</v>
      </c>
      <c r="K416" s="10">
        <v>0.0</v>
      </c>
    </row>
    <row r="417" ht="15.75" customHeight="1">
      <c r="A417" s="7" t="s">
        <v>2012</v>
      </c>
      <c r="B417" s="12" t="s">
        <v>2014</v>
      </c>
      <c r="C417" s="14" t="s">
        <v>460</v>
      </c>
      <c r="D417" s="15" t="s">
        <v>176</v>
      </c>
      <c r="E417" s="16" t="s">
        <v>107</v>
      </c>
      <c r="F417" s="10" t="s">
        <v>91</v>
      </c>
      <c r="G417" s="10" t="b">
        <v>0</v>
      </c>
      <c r="H417" s="10" t="s">
        <v>461</v>
      </c>
      <c r="I417" s="10">
        <v>4.0</v>
      </c>
      <c r="J417" s="10">
        <v>0.0</v>
      </c>
      <c r="K417" s="10">
        <v>1.5</v>
      </c>
    </row>
    <row r="418" ht="15.75" customHeight="1">
      <c r="A418" s="7" t="s">
        <v>2016</v>
      </c>
      <c r="B418" s="12" t="s">
        <v>2018</v>
      </c>
      <c r="C418" s="14" t="s">
        <v>48</v>
      </c>
      <c r="D418" s="15" t="s">
        <v>34</v>
      </c>
      <c r="E418" s="16" t="s">
        <v>24</v>
      </c>
      <c r="F418" s="10" t="s">
        <v>35</v>
      </c>
      <c r="G418" s="10" t="b">
        <v>0</v>
      </c>
      <c r="H418" s="10" t="s">
        <v>2019</v>
      </c>
      <c r="I418" s="10">
        <v>4.0</v>
      </c>
      <c r="J418" s="10">
        <v>0.0</v>
      </c>
      <c r="K418" s="10">
        <v>0.0</v>
      </c>
    </row>
    <row r="419" ht="15.75" customHeight="1">
      <c r="A419" s="7" t="s">
        <v>2021</v>
      </c>
      <c r="B419" s="16"/>
      <c r="C419" s="14" t="s">
        <v>370</v>
      </c>
      <c r="D419" s="15" t="s">
        <v>176</v>
      </c>
      <c r="E419" s="16" t="s">
        <v>24</v>
      </c>
      <c r="F419" s="10" t="s">
        <v>91</v>
      </c>
      <c r="H419" s="10" t="s">
        <v>948</v>
      </c>
      <c r="I419" s="10">
        <v>4.0</v>
      </c>
      <c r="J419" s="10">
        <v>0.0</v>
      </c>
      <c r="K419" s="10">
        <v>0.0</v>
      </c>
    </row>
    <row r="420" ht="15.75" customHeight="1">
      <c r="A420" s="7" t="s">
        <v>2024</v>
      </c>
      <c r="B420" s="16"/>
      <c r="C420" s="14" t="s">
        <v>370</v>
      </c>
      <c r="D420" s="15" t="s">
        <v>176</v>
      </c>
      <c r="E420" s="16" t="s">
        <v>24</v>
      </c>
      <c r="F420" s="10" t="s">
        <v>91</v>
      </c>
      <c r="H420" s="10" t="s">
        <v>948</v>
      </c>
      <c r="I420" s="10">
        <v>4.0</v>
      </c>
      <c r="J420" s="10">
        <v>0.0</v>
      </c>
      <c r="K420" s="10">
        <v>0.25</v>
      </c>
    </row>
    <row r="421" ht="15.75" customHeight="1">
      <c r="A421" s="7" t="s">
        <v>2026</v>
      </c>
      <c r="B421" s="12" t="s">
        <v>2028</v>
      </c>
      <c r="C421" s="14" t="s">
        <v>41</v>
      </c>
      <c r="D421" s="15" t="s">
        <v>51</v>
      </c>
      <c r="E421" s="16" t="s">
        <v>44</v>
      </c>
      <c r="F421" s="10" t="s">
        <v>52</v>
      </c>
      <c r="G421" s="10" t="b">
        <v>0</v>
      </c>
      <c r="H421" s="10" t="s">
        <v>775</v>
      </c>
      <c r="I421" s="10">
        <v>4.0</v>
      </c>
      <c r="J421" s="10">
        <v>0.0</v>
      </c>
      <c r="K421" s="10">
        <v>1.0</v>
      </c>
    </row>
    <row r="422" ht="15.75" customHeight="1">
      <c r="A422" s="7" t="s">
        <v>2030</v>
      </c>
      <c r="B422" s="12" t="s">
        <v>2031</v>
      </c>
      <c r="C422" s="14" t="s">
        <v>41</v>
      </c>
      <c r="D422" s="15" t="s">
        <v>22</v>
      </c>
      <c r="E422" s="16" t="s">
        <v>44</v>
      </c>
      <c r="F422" s="10" t="s">
        <v>25</v>
      </c>
      <c r="G422" s="10" t="b">
        <v>0</v>
      </c>
      <c r="H422" s="10" t="s">
        <v>2032</v>
      </c>
      <c r="I422" s="10">
        <v>4.0</v>
      </c>
      <c r="J422" s="10">
        <v>0.0</v>
      </c>
      <c r="K422" s="10">
        <v>0.25</v>
      </c>
    </row>
    <row r="423" ht="15.75" customHeight="1">
      <c r="A423" s="7" t="s">
        <v>2033</v>
      </c>
      <c r="B423" s="12" t="s">
        <v>2035</v>
      </c>
      <c r="C423" s="14" t="s">
        <v>840</v>
      </c>
      <c r="D423" s="15" t="s">
        <v>196</v>
      </c>
      <c r="E423" s="16" t="s">
        <v>24</v>
      </c>
      <c r="F423" s="10" t="s">
        <v>198</v>
      </c>
      <c r="G423" s="10" t="b">
        <v>0</v>
      </c>
      <c r="H423" s="10" t="s">
        <v>842</v>
      </c>
      <c r="I423" s="10">
        <v>4.0</v>
      </c>
      <c r="J423" s="10">
        <v>0.0</v>
      </c>
      <c r="K423" s="10">
        <v>1.25</v>
      </c>
    </row>
    <row r="424" ht="15.75" customHeight="1">
      <c r="A424" s="7" t="s">
        <v>2038</v>
      </c>
      <c r="B424" s="12" t="s">
        <v>2041</v>
      </c>
      <c r="C424" s="14" t="s">
        <v>844</v>
      </c>
      <c r="D424" s="15" t="s">
        <v>577</v>
      </c>
      <c r="E424" s="16" t="s">
        <v>24</v>
      </c>
      <c r="F424" s="10" t="s">
        <v>578</v>
      </c>
      <c r="G424" s="10" t="b">
        <v>0</v>
      </c>
      <c r="H424" s="10" t="s">
        <v>2042</v>
      </c>
      <c r="I424" s="10">
        <v>4.0</v>
      </c>
      <c r="J424" s="10">
        <v>0.0</v>
      </c>
      <c r="K424" s="10">
        <v>0.0</v>
      </c>
    </row>
    <row r="425" ht="15.75" customHeight="1">
      <c r="A425" s="7" t="s">
        <v>2043</v>
      </c>
      <c r="B425" s="12" t="s">
        <v>600</v>
      </c>
      <c r="C425" s="14" t="s">
        <v>208</v>
      </c>
      <c r="D425" s="15" t="s">
        <v>51</v>
      </c>
      <c r="E425" s="16" t="s">
        <v>43</v>
      </c>
      <c r="F425" s="10" t="s">
        <v>52</v>
      </c>
      <c r="G425" s="10" t="b">
        <v>0</v>
      </c>
      <c r="H425" s="10" t="s">
        <v>336</v>
      </c>
      <c r="I425" s="10">
        <v>4.0</v>
      </c>
      <c r="J425" s="10">
        <v>0.0</v>
      </c>
      <c r="K425" s="10">
        <v>1.75</v>
      </c>
    </row>
    <row r="426" ht="15.75" customHeight="1">
      <c r="A426" s="7" t="s">
        <v>2047</v>
      </c>
      <c r="B426" s="12" t="s">
        <v>2049</v>
      </c>
      <c r="C426" s="14" t="s">
        <v>445</v>
      </c>
      <c r="D426" s="15" t="s">
        <v>240</v>
      </c>
      <c r="E426" s="16" t="s">
        <v>107</v>
      </c>
      <c r="F426" s="10" t="s">
        <v>241</v>
      </c>
      <c r="G426" s="10" t="b">
        <v>0</v>
      </c>
      <c r="H426" s="10" t="s">
        <v>448</v>
      </c>
      <c r="I426" s="10">
        <v>4.0</v>
      </c>
      <c r="J426" s="10">
        <v>0.0</v>
      </c>
      <c r="K426" s="10">
        <v>0.25</v>
      </c>
    </row>
    <row r="427" ht="15.75" customHeight="1">
      <c r="A427" s="7" t="s">
        <v>2051</v>
      </c>
      <c r="B427" s="12" t="s">
        <v>2054</v>
      </c>
      <c r="C427" s="14" t="s">
        <v>445</v>
      </c>
      <c r="D427" s="15" t="s">
        <v>51</v>
      </c>
      <c r="E427" s="16" t="s">
        <v>107</v>
      </c>
      <c r="F427" s="10" t="s">
        <v>52</v>
      </c>
      <c r="G427" s="10" t="b">
        <v>0</v>
      </c>
      <c r="H427" s="10" t="s">
        <v>448</v>
      </c>
      <c r="I427" s="10">
        <v>4.0</v>
      </c>
      <c r="J427" s="10">
        <v>0.0</v>
      </c>
      <c r="K427" s="10">
        <v>0.0</v>
      </c>
    </row>
    <row r="428" ht="15.75" customHeight="1">
      <c r="A428" s="7" t="s">
        <v>2055</v>
      </c>
      <c r="B428" s="12" t="s">
        <v>2057</v>
      </c>
      <c r="C428" s="14" t="s">
        <v>737</v>
      </c>
      <c r="D428" s="15" t="s">
        <v>51</v>
      </c>
      <c r="E428" s="16" t="s">
        <v>1000</v>
      </c>
      <c r="F428" s="10" t="s">
        <v>52</v>
      </c>
      <c r="G428" s="10" t="b">
        <v>0</v>
      </c>
      <c r="H428" s="10" t="s">
        <v>1631</v>
      </c>
      <c r="I428" s="10">
        <v>4.0</v>
      </c>
      <c r="J428" s="10">
        <v>0.0</v>
      </c>
      <c r="K428" s="10">
        <v>1.25</v>
      </c>
    </row>
    <row r="429" ht="15.75" customHeight="1">
      <c r="A429" s="7" t="s">
        <v>2059</v>
      </c>
      <c r="B429" s="12" t="s">
        <v>2061</v>
      </c>
      <c r="C429" s="14" t="s">
        <v>452</v>
      </c>
      <c r="D429" s="15" t="s">
        <v>196</v>
      </c>
      <c r="E429" s="16" t="s">
        <v>107</v>
      </c>
      <c r="F429" s="10" t="s">
        <v>198</v>
      </c>
      <c r="G429" s="10" t="b">
        <v>0</v>
      </c>
      <c r="H429" s="10" t="s">
        <v>2063</v>
      </c>
      <c r="I429" s="10">
        <v>4.0</v>
      </c>
      <c r="J429" s="10">
        <v>0.0</v>
      </c>
      <c r="K429" s="10">
        <v>1.0</v>
      </c>
    </row>
    <row r="430" ht="15.75" customHeight="1">
      <c r="A430" s="7" t="s">
        <v>2065</v>
      </c>
      <c r="B430" s="12" t="s">
        <v>97</v>
      </c>
      <c r="C430" s="14" t="s">
        <v>73</v>
      </c>
      <c r="D430" s="15" t="s">
        <v>51</v>
      </c>
      <c r="E430" s="16" t="s">
        <v>99</v>
      </c>
      <c r="F430" s="10" t="s">
        <v>52</v>
      </c>
      <c r="G430" s="10" t="b">
        <v>0</v>
      </c>
      <c r="H430" s="10" t="s">
        <v>2068</v>
      </c>
      <c r="I430" s="10">
        <v>4.0</v>
      </c>
      <c r="J430" s="10">
        <v>0.0</v>
      </c>
      <c r="K430" s="10">
        <v>0.0</v>
      </c>
    </row>
    <row r="431" ht="15.75" customHeight="1">
      <c r="A431" s="7" t="s">
        <v>2069</v>
      </c>
      <c r="B431" s="12" t="s">
        <v>2071</v>
      </c>
      <c r="C431" s="14" t="s">
        <v>393</v>
      </c>
      <c r="D431" s="15" t="s">
        <v>34</v>
      </c>
      <c r="E431" s="16" t="s">
        <v>24</v>
      </c>
      <c r="F431" s="10" t="s">
        <v>35</v>
      </c>
      <c r="G431" s="10" t="b">
        <v>0</v>
      </c>
      <c r="H431" s="10" t="s">
        <v>2072</v>
      </c>
      <c r="I431" s="10">
        <v>4.0</v>
      </c>
      <c r="J431" s="10">
        <v>0.0</v>
      </c>
      <c r="K431" s="10">
        <v>3.75</v>
      </c>
    </row>
    <row r="432" ht="15.75" customHeight="1">
      <c r="A432" s="7" t="s">
        <v>2073</v>
      </c>
      <c r="B432" s="12" t="s">
        <v>2075</v>
      </c>
      <c r="C432" s="14" t="s">
        <v>29</v>
      </c>
      <c r="D432" s="15" t="s">
        <v>34</v>
      </c>
      <c r="E432" s="16" t="s">
        <v>24</v>
      </c>
      <c r="F432" s="10" t="s">
        <v>35</v>
      </c>
      <c r="G432" s="10" t="b">
        <v>0</v>
      </c>
      <c r="H432" s="10" t="s">
        <v>296</v>
      </c>
      <c r="I432" s="10">
        <v>4.0</v>
      </c>
      <c r="J432" s="10">
        <v>0.0</v>
      </c>
      <c r="K432" s="10">
        <v>0.0</v>
      </c>
    </row>
    <row r="433" ht="15.75" customHeight="1">
      <c r="A433" s="7" t="s">
        <v>2076</v>
      </c>
      <c r="B433" s="12" t="s">
        <v>2079</v>
      </c>
      <c r="C433" s="14" t="s">
        <v>29</v>
      </c>
      <c r="D433" s="15" t="s">
        <v>34</v>
      </c>
      <c r="E433" s="16" t="s">
        <v>24</v>
      </c>
      <c r="F433" s="10" t="s">
        <v>35</v>
      </c>
      <c r="G433" s="10" t="b">
        <v>0</v>
      </c>
      <c r="H433" s="10" t="s">
        <v>296</v>
      </c>
      <c r="I433" s="10">
        <v>4.0</v>
      </c>
      <c r="J433" s="10">
        <v>0.0</v>
      </c>
      <c r="K433" s="10">
        <v>0.0</v>
      </c>
    </row>
    <row r="434" ht="15.75" customHeight="1">
      <c r="A434" s="7" t="s">
        <v>2081</v>
      </c>
      <c r="B434" s="12" t="s">
        <v>2082</v>
      </c>
      <c r="C434" s="14" t="s">
        <v>857</v>
      </c>
      <c r="D434" s="15" t="s">
        <v>34</v>
      </c>
      <c r="E434" s="16" t="s">
        <v>24</v>
      </c>
      <c r="F434" s="10" t="s">
        <v>35</v>
      </c>
      <c r="G434" s="10" t="b">
        <v>0</v>
      </c>
      <c r="H434" s="10" t="s">
        <v>2085</v>
      </c>
      <c r="I434" s="10">
        <v>4.0</v>
      </c>
      <c r="J434" s="10">
        <v>0.0</v>
      </c>
      <c r="K434" s="10">
        <v>0.75</v>
      </c>
    </row>
    <row r="435" ht="15.75" customHeight="1">
      <c r="A435" s="7" t="s">
        <v>2086</v>
      </c>
      <c r="B435" s="12" t="s">
        <v>2088</v>
      </c>
      <c r="C435" s="14" t="s">
        <v>79</v>
      </c>
      <c r="D435" s="15" t="s">
        <v>34</v>
      </c>
      <c r="E435" s="16" t="s">
        <v>24</v>
      </c>
      <c r="F435" s="10" t="s">
        <v>35</v>
      </c>
      <c r="G435" s="10" t="b">
        <v>0</v>
      </c>
      <c r="H435" s="10" t="s">
        <v>2090</v>
      </c>
      <c r="I435" s="10">
        <v>4.0</v>
      </c>
      <c r="J435" s="10">
        <v>0.0</v>
      </c>
      <c r="K435" s="10">
        <v>2.0</v>
      </c>
    </row>
    <row r="436" ht="15.75" customHeight="1">
      <c r="A436" s="7" t="s">
        <v>2091</v>
      </c>
      <c r="B436" s="12" t="s">
        <v>2092</v>
      </c>
      <c r="C436" s="14" t="s">
        <v>860</v>
      </c>
      <c r="D436" s="15" t="s">
        <v>240</v>
      </c>
      <c r="E436" s="16" t="s">
        <v>24</v>
      </c>
      <c r="F436" s="10" t="s">
        <v>241</v>
      </c>
      <c r="G436" s="10" t="b">
        <v>0</v>
      </c>
      <c r="H436" s="10" t="s">
        <v>863</v>
      </c>
      <c r="I436" s="10">
        <v>4.0</v>
      </c>
      <c r="J436" s="10">
        <v>0.0</v>
      </c>
      <c r="K436" s="10">
        <v>2.0</v>
      </c>
    </row>
    <row r="437" ht="15.75" customHeight="1">
      <c r="A437" s="7" t="s">
        <v>2094</v>
      </c>
      <c r="B437" s="16"/>
      <c r="C437" s="14" t="s">
        <v>358</v>
      </c>
      <c r="D437" s="15" t="s">
        <v>176</v>
      </c>
      <c r="E437" s="16" t="s">
        <v>24</v>
      </c>
      <c r="F437" s="10" t="s">
        <v>91</v>
      </c>
      <c r="G437" s="10" t="b">
        <v>0</v>
      </c>
      <c r="H437" s="10" t="s">
        <v>2095</v>
      </c>
      <c r="I437" s="10">
        <v>4.0</v>
      </c>
      <c r="J437" s="10">
        <v>0.0</v>
      </c>
      <c r="K437" s="10">
        <v>0.0</v>
      </c>
    </row>
    <row r="438" ht="15.75" customHeight="1">
      <c r="A438" s="7" t="s">
        <v>2096</v>
      </c>
      <c r="B438" s="12" t="s">
        <v>180</v>
      </c>
      <c r="C438" s="14" t="s">
        <v>179</v>
      </c>
      <c r="D438" s="15" t="s">
        <v>240</v>
      </c>
      <c r="E438" s="16" t="s">
        <v>107</v>
      </c>
      <c r="F438" s="10" t="s">
        <v>241</v>
      </c>
      <c r="G438" s="10" t="b">
        <v>0</v>
      </c>
      <c r="H438" s="10" t="s">
        <v>180</v>
      </c>
      <c r="I438" s="10">
        <v>4.0</v>
      </c>
      <c r="J438" s="10">
        <v>0.0</v>
      </c>
      <c r="K438" s="10">
        <v>1.0</v>
      </c>
    </row>
    <row r="439" ht="15.75" customHeight="1">
      <c r="A439" s="7" t="s">
        <v>2098</v>
      </c>
      <c r="B439" s="12" t="s">
        <v>2100</v>
      </c>
      <c r="C439" s="14" t="s">
        <v>865</v>
      </c>
      <c r="D439" s="15" t="s">
        <v>240</v>
      </c>
      <c r="E439" s="16" t="s">
        <v>24</v>
      </c>
      <c r="F439" s="10" t="s">
        <v>241</v>
      </c>
      <c r="G439" s="10" t="b">
        <v>0</v>
      </c>
      <c r="I439" s="10">
        <v>4.0</v>
      </c>
      <c r="J439" s="10">
        <v>0.0</v>
      </c>
      <c r="K439" s="10">
        <v>1.25</v>
      </c>
    </row>
    <row r="440" ht="15.75" customHeight="1">
      <c r="A440" s="7" t="s">
        <v>2103</v>
      </c>
      <c r="B440" s="12" t="s">
        <v>2105</v>
      </c>
      <c r="C440" s="14" t="s">
        <v>592</v>
      </c>
      <c r="D440" s="15" t="s">
        <v>34</v>
      </c>
      <c r="E440" s="16" t="s">
        <v>99</v>
      </c>
      <c r="F440" s="10" t="s">
        <v>35</v>
      </c>
      <c r="G440" s="10" t="b">
        <v>0</v>
      </c>
      <c r="H440" s="10" t="s">
        <v>2106</v>
      </c>
      <c r="I440" s="10">
        <v>4.0</v>
      </c>
      <c r="J440" s="10">
        <v>0.0</v>
      </c>
      <c r="K440" s="10">
        <v>0.75</v>
      </c>
    </row>
    <row r="441" ht="15.75" customHeight="1">
      <c r="A441" s="7" t="s">
        <v>2108</v>
      </c>
      <c r="B441" s="12" t="s">
        <v>2112</v>
      </c>
      <c r="C441" s="14" t="s">
        <v>788</v>
      </c>
      <c r="D441" s="15" t="s">
        <v>51</v>
      </c>
      <c r="E441" s="16" t="s">
        <v>1000</v>
      </c>
      <c r="F441" s="10" t="s">
        <v>52</v>
      </c>
      <c r="G441" s="10" t="b">
        <v>0</v>
      </c>
      <c r="H441" s="10" t="s">
        <v>2116</v>
      </c>
      <c r="I441" s="10">
        <v>4.0</v>
      </c>
      <c r="J441" s="10">
        <v>0.0</v>
      </c>
      <c r="K441" s="10">
        <v>0.0</v>
      </c>
    </row>
    <row r="442" ht="15.75" customHeight="1">
      <c r="A442" s="7" t="s">
        <v>2117</v>
      </c>
      <c r="B442" s="12" t="s">
        <v>2120</v>
      </c>
      <c r="C442" s="14" t="s">
        <v>651</v>
      </c>
      <c r="D442" s="15" t="s">
        <v>196</v>
      </c>
      <c r="E442" s="16" t="s">
        <v>107</v>
      </c>
      <c r="F442" s="10" t="s">
        <v>198</v>
      </c>
      <c r="G442" s="10" t="b">
        <v>0</v>
      </c>
      <c r="H442" s="10" t="s">
        <v>2124</v>
      </c>
      <c r="I442" s="10">
        <v>4.0</v>
      </c>
      <c r="J442" s="10">
        <v>0.0</v>
      </c>
      <c r="K442" s="10">
        <v>0.75</v>
      </c>
    </row>
    <row r="443" ht="15.75" customHeight="1">
      <c r="A443" s="7" t="s">
        <v>2125</v>
      </c>
      <c r="B443" s="12" t="s">
        <v>2127</v>
      </c>
      <c r="C443" s="14" t="s">
        <v>89</v>
      </c>
      <c r="D443" s="15" t="s">
        <v>51</v>
      </c>
      <c r="E443" s="16" t="s">
        <v>176</v>
      </c>
      <c r="F443" s="10" t="s">
        <v>52</v>
      </c>
      <c r="G443" s="10" t="b">
        <v>0</v>
      </c>
      <c r="H443" s="10" t="s">
        <v>623</v>
      </c>
      <c r="I443" s="10">
        <v>4.0</v>
      </c>
      <c r="J443" s="10">
        <v>0.0</v>
      </c>
      <c r="K443" s="10">
        <v>0.0</v>
      </c>
    </row>
    <row r="444" ht="15.75" customHeight="1">
      <c r="A444" s="7" t="s">
        <v>2129</v>
      </c>
      <c r="B444" s="12" t="s">
        <v>2130</v>
      </c>
      <c r="C444" s="14" t="s">
        <v>266</v>
      </c>
      <c r="D444" s="15" t="s">
        <v>176</v>
      </c>
      <c r="E444" s="16" t="s">
        <v>24</v>
      </c>
      <c r="F444" s="10" t="s">
        <v>91</v>
      </c>
      <c r="G444" s="10" t="b">
        <v>0</v>
      </c>
      <c r="H444" s="10" t="s">
        <v>1613</v>
      </c>
      <c r="I444" s="10">
        <v>4.0</v>
      </c>
      <c r="J444" s="10">
        <v>0.0</v>
      </c>
      <c r="K444" s="10">
        <v>0.0</v>
      </c>
    </row>
    <row r="445" ht="15.75" customHeight="1">
      <c r="A445" s="7" t="s">
        <v>2131</v>
      </c>
      <c r="B445" s="12" t="s">
        <v>2133</v>
      </c>
      <c r="C445" s="14" t="s">
        <v>84</v>
      </c>
      <c r="D445" s="15" t="s">
        <v>222</v>
      </c>
      <c r="E445" s="16" t="s">
        <v>44</v>
      </c>
      <c r="F445" s="10" t="s">
        <v>223</v>
      </c>
      <c r="G445" s="10" t="b">
        <v>0</v>
      </c>
      <c r="H445" s="10" t="s">
        <v>2134</v>
      </c>
      <c r="I445" s="10">
        <v>4.0</v>
      </c>
      <c r="J445" s="10">
        <v>0.0</v>
      </c>
      <c r="K445" s="10">
        <v>1.5</v>
      </c>
    </row>
    <row r="446" ht="15.75" customHeight="1">
      <c r="A446" s="7" t="s">
        <v>2135</v>
      </c>
      <c r="B446" s="12" t="s">
        <v>2137</v>
      </c>
      <c r="C446" s="14" t="s">
        <v>680</v>
      </c>
      <c r="D446" s="15" t="s">
        <v>749</v>
      </c>
      <c r="E446" s="16" t="s">
        <v>99</v>
      </c>
      <c r="F446" s="10" t="s">
        <v>750</v>
      </c>
      <c r="G446" s="10" t="b">
        <v>0</v>
      </c>
      <c r="H446" s="10" t="s">
        <v>1562</v>
      </c>
      <c r="I446" s="10">
        <v>4.0</v>
      </c>
      <c r="J446" s="10">
        <v>0.0</v>
      </c>
      <c r="K446" s="10">
        <v>1.5</v>
      </c>
    </row>
    <row r="447" ht="15.75" customHeight="1">
      <c r="A447" s="7" t="s">
        <v>2139</v>
      </c>
      <c r="B447" s="12" t="s">
        <v>2142</v>
      </c>
      <c r="C447" s="14" t="s">
        <v>871</v>
      </c>
      <c r="D447" s="15" t="s">
        <v>34</v>
      </c>
      <c r="E447" s="16" t="s">
        <v>24</v>
      </c>
      <c r="F447" s="10" t="s">
        <v>35</v>
      </c>
      <c r="G447" s="10" t="b">
        <v>0</v>
      </c>
      <c r="H447" s="10" t="s">
        <v>574</v>
      </c>
      <c r="I447" s="10">
        <v>4.0</v>
      </c>
      <c r="J447" s="10">
        <v>0.0</v>
      </c>
      <c r="K447" s="10">
        <v>2.25</v>
      </c>
    </row>
    <row r="448" ht="15.75" customHeight="1">
      <c r="A448" s="7" t="s">
        <v>2146</v>
      </c>
      <c r="B448" s="12" t="s">
        <v>2148</v>
      </c>
      <c r="C448" s="14" t="s">
        <v>875</v>
      </c>
      <c r="D448" s="15" t="s">
        <v>240</v>
      </c>
      <c r="E448" s="16" t="s">
        <v>107</v>
      </c>
      <c r="F448" s="10" t="s">
        <v>241</v>
      </c>
      <c r="G448" s="10" t="b">
        <v>0</v>
      </c>
      <c r="H448" s="10" t="s">
        <v>877</v>
      </c>
      <c r="I448" s="10">
        <v>4.0</v>
      </c>
      <c r="J448" s="10">
        <v>0.0</v>
      </c>
      <c r="K448" s="10">
        <v>0.0</v>
      </c>
    </row>
    <row r="449" ht="15.75" customHeight="1">
      <c r="A449" s="7" t="s">
        <v>2151</v>
      </c>
      <c r="B449" s="12" t="s">
        <v>2153</v>
      </c>
      <c r="C449" s="14" t="s">
        <v>213</v>
      </c>
      <c r="D449" s="15" t="s">
        <v>2154</v>
      </c>
      <c r="E449" s="16" t="s">
        <v>107</v>
      </c>
      <c r="F449" s="10" t="s">
        <v>2155</v>
      </c>
      <c r="G449" s="10" t="b">
        <v>0</v>
      </c>
      <c r="H449" s="10" t="s">
        <v>2157</v>
      </c>
      <c r="I449" s="10">
        <v>4.0</v>
      </c>
      <c r="J449" s="10">
        <v>0.0</v>
      </c>
      <c r="K449" s="10">
        <v>0.75</v>
      </c>
    </row>
    <row r="450" ht="15.75" customHeight="1">
      <c r="A450" s="7" t="s">
        <v>2159</v>
      </c>
      <c r="B450" s="12" t="s">
        <v>2161</v>
      </c>
      <c r="C450" s="14" t="s">
        <v>761</v>
      </c>
      <c r="D450" s="15" t="s">
        <v>22</v>
      </c>
      <c r="E450" s="16" t="s">
        <v>24</v>
      </c>
      <c r="F450" s="10" t="s">
        <v>25</v>
      </c>
      <c r="G450" s="10" t="b">
        <v>0</v>
      </c>
      <c r="H450" s="10" t="s">
        <v>2163</v>
      </c>
      <c r="I450" s="10">
        <v>4.0</v>
      </c>
      <c r="J450" s="10">
        <v>0.0</v>
      </c>
      <c r="K450" s="10">
        <v>0.5</v>
      </c>
    </row>
    <row r="451" ht="15.75" customHeight="1">
      <c r="A451" s="7" t="s">
        <v>2164</v>
      </c>
      <c r="B451" s="12" t="s">
        <v>2167</v>
      </c>
      <c r="C451" s="14" t="s">
        <v>16</v>
      </c>
      <c r="D451" s="15" t="s">
        <v>749</v>
      </c>
      <c r="E451" s="16" t="s">
        <v>24</v>
      </c>
      <c r="F451" s="10" t="s">
        <v>750</v>
      </c>
      <c r="G451" s="10" t="b">
        <v>0</v>
      </c>
      <c r="H451" s="10" t="s">
        <v>2168</v>
      </c>
      <c r="I451" s="10">
        <v>4.0</v>
      </c>
      <c r="J451" s="10">
        <v>0.0</v>
      </c>
      <c r="K451" s="10">
        <v>0.0</v>
      </c>
    </row>
    <row r="452" ht="15.75" customHeight="1">
      <c r="A452" s="7" t="s">
        <v>2169</v>
      </c>
      <c r="B452" s="12" t="s">
        <v>2171</v>
      </c>
      <c r="C452" s="14" t="s">
        <v>16</v>
      </c>
      <c r="D452" s="15" t="s">
        <v>22</v>
      </c>
      <c r="E452" s="16" t="s">
        <v>24</v>
      </c>
      <c r="F452" s="10" t="s">
        <v>25</v>
      </c>
      <c r="G452" s="10" t="b">
        <v>0</v>
      </c>
      <c r="H452" s="10" t="s">
        <v>1392</v>
      </c>
      <c r="I452" s="10">
        <v>4.0</v>
      </c>
      <c r="J452" s="10">
        <v>0.0</v>
      </c>
      <c r="K452" s="10">
        <v>1.75</v>
      </c>
    </row>
    <row r="453" ht="15.75" customHeight="1">
      <c r="A453" s="7" t="s">
        <v>2172</v>
      </c>
      <c r="B453" s="12" t="s">
        <v>2174</v>
      </c>
      <c r="C453" s="14" t="s">
        <v>16</v>
      </c>
      <c r="D453" s="15" t="s">
        <v>22</v>
      </c>
      <c r="E453" s="16" t="s">
        <v>24</v>
      </c>
      <c r="F453" s="10" t="s">
        <v>25</v>
      </c>
      <c r="G453" s="10" t="b">
        <v>0</v>
      </c>
      <c r="H453" s="10" t="s">
        <v>2175</v>
      </c>
      <c r="I453" s="10">
        <v>4.0</v>
      </c>
      <c r="J453" s="10">
        <v>0.0</v>
      </c>
      <c r="K453" s="10">
        <v>0.75</v>
      </c>
    </row>
    <row r="454" ht="15.75" customHeight="1">
      <c r="A454" s="7" t="s">
        <v>2176</v>
      </c>
      <c r="B454" s="12" t="s">
        <v>2178</v>
      </c>
      <c r="C454" s="14" t="s">
        <v>16</v>
      </c>
      <c r="D454" s="15" t="s">
        <v>22</v>
      </c>
      <c r="E454" s="16" t="s">
        <v>24</v>
      </c>
      <c r="F454" s="10" t="s">
        <v>25</v>
      </c>
      <c r="G454" s="10" t="b">
        <v>0</v>
      </c>
      <c r="H454" s="10" t="s">
        <v>2179</v>
      </c>
      <c r="I454" s="10">
        <v>4.0</v>
      </c>
      <c r="J454" s="10">
        <v>0.0</v>
      </c>
      <c r="K454" s="10">
        <v>0.25</v>
      </c>
    </row>
    <row r="455" ht="15.75" customHeight="1">
      <c r="A455" s="7" t="s">
        <v>2180</v>
      </c>
      <c r="B455" s="12" t="s">
        <v>2182</v>
      </c>
      <c r="C455" s="14" t="s">
        <v>66</v>
      </c>
      <c r="D455" s="15" t="s">
        <v>22</v>
      </c>
      <c r="E455" s="16" t="s">
        <v>24</v>
      </c>
      <c r="F455" s="10" t="s">
        <v>25</v>
      </c>
      <c r="G455" s="10" t="b">
        <v>0</v>
      </c>
      <c r="I455" s="10">
        <v>4.0</v>
      </c>
      <c r="J455" s="10">
        <v>0.0</v>
      </c>
      <c r="K455" s="10">
        <v>0.0</v>
      </c>
    </row>
    <row r="456" ht="15.75" customHeight="1">
      <c r="A456" s="7" t="s">
        <v>2183</v>
      </c>
      <c r="B456" s="12" t="s">
        <v>2186</v>
      </c>
      <c r="C456" s="14" t="s">
        <v>66</v>
      </c>
      <c r="D456" s="15" t="s">
        <v>22</v>
      </c>
      <c r="E456" s="16" t="s">
        <v>24</v>
      </c>
      <c r="F456" s="10" t="s">
        <v>25</v>
      </c>
      <c r="G456" s="10" t="b">
        <v>0</v>
      </c>
      <c r="H456" s="10" t="s">
        <v>384</v>
      </c>
      <c r="I456" s="10">
        <v>4.0</v>
      </c>
      <c r="J456" s="10">
        <v>0.0</v>
      </c>
      <c r="K456" s="10">
        <v>0.0</v>
      </c>
    </row>
    <row r="457" ht="15.75" customHeight="1">
      <c r="A457" s="7" t="s">
        <v>2187</v>
      </c>
      <c r="B457" s="12" t="s">
        <v>2189</v>
      </c>
      <c r="C457" s="14" t="s">
        <v>66</v>
      </c>
      <c r="D457" s="15" t="s">
        <v>22</v>
      </c>
      <c r="E457" s="16" t="s">
        <v>24</v>
      </c>
      <c r="F457" s="10" t="s">
        <v>25</v>
      </c>
      <c r="G457" s="10" t="b">
        <v>0</v>
      </c>
      <c r="H457" s="10" t="s">
        <v>2191</v>
      </c>
      <c r="I457" s="10">
        <v>4.0</v>
      </c>
      <c r="J457" s="10">
        <v>0.0</v>
      </c>
      <c r="K457" s="10">
        <v>0.0</v>
      </c>
    </row>
    <row r="458" ht="15.75" customHeight="1">
      <c r="A458" s="7" t="s">
        <v>2193</v>
      </c>
      <c r="B458" s="12" t="s">
        <v>2194</v>
      </c>
      <c r="C458" s="14" t="s">
        <v>66</v>
      </c>
      <c r="D458" s="15" t="s">
        <v>22</v>
      </c>
      <c r="E458" s="16" t="s">
        <v>24</v>
      </c>
      <c r="F458" s="10" t="s">
        <v>25</v>
      </c>
      <c r="G458" s="10" t="b">
        <v>0</v>
      </c>
      <c r="H458" s="10" t="s">
        <v>2196</v>
      </c>
      <c r="I458" s="10">
        <v>4.0</v>
      </c>
      <c r="J458" s="10">
        <v>0.0</v>
      </c>
      <c r="K458" s="10">
        <v>1.25</v>
      </c>
    </row>
    <row r="459" ht="15.75" customHeight="1">
      <c r="A459" s="7" t="s">
        <v>2197</v>
      </c>
      <c r="B459" s="12" t="s">
        <v>2198</v>
      </c>
      <c r="C459" s="14" t="s">
        <v>890</v>
      </c>
      <c r="D459" s="15" t="s">
        <v>749</v>
      </c>
      <c r="E459" s="16" t="s">
        <v>24</v>
      </c>
      <c r="F459" s="10" t="s">
        <v>750</v>
      </c>
      <c r="G459" s="10" t="b">
        <v>0</v>
      </c>
      <c r="H459" s="10" t="s">
        <v>786</v>
      </c>
      <c r="I459" s="10">
        <v>4.0</v>
      </c>
      <c r="J459" s="10">
        <v>0.0</v>
      </c>
      <c r="K459" s="10">
        <v>0.0</v>
      </c>
    </row>
    <row r="460" ht="15.75" customHeight="1">
      <c r="A460" s="7" t="s">
        <v>2202</v>
      </c>
      <c r="B460" s="12" t="s">
        <v>2205</v>
      </c>
      <c r="C460" s="14" t="s">
        <v>138</v>
      </c>
      <c r="D460" s="15" t="s">
        <v>176</v>
      </c>
      <c r="E460" s="16" t="s">
        <v>176</v>
      </c>
      <c r="F460" s="10" t="s">
        <v>91</v>
      </c>
      <c r="G460" s="10" t="b">
        <v>0</v>
      </c>
      <c r="I460" s="10">
        <v>4.0</v>
      </c>
      <c r="J460" s="10">
        <v>0.0</v>
      </c>
      <c r="K460" s="10">
        <v>0.0</v>
      </c>
    </row>
    <row r="461" ht="15.75" customHeight="1">
      <c r="A461" s="7" t="s">
        <v>2208</v>
      </c>
      <c r="B461" s="12" t="s">
        <v>2210</v>
      </c>
      <c r="C461" s="14" t="s">
        <v>316</v>
      </c>
      <c r="D461" s="15" t="s">
        <v>34</v>
      </c>
      <c r="E461" s="16" t="s">
        <v>24</v>
      </c>
      <c r="F461" s="10" t="s">
        <v>35</v>
      </c>
      <c r="G461" s="10" t="b">
        <v>0</v>
      </c>
      <c r="I461" s="10">
        <v>4.0</v>
      </c>
      <c r="J461" s="10">
        <v>0.0</v>
      </c>
      <c r="K461" s="10">
        <v>1.0</v>
      </c>
    </row>
    <row r="462" ht="15.75" customHeight="1">
      <c r="A462" s="7" t="s">
        <v>2213</v>
      </c>
      <c r="B462" s="12" t="s">
        <v>2215</v>
      </c>
      <c r="C462" s="14" t="s">
        <v>160</v>
      </c>
      <c r="D462" s="15" t="s">
        <v>176</v>
      </c>
      <c r="E462" s="16" t="s">
        <v>107</v>
      </c>
      <c r="F462" s="10" t="s">
        <v>91</v>
      </c>
      <c r="G462" s="10" t="b">
        <v>0</v>
      </c>
      <c r="H462" s="10" t="s">
        <v>2216</v>
      </c>
      <c r="I462" s="10">
        <v>4.0</v>
      </c>
      <c r="J462" s="10">
        <v>0.0</v>
      </c>
      <c r="K462" s="10">
        <v>0.75</v>
      </c>
    </row>
    <row r="463" ht="15.75" customHeight="1">
      <c r="A463" s="7" t="s">
        <v>2218</v>
      </c>
      <c r="B463" s="12" t="s">
        <v>2220</v>
      </c>
      <c r="C463" s="14" t="s">
        <v>899</v>
      </c>
      <c r="D463" s="15" t="s">
        <v>22</v>
      </c>
      <c r="E463" s="16" t="s">
        <v>107</v>
      </c>
      <c r="F463" s="10" t="s">
        <v>25</v>
      </c>
      <c r="G463" s="10" t="b">
        <v>0</v>
      </c>
      <c r="H463" s="10" t="s">
        <v>901</v>
      </c>
      <c r="I463" s="10">
        <v>4.0</v>
      </c>
      <c r="J463" s="10">
        <v>0.0</v>
      </c>
      <c r="K463" s="10">
        <v>1.25</v>
      </c>
    </row>
    <row r="464" ht="15.75" customHeight="1">
      <c r="A464" s="7" t="s">
        <v>2223</v>
      </c>
      <c r="B464" s="12" t="s">
        <v>2226</v>
      </c>
      <c r="C464" s="14" t="s">
        <v>767</v>
      </c>
      <c r="D464" s="15" t="s">
        <v>34</v>
      </c>
      <c r="E464" s="16" t="s">
        <v>43</v>
      </c>
      <c r="F464" s="10" t="s">
        <v>35</v>
      </c>
      <c r="G464" s="10" t="b">
        <v>0</v>
      </c>
      <c r="H464" s="10" t="s">
        <v>2228</v>
      </c>
      <c r="I464" s="10">
        <v>4.0</v>
      </c>
      <c r="J464" s="10">
        <v>0.0</v>
      </c>
      <c r="K464" s="10">
        <v>1.0</v>
      </c>
    </row>
    <row r="465" ht="15.75" customHeight="1">
      <c r="A465" s="7" t="s">
        <v>2230</v>
      </c>
      <c r="B465" s="12" t="s">
        <v>2232</v>
      </c>
      <c r="C465" s="14" t="s">
        <v>587</v>
      </c>
      <c r="D465" s="15" t="s">
        <v>51</v>
      </c>
      <c r="E465" s="16" t="s">
        <v>24</v>
      </c>
      <c r="F465" s="10" t="s">
        <v>52</v>
      </c>
      <c r="G465" s="10" t="b">
        <v>0</v>
      </c>
      <c r="I465" s="10">
        <v>4.0</v>
      </c>
      <c r="J465" s="10">
        <v>0.0</v>
      </c>
      <c r="K465" s="10">
        <v>1.75</v>
      </c>
    </row>
    <row r="466" ht="15.75" customHeight="1">
      <c r="A466" s="7" t="s">
        <v>2235</v>
      </c>
      <c r="B466" s="12" t="s">
        <v>2238</v>
      </c>
      <c r="C466" s="14" t="s">
        <v>772</v>
      </c>
      <c r="D466" s="15" t="s">
        <v>240</v>
      </c>
      <c r="E466" s="16" t="s">
        <v>24</v>
      </c>
      <c r="F466" s="10" t="s">
        <v>241</v>
      </c>
      <c r="G466" s="10" t="b">
        <v>0</v>
      </c>
      <c r="H466" s="10" t="s">
        <v>384</v>
      </c>
      <c r="I466" s="10">
        <v>4.0</v>
      </c>
      <c r="J466" s="10">
        <v>0.0</v>
      </c>
      <c r="K466" s="10">
        <v>0.0</v>
      </c>
    </row>
    <row r="467" ht="15.75" customHeight="1">
      <c r="A467" s="7" t="s">
        <v>2240</v>
      </c>
      <c r="B467" s="12" t="s">
        <v>2242</v>
      </c>
      <c r="C467" s="14" t="s">
        <v>799</v>
      </c>
      <c r="D467" s="15" t="s">
        <v>34</v>
      </c>
      <c r="E467" s="16" t="s">
        <v>43</v>
      </c>
      <c r="F467" s="10" t="s">
        <v>35</v>
      </c>
      <c r="G467" s="10" t="b">
        <v>0</v>
      </c>
      <c r="H467" s="10" t="s">
        <v>802</v>
      </c>
      <c r="I467" s="10">
        <v>4.0</v>
      </c>
      <c r="J467" s="10">
        <v>0.0</v>
      </c>
      <c r="K467" s="10">
        <v>0.0</v>
      </c>
    </row>
    <row r="468" ht="15.75" customHeight="1">
      <c r="A468" s="7" t="s">
        <v>2243</v>
      </c>
      <c r="B468" s="12" t="s">
        <v>2244</v>
      </c>
      <c r="C468" s="14" t="s">
        <v>396</v>
      </c>
      <c r="D468" s="15" t="s">
        <v>22</v>
      </c>
      <c r="E468" s="16" t="s">
        <v>43</v>
      </c>
      <c r="F468" s="10" t="s">
        <v>25</v>
      </c>
      <c r="G468" s="10" t="b">
        <v>0</v>
      </c>
      <c r="H468" s="10" t="s">
        <v>2246</v>
      </c>
      <c r="I468" s="10">
        <v>4.0</v>
      </c>
      <c r="J468" s="10">
        <v>0.0</v>
      </c>
      <c r="K468" s="10">
        <v>0.0</v>
      </c>
    </row>
    <row r="469" ht="15.75" customHeight="1">
      <c r="A469" s="7" t="s">
        <v>2247</v>
      </c>
      <c r="B469" s="12" t="s">
        <v>2248</v>
      </c>
      <c r="C469" s="14" t="s">
        <v>396</v>
      </c>
      <c r="D469" s="15" t="s">
        <v>51</v>
      </c>
      <c r="E469" s="16" t="s">
        <v>43</v>
      </c>
      <c r="F469" s="10" t="s">
        <v>52</v>
      </c>
      <c r="G469" s="10" t="b">
        <v>0</v>
      </c>
      <c r="H469" s="10" t="s">
        <v>2250</v>
      </c>
      <c r="I469" s="10">
        <v>4.0</v>
      </c>
      <c r="J469" s="10">
        <v>0.0</v>
      </c>
      <c r="K469" s="10">
        <v>0.25</v>
      </c>
    </row>
    <row r="470" ht="15.75" customHeight="1">
      <c r="A470" s="7" t="s">
        <v>2251</v>
      </c>
      <c r="B470" s="12" t="s">
        <v>2253</v>
      </c>
      <c r="C470" s="14" t="s">
        <v>396</v>
      </c>
      <c r="D470" s="15" t="s">
        <v>22</v>
      </c>
      <c r="E470" s="16" t="s">
        <v>43</v>
      </c>
      <c r="F470" s="10" t="s">
        <v>25</v>
      </c>
      <c r="G470" s="10" t="b">
        <v>0</v>
      </c>
      <c r="H470" s="10" t="s">
        <v>2246</v>
      </c>
      <c r="I470" s="10">
        <v>4.0</v>
      </c>
      <c r="J470" s="10">
        <v>0.0</v>
      </c>
      <c r="K470" s="10">
        <v>0.0</v>
      </c>
    </row>
    <row r="471" ht="15.75" customHeight="1">
      <c r="A471" s="7" t="s">
        <v>2254</v>
      </c>
      <c r="B471" s="12" t="s">
        <v>2256</v>
      </c>
      <c r="C471" s="14" t="s">
        <v>133</v>
      </c>
      <c r="D471" s="15" t="s">
        <v>34</v>
      </c>
      <c r="E471" s="16" t="s">
        <v>44</v>
      </c>
      <c r="F471" s="10" t="s">
        <v>35</v>
      </c>
      <c r="G471" s="10" t="b">
        <v>0</v>
      </c>
      <c r="I471" s="10">
        <v>4.0</v>
      </c>
      <c r="J471" s="10">
        <v>0.0</v>
      </c>
      <c r="K471" s="10">
        <v>7.5</v>
      </c>
    </row>
    <row r="472" ht="15.75" customHeight="1">
      <c r="A472" s="7" t="s">
        <v>2257</v>
      </c>
      <c r="B472" s="12" t="s">
        <v>2258</v>
      </c>
      <c r="C472" s="14" t="s">
        <v>133</v>
      </c>
      <c r="D472" s="15" t="s">
        <v>749</v>
      </c>
      <c r="E472" s="16" t="s">
        <v>44</v>
      </c>
      <c r="F472" s="10" t="s">
        <v>750</v>
      </c>
      <c r="G472" s="10" t="b">
        <v>0</v>
      </c>
      <c r="I472" s="10">
        <v>4.0</v>
      </c>
      <c r="J472" s="10">
        <v>0.0</v>
      </c>
      <c r="K472" s="10">
        <v>0.0</v>
      </c>
    </row>
    <row r="473" ht="15.75" customHeight="1">
      <c r="A473" s="7" t="s">
        <v>2260</v>
      </c>
      <c r="B473" s="12" t="s">
        <v>2262</v>
      </c>
      <c r="C473" s="14" t="s">
        <v>224</v>
      </c>
      <c r="D473" s="15" t="s">
        <v>34</v>
      </c>
      <c r="E473" s="16" t="s">
        <v>24</v>
      </c>
      <c r="F473" s="10" t="s">
        <v>35</v>
      </c>
      <c r="G473" s="10" t="b">
        <v>0</v>
      </c>
      <c r="H473" s="10" t="s">
        <v>484</v>
      </c>
      <c r="I473" s="10">
        <v>4.0</v>
      </c>
      <c r="J473" s="10">
        <v>0.0</v>
      </c>
      <c r="K473" s="10">
        <v>0.0</v>
      </c>
    </row>
    <row r="474" ht="15.75" customHeight="1">
      <c r="A474" s="7" t="s">
        <v>2263</v>
      </c>
      <c r="B474" s="12" t="s">
        <v>2264</v>
      </c>
      <c r="C474" s="14" t="s">
        <v>455</v>
      </c>
      <c r="D474" s="15" t="s">
        <v>34</v>
      </c>
      <c r="E474" s="16" t="s">
        <v>1000</v>
      </c>
      <c r="F474" s="10" t="s">
        <v>35</v>
      </c>
      <c r="G474" s="10" t="b">
        <v>0</v>
      </c>
      <c r="H474" s="10" t="s">
        <v>2265</v>
      </c>
      <c r="I474" s="10">
        <v>3.0</v>
      </c>
      <c r="J474" s="10">
        <v>0.0</v>
      </c>
      <c r="K474" s="10">
        <v>0.0</v>
      </c>
    </row>
    <row r="475" ht="15.75" customHeight="1">
      <c r="A475" s="7" t="s">
        <v>2266</v>
      </c>
      <c r="B475" s="16"/>
      <c r="C475" s="14" t="s">
        <v>944</v>
      </c>
      <c r="D475" s="15" t="s">
        <v>240</v>
      </c>
      <c r="E475" s="16" t="s">
        <v>24</v>
      </c>
      <c r="F475" s="10" t="s">
        <v>241</v>
      </c>
      <c r="H475" s="10" t="s">
        <v>948</v>
      </c>
      <c r="I475" s="10">
        <v>3.0</v>
      </c>
      <c r="J475" s="10">
        <v>0.0</v>
      </c>
      <c r="K475" s="10">
        <v>0.0</v>
      </c>
    </row>
    <row r="476" ht="15.75" customHeight="1">
      <c r="A476" s="7" t="s">
        <v>2269</v>
      </c>
      <c r="B476" s="12" t="s">
        <v>2270</v>
      </c>
      <c r="C476" s="14" t="s">
        <v>916</v>
      </c>
      <c r="D476" s="15" t="s">
        <v>51</v>
      </c>
      <c r="E476" s="16" t="s">
        <v>24</v>
      </c>
      <c r="F476" s="10" t="s">
        <v>52</v>
      </c>
      <c r="G476" s="10" t="b">
        <v>0</v>
      </c>
      <c r="I476" s="10">
        <v>3.0</v>
      </c>
      <c r="J476" s="10">
        <v>0.0</v>
      </c>
      <c r="K476" s="10">
        <v>1.0</v>
      </c>
    </row>
    <row r="477" ht="15.75" customHeight="1">
      <c r="A477" s="7" t="s">
        <v>2272</v>
      </c>
      <c r="B477" s="12" t="s">
        <v>2273</v>
      </c>
      <c r="C477" s="14" t="s">
        <v>946</v>
      </c>
      <c r="D477" s="15" t="s">
        <v>240</v>
      </c>
      <c r="E477" s="16" t="s">
        <v>24</v>
      </c>
      <c r="F477" s="10" t="s">
        <v>241</v>
      </c>
      <c r="G477" s="10" t="b">
        <v>0</v>
      </c>
      <c r="I477" s="10">
        <v>3.0</v>
      </c>
      <c r="J477" s="10">
        <v>0.0</v>
      </c>
      <c r="K477" s="10">
        <v>0.0</v>
      </c>
    </row>
    <row r="478" ht="15.75" customHeight="1">
      <c r="A478" s="7" t="s">
        <v>2274</v>
      </c>
      <c r="B478" s="12" t="s">
        <v>2276</v>
      </c>
      <c r="C478" s="14" t="s">
        <v>655</v>
      </c>
      <c r="D478" s="15" t="s">
        <v>34</v>
      </c>
      <c r="E478" s="16" t="s">
        <v>24</v>
      </c>
      <c r="F478" s="10" t="s">
        <v>35</v>
      </c>
      <c r="G478" s="10" t="b">
        <v>0</v>
      </c>
      <c r="H478" s="10" t="s">
        <v>2277</v>
      </c>
      <c r="I478" s="10">
        <v>3.0</v>
      </c>
      <c r="J478" s="10">
        <v>0.0</v>
      </c>
      <c r="K478" s="10">
        <v>0.0</v>
      </c>
    </row>
    <row r="479" ht="15.75" customHeight="1">
      <c r="A479" s="7" t="s">
        <v>2278</v>
      </c>
      <c r="B479" s="12" t="s">
        <v>2279</v>
      </c>
      <c r="C479" s="14" t="s">
        <v>655</v>
      </c>
      <c r="D479" s="15" t="s">
        <v>196</v>
      </c>
      <c r="E479" s="16" t="s">
        <v>24</v>
      </c>
      <c r="F479" s="10" t="s">
        <v>198</v>
      </c>
      <c r="G479" s="10" t="b">
        <v>0</v>
      </c>
      <c r="I479" s="10">
        <v>3.0</v>
      </c>
      <c r="J479" s="10">
        <v>0.0</v>
      </c>
      <c r="K479" s="10">
        <v>0.0</v>
      </c>
    </row>
    <row r="480" ht="15.75" customHeight="1">
      <c r="A480" s="7" t="s">
        <v>2281</v>
      </c>
      <c r="B480" s="12" t="s">
        <v>2282</v>
      </c>
      <c r="C480" s="14" t="s">
        <v>23</v>
      </c>
      <c r="D480" s="15" t="s">
        <v>176</v>
      </c>
      <c r="E480" s="16" t="s">
        <v>24</v>
      </c>
      <c r="F480" s="10" t="s">
        <v>91</v>
      </c>
      <c r="G480" s="10" t="b">
        <v>0</v>
      </c>
      <c r="H480" s="10" t="s">
        <v>1381</v>
      </c>
      <c r="I480" s="10">
        <v>3.0</v>
      </c>
      <c r="J480" s="10">
        <v>0.0</v>
      </c>
      <c r="K480" s="10">
        <v>0.0</v>
      </c>
    </row>
    <row r="481" ht="15.75" customHeight="1">
      <c r="A481" s="7" t="s">
        <v>2284</v>
      </c>
      <c r="B481" s="12" t="s">
        <v>2286</v>
      </c>
      <c r="C481" s="14" t="s">
        <v>23</v>
      </c>
      <c r="D481" s="15" t="s">
        <v>51</v>
      </c>
      <c r="E481" s="16" t="s">
        <v>24</v>
      </c>
      <c r="F481" s="10" t="s">
        <v>52</v>
      </c>
      <c r="G481" s="10" t="b">
        <v>0</v>
      </c>
      <c r="H481" s="10" t="s">
        <v>125</v>
      </c>
      <c r="I481" s="10">
        <v>3.0</v>
      </c>
      <c r="J481" s="10">
        <v>0.0</v>
      </c>
      <c r="K481" s="10">
        <v>1.0</v>
      </c>
    </row>
    <row r="482" ht="15.75" customHeight="1">
      <c r="A482" s="7" t="s">
        <v>2289</v>
      </c>
      <c r="B482" s="12" t="s">
        <v>2291</v>
      </c>
      <c r="C482" s="14" t="s">
        <v>23</v>
      </c>
      <c r="D482" s="15" t="s">
        <v>22</v>
      </c>
      <c r="E482" s="16" t="s">
        <v>24</v>
      </c>
      <c r="F482" s="10" t="s">
        <v>25</v>
      </c>
      <c r="G482" s="10" t="b">
        <v>0</v>
      </c>
      <c r="H482" s="10" t="s">
        <v>2293</v>
      </c>
      <c r="I482" s="10">
        <v>3.0</v>
      </c>
      <c r="J482" s="10">
        <v>0.0</v>
      </c>
      <c r="K482" s="10">
        <v>0.33</v>
      </c>
    </row>
    <row r="483" ht="15.75" customHeight="1">
      <c r="A483" s="7" t="s">
        <v>2294</v>
      </c>
      <c r="B483" s="12" t="s">
        <v>2296</v>
      </c>
      <c r="C483" s="14" t="s">
        <v>23</v>
      </c>
      <c r="D483" s="15" t="s">
        <v>22</v>
      </c>
      <c r="E483" s="16" t="s">
        <v>24</v>
      </c>
      <c r="F483" s="10" t="s">
        <v>25</v>
      </c>
      <c r="G483" s="10" t="b">
        <v>0</v>
      </c>
      <c r="H483" s="10" t="s">
        <v>158</v>
      </c>
      <c r="I483" s="10">
        <v>3.0</v>
      </c>
      <c r="J483" s="10">
        <v>0.0</v>
      </c>
      <c r="K483" s="10">
        <v>0.0</v>
      </c>
    </row>
    <row r="484" ht="15.75" customHeight="1">
      <c r="A484" s="7" t="s">
        <v>2297</v>
      </c>
      <c r="B484" s="12" t="s">
        <v>2299</v>
      </c>
      <c r="C484" s="14" t="s">
        <v>23</v>
      </c>
      <c r="D484" s="15" t="s">
        <v>176</v>
      </c>
      <c r="E484" s="16" t="s">
        <v>24</v>
      </c>
      <c r="F484" s="10" t="s">
        <v>91</v>
      </c>
      <c r="G484" s="10" t="b">
        <v>0</v>
      </c>
      <c r="H484" s="10" t="s">
        <v>1381</v>
      </c>
      <c r="I484" s="10">
        <v>3.0</v>
      </c>
      <c r="J484" s="10">
        <v>0.0</v>
      </c>
      <c r="K484" s="10">
        <v>1.0</v>
      </c>
    </row>
    <row r="485" ht="15.75" customHeight="1">
      <c r="A485" s="7" t="s">
        <v>2300</v>
      </c>
      <c r="B485" s="12" t="s">
        <v>2303</v>
      </c>
      <c r="C485" s="14" t="s">
        <v>23</v>
      </c>
      <c r="D485" s="15" t="s">
        <v>176</v>
      </c>
      <c r="E485" s="16" t="s">
        <v>24</v>
      </c>
      <c r="F485" s="10" t="s">
        <v>91</v>
      </c>
      <c r="G485" s="10" t="b">
        <v>0</v>
      </c>
      <c r="H485" s="10" t="s">
        <v>301</v>
      </c>
      <c r="I485" s="10">
        <v>3.0</v>
      </c>
      <c r="J485" s="10">
        <v>0.0</v>
      </c>
      <c r="K485" s="10">
        <v>0.0</v>
      </c>
    </row>
    <row r="486" ht="15.75" customHeight="1">
      <c r="A486" s="7" t="s">
        <v>2305</v>
      </c>
      <c r="B486" s="12" t="s">
        <v>2306</v>
      </c>
      <c r="C486" s="14" t="s">
        <v>23</v>
      </c>
      <c r="D486" s="15" t="s">
        <v>22</v>
      </c>
      <c r="E486" s="16" t="s">
        <v>24</v>
      </c>
      <c r="F486" s="10" t="s">
        <v>25</v>
      </c>
      <c r="G486" s="10" t="b">
        <v>0</v>
      </c>
      <c r="H486" s="10" t="s">
        <v>125</v>
      </c>
      <c r="I486" s="10">
        <v>3.0</v>
      </c>
      <c r="J486" s="10">
        <v>0.0</v>
      </c>
      <c r="K486" s="10">
        <v>1.0</v>
      </c>
    </row>
    <row r="487" ht="15.75" customHeight="1">
      <c r="A487" s="7" t="s">
        <v>2307</v>
      </c>
      <c r="B487" s="12" t="s">
        <v>2309</v>
      </c>
      <c r="C487" s="14" t="s">
        <v>917</v>
      </c>
      <c r="D487" s="15" t="s">
        <v>34</v>
      </c>
      <c r="E487" s="16" t="s">
        <v>24</v>
      </c>
      <c r="F487" s="10" t="s">
        <v>35</v>
      </c>
      <c r="G487" s="10" t="b">
        <v>0</v>
      </c>
      <c r="H487" s="10" t="s">
        <v>2310</v>
      </c>
      <c r="I487" s="10">
        <v>3.0</v>
      </c>
      <c r="J487" s="10">
        <v>0.0</v>
      </c>
      <c r="K487" s="10">
        <v>0.67</v>
      </c>
    </row>
    <row r="488" ht="15.75" customHeight="1">
      <c r="A488" s="7" t="s">
        <v>2311</v>
      </c>
      <c r="B488" s="16"/>
      <c r="C488" s="14" t="s">
        <v>947</v>
      </c>
      <c r="D488" s="15" t="s">
        <v>176</v>
      </c>
      <c r="E488" s="16" t="s">
        <v>24</v>
      </c>
      <c r="F488" s="10" t="s">
        <v>91</v>
      </c>
      <c r="H488" s="10" t="s">
        <v>948</v>
      </c>
      <c r="I488" s="10">
        <v>3.0</v>
      </c>
      <c r="J488" s="10">
        <v>0.0</v>
      </c>
      <c r="K488" s="10">
        <v>0.67</v>
      </c>
    </row>
    <row r="489" ht="15.75" customHeight="1">
      <c r="A489" s="7" t="s">
        <v>2313</v>
      </c>
      <c r="B489" s="12" t="s">
        <v>2314</v>
      </c>
      <c r="C489" s="14" t="s">
        <v>283</v>
      </c>
      <c r="D489" s="15" t="s">
        <v>176</v>
      </c>
      <c r="E489" s="16" t="s">
        <v>24</v>
      </c>
      <c r="F489" s="10" t="s">
        <v>91</v>
      </c>
      <c r="G489" s="10" t="b">
        <v>0</v>
      </c>
      <c r="H489" s="10" t="s">
        <v>285</v>
      </c>
      <c r="I489" s="10">
        <v>3.0</v>
      </c>
      <c r="J489" s="10">
        <v>0.0</v>
      </c>
      <c r="K489" s="10">
        <v>1.33</v>
      </c>
    </row>
    <row r="490" ht="15.75" customHeight="1">
      <c r="A490" s="7" t="s">
        <v>2315</v>
      </c>
      <c r="B490" s="12" t="s">
        <v>2317</v>
      </c>
      <c r="C490" s="14" t="s">
        <v>467</v>
      </c>
      <c r="D490" s="15" t="s">
        <v>749</v>
      </c>
      <c r="E490" s="16" t="s">
        <v>43</v>
      </c>
      <c r="F490" s="10" t="s">
        <v>750</v>
      </c>
      <c r="G490" s="10" t="b">
        <v>0</v>
      </c>
      <c r="I490" s="10">
        <v>3.0</v>
      </c>
      <c r="J490" s="10">
        <v>0.0</v>
      </c>
      <c r="K490" s="10">
        <v>2.0</v>
      </c>
    </row>
    <row r="491" ht="15.75" customHeight="1">
      <c r="A491" s="7" t="s">
        <v>2319</v>
      </c>
      <c r="B491" s="12" t="s">
        <v>2320</v>
      </c>
      <c r="C491" s="14" t="s">
        <v>906</v>
      </c>
      <c r="D491" s="15" t="s">
        <v>51</v>
      </c>
      <c r="E491" s="16" t="s">
        <v>24</v>
      </c>
      <c r="F491" s="10" t="s">
        <v>52</v>
      </c>
      <c r="G491" s="10" t="b">
        <v>0</v>
      </c>
      <c r="H491" s="10" t="s">
        <v>157</v>
      </c>
      <c r="I491" s="10">
        <v>3.0</v>
      </c>
      <c r="J491" s="10">
        <v>0.0</v>
      </c>
      <c r="K491" s="10">
        <v>1.0</v>
      </c>
    </row>
    <row r="492" ht="15.75" customHeight="1">
      <c r="A492" s="7" t="s">
        <v>2322</v>
      </c>
      <c r="B492" s="12" t="s">
        <v>2325</v>
      </c>
      <c r="C492" s="14" t="s">
        <v>175</v>
      </c>
      <c r="D492" s="15" t="s">
        <v>34</v>
      </c>
      <c r="E492" s="16" t="s">
        <v>176</v>
      </c>
      <c r="F492" s="10" t="s">
        <v>35</v>
      </c>
      <c r="G492" s="10" t="b">
        <v>0</v>
      </c>
      <c r="H492" s="10" t="s">
        <v>230</v>
      </c>
      <c r="I492" s="10">
        <v>3.0</v>
      </c>
      <c r="J492" s="10">
        <v>0.0</v>
      </c>
      <c r="K492" s="10">
        <v>0.33</v>
      </c>
    </row>
    <row r="493" ht="15.75" customHeight="1">
      <c r="A493" s="7" t="s">
        <v>2326</v>
      </c>
      <c r="B493" s="12" t="s">
        <v>590</v>
      </c>
      <c r="C493" s="14" t="s">
        <v>175</v>
      </c>
      <c r="D493" s="15" t="s">
        <v>34</v>
      </c>
      <c r="E493" s="16" t="s">
        <v>176</v>
      </c>
      <c r="F493" s="10" t="s">
        <v>35</v>
      </c>
      <c r="G493" s="10" t="b">
        <v>0</v>
      </c>
      <c r="H493" s="10" t="s">
        <v>158</v>
      </c>
      <c r="I493" s="10">
        <v>3.0</v>
      </c>
      <c r="J493" s="10">
        <v>0.0</v>
      </c>
      <c r="K493" s="10">
        <v>0.33</v>
      </c>
    </row>
    <row r="494" ht="15.75" customHeight="1">
      <c r="A494" s="7" t="s">
        <v>2329</v>
      </c>
      <c r="B494" s="12" t="s">
        <v>2331</v>
      </c>
      <c r="C494" s="14" t="s">
        <v>921</v>
      </c>
      <c r="D494" s="15" t="s">
        <v>240</v>
      </c>
      <c r="E494" s="16" t="s">
        <v>24</v>
      </c>
      <c r="F494" s="10" t="s">
        <v>241</v>
      </c>
      <c r="G494" s="10" t="b">
        <v>0</v>
      </c>
      <c r="H494" s="10" t="s">
        <v>157</v>
      </c>
      <c r="I494" s="10">
        <v>3.0</v>
      </c>
      <c r="J494" s="10">
        <v>0.0</v>
      </c>
      <c r="K494" s="10">
        <v>0.67</v>
      </c>
    </row>
    <row r="495" ht="15.75" customHeight="1">
      <c r="A495" s="7" t="s">
        <v>2334</v>
      </c>
      <c r="B495" s="12" t="s">
        <v>2336</v>
      </c>
      <c r="C495" s="14" t="s">
        <v>720</v>
      </c>
      <c r="D495" s="15" t="s">
        <v>34</v>
      </c>
      <c r="E495" s="16" t="s">
        <v>24</v>
      </c>
      <c r="F495" s="10" t="s">
        <v>35</v>
      </c>
      <c r="G495" s="10" t="b">
        <v>0</v>
      </c>
      <c r="H495" s="10" t="s">
        <v>2337</v>
      </c>
      <c r="I495" s="10">
        <v>3.0</v>
      </c>
      <c r="J495" s="10">
        <v>0.0</v>
      </c>
      <c r="K495" s="10">
        <v>0.67</v>
      </c>
    </row>
    <row r="496" ht="15.75" customHeight="1">
      <c r="A496" s="7" t="s">
        <v>2338</v>
      </c>
      <c r="B496" s="12" t="s">
        <v>2340</v>
      </c>
      <c r="C496" s="14" t="s">
        <v>956</v>
      </c>
      <c r="D496" s="15" t="s">
        <v>196</v>
      </c>
      <c r="E496" s="16" t="s">
        <v>176</v>
      </c>
      <c r="F496" s="10" t="s">
        <v>198</v>
      </c>
      <c r="G496" s="10" t="b">
        <v>0</v>
      </c>
      <c r="I496" s="10">
        <v>3.0</v>
      </c>
      <c r="J496" s="10">
        <v>0.0</v>
      </c>
      <c r="K496" s="10">
        <v>2.33</v>
      </c>
    </row>
    <row r="497" ht="15.75" customHeight="1">
      <c r="A497" s="7" t="s">
        <v>2342</v>
      </c>
      <c r="B497" s="12" t="s">
        <v>2344</v>
      </c>
      <c r="C497" s="14" t="s">
        <v>505</v>
      </c>
      <c r="D497" s="15" t="s">
        <v>34</v>
      </c>
      <c r="E497" s="16" t="s">
        <v>99</v>
      </c>
      <c r="F497" s="10" t="s">
        <v>35</v>
      </c>
      <c r="G497" s="10" t="b">
        <v>0</v>
      </c>
      <c r="H497" s="10" t="s">
        <v>2346</v>
      </c>
      <c r="I497" s="10">
        <v>3.0</v>
      </c>
      <c r="J497" s="10">
        <v>0.0</v>
      </c>
      <c r="K497" s="10">
        <v>1.67</v>
      </c>
    </row>
    <row r="498" ht="15.75" customHeight="1">
      <c r="A498" s="7" t="s">
        <v>2348</v>
      </c>
      <c r="B498" s="12" t="s">
        <v>2349</v>
      </c>
      <c r="C498" s="14" t="s">
        <v>826</v>
      </c>
      <c r="D498" s="15" t="s">
        <v>240</v>
      </c>
      <c r="E498" s="16" t="s">
        <v>107</v>
      </c>
      <c r="F498" s="10" t="s">
        <v>241</v>
      </c>
      <c r="G498" s="10" t="b">
        <v>0</v>
      </c>
      <c r="H498" s="10" t="s">
        <v>827</v>
      </c>
      <c r="I498" s="10">
        <v>3.0</v>
      </c>
      <c r="J498" s="10">
        <v>0.0</v>
      </c>
      <c r="K498" s="10">
        <v>1.0</v>
      </c>
    </row>
    <row r="499" ht="15.75" customHeight="1">
      <c r="A499" s="7" t="s">
        <v>2352</v>
      </c>
      <c r="B499" s="12" t="s">
        <v>2353</v>
      </c>
      <c r="C499" s="14" t="s">
        <v>20</v>
      </c>
      <c r="D499" s="15" t="s">
        <v>22</v>
      </c>
      <c r="E499" s="16" t="s">
        <v>24</v>
      </c>
      <c r="F499" s="10" t="s">
        <v>25</v>
      </c>
      <c r="G499" s="10" t="b">
        <v>0</v>
      </c>
      <c r="I499" s="10">
        <v>3.0</v>
      </c>
      <c r="J499" s="10">
        <v>0.0</v>
      </c>
      <c r="K499" s="10">
        <v>0.0</v>
      </c>
    </row>
    <row r="500" ht="15.75" customHeight="1">
      <c r="A500" s="7" t="s">
        <v>2355</v>
      </c>
      <c r="B500" s="12" t="s">
        <v>2357</v>
      </c>
      <c r="C500" s="14" t="s">
        <v>20</v>
      </c>
      <c r="D500" s="15" t="s">
        <v>22</v>
      </c>
      <c r="E500" s="16" t="s">
        <v>24</v>
      </c>
      <c r="F500" s="10" t="s">
        <v>25</v>
      </c>
      <c r="G500" s="10" t="b">
        <v>0</v>
      </c>
      <c r="H500" s="10" t="s">
        <v>2359</v>
      </c>
      <c r="I500" s="10">
        <v>3.0</v>
      </c>
      <c r="J500" s="10">
        <v>0.0</v>
      </c>
      <c r="K500" s="10">
        <v>0.0</v>
      </c>
    </row>
    <row r="501" ht="15.75" customHeight="1">
      <c r="A501" s="7" t="s">
        <v>2360</v>
      </c>
      <c r="B501" s="12" t="s">
        <v>2362</v>
      </c>
      <c r="C501" s="14" t="s">
        <v>959</v>
      </c>
      <c r="D501" s="15" t="s">
        <v>34</v>
      </c>
      <c r="E501" s="16" t="s">
        <v>24</v>
      </c>
      <c r="F501" s="10" t="s">
        <v>35</v>
      </c>
      <c r="G501" s="10" t="b">
        <v>0</v>
      </c>
      <c r="H501" s="10" t="s">
        <v>2363</v>
      </c>
      <c r="I501" s="10">
        <v>3.0</v>
      </c>
      <c r="J501" s="10">
        <v>0.0</v>
      </c>
      <c r="K501" s="10">
        <v>0.0</v>
      </c>
    </row>
    <row r="502" ht="15.75" customHeight="1">
      <c r="A502" s="7" t="s">
        <v>2364</v>
      </c>
      <c r="B502" s="12" t="s">
        <v>2366</v>
      </c>
      <c r="C502" s="14" t="s">
        <v>907</v>
      </c>
      <c r="D502" s="15" t="s">
        <v>34</v>
      </c>
      <c r="E502" s="16" t="s">
        <v>24</v>
      </c>
      <c r="F502" s="10" t="s">
        <v>35</v>
      </c>
      <c r="G502" s="10" t="b">
        <v>0</v>
      </c>
      <c r="H502" s="10" t="s">
        <v>2369</v>
      </c>
      <c r="I502" s="10">
        <v>3.0</v>
      </c>
      <c r="J502" s="10">
        <v>0.0</v>
      </c>
      <c r="K502" s="10">
        <v>1.67</v>
      </c>
    </row>
    <row r="503" ht="15.75" customHeight="1">
      <c r="A503" s="7" t="s">
        <v>2370</v>
      </c>
      <c r="B503" s="12" t="s">
        <v>2374</v>
      </c>
      <c r="C503" s="14" t="s">
        <v>925</v>
      </c>
      <c r="D503" s="15" t="s">
        <v>240</v>
      </c>
      <c r="E503" s="16" t="s">
        <v>24</v>
      </c>
      <c r="F503" s="10" t="s">
        <v>241</v>
      </c>
      <c r="G503" s="10" t="b">
        <v>0</v>
      </c>
      <c r="I503" s="10">
        <v>3.0</v>
      </c>
      <c r="J503" s="10">
        <v>0.0</v>
      </c>
      <c r="K503" s="10">
        <v>2.67</v>
      </c>
    </row>
    <row r="504" ht="15.75" customHeight="1">
      <c r="A504" s="7" t="s">
        <v>2377</v>
      </c>
      <c r="B504" s="12" t="s">
        <v>2379</v>
      </c>
      <c r="C504" s="14" t="s">
        <v>699</v>
      </c>
      <c r="D504" s="15" t="s">
        <v>176</v>
      </c>
      <c r="E504" s="16" t="s">
        <v>99</v>
      </c>
      <c r="F504" s="10" t="s">
        <v>91</v>
      </c>
      <c r="G504" s="10" t="b">
        <v>0</v>
      </c>
      <c r="H504" s="10" t="s">
        <v>2381</v>
      </c>
      <c r="I504" s="10">
        <v>3.0</v>
      </c>
      <c r="J504" s="10">
        <v>0.0</v>
      </c>
      <c r="K504" s="10">
        <v>0.0</v>
      </c>
    </row>
    <row r="505" ht="15.75" customHeight="1">
      <c r="A505" s="7" t="s">
        <v>2382</v>
      </c>
      <c r="B505" s="12" t="s">
        <v>2384</v>
      </c>
      <c r="C505" s="14" t="s">
        <v>193</v>
      </c>
      <c r="D505" s="15" t="s">
        <v>51</v>
      </c>
      <c r="E505" s="16" t="s">
        <v>44</v>
      </c>
      <c r="F505" s="10" t="s">
        <v>52</v>
      </c>
      <c r="G505" s="10" t="b">
        <v>0</v>
      </c>
      <c r="H505" s="10" t="s">
        <v>2386</v>
      </c>
      <c r="I505" s="10">
        <v>3.0</v>
      </c>
      <c r="J505" s="10">
        <v>0.0</v>
      </c>
      <c r="K505" s="10">
        <v>1.33</v>
      </c>
    </row>
    <row r="506" ht="15.75" customHeight="1">
      <c r="A506" s="7" t="s">
        <v>2387</v>
      </c>
      <c r="B506" s="12" t="s">
        <v>2390</v>
      </c>
      <c r="C506" s="14" t="s">
        <v>793</v>
      </c>
      <c r="D506" s="15" t="s">
        <v>22</v>
      </c>
      <c r="E506" s="16" t="s">
        <v>24</v>
      </c>
      <c r="F506" s="10" t="s">
        <v>25</v>
      </c>
      <c r="G506" s="10" t="b">
        <v>0</v>
      </c>
      <c r="I506" s="10">
        <v>3.0</v>
      </c>
      <c r="J506" s="10">
        <v>0.0</v>
      </c>
      <c r="K506" s="10">
        <v>1.67</v>
      </c>
    </row>
    <row r="507" ht="15.75" customHeight="1">
      <c r="A507" s="7" t="s">
        <v>2393</v>
      </c>
      <c r="B507" s="12" t="s">
        <v>2397</v>
      </c>
      <c r="C507" s="14" t="s">
        <v>460</v>
      </c>
      <c r="D507" s="15" t="s">
        <v>176</v>
      </c>
      <c r="E507" s="16" t="s">
        <v>107</v>
      </c>
      <c r="F507" s="10" t="s">
        <v>91</v>
      </c>
      <c r="G507" s="10" t="b">
        <v>0</v>
      </c>
      <c r="H507" s="10" t="s">
        <v>461</v>
      </c>
      <c r="I507" s="10">
        <v>3.0</v>
      </c>
      <c r="J507" s="10">
        <v>0.0</v>
      </c>
      <c r="K507" s="10">
        <v>2.0</v>
      </c>
    </row>
    <row r="508" ht="15.75" customHeight="1">
      <c r="A508" s="7" t="s">
        <v>2399</v>
      </c>
      <c r="B508" s="12" t="s">
        <v>2401</v>
      </c>
      <c r="C508" s="14" t="s">
        <v>33</v>
      </c>
      <c r="D508" s="15" t="s">
        <v>34</v>
      </c>
      <c r="E508" s="16" t="s">
        <v>107</v>
      </c>
      <c r="F508" s="10" t="s">
        <v>35</v>
      </c>
      <c r="G508" s="10" t="b">
        <v>0</v>
      </c>
      <c r="H508" s="10" t="s">
        <v>2402</v>
      </c>
      <c r="I508" s="10">
        <v>3.0</v>
      </c>
      <c r="J508" s="10">
        <v>0.0</v>
      </c>
      <c r="K508" s="10">
        <v>0.0</v>
      </c>
    </row>
    <row r="509" ht="15.75" customHeight="1">
      <c r="A509" s="7" t="s">
        <v>2404</v>
      </c>
      <c r="B509" s="12" t="s">
        <v>2407</v>
      </c>
      <c r="C509" s="14" t="s">
        <v>835</v>
      </c>
      <c r="D509" s="15" t="s">
        <v>196</v>
      </c>
      <c r="E509" s="16" t="s">
        <v>24</v>
      </c>
      <c r="F509" s="10" t="s">
        <v>198</v>
      </c>
      <c r="G509" s="10" t="b">
        <v>0</v>
      </c>
      <c r="H509" s="10" t="s">
        <v>157</v>
      </c>
      <c r="I509" s="10">
        <v>3.0</v>
      </c>
      <c r="J509" s="10">
        <v>0.0</v>
      </c>
      <c r="K509" s="10">
        <v>3.0</v>
      </c>
    </row>
    <row r="510" ht="15.75" customHeight="1">
      <c r="A510" s="7" t="s">
        <v>2413</v>
      </c>
      <c r="B510" s="12" t="s">
        <v>2417</v>
      </c>
      <c r="C510" s="14" t="s">
        <v>963</v>
      </c>
      <c r="D510" s="15" t="s">
        <v>176</v>
      </c>
      <c r="E510" s="16" t="s">
        <v>24</v>
      </c>
      <c r="F510" s="10" t="s">
        <v>91</v>
      </c>
      <c r="G510" s="10" t="b">
        <v>0</v>
      </c>
      <c r="H510" s="10" t="s">
        <v>2419</v>
      </c>
      <c r="I510" s="10">
        <v>3.0</v>
      </c>
      <c r="J510" s="10">
        <v>0.0</v>
      </c>
      <c r="K510" s="10">
        <v>0.0</v>
      </c>
    </row>
    <row r="511" ht="15.75" customHeight="1">
      <c r="A511" s="7" t="s">
        <v>2420</v>
      </c>
      <c r="B511" s="12" t="s">
        <v>2423</v>
      </c>
      <c r="C511" s="14" t="s">
        <v>400</v>
      </c>
      <c r="D511" s="15" t="s">
        <v>240</v>
      </c>
      <c r="E511" s="16" t="s">
        <v>24</v>
      </c>
      <c r="F511" s="10" t="s">
        <v>241</v>
      </c>
      <c r="G511" s="10" t="b">
        <v>0</v>
      </c>
      <c r="H511" s="10" t="s">
        <v>384</v>
      </c>
      <c r="I511" s="10">
        <v>3.0</v>
      </c>
      <c r="J511" s="10">
        <v>0.0</v>
      </c>
      <c r="K511" s="10">
        <v>0.0</v>
      </c>
    </row>
    <row r="512" ht="15.75" customHeight="1">
      <c r="A512" s="7" t="s">
        <v>2424</v>
      </c>
      <c r="B512" s="12" t="s">
        <v>2427</v>
      </c>
      <c r="C512" s="12" t="s">
        <v>281</v>
      </c>
      <c r="D512" s="15" t="s">
        <v>196</v>
      </c>
      <c r="E512" s="16" t="s">
        <v>24</v>
      </c>
      <c r="F512" s="10" t="s">
        <v>198</v>
      </c>
      <c r="G512" s="10" t="b">
        <v>0</v>
      </c>
      <c r="H512" s="10" t="s">
        <v>1683</v>
      </c>
      <c r="I512" s="10">
        <v>3.0</v>
      </c>
      <c r="J512" s="10">
        <v>0.0</v>
      </c>
      <c r="K512" s="10">
        <v>1.67</v>
      </c>
    </row>
    <row r="513" ht="15.75" customHeight="1">
      <c r="A513" s="7" t="s">
        <v>2428</v>
      </c>
      <c r="B513" s="12" t="s">
        <v>2429</v>
      </c>
      <c r="C513" s="14" t="s">
        <v>662</v>
      </c>
      <c r="D513" s="15" t="s">
        <v>240</v>
      </c>
      <c r="E513" s="16" t="s">
        <v>24</v>
      </c>
      <c r="F513" s="10" t="s">
        <v>241</v>
      </c>
      <c r="G513" s="10" t="b">
        <v>0</v>
      </c>
      <c r="I513" s="10">
        <v>3.0</v>
      </c>
      <c r="J513" s="10">
        <v>0.0</v>
      </c>
      <c r="K513" s="10">
        <v>0.0</v>
      </c>
    </row>
    <row r="514" ht="15.75" customHeight="1">
      <c r="A514" s="7" t="s">
        <v>2431</v>
      </c>
      <c r="B514" s="12" t="s">
        <v>2429</v>
      </c>
      <c r="C514" s="14" t="s">
        <v>662</v>
      </c>
      <c r="D514" s="15" t="s">
        <v>240</v>
      </c>
      <c r="E514" s="16" t="s">
        <v>24</v>
      </c>
      <c r="F514" s="10" t="s">
        <v>241</v>
      </c>
      <c r="G514" s="10" t="b">
        <v>0</v>
      </c>
      <c r="I514" s="10">
        <v>3.0</v>
      </c>
      <c r="J514" s="10">
        <v>0.0</v>
      </c>
      <c r="K514" s="10">
        <v>0.0</v>
      </c>
    </row>
    <row r="515" ht="15.75" customHeight="1">
      <c r="A515" s="7" t="s">
        <v>2434</v>
      </c>
      <c r="B515" s="16"/>
      <c r="C515" s="14" t="s">
        <v>370</v>
      </c>
      <c r="D515" s="15" t="s">
        <v>176</v>
      </c>
      <c r="E515" s="16" t="s">
        <v>24</v>
      </c>
      <c r="F515" s="10" t="s">
        <v>91</v>
      </c>
      <c r="H515" s="10" t="s">
        <v>948</v>
      </c>
      <c r="I515" s="10">
        <v>3.0</v>
      </c>
      <c r="J515" s="10">
        <v>0.0</v>
      </c>
      <c r="K515" s="10">
        <v>0.0</v>
      </c>
    </row>
    <row r="516" ht="15.75" customHeight="1">
      <c r="A516" s="7" t="s">
        <v>2438</v>
      </c>
      <c r="B516" s="12" t="s">
        <v>2440</v>
      </c>
      <c r="C516" s="14" t="s">
        <v>145</v>
      </c>
      <c r="D516" s="15" t="s">
        <v>577</v>
      </c>
      <c r="E516" s="16" t="s">
        <v>107</v>
      </c>
      <c r="F516" s="10" t="s">
        <v>578</v>
      </c>
      <c r="G516" s="10" t="b">
        <v>0</v>
      </c>
      <c r="H516" s="10" t="s">
        <v>146</v>
      </c>
      <c r="I516" s="10">
        <v>3.0</v>
      </c>
      <c r="J516" s="10">
        <v>0.0</v>
      </c>
      <c r="K516" s="10">
        <v>1.33</v>
      </c>
    </row>
    <row r="517" ht="15.75" customHeight="1">
      <c r="A517" s="7" t="s">
        <v>2442</v>
      </c>
      <c r="B517" s="12" t="s">
        <v>2446</v>
      </c>
      <c r="C517" s="14" t="s">
        <v>970</v>
      </c>
      <c r="D517" s="15" t="s">
        <v>240</v>
      </c>
      <c r="E517" s="16" t="s">
        <v>24</v>
      </c>
      <c r="F517" s="10" t="s">
        <v>241</v>
      </c>
      <c r="G517" s="10" t="b">
        <v>0</v>
      </c>
      <c r="I517" s="10">
        <v>3.0</v>
      </c>
      <c r="J517" s="10">
        <v>0.0</v>
      </c>
      <c r="K517" s="10">
        <v>0.0</v>
      </c>
    </row>
    <row r="518" ht="15.75" customHeight="1">
      <c r="A518" s="7" t="s">
        <v>2449</v>
      </c>
      <c r="B518" s="12" t="s">
        <v>2450</v>
      </c>
      <c r="C518" s="14" t="s">
        <v>972</v>
      </c>
      <c r="D518" s="15" t="s">
        <v>240</v>
      </c>
      <c r="E518" s="16" t="s">
        <v>24</v>
      </c>
      <c r="F518" s="10" t="s">
        <v>241</v>
      </c>
      <c r="G518" s="10" t="b">
        <v>0</v>
      </c>
      <c r="I518" s="10">
        <v>3.0</v>
      </c>
      <c r="J518" s="10">
        <v>0.0</v>
      </c>
      <c r="K518" s="10">
        <v>0.0</v>
      </c>
    </row>
    <row r="519" ht="15.75" customHeight="1">
      <c r="A519" s="7" t="s">
        <v>2452</v>
      </c>
      <c r="B519" s="12" t="s">
        <v>2455</v>
      </c>
      <c r="C519" s="14" t="s">
        <v>903</v>
      </c>
      <c r="D519" s="15" t="s">
        <v>240</v>
      </c>
      <c r="E519" s="16" t="s">
        <v>24</v>
      </c>
      <c r="F519" s="10" t="s">
        <v>241</v>
      </c>
      <c r="G519" s="10" t="b">
        <v>0</v>
      </c>
      <c r="I519" s="10">
        <v>3.0</v>
      </c>
      <c r="J519" s="10">
        <v>0.0</v>
      </c>
      <c r="K519" s="10">
        <v>1.67</v>
      </c>
    </row>
    <row r="520" ht="15.75" customHeight="1">
      <c r="A520" s="7" t="s">
        <v>2458</v>
      </c>
      <c r="B520" s="16"/>
      <c r="C520" s="14" t="s">
        <v>138</v>
      </c>
      <c r="D520" s="15" t="s">
        <v>176</v>
      </c>
      <c r="E520" s="16" t="s">
        <v>176</v>
      </c>
      <c r="F520" s="10" t="s">
        <v>91</v>
      </c>
      <c r="H520" s="10" t="s">
        <v>948</v>
      </c>
      <c r="I520" s="10">
        <v>3.0</v>
      </c>
      <c r="J520" s="10">
        <v>0.0</v>
      </c>
      <c r="K520" s="10">
        <v>0.0</v>
      </c>
    </row>
    <row r="521" ht="15.75" customHeight="1">
      <c r="A521" s="7" t="s">
        <v>2462</v>
      </c>
      <c r="B521" s="12" t="s">
        <v>2466</v>
      </c>
      <c r="C521" s="14" t="s">
        <v>452</v>
      </c>
      <c r="D521" s="15" t="s">
        <v>196</v>
      </c>
      <c r="E521" s="16" t="s">
        <v>107</v>
      </c>
      <c r="F521" s="10" t="s">
        <v>198</v>
      </c>
      <c r="G521" s="10" t="b">
        <v>0</v>
      </c>
      <c r="H521" s="10" t="s">
        <v>2063</v>
      </c>
      <c r="I521" s="10">
        <v>3.0</v>
      </c>
      <c r="J521" s="10">
        <v>0.0</v>
      </c>
      <c r="K521" s="10">
        <v>0.67</v>
      </c>
    </row>
    <row r="522" ht="15.75" customHeight="1">
      <c r="A522" s="7" t="s">
        <v>2469</v>
      </c>
      <c r="B522" s="12" t="s">
        <v>2472</v>
      </c>
      <c r="C522" s="14" t="s">
        <v>452</v>
      </c>
      <c r="D522" s="15" t="s">
        <v>51</v>
      </c>
      <c r="E522" s="16" t="s">
        <v>107</v>
      </c>
      <c r="F522" s="10" t="s">
        <v>52</v>
      </c>
      <c r="G522" s="10" t="b">
        <v>0</v>
      </c>
      <c r="H522" s="10" t="s">
        <v>2473</v>
      </c>
      <c r="I522" s="10">
        <v>3.0</v>
      </c>
      <c r="J522" s="10">
        <v>0.0</v>
      </c>
      <c r="K522" s="10">
        <v>1.0</v>
      </c>
    </row>
    <row r="523" ht="15.75" customHeight="1">
      <c r="A523" s="7" t="s">
        <v>2476</v>
      </c>
      <c r="B523" s="12" t="s">
        <v>2478</v>
      </c>
      <c r="C523" s="14" t="s">
        <v>452</v>
      </c>
      <c r="D523" s="15" t="s">
        <v>240</v>
      </c>
      <c r="E523" s="16" t="s">
        <v>107</v>
      </c>
      <c r="F523" s="10" t="s">
        <v>241</v>
      </c>
      <c r="G523" s="10" t="b">
        <v>0</v>
      </c>
      <c r="H523" s="10" t="s">
        <v>2480</v>
      </c>
      <c r="I523" s="10">
        <v>3.0</v>
      </c>
      <c r="J523" s="10">
        <v>0.0</v>
      </c>
      <c r="K523" s="10">
        <v>1.33</v>
      </c>
    </row>
    <row r="524" ht="15.75" customHeight="1">
      <c r="A524" s="7" t="s">
        <v>2481</v>
      </c>
      <c r="B524" s="12" t="s">
        <v>2483</v>
      </c>
      <c r="C524" s="14" t="s">
        <v>852</v>
      </c>
      <c r="D524" s="15" t="s">
        <v>34</v>
      </c>
      <c r="E524" s="16" t="s">
        <v>24</v>
      </c>
      <c r="F524" s="10" t="s">
        <v>35</v>
      </c>
      <c r="G524" s="10" t="b">
        <v>0</v>
      </c>
      <c r="H524" s="10" t="s">
        <v>2485</v>
      </c>
      <c r="I524" s="10">
        <v>3.0</v>
      </c>
      <c r="J524" s="10">
        <v>0.0</v>
      </c>
      <c r="K524" s="10">
        <v>0.0</v>
      </c>
    </row>
    <row r="525" ht="15.75" customHeight="1">
      <c r="A525" s="7" t="s">
        <v>2487</v>
      </c>
      <c r="B525" s="12" t="s">
        <v>97</v>
      </c>
      <c r="C525" s="14" t="s">
        <v>73</v>
      </c>
      <c r="D525" s="15" t="s">
        <v>51</v>
      </c>
      <c r="E525" s="16" t="s">
        <v>99</v>
      </c>
      <c r="F525" s="10" t="s">
        <v>52</v>
      </c>
      <c r="G525" s="10" t="b">
        <v>0</v>
      </c>
      <c r="H525" s="10" t="s">
        <v>2068</v>
      </c>
      <c r="I525" s="10">
        <v>3.0</v>
      </c>
      <c r="J525" s="10">
        <v>0.0</v>
      </c>
      <c r="K525" s="10">
        <v>0.0</v>
      </c>
    </row>
    <row r="526" ht="15.75" customHeight="1">
      <c r="A526" s="7" t="s">
        <v>2489</v>
      </c>
      <c r="B526" s="12" t="s">
        <v>97</v>
      </c>
      <c r="C526" s="14" t="s">
        <v>73</v>
      </c>
      <c r="D526" s="15" t="s">
        <v>51</v>
      </c>
      <c r="E526" s="16" t="s">
        <v>99</v>
      </c>
      <c r="F526" s="10" t="s">
        <v>52</v>
      </c>
      <c r="G526" s="10" t="b">
        <v>0</v>
      </c>
      <c r="H526" s="10" t="s">
        <v>501</v>
      </c>
      <c r="I526" s="10">
        <v>3.0</v>
      </c>
      <c r="J526" s="10">
        <v>0.0</v>
      </c>
      <c r="K526" s="10">
        <v>0.0</v>
      </c>
    </row>
    <row r="527" ht="15.75" customHeight="1">
      <c r="A527" s="7" t="s">
        <v>2492</v>
      </c>
      <c r="B527" s="12" t="s">
        <v>2496</v>
      </c>
      <c r="C527" s="14" t="s">
        <v>913</v>
      </c>
      <c r="D527" s="15" t="s">
        <v>240</v>
      </c>
      <c r="E527" s="16" t="s">
        <v>107</v>
      </c>
      <c r="F527" s="10" t="s">
        <v>241</v>
      </c>
      <c r="G527" s="10" t="b">
        <v>0</v>
      </c>
      <c r="H527" s="10" t="s">
        <v>2498</v>
      </c>
      <c r="I527" s="10">
        <v>3.0</v>
      </c>
      <c r="J527" s="10">
        <v>0.0</v>
      </c>
      <c r="K527" s="10">
        <v>1.0</v>
      </c>
    </row>
    <row r="528" ht="15.75" customHeight="1">
      <c r="A528" s="7" t="s">
        <v>2500</v>
      </c>
      <c r="B528" s="12" t="s">
        <v>2501</v>
      </c>
      <c r="C528" s="14" t="s">
        <v>930</v>
      </c>
      <c r="D528" s="15" t="s">
        <v>196</v>
      </c>
      <c r="E528" s="16" t="s">
        <v>24</v>
      </c>
      <c r="F528" s="10" t="s">
        <v>198</v>
      </c>
      <c r="G528" s="10" t="b">
        <v>0</v>
      </c>
      <c r="H528" s="10" t="s">
        <v>2503</v>
      </c>
      <c r="I528" s="10">
        <v>3.0</v>
      </c>
      <c r="J528" s="10">
        <v>0.0</v>
      </c>
      <c r="K528" s="10">
        <v>0.67</v>
      </c>
    </row>
    <row r="529" ht="15.75" customHeight="1">
      <c r="A529" s="7" t="s">
        <v>2505</v>
      </c>
      <c r="B529" s="12" t="s">
        <v>2507</v>
      </c>
      <c r="C529" s="14" t="s">
        <v>545</v>
      </c>
      <c r="D529" s="15" t="s">
        <v>34</v>
      </c>
      <c r="E529" s="16" t="s">
        <v>99</v>
      </c>
      <c r="F529" s="10" t="s">
        <v>35</v>
      </c>
      <c r="G529" s="10" t="b">
        <v>0</v>
      </c>
      <c r="H529" s="10" t="s">
        <v>1402</v>
      </c>
      <c r="I529" s="10">
        <v>3.0</v>
      </c>
      <c r="J529" s="10">
        <v>0.0</v>
      </c>
      <c r="K529" s="10">
        <v>0.0</v>
      </c>
    </row>
    <row r="530" ht="15.75" customHeight="1">
      <c r="A530" s="7" t="s">
        <v>2509</v>
      </c>
      <c r="B530" s="12" t="s">
        <v>2510</v>
      </c>
      <c r="C530" s="14" t="s">
        <v>981</v>
      </c>
      <c r="D530" s="15" t="s">
        <v>196</v>
      </c>
      <c r="E530" s="16" t="s">
        <v>24</v>
      </c>
      <c r="F530" s="10" t="s">
        <v>198</v>
      </c>
      <c r="G530" s="10" t="b">
        <v>0</v>
      </c>
      <c r="I530" s="10">
        <v>3.0</v>
      </c>
      <c r="J530" s="10">
        <v>0.0</v>
      </c>
      <c r="K530" s="10">
        <v>1.0</v>
      </c>
    </row>
    <row r="531" ht="15.75" customHeight="1">
      <c r="A531" s="7" t="s">
        <v>2512</v>
      </c>
      <c r="B531" s="12" t="s">
        <v>2515</v>
      </c>
      <c r="C531" s="14" t="s">
        <v>450</v>
      </c>
      <c r="D531" s="15" t="s">
        <v>240</v>
      </c>
      <c r="E531" s="16" t="s">
        <v>24</v>
      </c>
      <c r="F531" s="10" t="s">
        <v>241</v>
      </c>
      <c r="G531" s="10" t="b">
        <v>0</v>
      </c>
      <c r="I531" s="10">
        <v>3.0</v>
      </c>
      <c r="J531" s="10">
        <v>0.0</v>
      </c>
      <c r="K531" s="10">
        <v>1.0</v>
      </c>
    </row>
    <row r="532" ht="15.75" customHeight="1">
      <c r="A532" s="7" t="s">
        <v>2517</v>
      </c>
      <c r="B532" s="12" t="s">
        <v>2520</v>
      </c>
      <c r="C532" s="14" t="s">
        <v>983</v>
      </c>
      <c r="D532" s="15" t="s">
        <v>34</v>
      </c>
      <c r="E532" s="16" t="s">
        <v>24</v>
      </c>
      <c r="F532" s="10" t="s">
        <v>35</v>
      </c>
      <c r="G532" s="10" t="b">
        <v>0</v>
      </c>
      <c r="H532" s="10" t="s">
        <v>157</v>
      </c>
      <c r="I532" s="10">
        <v>3.0</v>
      </c>
      <c r="J532" s="10">
        <v>0.0</v>
      </c>
      <c r="K532" s="10">
        <v>0.67</v>
      </c>
    </row>
    <row r="533" ht="15.75" customHeight="1">
      <c r="A533" s="7" t="s">
        <v>2526</v>
      </c>
      <c r="B533" s="12" t="s">
        <v>2529</v>
      </c>
      <c r="C533" s="14" t="s">
        <v>197</v>
      </c>
      <c r="D533" s="15" t="s">
        <v>34</v>
      </c>
      <c r="E533" s="16" t="s">
        <v>43</v>
      </c>
      <c r="F533" s="10" t="s">
        <v>35</v>
      </c>
      <c r="G533" s="10" t="b">
        <v>0</v>
      </c>
      <c r="H533" s="10" t="s">
        <v>2531</v>
      </c>
      <c r="I533" s="10">
        <v>3.0</v>
      </c>
      <c r="J533" s="10">
        <v>0.0</v>
      </c>
      <c r="K533" s="10">
        <v>1.0</v>
      </c>
    </row>
    <row r="534" ht="15.75" customHeight="1">
      <c r="A534" s="7" t="s">
        <v>2532</v>
      </c>
      <c r="B534" s="12" t="s">
        <v>2539</v>
      </c>
      <c r="C534" s="14" t="s">
        <v>253</v>
      </c>
      <c r="D534" s="15" t="s">
        <v>196</v>
      </c>
      <c r="E534" s="16" t="s">
        <v>107</v>
      </c>
      <c r="F534" s="10" t="s">
        <v>198</v>
      </c>
      <c r="G534" s="10" t="b">
        <v>0</v>
      </c>
      <c r="H534" s="10" t="s">
        <v>357</v>
      </c>
      <c r="I534" s="10">
        <v>3.0</v>
      </c>
      <c r="J534" s="10">
        <v>0.0</v>
      </c>
      <c r="K534" s="10">
        <v>0.0</v>
      </c>
    </row>
    <row r="535" ht="15.75" customHeight="1">
      <c r="A535" s="7" t="s">
        <v>2542</v>
      </c>
      <c r="B535" s="12" t="s">
        <v>2544</v>
      </c>
      <c r="C535" s="14" t="s">
        <v>986</v>
      </c>
      <c r="D535" s="15" t="s">
        <v>34</v>
      </c>
      <c r="E535" s="16" t="s">
        <v>24</v>
      </c>
      <c r="F535" s="10" t="s">
        <v>35</v>
      </c>
      <c r="G535" s="10" t="b">
        <v>0</v>
      </c>
      <c r="H535" s="10" t="s">
        <v>2547</v>
      </c>
      <c r="I535" s="10">
        <v>3.0</v>
      </c>
      <c r="J535" s="10">
        <v>0.0</v>
      </c>
      <c r="K535" s="10">
        <v>0.0</v>
      </c>
    </row>
    <row r="536" ht="15.75" customHeight="1">
      <c r="A536" s="7" t="s">
        <v>2549</v>
      </c>
      <c r="B536" s="12" t="s">
        <v>2552</v>
      </c>
      <c r="C536" s="14" t="s">
        <v>990</v>
      </c>
      <c r="D536" s="15" t="s">
        <v>34</v>
      </c>
      <c r="E536" s="16" t="s">
        <v>24</v>
      </c>
      <c r="F536" s="10" t="s">
        <v>35</v>
      </c>
      <c r="G536" s="10" t="b">
        <v>0</v>
      </c>
      <c r="H536" s="10" t="s">
        <v>2553</v>
      </c>
      <c r="I536" s="10">
        <v>3.0</v>
      </c>
      <c r="J536" s="10">
        <v>0.0</v>
      </c>
      <c r="K536" s="10">
        <v>1.33</v>
      </c>
    </row>
    <row r="537" ht="15.75" customHeight="1">
      <c r="A537" s="7" t="s">
        <v>2554</v>
      </c>
      <c r="B537" s="12" t="s">
        <v>1868</v>
      </c>
      <c r="C537" s="14" t="s">
        <v>138</v>
      </c>
      <c r="D537" s="15" t="s">
        <v>22</v>
      </c>
      <c r="E537" s="16" t="s">
        <v>176</v>
      </c>
      <c r="F537" s="10" t="s">
        <v>25</v>
      </c>
      <c r="G537" s="10" t="b">
        <v>0</v>
      </c>
      <c r="I537" s="10">
        <v>3.0</v>
      </c>
      <c r="J537" s="10">
        <v>0.0</v>
      </c>
      <c r="K537" s="10">
        <v>0.67</v>
      </c>
    </row>
    <row r="538" ht="15.75" customHeight="1">
      <c r="A538" s="7" t="s">
        <v>2555</v>
      </c>
      <c r="B538" s="12" t="s">
        <v>2556</v>
      </c>
      <c r="C538" s="14" t="s">
        <v>592</v>
      </c>
      <c r="D538" s="15" t="s">
        <v>749</v>
      </c>
      <c r="E538" s="16" t="s">
        <v>99</v>
      </c>
      <c r="F538" s="10" t="s">
        <v>750</v>
      </c>
      <c r="G538" s="10" t="b">
        <v>0</v>
      </c>
      <c r="H538" s="10" t="s">
        <v>2557</v>
      </c>
      <c r="I538" s="10">
        <v>3.0</v>
      </c>
      <c r="J538" s="10">
        <v>0.0</v>
      </c>
      <c r="K538" s="10">
        <v>0.0</v>
      </c>
    </row>
    <row r="539" ht="15.75" customHeight="1">
      <c r="A539" s="7" t="s">
        <v>2558</v>
      </c>
      <c r="B539" s="12" t="s">
        <v>2559</v>
      </c>
      <c r="C539" s="14" t="s">
        <v>808</v>
      </c>
      <c r="D539" s="15" t="s">
        <v>196</v>
      </c>
      <c r="E539" s="16" t="s">
        <v>24</v>
      </c>
      <c r="F539" s="10" t="s">
        <v>198</v>
      </c>
      <c r="G539" s="10" t="b">
        <v>0</v>
      </c>
      <c r="I539" s="10">
        <v>3.0</v>
      </c>
      <c r="J539" s="10">
        <v>0.0</v>
      </c>
      <c r="K539" s="10">
        <v>1.0</v>
      </c>
    </row>
    <row r="540" ht="15.75" customHeight="1">
      <c r="A540" s="7" t="s">
        <v>2560</v>
      </c>
      <c r="B540" s="12" t="s">
        <v>2112</v>
      </c>
      <c r="C540" s="14" t="s">
        <v>788</v>
      </c>
      <c r="D540" s="15" t="s">
        <v>176</v>
      </c>
      <c r="E540" s="16" t="s">
        <v>1000</v>
      </c>
      <c r="F540" s="10" t="s">
        <v>91</v>
      </c>
      <c r="G540" s="10" t="b">
        <v>0</v>
      </c>
      <c r="H540" s="10" t="s">
        <v>2561</v>
      </c>
      <c r="I540" s="10">
        <v>3.0</v>
      </c>
      <c r="J540" s="10">
        <v>0.0</v>
      </c>
      <c r="K540" s="10">
        <v>0.0</v>
      </c>
    </row>
    <row r="541" ht="15.75" customHeight="1">
      <c r="A541" s="7" t="s">
        <v>2562</v>
      </c>
      <c r="B541" s="12" t="s">
        <v>2563</v>
      </c>
      <c r="C541" s="14" t="s">
        <v>748</v>
      </c>
      <c r="D541" s="15" t="s">
        <v>240</v>
      </c>
      <c r="E541" s="16" t="s">
        <v>24</v>
      </c>
      <c r="F541" s="10" t="s">
        <v>241</v>
      </c>
      <c r="G541" s="10" t="b">
        <v>0</v>
      </c>
      <c r="H541" s="10" t="s">
        <v>752</v>
      </c>
      <c r="I541" s="10">
        <v>3.0</v>
      </c>
      <c r="J541" s="10">
        <v>0.0</v>
      </c>
      <c r="K541" s="10">
        <v>1.0</v>
      </c>
    </row>
    <row r="542" ht="15.75" customHeight="1">
      <c r="A542" s="7" t="s">
        <v>2564</v>
      </c>
      <c r="B542" s="12" t="s">
        <v>2565</v>
      </c>
      <c r="C542" s="14" t="s">
        <v>257</v>
      </c>
      <c r="D542" s="15" t="s">
        <v>34</v>
      </c>
      <c r="E542" s="16" t="s">
        <v>107</v>
      </c>
      <c r="F542" s="10" t="s">
        <v>35</v>
      </c>
      <c r="G542" s="10" t="b">
        <v>0</v>
      </c>
      <c r="H542" s="10" t="s">
        <v>2566</v>
      </c>
      <c r="I542" s="10">
        <v>3.0</v>
      </c>
      <c r="J542" s="10">
        <v>0.0</v>
      </c>
      <c r="K542" s="10">
        <v>1.67</v>
      </c>
    </row>
    <row r="543" ht="15.75" customHeight="1">
      <c r="A543" s="7" t="s">
        <v>2567</v>
      </c>
      <c r="B543" s="12" t="s">
        <v>2568</v>
      </c>
      <c r="C543" s="14" t="s">
        <v>257</v>
      </c>
      <c r="D543" s="15" t="s">
        <v>196</v>
      </c>
      <c r="E543" s="16" t="s">
        <v>107</v>
      </c>
      <c r="F543" s="10" t="s">
        <v>198</v>
      </c>
      <c r="G543" s="10" t="b">
        <v>0</v>
      </c>
      <c r="H543" s="10" t="s">
        <v>2569</v>
      </c>
      <c r="I543" s="10">
        <v>3.0</v>
      </c>
      <c r="J543" s="10">
        <v>0.0</v>
      </c>
      <c r="K543" s="10">
        <v>1.0</v>
      </c>
    </row>
    <row r="544" ht="15.75" customHeight="1">
      <c r="A544" s="7" t="s">
        <v>2570</v>
      </c>
      <c r="B544" s="12" t="s">
        <v>848</v>
      </c>
      <c r="C544" s="14" t="s">
        <v>89</v>
      </c>
      <c r="D544" s="15" t="s">
        <v>22</v>
      </c>
      <c r="E544" s="16" t="s">
        <v>176</v>
      </c>
      <c r="F544" s="10" t="s">
        <v>25</v>
      </c>
      <c r="G544" s="10" t="b">
        <v>0</v>
      </c>
      <c r="H544" s="10" t="s">
        <v>158</v>
      </c>
      <c r="I544" s="10">
        <v>3.0</v>
      </c>
      <c r="J544" s="10">
        <v>0.0</v>
      </c>
      <c r="K544" s="10">
        <v>0.0</v>
      </c>
    </row>
    <row r="545" ht="15.75" customHeight="1">
      <c r="A545" s="7" t="s">
        <v>2571</v>
      </c>
      <c r="B545" s="12" t="s">
        <v>2572</v>
      </c>
      <c r="C545" s="14" t="s">
        <v>499</v>
      </c>
      <c r="D545" s="15" t="s">
        <v>22</v>
      </c>
      <c r="E545" s="16" t="s">
        <v>176</v>
      </c>
      <c r="F545" s="10" t="s">
        <v>25</v>
      </c>
      <c r="G545" s="10" t="b">
        <v>0</v>
      </c>
      <c r="H545" s="10" t="s">
        <v>158</v>
      </c>
      <c r="I545" s="10">
        <v>3.0</v>
      </c>
      <c r="J545" s="10">
        <v>0.0</v>
      </c>
      <c r="K545" s="10">
        <v>0.0</v>
      </c>
    </row>
    <row r="546" ht="15.75" customHeight="1">
      <c r="A546" s="7" t="s">
        <v>2573</v>
      </c>
      <c r="B546" s="12" t="s">
        <v>2574</v>
      </c>
      <c r="C546" s="14" t="s">
        <v>499</v>
      </c>
      <c r="D546" s="15" t="s">
        <v>22</v>
      </c>
      <c r="E546" s="16" t="s">
        <v>176</v>
      </c>
      <c r="F546" s="10" t="s">
        <v>25</v>
      </c>
      <c r="G546" s="10" t="b">
        <v>0</v>
      </c>
      <c r="H546" s="10" t="s">
        <v>2575</v>
      </c>
      <c r="I546" s="10">
        <v>3.0</v>
      </c>
      <c r="J546" s="10">
        <v>0.0</v>
      </c>
      <c r="K546" s="10">
        <v>0.0</v>
      </c>
    </row>
    <row r="547" ht="15.75" customHeight="1">
      <c r="A547" s="7" t="s">
        <v>2576</v>
      </c>
      <c r="B547" s="12" t="s">
        <v>2577</v>
      </c>
      <c r="C547" s="14" t="s">
        <v>499</v>
      </c>
      <c r="D547" s="15" t="s">
        <v>51</v>
      </c>
      <c r="E547" s="16" t="s">
        <v>176</v>
      </c>
      <c r="F547" s="10" t="s">
        <v>52</v>
      </c>
      <c r="G547" s="10" t="b">
        <v>0</v>
      </c>
      <c r="I547" s="10">
        <v>3.0</v>
      </c>
      <c r="J547" s="10">
        <v>0.0</v>
      </c>
      <c r="K547" s="10">
        <v>0.0</v>
      </c>
    </row>
    <row r="548" ht="15.75" customHeight="1">
      <c r="A548" s="7" t="s">
        <v>2578</v>
      </c>
      <c r="B548" s="12" t="s">
        <v>2579</v>
      </c>
      <c r="C548" s="14" t="s">
        <v>332</v>
      </c>
      <c r="D548" s="15" t="s">
        <v>22</v>
      </c>
      <c r="E548" s="16" t="s">
        <v>1000</v>
      </c>
      <c r="F548" s="10" t="s">
        <v>25</v>
      </c>
      <c r="G548" s="10" t="b">
        <v>0</v>
      </c>
      <c r="H548" s="10" t="s">
        <v>2580</v>
      </c>
      <c r="I548" s="10">
        <v>3.0</v>
      </c>
      <c r="J548" s="10">
        <v>0.0</v>
      </c>
      <c r="K548" s="10">
        <v>0.0</v>
      </c>
    </row>
    <row r="549" ht="15.75" customHeight="1">
      <c r="A549" s="7" t="s">
        <v>2581</v>
      </c>
      <c r="B549" s="12" t="s">
        <v>2582</v>
      </c>
      <c r="C549" s="14" t="s">
        <v>996</v>
      </c>
      <c r="D549" s="15" t="s">
        <v>176</v>
      </c>
      <c r="E549" s="16" t="s">
        <v>24</v>
      </c>
      <c r="F549" s="10" t="s">
        <v>91</v>
      </c>
      <c r="G549" s="10" t="b">
        <v>0</v>
      </c>
      <c r="H549" s="10" t="s">
        <v>2583</v>
      </c>
      <c r="I549" s="10">
        <v>3.0</v>
      </c>
      <c r="J549" s="10">
        <v>0.0</v>
      </c>
      <c r="K549" s="10">
        <v>0.0</v>
      </c>
    </row>
    <row r="550" ht="15.75" customHeight="1">
      <c r="A550" s="7" t="s">
        <v>2584</v>
      </c>
      <c r="B550" s="12" t="s">
        <v>2585</v>
      </c>
      <c r="C550" s="14" t="s">
        <v>114</v>
      </c>
      <c r="D550" s="15" t="s">
        <v>196</v>
      </c>
      <c r="E550" s="16" t="s">
        <v>107</v>
      </c>
      <c r="F550" s="10" t="s">
        <v>198</v>
      </c>
      <c r="G550" s="10" t="b">
        <v>0</v>
      </c>
      <c r="H550" s="10" t="s">
        <v>118</v>
      </c>
      <c r="I550" s="10">
        <v>3.0</v>
      </c>
      <c r="J550" s="10">
        <v>0.0</v>
      </c>
      <c r="K550" s="10">
        <v>0.0</v>
      </c>
    </row>
    <row r="551" ht="15.75" customHeight="1">
      <c r="A551" s="7" t="s">
        <v>2586</v>
      </c>
      <c r="B551" s="16"/>
      <c r="C551" s="14" t="s">
        <v>999</v>
      </c>
      <c r="D551" s="15" t="s">
        <v>240</v>
      </c>
      <c r="E551" s="16" t="s">
        <v>24</v>
      </c>
      <c r="F551" s="10" t="s">
        <v>241</v>
      </c>
      <c r="H551" s="10" t="s">
        <v>948</v>
      </c>
      <c r="I551" s="10">
        <v>3.0</v>
      </c>
      <c r="J551" s="10">
        <v>0.0</v>
      </c>
      <c r="K551" s="10">
        <v>0.0</v>
      </c>
    </row>
    <row r="552" ht="15.75" customHeight="1">
      <c r="A552" s="7" t="s">
        <v>2587</v>
      </c>
      <c r="B552" s="12" t="s">
        <v>2588</v>
      </c>
      <c r="C552" s="14" t="s">
        <v>1001</v>
      </c>
      <c r="D552" s="15" t="s">
        <v>34</v>
      </c>
      <c r="E552" s="16" t="s">
        <v>24</v>
      </c>
      <c r="F552" s="10" t="s">
        <v>35</v>
      </c>
      <c r="G552" s="10" t="b">
        <v>0</v>
      </c>
      <c r="H552" s="10" t="s">
        <v>2589</v>
      </c>
      <c r="I552" s="10">
        <v>3.0</v>
      </c>
      <c r="J552" s="10">
        <v>0.0</v>
      </c>
      <c r="K552" s="10">
        <v>0.0</v>
      </c>
    </row>
    <row r="553" ht="15.75" customHeight="1">
      <c r="A553" s="7" t="s">
        <v>2590</v>
      </c>
      <c r="B553" s="12" t="s">
        <v>2591</v>
      </c>
      <c r="C553" s="14" t="s">
        <v>568</v>
      </c>
      <c r="D553" s="15" t="s">
        <v>196</v>
      </c>
      <c r="E553" s="16" t="s">
        <v>24</v>
      </c>
      <c r="F553" s="10" t="s">
        <v>198</v>
      </c>
      <c r="G553" s="10" t="b">
        <v>0</v>
      </c>
      <c r="H553" s="10" t="s">
        <v>1647</v>
      </c>
      <c r="I553" s="10">
        <v>3.0</v>
      </c>
      <c r="J553" s="10">
        <v>0.0</v>
      </c>
      <c r="K553" s="10">
        <v>0.0</v>
      </c>
    </row>
    <row r="554" ht="15.75" customHeight="1">
      <c r="A554" s="7" t="s">
        <v>2592</v>
      </c>
      <c r="B554" s="12" t="s">
        <v>2593</v>
      </c>
      <c r="C554" s="14" t="s">
        <v>84</v>
      </c>
      <c r="D554" s="15" t="s">
        <v>222</v>
      </c>
      <c r="E554" s="16" t="s">
        <v>44</v>
      </c>
      <c r="F554" s="10" t="s">
        <v>223</v>
      </c>
      <c r="G554" s="10" t="b">
        <v>0</v>
      </c>
      <c r="H554" s="10" t="s">
        <v>584</v>
      </c>
      <c r="I554" s="10">
        <v>3.0</v>
      </c>
      <c r="J554" s="10">
        <v>0.0</v>
      </c>
      <c r="K554" s="10">
        <v>2.0</v>
      </c>
    </row>
    <row r="555" ht="15.75" customHeight="1">
      <c r="A555" s="7" t="s">
        <v>2594</v>
      </c>
      <c r="B555" s="12" t="s">
        <v>2595</v>
      </c>
      <c r="C555" s="14" t="s">
        <v>84</v>
      </c>
      <c r="D555" s="15" t="s">
        <v>222</v>
      </c>
      <c r="E555" s="16" t="s">
        <v>44</v>
      </c>
      <c r="F555" s="10" t="s">
        <v>223</v>
      </c>
      <c r="G555" s="10" t="b">
        <v>0</v>
      </c>
      <c r="H555" s="10" t="s">
        <v>2596</v>
      </c>
      <c r="I555" s="10">
        <v>3.0</v>
      </c>
      <c r="J555" s="10">
        <v>0.0</v>
      </c>
      <c r="K555" s="10">
        <v>1.67</v>
      </c>
    </row>
    <row r="556" ht="15.75" customHeight="1">
      <c r="A556" s="7" t="s">
        <v>2597</v>
      </c>
      <c r="B556" s="12" t="s">
        <v>2598</v>
      </c>
      <c r="C556" s="14" t="s">
        <v>84</v>
      </c>
      <c r="D556" s="15" t="s">
        <v>222</v>
      </c>
      <c r="E556" s="16" t="s">
        <v>44</v>
      </c>
      <c r="F556" s="10" t="s">
        <v>223</v>
      </c>
      <c r="G556" s="10" t="b">
        <v>0</v>
      </c>
      <c r="I556" s="10">
        <v>3.0</v>
      </c>
      <c r="J556" s="10">
        <v>0.0</v>
      </c>
      <c r="K556" s="10">
        <v>1.67</v>
      </c>
    </row>
    <row r="557" ht="15.75" customHeight="1">
      <c r="A557" s="7" t="s">
        <v>2599</v>
      </c>
      <c r="B557" s="12" t="s">
        <v>2600</v>
      </c>
      <c r="C557" s="14" t="s">
        <v>373</v>
      </c>
      <c r="D557" s="15" t="s">
        <v>749</v>
      </c>
      <c r="E557" s="16" t="s">
        <v>107</v>
      </c>
      <c r="F557" s="10" t="s">
        <v>750</v>
      </c>
      <c r="G557" s="10" t="b">
        <v>0</v>
      </c>
      <c r="H557" s="10" t="s">
        <v>2601</v>
      </c>
      <c r="I557" s="10">
        <v>3.0</v>
      </c>
      <c r="J557" s="10">
        <v>0.0</v>
      </c>
      <c r="K557" s="10">
        <v>1.0</v>
      </c>
    </row>
    <row r="558" ht="15.75" customHeight="1">
      <c r="A558" s="7" t="s">
        <v>2602</v>
      </c>
      <c r="B558" s="12" t="s">
        <v>2603</v>
      </c>
      <c r="C558" s="14" t="s">
        <v>151</v>
      </c>
      <c r="D558" s="15" t="s">
        <v>404</v>
      </c>
      <c r="E558" s="16" t="s">
        <v>107</v>
      </c>
      <c r="F558" s="10" t="s">
        <v>405</v>
      </c>
      <c r="G558" s="10" t="b">
        <v>0</v>
      </c>
      <c r="H558" s="10" t="s">
        <v>2604</v>
      </c>
      <c r="I558" s="10">
        <v>3.0</v>
      </c>
      <c r="J558" s="10">
        <v>0.0</v>
      </c>
      <c r="K558" s="10">
        <v>0.67</v>
      </c>
    </row>
    <row r="559" ht="15.75" customHeight="1">
      <c r="A559" s="7" t="s">
        <v>2605</v>
      </c>
      <c r="B559" s="12" t="s">
        <v>2606</v>
      </c>
      <c r="C559" s="14" t="s">
        <v>1005</v>
      </c>
      <c r="D559" s="15" t="s">
        <v>22</v>
      </c>
      <c r="E559" s="16" t="s">
        <v>24</v>
      </c>
      <c r="F559" s="10" t="s">
        <v>25</v>
      </c>
      <c r="G559" s="10" t="b">
        <v>0</v>
      </c>
      <c r="H559" s="10" t="s">
        <v>1007</v>
      </c>
      <c r="I559" s="10">
        <v>3.0</v>
      </c>
      <c r="J559" s="10">
        <v>0.0</v>
      </c>
      <c r="K559" s="10">
        <v>0.67</v>
      </c>
    </row>
    <row r="560" ht="15.75" customHeight="1">
      <c r="A560" s="7" t="s">
        <v>2607</v>
      </c>
      <c r="B560" s="12" t="s">
        <v>2608</v>
      </c>
      <c r="C560" s="14" t="s">
        <v>23</v>
      </c>
      <c r="D560" s="15" t="s">
        <v>51</v>
      </c>
      <c r="E560" s="16" t="s">
        <v>24</v>
      </c>
      <c r="F560" s="10" t="s">
        <v>52</v>
      </c>
      <c r="G560" s="10" t="b">
        <v>0</v>
      </c>
      <c r="H560" s="10" t="s">
        <v>301</v>
      </c>
      <c r="I560" s="10">
        <v>3.0</v>
      </c>
      <c r="J560" s="10">
        <v>0.0</v>
      </c>
      <c r="K560" s="10">
        <v>0.0</v>
      </c>
    </row>
    <row r="561" ht="15.75" customHeight="1">
      <c r="A561" s="7" t="s">
        <v>2609</v>
      </c>
      <c r="B561" s="12" t="s">
        <v>2610</v>
      </c>
      <c r="C561" s="14" t="s">
        <v>704</v>
      </c>
      <c r="D561" s="15" t="s">
        <v>34</v>
      </c>
      <c r="E561" s="16" t="s">
        <v>24</v>
      </c>
      <c r="F561" s="10" t="s">
        <v>35</v>
      </c>
      <c r="G561" s="10" t="b">
        <v>0</v>
      </c>
      <c r="H561" s="10" t="s">
        <v>2611</v>
      </c>
      <c r="I561" s="10">
        <v>3.0</v>
      </c>
      <c r="J561" s="10">
        <v>0.0</v>
      </c>
      <c r="K561" s="10">
        <v>0.0</v>
      </c>
    </row>
    <row r="562" ht="15.75" customHeight="1">
      <c r="A562" s="7" t="s">
        <v>2612</v>
      </c>
      <c r="B562" s="12" t="s">
        <v>2613</v>
      </c>
      <c r="C562" s="14" t="s">
        <v>16</v>
      </c>
      <c r="D562" s="15" t="s">
        <v>22</v>
      </c>
      <c r="E562" s="16" t="s">
        <v>24</v>
      </c>
      <c r="F562" s="10" t="s">
        <v>25</v>
      </c>
      <c r="G562" s="10" t="b">
        <v>0</v>
      </c>
      <c r="H562" s="10" t="s">
        <v>2614</v>
      </c>
      <c r="I562" s="10">
        <v>3.0</v>
      </c>
      <c r="J562" s="10">
        <v>0.0</v>
      </c>
      <c r="K562" s="10">
        <v>0.0</v>
      </c>
    </row>
    <row r="563" ht="15.75" customHeight="1">
      <c r="A563" s="7" t="s">
        <v>2615</v>
      </c>
      <c r="B563" s="12" t="s">
        <v>2616</v>
      </c>
      <c r="C563" s="14" t="s">
        <v>16</v>
      </c>
      <c r="D563" s="15" t="s">
        <v>51</v>
      </c>
      <c r="E563" s="16" t="s">
        <v>24</v>
      </c>
      <c r="F563" s="10" t="s">
        <v>52</v>
      </c>
      <c r="G563" s="10" t="b">
        <v>0</v>
      </c>
      <c r="H563" s="10" t="s">
        <v>184</v>
      </c>
      <c r="I563" s="10">
        <v>3.0</v>
      </c>
      <c r="J563" s="10">
        <v>0.0</v>
      </c>
      <c r="K563" s="10">
        <v>0.0</v>
      </c>
    </row>
    <row r="564" ht="15.75" customHeight="1">
      <c r="A564" s="7" t="s">
        <v>2617</v>
      </c>
      <c r="B564" s="12" t="s">
        <v>2618</v>
      </c>
      <c r="C564" s="14" t="s">
        <v>16</v>
      </c>
      <c r="D564" s="15" t="s">
        <v>22</v>
      </c>
      <c r="E564" s="16" t="s">
        <v>24</v>
      </c>
      <c r="F564" s="10" t="s">
        <v>25</v>
      </c>
      <c r="G564" s="10" t="b">
        <v>0</v>
      </c>
      <c r="H564" s="10" t="s">
        <v>2619</v>
      </c>
      <c r="I564" s="10">
        <v>3.0</v>
      </c>
      <c r="J564" s="10">
        <v>0.0</v>
      </c>
      <c r="K564" s="10">
        <v>0.67</v>
      </c>
    </row>
    <row r="565" ht="15.75" customHeight="1">
      <c r="A565" s="7" t="s">
        <v>2620</v>
      </c>
      <c r="B565" s="12" t="s">
        <v>2621</v>
      </c>
      <c r="C565" s="14" t="s">
        <v>16</v>
      </c>
      <c r="D565" s="15" t="s">
        <v>22</v>
      </c>
      <c r="E565" s="16" t="s">
        <v>24</v>
      </c>
      <c r="F565" s="10" t="s">
        <v>25</v>
      </c>
      <c r="G565" s="10" t="b">
        <v>0</v>
      </c>
      <c r="H565" s="10" t="s">
        <v>2196</v>
      </c>
      <c r="I565" s="10">
        <v>3.0</v>
      </c>
      <c r="J565" s="10">
        <v>0.0</v>
      </c>
      <c r="K565" s="10">
        <v>0.0</v>
      </c>
    </row>
    <row r="566" ht="15.75" customHeight="1">
      <c r="A566" s="7" t="s">
        <v>2622</v>
      </c>
      <c r="B566" s="12" t="s">
        <v>2623</v>
      </c>
      <c r="C566" s="14" t="s">
        <v>66</v>
      </c>
      <c r="D566" s="15" t="s">
        <v>22</v>
      </c>
      <c r="E566" s="16" t="s">
        <v>24</v>
      </c>
      <c r="F566" s="10" t="s">
        <v>25</v>
      </c>
      <c r="G566" s="10" t="b">
        <v>0</v>
      </c>
      <c r="H566" s="10" t="s">
        <v>384</v>
      </c>
      <c r="I566" s="10">
        <v>3.0</v>
      </c>
      <c r="J566" s="10">
        <v>0.0</v>
      </c>
      <c r="K566" s="10">
        <v>0.0</v>
      </c>
    </row>
    <row r="567" ht="15.75" customHeight="1">
      <c r="A567" s="7" t="s">
        <v>2624</v>
      </c>
      <c r="B567" s="12" t="s">
        <v>2625</v>
      </c>
      <c r="C567" s="14" t="s">
        <v>66</v>
      </c>
      <c r="D567" s="15" t="s">
        <v>577</v>
      </c>
      <c r="E567" s="16" t="s">
        <v>24</v>
      </c>
      <c r="F567" s="10" t="s">
        <v>578</v>
      </c>
      <c r="G567" s="10" t="b">
        <v>0</v>
      </c>
      <c r="I567" s="10">
        <v>3.0</v>
      </c>
      <c r="J567" s="10">
        <v>0.0</v>
      </c>
      <c r="K567" s="10">
        <v>0.0</v>
      </c>
    </row>
    <row r="568" ht="15.75" customHeight="1">
      <c r="A568" s="7" t="s">
        <v>2626</v>
      </c>
      <c r="B568" s="12" t="s">
        <v>2627</v>
      </c>
      <c r="C568" s="14" t="s">
        <v>66</v>
      </c>
      <c r="D568" s="15" t="s">
        <v>22</v>
      </c>
      <c r="E568" s="16" t="s">
        <v>24</v>
      </c>
      <c r="F568" s="10" t="s">
        <v>25</v>
      </c>
      <c r="G568" s="10" t="b">
        <v>0</v>
      </c>
      <c r="H568" s="10" t="s">
        <v>2628</v>
      </c>
      <c r="I568" s="10">
        <v>3.0</v>
      </c>
      <c r="J568" s="10">
        <v>0.0</v>
      </c>
      <c r="K568" s="10">
        <v>0.0</v>
      </c>
    </row>
    <row r="569" ht="15.75" customHeight="1">
      <c r="A569" s="7" t="s">
        <v>2629</v>
      </c>
      <c r="B569" s="12" t="s">
        <v>2630</v>
      </c>
      <c r="C569" s="14" t="s">
        <v>66</v>
      </c>
      <c r="D569" s="15" t="s">
        <v>22</v>
      </c>
      <c r="E569" s="16" t="s">
        <v>24</v>
      </c>
      <c r="F569" s="10" t="s">
        <v>25</v>
      </c>
      <c r="G569" s="10" t="b">
        <v>0</v>
      </c>
      <c r="H569" s="10" t="s">
        <v>2631</v>
      </c>
      <c r="I569" s="10">
        <v>3.0</v>
      </c>
      <c r="J569" s="10">
        <v>0.0</v>
      </c>
      <c r="K569" s="10">
        <v>0.0</v>
      </c>
    </row>
    <row r="570" ht="15.75" customHeight="1">
      <c r="A570" s="7" t="s">
        <v>2632</v>
      </c>
      <c r="B570" s="12" t="s">
        <v>2633</v>
      </c>
      <c r="C570" s="14" t="s">
        <v>98</v>
      </c>
      <c r="D570" s="15" t="s">
        <v>34</v>
      </c>
      <c r="E570" s="16" t="s">
        <v>176</v>
      </c>
      <c r="F570" s="10" t="s">
        <v>35</v>
      </c>
      <c r="G570" s="10" t="b">
        <v>0</v>
      </c>
      <c r="I570" s="10">
        <v>3.0</v>
      </c>
      <c r="J570" s="10">
        <v>0.0</v>
      </c>
      <c r="K570" s="10">
        <v>0.0</v>
      </c>
    </row>
    <row r="571" ht="15.75" customHeight="1">
      <c r="A571" s="7" t="s">
        <v>2634</v>
      </c>
      <c r="B571" s="12" t="s">
        <v>2635</v>
      </c>
      <c r="C571" s="14" t="s">
        <v>810</v>
      </c>
      <c r="D571" s="15" t="s">
        <v>240</v>
      </c>
      <c r="E571" s="16" t="s">
        <v>24</v>
      </c>
      <c r="F571" s="10" t="s">
        <v>241</v>
      </c>
      <c r="G571" s="10" t="b">
        <v>0</v>
      </c>
      <c r="I571" s="10">
        <v>3.0</v>
      </c>
      <c r="J571" s="10">
        <v>0.0</v>
      </c>
      <c r="K571" s="10">
        <v>1.67</v>
      </c>
    </row>
    <row r="572" ht="15.75" customHeight="1">
      <c r="A572" s="7" t="s">
        <v>2636</v>
      </c>
      <c r="B572" s="12" t="s">
        <v>2637</v>
      </c>
      <c r="C572" s="14" t="s">
        <v>891</v>
      </c>
      <c r="D572" s="15" t="s">
        <v>196</v>
      </c>
      <c r="E572" s="16" t="s">
        <v>24</v>
      </c>
      <c r="F572" s="10" t="s">
        <v>198</v>
      </c>
      <c r="G572" s="10" t="b">
        <v>0</v>
      </c>
      <c r="I572" s="10">
        <v>3.0</v>
      </c>
      <c r="J572" s="10">
        <v>0.0</v>
      </c>
      <c r="K572" s="10">
        <v>1.0</v>
      </c>
    </row>
    <row r="573" ht="15.75" customHeight="1">
      <c r="A573" s="7" t="s">
        <v>2638</v>
      </c>
      <c r="B573" s="12" t="s">
        <v>2639</v>
      </c>
      <c r="C573" s="14" t="s">
        <v>316</v>
      </c>
      <c r="D573" s="15" t="s">
        <v>34</v>
      </c>
      <c r="E573" s="16" t="s">
        <v>24</v>
      </c>
      <c r="F573" s="10" t="s">
        <v>35</v>
      </c>
      <c r="G573" s="10" t="b">
        <v>0</v>
      </c>
      <c r="H573" s="10" t="s">
        <v>158</v>
      </c>
      <c r="I573" s="10">
        <v>3.0</v>
      </c>
      <c r="J573" s="10">
        <v>0.0</v>
      </c>
      <c r="K573" s="10">
        <v>4.67</v>
      </c>
    </row>
    <row r="574" ht="15.75" customHeight="1">
      <c r="A574" s="7" t="s">
        <v>2640</v>
      </c>
      <c r="B574" s="12" t="s">
        <v>2641</v>
      </c>
      <c r="C574" s="14" t="s">
        <v>106</v>
      </c>
      <c r="D574" s="15" t="s">
        <v>22</v>
      </c>
      <c r="E574" s="16" t="s">
        <v>43</v>
      </c>
      <c r="F574" s="10" t="s">
        <v>25</v>
      </c>
      <c r="G574" s="10" t="b">
        <v>0</v>
      </c>
      <c r="H574" s="10" t="s">
        <v>2642</v>
      </c>
      <c r="I574" s="10">
        <v>3.0</v>
      </c>
      <c r="J574" s="10">
        <v>0.0</v>
      </c>
      <c r="K574" s="10">
        <v>0.0</v>
      </c>
    </row>
    <row r="575" ht="15.75" customHeight="1">
      <c r="A575" s="7" t="s">
        <v>2643</v>
      </c>
      <c r="B575" s="12" t="s">
        <v>2644</v>
      </c>
      <c r="C575" s="14" t="s">
        <v>106</v>
      </c>
      <c r="D575" s="15" t="s">
        <v>34</v>
      </c>
      <c r="E575" s="16" t="s">
        <v>43</v>
      </c>
      <c r="F575" s="10" t="s">
        <v>35</v>
      </c>
      <c r="G575" s="10" t="b">
        <v>0</v>
      </c>
      <c r="H575" s="10" t="s">
        <v>1812</v>
      </c>
      <c r="I575" s="10">
        <v>3.0</v>
      </c>
      <c r="J575" s="10">
        <v>0.0</v>
      </c>
      <c r="K575" s="10">
        <v>0.0</v>
      </c>
    </row>
    <row r="576" ht="15.75" customHeight="1">
      <c r="A576" s="7" t="s">
        <v>2645</v>
      </c>
      <c r="B576" s="12" t="s">
        <v>2646</v>
      </c>
      <c r="C576" s="14" t="s">
        <v>974</v>
      </c>
      <c r="D576" s="15" t="s">
        <v>34</v>
      </c>
      <c r="E576" s="16" t="s">
        <v>24</v>
      </c>
      <c r="F576" s="10" t="s">
        <v>35</v>
      </c>
      <c r="G576" s="10" t="b">
        <v>0</v>
      </c>
      <c r="I576" s="10">
        <v>3.0</v>
      </c>
      <c r="J576" s="10">
        <v>0.0</v>
      </c>
      <c r="K576" s="10">
        <v>1.0</v>
      </c>
    </row>
    <row r="577" ht="15.75" customHeight="1">
      <c r="A577" s="7" t="s">
        <v>2647</v>
      </c>
      <c r="B577" s="12" t="s">
        <v>2648</v>
      </c>
      <c r="C577" s="14" t="s">
        <v>1008</v>
      </c>
      <c r="D577" s="15" t="s">
        <v>34</v>
      </c>
      <c r="E577" s="16" t="s">
        <v>43</v>
      </c>
      <c r="F577" s="10" t="s">
        <v>35</v>
      </c>
      <c r="G577" s="10" t="b">
        <v>0</v>
      </c>
      <c r="I577" s="10">
        <v>3.0</v>
      </c>
      <c r="J577" s="10">
        <v>0.0</v>
      </c>
      <c r="K577" s="10">
        <v>0.0</v>
      </c>
    </row>
    <row r="578" ht="15.75" customHeight="1">
      <c r="A578" s="7" t="s">
        <v>2649</v>
      </c>
      <c r="B578" s="12" t="s">
        <v>2650</v>
      </c>
      <c r="C578" s="14" t="s">
        <v>1012</v>
      </c>
      <c r="D578" s="15" t="s">
        <v>34</v>
      </c>
      <c r="E578" s="16" t="s">
        <v>24</v>
      </c>
      <c r="F578" s="10" t="s">
        <v>35</v>
      </c>
      <c r="G578" s="10" t="b">
        <v>0</v>
      </c>
      <c r="H578" s="10" t="s">
        <v>1013</v>
      </c>
      <c r="I578" s="10">
        <v>3.0</v>
      </c>
      <c r="J578" s="10">
        <v>0.0</v>
      </c>
      <c r="K578" s="10">
        <v>1.0</v>
      </c>
    </row>
    <row r="579" ht="15.75" customHeight="1">
      <c r="A579" s="7" t="s">
        <v>2651</v>
      </c>
      <c r="B579" s="12" t="s">
        <v>2652</v>
      </c>
      <c r="C579" s="14" t="s">
        <v>1015</v>
      </c>
      <c r="D579" s="15" t="s">
        <v>196</v>
      </c>
      <c r="E579" s="16" t="s">
        <v>24</v>
      </c>
      <c r="F579" s="10" t="s">
        <v>198</v>
      </c>
      <c r="G579" s="10" t="b">
        <v>0</v>
      </c>
      <c r="H579" s="10" t="s">
        <v>157</v>
      </c>
      <c r="I579" s="10">
        <v>3.0</v>
      </c>
      <c r="J579" s="10">
        <v>0.0</v>
      </c>
      <c r="K579" s="10">
        <v>0.67</v>
      </c>
    </row>
    <row r="580" ht="15.75" customHeight="1">
      <c r="A580" s="7" t="s">
        <v>2653</v>
      </c>
      <c r="B580" s="12" t="s">
        <v>2654</v>
      </c>
      <c r="C580" s="14" t="s">
        <v>1016</v>
      </c>
      <c r="D580" s="15" t="s">
        <v>196</v>
      </c>
      <c r="E580" s="16" t="s">
        <v>24</v>
      </c>
      <c r="F580" s="10" t="s">
        <v>198</v>
      </c>
      <c r="G580" s="10" t="b">
        <v>0</v>
      </c>
      <c r="I580" s="10">
        <v>3.0</v>
      </c>
      <c r="J580" s="10">
        <v>0.0</v>
      </c>
      <c r="K580" s="10">
        <v>0.0</v>
      </c>
    </row>
    <row r="581" ht="15.75" customHeight="1">
      <c r="A581" s="7" t="s">
        <v>2655</v>
      </c>
      <c r="B581" s="12" t="s">
        <v>2656</v>
      </c>
      <c r="C581" s="14" t="s">
        <v>133</v>
      </c>
      <c r="D581" s="15" t="s">
        <v>34</v>
      </c>
      <c r="E581" s="16" t="s">
        <v>44</v>
      </c>
      <c r="F581" s="10" t="s">
        <v>35</v>
      </c>
      <c r="G581" s="10" t="b">
        <v>0</v>
      </c>
      <c r="I581" s="10">
        <v>3.0</v>
      </c>
      <c r="J581" s="10">
        <v>0.0</v>
      </c>
      <c r="K581" s="10">
        <v>1.0</v>
      </c>
    </row>
    <row r="582" ht="15.75" customHeight="1">
      <c r="A582" s="7" t="s">
        <v>2657</v>
      </c>
      <c r="B582" s="12" t="s">
        <v>2658</v>
      </c>
      <c r="C582" s="14" t="s">
        <v>641</v>
      </c>
      <c r="D582" s="15" t="s">
        <v>34</v>
      </c>
      <c r="E582" s="16" t="s">
        <v>43</v>
      </c>
      <c r="F582" s="10" t="s">
        <v>35</v>
      </c>
      <c r="G582" s="10" t="b">
        <v>0</v>
      </c>
      <c r="H582" s="10" t="s">
        <v>2659</v>
      </c>
      <c r="I582" s="10">
        <v>3.0</v>
      </c>
      <c r="J582" s="10">
        <v>0.0</v>
      </c>
      <c r="K582" s="10">
        <v>0.0</v>
      </c>
    </row>
    <row r="583" ht="15.75" customHeight="1">
      <c r="A583" s="7" t="s">
        <v>2660</v>
      </c>
      <c r="B583" s="12" t="s">
        <v>2661</v>
      </c>
      <c r="C583" s="14" t="s">
        <v>155</v>
      </c>
      <c r="D583" s="15" t="s">
        <v>22</v>
      </c>
      <c r="E583" s="16" t="s">
        <v>176</v>
      </c>
      <c r="F583" s="10" t="s">
        <v>25</v>
      </c>
      <c r="G583" s="10" t="b">
        <v>0</v>
      </c>
      <c r="H583" s="10" t="s">
        <v>157</v>
      </c>
      <c r="I583" s="10">
        <v>3.0</v>
      </c>
      <c r="J583" s="10">
        <v>0.0</v>
      </c>
      <c r="K583" s="10">
        <v>1.33</v>
      </c>
    </row>
    <row r="584" ht="15.75" customHeight="1">
      <c r="A584" s="7" t="s">
        <v>2662</v>
      </c>
      <c r="B584" s="12" t="s">
        <v>2663</v>
      </c>
      <c r="C584" s="14" t="s">
        <v>1036</v>
      </c>
      <c r="D584" s="15" t="s">
        <v>176</v>
      </c>
      <c r="E584" s="16" t="s">
        <v>43</v>
      </c>
      <c r="F584" s="10" t="s">
        <v>91</v>
      </c>
      <c r="G584" s="10" t="b">
        <v>0</v>
      </c>
      <c r="I584" s="10">
        <v>2.0</v>
      </c>
      <c r="J584" s="10">
        <v>0.0</v>
      </c>
      <c r="K584" s="10">
        <v>0.0</v>
      </c>
    </row>
    <row r="585" ht="15.75" customHeight="1">
      <c r="A585" s="7" t="s">
        <v>2664</v>
      </c>
      <c r="B585" s="12" t="s">
        <v>2665</v>
      </c>
      <c r="C585" s="14" t="s">
        <v>455</v>
      </c>
      <c r="D585" s="15" t="s">
        <v>749</v>
      </c>
      <c r="E585" s="16" t="s">
        <v>1000</v>
      </c>
      <c r="F585" s="10" t="s">
        <v>750</v>
      </c>
      <c r="G585" s="10" t="b">
        <v>0</v>
      </c>
      <c r="H585" s="10" t="s">
        <v>2666</v>
      </c>
      <c r="I585" s="10">
        <v>2.0</v>
      </c>
      <c r="J585" s="10">
        <v>0.0</v>
      </c>
      <c r="K585" s="10">
        <v>1.0</v>
      </c>
    </row>
    <row r="586" ht="15.75" customHeight="1">
      <c r="A586" s="7" t="s">
        <v>2667</v>
      </c>
      <c r="B586" s="12" t="s">
        <v>2668</v>
      </c>
      <c r="C586" s="14" t="s">
        <v>1038</v>
      </c>
      <c r="D586" s="15" t="s">
        <v>34</v>
      </c>
      <c r="E586" s="16" t="s">
        <v>24</v>
      </c>
      <c r="F586" s="10" t="s">
        <v>35</v>
      </c>
      <c r="G586" s="10" t="b">
        <v>0</v>
      </c>
      <c r="H586" s="10" t="s">
        <v>2669</v>
      </c>
      <c r="I586" s="10">
        <v>2.0</v>
      </c>
      <c r="J586" s="10">
        <v>0.0</v>
      </c>
      <c r="K586" s="10">
        <v>0.5</v>
      </c>
    </row>
    <row r="587" ht="15.75" customHeight="1">
      <c r="A587" s="7" t="s">
        <v>2670</v>
      </c>
      <c r="B587" s="12" t="s">
        <v>2671</v>
      </c>
      <c r="C587" s="14" t="s">
        <v>23</v>
      </c>
      <c r="D587" s="15" t="s">
        <v>22</v>
      </c>
      <c r="E587" s="16" t="s">
        <v>24</v>
      </c>
      <c r="F587" s="10" t="s">
        <v>25</v>
      </c>
      <c r="G587" s="10" t="b">
        <v>0</v>
      </c>
      <c r="H587" s="10" t="s">
        <v>635</v>
      </c>
      <c r="I587" s="10">
        <v>2.0</v>
      </c>
      <c r="J587" s="10">
        <v>0.0</v>
      </c>
      <c r="K587" s="10">
        <v>0.0</v>
      </c>
    </row>
    <row r="588" ht="15.75" customHeight="1">
      <c r="A588" s="7" t="s">
        <v>2672</v>
      </c>
      <c r="B588" s="12" t="s">
        <v>2673</v>
      </c>
      <c r="C588" s="14" t="s">
        <v>23</v>
      </c>
      <c r="D588" s="15" t="s">
        <v>176</v>
      </c>
      <c r="E588" s="16" t="s">
        <v>24</v>
      </c>
      <c r="F588" s="10" t="s">
        <v>91</v>
      </c>
      <c r="G588" s="10" t="b">
        <v>0</v>
      </c>
      <c r="H588" s="10" t="s">
        <v>635</v>
      </c>
      <c r="I588" s="10">
        <v>2.0</v>
      </c>
      <c r="J588" s="10">
        <v>0.0</v>
      </c>
      <c r="K588" s="10">
        <v>0.0</v>
      </c>
    </row>
    <row r="589" ht="15.75" customHeight="1">
      <c r="A589" s="7" t="s">
        <v>2674</v>
      </c>
      <c r="B589" s="12" t="s">
        <v>2675</v>
      </c>
      <c r="C589" s="14" t="s">
        <v>23</v>
      </c>
      <c r="D589" s="15" t="s">
        <v>176</v>
      </c>
      <c r="E589" s="16" t="s">
        <v>24</v>
      </c>
      <c r="F589" s="10" t="s">
        <v>91</v>
      </c>
      <c r="G589" s="10" t="b">
        <v>0</v>
      </c>
      <c r="H589" s="10" t="s">
        <v>1792</v>
      </c>
      <c r="I589" s="10">
        <v>2.0</v>
      </c>
      <c r="J589" s="10">
        <v>0.0</v>
      </c>
      <c r="K589" s="10">
        <v>1.5</v>
      </c>
    </row>
    <row r="590" ht="15.75" customHeight="1">
      <c r="A590" s="7" t="s">
        <v>2676</v>
      </c>
      <c r="B590" s="12" t="s">
        <v>2677</v>
      </c>
      <c r="C590" s="14" t="s">
        <v>23</v>
      </c>
      <c r="D590" s="15" t="s">
        <v>176</v>
      </c>
      <c r="E590" s="16" t="s">
        <v>24</v>
      </c>
      <c r="F590" s="10" t="s">
        <v>91</v>
      </c>
      <c r="G590" s="10" t="b">
        <v>0</v>
      </c>
      <c r="H590" s="10" t="s">
        <v>301</v>
      </c>
      <c r="I590" s="10">
        <v>2.0</v>
      </c>
      <c r="J590" s="10">
        <v>0.0</v>
      </c>
      <c r="K590" s="10">
        <v>1.0</v>
      </c>
    </row>
    <row r="591" ht="15.75" customHeight="1">
      <c r="A591" s="7" t="s">
        <v>2678</v>
      </c>
      <c r="B591" s="12" t="s">
        <v>2679</v>
      </c>
      <c r="C591" s="14" t="s">
        <v>23</v>
      </c>
      <c r="D591" s="15" t="s">
        <v>176</v>
      </c>
      <c r="E591" s="16" t="s">
        <v>24</v>
      </c>
      <c r="F591" s="10" t="s">
        <v>91</v>
      </c>
      <c r="G591" s="10" t="b">
        <v>0</v>
      </c>
      <c r="H591" s="10" t="s">
        <v>2680</v>
      </c>
      <c r="I591" s="10">
        <v>2.0</v>
      </c>
      <c r="J591" s="10">
        <v>0.0</v>
      </c>
      <c r="K591" s="10">
        <v>1.0</v>
      </c>
    </row>
    <row r="592" ht="15.75" customHeight="1">
      <c r="A592" s="7" t="s">
        <v>2681</v>
      </c>
      <c r="B592" s="12" t="s">
        <v>828</v>
      </c>
      <c r="C592" s="14" t="s">
        <v>304</v>
      </c>
      <c r="D592" s="15" t="s">
        <v>22</v>
      </c>
      <c r="E592" s="16" t="s">
        <v>24</v>
      </c>
      <c r="F592" s="10" t="s">
        <v>25</v>
      </c>
      <c r="G592" s="10" t="b">
        <v>0</v>
      </c>
      <c r="H592" s="10" t="s">
        <v>2682</v>
      </c>
      <c r="I592" s="10">
        <v>2.0</v>
      </c>
      <c r="J592" s="10">
        <v>0.0</v>
      </c>
      <c r="K592" s="10">
        <v>0.0</v>
      </c>
    </row>
    <row r="593" ht="15.75" customHeight="1">
      <c r="A593" s="7" t="s">
        <v>2683</v>
      </c>
      <c r="B593" s="12" t="s">
        <v>2684</v>
      </c>
      <c r="C593" s="14" t="s">
        <v>1047</v>
      </c>
      <c r="D593" s="15" t="s">
        <v>34</v>
      </c>
      <c r="E593" s="16" t="s">
        <v>24</v>
      </c>
      <c r="F593" s="10" t="s">
        <v>35</v>
      </c>
      <c r="G593" s="10" t="b">
        <v>0</v>
      </c>
      <c r="H593" s="10" t="s">
        <v>2685</v>
      </c>
      <c r="I593" s="10">
        <v>2.0</v>
      </c>
      <c r="J593" s="10">
        <v>0.0</v>
      </c>
      <c r="K593" s="10">
        <v>2.0</v>
      </c>
    </row>
    <row r="594" ht="15.75" customHeight="1">
      <c r="A594" s="7" t="s">
        <v>2686</v>
      </c>
      <c r="B594" s="12" t="s">
        <v>2687</v>
      </c>
      <c r="C594" s="14" t="s">
        <v>1050</v>
      </c>
      <c r="D594" s="15" t="s">
        <v>34</v>
      </c>
      <c r="E594" s="16" t="s">
        <v>24</v>
      </c>
      <c r="F594" s="10" t="s">
        <v>35</v>
      </c>
      <c r="G594" s="10" t="b">
        <v>0</v>
      </c>
      <c r="H594" s="10" t="s">
        <v>2688</v>
      </c>
      <c r="I594" s="10">
        <v>2.0</v>
      </c>
      <c r="J594" s="10">
        <v>0.0</v>
      </c>
      <c r="K594" s="10">
        <v>0.0</v>
      </c>
    </row>
    <row r="595" ht="15.75" customHeight="1">
      <c r="A595" s="7" t="s">
        <v>2689</v>
      </c>
      <c r="B595" s="16"/>
      <c r="C595" s="14" t="s">
        <v>633</v>
      </c>
      <c r="D595" s="15" t="s">
        <v>176</v>
      </c>
      <c r="E595" s="16" t="s">
        <v>24</v>
      </c>
      <c r="F595" s="10" t="s">
        <v>91</v>
      </c>
      <c r="H595" s="10" t="s">
        <v>948</v>
      </c>
      <c r="I595" s="10">
        <v>2.0</v>
      </c>
      <c r="J595" s="10">
        <v>0.0</v>
      </c>
      <c r="K595" s="10">
        <v>0.0</v>
      </c>
    </row>
    <row r="596" ht="15.75" customHeight="1">
      <c r="A596" s="7" t="s">
        <v>2690</v>
      </c>
      <c r="B596" s="12" t="s">
        <v>2691</v>
      </c>
      <c r="C596" s="14" t="s">
        <v>645</v>
      </c>
      <c r="D596" s="15" t="s">
        <v>34</v>
      </c>
      <c r="E596" s="16" t="s">
        <v>99</v>
      </c>
      <c r="F596" s="10" t="s">
        <v>35</v>
      </c>
      <c r="G596" s="10" t="b">
        <v>0</v>
      </c>
      <c r="H596" s="10" t="s">
        <v>2692</v>
      </c>
      <c r="I596" s="10">
        <v>2.0</v>
      </c>
      <c r="J596" s="10">
        <v>0.0</v>
      </c>
      <c r="K596" s="10">
        <v>0.0</v>
      </c>
    </row>
    <row r="597" ht="15.75" customHeight="1">
      <c r="A597" s="7" t="s">
        <v>2693</v>
      </c>
      <c r="B597" s="12" t="s">
        <v>2694</v>
      </c>
      <c r="C597" s="14" t="s">
        <v>1056</v>
      </c>
      <c r="D597" s="15" t="s">
        <v>196</v>
      </c>
      <c r="E597" s="16" t="s">
        <v>24</v>
      </c>
      <c r="F597" s="10" t="s">
        <v>198</v>
      </c>
      <c r="G597" s="10" t="b">
        <v>0</v>
      </c>
      <c r="I597" s="10">
        <v>2.0</v>
      </c>
      <c r="J597" s="10">
        <v>0.0</v>
      </c>
      <c r="K597" s="10">
        <v>1.0</v>
      </c>
    </row>
    <row r="598" ht="15.75" customHeight="1">
      <c r="A598" s="7" t="s">
        <v>2695</v>
      </c>
      <c r="B598" s="12" t="s">
        <v>2696</v>
      </c>
      <c r="C598" s="14" t="s">
        <v>283</v>
      </c>
      <c r="D598" s="15" t="s">
        <v>176</v>
      </c>
      <c r="E598" s="16" t="s">
        <v>24</v>
      </c>
      <c r="F598" s="10" t="s">
        <v>91</v>
      </c>
      <c r="G598" s="10" t="b">
        <v>0</v>
      </c>
      <c r="H598" s="10" t="s">
        <v>285</v>
      </c>
      <c r="I598" s="10">
        <v>2.0</v>
      </c>
      <c r="J598" s="10">
        <v>0.0</v>
      </c>
      <c r="K598" s="10">
        <v>0.5</v>
      </c>
    </row>
    <row r="599" ht="15.75" customHeight="1">
      <c r="A599" s="7" t="s">
        <v>2697</v>
      </c>
      <c r="B599" s="12" t="s">
        <v>2698</v>
      </c>
      <c r="C599" s="14" t="s">
        <v>906</v>
      </c>
      <c r="D599" s="15" t="s">
        <v>240</v>
      </c>
      <c r="E599" s="16" t="s">
        <v>24</v>
      </c>
      <c r="F599" s="10" t="s">
        <v>241</v>
      </c>
      <c r="G599" s="10" t="b">
        <v>0</v>
      </c>
      <c r="I599" s="10">
        <v>2.0</v>
      </c>
      <c r="J599" s="10">
        <v>0.0</v>
      </c>
      <c r="K599" s="10">
        <v>0.0</v>
      </c>
    </row>
    <row r="600" ht="15.75" customHeight="1">
      <c r="A600" s="7" t="s">
        <v>2699</v>
      </c>
      <c r="B600" s="12" t="s">
        <v>2700</v>
      </c>
      <c r="C600" s="14" t="s">
        <v>1058</v>
      </c>
      <c r="D600" s="15" t="s">
        <v>240</v>
      </c>
      <c r="E600" s="16" t="s">
        <v>107</v>
      </c>
      <c r="F600" s="10" t="s">
        <v>241</v>
      </c>
      <c r="G600" s="10" t="b">
        <v>0</v>
      </c>
      <c r="H600" s="10" t="s">
        <v>790</v>
      </c>
      <c r="I600" s="10">
        <v>2.0</v>
      </c>
      <c r="J600" s="10">
        <v>0.0</v>
      </c>
      <c r="K600" s="10">
        <v>1.0</v>
      </c>
    </row>
    <row r="601" ht="15.75" customHeight="1">
      <c r="A601" s="7" t="s">
        <v>2701</v>
      </c>
      <c r="B601" s="12" t="s">
        <v>2702</v>
      </c>
      <c r="C601" s="14" t="s">
        <v>952</v>
      </c>
      <c r="D601" s="15" t="s">
        <v>749</v>
      </c>
      <c r="E601" s="16" t="s">
        <v>99</v>
      </c>
      <c r="F601" s="10" t="s">
        <v>750</v>
      </c>
      <c r="G601" s="10" t="b">
        <v>0</v>
      </c>
      <c r="H601" s="10" t="s">
        <v>2703</v>
      </c>
      <c r="I601" s="10">
        <v>2.0</v>
      </c>
      <c r="J601" s="10">
        <v>0.0</v>
      </c>
      <c r="K601" s="10">
        <v>2.0</v>
      </c>
    </row>
    <row r="602" ht="15.75" customHeight="1">
      <c r="A602" s="7" t="s">
        <v>2704</v>
      </c>
      <c r="B602" s="12" t="s">
        <v>2705</v>
      </c>
      <c r="C602" s="14" t="s">
        <v>1061</v>
      </c>
      <c r="D602" s="15" t="s">
        <v>51</v>
      </c>
      <c r="E602" s="16" t="s">
        <v>24</v>
      </c>
      <c r="F602" s="10" t="s">
        <v>52</v>
      </c>
      <c r="G602" s="10" t="b">
        <v>0</v>
      </c>
      <c r="H602" s="10" t="s">
        <v>1064</v>
      </c>
      <c r="I602" s="10">
        <v>2.0</v>
      </c>
      <c r="J602" s="10">
        <v>0.0</v>
      </c>
      <c r="K602" s="10">
        <v>0.5</v>
      </c>
    </row>
    <row r="603" ht="15.75" customHeight="1">
      <c r="A603" s="7" t="s">
        <v>2706</v>
      </c>
      <c r="B603" s="16"/>
      <c r="C603" s="14" t="s">
        <v>1066</v>
      </c>
      <c r="D603" s="15" t="s">
        <v>240</v>
      </c>
      <c r="E603" s="16" t="s">
        <v>44</v>
      </c>
      <c r="F603" s="10" t="s">
        <v>241</v>
      </c>
      <c r="H603" s="10" t="s">
        <v>948</v>
      </c>
      <c r="I603" s="10">
        <v>2.0</v>
      </c>
      <c r="J603" s="10">
        <v>0.0</v>
      </c>
      <c r="K603" s="10">
        <v>0.0</v>
      </c>
    </row>
    <row r="604" ht="15.75" customHeight="1">
      <c r="A604" s="7" t="s">
        <v>2707</v>
      </c>
      <c r="B604" s="12" t="s">
        <v>2708</v>
      </c>
      <c r="C604" s="14" t="s">
        <v>1068</v>
      </c>
      <c r="D604" s="15" t="s">
        <v>34</v>
      </c>
      <c r="E604" s="16" t="s">
        <v>24</v>
      </c>
      <c r="F604" s="10" t="s">
        <v>35</v>
      </c>
      <c r="G604" s="10" t="b">
        <v>0</v>
      </c>
      <c r="I604" s="10">
        <v>2.0</v>
      </c>
      <c r="J604" s="10">
        <v>0.0</v>
      </c>
      <c r="K604" s="10">
        <v>1.0</v>
      </c>
    </row>
    <row r="605" ht="15.75" customHeight="1">
      <c r="A605" s="7" t="s">
        <v>2709</v>
      </c>
      <c r="B605" s="12" t="s">
        <v>2710</v>
      </c>
      <c r="C605" s="14" t="s">
        <v>1071</v>
      </c>
      <c r="D605" s="15" t="s">
        <v>34</v>
      </c>
      <c r="E605" s="16" t="s">
        <v>24</v>
      </c>
      <c r="F605" s="10" t="s">
        <v>35</v>
      </c>
      <c r="G605" s="10" t="b">
        <v>0</v>
      </c>
      <c r="H605" s="10" t="s">
        <v>2711</v>
      </c>
      <c r="I605" s="10">
        <v>2.0</v>
      </c>
      <c r="J605" s="10">
        <v>0.0</v>
      </c>
      <c r="K605" s="10">
        <v>0.0</v>
      </c>
    </row>
    <row r="606" ht="15.75" customHeight="1">
      <c r="A606" s="7" t="s">
        <v>2712</v>
      </c>
      <c r="B606" s="12" t="s">
        <v>1969</v>
      </c>
      <c r="C606" s="14" t="s">
        <v>138</v>
      </c>
      <c r="D606" s="15" t="s">
        <v>404</v>
      </c>
      <c r="E606" s="16" t="s">
        <v>176</v>
      </c>
      <c r="F606" s="10" t="s">
        <v>405</v>
      </c>
      <c r="G606" s="10" t="b">
        <v>0</v>
      </c>
      <c r="I606" s="10">
        <v>2.0</v>
      </c>
      <c r="J606" s="10">
        <v>0.0</v>
      </c>
      <c r="K606" s="10">
        <v>0.5</v>
      </c>
    </row>
    <row r="607" ht="15.75" customHeight="1">
      <c r="A607" s="7" t="s">
        <v>2713</v>
      </c>
      <c r="B607" s="12" t="s">
        <v>1969</v>
      </c>
      <c r="C607" s="14" t="s">
        <v>138</v>
      </c>
      <c r="D607" s="15" t="s">
        <v>749</v>
      </c>
      <c r="E607" s="16" t="s">
        <v>176</v>
      </c>
      <c r="F607" s="10" t="s">
        <v>750</v>
      </c>
      <c r="G607" s="10" t="b">
        <v>0</v>
      </c>
      <c r="I607" s="10">
        <v>2.0</v>
      </c>
      <c r="J607" s="10">
        <v>0.0</v>
      </c>
      <c r="K607" s="10">
        <v>0.5</v>
      </c>
    </row>
    <row r="608" ht="15.75" customHeight="1">
      <c r="A608" s="7" t="s">
        <v>2714</v>
      </c>
      <c r="B608" s="12" t="s">
        <v>2715</v>
      </c>
      <c r="C608" s="14" t="s">
        <v>505</v>
      </c>
      <c r="D608" s="15" t="s">
        <v>749</v>
      </c>
      <c r="E608" s="16" t="s">
        <v>99</v>
      </c>
      <c r="F608" s="10" t="s">
        <v>750</v>
      </c>
      <c r="G608" s="10" t="b">
        <v>0</v>
      </c>
      <c r="H608" s="10" t="s">
        <v>2716</v>
      </c>
      <c r="I608" s="10">
        <v>2.0</v>
      </c>
      <c r="J608" s="10">
        <v>0.0</v>
      </c>
      <c r="K608" s="10">
        <v>1.5</v>
      </c>
    </row>
    <row r="609" ht="15.75" customHeight="1">
      <c r="A609" s="7" t="s">
        <v>2717</v>
      </c>
      <c r="B609" s="12" t="s">
        <v>2718</v>
      </c>
      <c r="C609" s="14" t="s">
        <v>505</v>
      </c>
      <c r="D609" s="15" t="s">
        <v>749</v>
      </c>
      <c r="E609" s="16" t="s">
        <v>99</v>
      </c>
      <c r="F609" s="10" t="s">
        <v>750</v>
      </c>
      <c r="G609" s="10" t="b">
        <v>0</v>
      </c>
      <c r="H609" s="10" t="s">
        <v>2719</v>
      </c>
      <c r="I609" s="10">
        <v>2.0</v>
      </c>
      <c r="J609" s="10">
        <v>0.0</v>
      </c>
      <c r="K609" s="10">
        <v>2.0</v>
      </c>
    </row>
    <row r="610" ht="15.75" customHeight="1">
      <c r="A610" s="7" t="s">
        <v>2720</v>
      </c>
      <c r="B610" s="12" t="s">
        <v>1087</v>
      </c>
      <c r="C610" s="14" t="s">
        <v>277</v>
      </c>
      <c r="D610" s="15" t="s">
        <v>404</v>
      </c>
      <c r="E610" s="16" t="s">
        <v>1000</v>
      </c>
      <c r="F610" s="10" t="s">
        <v>405</v>
      </c>
      <c r="G610" s="10" t="b">
        <v>0</v>
      </c>
      <c r="H610" s="10" t="s">
        <v>2721</v>
      </c>
      <c r="I610" s="10">
        <v>2.0</v>
      </c>
      <c r="J610" s="10">
        <v>0.0</v>
      </c>
      <c r="K610" s="10">
        <v>1.0</v>
      </c>
    </row>
    <row r="611" ht="15.75" customHeight="1">
      <c r="A611" s="7" t="s">
        <v>2722</v>
      </c>
      <c r="B611" s="12" t="s">
        <v>2723</v>
      </c>
      <c r="C611" s="14" t="s">
        <v>1078</v>
      </c>
      <c r="D611" s="15" t="s">
        <v>34</v>
      </c>
      <c r="E611" s="16" t="s">
        <v>24</v>
      </c>
      <c r="F611" s="10" t="s">
        <v>35</v>
      </c>
      <c r="G611" s="10" t="b">
        <v>0</v>
      </c>
      <c r="H611" s="10" t="s">
        <v>2724</v>
      </c>
      <c r="I611" s="10">
        <v>2.0</v>
      </c>
      <c r="J611" s="10">
        <v>0.0</v>
      </c>
      <c r="K611" s="10">
        <v>1.0</v>
      </c>
    </row>
    <row r="612" ht="15.75" customHeight="1">
      <c r="A612" s="7" t="s">
        <v>2725</v>
      </c>
      <c r="B612" s="12" t="s">
        <v>2726</v>
      </c>
      <c r="C612" s="14" t="s">
        <v>1094</v>
      </c>
      <c r="D612" s="15" t="s">
        <v>22</v>
      </c>
      <c r="E612" s="16" t="s">
        <v>176</v>
      </c>
      <c r="F612" s="10" t="s">
        <v>25</v>
      </c>
      <c r="G612" s="10" t="b">
        <v>0</v>
      </c>
      <c r="H612" s="10" t="s">
        <v>484</v>
      </c>
      <c r="I612" s="10">
        <v>2.0</v>
      </c>
      <c r="J612" s="10">
        <v>0.0</v>
      </c>
      <c r="K612" s="10">
        <v>0.0</v>
      </c>
    </row>
    <row r="613" ht="15.75" customHeight="1">
      <c r="A613" s="7" t="s">
        <v>2727</v>
      </c>
      <c r="B613" s="12" t="s">
        <v>2728</v>
      </c>
      <c r="C613" s="14" t="s">
        <v>587</v>
      </c>
      <c r="D613" s="15" t="s">
        <v>196</v>
      </c>
      <c r="E613" s="16" t="s">
        <v>24</v>
      </c>
      <c r="F613" s="10" t="s">
        <v>198</v>
      </c>
      <c r="G613" s="10" t="b">
        <v>0</v>
      </c>
      <c r="I613" s="10">
        <v>2.0</v>
      </c>
      <c r="J613" s="10">
        <v>0.0</v>
      </c>
      <c r="K613" s="10">
        <v>1.5</v>
      </c>
    </row>
    <row r="614" ht="15.75" customHeight="1">
      <c r="A614" s="7" t="s">
        <v>2729</v>
      </c>
      <c r="B614" s="16"/>
      <c r="C614" s="12" t="s">
        <v>1083</v>
      </c>
      <c r="D614" s="15" t="s">
        <v>176</v>
      </c>
      <c r="E614" s="16" t="s">
        <v>24</v>
      </c>
      <c r="F614" s="10" t="s">
        <v>91</v>
      </c>
      <c r="H614" s="10" t="s">
        <v>948</v>
      </c>
      <c r="I614" s="10">
        <v>2.0</v>
      </c>
      <c r="J614" s="10">
        <v>0.0</v>
      </c>
      <c r="K614" s="10">
        <v>0.0</v>
      </c>
    </row>
    <row r="615" ht="15.75" customHeight="1">
      <c r="A615" s="7" t="s">
        <v>2730</v>
      </c>
      <c r="B615" s="12" t="s">
        <v>2731</v>
      </c>
      <c r="C615" s="14" t="s">
        <v>1085</v>
      </c>
      <c r="D615" s="15" t="s">
        <v>196</v>
      </c>
      <c r="E615" s="16" t="s">
        <v>24</v>
      </c>
      <c r="F615" s="10" t="s">
        <v>198</v>
      </c>
      <c r="G615" s="10" t="b">
        <v>0</v>
      </c>
      <c r="H615" s="10" t="s">
        <v>2732</v>
      </c>
      <c r="I615" s="10">
        <v>2.0</v>
      </c>
      <c r="J615" s="10">
        <v>0.0</v>
      </c>
      <c r="K615" s="10">
        <v>1.0</v>
      </c>
    </row>
    <row r="616" ht="15.75" customHeight="1">
      <c r="A616" s="7" t="s">
        <v>2733</v>
      </c>
      <c r="B616" s="12" t="s">
        <v>2734</v>
      </c>
      <c r="C616" s="14" t="s">
        <v>692</v>
      </c>
      <c r="D616" s="15" t="s">
        <v>34</v>
      </c>
      <c r="E616" s="16" t="s">
        <v>24</v>
      </c>
      <c r="F616" s="10" t="s">
        <v>35</v>
      </c>
      <c r="G616" s="10" t="b">
        <v>0</v>
      </c>
      <c r="I616" s="10">
        <v>2.0</v>
      </c>
      <c r="J616" s="10">
        <v>0.0</v>
      </c>
      <c r="K616" s="10">
        <v>0.5</v>
      </c>
    </row>
    <row r="617" ht="15.75" customHeight="1">
      <c r="A617" s="7" t="s">
        <v>2735</v>
      </c>
      <c r="B617" s="12" t="s">
        <v>2736</v>
      </c>
      <c r="C617" s="14" t="s">
        <v>692</v>
      </c>
      <c r="D617" s="15" t="s">
        <v>34</v>
      </c>
      <c r="E617" s="16" t="s">
        <v>24</v>
      </c>
      <c r="F617" s="10" t="s">
        <v>35</v>
      </c>
      <c r="G617" s="10" t="b">
        <v>0</v>
      </c>
      <c r="H617" s="10" t="s">
        <v>119</v>
      </c>
      <c r="I617" s="10">
        <v>2.0</v>
      </c>
      <c r="J617" s="10">
        <v>0.0</v>
      </c>
      <c r="K617" s="10">
        <v>0.5</v>
      </c>
    </row>
    <row r="618" ht="15.75" customHeight="1">
      <c r="A618" s="7" t="s">
        <v>2737</v>
      </c>
      <c r="B618" s="12" t="s">
        <v>2738</v>
      </c>
      <c r="C618" s="14" t="s">
        <v>20</v>
      </c>
      <c r="D618" s="15" t="s">
        <v>22</v>
      </c>
      <c r="E618" s="16" t="s">
        <v>24</v>
      </c>
      <c r="F618" s="10" t="s">
        <v>25</v>
      </c>
      <c r="G618" s="10" t="b">
        <v>0</v>
      </c>
      <c r="H618" s="10" t="s">
        <v>2739</v>
      </c>
      <c r="I618" s="10">
        <v>2.0</v>
      </c>
      <c r="J618" s="10">
        <v>0.0</v>
      </c>
      <c r="K618" s="10">
        <v>1.0</v>
      </c>
    </row>
    <row r="619" ht="15.75" customHeight="1">
      <c r="A619" s="7" t="s">
        <v>2740</v>
      </c>
      <c r="B619" s="12" t="s">
        <v>2741</v>
      </c>
      <c r="C619" s="14" t="s">
        <v>20</v>
      </c>
      <c r="D619" s="15" t="s">
        <v>22</v>
      </c>
      <c r="E619" s="16" t="s">
        <v>24</v>
      </c>
      <c r="F619" s="10" t="s">
        <v>25</v>
      </c>
      <c r="G619" s="10" t="b">
        <v>0</v>
      </c>
      <c r="H619" s="10" t="s">
        <v>2742</v>
      </c>
      <c r="I619" s="10">
        <v>2.0</v>
      </c>
      <c r="J619" s="10">
        <v>0.0</v>
      </c>
      <c r="K619" s="10">
        <v>1.0</v>
      </c>
    </row>
    <row r="620" ht="15.75" customHeight="1">
      <c r="A620" s="7" t="s">
        <v>2743</v>
      </c>
      <c r="B620" s="12" t="s">
        <v>2744</v>
      </c>
      <c r="C620" s="14" t="s">
        <v>20</v>
      </c>
      <c r="D620" s="15" t="s">
        <v>22</v>
      </c>
      <c r="E620" s="16" t="s">
        <v>24</v>
      </c>
      <c r="F620" s="10" t="s">
        <v>25</v>
      </c>
      <c r="G620" s="10" t="b">
        <v>0</v>
      </c>
      <c r="H620" s="10" t="s">
        <v>2745</v>
      </c>
      <c r="I620" s="10">
        <v>2.0</v>
      </c>
      <c r="J620" s="10">
        <v>0.0</v>
      </c>
      <c r="K620" s="10">
        <v>0.0</v>
      </c>
    </row>
    <row r="621" ht="15.75" customHeight="1">
      <c r="A621" s="7" t="s">
        <v>2746</v>
      </c>
      <c r="B621" s="12" t="s">
        <v>2747</v>
      </c>
      <c r="C621" s="14" t="s">
        <v>20</v>
      </c>
      <c r="D621" s="15" t="s">
        <v>22</v>
      </c>
      <c r="E621" s="16" t="s">
        <v>24</v>
      </c>
      <c r="F621" s="10" t="s">
        <v>25</v>
      </c>
      <c r="G621" s="10" t="b">
        <v>0</v>
      </c>
      <c r="I621" s="10">
        <v>2.0</v>
      </c>
      <c r="J621" s="10">
        <v>0.0</v>
      </c>
      <c r="K621" s="10">
        <v>1.0</v>
      </c>
    </row>
    <row r="622" ht="15.75" customHeight="1">
      <c r="A622" s="7" t="s">
        <v>2748</v>
      </c>
      <c r="B622" s="12" t="s">
        <v>2749</v>
      </c>
      <c r="C622" s="14" t="s">
        <v>1089</v>
      </c>
      <c r="D622" s="15" t="s">
        <v>34</v>
      </c>
      <c r="E622" s="16" t="s">
        <v>24</v>
      </c>
      <c r="F622" s="10" t="s">
        <v>35</v>
      </c>
      <c r="G622" s="10" t="b">
        <v>0</v>
      </c>
      <c r="H622" s="10" t="s">
        <v>1093</v>
      </c>
      <c r="I622" s="10">
        <v>2.0</v>
      </c>
      <c r="J622" s="10">
        <v>0.0</v>
      </c>
      <c r="K622" s="10">
        <v>1.0</v>
      </c>
    </row>
    <row r="623" ht="15.75" customHeight="1">
      <c r="A623" s="7" t="s">
        <v>2750</v>
      </c>
      <c r="B623" s="12" t="s">
        <v>2751</v>
      </c>
      <c r="C623" s="14" t="s">
        <v>120</v>
      </c>
      <c r="D623" s="15" t="s">
        <v>34</v>
      </c>
      <c r="E623" s="16" t="s">
        <v>107</v>
      </c>
      <c r="F623" s="10" t="s">
        <v>35</v>
      </c>
      <c r="G623" s="10" t="b">
        <v>0</v>
      </c>
      <c r="H623" s="10" t="s">
        <v>820</v>
      </c>
      <c r="I623" s="10">
        <v>2.0</v>
      </c>
      <c r="J623" s="10">
        <v>0.0</v>
      </c>
      <c r="K623" s="10">
        <v>0.0</v>
      </c>
    </row>
    <row r="624" ht="15.75" customHeight="1">
      <c r="A624" s="7" t="s">
        <v>2752</v>
      </c>
      <c r="B624" s="16"/>
      <c r="C624" s="14" t="s">
        <v>189</v>
      </c>
      <c r="D624" s="15" t="s">
        <v>176</v>
      </c>
      <c r="E624" s="16" t="s">
        <v>24</v>
      </c>
      <c r="F624" s="10" t="s">
        <v>91</v>
      </c>
      <c r="H624" s="10" t="s">
        <v>948</v>
      </c>
      <c r="I624" s="10">
        <v>2.0</v>
      </c>
      <c r="J624" s="10">
        <v>0.0</v>
      </c>
      <c r="K624" s="10">
        <v>0.0</v>
      </c>
    </row>
    <row r="625" ht="15.75" customHeight="1">
      <c r="A625" s="7" t="s">
        <v>2753</v>
      </c>
      <c r="B625" s="12" t="s">
        <v>2754</v>
      </c>
      <c r="C625" s="14" t="s">
        <v>1096</v>
      </c>
      <c r="D625" s="15" t="s">
        <v>404</v>
      </c>
      <c r="E625" s="16" t="s">
        <v>24</v>
      </c>
      <c r="F625" s="10" t="s">
        <v>405</v>
      </c>
      <c r="G625" s="10" t="b">
        <v>0</v>
      </c>
      <c r="H625" s="10" t="s">
        <v>157</v>
      </c>
      <c r="I625" s="10">
        <v>2.0</v>
      </c>
      <c r="J625" s="10">
        <v>0.0</v>
      </c>
      <c r="K625" s="10">
        <v>1.0</v>
      </c>
    </row>
    <row r="626" ht="15.75" customHeight="1">
      <c r="A626" s="7" t="s">
        <v>2755</v>
      </c>
      <c r="B626" s="12" t="s">
        <v>2756</v>
      </c>
      <c r="C626" s="14" t="s">
        <v>1101</v>
      </c>
      <c r="D626" s="15" t="s">
        <v>176</v>
      </c>
      <c r="E626" s="16" t="s">
        <v>24</v>
      </c>
      <c r="F626" s="10" t="s">
        <v>91</v>
      </c>
      <c r="G626" s="10" t="b">
        <v>0</v>
      </c>
      <c r="H626" s="10" t="s">
        <v>413</v>
      </c>
      <c r="I626" s="10">
        <v>2.0</v>
      </c>
      <c r="J626" s="10">
        <v>0.0</v>
      </c>
      <c r="K626" s="10">
        <v>1.0</v>
      </c>
    </row>
    <row r="627" ht="15.75" customHeight="1">
      <c r="A627" s="7" t="s">
        <v>2757</v>
      </c>
      <c r="B627" s="12" t="s">
        <v>2758</v>
      </c>
      <c r="C627" s="14" t="s">
        <v>1104</v>
      </c>
      <c r="D627" s="15" t="s">
        <v>240</v>
      </c>
      <c r="E627" s="16" t="s">
        <v>176</v>
      </c>
      <c r="F627" s="10" t="s">
        <v>241</v>
      </c>
      <c r="G627" s="10" t="b">
        <v>0</v>
      </c>
      <c r="H627" s="10" t="s">
        <v>384</v>
      </c>
      <c r="I627" s="10">
        <v>2.0</v>
      </c>
      <c r="J627" s="10">
        <v>0.0</v>
      </c>
      <c r="K627" s="10">
        <v>1.0</v>
      </c>
    </row>
    <row r="628" ht="15.75" customHeight="1">
      <c r="A628" s="7" t="s">
        <v>2759</v>
      </c>
      <c r="B628" s="12" t="s">
        <v>2760</v>
      </c>
      <c r="C628" s="14" t="s">
        <v>699</v>
      </c>
      <c r="D628" s="15" t="s">
        <v>34</v>
      </c>
      <c r="E628" s="16" t="s">
        <v>99</v>
      </c>
      <c r="F628" s="10" t="s">
        <v>35</v>
      </c>
      <c r="G628" s="10" t="b">
        <v>0</v>
      </c>
      <c r="I628" s="10">
        <v>2.0</v>
      </c>
      <c r="J628" s="10">
        <v>0.0</v>
      </c>
      <c r="K628" s="10">
        <v>0.0</v>
      </c>
    </row>
    <row r="629" ht="15.75" customHeight="1">
      <c r="A629" s="7" t="s">
        <v>2761</v>
      </c>
      <c r="B629" s="12" t="s">
        <v>2762</v>
      </c>
      <c r="C629" s="14" t="s">
        <v>1106</v>
      </c>
      <c r="D629" s="15" t="s">
        <v>196</v>
      </c>
      <c r="E629" s="16" t="s">
        <v>24</v>
      </c>
      <c r="F629" s="10" t="s">
        <v>198</v>
      </c>
      <c r="G629" s="10" t="b">
        <v>0</v>
      </c>
      <c r="I629" s="10">
        <v>2.0</v>
      </c>
      <c r="J629" s="10">
        <v>0.0</v>
      </c>
      <c r="K629" s="10">
        <v>2.0</v>
      </c>
    </row>
    <row r="630" ht="15.75" customHeight="1">
      <c r="A630" s="7" t="s">
        <v>2763</v>
      </c>
      <c r="B630" s="12" t="s">
        <v>2764</v>
      </c>
      <c r="C630" s="14" t="s">
        <v>193</v>
      </c>
      <c r="D630" s="15" t="s">
        <v>51</v>
      </c>
      <c r="E630" s="16" t="s">
        <v>44</v>
      </c>
      <c r="F630" s="10" t="s">
        <v>52</v>
      </c>
      <c r="G630" s="10" t="b">
        <v>0</v>
      </c>
      <c r="H630" s="10" t="s">
        <v>2765</v>
      </c>
      <c r="I630" s="10">
        <v>2.0</v>
      </c>
      <c r="J630" s="10">
        <v>0.0</v>
      </c>
      <c r="K630" s="10">
        <v>1.0</v>
      </c>
    </row>
    <row r="631" ht="15.75" customHeight="1">
      <c r="A631" s="7" t="s">
        <v>2766</v>
      </c>
      <c r="B631" s="12" t="s">
        <v>2767</v>
      </c>
      <c r="C631" s="14" t="s">
        <v>193</v>
      </c>
      <c r="D631" s="15" t="s">
        <v>51</v>
      </c>
      <c r="E631" s="16" t="s">
        <v>44</v>
      </c>
      <c r="F631" s="10" t="s">
        <v>52</v>
      </c>
      <c r="G631" s="10" t="b">
        <v>0</v>
      </c>
      <c r="H631" s="10" t="s">
        <v>2768</v>
      </c>
      <c r="I631" s="10">
        <v>2.0</v>
      </c>
      <c r="J631" s="10">
        <v>0.0</v>
      </c>
      <c r="K631" s="10">
        <v>1.0</v>
      </c>
    </row>
    <row r="632" ht="15.75" customHeight="1">
      <c r="A632" s="7" t="s">
        <v>2769</v>
      </c>
      <c r="B632" s="12" t="s">
        <v>2770</v>
      </c>
      <c r="C632" s="14" t="s">
        <v>537</v>
      </c>
      <c r="D632" s="15" t="s">
        <v>51</v>
      </c>
      <c r="E632" s="16" t="s">
        <v>43</v>
      </c>
      <c r="F632" s="10" t="s">
        <v>52</v>
      </c>
      <c r="G632" s="10" t="b">
        <v>0</v>
      </c>
      <c r="H632" s="10" t="s">
        <v>2771</v>
      </c>
      <c r="I632" s="10">
        <v>2.0</v>
      </c>
      <c r="J632" s="10">
        <v>0.0</v>
      </c>
      <c r="K632" s="10">
        <v>1.0</v>
      </c>
    </row>
    <row r="633" ht="15.75" customHeight="1">
      <c r="A633" s="7" t="s">
        <v>2772</v>
      </c>
      <c r="B633" s="12" t="s">
        <v>2773</v>
      </c>
      <c r="C633" s="14" t="s">
        <v>793</v>
      </c>
      <c r="D633" s="15" t="s">
        <v>196</v>
      </c>
      <c r="E633" s="16" t="s">
        <v>24</v>
      </c>
      <c r="F633" s="10" t="s">
        <v>198</v>
      </c>
      <c r="G633" s="10" t="b">
        <v>0</v>
      </c>
      <c r="I633" s="10">
        <v>2.0</v>
      </c>
      <c r="J633" s="10">
        <v>0.0</v>
      </c>
      <c r="K633" s="10">
        <v>2.0</v>
      </c>
    </row>
    <row r="634" ht="15.75" customHeight="1">
      <c r="A634" s="7" t="s">
        <v>2774</v>
      </c>
      <c r="B634" s="12" t="s">
        <v>2775</v>
      </c>
      <c r="C634" s="14" t="s">
        <v>124</v>
      </c>
      <c r="D634" s="15" t="s">
        <v>22</v>
      </c>
      <c r="E634" s="16" t="s">
        <v>43</v>
      </c>
      <c r="F634" s="10" t="s">
        <v>25</v>
      </c>
      <c r="G634" s="10" t="b">
        <v>0</v>
      </c>
      <c r="H634" s="10" t="s">
        <v>896</v>
      </c>
      <c r="I634" s="10">
        <v>2.0</v>
      </c>
      <c r="J634" s="10">
        <v>0.0</v>
      </c>
      <c r="K634" s="10">
        <v>0.5</v>
      </c>
    </row>
    <row r="635" ht="15.75" customHeight="1">
      <c r="A635" s="7" t="s">
        <v>2776</v>
      </c>
      <c r="B635" s="12" t="s">
        <v>2777</v>
      </c>
      <c r="C635" s="14" t="s">
        <v>124</v>
      </c>
      <c r="D635" s="15" t="s">
        <v>51</v>
      </c>
      <c r="E635" s="16" t="s">
        <v>43</v>
      </c>
      <c r="F635" s="10" t="s">
        <v>52</v>
      </c>
      <c r="G635" s="10" t="b">
        <v>0</v>
      </c>
      <c r="I635" s="10">
        <v>2.0</v>
      </c>
      <c r="J635" s="10">
        <v>0.0</v>
      </c>
      <c r="K635" s="10">
        <v>0.5</v>
      </c>
    </row>
    <row r="636" ht="15.75" customHeight="1">
      <c r="A636" s="7" t="s">
        <v>2778</v>
      </c>
      <c r="B636" s="12" t="s">
        <v>2779</v>
      </c>
      <c r="C636" s="14" t="s">
        <v>124</v>
      </c>
      <c r="D636" s="15" t="s">
        <v>51</v>
      </c>
      <c r="E636" s="16" t="s">
        <v>43</v>
      </c>
      <c r="F636" s="10" t="s">
        <v>52</v>
      </c>
      <c r="G636" s="10" t="b">
        <v>0</v>
      </c>
      <c r="H636" s="10" t="s">
        <v>2780</v>
      </c>
      <c r="I636" s="10">
        <v>2.0</v>
      </c>
      <c r="J636" s="10">
        <v>0.0</v>
      </c>
      <c r="K636" s="10">
        <v>0.0</v>
      </c>
    </row>
    <row r="637" ht="15.75" customHeight="1">
      <c r="A637" s="7" t="s">
        <v>2781</v>
      </c>
      <c r="B637" s="12" t="s">
        <v>2782</v>
      </c>
      <c r="C637" s="14" t="s">
        <v>630</v>
      </c>
      <c r="D637" s="15" t="s">
        <v>34</v>
      </c>
      <c r="E637" s="16" t="s">
        <v>107</v>
      </c>
      <c r="F637" s="10" t="s">
        <v>35</v>
      </c>
      <c r="G637" s="10" t="b">
        <v>0</v>
      </c>
      <c r="H637" s="10" t="s">
        <v>2783</v>
      </c>
      <c r="I637" s="10">
        <v>2.0</v>
      </c>
      <c r="J637" s="10">
        <v>0.0</v>
      </c>
      <c r="K637" s="10">
        <v>1.0</v>
      </c>
    </row>
    <row r="638" ht="15.75" customHeight="1">
      <c r="A638" s="7" t="s">
        <v>2784</v>
      </c>
      <c r="B638" s="12" t="s">
        <v>2785</v>
      </c>
      <c r="C638" s="14" t="s">
        <v>630</v>
      </c>
      <c r="D638" s="15" t="s">
        <v>34</v>
      </c>
      <c r="E638" s="16" t="s">
        <v>107</v>
      </c>
      <c r="F638" s="10" t="s">
        <v>35</v>
      </c>
      <c r="G638" s="10" t="b">
        <v>0</v>
      </c>
      <c r="H638" s="10" t="s">
        <v>2786</v>
      </c>
      <c r="I638" s="10">
        <v>2.0</v>
      </c>
      <c r="J638" s="10">
        <v>0.0</v>
      </c>
      <c r="K638" s="10">
        <v>2.0</v>
      </c>
    </row>
    <row r="639" ht="15.75" customHeight="1">
      <c r="A639" s="7" t="s">
        <v>2787</v>
      </c>
      <c r="B639" s="12" t="s">
        <v>2788</v>
      </c>
      <c r="C639" s="12" t="s">
        <v>281</v>
      </c>
      <c r="D639" s="15" t="s">
        <v>51</v>
      </c>
      <c r="E639" s="16" t="s">
        <v>24</v>
      </c>
      <c r="F639" s="10" t="s">
        <v>52</v>
      </c>
      <c r="G639" s="10" t="b">
        <v>0</v>
      </c>
      <c r="H639" s="10" t="s">
        <v>1683</v>
      </c>
      <c r="I639" s="10">
        <v>2.0</v>
      </c>
      <c r="J639" s="10">
        <v>0.0</v>
      </c>
      <c r="K639" s="10">
        <v>1.0</v>
      </c>
    </row>
    <row r="640" ht="15.75" customHeight="1">
      <c r="A640" s="7" t="s">
        <v>2789</v>
      </c>
      <c r="B640" s="12" t="s">
        <v>2790</v>
      </c>
      <c r="C640" s="12" t="s">
        <v>281</v>
      </c>
      <c r="D640" s="15" t="s">
        <v>196</v>
      </c>
      <c r="E640" s="16" t="s">
        <v>24</v>
      </c>
      <c r="F640" s="10" t="s">
        <v>198</v>
      </c>
      <c r="G640" s="10" t="b">
        <v>0</v>
      </c>
      <c r="H640" s="10" t="s">
        <v>1683</v>
      </c>
      <c r="I640" s="10">
        <v>2.0</v>
      </c>
      <c r="J640" s="10">
        <v>0.0</v>
      </c>
      <c r="K640" s="10">
        <v>3.0</v>
      </c>
    </row>
    <row r="641" ht="15.75" customHeight="1">
      <c r="A641" s="7" t="s">
        <v>2791</v>
      </c>
      <c r="B641" s="12" t="s">
        <v>2792</v>
      </c>
      <c r="C641" s="14" t="s">
        <v>1109</v>
      </c>
      <c r="D641" s="15" t="s">
        <v>240</v>
      </c>
      <c r="E641" s="16" t="s">
        <v>24</v>
      </c>
      <c r="F641" s="10" t="s">
        <v>241</v>
      </c>
      <c r="G641" s="10" t="b">
        <v>0</v>
      </c>
      <c r="I641" s="10">
        <v>2.0</v>
      </c>
      <c r="J641" s="10">
        <v>0.0</v>
      </c>
      <c r="K641" s="10">
        <v>0.0</v>
      </c>
    </row>
    <row r="642" ht="15.75" customHeight="1">
      <c r="A642" s="7" t="s">
        <v>2793</v>
      </c>
      <c r="B642" s="12" t="s">
        <v>2794</v>
      </c>
      <c r="C642" s="14" t="s">
        <v>1112</v>
      </c>
      <c r="D642" s="15" t="s">
        <v>240</v>
      </c>
      <c r="E642" s="16" t="s">
        <v>24</v>
      </c>
      <c r="F642" s="10" t="s">
        <v>241</v>
      </c>
      <c r="G642" s="10" t="b">
        <v>0</v>
      </c>
      <c r="I642" s="10">
        <v>2.0</v>
      </c>
      <c r="J642" s="10">
        <v>0.0</v>
      </c>
      <c r="K642" s="10">
        <v>1.0</v>
      </c>
    </row>
    <row r="643" ht="15.75" customHeight="1">
      <c r="A643" s="7" t="s">
        <v>2795</v>
      </c>
      <c r="B643" s="12" t="s">
        <v>2796</v>
      </c>
      <c r="C643" s="14" t="s">
        <v>911</v>
      </c>
      <c r="D643" s="15" t="s">
        <v>240</v>
      </c>
      <c r="E643" s="16" t="s">
        <v>107</v>
      </c>
      <c r="F643" s="10" t="s">
        <v>241</v>
      </c>
      <c r="G643" s="10" t="b">
        <v>0</v>
      </c>
      <c r="H643" s="10" t="s">
        <v>863</v>
      </c>
      <c r="I643" s="10">
        <v>2.0</v>
      </c>
      <c r="J643" s="10">
        <v>0.0</v>
      </c>
      <c r="K643" s="10">
        <v>3.0</v>
      </c>
    </row>
    <row r="644" ht="15.75" customHeight="1">
      <c r="A644" s="7" t="s">
        <v>2797</v>
      </c>
      <c r="B644" s="16"/>
      <c r="C644" s="14" t="s">
        <v>370</v>
      </c>
      <c r="D644" s="15" t="s">
        <v>176</v>
      </c>
      <c r="E644" s="16" t="s">
        <v>24</v>
      </c>
      <c r="F644" s="10" t="s">
        <v>91</v>
      </c>
      <c r="H644" s="10" t="s">
        <v>948</v>
      </c>
      <c r="I644" s="10">
        <v>2.0</v>
      </c>
      <c r="J644" s="10">
        <v>0.0</v>
      </c>
      <c r="K644" s="10">
        <v>0.0</v>
      </c>
    </row>
    <row r="645" ht="15.75" customHeight="1">
      <c r="A645" s="7" t="s">
        <v>2798</v>
      </c>
      <c r="B645" s="12" t="s">
        <v>2799</v>
      </c>
      <c r="C645" s="14" t="s">
        <v>1115</v>
      </c>
      <c r="D645" s="15" t="s">
        <v>196</v>
      </c>
      <c r="E645" s="16" t="s">
        <v>24</v>
      </c>
      <c r="F645" s="10" t="s">
        <v>198</v>
      </c>
      <c r="G645" s="10" t="b">
        <v>0</v>
      </c>
      <c r="I645" s="10">
        <v>2.0</v>
      </c>
      <c r="J645" s="10">
        <v>0.0</v>
      </c>
      <c r="K645" s="10">
        <v>0.0</v>
      </c>
    </row>
    <row r="646" ht="15.75" customHeight="1">
      <c r="A646" s="7" t="s">
        <v>2800</v>
      </c>
      <c r="B646" s="12" t="s">
        <v>2801</v>
      </c>
      <c r="C646" s="14" t="s">
        <v>1116</v>
      </c>
      <c r="D646" s="15" t="s">
        <v>749</v>
      </c>
      <c r="E646" s="16" t="s">
        <v>24</v>
      </c>
      <c r="F646" s="10" t="s">
        <v>750</v>
      </c>
      <c r="G646" s="10" t="b">
        <v>0</v>
      </c>
      <c r="I646" s="10">
        <v>2.0</v>
      </c>
      <c r="J646" s="10">
        <v>0.0</v>
      </c>
      <c r="K646" s="10">
        <v>0.0</v>
      </c>
    </row>
    <row r="647" ht="15.75" customHeight="1">
      <c r="A647" s="7" t="s">
        <v>2802</v>
      </c>
      <c r="B647" s="12" t="s">
        <v>2803</v>
      </c>
      <c r="C647" s="14" t="s">
        <v>1119</v>
      </c>
      <c r="D647" s="15" t="s">
        <v>34</v>
      </c>
      <c r="E647" s="16" t="s">
        <v>99</v>
      </c>
      <c r="F647" s="10" t="s">
        <v>35</v>
      </c>
      <c r="G647" s="10" t="b">
        <v>0</v>
      </c>
      <c r="H647" s="10" t="s">
        <v>2804</v>
      </c>
      <c r="I647" s="10">
        <v>2.0</v>
      </c>
      <c r="J647" s="10">
        <v>0.0</v>
      </c>
      <c r="K647" s="10">
        <v>0.0</v>
      </c>
    </row>
    <row r="648" ht="15.75" customHeight="1">
      <c r="A648" s="7" t="s">
        <v>2805</v>
      </c>
      <c r="B648" s="12" t="s">
        <v>2806</v>
      </c>
      <c r="C648" s="12" t="s">
        <v>838</v>
      </c>
      <c r="D648" s="15" t="s">
        <v>34</v>
      </c>
      <c r="E648" s="16" t="s">
        <v>99</v>
      </c>
      <c r="F648" s="10" t="s">
        <v>35</v>
      </c>
      <c r="G648" s="10" t="b">
        <v>0</v>
      </c>
      <c r="H648" s="10" t="s">
        <v>2807</v>
      </c>
      <c r="I648" s="10">
        <v>2.0</v>
      </c>
      <c r="J648" s="10">
        <v>0.0</v>
      </c>
      <c r="K648" s="10">
        <v>0.0</v>
      </c>
    </row>
    <row r="649" ht="15.75" customHeight="1">
      <c r="A649" s="7" t="s">
        <v>2808</v>
      </c>
      <c r="B649" s="12" t="s">
        <v>2809</v>
      </c>
      <c r="C649" s="14" t="s">
        <v>1124</v>
      </c>
      <c r="D649" s="15" t="s">
        <v>51</v>
      </c>
      <c r="E649" s="16" t="s">
        <v>24</v>
      </c>
      <c r="F649" s="10" t="s">
        <v>52</v>
      </c>
      <c r="G649" s="10" t="b">
        <v>0</v>
      </c>
      <c r="I649" s="10">
        <v>2.0</v>
      </c>
      <c r="J649" s="10">
        <v>0.0</v>
      </c>
      <c r="K649" s="10">
        <v>0.0</v>
      </c>
    </row>
    <row r="650" ht="15.75" customHeight="1">
      <c r="A650" s="7" t="s">
        <v>2810</v>
      </c>
      <c r="B650" s="12" t="s">
        <v>2811</v>
      </c>
      <c r="C650" s="14" t="s">
        <v>728</v>
      </c>
      <c r="D650" s="15" t="s">
        <v>176</v>
      </c>
      <c r="E650" s="16" t="s">
        <v>44</v>
      </c>
      <c r="F650" s="10" t="s">
        <v>91</v>
      </c>
      <c r="G650" s="10" t="b">
        <v>0</v>
      </c>
      <c r="I650" s="10">
        <v>2.0</v>
      </c>
      <c r="J650" s="10">
        <v>0.0</v>
      </c>
      <c r="K650" s="10">
        <v>0.0</v>
      </c>
    </row>
    <row r="651" ht="15.75" customHeight="1">
      <c r="A651" s="7" t="s">
        <v>2812</v>
      </c>
      <c r="B651" s="16"/>
      <c r="C651" s="14" t="s">
        <v>728</v>
      </c>
      <c r="D651" s="15" t="s">
        <v>176</v>
      </c>
      <c r="E651" s="16" t="s">
        <v>44</v>
      </c>
      <c r="F651" s="10" t="s">
        <v>91</v>
      </c>
      <c r="H651" s="10" t="s">
        <v>948</v>
      </c>
      <c r="I651" s="10">
        <v>2.0</v>
      </c>
      <c r="J651" s="10">
        <v>0.0</v>
      </c>
      <c r="K651" s="10">
        <v>2.0</v>
      </c>
    </row>
    <row r="652" ht="15.75" customHeight="1">
      <c r="A652" s="7" t="s">
        <v>2813</v>
      </c>
      <c r="B652" s="12" t="s">
        <v>2814</v>
      </c>
      <c r="C652" s="14" t="s">
        <v>41</v>
      </c>
      <c r="D652" s="15" t="s">
        <v>51</v>
      </c>
      <c r="E652" s="16" t="s">
        <v>44</v>
      </c>
      <c r="F652" s="10" t="s">
        <v>52</v>
      </c>
      <c r="G652" s="10" t="b">
        <v>0</v>
      </c>
      <c r="H652" s="10" t="s">
        <v>2815</v>
      </c>
      <c r="I652" s="10">
        <v>2.0</v>
      </c>
      <c r="J652" s="10">
        <v>0.0</v>
      </c>
      <c r="K652" s="10">
        <v>2.5</v>
      </c>
    </row>
    <row r="653" ht="15.75" customHeight="1">
      <c r="A653" s="7" t="s">
        <v>2816</v>
      </c>
      <c r="B653" s="12" t="s">
        <v>2817</v>
      </c>
      <c r="C653" s="14" t="s">
        <v>41</v>
      </c>
      <c r="D653" s="15" t="s">
        <v>22</v>
      </c>
      <c r="E653" s="16" t="s">
        <v>44</v>
      </c>
      <c r="F653" s="10" t="s">
        <v>25</v>
      </c>
      <c r="G653" s="10" t="b">
        <v>0</v>
      </c>
      <c r="H653" s="10" t="s">
        <v>2818</v>
      </c>
      <c r="I653" s="10">
        <v>2.0</v>
      </c>
      <c r="J653" s="10">
        <v>0.0</v>
      </c>
      <c r="K653" s="10">
        <v>0.0</v>
      </c>
    </row>
    <row r="654" ht="15.75" customHeight="1">
      <c r="A654" s="7" t="s">
        <v>2819</v>
      </c>
      <c r="B654" s="12" t="s">
        <v>2820</v>
      </c>
      <c r="C654" s="12" t="s">
        <v>928</v>
      </c>
      <c r="D654" s="15" t="s">
        <v>404</v>
      </c>
      <c r="E654" s="16" t="s">
        <v>24</v>
      </c>
      <c r="F654" s="10" t="s">
        <v>405</v>
      </c>
      <c r="G654" s="10" t="b">
        <v>0</v>
      </c>
      <c r="H654" s="10" t="s">
        <v>2821</v>
      </c>
      <c r="I654" s="10">
        <v>2.0</v>
      </c>
      <c r="J654" s="10">
        <v>0.0</v>
      </c>
      <c r="K654" s="10">
        <v>0.5</v>
      </c>
    </row>
    <row r="655" ht="15.75" customHeight="1">
      <c r="A655" s="7" t="s">
        <v>2822</v>
      </c>
      <c r="B655" s="12" t="s">
        <v>2823</v>
      </c>
      <c r="C655" s="14" t="s">
        <v>1133</v>
      </c>
      <c r="D655" s="15" t="s">
        <v>196</v>
      </c>
      <c r="E655" s="16" t="s">
        <v>24</v>
      </c>
      <c r="F655" s="10" t="s">
        <v>198</v>
      </c>
      <c r="G655" s="10" t="b">
        <v>0</v>
      </c>
      <c r="I655" s="10">
        <v>2.0</v>
      </c>
      <c r="J655" s="10">
        <v>0.0</v>
      </c>
      <c r="K655" s="10">
        <v>0.0</v>
      </c>
    </row>
    <row r="656" ht="15.75" customHeight="1">
      <c r="A656" s="7" t="s">
        <v>2824</v>
      </c>
      <c r="B656" s="12" t="s">
        <v>2825</v>
      </c>
      <c r="C656" s="14" t="s">
        <v>1138</v>
      </c>
      <c r="D656" s="15" t="s">
        <v>176</v>
      </c>
      <c r="E656" s="16" t="s">
        <v>99</v>
      </c>
      <c r="F656" s="10" t="s">
        <v>91</v>
      </c>
      <c r="G656" s="10" t="b">
        <v>0</v>
      </c>
      <c r="I656" s="10">
        <v>2.0</v>
      </c>
      <c r="J656" s="10">
        <v>0.0</v>
      </c>
      <c r="K656" s="10">
        <v>2.0</v>
      </c>
    </row>
    <row r="657" ht="15.75" customHeight="1">
      <c r="A657" s="7" t="s">
        <v>2826</v>
      </c>
      <c r="B657" s="12" t="s">
        <v>2827</v>
      </c>
      <c r="C657" s="14" t="s">
        <v>968</v>
      </c>
      <c r="D657" s="15" t="s">
        <v>196</v>
      </c>
      <c r="E657" s="16" t="s">
        <v>24</v>
      </c>
      <c r="F657" s="10" t="s">
        <v>198</v>
      </c>
      <c r="G657" s="10" t="b">
        <v>0</v>
      </c>
      <c r="I657" s="10">
        <v>2.0</v>
      </c>
      <c r="J657" s="10">
        <v>0.0</v>
      </c>
      <c r="K657" s="10">
        <v>1.5</v>
      </c>
    </row>
    <row r="658" ht="15.75" customHeight="1">
      <c r="A658" s="7" t="s">
        <v>2828</v>
      </c>
      <c r="B658" s="12" t="s">
        <v>2829</v>
      </c>
      <c r="C658" s="14" t="s">
        <v>1141</v>
      </c>
      <c r="D658" s="15" t="s">
        <v>196</v>
      </c>
      <c r="E658" s="16" t="s">
        <v>24</v>
      </c>
      <c r="F658" s="10" t="s">
        <v>198</v>
      </c>
      <c r="G658" s="10" t="b">
        <v>0</v>
      </c>
      <c r="I658" s="10">
        <v>2.0</v>
      </c>
      <c r="J658" s="10">
        <v>0.0</v>
      </c>
      <c r="K658" s="10">
        <v>1.0</v>
      </c>
    </row>
    <row r="659" ht="15.75" customHeight="1">
      <c r="A659" s="7" t="s">
        <v>2830</v>
      </c>
      <c r="B659" s="12" t="s">
        <v>2831</v>
      </c>
      <c r="C659" s="14" t="s">
        <v>1146</v>
      </c>
      <c r="D659" s="15" t="s">
        <v>240</v>
      </c>
      <c r="E659" s="16" t="s">
        <v>24</v>
      </c>
      <c r="F659" s="10" t="s">
        <v>241</v>
      </c>
      <c r="G659" s="10" t="b">
        <v>0</v>
      </c>
      <c r="I659" s="10">
        <v>2.0</v>
      </c>
      <c r="J659" s="10">
        <v>0.0</v>
      </c>
      <c r="K659" s="10">
        <v>2.0</v>
      </c>
    </row>
    <row r="660" ht="15.75" customHeight="1">
      <c r="A660" s="7" t="s">
        <v>2832</v>
      </c>
      <c r="B660" s="12" t="s">
        <v>2833</v>
      </c>
      <c r="C660" s="14" t="s">
        <v>208</v>
      </c>
      <c r="D660" s="15" t="s">
        <v>577</v>
      </c>
      <c r="E660" s="16" t="s">
        <v>43</v>
      </c>
      <c r="F660" s="10" t="s">
        <v>578</v>
      </c>
      <c r="G660" s="10" t="b">
        <v>0</v>
      </c>
      <c r="H660" s="10" t="s">
        <v>2834</v>
      </c>
      <c r="I660" s="10">
        <v>2.0</v>
      </c>
      <c r="J660" s="10">
        <v>0.0</v>
      </c>
      <c r="K660" s="10">
        <v>3.0</v>
      </c>
    </row>
    <row r="661" ht="15.75" customHeight="1">
      <c r="A661" s="7" t="s">
        <v>2835</v>
      </c>
      <c r="B661" s="12" t="s">
        <v>2836</v>
      </c>
      <c r="C661" s="14" t="s">
        <v>208</v>
      </c>
      <c r="D661" s="15" t="s">
        <v>577</v>
      </c>
      <c r="E661" s="16" t="s">
        <v>43</v>
      </c>
      <c r="F661" s="10" t="s">
        <v>578</v>
      </c>
      <c r="G661" s="10" t="b">
        <v>0</v>
      </c>
      <c r="H661" s="10" t="s">
        <v>336</v>
      </c>
      <c r="I661" s="10">
        <v>2.0</v>
      </c>
      <c r="J661" s="10">
        <v>0.0</v>
      </c>
      <c r="K661" s="10">
        <v>0.0</v>
      </c>
    </row>
    <row r="662" ht="15.75" customHeight="1">
      <c r="A662" s="7" t="s">
        <v>2837</v>
      </c>
      <c r="B662" s="12" t="s">
        <v>2838</v>
      </c>
      <c r="C662" s="14" t="s">
        <v>458</v>
      </c>
      <c r="D662" s="15" t="s">
        <v>22</v>
      </c>
      <c r="E662" s="16" t="s">
        <v>24</v>
      </c>
      <c r="F662" s="10" t="s">
        <v>25</v>
      </c>
      <c r="G662" s="10" t="b">
        <v>0</v>
      </c>
      <c r="I662" s="10">
        <v>2.0</v>
      </c>
      <c r="J662" s="10">
        <v>0.0</v>
      </c>
      <c r="K662" s="10">
        <v>0.0</v>
      </c>
    </row>
    <row r="663" ht="15.75" customHeight="1">
      <c r="A663" s="7" t="s">
        <v>2839</v>
      </c>
      <c r="B663" s="16"/>
      <c r="C663" s="14" t="s">
        <v>458</v>
      </c>
      <c r="D663" s="15" t="s">
        <v>22</v>
      </c>
      <c r="E663" s="16" t="s">
        <v>24</v>
      </c>
      <c r="F663" s="10" t="s">
        <v>25</v>
      </c>
      <c r="G663" s="10" t="b">
        <v>0</v>
      </c>
      <c r="I663" s="10">
        <v>2.0</v>
      </c>
      <c r="J663" s="10">
        <v>0.0</v>
      </c>
      <c r="K663" s="10">
        <v>0.0</v>
      </c>
    </row>
    <row r="664" ht="15.75" customHeight="1">
      <c r="A664" s="7" t="s">
        <v>2840</v>
      </c>
      <c r="B664" s="12" t="s">
        <v>2841</v>
      </c>
      <c r="C664" s="14" t="s">
        <v>1149</v>
      </c>
      <c r="D664" s="15" t="s">
        <v>240</v>
      </c>
      <c r="E664" s="16" t="s">
        <v>24</v>
      </c>
      <c r="F664" s="10" t="s">
        <v>241</v>
      </c>
      <c r="G664" s="10" t="b">
        <v>0</v>
      </c>
      <c r="I664" s="10">
        <v>2.0</v>
      </c>
      <c r="J664" s="10">
        <v>0.0</v>
      </c>
      <c r="K664" s="10">
        <v>2.0</v>
      </c>
    </row>
    <row r="665" ht="15.75" customHeight="1">
      <c r="A665" s="7" t="s">
        <v>2842</v>
      </c>
      <c r="B665" s="12" t="s">
        <v>2843</v>
      </c>
      <c r="C665" s="14" t="s">
        <v>1151</v>
      </c>
      <c r="D665" s="15" t="s">
        <v>196</v>
      </c>
      <c r="E665" s="16" t="s">
        <v>24</v>
      </c>
      <c r="F665" s="10" t="s">
        <v>198</v>
      </c>
      <c r="G665" s="10" t="b">
        <v>0</v>
      </c>
      <c r="I665" s="10">
        <v>2.0</v>
      </c>
      <c r="J665" s="10">
        <v>0.0</v>
      </c>
      <c r="K665" s="10">
        <v>1.5</v>
      </c>
    </row>
    <row r="666" ht="15.75" customHeight="1">
      <c r="A666" s="7" t="s">
        <v>2844</v>
      </c>
      <c r="B666" s="12" t="s">
        <v>2845</v>
      </c>
      <c r="C666" s="14" t="s">
        <v>847</v>
      </c>
      <c r="D666" s="15" t="s">
        <v>34</v>
      </c>
      <c r="E666" s="16" t="s">
        <v>24</v>
      </c>
      <c r="F666" s="10" t="s">
        <v>35</v>
      </c>
      <c r="G666" s="10" t="b">
        <v>0</v>
      </c>
      <c r="H666" s="10" t="s">
        <v>119</v>
      </c>
      <c r="I666" s="10">
        <v>2.0</v>
      </c>
      <c r="J666" s="10">
        <v>0.0</v>
      </c>
      <c r="K666" s="10">
        <v>1.5</v>
      </c>
    </row>
    <row r="667" ht="15.75" customHeight="1">
      <c r="A667" s="7" t="s">
        <v>2846</v>
      </c>
      <c r="B667" s="12" t="s">
        <v>2847</v>
      </c>
      <c r="C667" s="14" t="s">
        <v>1153</v>
      </c>
      <c r="D667" s="15" t="s">
        <v>34</v>
      </c>
      <c r="E667" s="16" t="s">
        <v>99</v>
      </c>
      <c r="F667" s="10" t="s">
        <v>35</v>
      </c>
      <c r="G667" s="10" t="b">
        <v>0</v>
      </c>
      <c r="H667" s="10" t="s">
        <v>2848</v>
      </c>
      <c r="I667" s="10">
        <v>2.0</v>
      </c>
      <c r="J667" s="10">
        <v>0.0</v>
      </c>
      <c r="K667" s="10">
        <v>1.0</v>
      </c>
    </row>
    <row r="668" ht="15.75" customHeight="1">
      <c r="A668" s="7" t="s">
        <v>2849</v>
      </c>
      <c r="B668" s="12" t="s">
        <v>1192</v>
      </c>
      <c r="C668" s="14" t="s">
        <v>367</v>
      </c>
      <c r="D668" s="15" t="s">
        <v>51</v>
      </c>
      <c r="E668" s="16" t="s">
        <v>107</v>
      </c>
      <c r="F668" s="10" t="s">
        <v>52</v>
      </c>
      <c r="G668" s="10" t="b">
        <v>0</v>
      </c>
      <c r="H668" s="10" t="s">
        <v>1714</v>
      </c>
      <c r="I668" s="10">
        <v>2.0</v>
      </c>
      <c r="J668" s="10">
        <v>0.0</v>
      </c>
      <c r="K668" s="10">
        <v>0.0</v>
      </c>
    </row>
    <row r="669" ht="15.75" customHeight="1">
      <c r="A669" s="7" t="s">
        <v>2850</v>
      </c>
      <c r="B669" s="12" t="s">
        <v>2851</v>
      </c>
      <c r="C669" s="14" t="s">
        <v>1162</v>
      </c>
      <c r="D669" s="15" t="s">
        <v>240</v>
      </c>
      <c r="E669" s="16" t="s">
        <v>24</v>
      </c>
      <c r="F669" s="10" t="s">
        <v>241</v>
      </c>
      <c r="G669" s="10" t="b">
        <v>0</v>
      </c>
      <c r="I669" s="10">
        <v>2.0</v>
      </c>
      <c r="J669" s="10">
        <v>0.0</v>
      </c>
      <c r="K669" s="10">
        <v>1.0</v>
      </c>
    </row>
    <row r="670" ht="15.75" customHeight="1">
      <c r="A670" s="7" t="s">
        <v>2852</v>
      </c>
      <c r="B670" s="12" t="s">
        <v>97</v>
      </c>
      <c r="C670" s="14" t="s">
        <v>73</v>
      </c>
      <c r="D670" s="15" t="s">
        <v>51</v>
      </c>
      <c r="E670" s="16" t="s">
        <v>99</v>
      </c>
      <c r="F670" s="10" t="s">
        <v>52</v>
      </c>
      <c r="G670" s="10" t="b">
        <v>0</v>
      </c>
      <c r="H670" s="10" t="s">
        <v>2853</v>
      </c>
      <c r="I670" s="10">
        <v>2.0</v>
      </c>
      <c r="J670" s="10">
        <v>0.0</v>
      </c>
      <c r="K670" s="10">
        <v>0.0</v>
      </c>
    </row>
    <row r="671" ht="15.75" customHeight="1">
      <c r="A671" s="7" t="s">
        <v>2854</v>
      </c>
      <c r="B671" s="12" t="s">
        <v>97</v>
      </c>
      <c r="C671" s="14" t="s">
        <v>73</v>
      </c>
      <c r="D671" s="15" t="s">
        <v>176</v>
      </c>
      <c r="E671" s="16" t="s">
        <v>99</v>
      </c>
      <c r="F671" s="10" t="s">
        <v>91</v>
      </c>
      <c r="G671" s="10" t="b">
        <v>0</v>
      </c>
      <c r="I671" s="10">
        <v>2.0</v>
      </c>
      <c r="J671" s="10">
        <v>0.0</v>
      </c>
      <c r="K671" s="10">
        <v>0.0</v>
      </c>
    </row>
    <row r="672" ht="15.75" customHeight="1">
      <c r="A672" s="7" t="s">
        <v>2855</v>
      </c>
      <c r="B672" s="12" t="s">
        <v>2856</v>
      </c>
      <c r="C672" s="12" t="s">
        <v>667</v>
      </c>
      <c r="D672" s="15" t="s">
        <v>34</v>
      </c>
      <c r="E672" s="16" t="s">
        <v>107</v>
      </c>
      <c r="F672" s="10" t="s">
        <v>35</v>
      </c>
      <c r="G672" s="10" t="b">
        <v>0</v>
      </c>
      <c r="H672" s="10" t="s">
        <v>2857</v>
      </c>
      <c r="I672" s="10">
        <v>2.0</v>
      </c>
      <c r="J672" s="10">
        <v>0.0</v>
      </c>
      <c r="K672" s="10">
        <v>1.5</v>
      </c>
    </row>
    <row r="673" ht="15.75" customHeight="1">
      <c r="A673" s="7" t="s">
        <v>2858</v>
      </c>
      <c r="B673" s="12" t="s">
        <v>2859</v>
      </c>
      <c r="C673" s="12" t="s">
        <v>667</v>
      </c>
      <c r="D673" s="15" t="s">
        <v>34</v>
      </c>
      <c r="E673" s="16" t="s">
        <v>107</v>
      </c>
      <c r="F673" s="10" t="s">
        <v>35</v>
      </c>
      <c r="G673" s="10" t="b">
        <v>0</v>
      </c>
      <c r="H673" s="10" t="s">
        <v>2860</v>
      </c>
      <c r="I673" s="10">
        <v>2.0</v>
      </c>
      <c r="J673" s="10">
        <v>0.0</v>
      </c>
      <c r="K673" s="10">
        <v>0.0</v>
      </c>
    </row>
    <row r="674" ht="15.75" customHeight="1">
      <c r="A674" s="7" t="s">
        <v>2861</v>
      </c>
      <c r="B674" s="12" t="s">
        <v>2862</v>
      </c>
      <c r="C674" s="14" t="s">
        <v>1165</v>
      </c>
      <c r="D674" s="15" t="s">
        <v>240</v>
      </c>
      <c r="E674" s="16" t="s">
        <v>24</v>
      </c>
      <c r="F674" s="10" t="s">
        <v>241</v>
      </c>
      <c r="G674" s="10" t="b">
        <v>0</v>
      </c>
      <c r="I674" s="10">
        <v>2.0</v>
      </c>
      <c r="J674" s="10">
        <v>0.0</v>
      </c>
      <c r="K674" s="10">
        <v>0.0</v>
      </c>
    </row>
    <row r="675" ht="15.75" customHeight="1">
      <c r="A675" s="7" t="s">
        <v>2863</v>
      </c>
      <c r="B675" s="12" t="s">
        <v>2864</v>
      </c>
      <c r="C675" s="14" t="s">
        <v>29</v>
      </c>
      <c r="D675" s="15" t="s">
        <v>34</v>
      </c>
      <c r="E675" s="16" t="s">
        <v>24</v>
      </c>
      <c r="F675" s="10" t="s">
        <v>35</v>
      </c>
      <c r="G675" s="10" t="b">
        <v>0</v>
      </c>
      <c r="H675" s="10" t="s">
        <v>2865</v>
      </c>
      <c r="I675" s="10">
        <v>2.0</v>
      </c>
      <c r="J675" s="10">
        <v>0.0</v>
      </c>
      <c r="K675" s="10">
        <v>0.5</v>
      </c>
    </row>
    <row r="676" ht="15.75" customHeight="1">
      <c r="A676" s="7" t="s">
        <v>2866</v>
      </c>
      <c r="B676" s="12" t="s">
        <v>2867</v>
      </c>
      <c r="C676" s="14" t="s">
        <v>740</v>
      </c>
      <c r="D676" s="15" t="s">
        <v>34</v>
      </c>
      <c r="E676" s="16" t="s">
        <v>43</v>
      </c>
      <c r="F676" s="10" t="s">
        <v>35</v>
      </c>
      <c r="G676" s="10" t="b">
        <v>0</v>
      </c>
      <c r="H676" s="10" t="s">
        <v>2868</v>
      </c>
      <c r="I676" s="10">
        <v>2.0</v>
      </c>
      <c r="J676" s="10">
        <v>0.0</v>
      </c>
      <c r="K676" s="10">
        <v>0.0</v>
      </c>
    </row>
    <row r="677" ht="15.75" customHeight="1">
      <c r="A677" s="7" t="s">
        <v>2869</v>
      </c>
      <c r="B677" s="12" t="s">
        <v>2870</v>
      </c>
      <c r="C677" s="14" t="s">
        <v>1173</v>
      </c>
      <c r="D677" s="15" t="s">
        <v>749</v>
      </c>
      <c r="E677" s="16" t="s">
        <v>99</v>
      </c>
      <c r="F677" s="10" t="s">
        <v>750</v>
      </c>
      <c r="G677" s="10" t="b">
        <v>0</v>
      </c>
      <c r="H677" s="10" t="s">
        <v>384</v>
      </c>
      <c r="I677" s="10">
        <v>2.0</v>
      </c>
      <c r="J677" s="10">
        <v>0.0</v>
      </c>
      <c r="K677" s="10">
        <v>2.5</v>
      </c>
    </row>
    <row r="678" ht="15.75" customHeight="1">
      <c r="A678" s="7" t="s">
        <v>2871</v>
      </c>
      <c r="B678" s="12" t="s">
        <v>2872</v>
      </c>
      <c r="C678" s="14" t="s">
        <v>1175</v>
      </c>
      <c r="D678" s="15" t="s">
        <v>240</v>
      </c>
      <c r="E678" s="16" t="s">
        <v>176</v>
      </c>
      <c r="F678" s="10" t="s">
        <v>241</v>
      </c>
      <c r="G678" s="10" t="b">
        <v>0</v>
      </c>
      <c r="H678" s="10" t="s">
        <v>1177</v>
      </c>
      <c r="I678" s="10">
        <v>2.0</v>
      </c>
      <c r="J678" s="10">
        <v>0.0</v>
      </c>
      <c r="K678" s="10">
        <v>3.0</v>
      </c>
    </row>
    <row r="679" ht="15.75" customHeight="1">
      <c r="A679" s="7" t="s">
        <v>2873</v>
      </c>
      <c r="B679" s="12" t="s">
        <v>2874</v>
      </c>
      <c r="C679" s="14" t="s">
        <v>156</v>
      </c>
      <c r="D679" s="15" t="s">
        <v>196</v>
      </c>
      <c r="E679" s="16" t="s">
        <v>107</v>
      </c>
      <c r="F679" s="10" t="s">
        <v>198</v>
      </c>
      <c r="G679" s="10" t="b">
        <v>0</v>
      </c>
      <c r="H679" s="10" t="s">
        <v>158</v>
      </c>
      <c r="I679" s="10">
        <v>2.0</v>
      </c>
      <c r="J679" s="10">
        <v>0.0</v>
      </c>
      <c r="K679" s="10">
        <v>1.5</v>
      </c>
    </row>
    <row r="680" ht="15.75" customHeight="1">
      <c r="A680" s="7" t="s">
        <v>2875</v>
      </c>
      <c r="B680" s="12" t="s">
        <v>2876</v>
      </c>
      <c r="C680" s="14" t="s">
        <v>977</v>
      </c>
      <c r="D680" s="15" t="s">
        <v>51</v>
      </c>
      <c r="E680" s="16" t="s">
        <v>24</v>
      </c>
      <c r="F680" s="10" t="s">
        <v>52</v>
      </c>
      <c r="G680" s="10" t="b">
        <v>0</v>
      </c>
      <c r="H680" s="10" t="s">
        <v>2877</v>
      </c>
      <c r="I680" s="10">
        <v>2.0</v>
      </c>
      <c r="J680" s="10">
        <v>0.0</v>
      </c>
      <c r="K680" s="10">
        <v>1.0</v>
      </c>
    </row>
    <row r="681" ht="15.75" customHeight="1">
      <c r="A681" s="7" t="s">
        <v>2878</v>
      </c>
      <c r="B681" s="12" t="s">
        <v>2879</v>
      </c>
      <c r="C681" s="14" t="s">
        <v>437</v>
      </c>
      <c r="D681" s="15" t="s">
        <v>240</v>
      </c>
      <c r="E681" s="16" t="s">
        <v>107</v>
      </c>
      <c r="F681" s="10" t="s">
        <v>241</v>
      </c>
      <c r="G681" s="10" t="b">
        <v>0</v>
      </c>
      <c r="H681" s="10" t="s">
        <v>2880</v>
      </c>
      <c r="I681" s="10">
        <v>2.0</v>
      </c>
      <c r="J681" s="10">
        <v>0.0</v>
      </c>
      <c r="K681" s="10">
        <v>2.0</v>
      </c>
    </row>
    <row r="682" ht="15.75" customHeight="1">
      <c r="A682" s="7" t="s">
        <v>2881</v>
      </c>
      <c r="B682" s="12" t="s">
        <v>2882</v>
      </c>
      <c r="C682" s="14" t="s">
        <v>193</v>
      </c>
      <c r="D682" s="15" t="s">
        <v>222</v>
      </c>
      <c r="E682" s="16" t="s">
        <v>44</v>
      </c>
      <c r="F682" s="10" t="s">
        <v>223</v>
      </c>
      <c r="G682" s="10" t="b">
        <v>0</v>
      </c>
      <c r="I682" s="10">
        <v>2.0</v>
      </c>
      <c r="J682" s="10">
        <v>0.0</v>
      </c>
      <c r="K682" s="10">
        <v>1.0</v>
      </c>
    </row>
    <row r="683" ht="15.75" customHeight="1">
      <c r="A683" s="7" t="s">
        <v>2883</v>
      </c>
      <c r="B683" s="12" t="s">
        <v>2884</v>
      </c>
      <c r="C683" s="14" t="s">
        <v>933</v>
      </c>
      <c r="D683" s="15" t="s">
        <v>34</v>
      </c>
      <c r="E683" s="16" t="s">
        <v>24</v>
      </c>
      <c r="F683" s="10" t="s">
        <v>35</v>
      </c>
      <c r="G683" s="10" t="b">
        <v>0</v>
      </c>
      <c r="H683" s="10" t="s">
        <v>2885</v>
      </c>
      <c r="I683" s="10">
        <v>2.0</v>
      </c>
      <c r="J683" s="10">
        <v>0.0</v>
      </c>
      <c r="K683" s="10">
        <v>3.0</v>
      </c>
    </row>
    <row r="684" ht="15.75" customHeight="1">
      <c r="A684" s="7" t="s">
        <v>2886</v>
      </c>
      <c r="B684" s="12" t="s">
        <v>2887</v>
      </c>
      <c r="C684" s="14" t="s">
        <v>743</v>
      </c>
      <c r="D684" s="15" t="s">
        <v>34</v>
      </c>
      <c r="E684" s="16" t="s">
        <v>176</v>
      </c>
      <c r="F684" s="10" t="s">
        <v>35</v>
      </c>
      <c r="G684" s="10" t="b">
        <v>0</v>
      </c>
      <c r="H684" s="10" t="s">
        <v>2888</v>
      </c>
      <c r="I684" s="10">
        <v>2.0</v>
      </c>
      <c r="J684" s="10">
        <v>0.0</v>
      </c>
      <c r="K684" s="10">
        <v>1.0</v>
      </c>
    </row>
    <row r="685" ht="15.75" customHeight="1">
      <c r="A685" s="7" t="s">
        <v>2889</v>
      </c>
      <c r="B685" s="12" t="s">
        <v>2890</v>
      </c>
      <c r="C685" s="14" t="s">
        <v>743</v>
      </c>
      <c r="D685" s="15" t="s">
        <v>34</v>
      </c>
      <c r="E685" s="16" t="s">
        <v>176</v>
      </c>
      <c r="F685" s="10" t="s">
        <v>35</v>
      </c>
      <c r="G685" s="10" t="b">
        <v>0</v>
      </c>
      <c r="H685" s="10" t="s">
        <v>2888</v>
      </c>
      <c r="I685" s="10">
        <v>2.0</v>
      </c>
      <c r="J685" s="10">
        <v>0.0</v>
      </c>
      <c r="K685" s="10">
        <v>0.0</v>
      </c>
    </row>
    <row r="686" ht="15.75" customHeight="1">
      <c r="A686" s="7" t="s">
        <v>2891</v>
      </c>
      <c r="B686" s="12" t="s">
        <v>2892</v>
      </c>
      <c r="C686" s="14" t="s">
        <v>1021</v>
      </c>
      <c r="D686" s="15" t="s">
        <v>196</v>
      </c>
      <c r="E686" s="16" t="s">
        <v>24</v>
      </c>
      <c r="F686" s="10" t="s">
        <v>198</v>
      </c>
      <c r="G686" s="10" t="b">
        <v>0</v>
      </c>
      <c r="H686" s="10" t="s">
        <v>1024</v>
      </c>
      <c r="I686" s="10">
        <v>2.0</v>
      </c>
      <c r="J686" s="10">
        <v>0.0</v>
      </c>
      <c r="K686" s="10">
        <v>1.0</v>
      </c>
    </row>
    <row r="687" ht="15.75" customHeight="1">
      <c r="A687" s="7" t="s">
        <v>2893</v>
      </c>
      <c r="B687" s="12" t="s">
        <v>2894</v>
      </c>
      <c r="C687" s="14" t="s">
        <v>1185</v>
      </c>
      <c r="D687" s="15" t="s">
        <v>240</v>
      </c>
      <c r="E687" s="16" t="s">
        <v>24</v>
      </c>
      <c r="F687" s="10" t="s">
        <v>241</v>
      </c>
      <c r="G687" s="10" t="b">
        <v>0</v>
      </c>
      <c r="H687" s="10" t="s">
        <v>561</v>
      </c>
      <c r="I687" s="10">
        <v>2.0</v>
      </c>
      <c r="J687" s="10">
        <v>0.0</v>
      </c>
      <c r="K687" s="10">
        <v>0.0</v>
      </c>
    </row>
    <row r="688" ht="15.75" customHeight="1">
      <c r="A688" s="7" t="s">
        <v>2895</v>
      </c>
      <c r="B688" s="12" t="s">
        <v>2896</v>
      </c>
      <c r="C688" s="14" t="s">
        <v>1188</v>
      </c>
      <c r="D688" s="15" t="s">
        <v>34</v>
      </c>
      <c r="E688" s="16" t="s">
        <v>99</v>
      </c>
      <c r="F688" s="10" t="s">
        <v>35</v>
      </c>
      <c r="G688" s="10" t="b">
        <v>0</v>
      </c>
      <c r="H688" s="10" t="s">
        <v>1190</v>
      </c>
      <c r="I688" s="10">
        <v>2.0</v>
      </c>
      <c r="J688" s="10">
        <v>0.0</v>
      </c>
      <c r="K688" s="10">
        <v>0.0</v>
      </c>
    </row>
    <row r="689" ht="15.75" customHeight="1">
      <c r="A689" s="7" t="s">
        <v>2897</v>
      </c>
      <c r="B689" s="16"/>
      <c r="C689" s="14" t="s">
        <v>138</v>
      </c>
      <c r="D689" s="15" t="s">
        <v>176</v>
      </c>
      <c r="E689" s="16" t="s">
        <v>176</v>
      </c>
      <c r="F689" s="10" t="s">
        <v>91</v>
      </c>
      <c r="H689" s="10" t="s">
        <v>948</v>
      </c>
      <c r="I689" s="10">
        <v>2.0</v>
      </c>
      <c r="J689" s="10">
        <v>0.0</v>
      </c>
      <c r="K689" s="10">
        <v>0.0</v>
      </c>
    </row>
    <row r="690" ht="15.75" customHeight="1">
      <c r="A690" s="7" t="s">
        <v>2898</v>
      </c>
      <c r="B690" s="12" t="s">
        <v>2899</v>
      </c>
      <c r="C690" s="14" t="s">
        <v>804</v>
      </c>
      <c r="D690" s="15" t="s">
        <v>51</v>
      </c>
      <c r="E690" s="16" t="s">
        <v>107</v>
      </c>
      <c r="F690" s="10" t="s">
        <v>52</v>
      </c>
      <c r="G690" s="10" t="b">
        <v>0</v>
      </c>
      <c r="H690" s="10" t="s">
        <v>806</v>
      </c>
      <c r="I690" s="10">
        <v>2.0</v>
      </c>
      <c r="J690" s="10">
        <v>0.0</v>
      </c>
      <c r="K690" s="10">
        <v>1.5</v>
      </c>
    </row>
    <row r="691" ht="15.75" customHeight="1">
      <c r="A691" s="7" t="s">
        <v>2900</v>
      </c>
      <c r="B691" s="12" t="s">
        <v>2901</v>
      </c>
      <c r="C691" s="14" t="s">
        <v>804</v>
      </c>
      <c r="D691" s="15" t="s">
        <v>51</v>
      </c>
      <c r="E691" s="16" t="s">
        <v>107</v>
      </c>
      <c r="F691" s="10" t="s">
        <v>52</v>
      </c>
      <c r="G691" s="10" t="b">
        <v>0</v>
      </c>
      <c r="H691" s="10" t="s">
        <v>806</v>
      </c>
      <c r="I691" s="10">
        <v>2.0</v>
      </c>
      <c r="J691" s="10">
        <v>0.0</v>
      </c>
      <c r="K691" s="10">
        <v>1.0</v>
      </c>
    </row>
    <row r="692" ht="15.75" customHeight="1">
      <c r="A692" s="7" t="s">
        <v>2902</v>
      </c>
      <c r="B692" s="12" t="s">
        <v>1727</v>
      </c>
      <c r="C692" s="14" t="s">
        <v>148</v>
      </c>
      <c r="D692" s="15" t="s">
        <v>196</v>
      </c>
      <c r="E692" s="16" t="s">
        <v>107</v>
      </c>
      <c r="F692" s="10" t="s">
        <v>198</v>
      </c>
      <c r="G692" s="10" t="b">
        <v>0</v>
      </c>
      <c r="H692" s="10" t="s">
        <v>157</v>
      </c>
      <c r="I692" s="10">
        <v>2.0</v>
      </c>
      <c r="J692" s="10">
        <v>0.0</v>
      </c>
      <c r="K692" s="10">
        <v>0.5</v>
      </c>
    </row>
    <row r="693" ht="15.75" customHeight="1">
      <c r="A693" s="7" t="s">
        <v>2903</v>
      </c>
      <c r="B693" s="12" t="s">
        <v>2904</v>
      </c>
      <c r="C693" s="14" t="s">
        <v>993</v>
      </c>
      <c r="D693" s="15" t="s">
        <v>51</v>
      </c>
      <c r="E693" s="16" t="s">
        <v>107</v>
      </c>
      <c r="F693" s="10" t="s">
        <v>52</v>
      </c>
      <c r="G693" s="10" t="b">
        <v>0</v>
      </c>
      <c r="H693" s="10" t="s">
        <v>2905</v>
      </c>
      <c r="I693" s="10">
        <v>2.0</v>
      </c>
      <c r="J693" s="10">
        <v>0.0</v>
      </c>
      <c r="K693" s="10">
        <v>2.5</v>
      </c>
    </row>
    <row r="694" ht="15.75" customHeight="1">
      <c r="A694" s="7" t="s">
        <v>2906</v>
      </c>
      <c r="B694" s="16"/>
      <c r="C694" s="12" t="s">
        <v>1193</v>
      </c>
      <c r="D694" s="15" t="s">
        <v>34</v>
      </c>
      <c r="E694" s="16" t="s">
        <v>176</v>
      </c>
      <c r="F694" s="10" t="s">
        <v>35</v>
      </c>
      <c r="G694" s="10" t="b">
        <v>0</v>
      </c>
      <c r="H694" s="10" t="s">
        <v>1194</v>
      </c>
      <c r="I694" s="10">
        <v>2.0</v>
      </c>
      <c r="J694" s="10">
        <v>0.0</v>
      </c>
      <c r="K694" s="10">
        <v>0.0</v>
      </c>
    </row>
    <row r="695" ht="15.75" customHeight="1">
      <c r="A695" s="7" t="s">
        <v>2907</v>
      </c>
      <c r="B695" s="12" t="s">
        <v>2908</v>
      </c>
      <c r="C695" s="14" t="s">
        <v>1195</v>
      </c>
      <c r="D695" s="15" t="s">
        <v>749</v>
      </c>
      <c r="E695" s="16" t="s">
        <v>24</v>
      </c>
      <c r="F695" s="10" t="s">
        <v>750</v>
      </c>
      <c r="G695" s="10" t="b">
        <v>0</v>
      </c>
      <c r="I695" s="10">
        <v>2.0</v>
      </c>
      <c r="J695" s="10">
        <v>0.0</v>
      </c>
      <c r="K695" s="10">
        <v>0.5</v>
      </c>
    </row>
    <row r="696" ht="15.75" customHeight="1">
      <c r="A696" s="7" t="s">
        <v>2909</v>
      </c>
      <c r="B696" s="12" t="s">
        <v>2910</v>
      </c>
      <c r="C696" s="14" t="s">
        <v>651</v>
      </c>
      <c r="D696" s="15" t="s">
        <v>196</v>
      </c>
      <c r="E696" s="16" t="s">
        <v>107</v>
      </c>
      <c r="F696" s="10" t="s">
        <v>198</v>
      </c>
      <c r="G696" s="10" t="b">
        <v>0</v>
      </c>
      <c r="H696" s="10" t="s">
        <v>2124</v>
      </c>
      <c r="I696" s="10">
        <v>2.0</v>
      </c>
      <c r="J696" s="10">
        <v>0.0</v>
      </c>
      <c r="K696" s="10">
        <v>1.0</v>
      </c>
    </row>
    <row r="697" ht="15.75" customHeight="1">
      <c r="A697" s="7" t="s">
        <v>2911</v>
      </c>
      <c r="B697" s="12" t="s">
        <v>2912</v>
      </c>
      <c r="C697" s="14" t="s">
        <v>1200</v>
      </c>
      <c r="D697" s="15" t="s">
        <v>51</v>
      </c>
      <c r="E697" s="16" t="s">
        <v>24</v>
      </c>
      <c r="F697" s="10" t="s">
        <v>52</v>
      </c>
      <c r="G697" s="10" t="b">
        <v>0</v>
      </c>
      <c r="I697" s="10">
        <v>2.0</v>
      </c>
      <c r="J697" s="10">
        <v>0.0</v>
      </c>
      <c r="K697" s="10">
        <v>1.0</v>
      </c>
    </row>
    <row r="698" ht="15.75" customHeight="1">
      <c r="A698" s="7" t="s">
        <v>2913</v>
      </c>
      <c r="B698" s="12" t="s">
        <v>2914</v>
      </c>
      <c r="C698" s="14" t="s">
        <v>1025</v>
      </c>
      <c r="D698" s="15" t="s">
        <v>176</v>
      </c>
      <c r="E698" s="16" t="s">
        <v>176</v>
      </c>
      <c r="F698" s="10" t="s">
        <v>91</v>
      </c>
      <c r="G698" s="10" t="b">
        <v>0</v>
      </c>
      <c r="H698" s="10" t="s">
        <v>2915</v>
      </c>
      <c r="I698" s="10">
        <v>2.0</v>
      </c>
      <c r="J698" s="10">
        <v>0.0</v>
      </c>
      <c r="K698" s="10">
        <v>1.5</v>
      </c>
    </row>
    <row r="699" ht="15.75" customHeight="1">
      <c r="A699" s="7" t="s">
        <v>2916</v>
      </c>
      <c r="B699" s="12" t="s">
        <v>497</v>
      </c>
      <c r="C699" s="14" t="s">
        <v>220</v>
      </c>
      <c r="D699" s="15" t="s">
        <v>34</v>
      </c>
      <c r="E699" s="16" t="s">
        <v>99</v>
      </c>
      <c r="F699" s="10" t="s">
        <v>35</v>
      </c>
      <c r="G699" s="10" t="b">
        <v>0</v>
      </c>
      <c r="H699" s="10" t="s">
        <v>100</v>
      </c>
      <c r="I699" s="10">
        <v>2.0</v>
      </c>
      <c r="J699" s="10">
        <v>0.0</v>
      </c>
      <c r="K699" s="10">
        <v>2.0</v>
      </c>
    </row>
    <row r="700" ht="15.75" customHeight="1">
      <c r="A700" s="7" t="s">
        <v>2917</v>
      </c>
      <c r="B700" s="12" t="s">
        <v>2918</v>
      </c>
      <c r="C700" s="14" t="s">
        <v>595</v>
      </c>
      <c r="D700" s="15" t="s">
        <v>196</v>
      </c>
      <c r="E700" s="16" t="s">
        <v>24</v>
      </c>
      <c r="F700" s="10" t="s">
        <v>198</v>
      </c>
      <c r="G700" s="10" t="b">
        <v>0</v>
      </c>
      <c r="I700" s="10">
        <v>2.0</v>
      </c>
      <c r="J700" s="10">
        <v>0.0</v>
      </c>
      <c r="K700" s="10">
        <v>0.0</v>
      </c>
    </row>
    <row r="701" ht="15.75" customHeight="1">
      <c r="A701" s="7" t="s">
        <v>2919</v>
      </c>
      <c r="B701" s="12" t="s">
        <v>2920</v>
      </c>
      <c r="C701" s="14" t="s">
        <v>746</v>
      </c>
      <c r="D701" s="15" t="s">
        <v>34</v>
      </c>
      <c r="E701" s="16" t="s">
        <v>24</v>
      </c>
      <c r="F701" s="10" t="s">
        <v>35</v>
      </c>
      <c r="G701" s="10" t="b">
        <v>0</v>
      </c>
      <c r="H701" s="10" t="s">
        <v>2921</v>
      </c>
      <c r="I701" s="10">
        <v>2.0</v>
      </c>
      <c r="J701" s="10">
        <v>0.0</v>
      </c>
      <c r="K701" s="10">
        <v>1.0</v>
      </c>
    </row>
    <row r="702" ht="15.75" customHeight="1">
      <c r="A702" s="7" t="s">
        <v>2922</v>
      </c>
      <c r="B702" s="12" t="s">
        <v>2923</v>
      </c>
      <c r="C702" s="14" t="s">
        <v>746</v>
      </c>
      <c r="D702" s="15" t="s">
        <v>34</v>
      </c>
      <c r="E702" s="16" t="s">
        <v>24</v>
      </c>
      <c r="F702" s="10" t="s">
        <v>35</v>
      </c>
      <c r="G702" s="10" t="b">
        <v>0</v>
      </c>
      <c r="H702" s="10" t="s">
        <v>2924</v>
      </c>
      <c r="I702" s="10">
        <v>2.0</v>
      </c>
      <c r="J702" s="10">
        <v>0.0</v>
      </c>
      <c r="K702" s="10">
        <v>1.0</v>
      </c>
    </row>
    <row r="703" ht="15.75" customHeight="1">
      <c r="A703" s="7" t="s">
        <v>2925</v>
      </c>
      <c r="B703" s="12" t="s">
        <v>2926</v>
      </c>
      <c r="C703" s="14" t="s">
        <v>1205</v>
      </c>
      <c r="D703" s="15" t="s">
        <v>240</v>
      </c>
      <c r="E703" s="16" t="s">
        <v>24</v>
      </c>
      <c r="F703" s="10" t="s">
        <v>241</v>
      </c>
      <c r="G703" s="10" t="b">
        <v>0</v>
      </c>
      <c r="I703" s="10">
        <v>2.0</v>
      </c>
      <c r="J703" s="10">
        <v>0.0</v>
      </c>
      <c r="K703" s="10">
        <v>0.0</v>
      </c>
    </row>
    <row r="704" ht="15.75" customHeight="1">
      <c r="A704" s="7" t="s">
        <v>2927</v>
      </c>
      <c r="B704" s="16"/>
      <c r="C704" s="14" t="s">
        <v>1207</v>
      </c>
      <c r="D704" s="15" t="s">
        <v>176</v>
      </c>
      <c r="E704" s="16" t="s">
        <v>24</v>
      </c>
      <c r="F704" s="10" t="s">
        <v>91</v>
      </c>
      <c r="H704" s="10" t="s">
        <v>948</v>
      </c>
      <c r="I704" s="10">
        <v>2.0</v>
      </c>
      <c r="J704" s="10">
        <v>0.0</v>
      </c>
      <c r="K704" s="10">
        <v>1.0</v>
      </c>
    </row>
    <row r="705" ht="15.75" customHeight="1">
      <c r="A705" s="7" t="s">
        <v>2928</v>
      </c>
      <c r="B705" s="12" t="s">
        <v>2929</v>
      </c>
      <c r="C705" s="14" t="s">
        <v>748</v>
      </c>
      <c r="D705" s="15" t="s">
        <v>749</v>
      </c>
      <c r="E705" s="16" t="s">
        <v>24</v>
      </c>
      <c r="F705" s="10" t="s">
        <v>750</v>
      </c>
      <c r="G705" s="10" t="b">
        <v>0</v>
      </c>
      <c r="H705" s="10" t="s">
        <v>2930</v>
      </c>
      <c r="I705" s="10">
        <v>2.0</v>
      </c>
      <c r="J705" s="10">
        <v>0.0</v>
      </c>
      <c r="K705" s="10">
        <v>0.0</v>
      </c>
    </row>
    <row r="706" ht="15.75" customHeight="1">
      <c r="A706" s="7" t="s">
        <v>2931</v>
      </c>
      <c r="B706" s="12" t="s">
        <v>2932</v>
      </c>
      <c r="C706" s="14" t="s">
        <v>89</v>
      </c>
      <c r="D706" s="15" t="s">
        <v>22</v>
      </c>
      <c r="E706" s="16" t="s">
        <v>176</v>
      </c>
      <c r="F706" s="10" t="s">
        <v>25</v>
      </c>
      <c r="G706" s="10" t="b">
        <v>0</v>
      </c>
      <c r="H706" s="10" t="s">
        <v>2933</v>
      </c>
      <c r="I706" s="10">
        <v>2.0</v>
      </c>
      <c r="J706" s="10">
        <v>0.0</v>
      </c>
      <c r="K706" s="10">
        <v>0.0</v>
      </c>
    </row>
    <row r="707" ht="15.75" customHeight="1">
      <c r="A707" s="7" t="s">
        <v>2934</v>
      </c>
      <c r="B707" s="12" t="s">
        <v>2935</v>
      </c>
      <c r="C707" s="14" t="s">
        <v>89</v>
      </c>
      <c r="D707" s="15" t="s">
        <v>22</v>
      </c>
      <c r="E707" s="16" t="s">
        <v>176</v>
      </c>
      <c r="F707" s="10" t="s">
        <v>25</v>
      </c>
      <c r="G707" s="10" t="b">
        <v>0</v>
      </c>
      <c r="H707" s="10" t="s">
        <v>2936</v>
      </c>
      <c r="I707" s="10">
        <v>2.0</v>
      </c>
      <c r="J707" s="10">
        <v>0.0</v>
      </c>
      <c r="K707" s="10">
        <v>0.0</v>
      </c>
    </row>
    <row r="708" ht="15.75" customHeight="1">
      <c r="A708" s="7" t="s">
        <v>2937</v>
      </c>
      <c r="B708" s="12" t="s">
        <v>2938</v>
      </c>
      <c r="C708" s="14" t="s">
        <v>89</v>
      </c>
      <c r="D708" s="15" t="s">
        <v>196</v>
      </c>
      <c r="E708" s="16" t="s">
        <v>176</v>
      </c>
      <c r="F708" s="10" t="s">
        <v>198</v>
      </c>
      <c r="G708" s="10" t="b">
        <v>0</v>
      </c>
      <c r="H708" s="10" t="s">
        <v>2939</v>
      </c>
      <c r="I708" s="10">
        <v>2.0</v>
      </c>
      <c r="J708" s="10">
        <v>0.0</v>
      </c>
      <c r="K708" s="10">
        <v>0.0</v>
      </c>
    </row>
    <row r="709" ht="15.75" customHeight="1">
      <c r="A709" s="7" t="s">
        <v>2940</v>
      </c>
      <c r="B709" s="12" t="s">
        <v>2941</v>
      </c>
      <c r="C709" s="14" t="s">
        <v>1209</v>
      </c>
      <c r="D709" s="15" t="s">
        <v>196</v>
      </c>
      <c r="E709" s="16" t="s">
        <v>24</v>
      </c>
      <c r="F709" s="10" t="s">
        <v>198</v>
      </c>
      <c r="G709" s="10" t="b">
        <v>0</v>
      </c>
      <c r="I709" s="10">
        <v>2.0</v>
      </c>
      <c r="J709" s="10">
        <v>0.0</v>
      </c>
      <c r="K709" s="10">
        <v>0.0</v>
      </c>
    </row>
    <row r="710" ht="15.75" customHeight="1">
      <c r="A710" s="7" t="s">
        <v>2942</v>
      </c>
      <c r="B710" s="12" t="s">
        <v>2943</v>
      </c>
      <c r="C710" s="14" t="s">
        <v>499</v>
      </c>
      <c r="D710" s="15" t="s">
        <v>577</v>
      </c>
      <c r="E710" s="16" t="s">
        <v>176</v>
      </c>
      <c r="F710" s="10" t="s">
        <v>578</v>
      </c>
      <c r="G710" s="10" t="b">
        <v>0</v>
      </c>
      <c r="H710" s="10" t="s">
        <v>2944</v>
      </c>
      <c r="I710" s="10">
        <v>2.0</v>
      </c>
      <c r="J710" s="10">
        <v>0.0</v>
      </c>
      <c r="K710" s="10">
        <v>0.0</v>
      </c>
    </row>
    <row r="711" ht="15.75" customHeight="1">
      <c r="A711" s="7" t="s">
        <v>2945</v>
      </c>
      <c r="B711" s="12" t="s">
        <v>2946</v>
      </c>
      <c r="C711" s="14" t="s">
        <v>332</v>
      </c>
      <c r="D711" s="15" t="s">
        <v>34</v>
      </c>
      <c r="E711" s="16" t="s">
        <v>1000</v>
      </c>
      <c r="F711" s="10" t="s">
        <v>35</v>
      </c>
      <c r="G711" s="10" t="b">
        <v>0</v>
      </c>
      <c r="H711" s="10" t="s">
        <v>2947</v>
      </c>
      <c r="I711" s="10">
        <v>2.0</v>
      </c>
      <c r="J711" s="10">
        <v>0.0</v>
      </c>
      <c r="K711" s="10">
        <v>0.0</v>
      </c>
    </row>
    <row r="712" ht="15.75" customHeight="1">
      <c r="A712" s="7" t="s">
        <v>2948</v>
      </c>
      <c r="B712" s="12" t="s">
        <v>2949</v>
      </c>
      <c r="C712" s="12" t="s">
        <v>1212</v>
      </c>
      <c r="D712" s="15" t="s">
        <v>176</v>
      </c>
      <c r="E712" s="16" t="s">
        <v>24</v>
      </c>
      <c r="F712" s="10" t="s">
        <v>91</v>
      </c>
      <c r="G712" s="10" t="b">
        <v>0</v>
      </c>
      <c r="H712" s="10" t="s">
        <v>561</v>
      </c>
      <c r="I712" s="10">
        <v>2.0</v>
      </c>
      <c r="J712" s="10">
        <v>0.0</v>
      </c>
      <c r="K712" s="10">
        <v>1.0</v>
      </c>
    </row>
    <row r="713" ht="15.75" customHeight="1">
      <c r="A713" s="7" t="s">
        <v>2950</v>
      </c>
      <c r="B713" s="12" t="s">
        <v>2951</v>
      </c>
      <c r="C713" s="14" t="s">
        <v>1213</v>
      </c>
      <c r="D713" s="15" t="s">
        <v>34</v>
      </c>
      <c r="E713" s="16" t="s">
        <v>24</v>
      </c>
      <c r="F713" s="10" t="s">
        <v>35</v>
      </c>
      <c r="G713" s="10" t="b">
        <v>0</v>
      </c>
      <c r="H713" s="10" t="s">
        <v>2952</v>
      </c>
      <c r="I713" s="10">
        <v>2.0</v>
      </c>
      <c r="J713" s="10">
        <v>0.0</v>
      </c>
      <c r="K713" s="10">
        <v>1.5</v>
      </c>
    </row>
    <row r="714" ht="15.75" customHeight="1">
      <c r="A714" s="7" t="s">
        <v>2953</v>
      </c>
      <c r="B714" s="12" t="s">
        <v>1051</v>
      </c>
      <c r="C714" s="14" t="s">
        <v>182</v>
      </c>
      <c r="D714" s="15" t="s">
        <v>51</v>
      </c>
      <c r="E714" s="16" t="s">
        <v>176</v>
      </c>
      <c r="F714" s="10" t="s">
        <v>52</v>
      </c>
      <c r="G714" s="10" t="b">
        <v>0</v>
      </c>
      <c r="H714" s="10" t="s">
        <v>100</v>
      </c>
      <c r="I714" s="10">
        <v>2.0</v>
      </c>
      <c r="J714" s="10">
        <v>0.0</v>
      </c>
      <c r="K714" s="10">
        <v>0.0</v>
      </c>
    </row>
    <row r="715" ht="15.75" customHeight="1">
      <c r="A715" s="7" t="s">
        <v>2954</v>
      </c>
      <c r="B715" s="12" t="s">
        <v>2955</v>
      </c>
      <c r="C715" s="12" t="s">
        <v>1222</v>
      </c>
      <c r="D715" s="15" t="s">
        <v>34</v>
      </c>
      <c r="E715" s="16" t="s">
        <v>24</v>
      </c>
      <c r="F715" s="10" t="s">
        <v>35</v>
      </c>
      <c r="G715" s="10" t="b">
        <v>0</v>
      </c>
      <c r="I715" s="10">
        <v>2.0</v>
      </c>
      <c r="J715" s="10">
        <v>0.0</v>
      </c>
      <c r="K715" s="10">
        <v>0.5</v>
      </c>
    </row>
    <row r="716" ht="15.75" customHeight="1">
      <c r="A716" s="7" t="s">
        <v>2956</v>
      </c>
      <c r="B716" s="12" t="s">
        <v>2957</v>
      </c>
      <c r="C716" s="14" t="s">
        <v>1224</v>
      </c>
      <c r="D716" s="15" t="s">
        <v>196</v>
      </c>
      <c r="E716" s="16" t="s">
        <v>24</v>
      </c>
      <c r="F716" s="10" t="s">
        <v>198</v>
      </c>
      <c r="G716" s="10" t="b">
        <v>0</v>
      </c>
      <c r="I716" s="10">
        <v>2.0</v>
      </c>
      <c r="J716" s="10">
        <v>0.0</v>
      </c>
      <c r="K716" s="10">
        <v>0.0</v>
      </c>
    </row>
    <row r="717" ht="15.75" customHeight="1">
      <c r="A717" s="7" t="s">
        <v>2958</v>
      </c>
      <c r="B717" s="12" t="s">
        <v>2959</v>
      </c>
      <c r="C717" s="12" t="s">
        <v>1228</v>
      </c>
      <c r="D717" s="15" t="s">
        <v>34</v>
      </c>
      <c r="E717" s="16" t="s">
        <v>24</v>
      </c>
      <c r="F717" s="10" t="s">
        <v>35</v>
      </c>
      <c r="G717" s="10" t="b">
        <v>0</v>
      </c>
      <c r="H717" s="10" t="s">
        <v>1229</v>
      </c>
      <c r="I717" s="10">
        <v>2.0</v>
      </c>
      <c r="J717" s="10">
        <v>0.0</v>
      </c>
      <c r="K717" s="10">
        <v>0.0</v>
      </c>
    </row>
    <row r="718" ht="15.75" customHeight="1">
      <c r="A718" s="7" t="s">
        <v>2960</v>
      </c>
      <c r="B718" s="12" t="s">
        <v>2961</v>
      </c>
      <c r="C718" s="14" t="s">
        <v>1233</v>
      </c>
      <c r="D718" s="15" t="s">
        <v>34</v>
      </c>
      <c r="E718" s="16" t="s">
        <v>1000</v>
      </c>
      <c r="F718" s="10" t="s">
        <v>35</v>
      </c>
      <c r="G718" s="10" t="b">
        <v>0</v>
      </c>
      <c r="H718" s="10" t="s">
        <v>2962</v>
      </c>
      <c r="I718" s="10">
        <v>2.0</v>
      </c>
      <c r="J718" s="10">
        <v>0.0</v>
      </c>
      <c r="K718" s="10">
        <v>1.0</v>
      </c>
    </row>
    <row r="719" ht="15.75" customHeight="1">
      <c r="A719" s="7" t="s">
        <v>2963</v>
      </c>
      <c r="B719" s="12" t="s">
        <v>2964</v>
      </c>
      <c r="C719" s="14" t="s">
        <v>189</v>
      </c>
      <c r="D719" s="15" t="s">
        <v>240</v>
      </c>
      <c r="E719" s="16" t="s">
        <v>24</v>
      </c>
      <c r="F719" s="10" t="s">
        <v>241</v>
      </c>
      <c r="G719" s="10" t="b">
        <v>0</v>
      </c>
      <c r="I719" s="10">
        <v>2.0</v>
      </c>
      <c r="J719" s="10">
        <v>0.0</v>
      </c>
      <c r="K719" s="10">
        <v>0.0</v>
      </c>
    </row>
    <row r="720" ht="15.75" customHeight="1">
      <c r="A720" s="7" t="s">
        <v>2965</v>
      </c>
      <c r="B720" s="12" t="s">
        <v>2966</v>
      </c>
      <c r="C720" s="14" t="s">
        <v>1237</v>
      </c>
      <c r="D720" s="15" t="s">
        <v>404</v>
      </c>
      <c r="E720" s="16" t="s">
        <v>24</v>
      </c>
      <c r="F720" s="10" t="s">
        <v>405</v>
      </c>
      <c r="G720" s="10" t="b">
        <v>0</v>
      </c>
      <c r="H720" s="10" t="s">
        <v>2967</v>
      </c>
      <c r="I720" s="10">
        <v>2.0</v>
      </c>
      <c r="J720" s="10">
        <v>0.0</v>
      </c>
      <c r="K720" s="10">
        <v>1.0</v>
      </c>
    </row>
    <row r="721" ht="15.75" customHeight="1">
      <c r="A721" s="7" t="s">
        <v>2968</v>
      </c>
      <c r="B721" s="12" t="s">
        <v>2969</v>
      </c>
      <c r="C721" s="14" t="s">
        <v>1241</v>
      </c>
      <c r="D721" s="15" t="s">
        <v>51</v>
      </c>
      <c r="E721" s="16" t="s">
        <v>24</v>
      </c>
      <c r="F721" s="10" t="s">
        <v>52</v>
      </c>
      <c r="G721" s="10" t="b">
        <v>0</v>
      </c>
      <c r="H721" s="10" t="s">
        <v>2970</v>
      </c>
      <c r="I721" s="10">
        <v>2.0</v>
      </c>
      <c r="J721" s="10">
        <v>0.0</v>
      </c>
      <c r="K721" s="10">
        <v>0.0</v>
      </c>
    </row>
    <row r="722" ht="15.75" customHeight="1">
      <c r="A722" s="7" t="s">
        <v>2971</v>
      </c>
      <c r="B722" s="12" t="s">
        <v>2972</v>
      </c>
      <c r="C722" s="14" t="s">
        <v>1247</v>
      </c>
      <c r="D722" s="15" t="s">
        <v>577</v>
      </c>
      <c r="E722" s="16" t="s">
        <v>24</v>
      </c>
      <c r="F722" s="10" t="s">
        <v>578</v>
      </c>
      <c r="G722" s="10" t="b">
        <v>0</v>
      </c>
      <c r="H722" s="10" t="s">
        <v>2973</v>
      </c>
      <c r="I722" s="10">
        <v>2.0</v>
      </c>
      <c r="J722" s="10">
        <v>0.0</v>
      </c>
      <c r="K722" s="10">
        <v>0.0</v>
      </c>
    </row>
    <row r="723" ht="15.75" customHeight="1">
      <c r="A723" s="7" t="s">
        <v>2974</v>
      </c>
      <c r="B723" s="12" t="s">
        <v>2975</v>
      </c>
      <c r="C723" s="14" t="s">
        <v>1249</v>
      </c>
      <c r="D723" s="15" t="s">
        <v>51</v>
      </c>
      <c r="E723" s="16" t="s">
        <v>43</v>
      </c>
      <c r="F723" s="10" t="s">
        <v>52</v>
      </c>
      <c r="G723" s="10" t="b">
        <v>0</v>
      </c>
      <c r="H723" s="10" t="s">
        <v>2976</v>
      </c>
      <c r="I723" s="10">
        <v>2.0</v>
      </c>
      <c r="J723" s="10">
        <v>0.0</v>
      </c>
      <c r="K723" s="10">
        <v>0.0</v>
      </c>
    </row>
    <row r="724" ht="15.75" customHeight="1">
      <c r="A724" s="7" t="s">
        <v>2977</v>
      </c>
      <c r="B724" s="12" t="s">
        <v>2978</v>
      </c>
      <c r="C724" s="14" t="s">
        <v>1253</v>
      </c>
      <c r="D724" s="15" t="s">
        <v>196</v>
      </c>
      <c r="E724" s="16" t="s">
        <v>24</v>
      </c>
      <c r="F724" s="10" t="s">
        <v>198</v>
      </c>
      <c r="G724" s="10" t="b">
        <v>0</v>
      </c>
      <c r="I724" s="10">
        <v>2.0</v>
      </c>
      <c r="J724" s="10">
        <v>0.0</v>
      </c>
      <c r="K724" s="10">
        <v>0.0</v>
      </c>
    </row>
    <row r="725" ht="15.75" customHeight="1">
      <c r="A725" s="7" t="s">
        <v>2979</v>
      </c>
      <c r="B725" s="12" t="s">
        <v>2980</v>
      </c>
      <c r="C725" s="14" t="s">
        <v>568</v>
      </c>
      <c r="D725" s="15" t="s">
        <v>196</v>
      </c>
      <c r="E725" s="16" t="s">
        <v>24</v>
      </c>
      <c r="F725" s="10" t="s">
        <v>198</v>
      </c>
      <c r="G725" s="10" t="b">
        <v>0</v>
      </c>
      <c r="H725" s="10" t="s">
        <v>1647</v>
      </c>
      <c r="I725" s="10">
        <v>2.0</v>
      </c>
      <c r="J725" s="10">
        <v>0.0</v>
      </c>
      <c r="K725" s="10">
        <v>0.0</v>
      </c>
    </row>
    <row r="726" ht="15.75" customHeight="1">
      <c r="A726" s="7" t="s">
        <v>2981</v>
      </c>
      <c r="B726" s="12" t="s">
        <v>2982</v>
      </c>
      <c r="C726" s="14" t="s">
        <v>568</v>
      </c>
      <c r="D726" s="15" t="s">
        <v>176</v>
      </c>
      <c r="E726" s="16" t="s">
        <v>24</v>
      </c>
      <c r="F726" s="10" t="s">
        <v>91</v>
      </c>
      <c r="G726" s="10" t="b">
        <v>0</v>
      </c>
      <c r="H726" s="10" t="s">
        <v>570</v>
      </c>
      <c r="I726" s="10">
        <v>2.0</v>
      </c>
      <c r="J726" s="10">
        <v>0.0</v>
      </c>
      <c r="K726" s="10">
        <v>1.0</v>
      </c>
    </row>
    <row r="727" ht="15.75" customHeight="1">
      <c r="A727" s="7" t="s">
        <v>2983</v>
      </c>
      <c r="B727" s="12" t="s">
        <v>2984</v>
      </c>
      <c r="C727" s="14" t="s">
        <v>1004</v>
      </c>
      <c r="D727" s="15" t="s">
        <v>196</v>
      </c>
      <c r="E727" s="16" t="s">
        <v>24</v>
      </c>
      <c r="F727" s="10" t="s">
        <v>198</v>
      </c>
      <c r="G727" s="10" t="b">
        <v>0</v>
      </c>
      <c r="I727" s="10">
        <v>2.0</v>
      </c>
      <c r="J727" s="10">
        <v>0.0</v>
      </c>
      <c r="K727" s="10">
        <v>1.0</v>
      </c>
    </row>
    <row r="728" ht="15.75" customHeight="1">
      <c r="A728" s="7" t="s">
        <v>2985</v>
      </c>
      <c r="B728" s="12" t="s">
        <v>2986</v>
      </c>
      <c r="C728" s="14" t="s">
        <v>677</v>
      </c>
      <c r="D728" s="15" t="s">
        <v>749</v>
      </c>
      <c r="E728" s="16" t="s">
        <v>1000</v>
      </c>
      <c r="F728" s="10" t="s">
        <v>750</v>
      </c>
      <c r="G728" s="10" t="b">
        <v>0</v>
      </c>
      <c r="H728" s="10" t="s">
        <v>2987</v>
      </c>
      <c r="I728" s="10">
        <v>2.0</v>
      </c>
      <c r="J728" s="10">
        <v>0.0</v>
      </c>
      <c r="K728" s="10">
        <v>0.0</v>
      </c>
    </row>
    <row r="729" ht="15.75" customHeight="1">
      <c r="A729" s="7" t="s">
        <v>2988</v>
      </c>
      <c r="B729" s="16"/>
      <c r="C729" s="14" t="s">
        <v>84</v>
      </c>
      <c r="D729" s="15" t="s">
        <v>222</v>
      </c>
      <c r="E729" s="16" t="s">
        <v>44</v>
      </c>
      <c r="F729" s="10" t="s">
        <v>223</v>
      </c>
      <c r="H729" s="10" t="s">
        <v>948</v>
      </c>
      <c r="I729" s="10">
        <v>2.0</v>
      </c>
      <c r="J729" s="10">
        <v>0.0</v>
      </c>
      <c r="K729" s="10">
        <v>2.5</v>
      </c>
    </row>
    <row r="730" ht="15.75" customHeight="1">
      <c r="A730" s="7" t="s">
        <v>2989</v>
      </c>
      <c r="B730" s="12" t="s">
        <v>2990</v>
      </c>
      <c r="C730" s="14" t="s">
        <v>84</v>
      </c>
      <c r="D730" s="15" t="s">
        <v>222</v>
      </c>
      <c r="E730" s="16" t="s">
        <v>44</v>
      </c>
      <c r="F730" s="10" t="s">
        <v>223</v>
      </c>
      <c r="G730" s="10" t="b">
        <v>0</v>
      </c>
      <c r="H730" s="10" t="s">
        <v>2991</v>
      </c>
      <c r="I730" s="10">
        <v>2.0</v>
      </c>
      <c r="J730" s="10">
        <v>0.0</v>
      </c>
      <c r="K730" s="10">
        <v>1.5</v>
      </c>
    </row>
    <row r="731" ht="15.75" customHeight="1">
      <c r="A731" s="7" t="s">
        <v>2992</v>
      </c>
      <c r="B731" s="12" t="s">
        <v>2993</v>
      </c>
      <c r="C731" s="14" t="s">
        <v>84</v>
      </c>
      <c r="D731" s="15" t="s">
        <v>222</v>
      </c>
      <c r="E731" s="16" t="s">
        <v>44</v>
      </c>
      <c r="F731" s="10" t="s">
        <v>223</v>
      </c>
      <c r="G731" s="10" t="b">
        <v>0</v>
      </c>
      <c r="H731" s="10" t="s">
        <v>340</v>
      </c>
      <c r="I731" s="10">
        <v>2.0</v>
      </c>
      <c r="J731" s="10">
        <v>0.0</v>
      </c>
      <c r="K731" s="10">
        <v>2.0</v>
      </c>
    </row>
    <row r="732" ht="15.75" customHeight="1">
      <c r="A732" s="7" t="s">
        <v>2994</v>
      </c>
      <c r="B732" s="12" t="s">
        <v>2995</v>
      </c>
      <c r="C732" s="14" t="s">
        <v>1256</v>
      </c>
      <c r="D732" s="15" t="s">
        <v>34</v>
      </c>
      <c r="E732" s="16" t="s">
        <v>24</v>
      </c>
      <c r="F732" s="10" t="s">
        <v>35</v>
      </c>
      <c r="G732" s="10" t="b">
        <v>0</v>
      </c>
      <c r="H732" s="10" t="s">
        <v>2996</v>
      </c>
      <c r="I732" s="10">
        <v>2.0</v>
      </c>
      <c r="J732" s="10">
        <v>0.0</v>
      </c>
      <c r="K732" s="10">
        <v>1.0</v>
      </c>
    </row>
    <row r="733" ht="15.75" customHeight="1">
      <c r="A733" s="7" t="s">
        <v>2997</v>
      </c>
      <c r="B733" s="12" t="s">
        <v>2998</v>
      </c>
      <c r="C733" s="14" t="s">
        <v>1260</v>
      </c>
      <c r="D733" s="15" t="s">
        <v>196</v>
      </c>
      <c r="E733" s="16" t="s">
        <v>24</v>
      </c>
      <c r="F733" s="10" t="s">
        <v>198</v>
      </c>
      <c r="G733" s="10" t="b">
        <v>0</v>
      </c>
      <c r="I733" s="10">
        <v>2.0</v>
      </c>
      <c r="J733" s="10">
        <v>0.0</v>
      </c>
      <c r="K733" s="10">
        <v>0.0</v>
      </c>
    </row>
    <row r="734" ht="15.75" customHeight="1">
      <c r="A734" s="7" t="s">
        <v>2999</v>
      </c>
      <c r="B734" s="12" t="s">
        <v>3000</v>
      </c>
      <c r="C734" s="14" t="s">
        <v>1264</v>
      </c>
      <c r="D734" s="15" t="s">
        <v>196</v>
      </c>
      <c r="E734" s="16" t="s">
        <v>24</v>
      </c>
      <c r="F734" s="10" t="s">
        <v>198</v>
      </c>
      <c r="G734" s="10" t="b">
        <v>0</v>
      </c>
      <c r="H734" s="10" t="s">
        <v>3001</v>
      </c>
      <c r="I734" s="10">
        <v>2.0</v>
      </c>
      <c r="J734" s="10">
        <v>0.0</v>
      </c>
      <c r="K734" s="10">
        <v>1.0</v>
      </c>
    </row>
    <row r="735" ht="15.75" customHeight="1">
      <c r="A735" s="7" t="s">
        <v>3002</v>
      </c>
      <c r="B735" s="12" t="s">
        <v>3003</v>
      </c>
      <c r="C735" s="14" t="s">
        <v>1269</v>
      </c>
      <c r="D735" s="15" t="s">
        <v>34</v>
      </c>
      <c r="E735" s="16" t="s">
        <v>24</v>
      </c>
      <c r="F735" s="10" t="s">
        <v>35</v>
      </c>
      <c r="G735" s="10" t="b">
        <v>0</v>
      </c>
      <c r="H735" s="10" t="s">
        <v>3004</v>
      </c>
      <c r="I735" s="10">
        <v>2.0</v>
      </c>
      <c r="J735" s="10">
        <v>0.0</v>
      </c>
      <c r="K735" s="10">
        <v>2.0</v>
      </c>
    </row>
    <row r="736" ht="15.75" customHeight="1">
      <c r="A736" s="7" t="s">
        <v>3005</v>
      </c>
      <c r="B736" s="12" t="s">
        <v>1630</v>
      </c>
      <c r="C736" s="12" t="s">
        <v>502</v>
      </c>
      <c r="D736" s="15" t="s">
        <v>240</v>
      </c>
      <c r="E736" s="16" t="s">
        <v>107</v>
      </c>
      <c r="F736" s="10" t="s">
        <v>241</v>
      </c>
      <c r="G736" s="10" t="b">
        <v>0</v>
      </c>
      <c r="H736" s="10" t="s">
        <v>1631</v>
      </c>
      <c r="I736" s="10">
        <v>2.0</v>
      </c>
      <c r="J736" s="10">
        <v>0.0</v>
      </c>
      <c r="K736" s="10">
        <v>1.0</v>
      </c>
    </row>
    <row r="737" ht="15.75" customHeight="1">
      <c r="A737" s="7" t="s">
        <v>3006</v>
      </c>
      <c r="B737" s="12" t="s">
        <v>3007</v>
      </c>
      <c r="C737" s="14" t="s">
        <v>1029</v>
      </c>
      <c r="D737" s="15" t="s">
        <v>34</v>
      </c>
      <c r="E737" s="16" t="s">
        <v>24</v>
      </c>
      <c r="F737" s="10" t="s">
        <v>35</v>
      </c>
      <c r="G737" s="10" t="b">
        <v>0</v>
      </c>
      <c r="H737" s="10" t="s">
        <v>3008</v>
      </c>
      <c r="I737" s="10">
        <v>2.0</v>
      </c>
      <c r="J737" s="10">
        <v>0.0</v>
      </c>
      <c r="K737" s="10">
        <v>1.5</v>
      </c>
    </row>
    <row r="738" ht="15.75" customHeight="1">
      <c r="A738" s="7" t="s">
        <v>3009</v>
      </c>
      <c r="B738" s="12" t="s">
        <v>3010</v>
      </c>
      <c r="C738" s="14" t="s">
        <v>1276</v>
      </c>
      <c r="D738" s="15" t="s">
        <v>240</v>
      </c>
      <c r="E738" s="16" t="s">
        <v>24</v>
      </c>
      <c r="F738" s="10" t="s">
        <v>241</v>
      </c>
      <c r="G738" s="10" t="b">
        <v>0</v>
      </c>
      <c r="I738" s="10">
        <v>2.0</v>
      </c>
      <c r="J738" s="10">
        <v>0.0</v>
      </c>
      <c r="K738" s="10">
        <v>0.0</v>
      </c>
    </row>
    <row r="739" ht="15.75" customHeight="1">
      <c r="A739" s="7" t="s">
        <v>3011</v>
      </c>
      <c r="B739" s="12" t="s">
        <v>3012</v>
      </c>
      <c r="C739" s="14" t="s">
        <v>879</v>
      </c>
      <c r="D739" s="15" t="s">
        <v>22</v>
      </c>
      <c r="E739" s="16" t="s">
        <v>24</v>
      </c>
      <c r="F739" s="10" t="s">
        <v>25</v>
      </c>
      <c r="G739" s="10" t="b">
        <v>0</v>
      </c>
      <c r="I739" s="10">
        <v>2.0</v>
      </c>
      <c r="J739" s="10">
        <v>0.0</v>
      </c>
      <c r="K739" s="10">
        <v>0.5</v>
      </c>
    </row>
    <row r="740" ht="15.75" customHeight="1">
      <c r="A740" s="7" t="s">
        <v>3013</v>
      </c>
      <c r="B740" s="12" t="s">
        <v>3014</v>
      </c>
      <c r="C740" s="14" t="s">
        <v>167</v>
      </c>
      <c r="D740" s="15" t="s">
        <v>196</v>
      </c>
      <c r="E740" s="16" t="s">
        <v>107</v>
      </c>
      <c r="F740" s="10" t="s">
        <v>198</v>
      </c>
      <c r="G740" s="10" t="b">
        <v>0</v>
      </c>
      <c r="H740" s="10" t="s">
        <v>3015</v>
      </c>
      <c r="I740" s="10">
        <v>2.0</v>
      </c>
      <c r="J740" s="10">
        <v>0.0</v>
      </c>
      <c r="K740" s="10">
        <v>1.0</v>
      </c>
    </row>
    <row r="741" ht="15.75" customHeight="1">
      <c r="A741" s="7" t="s">
        <v>3016</v>
      </c>
      <c r="B741" s="12" t="s">
        <v>3017</v>
      </c>
      <c r="C741" s="14" t="s">
        <v>213</v>
      </c>
      <c r="D741" s="15" t="s">
        <v>34</v>
      </c>
      <c r="E741" s="16" t="s">
        <v>107</v>
      </c>
      <c r="F741" s="10" t="s">
        <v>35</v>
      </c>
      <c r="G741" s="10" t="b">
        <v>0</v>
      </c>
      <c r="H741" s="10" t="s">
        <v>3018</v>
      </c>
      <c r="I741" s="10">
        <v>2.0</v>
      </c>
      <c r="J741" s="10">
        <v>0.0</v>
      </c>
      <c r="K741" s="10">
        <v>0.0</v>
      </c>
    </row>
    <row r="742" ht="15.75" customHeight="1">
      <c r="A742" s="7" t="s">
        <v>3019</v>
      </c>
      <c r="B742" s="12" t="s">
        <v>3020</v>
      </c>
      <c r="C742" s="14" t="s">
        <v>213</v>
      </c>
      <c r="D742" s="15" t="s">
        <v>2154</v>
      </c>
      <c r="E742" s="16" t="s">
        <v>107</v>
      </c>
      <c r="F742" s="10" t="s">
        <v>2155</v>
      </c>
      <c r="G742" s="10" t="b">
        <v>0</v>
      </c>
      <c r="H742" s="10" t="s">
        <v>3021</v>
      </c>
      <c r="I742" s="10">
        <v>2.0</v>
      </c>
      <c r="J742" s="10">
        <v>0.0</v>
      </c>
      <c r="K742" s="10">
        <v>0.0</v>
      </c>
    </row>
    <row r="743" ht="15.75" customHeight="1">
      <c r="A743" s="7" t="s">
        <v>3022</v>
      </c>
      <c r="B743" s="12" t="s">
        <v>3023</v>
      </c>
      <c r="C743" s="14" t="s">
        <v>213</v>
      </c>
      <c r="D743" s="15" t="s">
        <v>2154</v>
      </c>
      <c r="E743" s="16" t="s">
        <v>107</v>
      </c>
      <c r="F743" s="10" t="s">
        <v>2155</v>
      </c>
      <c r="G743" s="10" t="b">
        <v>0</v>
      </c>
      <c r="H743" s="10" t="s">
        <v>3024</v>
      </c>
      <c r="I743" s="10">
        <v>2.0</v>
      </c>
      <c r="J743" s="10">
        <v>0.0</v>
      </c>
      <c r="K743" s="10">
        <v>0.0</v>
      </c>
    </row>
    <row r="744" ht="15.75" customHeight="1">
      <c r="A744" s="7" t="s">
        <v>3025</v>
      </c>
      <c r="B744" s="12" t="s">
        <v>3026</v>
      </c>
      <c r="C744" s="14" t="s">
        <v>151</v>
      </c>
      <c r="D744" s="15" t="s">
        <v>577</v>
      </c>
      <c r="E744" s="16" t="s">
        <v>107</v>
      </c>
      <c r="F744" s="10" t="s">
        <v>578</v>
      </c>
      <c r="G744" s="10" t="b">
        <v>0</v>
      </c>
      <c r="H744" s="10" t="s">
        <v>3027</v>
      </c>
      <c r="I744" s="10">
        <v>2.0</v>
      </c>
      <c r="J744" s="10">
        <v>0.0</v>
      </c>
      <c r="K744" s="10">
        <v>1.0</v>
      </c>
    </row>
    <row r="745" ht="15.75" customHeight="1">
      <c r="A745" s="7" t="s">
        <v>3028</v>
      </c>
      <c r="B745" s="12" t="s">
        <v>3029</v>
      </c>
      <c r="C745" s="14" t="s">
        <v>704</v>
      </c>
      <c r="D745" s="15" t="s">
        <v>34</v>
      </c>
      <c r="E745" s="16" t="s">
        <v>24</v>
      </c>
      <c r="F745" s="10" t="s">
        <v>35</v>
      </c>
      <c r="G745" s="10" t="b">
        <v>0</v>
      </c>
      <c r="H745" s="10" t="s">
        <v>3030</v>
      </c>
      <c r="I745" s="10">
        <v>2.0</v>
      </c>
      <c r="J745" s="10">
        <v>0.0</v>
      </c>
      <c r="K745" s="10">
        <v>0.0</v>
      </c>
    </row>
    <row r="746" ht="15.75" customHeight="1">
      <c r="A746" s="7" t="s">
        <v>3031</v>
      </c>
      <c r="B746" s="12" t="s">
        <v>3032</v>
      </c>
      <c r="C746" s="14" t="s">
        <v>1278</v>
      </c>
      <c r="D746" s="15" t="s">
        <v>34</v>
      </c>
      <c r="E746" s="16" t="s">
        <v>24</v>
      </c>
      <c r="F746" s="10" t="s">
        <v>35</v>
      </c>
      <c r="G746" s="10" t="b">
        <v>0</v>
      </c>
      <c r="H746" s="10" t="s">
        <v>384</v>
      </c>
      <c r="I746" s="10">
        <v>2.0</v>
      </c>
      <c r="J746" s="10">
        <v>0.0</v>
      </c>
      <c r="K746" s="10">
        <v>0.5</v>
      </c>
    </row>
    <row r="747" ht="15.75" customHeight="1">
      <c r="A747" s="7" t="s">
        <v>3033</v>
      </c>
      <c r="B747" s="12" t="s">
        <v>3034</v>
      </c>
      <c r="C747" s="14" t="s">
        <v>1282</v>
      </c>
      <c r="D747" s="15" t="s">
        <v>196</v>
      </c>
      <c r="E747" s="16" t="s">
        <v>24</v>
      </c>
      <c r="F747" s="10" t="s">
        <v>198</v>
      </c>
      <c r="G747" s="10" t="b">
        <v>0</v>
      </c>
      <c r="H747" s="10" t="s">
        <v>157</v>
      </c>
      <c r="I747" s="10">
        <v>2.0</v>
      </c>
      <c r="J747" s="10">
        <v>0.0</v>
      </c>
      <c r="K747" s="10">
        <v>1.0</v>
      </c>
    </row>
    <row r="748" ht="15.75" customHeight="1">
      <c r="A748" s="7" t="s">
        <v>3035</v>
      </c>
      <c r="B748" s="12" t="s">
        <v>3036</v>
      </c>
      <c r="C748" s="14" t="s">
        <v>621</v>
      </c>
      <c r="D748" s="15" t="s">
        <v>240</v>
      </c>
      <c r="E748" s="16" t="s">
        <v>107</v>
      </c>
      <c r="F748" s="10" t="s">
        <v>241</v>
      </c>
      <c r="G748" s="10" t="b">
        <v>0</v>
      </c>
      <c r="H748" s="10" t="s">
        <v>623</v>
      </c>
      <c r="I748" s="10">
        <v>2.0</v>
      </c>
      <c r="J748" s="10">
        <v>0.0</v>
      </c>
      <c r="K748" s="10">
        <v>1.0</v>
      </c>
    </row>
    <row r="749" ht="15.75" customHeight="1">
      <c r="A749" s="7" t="s">
        <v>3037</v>
      </c>
      <c r="B749" s="12" t="s">
        <v>3038</v>
      </c>
      <c r="C749" s="14" t="s">
        <v>1284</v>
      </c>
      <c r="D749" s="15" t="s">
        <v>51</v>
      </c>
      <c r="E749" s="16" t="s">
        <v>24</v>
      </c>
      <c r="F749" s="10" t="s">
        <v>52</v>
      </c>
      <c r="G749" s="10" t="b">
        <v>0</v>
      </c>
      <c r="H749" s="10" t="s">
        <v>3039</v>
      </c>
      <c r="I749" s="10">
        <v>2.0</v>
      </c>
      <c r="J749" s="10">
        <v>0.0</v>
      </c>
      <c r="K749" s="10">
        <v>0.0</v>
      </c>
    </row>
    <row r="750" ht="15.75" customHeight="1">
      <c r="A750" s="7" t="s">
        <v>3040</v>
      </c>
      <c r="B750" s="12" t="s">
        <v>3041</v>
      </c>
      <c r="C750" s="14" t="s">
        <v>16</v>
      </c>
      <c r="D750" s="15" t="s">
        <v>404</v>
      </c>
      <c r="E750" s="16" t="s">
        <v>24</v>
      </c>
      <c r="F750" s="10" t="s">
        <v>405</v>
      </c>
      <c r="G750" s="10" t="b">
        <v>0</v>
      </c>
      <c r="H750" s="10" t="s">
        <v>3042</v>
      </c>
      <c r="I750" s="10">
        <v>2.0</v>
      </c>
      <c r="J750" s="10">
        <v>0.0</v>
      </c>
      <c r="K750" s="10">
        <v>1.0</v>
      </c>
    </row>
    <row r="751" ht="15.75" customHeight="1">
      <c r="A751" s="7" t="s">
        <v>3043</v>
      </c>
      <c r="B751" s="12" t="s">
        <v>3044</v>
      </c>
      <c r="C751" s="14" t="s">
        <v>16</v>
      </c>
      <c r="D751" s="15" t="s">
        <v>22</v>
      </c>
      <c r="E751" s="16" t="s">
        <v>24</v>
      </c>
      <c r="F751" s="10" t="s">
        <v>25</v>
      </c>
      <c r="G751" s="10" t="b">
        <v>0</v>
      </c>
      <c r="H751" s="10" t="s">
        <v>3045</v>
      </c>
      <c r="I751" s="10">
        <v>2.0</v>
      </c>
      <c r="J751" s="10">
        <v>0.0</v>
      </c>
      <c r="K751" s="10">
        <v>1.0</v>
      </c>
    </row>
    <row r="752" ht="15.75" customHeight="1">
      <c r="A752" s="7" t="s">
        <v>3046</v>
      </c>
      <c r="B752" s="12" t="s">
        <v>3047</v>
      </c>
      <c r="C752" s="14" t="s">
        <v>16</v>
      </c>
      <c r="D752" s="15" t="s">
        <v>51</v>
      </c>
      <c r="E752" s="16" t="s">
        <v>24</v>
      </c>
      <c r="F752" s="10" t="s">
        <v>52</v>
      </c>
      <c r="G752" s="10" t="b">
        <v>0</v>
      </c>
      <c r="H752" s="10" t="s">
        <v>180</v>
      </c>
      <c r="I752" s="10">
        <v>2.0</v>
      </c>
      <c r="J752" s="10">
        <v>0.0</v>
      </c>
      <c r="K752" s="10">
        <v>0.0</v>
      </c>
    </row>
    <row r="753" ht="15.75" customHeight="1">
      <c r="A753" s="7" t="s">
        <v>3048</v>
      </c>
      <c r="B753" s="12" t="s">
        <v>3049</v>
      </c>
      <c r="C753" s="14" t="s">
        <v>16</v>
      </c>
      <c r="D753" s="15" t="s">
        <v>22</v>
      </c>
      <c r="E753" s="16" t="s">
        <v>24</v>
      </c>
      <c r="F753" s="10" t="s">
        <v>25</v>
      </c>
      <c r="G753" s="10" t="b">
        <v>0</v>
      </c>
      <c r="H753" s="10" t="s">
        <v>119</v>
      </c>
      <c r="I753" s="10">
        <v>2.0</v>
      </c>
      <c r="J753" s="10">
        <v>0.0</v>
      </c>
      <c r="K753" s="10">
        <v>0.0</v>
      </c>
    </row>
    <row r="754" ht="15.75" customHeight="1">
      <c r="A754" s="7" t="s">
        <v>3050</v>
      </c>
      <c r="B754" s="12" t="s">
        <v>3051</v>
      </c>
      <c r="C754" s="14" t="s">
        <v>16</v>
      </c>
      <c r="D754" s="15" t="s">
        <v>22</v>
      </c>
      <c r="E754" s="16" t="s">
        <v>24</v>
      </c>
      <c r="F754" s="10" t="s">
        <v>25</v>
      </c>
      <c r="G754" s="10" t="b">
        <v>0</v>
      </c>
      <c r="H754" s="10" t="s">
        <v>3001</v>
      </c>
      <c r="I754" s="10">
        <v>2.0</v>
      </c>
      <c r="J754" s="10">
        <v>0.0</v>
      </c>
      <c r="K754" s="10">
        <v>0.0</v>
      </c>
    </row>
    <row r="755" ht="15.75" customHeight="1">
      <c r="A755" s="7" t="s">
        <v>3052</v>
      </c>
      <c r="B755" s="12" t="s">
        <v>3053</v>
      </c>
      <c r="C755" s="14" t="s">
        <v>16</v>
      </c>
      <c r="D755" s="15" t="s">
        <v>22</v>
      </c>
      <c r="E755" s="16" t="s">
        <v>24</v>
      </c>
      <c r="F755" s="10" t="s">
        <v>25</v>
      </c>
      <c r="G755" s="10" t="b">
        <v>0</v>
      </c>
      <c r="H755" s="10" t="s">
        <v>3054</v>
      </c>
      <c r="I755" s="10">
        <v>2.0</v>
      </c>
      <c r="J755" s="10">
        <v>0.0</v>
      </c>
      <c r="K755" s="10">
        <v>1.0</v>
      </c>
    </row>
    <row r="756" ht="15.75" customHeight="1">
      <c r="A756" s="7" t="s">
        <v>3055</v>
      </c>
      <c r="B756" s="12" t="s">
        <v>3056</v>
      </c>
      <c r="C756" s="14" t="s">
        <v>16</v>
      </c>
      <c r="D756" s="15" t="s">
        <v>22</v>
      </c>
      <c r="E756" s="16" t="s">
        <v>24</v>
      </c>
      <c r="F756" s="10" t="s">
        <v>25</v>
      </c>
      <c r="G756" s="10" t="b">
        <v>0</v>
      </c>
      <c r="H756" s="10" t="s">
        <v>3057</v>
      </c>
      <c r="I756" s="10">
        <v>2.0</v>
      </c>
      <c r="J756" s="10">
        <v>0.0</v>
      </c>
      <c r="K756" s="10">
        <v>0.0</v>
      </c>
    </row>
    <row r="757" ht="15.75" customHeight="1">
      <c r="A757" s="7" t="s">
        <v>3058</v>
      </c>
      <c r="B757" s="12" t="s">
        <v>3059</v>
      </c>
      <c r="C757" s="14" t="s">
        <v>66</v>
      </c>
      <c r="D757" s="15" t="s">
        <v>22</v>
      </c>
      <c r="E757" s="16" t="s">
        <v>24</v>
      </c>
      <c r="F757" s="10" t="s">
        <v>25</v>
      </c>
      <c r="G757" s="10" t="b">
        <v>0</v>
      </c>
      <c r="I757" s="10">
        <v>2.0</v>
      </c>
      <c r="J757" s="10">
        <v>0.0</v>
      </c>
      <c r="K757" s="10">
        <v>0.0</v>
      </c>
    </row>
    <row r="758" ht="15.75" customHeight="1">
      <c r="A758" s="7" t="s">
        <v>3060</v>
      </c>
      <c r="B758" s="12" t="s">
        <v>3061</v>
      </c>
      <c r="C758" s="14" t="s">
        <v>66</v>
      </c>
      <c r="D758" s="15" t="s">
        <v>51</v>
      </c>
      <c r="E758" s="16" t="s">
        <v>24</v>
      </c>
      <c r="F758" s="10" t="s">
        <v>52</v>
      </c>
      <c r="G758" s="10" t="b">
        <v>0</v>
      </c>
      <c r="H758" s="10" t="s">
        <v>384</v>
      </c>
      <c r="I758" s="10">
        <v>2.0</v>
      </c>
      <c r="J758" s="10">
        <v>0.0</v>
      </c>
      <c r="K758" s="10">
        <v>0.0</v>
      </c>
    </row>
    <row r="759" ht="15.75" customHeight="1">
      <c r="A759" s="7" t="s">
        <v>3062</v>
      </c>
      <c r="B759" s="12" t="s">
        <v>3063</v>
      </c>
      <c r="C759" s="14" t="s">
        <v>66</v>
      </c>
      <c r="D759" s="15" t="s">
        <v>22</v>
      </c>
      <c r="E759" s="16" t="s">
        <v>24</v>
      </c>
      <c r="F759" s="10" t="s">
        <v>25</v>
      </c>
      <c r="G759" s="10" t="b">
        <v>0</v>
      </c>
      <c r="H759" s="10" t="s">
        <v>3064</v>
      </c>
      <c r="I759" s="10">
        <v>2.0</v>
      </c>
      <c r="J759" s="10">
        <v>0.0</v>
      </c>
      <c r="K759" s="10">
        <v>0.0</v>
      </c>
    </row>
    <row r="760" ht="15.75" customHeight="1">
      <c r="A760" s="7" t="s">
        <v>3065</v>
      </c>
      <c r="B760" s="12" t="s">
        <v>3066</v>
      </c>
      <c r="C760" s="14" t="s">
        <v>98</v>
      </c>
      <c r="D760" s="15" t="s">
        <v>34</v>
      </c>
      <c r="E760" s="16" t="s">
        <v>176</v>
      </c>
      <c r="F760" s="10" t="s">
        <v>35</v>
      </c>
      <c r="G760" s="10" t="b">
        <v>0</v>
      </c>
      <c r="H760" s="10" t="s">
        <v>2022</v>
      </c>
      <c r="I760" s="10">
        <v>2.0</v>
      </c>
      <c r="J760" s="10">
        <v>0.0</v>
      </c>
      <c r="K760" s="10">
        <v>0.0</v>
      </c>
    </row>
    <row r="761" ht="15.75" customHeight="1">
      <c r="A761" s="7" t="s">
        <v>3067</v>
      </c>
      <c r="B761" s="12" t="s">
        <v>3068</v>
      </c>
      <c r="C761" s="14" t="s">
        <v>1290</v>
      </c>
      <c r="D761" s="15" t="s">
        <v>404</v>
      </c>
      <c r="E761" s="16" t="s">
        <v>24</v>
      </c>
      <c r="F761" s="10" t="s">
        <v>405</v>
      </c>
      <c r="G761" s="10" t="b">
        <v>0</v>
      </c>
      <c r="H761" s="10" t="s">
        <v>3069</v>
      </c>
      <c r="I761" s="10">
        <v>2.0</v>
      </c>
      <c r="J761" s="10">
        <v>0.0</v>
      </c>
      <c r="K761" s="10">
        <v>1.0</v>
      </c>
    </row>
    <row r="762" ht="15.75" customHeight="1">
      <c r="A762" s="7" t="s">
        <v>3070</v>
      </c>
      <c r="B762" s="12" t="s">
        <v>3071</v>
      </c>
      <c r="C762" s="14" t="s">
        <v>884</v>
      </c>
      <c r="D762" s="15" t="s">
        <v>51</v>
      </c>
      <c r="E762" s="16" t="s">
        <v>107</v>
      </c>
      <c r="F762" s="10" t="s">
        <v>52</v>
      </c>
      <c r="G762" s="10" t="b">
        <v>0</v>
      </c>
      <c r="H762" s="10" t="s">
        <v>3072</v>
      </c>
      <c r="I762" s="10">
        <v>2.0</v>
      </c>
      <c r="J762" s="10">
        <v>0.0</v>
      </c>
      <c r="K762" s="10">
        <v>0.0</v>
      </c>
    </row>
    <row r="763" ht="15.75" customHeight="1">
      <c r="A763" s="7" t="s">
        <v>3073</v>
      </c>
      <c r="B763" s="12" t="s">
        <v>3074</v>
      </c>
      <c r="C763" s="14" t="s">
        <v>1294</v>
      </c>
      <c r="D763" s="15" t="s">
        <v>176</v>
      </c>
      <c r="E763" s="16" t="s">
        <v>24</v>
      </c>
      <c r="F763" s="10" t="s">
        <v>91</v>
      </c>
      <c r="G763" s="10" t="b">
        <v>0</v>
      </c>
      <c r="H763" s="10" t="s">
        <v>1298</v>
      </c>
      <c r="I763" s="10">
        <v>2.0</v>
      </c>
      <c r="J763" s="10">
        <v>0.0</v>
      </c>
      <c r="K763" s="10">
        <v>1.0</v>
      </c>
    </row>
    <row r="764" ht="15.75" customHeight="1">
      <c r="A764" s="7" t="s">
        <v>3075</v>
      </c>
      <c r="B764" s="12" t="s">
        <v>3076</v>
      </c>
      <c r="C764" s="14" t="s">
        <v>777</v>
      </c>
      <c r="D764" s="15" t="s">
        <v>34</v>
      </c>
      <c r="E764" s="16" t="s">
        <v>107</v>
      </c>
      <c r="F764" s="10" t="s">
        <v>35</v>
      </c>
      <c r="G764" s="10" t="b">
        <v>0</v>
      </c>
      <c r="H764" s="10" t="s">
        <v>3077</v>
      </c>
      <c r="I764" s="10">
        <v>2.0</v>
      </c>
      <c r="J764" s="10">
        <v>0.0</v>
      </c>
      <c r="K764" s="10">
        <v>0.5</v>
      </c>
    </row>
    <row r="765" ht="15.75" customHeight="1">
      <c r="A765" s="7" t="s">
        <v>3078</v>
      </c>
      <c r="B765" s="12" t="s">
        <v>3079</v>
      </c>
      <c r="C765" s="14" t="s">
        <v>777</v>
      </c>
      <c r="D765" s="15" t="s">
        <v>34</v>
      </c>
      <c r="E765" s="16" t="s">
        <v>107</v>
      </c>
      <c r="F765" s="10" t="s">
        <v>35</v>
      </c>
      <c r="G765" s="10" t="b">
        <v>0</v>
      </c>
      <c r="H765" s="10" t="s">
        <v>3080</v>
      </c>
      <c r="I765" s="10">
        <v>2.0</v>
      </c>
      <c r="J765" s="10">
        <v>0.0</v>
      </c>
      <c r="K765" s="10">
        <v>0.5</v>
      </c>
    </row>
    <row r="766" ht="15.75" customHeight="1">
      <c r="A766" s="7" t="s">
        <v>3081</v>
      </c>
      <c r="B766" s="12" t="s">
        <v>2635</v>
      </c>
      <c r="C766" s="14" t="s">
        <v>810</v>
      </c>
      <c r="D766" s="15" t="s">
        <v>240</v>
      </c>
      <c r="E766" s="16" t="s">
        <v>24</v>
      </c>
      <c r="F766" s="10" t="s">
        <v>241</v>
      </c>
      <c r="G766" s="10" t="b">
        <v>0</v>
      </c>
      <c r="I766" s="10">
        <v>2.0</v>
      </c>
      <c r="J766" s="10">
        <v>0.0</v>
      </c>
      <c r="K766" s="10">
        <v>0.0</v>
      </c>
    </row>
    <row r="767" ht="15.75" customHeight="1">
      <c r="A767" s="7" t="s">
        <v>3082</v>
      </c>
      <c r="B767" s="12" t="s">
        <v>3083</v>
      </c>
      <c r="C767" s="14" t="s">
        <v>160</v>
      </c>
      <c r="D767" s="15" t="s">
        <v>196</v>
      </c>
      <c r="E767" s="16" t="s">
        <v>107</v>
      </c>
      <c r="F767" s="10" t="s">
        <v>198</v>
      </c>
      <c r="G767" s="10" t="b">
        <v>0</v>
      </c>
      <c r="H767" s="10" t="s">
        <v>2216</v>
      </c>
      <c r="I767" s="10">
        <v>2.0</v>
      </c>
      <c r="J767" s="10">
        <v>0.0</v>
      </c>
      <c r="K767" s="10">
        <v>0.0</v>
      </c>
    </row>
    <row r="768" ht="15.75" customHeight="1">
      <c r="A768" s="7" t="s">
        <v>3084</v>
      </c>
      <c r="B768" s="12" t="s">
        <v>3085</v>
      </c>
      <c r="C768" s="14" t="s">
        <v>390</v>
      </c>
      <c r="D768" s="15" t="s">
        <v>34</v>
      </c>
      <c r="E768" s="16" t="s">
        <v>99</v>
      </c>
      <c r="F768" s="10" t="s">
        <v>35</v>
      </c>
      <c r="G768" s="10" t="b">
        <v>0</v>
      </c>
      <c r="H768" s="10" t="s">
        <v>3086</v>
      </c>
      <c r="I768" s="10">
        <v>2.0</v>
      </c>
      <c r="J768" s="10">
        <v>0.0</v>
      </c>
      <c r="K768" s="10">
        <v>1.0</v>
      </c>
    </row>
    <row r="769" ht="15.75" customHeight="1">
      <c r="A769" s="7" t="s">
        <v>3087</v>
      </c>
      <c r="B769" s="12" t="s">
        <v>3088</v>
      </c>
      <c r="C769" s="14" t="s">
        <v>390</v>
      </c>
      <c r="D769" s="15" t="s">
        <v>749</v>
      </c>
      <c r="E769" s="16" t="s">
        <v>99</v>
      </c>
      <c r="F769" s="10" t="s">
        <v>750</v>
      </c>
      <c r="G769" s="10" t="b">
        <v>0</v>
      </c>
      <c r="H769" s="10" t="s">
        <v>3089</v>
      </c>
      <c r="I769" s="10">
        <v>2.0</v>
      </c>
      <c r="J769" s="10">
        <v>0.0</v>
      </c>
      <c r="K769" s="10">
        <v>0.0</v>
      </c>
    </row>
    <row r="770" ht="15.75" customHeight="1">
      <c r="A770" s="7" t="s">
        <v>3090</v>
      </c>
      <c r="B770" s="12" t="s">
        <v>3091</v>
      </c>
      <c r="C770" s="14" t="s">
        <v>236</v>
      </c>
      <c r="D770" s="15" t="s">
        <v>34</v>
      </c>
      <c r="E770" s="16" t="s">
        <v>24</v>
      </c>
      <c r="F770" s="10" t="s">
        <v>35</v>
      </c>
      <c r="G770" s="10" t="b">
        <v>0</v>
      </c>
      <c r="H770" s="10" t="s">
        <v>3092</v>
      </c>
      <c r="I770" s="10">
        <v>2.0</v>
      </c>
      <c r="J770" s="10">
        <v>0.0</v>
      </c>
      <c r="K770" s="10">
        <v>0.5</v>
      </c>
    </row>
    <row r="771" ht="15.75" customHeight="1">
      <c r="A771" s="7" t="s">
        <v>3093</v>
      </c>
      <c r="B771" s="12" t="s">
        <v>3094</v>
      </c>
      <c r="C771" s="14" t="s">
        <v>106</v>
      </c>
      <c r="D771" s="15" t="s">
        <v>176</v>
      </c>
      <c r="E771" s="16" t="s">
        <v>176</v>
      </c>
      <c r="F771" s="10" t="s">
        <v>91</v>
      </c>
      <c r="H771" s="10" t="s">
        <v>948</v>
      </c>
      <c r="I771" s="10">
        <v>2.0</v>
      </c>
      <c r="J771" s="10">
        <v>0.0</v>
      </c>
      <c r="K771" s="10">
        <v>1.0</v>
      </c>
    </row>
    <row r="772" ht="15.75" customHeight="1">
      <c r="A772" s="7" t="s">
        <v>3095</v>
      </c>
      <c r="B772" s="12" t="s">
        <v>3096</v>
      </c>
      <c r="C772" s="14" t="s">
        <v>106</v>
      </c>
      <c r="D772" s="15" t="s">
        <v>176</v>
      </c>
      <c r="E772" s="16" t="s">
        <v>43</v>
      </c>
      <c r="F772" s="10" t="s">
        <v>91</v>
      </c>
      <c r="G772" s="10" t="b">
        <v>0</v>
      </c>
      <c r="H772" s="10" t="s">
        <v>3097</v>
      </c>
      <c r="I772" s="10">
        <v>2.0</v>
      </c>
      <c r="J772" s="10">
        <v>0.0</v>
      </c>
      <c r="K772" s="10">
        <v>1.0</v>
      </c>
    </row>
    <row r="773" ht="15.75" customHeight="1">
      <c r="A773" s="7" t="s">
        <v>3098</v>
      </c>
      <c r="B773" s="12" t="s">
        <v>3099</v>
      </c>
      <c r="C773" s="14" t="s">
        <v>894</v>
      </c>
      <c r="D773" s="15" t="s">
        <v>749</v>
      </c>
      <c r="E773" s="16" t="s">
        <v>99</v>
      </c>
      <c r="F773" s="10" t="s">
        <v>750</v>
      </c>
      <c r="G773" s="10" t="b">
        <v>0</v>
      </c>
      <c r="H773" s="10" t="s">
        <v>3100</v>
      </c>
      <c r="I773" s="10">
        <v>2.0</v>
      </c>
      <c r="J773" s="10">
        <v>0.0</v>
      </c>
      <c r="K773" s="10">
        <v>2.0</v>
      </c>
    </row>
    <row r="774" ht="15.75" customHeight="1">
      <c r="A774" s="7" t="s">
        <v>3101</v>
      </c>
      <c r="B774" s="12" t="s">
        <v>3102</v>
      </c>
      <c r="C774" s="14" t="s">
        <v>894</v>
      </c>
      <c r="D774" s="15" t="s">
        <v>749</v>
      </c>
      <c r="E774" s="16" t="s">
        <v>99</v>
      </c>
      <c r="F774" s="10" t="s">
        <v>750</v>
      </c>
      <c r="G774" s="10" t="b">
        <v>0</v>
      </c>
      <c r="H774" s="10" t="s">
        <v>3103</v>
      </c>
      <c r="I774" s="10">
        <v>2.0</v>
      </c>
      <c r="J774" s="10">
        <v>0.0</v>
      </c>
      <c r="K774" s="10">
        <v>2.0</v>
      </c>
    </row>
    <row r="775" ht="15.75" customHeight="1">
      <c r="A775" s="7" t="s">
        <v>3104</v>
      </c>
      <c r="B775" s="12" t="s">
        <v>3105</v>
      </c>
      <c r="C775" s="14" t="s">
        <v>938</v>
      </c>
      <c r="D775" s="15" t="s">
        <v>196</v>
      </c>
      <c r="E775" s="16" t="s">
        <v>176</v>
      </c>
      <c r="F775" s="10" t="s">
        <v>198</v>
      </c>
      <c r="G775" s="10" t="b">
        <v>0</v>
      </c>
      <c r="H775" s="10" t="s">
        <v>561</v>
      </c>
      <c r="I775" s="10">
        <v>2.0</v>
      </c>
      <c r="J775" s="10">
        <v>0.0</v>
      </c>
      <c r="K775" s="10">
        <v>0.0</v>
      </c>
    </row>
    <row r="776" ht="15.75" customHeight="1">
      <c r="A776" s="7" t="s">
        <v>3106</v>
      </c>
      <c r="B776" s="12" t="s">
        <v>3107</v>
      </c>
      <c r="C776" s="14" t="s">
        <v>1308</v>
      </c>
      <c r="D776" s="15" t="s">
        <v>34</v>
      </c>
      <c r="E776" s="16" t="s">
        <v>24</v>
      </c>
      <c r="F776" s="10" t="s">
        <v>35</v>
      </c>
      <c r="G776" s="10" t="b">
        <v>0</v>
      </c>
      <c r="H776" s="10" t="s">
        <v>384</v>
      </c>
      <c r="I776" s="10">
        <v>2.0</v>
      </c>
      <c r="J776" s="10">
        <v>0.0</v>
      </c>
      <c r="K776" s="10">
        <v>0.5</v>
      </c>
    </row>
    <row r="777" ht="15.75" customHeight="1">
      <c r="A777" s="7" t="s">
        <v>3108</v>
      </c>
      <c r="B777" s="12" t="s">
        <v>3109</v>
      </c>
      <c r="C777" s="14" t="s">
        <v>587</v>
      </c>
      <c r="D777" s="15" t="s">
        <v>240</v>
      </c>
      <c r="E777" s="16" t="s">
        <v>24</v>
      </c>
      <c r="F777" s="10" t="s">
        <v>241</v>
      </c>
      <c r="G777" s="10" t="b">
        <v>0</v>
      </c>
      <c r="I777" s="10">
        <v>2.0</v>
      </c>
      <c r="J777" s="10">
        <v>0.0</v>
      </c>
      <c r="K777" s="10">
        <v>1.0</v>
      </c>
    </row>
    <row r="778" ht="15.75" customHeight="1">
      <c r="A778" s="7" t="s">
        <v>3110</v>
      </c>
      <c r="B778" s="12" t="s">
        <v>3111</v>
      </c>
      <c r="C778" s="14" t="s">
        <v>496</v>
      </c>
      <c r="D778" s="15" t="s">
        <v>34</v>
      </c>
      <c r="E778" s="16" t="s">
        <v>24</v>
      </c>
      <c r="F778" s="10" t="s">
        <v>35</v>
      </c>
      <c r="G778" s="10" t="b">
        <v>0</v>
      </c>
      <c r="H778" s="10" t="s">
        <v>3112</v>
      </c>
      <c r="I778" s="10">
        <v>2.0</v>
      </c>
      <c r="J778" s="10">
        <v>0.0</v>
      </c>
      <c r="K778" s="10">
        <v>0.5</v>
      </c>
    </row>
    <row r="779" ht="15.75" customHeight="1">
      <c r="A779" s="7" t="s">
        <v>3113</v>
      </c>
      <c r="B779" s="12" t="s">
        <v>3114</v>
      </c>
      <c r="C779" s="14" t="s">
        <v>1311</v>
      </c>
      <c r="D779" s="15" t="s">
        <v>404</v>
      </c>
      <c r="E779" s="16" t="s">
        <v>24</v>
      </c>
      <c r="F779" s="10" t="s">
        <v>405</v>
      </c>
      <c r="G779" s="10" t="b">
        <v>0</v>
      </c>
      <c r="I779" s="10">
        <v>2.0</v>
      </c>
      <c r="J779" s="10">
        <v>0.0</v>
      </c>
      <c r="K779" s="10">
        <v>1.0</v>
      </c>
    </row>
    <row r="780" ht="15.75" customHeight="1">
      <c r="A780" s="7" t="s">
        <v>3115</v>
      </c>
      <c r="B780" s="12" t="s">
        <v>3116</v>
      </c>
      <c r="C780" s="14" t="s">
        <v>1316</v>
      </c>
      <c r="D780" s="15" t="s">
        <v>34</v>
      </c>
      <c r="E780" s="16" t="s">
        <v>24</v>
      </c>
      <c r="F780" s="10" t="s">
        <v>35</v>
      </c>
      <c r="G780" s="10" t="b">
        <v>0</v>
      </c>
      <c r="H780" s="10" t="s">
        <v>1318</v>
      </c>
      <c r="I780" s="10">
        <v>2.0</v>
      </c>
      <c r="J780" s="10">
        <v>0.0</v>
      </c>
      <c r="K780" s="10">
        <v>1.5</v>
      </c>
    </row>
    <row r="781" ht="15.75" customHeight="1">
      <c r="A781" s="7" t="s">
        <v>3117</v>
      </c>
      <c r="B781" s="12" t="s">
        <v>2242</v>
      </c>
      <c r="C781" s="14" t="s">
        <v>799</v>
      </c>
      <c r="D781" s="15" t="s">
        <v>34</v>
      </c>
      <c r="E781" s="16" t="s">
        <v>43</v>
      </c>
      <c r="F781" s="10" t="s">
        <v>35</v>
      </c>
      <c r="G781" s="10" t="b">
        <v>0</v>
      </c>
      <c r="H781" s="10" t="s">
        <v>802</v>
      </c>
      <c r="I781" s="10">
        <v>2.0</v>
      </c>
      <c r="J781" s="10">
        <v>0.0</v>
      </c>
      <c r="K781" s="10">
        <v>0.0</v>
      </c>
    </row>
    <row r="782" ht="15.75" customHeight="1">
      <c r="A782" s="7" t="s">
        <v>3118</v>
      </c>
      <c r="B782" s="12" t="s">
        <v>3119</v>
      </c>
      <c r="C782" s="14" t="s">
        <v>1324</v>
      </c>
      <c r="D782" s="15" t="s">
        <v>196</v>
      </c>
      <c r="E782" s="16" t="s">
        <v>176</v>
      </c>
      <c r="F782" s="10" t="s">
        <v>198</v>
      </c>
      <c r="G782" s="10" t="b">
        <v>0</v>
      </c>
      <c r="I782" s="10">
        <v>2.0</v>
      </c>
      <c r="J782" s="10">
        <v>0.0</v>
      </c>
      <c r="K782" s="10">
        <v>1.5</v>
      </c>
    </row>
    <row r="783" ht="15.75" customHeight="1">
      <c r="A783" s="7" t="s">
        <v>3120</v>
      </c>
      <c r="B783" s="12" t="s">
        <v>3121</v>
      </c>
      <c r="C783" s="14" t="s">
        <v>707</v>
      </c>
      <c r="D783" s="15" t="s">
        <v>34</v>
      </c>
      <c r="E783" s="16" t="s">
        <v>24</v>
      </c>
      <c r="F783" s="10" t="s">
        <v>35</v>
      </c>
      <c r="G783" s="10" t="b">
        <v>1</v>
      </c>
      <c r="H783" s="10" t="s">
        <v>3122</v>
      </c>
      <c r="I783" s="10">
        <v>2.0</v>
      </c>
      <c r="J783" s="10">
        <v>0.0</v>
      </c>
      <c r="K783" s="10">
        <v>1.0</v>
      </c>
    </row>
    <row r="784" ht="15.75" customHeight="1">
      <c r="A784" s="7" t="s">
        <v>3123</v>
      </c>
      <c r="B784" s="12" t="s">
        <v>3124</v>
      </c>
      <c r="C784" s="14" t="s">
        <v>707</v>
      </c>
      <c r="D784" s="15" t="s">
        <v>34</v>
      </c>
      <c r="E784" s="16" t="s">
        <v>24</v>
      </c>
      <c r="F784" s="10" t="s">
        <v>35</v>
      </c>
      <c r="G784" s="10" t="b">
        <v>0</v>
      </c>
      <c r="H784" s="10" t="s">
        <v>3125</v>
      </c>
      <c r="I784" s="10">
        <v>2.0</v>
      </c>
      <c r="J784" s="10">
        <v>0.0</v>
      </c>
      <c r="K784" s="10">
        <v>1.0</v>
      </c>
    </row>
    <row r="785" ht="15.75" customHeight="1">
      <c r="A785" s="7" t="s">
        <v>3126</v>
      </c>
      <c r="B785" s="12" t="s">
        <v>3127</v>
      </c>
      <c r="C785" s="14" t="s">
        <v>1327</v>
      </c>
      <c r="D785" s="15" t="s">
        <v>240</v>
      </c>
      <c r="E785" s="16" t="s">
        <v>24</v>
      </c>
      <c r="F785" s="10" t="s">
        <v>241</v>
      </c>
      <c r="G785" s="10" t="b">
        <v>0</v>
      </c>
      <c r="H785" s="10" t="s">
        <v>157</v>
      </c>
      <c r="I785" s="10">
        <v>2.0</v>
      </c>
      <c r="J785" s="10">
        <v>0.0</v>
      </c>
      <c r="K785" s="10">
        <v>0.0</v>
      </c>
    </row>
    <row r="786" ht="15.75" customHeight="1">
      <c r="A786" s="7" t="s">
        <v>3128</v>
      </c>
      <c r="B786" s="12" t="s">
        <v>3129</v>
      </c>
      <c r="C786" s="14" t="s">
        <v>396</v>
      </c>
      <c r="D786" s="15" t="s">
        <v>749</v>
      </c>
      <c r="E786" s="16" t="s">
        <v>43</v>
      </c>
      <c r="F786" s="10" t="s">
        <v>750</v>
      </c>
      <c r="G786" s="10" t="b">
        <v>0</v>
      </c>
      <c r="H786" s="10" t="s">
        <v>3130</v>
      </c>
      <c r="I786" s="10">
        <v>2.0</v>
      </c>
      <c r="J786" s="10">
        <v>0.0</v>
      </c>
      <c r="K786" s="10">
        <v>2.0</v>
      </c>
    </row>
    <row r="787" ht="15.75" customHeight="1">
      <c r="A787" s="7" t="s">
        <v>3131</v>
      </c>
      <c r="B787" s="12" t="s">
        <v>3132</v>
      </c>
      <c r="C787" s="14" t="s">
        <v>1333</v>
      </c>
      <c r="D787" s="15" t="s">
        <v>749</v>
      </c>
      <c r="E787" s="16" t="s">
        <v>24</v>
      </c>
      <c r="F787" s="10" t="s">
        <v>750</v>
      </c>
      <c r="G787" s="10" t="b">
        <v>0</v>
      </c>
      <c r="H787" s="10" t="s">
        <v>119</v>
      </c>
      <c r="I787" s="10">
        <v>2.0</v>
      </c>
      <c r="J787" s="10">
        <v>0.0</v>
      </c>
      <c r="K787" s="10">
        <v>1.5</v>
      </c>
    </row>
    <row r="788" ht="15.75" customHeight="1">
      <c r="A788" s="7" t="s">
        <v>3133</v>
      </c>
      <c r="B788" s="12" t="s">
        <v>3134</v>
      </c>
      <c r="C788" s="14" t="s">
        <v>638</v>
      </c>
      <c r="D788" s="15" t="s">
        <v>34</v>
      </c>
      <c r="E788" s="16" t="s">
        <v>99</v>
      </c>
      <c r="F788" s="10" t="s">
        <v>35</v>
      </c>
      <c r="G788" s="10" t="b">
        <v>0</v>
      </c>
      <c r="H788" s="10" t="s">
        <v>3135</v>
      </c>
      <c r="I788" s="10">
        <v>2.0</v>
      </c>
      <c r="J788" s="10">
        <v>0.0</v>
      </c>
      <c r="K788" s="10">
        <v>0.0</v>
      </c>
    </row>
    <row r="789" ht="15.75" customHeight="1">
      <c r="A789" s="7" t="s">
        <v>3136</v>
      </c>
      <c r="B789" s="12" t="s">
        <v>3137</v>
      </c>
      <c r="C789" s="14" t="s">
        <v>638</v>
      </c>
      <c r="D789" s="15" t="s">
        <v>34</v>
      </c>
      <c r="E789" s="16" t="s">
        <v>99</v>
      </c>
      <c r="F789" s="10" t="s">
        <v>35</v>
      </c>
      <c r="G789" s="10" t="b">
        <v>0</v>
      </c>
      <c r="H789" s="10" t="s">
        <v>3138</v>
      </c>
      <c r="I789" s="10">
        <v>2.0</v>
      </c>
      <c r="J789" s="10">
        <v>0.0</v>
      </c>
      <c r="K789" s="10">
        <v>0.0</v>
      </c>
    </row>
    <row r="790" ht="15.75" customHeight="1">
      <c r="A790" s="7" t="s">
        <v>3139</v>
      </c>
      <c r="B790" s="12" t="s">
        <v>3140</v>
      </c>
      <c r="C790" s="14" t="s">
        <v>641</v>
      </c>
      <c r="D790" s="15" t="s">
        <v>34</v>
      </c>
      <c r="E790" s="16" t="s">
        <v>43</v>
      </c>
      <c r="F790" s="10" t="s">
        <v>35</v>
      </c>
      <c r="G790" s="10" t="b">
        <v>0</v>
      </c>
      <c r="H790" s="10" t="s">
        <v>3141</v>
      </c>
      <c r="I790" s="10">
        <v>2.0</v>
      </c>
      <c r="J790" s="10">
        <v>0.0</v>
      </c>
      <c r="K790" s="10">
        <v>0.0</v>
      </c>
    </row>
    <row r="791" ht="15.75" customHeight="1">
      <c r="A791" s="7" t="s">
        <v>3142</v>
      </c>
      <c r="B791" s="12" t="s">
        <v>3143</v>
      </c>
      <c r="C791" s="14" t="s">
        <v>1343</v>
      </c>
      <c r="D791" s="15" t="s">
        <v>34</v>
      </c>
      <c r="E791" s="16" t="s">
        <v>24</v>
      </c>
      <c r="F791" s="10" t="s">
        <v>35</v>
      </c>
      <c r="G791" s="10" t="b">
        <v>0</v>
      </c>
      <c r="H791" s="10" t="s">
        <v>3144</v>
      </c>
      <c r="I791" s="10">
        <v>2.0</v>
      </c>
      <c r="J791" s="10">
        <v>0.0</v>
      </c>
      <c r="K791" s="10">
        <v>1.0</v>
      </c>
    </row>
    <row r="792" ht="15.75" customHeight="1">
      <c r="A792" s="7" t="s">
        <v>3145</v>
      </c>
      <c r="B792" s="12" t="s">
        <v>3146</v>
      </c>
      <c r="C792" s="14" t="s">
        <v>1375</v>
      </c>
      <c r="D792" s="15" t="s">
        <v>404</v>
      </c>
      <c r="E792" s="16" t="s">
        <v>24</v>
      </c>
      <c r="F792" s="10" t="s">
        <v>405</v>
      </c>
      <c r="G792" s="10" t="b">
        <v>0</v>
      </c>
      <c r="I792" s="10">
        <v>1.0</v>
      </c>
      <c r="J792" s="10">
        <v>0.0</v>
      </c>
      <c r="K792" s="10">
        <v>0.0</v>
      </c>
    </row>
    <row r="793" ht="15.75" customHeight="1">
      <c r="A793" s="7" t="s">
        <v>3147</v>
      </c>
      <c r="B793" s="12" t="s">
        <v>3148</v>
      </c>
      <c r="C793" s="14" t="s">
        <v>1379</v>
      </c>
      <c r="D793" s="15" t="s">
        <v>196</v>
      </c>
      <c r="E793" s="16" t="s">
        <v>24</v>
      </c>
      <c r="F793" s="10" t="s">
        <v>198</v>
      </c>
      <c r="G793" s="10" t="b">
        <v>0</v>
      </c>
      <c r="H793" s="10" t="s">
        <v>384</v>
      </c>
      <c r="I793" s="10">
        <v>1.0</v>
      </c>
      <c r="J793" s="10">
        <v>0.0</v>
      </c>
      <c r="K793" s="10">
        <v>0.0</v>
      </c>
    </row>
    <row r="794" ht="15.75" customHeight="1">
      <c r="A794" s="7" t="s">
        <v>3149</v>
      </c>
      <c r="B794" s="12" t="s">
        <v>3150</v>
      </c>
      <c r="C794" s="14" t="s">
        <v>455</v>
      </c>
      <c r="D794" s="15" t="s">
        <v>749</v>
      </c>
      <c r="E794" s="16" t="s">
        <v>1000</v>
      </c>
      <c r="F794" s="10" t="s">
        <v>750</v>
      </c>
      <c r="G794" s="10" t="b">
        <v>0</v>
      </c>
      <c r="H794" s="10" t="s">
        <v>3151</v>
      </c>
      <c r="I794" s="10">
        <v>1.0</v>
      </c>
      <c r="J794" s="10">
        <v>0.0</v>
      </c>
      <c r="K794" s="10">
        <v>0.0</v>
      </c>
    </row>
    <row r="795" ht="15.75" customHeight="1">
      <c r="A795" s="7" t="s">
        <v>3152</v>
      </c>
      <c r="B795" s="12" t="s">
        <v>3153</v>
      </c>
      <c r="C795" s="14" t="s">
        <v>1382</v>
      </c>
      <c r="D795" s="15" t="s">
        <v>240</v>
      </c>
      <c r="E795" s="16" t="s">
        <v>24</v>
      </c>
      <c r="F795" s="10" t="s">
        <v>241</v>
      </c>
      <c r="G795" s="10" t="b">
        <v>0</v>
      </c>
      <c r="I795" s="10">
        <v>1.0</v>
      </c>
      <c r="J795" s="10">
        <v>0.0</v>
      </c>
      <c r="K795" s="10">
        <v>0.0</v>
      </c>
    </row>
    <row r="796" ht="15.75" customHeight="1">
      <c r="A796" s="7" t="s">
        <v>3154</v>
      </c>
      <c r="B796" s="12" t="s">
        <v>3155</v>
      </c>
      <c r="C796" s="14" t="s">
        <v>1384</v>
      </c>
      <c r="D796" s="15" t="s">
        <v>749</v>
      </c>
      <c r="E796" s="16" t="s">
        <v>24</v>
      </c>
      <c r="F796" s="10" t="s">
        <v>750</v>
      </c>
      <c r="G796" s="10" t="b">
        <v>0</v>
      </c>
      <c r="I796" s="10">
        <v>1.0</v>
      </c>
      <c r="J796" s="10">
        <v>0.0</v>
      </c>
      <c r="K796" s="10">
        <v>1.0</v>
      </c>
    </row>
    <row r="797" ht="15.75" customHeight="1">
      <c r="A797" s="7" t="s">
        <v>3156</v>
      </c>
      <c r="B797" s="12" t="s">
        <v>3157</v>
      </c>
      <c r="C797" s="14" t="s">
        <v>1386</v>
      </c>
      <c r="D797" s="15" t="s">
        <v>196</v>
      </c>
      <c r="E797" s="16" t="s">
        <v>24</v>
      </c>
      <c r="F797" s="10" t="s">
        <v>198</v>
      </c>
      <c r="G797" s="10" t="b">
        <v>0</v>
      </c>
      <c r="I797" s="10">
        <v>1.0</v>
      </c>
      <c r="J797" s="10">
        <v>0.0</v>
      </c>
      <c r="K797" s="10">
        <v>1.0</v>
      </c>
    </row>
    <row r="798" ht="15.75" customHeight="1">
      <c r="A798" s="7" t="s">
        <v>3158</v>
      </c>
      <c r="B798" s="12" t="s">
        <v>3159</v>
      </c>
      <c r="C798" s="14" t="s">
        <v>1389</v>
      </c>
      <c r="D798" s="15" t="s">
        <v>577</v>
      </c>
      <c r="E798" s="16" t="s">
        <v>24</v>
      </c>
      <c r="F798" s="10" t="s">
        <v>578</v>
      </c>
      <c r="G798" s="10" t="b">
        <v>0</v>
      </c>
      <c r="H798" s="10" t="s">
        <v>3160</v>
      </c>
      <c r="I798" s="10">
        <v>1.0</v>
      </c>
      <c r="J798" s="10">
        <v>0.0</v>
      </c>
      <c r="K798" s="10">
        <v>0.0</v>
      </c>
    </row>
    <row r="799" ht="15.75" customHeight="1">
      <c r="A799" s="7" t="s">
        <v>3161</v>
      </c>
      <c r="B799" s="12" t="s">
        <v>3162</v>
      </c>
      <c r="C799" s="14" t="s">
        <v>2053</v>
      </c>
      <c r="D799" s="15" t="s">
        <v>404</v>
      </c>
      <c r="E799" s="16" t="s">
        <v>24</v>
      </c>
      <c r="F799" s="10" t="s">
        <v>405</v>
      </c>
      <c r="G799" s="10" t="b">
        <v>0</v>
      </c>
      <c r="I799" s="10">
        <v>1.0</v>
      </c>
      <c r="J799" s="10">
        <v>0.0</v>
      </c>
      <c r="K799" s="10">
        <v>0.0</v>
      </c>
    </row>
    <row r="800" ht="15.75" customHeight="1">
      <c r="A800" s="7" t="s">
        <v>3163</v>
      </c>
      <c r="B800" s="12" t="s">
        <v>3164</v>
      </c>
      <c r="C800" s="14" t="s">
        <v>1393</v>
      </c>
      <c r="D800" s="15" t="s">
        <v>176</v>
      </c>
      <c r="E800" s="16" t="s">
        <v>24</v>
      </c>
      <c r="F800" s="10" t="s">
        <v>91</v>
      </c>
      <c r="G800" s="10" t="b">
        <v>0</v>
      </c>
      <c r="I800" s="10">
        <v>1.0</v>
      </c>
      <c r="J800" s="10">
        <v>0.0</v>
      </c>
      <c r="K800" s="10">
        <v>1.0</v>
      </c>
    </row>
    <row r="801" ht="15.75" customHeight="1">
      <c r="A801" s="7" t="s">
        <v>3165</v>
      </c>
      <c r="B801" s="16"/>
      <c r="C801" s="14" t="s">
        <v>138</v>
      </c>
      <c r="D801" s="15" t="s">
        <v>176</v>
      </c>
      <c r="E801" s="16" t="s">
        <v>176</v>
      </c>
      <c r="F801" s="10" t="s">
        <v>91</v>
      </c>
      <c r="H801" s="10" t="s">
        <v>948</v>
      </c>
      <c r="I801" s="10">
        <v>1.0</v>
      </c>
      <c r="J801" s="10">
        <v>0.0</v>
      </c>
      <c r="K801" s="10">
        <v>0.0</v>
      </c>
    </row>
    <row r="802" ht="15.75" customHeight="1">
      <c r="A802" s="7" t="s">
        <v>3166</v>
      </c>
      <c r="B802" s="12" t="s">
        <v>3167</v>
      </c>
      <c r="C802" s="14" t="s">
        <v>1395</v>
      </c>
      <c r="D802" s="15" t="s">
        <v>196</v>
      </c>
      <c r="E802" s="16" t="s">
        <v>24</v>
      </c>
      <c r="F802" s="10" t="s">
        <v>198</v>
      </c>
      <c r="G802" s="10" t="b">
        <v>0</v>
      </c>
      <c r="I802" s="10">
        <v>1.0</v>
      </c>
      <c r="J802" s="10">
        <v>0.0</v>
      </c>
      <c r="K802" s="10">
        <v>1.0</v>
      </c>
    </row>
    <row r="803" ht="15.75" customHeight="1">
      <c r="A803" s="7" t="s">
        <v>3168</v>
      </c>
      <c r="B803" s="12" t="s">
        <v>3169</v>
      </c>
      <c r="C803" s="14" t="s">
        <v>1399</v>
      </c>
      <c r="D803" s="15" t="s">
        <v>51</v>
      </c>
      <c r="E803" s="16" t="s">
        <v>44</v>
      </c>
      <c r="F803" s="10" t="s">
        <v>52</v>
      </c>
      <c r="G803" s="10" t="b">
        <v>0</v>
      </c>
      <c r="H803" s="10" t="s">
        <v>1402</v>
      </c>
      <c r="I803" s="10">
        <v>1.0</v>
      </c>
      <c r="J803" s="10">
        <v>0.0</v>
      </c>
      <c r="K803" s="10">
        <v>1.0</v>
      </c>
    </row>
    <row r="804" ht="15.75" customHeight="1">
      <c r="A804" s="7" t="s">
        <v>3170</v>
      </c>
      <c r="B804" s="12" t="s">
        <v>3171</v>
      </c>
      <c r="C804" s="14" t="s">
        <v>916</v>
      </c>
      <c r="D804" s="15" t="s">
        <v>196</v>
      </c>
      <c r="E804" s="16" t="s">
        <v>24</v>
      </c>
      <c r="F804" s="10" t="s">
        <v>198</v>
      </c>
      <c r="G804" s="10" t="b">
        <v>0</v>
      </c>
      <c r="I804" s="10">
        <v>1.0</v>
      </c>
      <c r="J804" s="10">
        <v>0.0</v>
      </c>
      <c r="K804" s="10">
        <v>1.0</v>
      </c>
    </row>
    <row r="805" ht="15.75" customHeight="1">
      <c r="A805" s="7" t="s">
        <v>3172</v>
      </c>
      <c r="B805" s="12" t="s">
        <v>3173</v>
      </c>
      <c r="C805" s="14" t="s">
        <v>1404</v>
      </c>
      <c r="D805" s="15" t="s">
        <v>34</v>
      </c>
      <c r="E805" s="16" t="s">
        <v>24</v>
      </c>
      <c r="F805" s="10" t="s">
        <v>35</v>
      </c>
      <c r="G805" s="10" t="b">
        <v>0</v>
      </c>
      <c r="H805" s="10" t="s">
        <v>1405</v>
      </c>
      <c r="I805" s="10">
        <v>1.0</v>
      </c>
      <c r="J805" s="10">
        <v>0.0</v>
      </c>
      <c r="K805" s="10">
        <v>0.0</v>
      </c>
    </row>
    <row r="806" ht="15.75" customHeight="1">
      <c r="A806" s="7" t="s">
        <v>3174</v>
      </c>
      <c r="B806" s="12" t="s">
        <v>3175</v>
      </c>
      <c r="C806" s="14" t="s">
        <v>1407</v>
      </c>
      <c r="D806" s="15" t="s">
        <v>196</v>
      </c>
      <c r="E806" s="16" t="s">
        <v>107</v>
      </c>
      <c r="F806" s="10" t="s">
        <v>198</v>
      </c>
      <c r="G806" s="10" t="b">
        <v>0</v>
      </c>
      <c r="H806" s="10" t="s">
        <v>1408</v>
      </c>
      <c r="I806" s="10">
        <v>1.0</v>
      </c>
      <c r="J806" s="10">
        <v>0.0</v>
      </c>
      <c r="K806" s="10">
        <v>0.0</v>
      </c>
    </row>
    <row r="807" ht="15.75" customHeight="1">
      <c r="A807" s="7" t="s">
        <v>3176</v>
      </c>
      <c r="B807" s="12" t="s">
        <v>3177</v>
      </c>
      <c r="C807" s="14" t="s">
        <v>1410</v>
      </c>
      <c r="D807" s="15" t="s">
        <v>749</v>
      </c>
      <c r="E807" s="16" t="s">
        <v>99</v>
      </c>
      <c r="F807" s="10" t="s">
        <v>750</v>
      </c>
      <c r="G807" s="10" t="b">
        <v>0</v>
      </c>
      <c r="H807" s="10" t="s">
        <v>1412</v>
      </c>
      <c r="I807" s="10">
        <v>1.0</v>
      </c>
      <c r="J807" s="10">
        <v>0.0</v>
      </c>
      <c r="K807" s="10">
        <v>1.0</v>
      </c>
    </row>
    <row r="808" ht="15.75" customHeight="1">
      <c r="A808" s="7" t="s">
        <v>3178</v>
      </c>
      <c r="B808" s="12" t="s">
        <v>3179</v>
      </c>
      <c r="C808" s="14" t="s">
        <v>1414</v>
      </c>
      <c r="D808" s="15" t="s">
        <v>196</v>
      </c>
      <c r="E808" s="16" t="s">
        <v>24</v>
      </c>
      <c r="F808" s="10" t="s">
        <v>198</v>
      </c>
      <c r="G808" s="10" t="b">
        <v>0</v>
      </c>
      <c r="I808" s="10">
        <v>1.0</v>
      </c>
      <c r="J808" s="10">
        <v>0.0</v>
      </c>
      <c r="K808" s="10">
        <v>0.0</v>
      </c>
    </row>
    <row r="809" ht="15.75" customHeight="1">
      <c r="A809" s="7" t="s">
        <v>3180</v>
      </c>
      <c r="B809" s="12" t="s">
        <v>3181</v>
      </c>
      <c r="C809" s="14" t="s">
        <v>1418</v>
      </c>
      <c r="D809" s="15" t="s">
        <v>34</v>
      </c>
      <c r="E809" s="16" t="s">
        <v>24</v>
      </c>
      <c r="F809" s="10" t="s">
        <v>35</v>
      </c>
      <c r="G809" s="10" t="b">
        <v>0</v>
      </c>
      <c r="H809" s="10" t="s">
        <v>3182</v>
      </c>
      <c r="I809" s="10">
        <v>1.0</v>
      </c>
      <c r="J809" s="10">
        <v>0.0</v>
      </c>
      <c r="K809" s="10">
        <v>1.0</v>
      </c>
    </row>
    <row r="810" ht="15.75" customHeight="1">
      <c r="A810" s="7" t="s">
        <v>3183</v>
      </c>
      <c r="B810" s="12" t="s">
        <v>3184</v>
      </c>
      <c r="C810" s="14" t="s">
        <v>402</v>
      </c>
      <c r="D810" s="15" t="s">
        <v>51</v>
      </c>
      <c r="E810" s="16" t="s">
        <v>176</v>
      </c>
      <c r="F810" s="10" t="s">
        <v>52</v>
      </c>
      <c r="G810" s="10" t="b">
        <v>0</v>
      </c>
      <c r="H810" s="10" t="s">
        <v>403</v>
      </c>
      <c r="I810" s="10">
        <v>1.0</v>
      </c>
      <c r="J810" s="10">
        <v>0.0</v>
      </c>
      <c r="K810" s="10">
        <v>2.0</v>
      </c>
    </row>
    <row r="811" ht="15.75" customHeight="1">
      <c r="A811" s="7" t="s">
        <v>3185</v>
      </c>
      <c r="B811" s="12" t="s">
        <v>3186</v>
      </c>
      <c r="C811" s="14" t="s">
        <v>1044</v>
      </c>
      <c r="D811" s="15" t="s">
        <v>51</v>
      </c>
      <c r="E811" s="16" t="s">
        <v>99</v>
      </c>
      <c r="F811" s="10" t="s">
        <v>52</v>
      </c>
      <c r="G811" s="10" t="b">
        <v>0</v>
      </c>
      <c r="H811" s="10" t="s">
        <v>1045</v>
      </c>
      <c r="I811" s="10">
        <v>1.0</v>
      </c>
      <c r="J811" s="10">
        <v>0.0</v>
      </c>
      <c r="K811" s="10">
        <v>0.0</v>
      </c>
    </row>
    <row r="812" ht="15.75" customHeight="1">
      <c r="A812" s="7" t="s">
        <v>3187</v>
      </c>
      <c r="B812" s="12" t="s">
        <v>3188</v>
      </c>
      <c r="C812" s="14" t="s">
        <v>1044</v>
      </c>
      <c r="D812" s="15" t="s">
        <v>22</v>
      </c>
      <c r="E812" s="16" t="s">
        <v>99</v>
      </c>
      <c r="F812" s="10" t="s">
        <v>25</v>
      </c>
      <c r="G812" s="10" t="b">
        <v>0</v>
      </c>
      <c r="H812" s="10" t="s">
        <v>1045</v>
      </c>
      <c r="I812" s="10">
        <v>1.0</v>
      </c>
      <c r="J812" s="10">
        <v>0.0</v>
      </c>
      <c r="K812" s="10">
        <v>0.0</v>
      </c>
    </row>
    <row r="813" ht="15.75" customHeight="1">
      <c r="A813" s="7" t="s">
        <v>3189</v>
      </c>
      <c r="B813" s="12" t="s">
        <v>3190</v>
      </c>
      <c r="C813" s="14" t="s">
        <v>1422</v>
      </c>
      <c r="D813" s="15" t="s">
        <v>34</v>
      </c>
      <c r="E813" s="16" t="s">
        <v>24</v>
      </c>
      <c r="F813" s="10" t="s">
        <v>35</v>
      </c>
      <c r="G813" s="10" t="b">
        <v>0</v>
      </c>
      <c r="H813" s="10" t="s">
        <v>1424</v>
      </c>
      <c r="I813" s="10">
        <v>1.0</v>
      </c>
      <c r="J813" s="10">
        <v>0.0</v>
      </c>
      <c r="K813" s="10">
        <v>0.0</v>
      </c>
    </row>
    <row r="814" ht="15.75" customHeight="1">
      <c r="A814" s="7" t="s">
        <v>3191</v>
      </c>
      <c r="B814" s="12" t="s">
        <v>3192</v>
      </c>
      <c r="C814" s="14" t="s">
        <v>207</v>
      </c>
      <c r="D814" s="15" t="s">
        <v>176</v>
      </c>
      <c r="E814" s="16" t="s">
        <v>24</v>
      </c>
      <c r="F814" s="10" t="s">
        <v>91</v>
      </c>
      <c r="G814" s="10" t="b">
        <v>0</v>
      </c>
      <c r="I814" s="10">
        <v>1.0</v>
      </c>
      <c r="J814" s="10">
        <v>0.0</v>
      </c>
      <c r="K814" s="10">
        <v>1.0</v>
      </c>
    </row>
    <row r="815" ht="15.75" customHeight="1">
      <c r="A815" s="7" t="s">
        <v>3193</v>
      </c>
      <c r="B815" s="12" t="s">
        <v>3194</v>
      </c>
      <c r="C815" s="14" t="s">
        <v>423</v>
      </c>
      <c r="D815" s="15" t="s">
        <v>240</v>
      </c>
      <c r="E815" s="16" t="s">
        <v>24</v>
      </c>
      <c r="F815" s="10" t="s">
        <v>241</v>
      </c>
      <c r="G815" s="10" t="b">
        <v>0</v>
      </c>
      <c r="I815" s="10">
        <v>1.0</v>
      </c>
      <c r="J815" s="10">
        <v>0.0</v>
      </c>
      <c r="K815" s="10">
        <v>0.0</v>
      </c>
    </row>
    <row r="816" ht="15.75" customHeight="1">
      <c r="A816" s="7" t="s">
        <v>3195</v>
      </c>
      <c r="B816" s="12" t="s">
        <v>3196</v>
      </c>
      <c r="C816" s="14" t="s">
        <v>1426</v>
      </c>
      <c r="D816" s="15" t="s">
        <v>240</v>
      </c>
      <c r="E816" s="16" t="s">
        <v>24</v>
      </c>
      <c r="F816" s="10" t="s">
        <v>241</v>
      </c>
      <c r="G816" s="10" t="b">
        <v>0</v>
      </c>
      <c r="I816" s="10">
        <v>1.0</v>
      </c>
      <c r="J816" s="10">
        <v>0.0</v>
      </c>
      <c r="K816" s="10">
        <v>0.0</v>
      </c>
    </row>
    <row r="817" ht="15.75" customHeight="1">
      <c r="A817" s="7" t="s">
        <v>3197</v>
      </c>
      <c r="B817" s="12" t="s">
        <v>3198</v>
      </c>
      <c r="C817" s="14" t="s">
        <v>23</v>
      </c>
      <c r="D817" s="15" t="s">
        <v>51</v>
      </c>
      <c r="E817" s="16" t="s">
        <v>24</v>
      </c>
      <c r="F817" s="10" t="s">
        <v>52</v>
      </c>
      <c r="G817" s="10" t="b">
        <v>0</v>
      </c>
      <c r="H817" s="10" t="s">
        <v>3199</v>
      </c>
      <c r="I817" s="10">
        <v>1.0</v>
      </c>
      <c r="J817" s="10">
        <v>0.0</v>
      </c>
      <c r="K817" s="10">
        <v>0.0</v>
      </c>
    </row>
    <row r="818" ht="15.75" customHeight="1">
      <c r="A818" s="7" t="s">
        <v>3200</v>
      </c>
      <c r="B818" s="12" t="s">
        <v>3201</v>
      </c>
      <c r="C818" s="14" t="s">
        <v>23</v>
      </c>
      <c r="D818" s="15" t="s">
        <v>51</v>
      </c>
      <c r="E818" s="16" t="s">
        <v>24</v>
      </c>
      <c r="F818" s="10" t="s">
        <v>52</v>
      </c>
      <c r="G818" s="10" t="b">
        <v>0</v>
      </c>
      <c r="H818" s="10" t="s">
        <v>293</v>
      </c>
      <c r="I818" s="10">
        <v>1.0</v>
      </c>
      <c r="J818" s="10">
        <v>0.0</v>
      </c>
      <c r="K818" s="10">
        <v>0.0</v>
      </c>
    </row>
    <row r="819" ht="15.75" customHeight="1">
      <c r="A819" s="7" t="s">
        <v>3202</v>
      </c>
      <c r="B819" s="12" t="s">
        <v>3203</v>
      </c>
      <c r="C819" s="14" t="s">
        <v>23</v>
      </c>
      <c r="D819" s="15" t="s">
        <v>22</v>
      </c>
      <c r="E819" s="16" t="s">
        <v>24</v>
      </c>
      <c r="F819" s="10" t="s">
        <v>25</v>
      </c>
      <c r="G819" s="10" t="b">
        <v>0</v>
      </c>
      <c r="H819" s="10" t="s">
        <v>125</v>
      </c>
      <c r="I819" s="10">
        <v>1.0</v>
      </c>
      <c r="J819" s="10">
        <v>0.0</v>
      </c>
      <c r="K819" s="10">
        <v>0.0</v>
      </c>
    </row>
    <row r="820" ht="15.75" customHeight="1">
      <c r="A820" s="7" t="s">
        <v>3204</v>
      </c>
      <c r="B820" s="12" t="s">
        <v>3205</v>
      </c>
      <c r="C820" s="14" t="s">
        <v>23</v>
      </c>
      <c r="D820" s="15" t="s">
        <v>176</v>
      </c>
      <c r="E820" s="16" t="s">
        <v>24</v>
      </c>
      <c r="F820" s="10" t="s">
        <v>91</v>
      </c>
      <c r="G820" s="10" t="b">
        <v>0</v>
      </c>
      <c r="H820" s="10" t="s">
        <v>125</v>
      </c>
      <c r="I820" s="10">
        <v>1.0</v>
      </c>
      <c r="J820" s="10">
        <v>0.0</v>
      </c>
      <c r="K820" s="10">
        <v>1.0</v>
      </c>
    </row>
    <row r="821" ht="15.75" customHeight="1">
      <c r="A821" s="7" t="s">
        <v>3206</v>
      </c>
      <c r="B821" s="12" t="s">
        <v>3207</v>
      </c>
      <c r="C821" s="14" t="s">
        <v>23</v>
      </c>
      <c r="D821" s="15" t="s">
        <v>176</v>
      </c>
      <c r="E821" s="16" t="s">
        <v>24</v>
      </c>
      <c r="F821" s="10" t="s">
        <v>91</v>
      </c>
      <c r="G821" s="10" t="b">
        <v>0</v>
      </c>
      <c r="H821" s="10" t="s">
        <v>975</v>
      </c>
      <c r="I821" s="10">
        <v>1.0</v>
      </c>
      <c r="J821" s="10">
        <v>0.0</v>
      </c>
      <c r="K821" s="10">
        <v>0.0</v>
      </c>
    </row>
    <row r="822" ht="15.75" customHeight="1">
      <c r="A822" s="7" t="s">
        <v>3208</v>
      </c>
      <c r="B822" s="12" t="s">
        <v>3209</v>
      </c>
      <c r="C822" s="14" t="s">
        <v>23</v>
      </c>
      <c r="D822" s="15" t="s">
        <v>176</v>
      </c>
      <c r="E822" s="16" t="s">
        <v>24</v>
      </c>
      <c r="F822" s="10" t="s">
        <v>91</v>
      </c>
      <c r="G822" s="10" t="b">
        <v>0</v>
      </c>
      <c r="H822" s="10" t="s">
        <v>975</v>
      </c>
      <c r="I822" s="10">
        <v>1.0</v>
      </c>
      <c r="J822" s="10">
        <v>0.0</v>
      </c>
      <c r="K822" s="10">
        <v>1.0</v>
      </c>
    </row>
    <row r="823" ht="15.75" customHeight="1">
      <c r="A823" s="7" t="s">
        <v>3210</v>
      </c>
      <c r="B823" s="12" t="s">
        <v>3211</v>
      </c>
      <c r="C823" s="14" t="s">
        <v>23</v>
      </c>
      <c r="D823" s="15" t="s">
        <v>22</v>
      </c>
      <c r="E823" s="16" t="s">
        <v>24</v>
      </c>
      <c r="F823" s="10" t="s">
        <v>25</v>
      </c>
      <c r="G823" s="10" t="b">
        <v>0</v>
      </c>
      <c r="H823" s="10" t="s">
        <v>3212</v>
      </c>
      <c r="I823" s="10">
        <v>1.0</v>
      </c>
      <c r="J823" s="10">
        <v>0.0</v>
      </c>
      <c r="K823" s="10">
        <v>0.0</v>
      </c>
    </row>
    <row r="824" ht="15.75" customHeight="1">
      <c r="A824" s="7" t="s">
        <v>3213</v>
      </c>
      <c r="B824" s="12" t="s">
        <v>3214</v>
      </c>
      <c r="C824" s="14" t="s">
        <v>23</v>
      </c>
      <c r="D824" s="15" t="s">
        <v>176</v>
      </c>
      <c r="E824" s="16" t="s">
        <v>24</v>
      </c>
      <c r="F824" s="10" t="s">
        <v>91</v>
      </c>
      <c r="G824" s="10" t="b">
        <v>0</v>
      </c>
      <c r="H824" s="10" t="s">
        <v>301</v>
      </c>
      <c r="I824" s="10">
        <v>1.0</v>
      </c>
      <c r="J824" s="10">
        <v>0.0</v>
      </c>
      <c r="K824" s="10">
        <v>0.0</v>
      </c>
    </row>
    <row r="825" ht="15.75" customHeight="1">
      <c r="A825" s="7" t="s">
        <v>3215</v>
      </c>
      <c r="B825" s="12" t="s">
        <v>3216</v>
      </c>
      <c r="C825" s="14" t="s">
        <v>23</v>
      </c>
      <c r="D825" s="15" t="s">
        <v>22</v>
      </c>
      <c r="E825" s="16" t="s">
        <v>24</v>
      </c>
      <c r="F825" s="10" t="s">
        <v>25</v>
      </c>
      <c r="G825" s="10" t="b">
        <v>0</v>
      </c>
      <c r="H825" s="10" t="s">
        <v>888</v>
      </c>
      <c r="I825" s="10">
        <v>1.0</v>
      </c>
      <c r="J825" s="10">
        <v>0.0</v>
      </c>
      <c r="K825" s="10">
        <v>0.0</v>
      </c>
    </row>
    <row r="826" ht="15.75" customHeight="1">
      <c r="A826" s="7" t="s">
        <v>3217</v>
      </c>
      <c r="B826" s="12" t="s">
        <v>3218</v>
      </c>
      <c r="C826" s="14" t="s">
        <v>23</v>
      </c>
      <c r="D826" s="15" t="s">
        <v>22</v>
      </c>
      <c r="E826" s="16" t="s">
        <v>24</v>
      </c>
      <c r="F826" s="10" t="s">
        <v>25</v>
      </c>
      <c r="G826" s="10" t="b">
        <v>0</v>
      </c>
      <c r="H826" s="10" t="s">
        <v>125</v>
      </c>
      <c r="I826" s="10">
        <v>1.0</v>
      </c>
      <c r="J826" s="10">
        <v>0.0</v>
      </c>
      <c r="K826" s="10">
        <v>1.0</v>
      </c>
    </row>
    <row r="827" ht="15.75" customHeight="1">
      <c r="A827" s="7" t="s">
        <v>3219</v>
      </c>
      <c r="B827" s="12" t="s">
        <v>3220</v>
      </c>
      <c r="C827" s="14" t="s">
        <v>23</v>
      </c>
      <c r="D827" s="15" t="s">
        <v>22</v>
      </c>
      <c r="E827" s="16" t="s">
        <v>24</v>
      </c>
      <c r="F827" s="10" t="s">
        <v>25</v>
      </c>
      <c r="G827" s="10" t="b">
        <v>0</v>
      </c>
      <c r="I827" s="10">
        <v>1.0</v>
      </c>
      <c r="J827" s="10">
        <v>0.0</v>
      </c>
      <c r="K827" s="10">
        <v>0.0</v>
      </c>
    </row>
    <row r="828" ht="15.75" customHeight="1">
      <c r="A828" s="7" t="s">
        <v>3221</v>
      </c>
      <c r="B828" s="12" t="s">
        <v>3222</v>
      </c>
      <c r="C828" s="14" t="s">
        <v>23</v>
      </c>
      <c r="D828" s="15" t="s">
        <v>176</v>
      </c>
      <c r="E828" s="16" t="s">
        <v>24</v>
      </c>
      <c r="F828" s="10" t="s">
        <v>91</v>
      </c>
      <c r="G828" s="10" t="b">
        <v>0</v>
      </c>
      <c r="H828" s="10" t="s">
        <v>975</v>
      </c>
      <c r="I828" s="10">
        <v>1.0</v>
      </c>
      <c r="J828" s="10">
        <v>0.0</v>
      </c>
      <c r="K828" s="10">
        <v>0.0</v>
      </c>
    </row>
    <row r="829" ht="15.75" customHeight="1">
      <c r="A829" s="7" t="s">
        <v>3223</v>
      </c>
      <c r="B829" s="12" t="s">
        <v>3224</v>
      </c>
      <c r="C829" s="14" t="s">
        <v>23</v>
      </c>
      <c r="D829" s="15" t="s">
        <v>22</v>
      </c>
      <c r="E829" s="16" t="s">
        <v>24</v>
      </c>
      <c r="F829" s="10" t="s">
        <v>25</v>
      </c>
      <c r="G829" s="10" t="b">
        <v>0</v>
      </c>
      <c r="H829" s="10" t="s">
        <v>975</v>
      </c>
      <c r="I829" s="10">
        <v>1.0</v>
      </c>
      <c r="J829" s="10">
        <v>0.0</v>
      </c>
      <c r="K829" s="10">
        <v>0.0</v>
      </c>
    </row>
    <row r="830" ht="15.75" customHeight="1">
      <c r="A830" s="7" t="s">
        <v>3225</v>
      </c>
      <c r="B830" s="12" t="s">
        <v>3226</v>
      </c>
      <c r="C830" s="14" t="s">
        <v>23</v>
      </c>
      <c r="D830" s="15" t="s">
        <v>176</v>
      </c>
      <c r="E830" s="16" t="s">
        <v>24</v>
      </c>
      <c r="F830" s="10" t="s">
        <v>91</v>
      </c>
      <c r="G830" s="10" t="b">
        <v>0</v>
      </c>
      <c r="H830" s="10" t="s">
        <v>2293</v>
      </c>
      <c r="I830" s="10">
        <v>1.0</v>
      </c>
      <c r="J830" s="10">
        <v>0.0</v>
      </c>
      <c r="K830" s="10">
        <v>0.0</v>
      </c>
    </row>
    <row r="831" ht="15.75" customHeight="1">
      <c r="A831" s="7" t="s">
        <v>3227</v>
      </c>
      <c r="B831" s="12" t="s">
        <v>3228</v>
      </c>
      <c r="C831" s="14" t="s">
        <v>23</v>
      </c>
      <c r="D831" s="15" t="s">
        <v>22</v>
      </c>
      <c r="E831" s="16" t="s">
        <v>24</v>
      </c>
      <c r="F831" s="10" t="s">
        <v>25</v>
      </c>
      <c r="G831" s="10" t="b">
        <v>0</v>
      </c>
      <c r="H831" s="10" t="s">
        <v>3229</v>
      </c>
      <c r="I831" s="10">
        <v>1.0</v>
      </c>
      <c r="J831" s="10">
        <v>0.0</v>
      </c>
      <c r="K831" s="10">
        <v>1.0</v>
      </c>
    </row>
    <row r="832" ht="15.75" customHeight="1">
      <c r="A832" s="7" t="s">
        <v>3230</v>
      </c>
      <c r="B832" s="12" t="s">
        <v>3231</v>
      </c>
      <c r="C832" s="14" t="s">
        <v>23</v>
      </c>
      <c r="D832" s="15" t="s">
        <v>176</v>
      </c>
      <c r="E832" s="16" t="s">
        <v>24</v>
      </c>
      <c r="F832" s="10" t="s">
        <v>91</v>
      </c>
      <c r="G832" s="10" t="b">
        <v>0</v>
      </c>
      <c r="H832" s="10" t="s">
        <v>1792</v>
      </c>
      <c r="I832" s="10">
        <v>1.0</v>
      </c>
      <c r="J832" s="10">
        <v>0.0</v>
      </c>
      <c r="K832" s="10">
        <v>1.0</v>
      </c>
    </row>
    <row r="833" ht="15.75" customHeight="1">
      <c r="A833" s="7" t="s">
        <v>3232</v>
      </c>
      <c r="B833" s="12" t="s">
        <v>3233</v>
      </c>
      <c r="C833" s="14" t="s">
        <v>1428</v>
      </c>
      <c r="D833" s="15" t="s">
        <v>34</v>
      </c>
      <c r="E833" s="16" t="s">
        <v>43</v>
      </c>
      <c r="F833" s="10" t="s">
        <v>35</v>
      </c>
      <c r="G833" s="10" t="b">
        <v>0</v>
      </c>
      <c r="H833" s="10" t="s">
        <v>3234</v>
      </c>
      <c r="I833" s="10">
        <v>1.0</v>
      </c>
      <c r="J833" s="10">
        <v>0.0</v>
      </c>
      <c r="K833" s="10">
        <v>0.0</v>
      </c>
    </row>
    <row r="834" ht="15.75" customHeight="1">
      <c r="A834" s="7" t="s">
        <v>3235</v>
      </c>
      <c r="B834" s="16"/>
      <c r="C834" s="14" t="s">
        <v>1772</v>
      </c>
      <c r="D834" s="15" t="s">
        <v>240</v>
      </c>
      <c r="E834" s="16" t="s">
        <v>24</v>
      </c>
      <c r="F834" s="10" t="s">
        <v>241</v>
      </c>
      <c r="G834" s="10" t="b">
        <v>0</v>
      </c>
      <c r="I834" s="10">
        <v>1.0</v>
      </c>
      <c r="J834" s="10">
        <v>0.0</v>
      </c>
      <c r="K834" s="10">
        <v>0.0</v>
      </c>
    </row>
    <row r="835" ht="15.75" customHeight="1">
      <c r="A835" s="7" t="s">
        <v>3236</v>
      </c>
      <c r="B835" s="12" t="s">
        <v>3237</v>
      </c>
      <c r="C835" s="14" t="s">
        <v>1432</v>
      </c>
      <c r="D835" s="15" t="s">
        <v>22</v>
      </c>
      <c r="E835" s="16" t="s">
        <v>43</v>
      </c>
      <c r="F835" s="10" t="s">
        <v>25</v>
      </c>
      <c r="G835" s="10" t="b">
        <v>0</v>
      </c>
      <c r="H835" s="10" t="s">
        <v>1434</v>
      </c>
      <c r="I835" s="10">
        <v>1.0</v>
      </c>
      <c r="J835" s="10">
        <v>0.0</v>
      </c>
      <c r="K835" s="10">
        <v>0.0</v>
      </c>
    </row>
    <row r="836" ht="15.75" customHeight="1">
      <c r="A836" s="7" t="s">
        <v>3238</v>
      </c>
      <c r="B836" s="12" t="s">
        <v>3239</v>
      </c>
      <c r="C836" s="14" t="s">
        <v>304</v>
      </c>
      <c r="D836" s="15" t="s">
        <v>176</v>
      </c>
      <c r="E836" s="16" t="s">
        <v>24</v>
      </c>
      <c r="F836" s="10" t="s">
        <v>91</v>
      </c>
      <c r="G836" s="10" t="b">
        <v>0</v>
      </c>
      <c r="I836" s="10">
        <v>1.0</v>
      </c>
      <c r="J836" s="10">
        <v>0.0</v>
      </c>
      <c r="K836" s="10">
        <v>1.0</v>
      </c>
    </row>
    <row r="837" ht="15.75" customHeight="1">
      <c r="A837" s="7" t="s">
        <v>3240</v>
      </c>
      <c r="B837" s="12" t="s">
        <v>3241</v>
      </c>
      <c r="C837" s="14" t="s">
        <v>242</v>
      </c>
      <c r="D837" s="15" t="s">
        <v>51</v>
      </c>
      <c r="E837" s="16" t="s">
        <v>43</v>
      </c>
      <c r="F837" s="10" t="s">
        <v>52</v>
      </c>
      <c r="G837" s="10" t="b">
        <v>0</v>
      </c>
      <c r="H837" s="10" t="s">
        <v>3242</v>
      </c>
      <c r="I837" s="10">
        <v>1.0</v>
      </c>
      <c r="J837" s="10">
        <v>0.0</v>
      </c>
      <c r="K837" s="10">
        <v>0.0</v>
      </c>
    </row>
    <row r="838" ht="15.75" customHeight="1">
      <c r="A838" s="7" t="s">
        <v>3243</v>
      </c>
      <c r="B838" s="12" t="s">
        <v>3244</v>
      </c>
      <c r="C838" s="14" t="s">
        <v>242</v>
      </c>
      <c r="D838" s="15" t="s">
        <v>22</v>
      </c>
      <c r="E838" s="16" t="s">
        <v>43</v>
      </c>
      <c r="F838" s="10" t="s">
        <v>25</v>
      </c>
      <c r="G838" s="10" t="b">
        <v>0</v>
      </c>
      <c r="H838" s="10" t="s">
        <v>3245</v>
      </c>
      <c r="I838" s="10">
        <v>1.0</v>
      </c>
      <c r="J838" s="10">
        <v>0.0</v>
      </c>
      <c r="K838" s="10">
        <v>1.0</v>
      </c>
    </row>
    <row r="839" ht="15.75" customHeight="1">
      <c r="A839" s="7" t="s">
        <v>3246</v>
      </c>
      <c r="B839" s="12" t="s">
        <v>3247</v>
      </c>
      <c r="C839" s="14" t="s">
        <v>648</v>
      </c>
      <c r="D839" s="15" t="s">
        <v>176</v>
      </c>
      <c r="E839" s="16" t="s">
        <v>24</v>
      </c>
      <c r="F839" s="10" t="s">
        <v>91</v>
      </c>
      <c r="G839" s="10" t="b">
        <v>0</v>
      </c>
      <c r="H839" s="10" t="s">
        <v>3248</v>
      </c>
      <c r="I839" s="10">
        <v>1.0</v>
      </c>
      <c r="J839" s="10">
        <v>0.0</v>
      </c>
      <c r="K839" s="10">
        <v>0.0</v>
      </c>
    </row>
    <row r="840" ht="15.75" customHeight="1">
      <c r="A840" s="7" t="s">
        <v>3249</v>
      </c>
      <c r="B840" s="12" t="s">
        <v>3250</v>
      </c>
      <c r="C840" s="14" t="s">
        <v>648</v>
      </c>
      <c r="D840" s="15" t="s">
        <v>176</v>
      </c>
      <c r="E840" s="16" t="s">
        <v>24</v>
      </c>
      <c r="F840" s="10" t="s">
        <v>91</v>
      </c>
      <c r="G840" s="10" t="b">
        <v>0</v>
      </c>
      <c r="H840" s="10" t="s">
        <v>3248</v>
      </c>
      <c r="I840" s="10">
        <v>1.0</v>
      </c>
      <c r="J840" s="10">
        <v>0.0</v>
      </c>
      <c r="K840" s="10">
        <v>2.0</v>
      </c>
    </row>
    <row r="841" ht="15.75" customHeight="1">
      <c r="A841" s="7" t="s">
        <v>3251</v>
      </c>
      <c r="B841" s="12" t="s">
        <v>3252</v>
      </c>
      <c r="C841" s="14" t="s">
        <v>1436</v>
      </c>
      <c r="D841" s="15" t="s">
        <v>404</v>
      </c>
      <c r="E841" s="16" t="s">
        <v>24</v>
      </c>
      <c r="F841" s="10" t="s">
        <v>405</v>
      </c>
      <c r="G841" s="10" t="b">
        <v>0</v>
      </c>
      <c r="H841" s="10" t="s">
        <v>3253</v>
      </c>
      <c r="I841" s="10">
        <v>1.0</v>
      </c>
      <c r="J841" s="10">
        <v>0.0</v>
      </c>
      <c r="K841" s="10">
        <v>0.0</v>
      </c>
    </row>
    <row r="842" ht="15.75" customHeight="1">
      <c r="A842" s="7" t="s">
        <v>3254</v>
      </c>
      <c r="B842" s="12" t="s">
        <v>3255</v>
      </c>
      <c r="C842" s="14" t="s">
        <v>1441</v>
      </c>
      <c r="D842" s="15" t="s">
        <v>196</v>
      </c>
      <c r="E842" s="16" t="s">
        <v>24</v>
      </c>
      <c r="F842" s="10" t="s">
        <v>198</v>
      </c>
      <c r="G842" s="10" t="b">
        <v>0</v>
      </c>
      <c r="H842" s="10" t="s">
        <v>1442</v>
      </c>
      <c r="I842" s="10">
        <v>1.0</v>
      </c>
      <c r="J842" s="10">
        <v>0.0</v>
      </c>
      <c r="K842" s="10">
        <v>0.0</v>
      </c>
    </row>
    <row r="843" ht="15.75" customHeight="1">
      <c r="A843" s="7" t="s">
        <v>3256</v>
      </c>
      <c r="B843" s="12" t="s">
        <v>3257</v>
      </c>
      <c r="C843" s="14" t="s">
        <v>1053</v>
      </c>
      <c r="D843" s="15" t="s">
        <v>34</v>
      </c>
      <c r="E843" s="16" t="s">
        <v>24</v>
      </c>
      <c r="F843" s="10" t="s">
        <v>35</v>
      </c>
      <c r="G843" s="10" t="b">
        <v>0</v>
      </c>
      <c r="H843" s="10" t="s">
        <v>2569</v>
      </c>
      <c r="I843" s="10">
        <v>1.0</v>
      </c>
      <c r="J843" s="10">
        <v>0.0</v>
      </c>
      <c r="K843" s="10">
        <v>1.0</v>
      </c>
    </row>
    <row r="844" ht="15.75" customHeight="1">
      <c r="A844" s="7" t="s">
        <v>3258</v>
      </c>
      <c r="B844" s="12" t="s">
        <v>3259</v>
      </c>
      <c r="C844" s="14" t="s">
        <v>1053</v>
      </c>
      <c r="D844" s="15" t="s">
        <v>34</v>
      </c>
      <c r="E844" s="16" t="s">
        <v>24</v>
      </c>
      <c r="F844" s="10" t="s">
        <v>35</v>
      </c>
      <c r="G844" s="10" t="b">
        <v>0</v>
      </c>
      <c r="H844" s="10" t="s">
        <v>2405</v>
      </c>
      <c r="I844" s="10">
        <v>1.0</v>
      </c>
      <c r="J844" s="10">
        <v>0.0</v>
      </c>
      <c r="K844" s="10">
        <v>1.0</v>
      </c>
    </row>
    <row r="845" ht="15.75" customHeight="1">
      <c r="A845" s="7" t="s">
        <v>3260</v>
      </c>
      <c r="B845" s="12" t="s">
        <v>3261</v>
      </c>
      <c r="C845" s="14" t="s">
        <v>1444</v>
      </c>
      <c r="D845" s="15" t="s">
        <v>34</v>
      </c>
      <c r="E845" s="16" t="s">
        <v>24</v>
      </c>
      <c r="F845" s="10" t="s">
        <v>35</v>
      </c>
      <c r="G845" s="10" t="b">
        <v>0</v>
      </c>
      <c r="I845" s="10">
        <v>1.0</v>
      </c>
      <c r="J845" s="10">
        <v>0.0</v>
      </c>
      <c r="K845" s="10">
        <v>2.0</v>
      </c>
    </row>
    <row r="846" ht="15.75" customHeight="1">
      <c r="A846" s="7" t="s">
        <v>3262</v>
      </c>
      <c r="B846" s="16"/>
      <c r="C846" s="14" t="s">
        <v>1446</v>
      </c>
      <c r="D846" s="15" t="s">
        <v>176</v>
      </c>
      <c r="E846" s="16" t="s">
        <v>24</v>
      </c>
      <c r="F846" s="10" t="s">
        <v>91</v>
      </c>
      <c r="H846" s="10" t="s">
        <v>948</v>
      </c>
      <c r="I846" s="10">
        <v>1.0</v>
      </c>
      <c r="J846" s="10">
        <v>0.0</v>
      </c>
      <c r="K846" s="10">
        <v>0.0</v>
      </c>
    </row>
    <row r="847" ht="15.75" customHeight="1">
      <c r="A847" s="7" t="s">
        <v>3263</v>
      </c>
      <c r="B847" s="12" t="s">
        <v>3264</v>
      </c>
      <c r="C847" s="14" t="s">
        <v>1449</v>
      </c>
      <c r="D847" s="15" t="s">
        <v>51</v>
      </c>
      <c r="E847" s="16" t="s">
        <v>107</v>
      </c>
      <c r="F847" s="10" t="s">
        <v>52</v>
      </c>
      <c r="G847" s="10" t="b">
        <v>0</v>
      </c>
      <c r="H847" s="10" t="s">
        <v>1450</v>
      </c>
      <c r="I847" s="10">
        <v>1.0</v>
      </c>
      <c r="J847" s="10">
        <v>0.0</v>
      </c>
      <c r="K847" s="10">
        <v>1.0</v>
      </c>
    </row>
    <row r="848" ht="15.75" customHeight="1">
      <c r="A848" s="7" t="s">
        <v>3265</v>
      </c>
      <c r="B848" s="12" t="s">
        <v>3266</v>
      </c>
      <c r="C848" s="14" t="s">
        <v>1452</v>
      </c>
      <c r="D848" s="15" t="s">
        <v>196</v>
      </c>
      <c r="E848" s="16" t="s">
        <v>24</v>
      </c>
      <c r="F848" s="10" t="s">
        <v>198</v>
      </c>
      <c r="G848" s="10" t="b">
        <v>0</v>
      </c>
      <c r="H848" s="10" t="s">
        <v>3267</v>
      </c>
      <c r="I848" s="10">
        <v>1.0</v>
      </c>
      <c r="J848" s="10">
        <v>0.0</v>
      </c>
      <c r="K848" s="10">
        <v>0.0</v>
      </c>
    </row>
    <row r="849" ht="15.75" customHeight="1">
      <c r="A849" s="7" t="s">
        <v>3268</v>
      </c>
      <c r="B849" s="12" t="s">
        <v>3269</v>
      </c>
      <c r="C849" s="14" t="s">
        <v>1461</v>
      </c>
      <c r="D849" s="15" t="s">
        <v>34</v>
      </c>
      <c r="E849" s="16" t="s">
        <v>176</v>
      </c>
      <c r="F849" s="10" t="s">
        <v>35</v>
      </c>
      <c r="G849" s="10" t="b">
        <v>0</v>
      </c>
      <c r="I849" s="10">
        <v>1.0</v>
      </c>
      <c r="J849" s="10">
        <v>0.0</v>
      </c>
      <c r="K849" s="10">
        <v>1.0</v>
      </c>
    </row>
    <row r="850" ht="15.75" customHeight="1">
      <c r="A850" s="7" t="s">
        <v>3270</v>
      </c>
      <c r="B850" s="12" t="s">
        <v>3271</v>
      </c>
      <c r="C850" s="14" t="s">
        <v>1465</v>
      </c>
      <c r="D850" s="15" t="s">
        <v>404</v>
      </c>
      <c r="E850" s="16" t="s">
        <v>24</v>
      </c>
      <c r="F850" s="10" t="s">
        <v>405</v>
      </c>
      <c r="G850" s="10" t="b">
        <v>0</v>
      </c>
      <c r="I850" s="10">
        <v>1.0</v>
      </c>
      <c r="J850" s="10">
        <v>0.0</v>
      </c>
      <c r="K850" s="10">
        <v>1.0</v>
      </c>
    </row>
    <row r="851" ht="15.75" customHeight="1">
      <c r="A851" s="7" t="s">
        <v>3272</v>
      </c>
      <c r="B851" s="12" t="s">
        <v>3273</v>
      </c>
      <c r="C851" s="14" t="s">
        <v>1467</v>
      </c>
      <c r="D851" s="15" t="s">
        <v>34</v>
      </c>
      <c r="E851" s="16" t="s">
        <v>24</v>
      </c>
      <c r="F851" s="10" t="s">
        <v>35</v>
      </c>
      <c r="G851" s="10" t="b">
        <v>0</v>
      </c>
      <c r="I851" s="10">
        <v>1.0</v>
      </c>
      <c r="J851" s="10">
        <v>0.0</v>
      </c>
      <c r="K851" s="10">
        <v>0.0</v>
      </c>
    </row>
    <row r="852" ht="15.75" customHeight="1">
      <c r="A852" s="7" t="s">
        <v>3274</v>
      </c>
      <c r="B852" s="12" t="s">
        <v>3275</v>
      </c>
      <c r="C852" s="14" t="s">
        <v>1472</v>
      </c>
      <c r="D852" s="15" t="s">
        <v>240</v>
      </c>
      <c r="E852" s="16" t="s">
        <v>107</v>
      </c>
      <c r="F852" s="10" t="s">
        <v>241</v>
      </c>
      <c r="G852" s="10" t="b">
        <v>0</v>
      </c>
      <c r="H852" s="10" t="s">
        <v>1045</v>
      </c>
      <c r="I852" s="10">
        <v>1.0</v>
      </c>
      <c r="J852" s="10">
        <v>0.0</v>
      </c>
      <c r="K852" s="10">
        <v>1.0</v>
      </c>
    </row>
    <row r="853" ht="15.75" customHeight="1">
      <c r="A853" s="7" t="s">
        <v>3276</v>
      </c>
      <c r="B853" s="12" t="s">
        <v>3277</v>
      </c>
      <c r="C853" s="14" t="s">
        <v>1475</v>
      </c>
      <c r="D853" s="15" t="s">
        <v>749</v>
      </c>
      <c r="E853" s="16" t="s">
        <v>24</v>
      </c>
      <c r="F853" s="10" t="s">
        <v>750</v>
      </c>
      <c r="G853" s="10" t="b">
        <v>0</v>
      </c>
      <c r="I853" s="10">
        <v>1.0</v>
      </c>
      <c r="J853" s="10">
        <v>0.0</v>
      </c>
      <c r="K853" s="10">
        <v>1.0</v>
      </c>
    </row>
    <row r="854" ht="15.75" customHeight="1">
      <c r="A854" s="7" t="s">
        <v>3278</v>
      </c>
      <c r="B854" s="12" t="s">
        <v>3279</v>
      </c>
      <c r="C854" s="14" t="s">
        <v>1477</v>
      </c>
      <c r="D854" s="15" t="s">
        <v>51</v>
      </c>
      <c r="E854" s="16" t="s">
        <v>24</v>
      </c>
      <c r="F854" s="10" t="s">
        <v>52</v>
      </c>
      <c r="G854" s="10" t="b">
        <v>0</v>
      </c>
      <c r="I854" s="10">
        <v>1.0</v>
      </c>
      <c r="J854" s="10">
        <v>0.0</v>
      </c>
      <c r="K854" s="10">
        <v>0.0</v>
      </c>
    </row>
    <row r="855" ht="15.75" customHeight="1">
      <c r="A855" s="7" t="s">
        <v>3280</v>
      </c>
      <c r="B855" s="12" t="s">
        <v>3281</v>
      </c>
      <c r="C855" s="14" t="s">
        <v>1479</v>
      </c>
      <c r="D855" s="15" t="s">
        <v>34</v>
      </c>
      <c r="E855" s="16" t="s">
        <v>24</v>
      </c>
      <c r="F855" s="10" t="s">
        <v>35</v>
      </c>
      <c r="G855" s="10" t="b">
        <v>0</v>
      </c>
      <c r="H855" s="10" t="s">
        <v>474</v>
      </c>
      <c r="I855" s="10">
        <v>1.0</v>
      </c>
      <c r="J855" s="10">
        <v>0.0</v>
      </c>
      <c r="K855" s="10">
        <v>1.0</v>
      </c>
    </row>
    <row r="856" ht="15.75" customHeight="1">
      <c r="A856" s="7" t="s">
        <v>3282</v>
      </c>
      <c r="B856" s="12" t="s">
        <v>3283</v>
      </c>
      <c r="C856" s="14" t="s">
        <v>283</v>
      </c>
      <c r="D856" s="15" t="s">
        <v>240</v>
      </c>
      <c r="E856" s="16" t="s">
        <v>24</v>
      </c>
      <c r="F856" s="10" t="s">
        <v>241</v>
      </c>
      <c r="G856" s="10" t="b">
        <v>0</v>
      </c>
      <c r="H856" s="10" t="s">
        <v>285</v>
      </c>
      <c r="I856" s="10">
        <v>1.0</v>
      </c>
      <c r="J856" s="10">
        <v>0.0</v>
      </c>
      <c r="K856" s="10">
        <v>1.0</v>
      </c>
    </row>
    <row r="857" ht="15.75" customHeight="1">
      <c r="A857" s="7" t="s">
        <v>3284</v>
      </c>
      <c r="B857" s="12" t="s">
        <v>3283</v>
      </c>
      <c r="C857" s="14" t="s">
        <v>283</v>
      </c>
      <c r="D857" s="15" t="s">
        <v>240</v>
      </c>
      <c r="E857" s="16" t="s">
        <v>24</v>
      </c>
      <c r="F857" s="10" t="s">
        <v>241</v>
      </c>
      <c r="G857" s="10" t="b">
        <v>0</v>
      </c>
      <c r="H857" s="10" t="s">
        <v>285</v>
      </c>
      <c r="I857" s="10">
        <v>1.0</v>
      </c>
      <c r="J857" s="10">
        <v>0.0</v>
      </c>
      <c r="K857" s="10">
        <v>0.0</v>
      </c>
    </row>
    <row r="858" ht="15.75" customHeight="1">
      <c r="A858" s="7" t="s">
        <v>3285</v>
      </c>
      <c r="B858" s="12" t="s">
        <v>2696</v>
      </c>
      <c r="C858" s="14" t="s">
        <v>283</v>
      </c>
      <c r="D858" s="15" t="s">
        <v>196</v>
      </c>
      <c r="E858" s="16" t="s">
        <v>24</v>
      </c>
      <c r="F858" s="10" t="s">
        <v>198</v>
      </c>
      <c r="G858" s="10" t="b">
        <v>0</v>
      </c>
      <c r="H858" s="10" t="s">
        <v>285</v>
      </c>
      <c r="I858" s="10">
        <v>1.0</v>
      </c>
      <c r="J858" s="10">
        <v>0.0</v>
      </c>
      <c r="K858" s="10">
        <v>2.0</v>
      </c>
    </row>
    <row r="859" ht="15.75" customHeight="1">
      <c r="A859" s="7" t="s">
        <v>3286</v>
      </c>
      <c r="B859" s="12" t="s">
        <v>2314</v>
      </c>
      <c r="C859" s="14" t="s">
        <v>283</v>
      </c>
      <c r="D859" s="15" t="s">
        <v>196</v>
      </c>
      <c r="E859" s="16" t="s">
        <v>24</v>
      </c>
      <c r="F859" s="10" t="s">
        <v>198</v>
      </c>
      <c r="G859" s="10" t="b">
        <v>0</v>
      </c>
      <c r="H859" s="10" t="s">
        <v>285</v>
      </c>
      <c r="I859" s="10">
        <v>1.0</v>
      </c>
      <c r="J859" s="10">
        <v>0.0</v>
      </c>
      <c r="K859" s="10">
        <v>2.0</v>
      </c>
    </row>
    <row r="860" ht="15.75" customHeight="1">
      <c r="A860" s="7" t="s">
        <v>3287</v>
      </c>
      <c r="B860" s="12" t="s">
        <v>1946</v>
      </c>
      <c r="C860" s="14" t="s">
        <v>283</v>
      </c>
      <c r="D860" s="15" t="s">
        <v>196</v>
      </c>
      <c r="E860" s="16" t="s">
        <v>24</v>
      </c>
      <c r="F860" s="10" t="s">
        <v>198</v>
      </c>
      <c r="G860" s="10" t="b">
        <v>0</v>
      </c>
      <c r="H860" s="10" t="s">
        <v>285</v>
      </c>
      <c r="I860" s="10">
        <v>1.0</v>
      </c>
      <c r="J860" s="10">
        <v>0.0</v>
      </c>
      <c r="K860" s="10">
        <v>1.0</v>
      </c>
    </row>
    <row r="861" ht="15.75" customHeight="1">
      <c r="A861" s="7" t="s">
        <v>3288</v>
      </c>
      <c r="B861" s="12" t="s">
        <v>3289</v>
      </c>
      <c r="C861" s="14" t="s">
        <v>283</v>
      </c>
      <c r="D861" s="15" t="s">
        <v>196</v>
      </c>
      <c r="E861" s="16" t="s">
        <v>24</v>
      </c>
      <c r="F861" s="10" t="s">
        <v>198</v>
      </c>
      <c r="G861" s="10" t="b">
        <v>0</v>
      </c>
      <c r="H861" s="10" t="s">
        <v>285</v>
      </c>
      <c r="I861" s="10">
        <v>1.0</v>
      </c>
      <c r="J861" s="10">
        <v>0.0</v>
      </c>
      <c r="K861" s="10">
        <v>0.0</v>
      </c>
    </row>
    <row r="862" ht="15.75" customHeight="1">
      <c r="A862" s="7" t="s">
        <v>3290</v>
      </c>
      <c r="B862" s="12" t="s">
        <v>3291</v>
      </c>
      <c r="C862" s="14" t="s">
        <v>283</v>
      </c>
      <c r="D862" s="15" t="s">
        <v>749</v>
      </c>
      <c r="E862" s="16" t="s">
        <v>24</v>
      </c>
      <c r="F862" s="10" t="s">
        <v>750</v>
      </c>
      <c r="G862" s="10" t="b">
        <v>0</v>
      </c>
      <c r="H862" s="10" t="s">
        <v>285</v>
      </c>
      <c r="I862" s="10">
        <v>1.0</v>
      </c>
      <c r="J862" s="10">
        <v>0.0</v>
      </c>
      <c r="K862" s="10">
        <v>1.0</v>
      </c>
    </row>
    <row r="863" ht="15.75" customHeight="1">
      <c r="A863" s="7" t="s">
        <v>3292</v>
      </c>
      <c r="B863" s="12" t="s">
        <v>3293</v>
      </c>
      <c r="C863" s="14" t="s">
        <v>467</v>
      </c>
      <c r="D863" s="15" t="s">
        <v>749</v>
      </c>
      <c r="E863" s="16" t="s">
        <v>43</v>
      </c>
      <c r="F863" s="10" t="s">
        <v>750</v>
      </c>
      <c r="G863" s="10" t="b">
        <v>0</v>
      </c>
      <c r="I863" s="10">
        <v>1.0</v>
      </c>
      <c r="J863" s="10">
        <v>0.0</v>
      </c>
      <c r="K863" s="10">
        <v>2.0</v>
      </c>
    </row>
    <row r="864" ht="15.75" customHeight="1">
      <c r="A864" s="7" t="s">
        <v>3294</v>
      </c>
      <c r="B864" s="12" t="s">
        <v>3295</v>
      </c>
      <c r="C864" s="14" t="s">
        <v>467</v>
      </c>
      <c r="D864" s="15" t="s">
        <v>749</v>
      </c>
      <c r="E864" s="16" t="s">
        <v>43</v>
      </c>
      <c r="F864" s="10" t="s">
        <v>750</v>
      </c>
      <c r="G864" s="10" t="b">
        <v>0</v>
      </c>
      <c r="I864" s="10">
        <v>1.0</v>
      </c>
      <c r="J864" s="10">
        <v>0.0</v>
      </c>
      <c r="K864" s="10">
        <v>2.0</v>
      </c>
    </row>
    <row r="865" ht="15.75" customHeight="1">
      <c r="A865" s="7" t="s">
        <v>3296</v>
      </c>
      <c r="B865" s="12" t="s">
        <v>3297</v>
      </c>
      <c r="C865" s="14" t="s">
        <v>467</v>
      </c>
      <c r="D865" s="15" t="s">
        <v>749</v>
      </c>
      <c r="E865" s="16" t="s">
        <v>43</v>
      </c>
      <c r="F865" s="10" t="s">
        <v>750</v>
      </c>
      <c r="G865" s="10" t="b">
        <v>0</v>
      </c>
      <c r="I865" s="10">
        <v>1.0</v>
      </c>
      <c r="J865" s="10">
        <v>0.0</v>
      </c>
      <c r="K865" s="10">
        <v>2.0</v>
      </c>
    </row>
    <row r="866" ht="15.75" customHeight="1">
      <c r="A866" s="7" t="s">
        <v>3298</v>
      </c>
      <c r="B866" s="12" t="s">
        <v>3299</v>
      </c>
      <c r="C866" s="14" t="s">
        <v>1480</v>
      </c>
      <c r="D866" s="15" t="s">
        <v>51</v>
      </c>
      <c r="E866" s="16" t="s">
        <v>24</v>
      </c>
      <c r="F866" s="10" t="s">
        <v>52</v>
      </c>
      <c r="G866" s="10" t="b">
        <v>0</v>
      </c>
      <c r="H866" s="10" t="s">
        <v>901</v>
      </c>
      <c r="I866" s="10">
        <v>1.0</v>
      </c>
      <c r="J866" s="10">
        <v>0.0</v>
      </c>
      <c r="K866" s="10">
        <v>1.0</v>
      </c>
    </row>
    <row r="867" ht="15.75" customHeight="1">
      <c r="A867" s="7" t="s">
        <v>3300</v>
      </c>
      <c r="B867" s="12" t="s">
        <v>3301</v>
      </c>
      <c r="C867" s="14" t="s">
        <v>1483</v>
      </c>
      <c r="D867" s="15" t="s">
        <v>404</v>
      </c>
      <c r="E867" s="16" t="s">
        <v>24</v>
      </c>
      <c r="F867" s="10" t="s">
        <v>405</v>
      </c>
      <c r="G867" s="10" t="b">
        <v>0</v>
      </c>
      <c r="I867" s="10">
        <v>1.0</v>
      </c>
      <c r="J867" s="10">
        <v>0.0</v>
      </c>
      <c r="K867" s="10">
        <v>0.0</v>
      </c>
    </row>
    <row r="868" ht="15.75" customHeight="1">
      <c r="A868" s="7" t="s">
        <v>3302</v>
      </c>
      <c r="B868" s="12" t="s">
        <v>3303</v>
      </c>
      <c r="C868" s="14" t="s">
        <v>1485</v>
      </c>
      <c r="D868" s="15" t="s">
        <v>240</v>
      </c>
      <c r="E868" s="16" t="s">
        <v>24</v>
      </c>
      <c r="F868" s="10" t="s">
        <v>241</v>
      </c>
      <c r="G868" s="10" t="b">
        <v>0</v>
      </c>
      <c r="I868" s="10">
        <v>1.0</v>
      </c>
      <c r="J868" s="10">
        <v>0.0</v>
      </c>
      <c r="K868" s="10">
        <v>2.0</v>
      </c>
    </row>
    <row r="869" ht="15.75" customHeight="1">
      <c r="A869" s="7" t="s">
        <v>3304</v>
      </c>
      <c r="B869" s="12" t="s">
        <v>3305</v>
      </c>
      <c r="C869" s="14" t="s">
        <v>1488</v>
      </c>
      <c r="D869" s="15" t="s">
        <v>240</v>
      </c>
      <c r="E869" s="16" t="s">
        <v>24</v>
      </c>
      <c r="F869" s="10" t="s">
        <v>241</v>
      </c>
      <c r="G869" s="10" t="b">
        <v>0</v>
      </c>
      <c r="I869" s="10">
        <v>1.0</v>
      </c>
      <c r="J869" s="10">
        <v>0.0</v>
      </c>
      <c r="K869" s="10">
        <v>0.0</v>
      </c>
    </row>
    <row r="870" ht="15.75" customHeight="1">
      <c r="A870" s="7" t="s">
        <v>3306</v>
      </c>
      <c r="B870" s="12" t="s">
        <v>3307</v>
      </c>
      <c r="C870" s="14" t="s">
        <v>1491</v>
      </c>
      <c r="D870" s="15" t="s">
        <v>404</v>
      </c>
      <c r="E870" s="16" t="s">
        <v>24</v>
      </c>
      <c r="F870" s="10" t="s">
        <v>405</v>
      </c>
      <c r="G870" s="10" t="b">
        <v>0</v>
      </c>
      <c r="I870" s="10">
        <v>1.0</v>
      </c>
      <c r="J870" s="10">
        <v>0.0</v>
      </c>
      <c r="K870" s="10">
        <v>0.0</v>
      </c>
    </row>
    <row r="871" ht="15.75" customHeight="1">
      <c r="A871" s="7" t="s">
        <v>3308</v>
      </c>
      <c r="B871" s="12" t="s">
        <v>3309</v>
      </c>
      <c r="C871" s="14" t="s">
        <v>175</v>
      </c>
      <c r="D871" s="15" t="s">
        <v>34</v>
      </c>
      <c r="E871" s="16" t="s">
        <v>176</v>
      </c>
      <c r="F871" s="10" t="s">
        <v>35</v>
      </c>
      <c r="G871" s="10" t="b">
        <v>0</v>
      </c>
      <c r="H871" s="10" t="s">
        <v>158</v>
      </c>
      <c r="I871" s="10">
        <v>1.0</v>
      </c>
      <c r="J871" s="10">
        <v>0.0</v>
      </c>
      <c r="K871" s="10">
        <v>1.0</v>
      </c>
    </row>
    <row r="872" ht="15.75" customHeight="1">
      <c r="A872" s="7" t="s">
        <v>3310</v>
      </c>
      <c r="B872" s="12" t="s">
        <v>590</v>
      </c>
      <c r="C872" s="14" t="s">
        <v>175</v>
      </c>
      <c r="D872" s="15" t="s">
        <v>34</v>
      </c>
      <c r="E872" s="16" t="s">
        <v>176</v>
      </c>
      <c r="F872" s="10" t="s">
        <v>35</v>
      </c>
      <c r="G872" s="10" t="b">
        <v>0</v>
      </c>
      <c r="H872" s="10" t="s">
        <v>158</v>
      </c>
      <c r="I872" s="10">
        <v>1.0</v>
      </c>
      <c r="J872" s="10">
        <v>0.0</v>
      </c>
      <c r="K872" s="10">
        <v>4.0</v>
      </c>
    </row>
    <row r="873" ht="15.75" customHeight="1">
      <c r="A873" s="7" t="s">
        <v>3311</v>
      </c>
      <c r="B873" s="12" t="s">
        <v>3312</v>
      </c>
      <c r="C873" s="14" t="s">
        <v>1494</v>
      </c>
      <c r="D873" s="15" t="s">
        <v>51</v>
      </c>
      <c r="E873" s="16" t="s">
        <v>176</v>
      </c>
      <c r="F873" s="10" t="s">
        <v>52</v>
      </c>
      <c r="G873" s="10" t="b">
        <v>0</v>
      </c>
      <c r="I873" s="10">
        <v>1.0</v>
      </c>
      <c r="J873" s="10">
        <v>0.0</v>
      </c>
      <c r="K873" s="10">
        <v>0.0</v>
      </c>
    </row>
    <row r="874" ht="15.75" customHeight="1">
      <c r="A874" s="7" t="s">
        <v>3313</v>
      </c>
      <c r="B874" s="12" t="s">
        <v>3314</v>
      </c>
      <c r="C874" s="14" t="s">
        <v>952</v>
      </c>
      <c r="D874" s="15" t="s">
        <v>749</v>
      </c>
      <c r="E874" s="16" t="s">
        <v>99</v>
      </c>
      <c r="F874" s="10" t="s">
        <v>750</v>
      </c>
      <c r="G874" s="10" t="b">
        <v>0</v>
      </c>
      <c r="I874" s="10">
        <v>1.0</v>
      </c>
      <c r="J874" s="10">
        <v>0.0</v>
      </c>
      <c r="K874" s="10">
        <v>2.0</v>
      </c>
    </row>
    <row r="875" ht="15.75" customHeight="1">
      <c r="A875" s="7" t="s">
        <v>3315</v>
      </c>
      <c r="B875" s="12" t="s">
        <v>3316</v>
      </c>
      <c r="C875" s="14" t="s">
        <v>1497</v>
      </c>
      <c r="D875" s="15" t="s">
        <v>404</v>
      </c>
      <c r="E875" s="16" t="s">
        <v>24</v>
      </c>
      <c r="F875" s="10" t="s">
        <v>405</v>
      </c>
      <c r="G875" s="10" t="b">
        <v>0</v>
      </c>
      <c r="I875" s="10">
        <v>1.0</v>
      </c>
      <c r="J875" s="10">
        <v>0.0</v>
      </c>
      <c r="K875" s="10">
        <v>1.0</v>
      </c>
    </row>
    <row r="876" ht="15.75" customHeight="1">
      <c r="A876" s="7" t="s">
        <v>3317</v>
      </c>
      <c r="B876" s="12" t="s">
        <v>3318</v>
      </c>
      <c r="C876" s="14" t="s">
        <v>1498</v>
      </c>
      <c r="D876" s="15" t="s">
        <v>240</v>
      </c>
      <c r="E876" s="16" t="s">
        <v>24</v>
      </c>
      <c r="F876" s="10" t="s">
        <v>241</v>
      </c>
      <c r="G876" s="10" t="b">
        <v>0</v>
      </c>
      <c r="I876" s="10">
        <v>1.0</v>
      </c>
      <c r="J876" s="10">
        <v>0.0</v>
      </c>
      <c r="K876" s="10">
        <v>2.0</v>
      </c>
    </row>
    <row r="877" ht="15.75" customHeight="1">
      <c r="A877" s="7" t="s">
        <v>3319</v>
      </c>
      <c r="B877" s="12" t="s">
        <v>3320</v>
      </c>
      <c r="C877" s="14" t="s">
        <v>1353</v>
      </c>
      <c r="D877" s="15" t="s">
        <v>51</v>
      </c>
      <c r="E877" s="16" t="s">
        <v>24</v>
      </c>
      <c r="F877" s="10" t="s">
        <v>52</v>
      </c>
      <c r="G877" s="10" t="b">
        <v>0</v>
      </c>
      <c r="H877" s="10" t="s">
        <v>1355</v>
      </c>
      <c r="I877" s="10">
        <v>1.0</v>
      </c>
      <c r="J877" s="10">
        <v>0.0</v>
      </c>
      <c r="K877" s="10">
        <v>0.0</v>
      </c>
    </row>
    <row r="878" ht="15.75" customHeight="1">
      <c r="A878" s="7" t="s">
        <v>3321</v>
      </c>
      <c r="B878" s="12" t="s">
        <v>3322</v>
      </c>
      <c r="C878" s="14" t="s">
        <v>1353</v>
      </c>
      <c r="D878" s="15" t="s">
        <v>22</v>
      </c>
      <c r="E878" s="16" t="s">
        <v>24</v>
      </c>
      <c r="F878" s="10" t="s">
        <v>25</v>
      </c>
      <c r="G878" s="10" t="b">
        <v>0</v>
      </c>
      <c r="H878" s="10" t="s">
        <v>1587</v>
      </c>
      <c r="I878" s="10">
        <v>1.0</v>
      </c>
      <c r="J878" s="10">
        <v>0.0</v>
      </c>
      <c r="K878" s="10">
        <v>2.0</v>
      </c>
    </row>
    <row r="879" ht="15.75" customHeight="1">
      <c r="A879" s="7" t="s">
        <v>3323</v>
      </c>
      <c r="B879" s="12" t="s">
        <v>3324</v>
      </c>
      <c r="C879" s="14" t="s">
        <v>602</v>
      </c>
      <c r="D879" s="15" t="s">
        <v>240</v>
      </c>
      <c r="E879" s="16" t="s">
        <v>24</v>
      </c>
      <c r="F879" s="10" t="s">
        <v>241</v>
      </c>
      <c r="G879" s="10" t="b">
        <v>0</v>
      </c>
      <c r="H879" s="10" t="s">
        <v>604</v>
      </c>
      <c r="I879" s="10">
        <v>1.0</v>
      </c>
      <c r="J879" s="10">
        <v>0.0</v>
      </c>
      <c r="K879" s="10">
        <v>1.0</v>
      </c>
    </row>
    <row r="880" ht="15.75" customHeight="1">
      <c r="A880" s="7" t="s">
        <v>3325</v>
      </c>
      <c r="B880" s="12" t="s">
        <v>3326</v>
      </c>
      <c r="C880" s="14" t="s">
        <v>720</v>
      </c>
      <c r="D880" s="15" t="s">
        <v>34</v>
      </c>
      <c r="E880" s="16" t="s">
        <v>24</v>
      </c>
      <c r="F880" s="10" t="s">
        <v>35</v>
      </c>
      <c r="G880" s="10" t="b">
        <v>0</v>
      </c>
      <c r="H880" s="10" t="s">
        <v>3327</v>
      </c>
      <c r="I880" s="10">
        <v>1.0</v>
      </c>
      <c r="J880" s="10">
        <v>0.0</v>
      </c>
      <c r="K880" s="10">
        <v>0.0</v>
      </c>
    </row>
    <row r="881" ht="15.75" customHeight="1">
      <c r="A881" s="7" t="s">
        <v>3328</v>
      </c>
      <c r="B881" s="12" t="s">
        <v>3329</v>
      </c>
      <c r="C881" s="14" t="s">
        <v>720</v>
      </c>
      <c r="D881" s="15" t="s">
        <v>34</v>
      </c>
      <c r="E881" s="16" t="s">
        <v>24</v>
      </c>
      <c r="F881" s="10" t="s">
        <v>35</v>
      </c>
      <c r="G881" s="10" t="b">
        <v>0</v>
      </c>
      <c r="H881" s="10" t="s">
        <v>3330</v>
      </c>
      <c r="I881" s="10">
        <v>1.0</v>
      </c>
      <c r="J881" s="10">
        <v>0.0</v>
      </c>
      <c r="K881" s="10">
        <v>0.0</v>
      </c>
    </row>
    <row r="882" ht="15.75" customHeight="1">
      <c r="A882" s="7" t="s">
        <v>3331</v>
      </c>
      <c r="B882" s="12" t="s">
        <v>3332</v>
      </c>
      <c r="C882" s="14" t="s">
        <v>1501</v>
      </c>
      <c r="D882" s="15" t="s">
        <v>749</v>
      </c>
      <c r="E882" s="16" t="s">
        <v>1000</v>
      </c>
      <c r="F882" s="10" t="s">
        <v>750</v>
      </c>
      <c r="G882" s="10" t="b">
        <v>0</v>
      </c>
      <c r="H882" s="10" t="s">
        <v>3333</v>
      </c>
      <c r="I882" s="10">
        <v>1.0</v>
      </c>
      <c r="J882" s="10">
        <v>0.0</v>
      </c>
      <c r="K882" s="10">
        <v>2.0</v>
      </c>
    </row>
    <row r="883" ht="15.75" customHeight="1">
      <c r="A883" s="7" t="s">
        <v>3334</v>
      </c>
      <c r="B883" s="16"/>
      <c r="C883" s="14" t="s">
        <v>1506</v>
      </c>
      <c r="D883" s="15" t="s">
        <v>176</v>
      </c>
      <c r="E883" s="16" t="s">
        <v>99</v>
      </c>
      <c r="F883" s="10" t="s">
        <v>91</v>
      </c>
      <c r="G883" s="10" t="b">
        <v>0</v>
      </c>
      <c r="H883" s="10" t="s">
        <v>1507</v>
      </c>
      <c r="I883" s="10">
        <v>1.0</v>
      </c>
      <c r="J883" s="10">
        <v>0.0</v>
      </c>
      <c r="K883" s="10">
        <v>2.0</v>
      </c>
    </row>
    <row r="884" ht="15.75" customHeight="1">
      <c r="A884" s="7" t="s">
        <v>3335</v>
      </c>
      <c r="B884" s="16"/>
      <c r="C884" s="14" t="s">
        <v>1508</v>
      </c>
      <c r="D884" s="15" t="s">
        <v>240</v>
      </c>
      <c r="E884" s="16" t="s">
        <v>24</v>
      </c>
      <c r="F884" s="10" t="s">
        <v>241</v>
      </c>
      <c r="H884" s="10" t="s">
        <v>948</v>
      </c>
      <c r="I884" s="10">
        <v>1.0</v>
      </c>
      <c r="J884" s="10">
        <v>0.0</v>
      </c>
      <c r="K884" s="10">
        <v>0.0</v>
      </c>
    </row>
    <row r="885" ht="15.75" customHeight="1">
      <c r="A885" s="7" t="s">
        <v>3336</v>
      </c>
      <c r="B885" s="16"/>
      <c r="C885" s="14" t="s">
        <v>1511</v>
      </c>
      <c r="D885" s="15" t="s">
        <v>176</v>
      </c>
      <c r="E885" s="16" t="s">
        <v>99</v>
      </c>
      <c r="F885" s="10" t="s">
        <v>91</v>
      </c>
      <c r="H885" s="10" t="s">
        <v>948</v>
      </c>
      <c r="I885" s="10">
        <v>1.0</v>
      </c>
      <c r="J885" s="10">
        <v>0.0</v>
      </c>
      <c r="K885" s="10">
        <v>2.0</v>
      </c>
    </row>
    <row r="886" ht="15.75" customHeight="1">
      <c r="A886" s="7" t="s">
        <v>3337</v>
      </c>
      <c r="B886" s="16"/>
      <c r="C886" s="14" t="s">
        <v>1514</v>
      </c>
      <c r="D886" s="15" t="s">
        <v>176</v>
      </c>
      <c r="E886" s="16" t="s">
        <v>99</v>
      </c>
      <c r="F886" s="10" t="s">
        <v>91</v>
      </c>
      <c r="H886" s="10" t="s">
        <v>948</v>
      </c>
      <c r="I886" s="10">
        <v>1.0</v>
      </c>
      <c r="J886" s="10">
        <v>0.0</v>
      </c>
      <c r="K886" s="10">
        <v>1.0</v>
      </c>
    </row>
    <row r="887" ht="15.75" customHeight="1">
      <c r="A887" s="7" t="s">
        <v>3338</v>
      </c>
      <c r="B887" s="12" t="s">
        <v>3339</v>
      </c>
      <c r="C887" s="14" t="s">
        <v>1518</v>
      </c>
      <c r="D887" s="15" t="s">
        <v>196</v>
      </c>
      <c r="E887" s="16" t="s">
        <v>24</v>
      </c>
      <c r="F887" s="10" t="s">
        <v>198</v>
      </c>
      <c r="G887" s="10" t="b">
        <v>0</v>
      </c>
      <c r="H887" s="10" t="s">
        <v>157</v>
      </c>
      <c r="I887" s="10">
        <v>1.0</v>
      </c>
      <c r="J887" s="10">
        <v>0.0</v>
      </c>
      <c r="K887" s="10">
        <v>1.0</v>
      </c>
    </row>
    <row r="888" ht="15.75" customHeight="1">
      <c r="A888" s="7" t="s">
        <v>3340</v>
      </c>
      <c r="B888" s="12" t="s">
        <v>3341</v>
      </c>
      <c r="C888" s="14" t="s">
        <v>1520</v>
      </c>
      <c r="D888" s="15" t="s">
        <v>176</v>
      </c>
      <c r="E888" s="16" t="s">
        <v>24</v>
      </c>
      <c r="F888" s="10" t="s">
        <v>91</v>
      </c>
      <c r="G888" s="10" t="b">
        <v>0</v>
      </c>
      <c r="I888" s="10">
        <v>1.0</v>
      </c>
      <c r="J888" s="10">
        <v>0.0</v>
      </c>
      <c r="K888" s="10">
        <v>1.0</v>
      </c>
    </row>
    <row r="889" ht="15.75" customHeight="1">
      <c r="A889" s="7" t="s">
        <v>3342</v>
      </c>
      <c r="B889" s="12" t="s">
        <v>3343</v>
      </c>
      <c r="C889" s="14" t="s">
        <v>1522</v>
      </c>
      <c r="D889" s="15" t="s">
        <v>34</v>
      </c>
      <c r="E889" s="16" t="s">
        <v>176</v>
      </c>
      <c r="F889" s="10" t="s">
        <v>35</v>
      </c>
      <c r="G889" s="10" t="b">
        <v>0</v>
      </c>
      <c r="H889" s="10" t="s">
        <v>3344</v>
      </c>
      <c r="I889" s="10">
        <v>1.0</v>
      </c>
      <c r="J889" s="10">
        <v>0.0</v>
      </c>
      <c r="K889" s="10">
        <v>0.0</v>
      </c>
    </row>
    <row r="890" ht="15.75" customHeight="1">
      <c r="A890" s="7" t="s">
        <v>3345</v>
      </c>
      <c r="B890" s="12" t="s">
        <v>3346</v>
      </c>
      <c r="C890" s="14" t="s">
        <v>1526</v>
      </c>
      <c r="D890" s="15" t="s">
        <v>749</v>
      </c>
      <c r="E890" s="16" t="s">
        <v>24</v>
      </c>
      <c r="F890" s="10" t="s">
        <v>750</v>
      </c>
      <c r="G890" s="10" t="b">
        <v>0</v>
      </c>
      <c r="I890" s="10">
        <v>1.0</v>
      </c>
      <c r="J890" s="10">
        <v>0.0</v>
      </c>
      <c r="K890" s="10">
        <v>1.0</v>
      </c>
    </row>
    <row r="891" ht="15.75" customHeight="1">
      <c r="A891" s="7" t="s">
        <v>3347</v>
      </c>
      <c r="B891" s="12" t="s">
        <v>3348</v>
      </c>
      <c r="C891" s="14" t="s">
        <v>1529</v>
      </c>
      <c r="D891" s="15" t="s">
        <v>34</v>
      </c>
      <c r="E891" s="16" t="s">
        <v>24</v>
      </c>
      <c r="F891" s="10" t="s">
        <v>35</v>
      </c>
      <c r="G891" s="10" t="b">
        <v>0</v>
      </c>
      <c r="I891" s="10">
        <v>1.0</v>
      </c>
      <c r="J891" s="10">
        <v>0.0</v>
      </c>
      <c r="K891" s="10">
        <v>0.0</v>
      </c>
    </row>
    <row r="892" ht="15.75" customHeight="1">
      <c r="A892" s="7" t="s">
        <v>3349</v>
      </c>
      <c r="B892" s="12" t="s">
        <v>3350</v>
      </c>
      <c r="C892" s="14" t="s">
        <v>1531</v>
      </c>
      <c r="D892" s="15" t="s">
        <v>404</v>
      </c>
      <c r="E892" s="16" t="s">
        <v>24</v>
      </c>
      <c r="F892" s="10" t="s">
        <v>405</v>
      </c>
      <c r="G892" s="10" t="b">
        <v>0</v>
      </c>
      <c r="I892" s="10">
        <v>1.0</v>
      </c>
      <c r="J892" s="10">
        <v>0.0</v>
      </c>
      <c r="K892" s="10">
        <v>1.0</v>
      </c>
    </row>
    <row r="893" ht="15.75" customHeight="1">
      <c r="A893" s="7" t="s">
        <v>3351</v>
      </c>
      <c r="B893" s="12" t="s">
        <v>3352</v>
      </c>
      <c r="C893" s="14" t="s">
        <v>1534</v>
      </c>
      <c r="D893" s="15" t="s">
        <v>240</v>
      </c>
      <c r="E893" s="16" t="s">
        <v>24</v>
      </c>
      <c r="F893" s="10" t="s">
        <v>241</v>
      </c>
      <c r="G893" s="10" t="b">
        <v>0</v>
      </c>
      <c r="I893" s="10">
        <v>1.0</v>
      </c>
      <c r="J893" s="10">
        <v>0.0</v>
      </c>
      <c r="K893" s="10">
        <v>0.0</v>
      </c>
    </row>
    <row r="894" ht="15.75" customHeight="1">
      <c r="A894" s="7" t="s">
        <v>3353</v>
      </c>
      <c r="B894" s="12" t="s">
        <v>3354</v>
      </c>
      <c r="C894" s="14" t="s">
        <v>1535</v>
      </c>
      <c r="D894" s="15" t="s">
        <v>176</v>
      </c>
      <c r="E894" s="16" t="s">
        <v>24</v>
      </c>
      <c r="F894" s="10" t="s">
        <v>91</v>
      </c>
      <c r="G894" s="10" t="b">
        <v>0</v>
      </c>
      <c r="I894" s="10">
        <v>1.0</v>
      </c>
      <c r="J894" s="10">
        <v>0.0</v>
      </c>
      <c r="K894" s="10">
        <v>1.0</v>
      </c>
    </row>
    <row r="895" ht="15.75" customHeight="1">
      <c r="A895" s="7" t="s">
        <v>3355</v>
      </c>
      <c r="B895" s="12" t="s">
        <v>3356</v>
      </c>
      <c r="C895" s="14" t="s">
        <v>1537</v>
      </c>
      <c r="D895" s="15" t="s">
        <v>240</v>
      </c>
      <c r="E895" s="16" t="s">
        <v>107</v>
      </c>
      <c r="F895" s="10" t="s">
        <v>241</v>
      </c>
      <c r="G895" s="10" t="b">
        <v>0</v>
      </c>
      <c r="H895" s="10" t="s">
        <v>1540</v>
      </c>
      <c r="I895" s="10">
        <v>1.0</v>
      </c>
      <c r="J895" s="10">
        <v>0.0</v>
      </c>
      <c r="K895" s="10">
        <v>1.0</v>
      </c>
    </row>
    <row r="896" ht="15.75" customHeight="1">
      <c r="A896" s="7" t="s">
        <v>3357</v>
      </c>
      <c r="B896" s="12" t="s">
        <v>3358</v>
      </c>
      <c r="C896" s="14" t="s">
        <v>1542</v>
      </c>
      <c r="D896" s="15" t="s">
        <v>34</v>
      </c>
      <c r="E896" s="16" t="s">
        <v>24</v>
      </c>
      <c r="F896" s="10" t="s">
        <v>35</v>
      </c>
      <c r="G896" s="10" t="b">
        <v>0</v>
      </c>
      <c r="I896" s="10">
        <v>1.0</v>
      </c>
      <c r="J896" s="10">
        <v>0.0</v>
      </c>
      <c r="K896" s="10">
        <v>1.0</v>
      </c>
    </row>
    <row r="897" ht="15.75" customHeight="1">
      <c r="A897" s="7" t="s">
        <v>3359</v>
      </c>
      <c r="B897" s="12" t="s">
        <v>3360</v>
      </c>
      <c r="C897" s="14" t="s">
        <v>1545</v>
      </c>
      <c r="D897" s="15" t="s">
        <v>34</v>
      </c>
      <c r="E897" s="16" t="s">
        <v>24</v>
      </c>
      <c r="F897" s="10" t="s">
        <v>35</v>
      </c>
      <c r="G897" s="10" t="b">
        <v>0</v>
      </c>
      <c r="H897" s="10" t="s">
        <v>3361</v>
      </c>
      <c r="I897" s="10">
        <v>1.0</v>
      </c>
      <c r="J897" s="10">
        <v>0.0</v>
      </c>
      <c r="K897" s="10">
        <v>0.0</v>
      </c>
    </row>
    <row r="898" ht="15.75" customHeight="1">
      <c r="A898" s="7" t="s">
        <v>3362</v>
      </c>
      <c r="B898" s="12" t="s">
        <v>3363</v>
      </c>
      <c r="C898" s="14" t="s">
        <v>312</v>
      </c>
      <c r="D898" s="15" t="s">
        <v>749</v>
      </c>
      <c r="E898" s="16" t="s">
        <v>107</v>
      </c>
      <c r="F898" s="10" t="s">
        <v>750</v>
      </c>
      <c r="G898" s="10" t="b">
        <v>0</v>
      </c>
      <c r="H898" s="10" t="s">
        <v>3364</v>
      </c>
      <c r="I898" s="10">
        <v>1.0</v>
      </c>
      <c r="J898" s="10">
        <v>0.0</v>
      </c>
      <c r="K898" s="10">
        <v>0.0</v>
      </c>
    </row>
    <row r="899" ht="15.75" customHeight="1">
      <c r="A899" s="7" t="s">
        <v>3365</v>
      </c>
      <c r="B899" s="12" t="s">
        <v>3366</v>
      </c>
      <c r="C899" s="14" t="s">
        <v>1549</v>
      </c>
      <c r="D899" s="15" t="s">
        <v>196</v>
      </c>
      <c r="E899" s="16" t="s">
        <v>24</v>
      </c>
      <c r="F899" s="10" t="s">
        <v>198</v>
      </c>
      <c r="G899" s="10" t="b">
        <v>0</v>
      </c>
      <c r="I899" s="10">
        <v>1.0</v>
      </c>
      <c r="J899" s="10">
        <v>0.0</v>
      </c>
      <c r="K899" s="10">
        <v>0.0</v>
      </c>
    </row>
    <row r="900" ht="15.75" customHeight="1">
      <c r="A900" s="7" t="s">
        <v>3367</v>
      </c>
      <c r="B900" s="16"/>
      <c r="C900" s="14" t="s">
        <v>138</v>
      </c>
      <c r="D900" s="15" t="s">
        <v>176</v>
      </c>
      <c r="E900" s="16" t="s">
        <v>176</v>
      </c>
      <c r="F900" s="10" t="s">
        <v>91</v>
      </c>
      <c r="H900" s="10" t="s">
        <v>948</v>
      </c>
      <c r="I900" s="10">
        <v>1.0</v>
      </c>
      <c r="J900" s="10">
        <v>0.0</v>
      </c>
      <c r="K900" s="10">
        <v>1.0</v>
      </c>
    </row>
    <row r="901" ht="15.75" customHeight="1">
      <c r="A901" s="7" t="s">
        <v>3368</v>
      </c>
      <c r="B901" s="12" t="s">
        <v>3369</v>
      </c>
      <c r="C901" s="14" t="s">
        <v>138</v>
      </c>
      <c r="D901" s="15" t="s">
        <v>196</v>
      </c>
      <c r="E901" s="16" t="s">
        <v>176</v>
      </c>
      <c r="F901" s="10" t="s">
        <v>198</v>
      </c>
      <c r="G901" s="10" t="b">
        <v>0</v>
      </c>
      <c r="H901" s="10" t="s">
        <v>3370</v>
      </c>
      <c r="I901" s="10">
        <v>1.0</v>
      </c>
      <c r="J901" s="10">
        <v>0.0</v>
      </c>
      <c r="K901" s="10">
        <v>0.0</v>
      </c>
    </row>
    <row r="902" ht="15.75" customHeight="1">
      <c r="A902" s="7" t="s">
        <v>3371</v>
      </c>
      <c r="B902" s="12" t="s">
        <v>3372</v>
      </c>
      <c r="C902" s="14" t="s">
        <v>505</v>
      </c>
      <c r="D902" s="15" t="s">
        <v>749</v>
      </c>
      <c r="E902" s="16" t="s">
        <v>99</v>
      </c>
      <c r="F902" s="10" t="s">
        <v>750</v>
      </c>
      <c r="G902" s="10" t="b">
        <v>0</v>
      </c>
      <c r="H902" s="10" t="s">
        <v>3373</v>
      </c>
      <c r="I902" s="10">
        <v>1.0</v>
      </c>
      <c r="J902" s="10">
        <v>0.0</v>
      </c>
      <c r="K902" s="10">
        <v>2.0</v>
      </c>
    </row>
    <row r="903" ht="15.75" customHeight="1">
      <c r="A903" s="7" t="s">
        <v>3374</v>
      </c>
      <c r="B903" s="12" t="s">
        <v>3375</v>
      </c>
      <c r="C903" s="14" t="s">
        <v>505</v>
      </c>
      <c r="D903" s="15" t="s">
        <v>749</v>
      </c>
      <c r="E903" s="16" t="s">
        <v>99</v>
      </c>
      <c r="F903" s="10" t="s">
        <v>750</v>
      </c>
      <c r="G903" s="10" t="b">
        <v>0</v>
      </c>
      <c r="H903" s="10" t="s">
        <v>3376</v>
      </c>
      <c r="I903" s="10">
        <v>1.0</v>
      </c>
      <c r="J903" s="10">
        <v>0.0</v>
      </c>
      <c r="K903" s="10">
        <v>3.0</v>
      </c>
    </row>
    <row r="904" ht="15.75" customHeight="1">
      <c r="A904" s="7" t="s">
        <v>3377</v>
      </c>
      <c r="B904" s="12" t="s">
        <v>3378</v>
      </c>
      <c r="C904" s="14" t="s">
        <v>505</v>
      </c>
      <c r="D904" s="15" t="s">
        <v>749</v>
      </c>
      <c r="E904" s="16" t="s">
        <v>99</v>
      </c>
      <c r="F904" s="10" t="s">
        <v>750</v>
      </c>
      <c r="G904" s="10" t="b">
        <v>0</v>
      </c>
      <c r="H904" s="10" t="s">
        <v>3379</v>
      </c>
      <c r="I904" s="10">
        <v>1.0</v>
      </c>
      <c r="J904" s="10">
        <v>0.0</v>
      </c>
      <c r="K904" s="10">
        <v>2.0</v>
      </c>
    </row>
    <row r="905" ht="15.75" customHeight="1">
      <c r="A905" s="7" t="s">
        <v>3380</v>
      </c>
      <c r="B905" s="12" t="s">
        <v>3381</v>
      </c>
      <c r="C905" s="14" t="s">
        <v>1075</v>
      </c>
      <c r="D905" s="15" t="s">
        <v>51</v>
      </c>
      <c r="E905" s="16" t="s">
        <v>99</v>
      </c>
      <c r="F905" s="10" t="s">
        <v>52</v>
      </c>
      <c r="G905" s="10" t="b">
        <v>0</v>
      </c>
      <c r="H905" s="10" t="s">
        <v>340</v>
      </c>
      <c r="I905" s="10">
        <v>1.0</v>
      </c>
      <c r="J905" s="10">
        <v>0.0</v>
      </c>
      <c r="K905" s="10">
        <v>0.0</v>
      </c>
    </row>
    <row r="906" ht="15.75" customHeight="1">
      <c r="A906" s="7" t="s">
        <v>3382</v>
      </c>
      <c r="B906" s="12" t="s">
        <v>3383</v>
      </c>
      <c r="C906" s="14" t="s">
        <v>1075</v>
      </c>
      <c r="D906" s="15" t="s">
        <v>22</v>
      </c>
      <c r="E906" s="16" t="s">
        <v>99</v>
      </c>
      <c r="F906" s="10" t="s">
        <v>25</v>
      </c>
      <c r="G906" s="10" t="b">
        <v>1</v>
      </c>
      <c r="H906" s="10" t="s">
        <v>3384</v>
      </c>
      <c r="I906" s="10">
        <v>1.0</v>
      </c>
      <c r="J906" s="10">
        <v>0.0</v>
      </c>
      <c r="K906" s="10">
        <v>0.0</v>
      </c>
    </row>
    <row r="907" ht="15.75" customHeight="1">
      <c r="A907" s="7" t="s">
        <v>3385</v>
      </c>
      <c r="B907" s="12" t="s">
        <v>3386</v>
      </c>
      <c r="C907" s="14" t="s">
        <v>1552</v>
      </c>
      <c r="D907" s="15" t="s">
        <v>749</v>
      </c>
      <c r="E907" s="16" t="s">
        <v>99</v>
      </c>
      <c r="F907" s="10" t="s">
        <v>750</v>
      </c>
      <c r="G907" s="10" t="b">
        <v>0</v>
      </c>
      <c r="H907" s="10" t="s">
        <v>3387</v>
      </c>
      <c r="I907" s="10">
        <v>1.0</v>
      </c>
      <c r="J907" s="10">
        <v>0.0</v>
      </c>
      <c r="K907" s="10">
        <v>1.0</v>
      </c>
    </row>
    <row r="908" ht="15.75" customHeight="1">
      <c r="A908" s="7" t="s">
        <v>3388</v>
      </c>
      <c r="B908" s="12" t="s">
        <v>3389</v>
      </c>
      <c r="C908" s="14" t="s">
        <v>277</v>
      </c>
      <c r="D908" s="15" t="s">
        <v>749</v>
      </c>
      <c r="E908" s="16" t="s">
        <v>1000</v>
      </c>
      <c r="F908" s="10" t="s">
        <v>750</v>
      </c>
      <c r="G908" s="10" t="b">
        <v>0</v>
      </c>
      <c r="I908" s="10">
        <v>1.0</v>
      </c>
      <c r="J908" s="10">
        <v>0.0</v>
      </c>
      <c r="K908" s="10">
        <v>1.0</v>
      </c>
    </row>
    <row r="909" ht="15.75" customHeight="1">
      <c r="A909" s="7" t="s">
        <v>3390</v>
      </c>
      <c r="B909" s="12" t="s">
        <v>3391</v>
      </c>
      <c r="C909" s="14" t="s">
        <v>277</v>
      </c>
      <c r="D909" s="15" t="s">
        <v>34</v>
      </c>
      <c r="E909" s="16" t="s">
        <v>1000</v>
      </c>
      <c r="F909" s="10" t="s">
        <v>35</v>
      </c>
      <c r="G909" s="10" t="b">
        <v>0</v>
      </c>
      <c r="I909" s="10">
        <v>1.0</v>
      </c>
      <c r="J909" s="10">
        <v>0.0</v>
      </c>
      <c r="K909" s="10">
        <v>0.0</v>
      </c>
    </row>
    <row r="910" ht="15.75" customHeight="1">
      <c r="A910" s="7" t="s">
        <v>3392</v>
      </c>
      <c r="B910" s="16"/>
      <c r="C910" s="14" t="s">
        <v>277</v>
      </c>
      <c r="D910" s="15" t="s">
        <v>176</v>
      </c>
      <c r="E910" s="16" t="s">
        <v>1000</v>
      </c>
      <c r="F910" s="10" t="s">
        <v>91</v>
      </c>
      <c r="G910" s="10" t="b">
        <v>0</v>
      </c>
      <c r="H910" s="10" t="s">
        <v>3393</v>
      </c>
      <c r="I910" s="10">
        <v>1.0</v>
      </c>
      <c r="J910" s="10">
        <v>0.0</v>
      </c>
      <c r="K910" s="10">
        <v>5.0</v>
      </c>
    </row>
    <row r="911" ht="15.75" customHeight="1">
      <c r="A911" s="7" t="s">
        <v>3394</v>
      </c>
      <c r="B911" s="16"/>
      <c r="C911" s="14" t="s">
        <v>277</v>
      </c>
      <c r="D911" s="15" t="s">
        <v>176</v>
      </c>
      <c r="E911" s="16" t="s">
        <v>1000</v>
      </c>
      <c r="F911" s="10" t="s">
        <v>91</v>
      </c>
      <c r="G911" s="10" t="b">
        <v>0</v>
      </c>
      <c r="H911" s="10" t="s">
        <v>3393</v>
      </c>
      <c r="I911" s="10">
        <v>1.0</v>
      </c>
      <c r="J911" s="10">
        <v>0.0</v>
      </c>
      <c r="K911" s="10">
        <v>10.0</v>
      </c>
    </row>
    <row r="912" ht="15.75" customHeight="1">
      <c r="A912" s="7" t="s">
        <v>3395</v>
      </c>
      <c r="B912" s="12" t="s">
        <v>3396</v>
      </c>
      <c r="C912" s="14" t="s">
        <v>1556</v>
      </c>
      <c r="D912" s="15" t="s">
        <v>404</v>
      </c>
      <c r="E912" s="16" t="s">
        <v>24</v>
      </c>
      <c r="F912" s="10" t="s">
        <v>405</v>
      </c>
      <c r="G912" s="10" t="b">
        <v>0</v>
      </c>
      <c r="I912" s="10">
        <v>1.0</v>
      </c>
      <c r="J912" s="10">
        <v>0.0</v>
      </c>
      <c r="K912" s="10">
        <v>0.0</v>
      </c>
    </row>
    <row r="913" ht="15.75" customHeight="1">
      <c r="A913" s="7" t="s">
        <v>3397</v>
      </c>
      <c r="B913" s="12" t="s">
        <v>3398</v>
      </c>
      <c r="C913" s="14" t="s">
        <v>1558</v>
      </c>
      <c r="D913" s="15" t="s">
        <v>196</v>
      </c>
      <c r="E913" s="16" t="s">
        <v>24</v>
      </c>
      <c r="F913" s="10" t="s">
        <v>198</v>
      </c>
      <c r="G913" s="10" t="b">
        <v>0</v>
      </c>
      <c r="I913" s="10">
        <v>1.0</v>
      </c>
      <c r="J913" s="10">
        <v>0.0</v>
      </c>
      <c r="K913" s="10">
        <v>0.0</v>
      </c>
    </row>
    <row r="914" ht="15.75" customHeight="1">
      <c r="A914" s="7" t="s">
        <v>3399</v>
      </c>
      <c r="B914" s="12" t="s">
        <v>3400</v>
      </c>
      <c r="C914" s="14" t="s">
        <v>1561</v>
      </c>
      <c r="D914" s="15" t="s">
        <v>749</v>
      </c>
      <c r="E914" s="16" t="s">
        <v>99</v>
      </c>
      <c r="F914" s="10" t="s">
        <v>750</v>
      </c>
      <c r="G914" s="10" t="b">
        <v>0</v>
      </c>
      <c r="H914" s="10" t="s">
        <v>1562</v>
      </c>
      <c r="I914" s="10">
        <v>1.0</v>
      </c>
      <c r="J914" s="10">
        <v>0.0</v>
      </c>
      <c r="K914" s="10">
        <v>1.0</v>
      </c>
    </row>
    <row r="915" ht="15.75" customHeight="1">
      <c r="A915" s="7" t="s">
        <v>3401</v>
      </c>
      <c r="B915" s="12" t="s">
        <v>3402</v>
      </c>
      <c r="C915" s="14" t="s">
        <v>1563</v>
      </c>
      <c r="D915" s="15" t="s">
        <v>196</v>
      </c>
      <c r="E915" s="16" t="s">
        <v>24</v>
      </c>
      <c r="F915" s="10" t="s">
        <v>198</v>
      </c>
      <c r="G915" s="10" t="b">
        <v>0</v>
      </c>
      <c r="H915" s="10" t="s">
        <v>384</v>
      </c>
      <c r="I915" s="10">
        <v>1.0</v>
      </c>
      <c r="J915" s="10">
        <v>0.0</v>
      </c>
      <c r="K915" s="10">
        <v>0.0</v>
      </c>
    </row>
    <row r="916" ht="15.75" customHeight="1">
      <c r="A916" s="7" t="s">
        <v>3403</v>
      </c>
      <c r="B916" s="12" t="s">
        <v>3404</v>
      </c>
      <c r="C916" s="14" t="s">
        <v>1566</v>
      </c>
      <c r="D916" s="15" t="s">
        <v>240</v>
      </c>
      <c r="E916" s="16" t="s">
        <v>24</v>
      </c>
      <c r="F916" s="10" t="s">
        <v>241</v>
      </c>
      <c r="G916" s="10" t="b">
        <v>0</v>
      </c>
      <c r="I916" s="10">
        <v>1.0</v>
      </c>
      <c r="J916" s="10">
        <v>0.0</v>
      </c>
      <c r="K916" s="10">
        <v>1.0</v>
      </c>
    </row>
    <row r="917" ht="15.75" customHeight="1">
      <c r="A917" s="7" t="s">
        <v>3405</v>
      </c>
      <c r="B917" s="12" t="s">
        <v>3406</v>
      </c>
      <c r="C917" s="14" t="s">
        <v>826</v>
      </c>
      <c r="D917" s="15" t="s">
        <v>51</v>
      </c>
      <c r="E917" s="16" t="s">
        <v>107</v>
      </c>
      <c r="F917" s="10" t="s">
        <v>52</v>
      </c>
      <c r="G917" s="10" t="b">
        <v>0</v>
      </c>
      <c r="H917" s="10" t="s">
        <v>584</v>
      </c>
      <c r="I917" s="10">
        <v>1.0</v>
      </c>
      <c r="J917" s="10">
        <v>0.0</v>
      </c>
      <c r="K917" s="10">
        <v>1.0</v>
      </c>
    </row>
    <row r="918" ht="15.75" customHeight="1">
      <c r="A918" s="7" t="s">
        <v>3407</v>
      </c>
      <c r="B918" s="12" t="s">
        <v>3408</v>
      </c>
      <c r="C918" s="14" t="s">
        <v>1568</v>
      </c>
      <c r="D918" s="15" t="s">
        <v>34</v>
      </c>
      <c r="E918" s="16" t="s">
        <v>24</v>
      </c>
      <c r="F918" s="10" t="s">
        <v>35</v>
      </c>
      <c r="G918" s="10" t="b">
        <v>0</v>
      </c>
      <c r="H918" s="10" t="s">
        <v>157</v>
      </c>
      <c r="I918" s="10">
        <v>1.0</v>
      </c>
      <c r="J918" s="10">
        <v>0.0</v>
      </c>
      <c r="K918" s="10">
        <v>1.0</v>
      </c>
    </row>
    <row r="919" ht="15.75" customHeight="1">
      <c r="A919" s="7" t="s">
        <v>3409</v>
      </c>
      <c r="B919" s="12" t="s">
        <v>3410</v>
      </c>
      <c r="C919" s="14" t="s">
        <v>1570</v>
      </c>
      <c r="D919" s="15" t="s">
        <v>176</v>
      </c>
      <c r="E919" s="16" t="s">
        <v>24</v>
      </c>
      <c r="F919" s="10" t="s">
        <v>91</v>
      </c>
      <c r="G919" s="10" t="b">
        <v>0</v>
      </c>
      <c r="I919" s="10">
        <v>1.0</v>
      </c>
      <c r="J919" s="10">
        <v>0.0</v>
      </c>
      <c r="K919" s="10">
        <v>1.0</v>
      </c>
    </row>
    <row r="920" ht="15.75" customHeight="1">
      <c r="A920" s="7" t="s">
        <v>3411</v>
      </c>
      <c r="B920" s="12" t="s">
        <v>3412</v>
      </c>
      <c r="C920" s="14" t="s">
        <v>692</v>
      </c>
      <c r="D920" s="15" t="s">
        <v>404</v>
      </c>
      <c r="E920" s="16" t="s">
        <v>24</v>
      </c>
      <c r="F920" s="10" t="s">
        <v>405</v>
      </c>
      <c r="G920" s="10" t="b">
        <v>0</v>
      </c>
      <c r="I920" s="10">
        <v>1.0</v>
      </c>
      <c r="J920" s="10">
        <v>0.0</v>
      </c>
      <c r="K920" s="10">
        <v>1.0</v>
      </c>
    </row>
    <row r="921" ht="15.75" customHeight="1">
      <c r="A921" s="7" t="s">
        <v>3413</v>
      </c>
      <c r="B921" s="12" t="s">
        <v>3414</v>
      </c>
      <c r="C921" s="14" t="s">
        <v>692</v>
      </c>
      <c r="D921" s="15" t="s">
        <v>404</v>
      </c>
      <c r="E921" s="16" t="s">
        <v>24</v>
      </c>
      <c r="F921" s="10" t="s">
        <v>405</v>
      </c>
      <c r="G921" s="10" t="b">
        <v>0</v>
      </c>
      <c r="I921" s="10">
        <v>1.0</v>
      </c>
      <c r="J921" s="10">
        <v>0.0</v>
      </c>
      <c r="K921" s="10">
        <v>0.0</v>
      </c>
    </row>
    <row r="922" ht="15.75" customHeight="1">
      <c r="A922" s="7" t="s">
        <v>3415</v>
      </c>
      <c r="B922" s="12" t="s">
        <v>3416</v>
      </c>
      <c r="C922" s="14" t="s">
        <v>692</v>
      </c>
      <c r="D922" s="15" t="s">
        <v>34</v>
      </c>
      <c r="E922" s="16" t="s">
        <v>24</v>
      </c>
      <c r="F922" s="10" t="s">
        <v>35</v>
      </c>
      <c r="G922" s="10" t="b">
        <v>0</v>
      </c>
      <c r="I922" s="10">
        <v>1.0</v>
      </c>
      <c r="J922" s="10">
        <v>0.0</v>
      </c>
      <c r="K922" s="10">
        <v>1.0</v>
      </c>
    </row>
    <row r="923" ht="15.75" customHeight="1">
      <c r="A923" s="7" t="s">
        <v>3417</v>
      </c>
      <c r="B923" s="12" t="s">
        <v>3418</v>
      </c>
      <c r="C923" s="14" t="s">
        <v>692</v>
      </c>
      <c r="D923" s="15" t="s">
        <v>34</v>
      </c>
      <c r="E923" s="16" t="s">
        <v>24</v>
      </c>
      <c r="F923" s="10" t="s">
        <v>35</v>
      </c>
      <c r="G923" s="10" t="b">
        <v>0</v>
      </c>
      <c r="I923" s="10">
        <v>1.0</v>
      </c>
      <c r="J923" s="10">
        <v>0.0</v>
      </c>
      <c r="K923" s="10">
        <v>0.0</v>
      </c>
    </row>
    <row r="924" ht="15.75" customHeight="1">
      <c r="A924" s="7" t="s">
        <v>3419</v>
      </c>
      <c r="B924" s="12" t="s">
        <v>3420</v>
      </c>
      <c r="C924" s="14" t="s">
        <v>692</v>
      </c>
      <c r="D924" s="15" t="s">
        <v>34</v>
      </c>
      <c r="E924" s="16" t="s">
        <v>24</v>
      </c>
      <c r="F924" s="10" t="s">
        <v>35</v>
      </c>
      <c r="G924" s="10" t="b">
        <v>0</v>
      </c>
      <c r="H924" s="10" t="s">
        <v>157</v>
      </c>
      <c r="I924" s="10">
        <v>1.0</v>
      </c>
      <c r="J924" s="10">
        <v>0.0</v>
      </c>
      <c r="K924" s="10">
        <v>0.0</v>
      </c>
    </row>
    <row r="925" ht="15.75" customHeight="1">
      <c r="A925" s="7" t="s">
        <v>3421</v>
      </c>
      <c r="B925" s="12" t="s">
        <v>3422</v>
      </c>
      <c r="C925" s="14" t="s">
        <v>692</v>
      </c>
      <c r="D925" s="15" t="s">
        <v>34</v>
      </c>
      <c r="E925" s="16" t="s">
        <v>24</v>
      </c>
      <c r="F925" s="10" t="s">
        <v>35</v>
      </c>
      <c r="G925" s="10" t="b">
        <v>0</v>
      </c>
      <c r="H925" s="10" t="s">
        <v>3423</v>
      </c>
      <c r="I925" s="10">
        <v>1.0</v>
      </c>
      <c r="J925" s="10">
        <v>0.0</v>
      </c>
      <c r="K925" s="10">
        <v>0.0</v>
      </c>
    </row>
    <row r="926" ht="15.75" customHeight="1">
      <c r="A926" s="7" t="s">
        <v>3424</v>
      </c>
      <c r="B926" s="12" t="s">
        <v>3425</v>
      </c>
      <c r="C926" s="14" t="s">
        <v>20</v>
      </c>
      <c r="D926" s="15" t="s">
        <v>22</v>
      </c>
      <c r="E926" s="16" t="s">
        <v>24</v>
      </c>
      <c r="F926" s="10" t="s">
        <v>25</v>
      </c>
      <c r="G926" s="10" t="b">
        <v>0</v>
      </c>
      <c r="H926" s="10" t="s">
        <v>3426</v>
      </c>
      <c r="I926" s="10">
        <v>1.0</v>
      </c>
      <c r="J926" s="10">
        <v>0.0</v>
      </c>
      <c r="K926" s="10">
        <v>0.0</v>
      </c>
    </row>
    <row r="927" ht="15.75" customHeight="1">
      <c r="A927" s="7" t="s">
        <v>3427</v>
      </c>
      <c r="B927" s="12" t="s">
        <v>3428</v>
      </c>
      <c r="C927" s="14" t="s">
        <v>20</v>
      </c>
      <c r="D927" s="15" t="s">
        <v>22</v>
      </c>
      <c r="E927" s="16" t="s">
        <v>24</v>
      </c>
      <c r="F927" s="10" t="s">
        <v>25</v>
      </c>
      <c r="G927" s="10" t="b">
        <v>0</v>
      </c>
      <c r="I927" s="10">
        <v>1.0</v>
      </c>
      <c r="J927" s="10">
        <v>0.0</v>
      </c>
      <c r="K927" s="10">
        <v>1.0</v>
      </c>
    </row>
    <row r="928" ht="15.75" customHeight="1">
      <c r="A928" s="7" t="s">
        <v>3429</v>
      </c>
      <c r="B928" s="12" t="s">
        <v>3430</v>
      </c>
      <c r="C928" s="14" t="s">
        <v>20</v>
      </c>
      <c r="D928" s="15" t="s">
        <v>22</v>
      </c>
      <c r="E928" s="16" t="s">
        <v>24</v>
      </c>
      <c r="F928" s="10" t="s">
        <v>25</v>
      </c>
      <c r="G928" s="10" t="b">
        <v>0</v>
      </c>
      <c r="H928" s="10" t="s">
        <v>3431</v>
      </c>
      <c r="I928" s="10">
        <v>1.0</v>
      </c>
      <c r="J928" s="10">
        <v>0.0</v>
      </c>
      <c r="K928" s="10">
        <v>0.0</v>
      </c>
    </row>
    <row r="929" ht="15.75" customHeight="1">
      <c r="A929" s="7" t="s">
        <v>3432</v>
      </c>
      <c r="B929" s="12" t="s">
        <v>3433</v>
      </c>
      <c r="C929" s="14" t="s">
        <v>20</v>
      </c>
      <c r="D929" s="15" t="s">
        <v>22</v>
      </c>
      <c r="E929" s="16" t="s">
        <v>24</v>
      </c>
      <c r="F929" s="10" t="s">
        <v>25</v>
      </c>
      <c r="G929" s="10" t="b">
        <v>0</v>
      </c>
      <c r="H929" s="10" t="s">
        <v>3434</v>
      </c>
      <c r="I929" s="10">
        <v>1.0</v>
      </c>
      <c r="J929" s="10">
        <v>0.0</v>
      </c>
      <c r="K929" s="10">
        <v>3.0</v>
      </c>
    </row>
    <row r="930" ht="15.75" customHeight="1">
      <c r="A930" s="7" t="s">
        <v>3435</v>
      </c>
      <c r="B930" s="12" t="s">
        <v>3436</v>
      </c>
      <c r="C930" s="14" t="s">
        <v>20</v>
      </c>
      <c r="D930" s="15" t="s">
        <v>34</v>
      </c>
      <c r="E930" s="16" t="s">
        <v>24</v>
      </c>
      <c r="F930" s="10" t="s">
        <v>35</v>
      </c>
      <c r="G930" s="10" t="b">
        <v>0</v>
      </c>
      <c r="H930" s="10" t="s">
        <v>3434</v>
      </c>
      <c r="I930" s="10">
        <v>1.0</v>
      </c>
      <c r="J930" s="10">
        <v>0.0</v>
      </c>
      <c r="K930" s="10">
        <v>0.0</v>
      </c>
    </row>
    <row r="931" ht="15.75" customHeight="1">
      <c r="A931" s="7" t="s">
        <v>3437</v>
      </c>
      <c r="B931" s="12" t="s">
        <v>3438</v>
      </c>
      <c r="C931" s="14" t="s">
        <v>20</v>
      </c>
      <c r="D931" s="15" t="s">
        <v>22</v>
      </c>
      <c r="E931" s="16" t="s">
        <v>24</v>
      </c>
      <c r="F931" s="10" t="s">
        <v>25</v>
      </c>
      <c r="G931" s="10" t="b">
        <v>0</v>
      </c>
      <c r="H931" s="10" t="s">
        <v>3439</v>
      </c>
      <c r="I931" s="10">
        <v>1.0</v>
      </c>
      <c r="J931" s="10">
        <v>0.0</v>
      </c>
      <c r="K931" s="10">
        <v>0.0</v>
      </c>
    </row>
    <row r="932" ht="15.75" customHeight="1">
      <c r="A932" s="7" t="s">
        <v>3440</v>
      </c>
      <c r="B932" s="12" t="s">
        <v>3441</v>
      </c>
      <c r="C932" s="14" t="s">
        <v>20</v>
      </c>
      <c r="D932" s="15" t="s">
        <v>22</v>
      </c>
      <c r="E932" s="16" t="s">
        <v>24</v>
      </c>
      <c r="F932" s="10" t="s">
        <v>25</v>
      </c>
      <c r="G932" s="10" t="b">
        <v>0</v>
      </c>
      <c r="H932" s="10" t="s">
        <v>3442</v>
      </c>
      <c r="I932" s="10">
        <v>1.0</v>
      </c>
      <c r="J932" s="10">
        <v>0.0</v>
      </c>
      <c r="K932" s="10">
        <v>1.0</v>
      </c>
    </row>
    <row r="933" ht="15.75" customHeight="1">
      <c r="A933" s="7" t="s">
        <v>3443</v>
      </c>
      <c r="B933" s="12" t="s">
        <v>3444</v>
      </c>
      <c r="C933" s="14" t="s">
        <v>20</v>
      </c>
      <c r="D933" s="15" t="s">
        <v>22</v>
      </c>
      <c r="E933" s="16" t="s">
        <v>24</v>
      </c>
      <c r="F933" s="10" t="s">
        <v>25</v>
      </c>
      <c r="G933" s="10" t="b">
        <v>0</v>
      </c>
      <c r="H933" s="10" t="s">
        <v>3445</v>
      </c>
      <c r="I933" s="10">
        <v>1.0</v>
      </c>
      <c r="J933" s="10">
        <v>0.0</v>
      </c>
      <c r="K933" s="10">
        <v>0.0</v>
      </c>
    </row>
    <row r="934" ht="15.75" customHeight="1">
      <c r="A934" s="7" t="s">
        <v>3446</v>
      </c>
      <c r="B934" s="12" t="s">
        <v>3447</v>
      </c>
      <c r="C934" s="14" t="s">
        <v>20</v>
      </c>
      <c r="D934" s="15" t="s">
        <v>22</v>
      </c>
      <c r="E934" s="16" t="s">
        <v>24</v>
      </c>
      <c r="F934" s="10" t="s">
        <v>25</v>
      </c>
      <c r="G934" s="10" t="b">
        <v>0</v>
      </c>
      <c r="H934" s="10" t="s">
        <v>3448</v>
      </c>
      <c r="I934" s="10">
        <v>1.0</v>
      </c>
      <c r="J934" s="10">
        <v>0.0</v>
      </c>
      <c r="K934" s="10">
        <v>1.0</v>
      </c>
    </row>
    <row r="935" ht="15.75" customHeight="1">
      <c r="A935" s="7" t="s">
        <v>3449</v>
      </c>
      <c r="B935" s="12" t="s">
        <v>3450</v>
      </c>
      <c r="C935" s="14" t="s">
        <v>20</v>
      </c>
      <c r="D935" s="15" t="s">
        <v>22</v>
      </c>
      <c r="E935" s="16" t="s">
        <v>24</v>
      </c>
      <c r="F935" s="10" t="s">
        <v>25</v>
      </c>
      <c r="G935" s="10" t="b">
        <v>0</v>
      </c>
      <c r="H935" s="10" t="s">
        <v>3451</v>
      </c>
      <c r="I935" s="10">
        <v>1.0</v>
      </c>
      <c r="J935" s="10">
        <v>0.0</v>
      </c>
      <c r="K935" s="10">
        <v>1.0</v>
      </c>
    </row>
    <row r="936" ht="15.75" customHeight="1">
      <c r="A936" s="7" t="s">
        <v>3452</v>
      </c>
      <c r="B936" s="12" t="s">
        <v>3453</v>
      </c>
      <c r="C936" s="14" t="s">
        <v>20</v>
      </c>
      <c r="D936" s="15" t="s">
        <v>22</v>
      </c>
      <c r="E936" s="16" t="s">
        <v>24</v>
      </c>
      <c r="F936" s="10" t="s">
        <v>25</v>
      </c>
      <c r="G936" s="10" t="b">
        <v>0</v>
      </c>
      <c r="H936" s="10" t="s">
        <v>3454</v>
      </c>
      <c r="I936" s="10">
        <v>1.0</v>
      </c>
      <c r="J936" s="10">
        <v>0.0</v>
      </c>
      <c r="K936" s="10">
        <v>0.0</v>
      </c>
    </row>
    <row r="937" ht="15.75" customHeight="1">
      <c r="A937" s="7" t="s">
        <v>3455</v>
      </c>
      <c r="B937" s="12" t="s">
        <v>3456</v>
      </c>
      <c r="C937" s="14" t="s">
        <v>20</v>
      </c>
      <c r="D937" s="15" t="s">
        <v>22</v>
      </c>
      <c r="E937" s="16" t="s">
        <v>24</v>
      </c>
      <c r="F937" s="10" t="s">
        <v>25</v>
      </c>
      <c r="G937" s="10" t="b">
        <v>0</v>
      </c>
      <c r="H937" s="10" t="s">
        <v>3457</v>
      </c>
      <c r="I937" s="10">
        <v>1.0</v>
      </c>
      <c r="J937" s="10">
        <v>0.0</v>
      </c>
      <c r="K937" s="10">
        <v>1.0</v>
      </c>
    </row>
    <row r="938" ht="15.75" customHeight="1">
      <c r="A938" s="7" t="s">
        <v>3458</v>
      </c>
      <c r="B938" s="12" t="s">
        <v>3459</v>
      </c>
      <c r="C938" s="14" t="s">
        <v>20</v>
      </c>
      <c r="D938" s="15" t="s">
        <v>22</v>
      </c>
      <c r="E938" s="16" t="s">
        <v>24</v>
      </c>
      <c r="F938" s="10" t="s">
        <v>25</v>
      </c>
      <c r="G938" s="10" t="b">
        <v>0</v>
      </c>
      <c r="H938" s="10" t="s">
        <v>3460</v>
      </c>
      <c r="I938" s="10">
        <v>1.0</v>
      </c>
      <c r="J938" s="10">
        <v>0.0</v>
      </c>
      <c r="K938" s="10">
        <v>0.0</v>
      </c>
    </row>
    <row r="939" ht="15.75" customHeight="1">
      <c r="A939" s="7" t="s">
        <v>3461</v>
      </c>
      <c r="B939" s="12" t="s">
        <v>3462</v>
      </c>
      <c r="C939" s="14" t="s">
        <v>20</v>
      </c>
      <c r="D939" s="15" t="s">
        <v>22</v>
      </c>
      <c r="E939" s="16" t="s">
        <v>24</v>
      </c>
      <c r="F939" s="10" t="s">
        <v>25</v>
      </c>
      <c r="G939" s="10" t="b">
        <v>0</v>
      </c>
      <c r="H939" s="10" t="s">
        <v>3463</v>
      </c>
      <c r="I939" s="10">
        <v>1.0</v>
      </c>
      <c r="J939" s="10">
        <v>0.0</v>
      </c>
      <c r="K939" s="10">
        <v>0.0</v>
      </c>
    </row>
    <row r="940" ht="15.75" customHeight="1">
      <c r="A940" s="7" t="s">
        <v>3464</v>
      </c>
      <c r="B940" s="12" t="s">
        <v>3465</v>
      </c>
      <c r="C940" s="14" t="s">
        <v>20</v>
      </c>
      <c r="D940" s="15" t="s">
        <v>22</v>
      </c>
      <c r="E940" s="16" t="s">
        <v>24</v>
      </c>
      <c r="F940" s="10" t="s">
        <v>25</v>
      </c>
      <c r="G940" s="10" t="b">
        <v>0</v>
      </c>
      <c r="I940" s="10">
        <v>1.0</v>
      </c>
      <c r="J940" s="10">
        <v>0.0</v>
      </c>
      <c r="K940" s="10">
        <v>0.0</v>
      </c>
    </row>
    <row r="941" ht="15.75" customHeight="1">
      <c r="A941" s="7" t="s">
        <v>3466</v>
      </c>
      <c r="B941" s="12" t="s">
        <v>3467</v>
      </c>
      <c r="C941" s="14" t="s">
        <v>1572</v>
      </c>
      <c r="D941" s="15" t="s">
        <v>196</v>
      </c>
      <c r="E941" s="16" t="s">
        <v>24</v>
      </c>
      <c r="F941" s="10" t="s">
        <v>198</v>
      </c>
      <c r="G941" s="10" t="b">
        <v>0</v>
      </c>
      <c r="H941" s="10" t="s">
        <v>3468</v>
      </c>
      <c r="I941" s="10">
        <v>1.0</v>
      </c>
      <c r="J941" s="10">
        <v>0.0</v>
      </c>
      <c r="K941" s="10">
        <v>0.0</v>
      </c>
    </row>
    <row r="942" ht="15.75" customHeight="1">
      <c r="A942" s="7" t="s">
        <v>3469</v>
      </c>
      <c r="B942" s="12" t="s">
        <v>3470</v>
      </c>
      <c r="C942" s="14" t="s">
        <v>1576</v>
      </c>
      <c r="D942" s="15" t="s">
        <v>34</v>
      </c>
      <c r="E942" s="16" t="s">
        <v>24</v>
      </c>
      <c r="F942" s="10" t="s">
        <v>35</v>
      </c>
      <c r="G942" s="10" t="b">
        <v>0</v>
      </c>
      <c r="H942" s="10" t="s">
        <v>340</v>
      </c>
      <c r="I942" s="10">
        <v>1.0</v>
      </c>
      <c r="J942" s="10">
        <v>0.0</v>
      </c>
      <c r="K942" s="10">
        <v>1.0</v>
      </c>
    </row>
    <row r="943" ht="15.75" customHeight="1">
      <c r="A943" s="7" t="s">
        <v>3471</v>
      </c>
      <c r="B943" s="12" t="s">
        <v>3472</v>
      </c>
      <c r="C943" s="14" t="s">
        <v>1579</v>
      </c>
      <c r="D943" s="15" t="s">
        <v>34</v>
      </c>
      <c r="E943" s="16" t="s">
        <v>24</v>
      </c>
      <c r="F943" s="10" t="s">
        <v>35</v>
      </c>
      <c r="G943" s="10" t="b">
        <v>0</v>
      </c>
      <c r="H943" s="10" t="s">
        <v>3473</v>
      </c>
      <c r="I943" s="10">
        <v>1.0</v>
      </c>
      <c r="J943" s="10">
        <v>0.0</v>
      </c>
      <c r="K943" s="10">
        <v>0.0</v>
      </c>
    </row>
    <row r="944" ht="15.75" customHeight="1">
      <c r="A944" s="7" t="s">
        <v>3474</v>
      </c>
      <c r="B944" s="12" t="s">
        <v>3475</v>
      </c>
      <c r="C944" s="14" t="s">
        <v>120</v>
      </c>
      <c r="D944" s="15" t="s">
        <v>34</v>
      </c>
      <c r="E944" s="16" t="s">
        <v>107</v>
      </c>
      <c r="F944" s="10" t="s">
        <v>35</v>
      </c>
      <c r="G944" s="10" t="b">
        <v>0</v>
      </c>
      <c r="H944" s="10" t="s">
        <v>3476</v>
      </c>
      <c r="I944" s="10">
        <v>1.0</v>
      </c>
      <c r="J944" s="10">
        <v>0.0</v>
      </c>
      <c r="K944" s="10">
        <v>1.0</v>
      </c>
    </row>
    <row r="945" ht="15.75" customHeight="1">
      <c r="A945" s="7" t="s">
        <v>3477</v>
      </c>
      <c r="B945" s="12" t="s">
        <v>3478</v>
      </c>
      <c r="C945" s="14" t="s">
        <v>120</v>
      </c>
      <c r="D945" s="15" t="s">
        <v>34</v>
      </c>
      <c r="E945" s="16" t="s">
        <v>107</v>
      </c>
      <c r="F945" s="10" t="s">
        <v>35</v>
      </c>
      <c r="G945" s="10" t="b">
        <v>0</v>
      </c>
      <c r="H945" s="10" t="s">
        <v>3479</v>
      </c>
      <c r="I945" s="10">
        <v>1.0</v>
      </c>
      <c r="J945" s="10">
        <v>0.0</v>
      </c>
      <c r="K945" s="10">
        <v>1.0</v>
      </c>
    </row>
    <row r="946" ht="15.75" customHeight="1">
      <c r="A946" s="7" t="s">
        <v>3480</v>
      </c>
      <c r="B946" s="12" t="s">
        <v>3481</v>
      </c>
      <c r="C946" s="14" t="s">
        <v>120</v>
      </c>
      <c r="D946" s="15" t="s">
        <v>34</v>
      </c>
      <c r="E946" s="16" t="s">
        <v>107</v>
      </c>
      <c r="F946" s="10" t="s">
        <v>35</v>
      </c>
      <c r="G946" s="10" t="b">
        <v>0</v>
      </c>
      <c r="H946" s="10" t="s">
        <v>1405</v>
      </c>
      <c r="I946" s="10">
        <v>1.0</v>
      </c>
      <c r="J946" s="10">
        <v>0.0</v>
      </c>
      <c r="K946" s="10">
        <v>0.0</v>
      </c>
    </row>
    <row r="947" ht="15.75" customHeight="1">
      <c r="A947" s="7" t="s">
        <v>3482</v>
      </c>
      <c r="B947" s="12" t="s">
        <v>3483</v>
      </c>
      <c r="C947" s="14" t="s">
        <v>120</v>
      </c>
      <c r="D947" s="15" t="s">
        <v>34</v>
      </c>
      <c r="E947" s="16" t="s">
        <v>107</v>
      </c>
      <c r="F947" s="10" t="s">
        <v>35</v>
      </c>
      <c r="G947" s="10" t="b">
        <v>0</v>
      </c>
      <c r="H947" s="10" t="s">
        <v>3484</v>
      </c>
      <c r="I947" s="10">
        <v>1.0</v>
      </c>
      <c r="J947" s="10">
        <v>0.0</v>
      </c>
      <c r="K947" s="10">
        <v>1.0</v>
      </c>
    </row>
    <row r="948" ht="15.75" customHeight="1">
      <c r="A948" s="7" t="s">
        <v>3485</v>
      </c>
      <c r="B948" s="12" t="s">
        <v>3486</v>
      </c>
      <c r="C948" s="14" t="s">
        <v>120</v>
      </c>
      <c r="D948" s="15" t="s">
        <v>404</v>
      </c>
      <c r="E948" s="16" t="s">
        <v>107</v>
      </c>
      <c r="F948" s="10" t="s">
        <v>405</v>
      </c>
      <c r="G948" s="10" t="b">
        <v>0</v>
      </c>
      <c r="H948" s="10" t="s">
        <v>1405</v>
      </c>
      <c r="I948" s="10">
        <v>1.0</v>
      </c>
      <c r="J948" s="10">
        <v>0.0</v>
      </c>
      <c r="K948" s="10">
        <v>1.0</v>
      </c>
    </row>
    <row r="949" ht="15.75" customHeight="1">
      <c r="A949" s="7" t="s">
        <v>3487</v>
      </c>
      <c r="B949" s="12" t="s">
        <v>3488</v>
      </c>
      <c r="C949" s="14" t="s">
        <v>120</v>
      </c>
      <c r="D949" s="15" t="s">
        <v>404</v>
      </c>
      <c r="E949" s="16" t="s">
        <v>107</v>
      </c>
      <c r="F949" s="10" t="s">
        <v>405</v>
      </c>
      <c r="G949" s="10" t="b">
        <v>0</v>
      </c>
      <c r="H949" s="10" t="s">
        <v>1405</v>
      </c>
      <c r="I949" s="10">
        <v>1.0</v>
      </c>
      <c r="J949" s="10">
        <v>0.0</v>
      </c>
      <c r="K949" s="10">
        <v>1.0</v>
      </c>
    </row>
    <row r="950" ht="15.75" customHeight="1">
      <c r="A950" s="7" t="s">
        <v>3489</v>
      </c>
      <c r="B950" s="12" t="s">
        <v>3490</v>
      </c>
      <c r="C950" s="14" t="s">
        <v>120</v>
      </c>
      <c r="D950" s="15" t="s">
        <v>34</v>
      </c>
      <c r="E950" s="16" t="s">
        <v>107</v>
      </c>
      <c r="F950" s="10" t="s">
        <v>35</v>
      </c>
      <c r="G950" s="10" t="b">
        <v>0</v>
      </c>
      <c r="H950" s="10" t="s">
        <v>3479</v>
      </c>
      <c r="I950" s="10">
        <v>1.0</v>
      </c>
      <c r="J950" s="10">
        <v>0.0</v>
      </c>
      <c r="K950" s="10">
        <v>0.0</v>
      </c>
    </row>
    <row r="951" ht="15.75" customHeight="1">
      <c r="A951" s="7" t="s">
        <v>3491</v>
      </c>
      <c r="B951" s="12" t="s">
        <v>3492</v>
      </c>
      <c r="C951" s="14" t="s">
        <v>120</v>
      </c>
      <c r="D951" s="15" t="s">
        <v>34</v>
      </c>
      <c r="E951" s="16" t="s">
        <v>107</v>
      </c>
      <c r="F951" s="10" t="s">
        <v>35</v>
      </c>
      <c r="G951" s="10" t="b">
        <v>0</v>
      </c>
      <c r="H951" s="10" t="s">
        <v>3493</v>
      </c>
      <c r="I951" s="10">
        <v>1.0</v>
      </c>
      <c r="J951" s="10">
        <v>0.0</v>
      </c>
      <c r="K951" s="10">
        <v>1.0</v>
      </c>
    </row>
    <row r="952" ht="15.75" customHeight="1">
      <c r="A952" s="7" t="s">
        <v>3494</v>
      </c>
      <c r="B952" s="12" t="s">
        <v>3495</v>
      </c>
      <c r="C952" s="14" t="s">
        <v>120</v>
      </c>
      <c r="D952" s="15" t="s">
        <v>34</v>
      </c>
      <c r="E952" s="16" t="s">
        <v>107</v>
      </c>
      <c r="F952" s="10" t="s">
        <v>35</v>
      </c>
      <c r="G952" s="10" t="b">
        <v>0</v>
      </c>
      <c r="H952" s="10" t="s">
        <v>3496</v>
      </c>
      <c r="I952" s="10">
        <v>1.0</v>
      </c>
      <c r="J952" s="10">
        <v>0.0</v>
      </c>
      <c r="K952" s="10">
        <v>0.0</v>
      </c>
    </row>
    <row r="953" ht="15.75" customHeight="1">
      <c r="A953" s="7" t="s">
        <v>3497</v>
      </c>
      <c r="B953" s="12" t="s">
        <v>3498</v>
      </c>
      <c r="C953" s="14" t="s">
        <v>120</v>
      </c>
      <c r="D953" s="15" t="s">
        <v>577</v>
      </c>
      <c r="E953" s="16" t="s">
        <v>107</v>
      </c>
      <c r="F953" s="10" t="s">
        <v>578</v>
      </c>
      <c r="G953" s="10" t="b">
        <v>0</v>
      </c>
      <c r="H953" s="10" t="s">
        <v>1405</v>
      </c>
      <c r="I953" s="10">
        <v>1.0</v>
      </c>
      <c r="J953" s="10">
        <v>0.0</v>
      </c>
      <c r="K953" s="10">
        <v>1.0</v>
      </c>
    </row>
    <row r="954" ht="15.75" customHeight="1">
      <c r="A954" s="7" t="s">
        <v>3499</v>
      </c>
      <c r="B954" s="12" t="s">
        <v>3500</v>
      </c>
      <c r="C954" s="12" t="s">
        <v>1583</v>
      </c>
      <c r="D954" s="15" t="s">
        <v>749</v>
      </c>
      <c r="E954" s="16" t="s">
        <v>43</v>
      </c>
      <c r="F954" s="10" t="s">
        <v>750</v>
      </c>
      <c r="G954" s="10" t="b">
        <v>0</v>
      </c>
      <c r="H954" s="10" t="s">
        <v>3501</v>
      </c>
      <c r="I954" s="10">
        <v>1.0</v>
      </c>
      <c r="J954" s="10">
        <v>0.0</v>
      </c>
      <c r="K954" s="10">
        <v>1.0</v>
      </c>
    </row>
    <row r="955" ht="15.75" customHeight="1">
      <c r="A955" s="7" t="s">
        <v>3502</v>
      </c>
      <c r="B955" s="12" t="s">
        <v>3503</v>
      </c>
      <c r="C955" s="14" t="s">
        <v>1585</v>
      </c>
      <c r="D955" s="15" t="s">
        <v>22</v>
      </c>
      <c r="E955" s="16" t="s">
        <v>99</v>
      </c>
      <c r="F955" s="10" t="s">
        <v>25</v>
      </c>
      <c r="G955" s="10" t="b">
        <v>0</v>
      </c>
      <c r="H955" s="10" t="s">
        <v>1587</v>
      </c>
      <c r="I955" s="10">
        <v>1.0</v>
      </c>
      <c r="J955" s="10">
        <v>0.0</v>
      </c>
      <c r="K955" s="10">
        <v>0.0</v>
      </c>
    </row>
    <row r="956" ht="15.75" customHeight="1">
      <c r="A956" s="7" t="s">
        <v>3504</v>
      </c>
      <c r="B956" s="12" t="s">
        <v>3505</v>
      </c>
      <c r="C956" s="14" t="s">
        <v>1588</v>
      </c>
      <c r="D956" s="15" t="s">
        <v>196</v>
      </c>
      <c r="E956" s="16" t="s">
        <v>24</v>
      </c>
      <c r="F956" s="10" t="s">
        <v>198</v>
      </c>
      <c r="G956" s="10" t="b">
        <v>0</v>
      </c>
      <c r="I956" s="10">
        <v>1.0</v>
      </c>
      <c r="J956" s="10">
        <v>0.0</v>
      </c>
      <c r="K956" s="10">
        <v>1.0</v>
      </c>
    </row>
    <row r="957" ht="15.75" customHeight="1">
      <c r="A957" s="7" t="s">
        <v>3506</v>
      </c>
      <c r="B957" s="12" t="s">
        <v>3507</v>
      </c>
      <c r="C957" s="14" t="s">
        <v>1592</v>
      </c>
      <c r="D957" s="15" t="s">
        <v>34</v>
      </c>
      <c r="E957" s="16" t="s">
        <v>24</v>
      </c>
      <c r="F957" s="10" t="s">
        <v>35</v>
      </c>
      <c r="G957" s="10" t="b">
        <v>0</v>
      </c>
      <c r="H957" s="10" t="s">
        <v>1594</v>
      </c>
      <c r="I957" s="10">
        <v>1.0</v>
      </c>
      <c r="J957" s="10">
        <v>0.0</v>
      </c>
      <c r="K957" s="10">
        <v>0.0</v>
      </c>
    </row>
    <row r="958" ht="15.75" customHeight="1">
      <c r="A958" s="7" t="s">
        <v>3508</v>
      </c>
      <c r="B958" s="16"/>
      <c r="C958" s="14" t="s">
        <v>1595</v>
      </c>
      <c r="D958" s="15" t="s">
        <v>176</v>
      </c>
      <c r="E958" s="16" t="s">
        <v>176</v>
      </c>
      <c r="F958" s="10" t="s">
        <v>91</v>
      </c>
      <c r="H958" s="10" t="s">
        <v>948</v>
      </c>
      <c r="I958" s="10">
        <v>1.0</v>
      </c>
      <c r="J958" s="10">
        <v>0.0</v>
      </c>
      <c r="K958" s="10">
        <v>0.0</v>
      </c>
    </row>
    <row r="959" ht="15.75" customHeight="1">
      <c r="A959" s="7" t="s">
        <v>3509</v>
      </c>
      <c r="B959" s="12" t="s">
        <v>3510</v>
      </c>
      <c r="C959" s="12" t="s">
        <v>162</v>
      </c>
      <c r="D959" s="15" t="s">
        <v>34</v>
      </c>
      <c r="E959" s="16" t="s">
        <v>24</v>
      </c>
      <c r="F959" s="10" t="s">
        <v>35</v>
      </c>
      <c r="G959" s="10" t="b">
        <v>0</v>
      </c>
      <c r="H959" s="10" t="s">
        <v>166</v>
      </c>
      <c r="I959" s="10">
        <v>1.0</v>
      </c>
      <c r="J959" s="10">
        <v>0.0</v>
      </c>
      <c r="K959" s="10">
        <v>3.0</v>
      </c>
    </row>
    <row r="960" ht="15.75" customHeight="1">
      <c r="A960" s="7" t="s">
        <v>3511</v>
      </c>
      <c r="B960" s="12" t="s">
        <v>3512</v>
      </c>
      <c r="C960" s="14" t="s">
        <v>1598</v>
      </c>
      <c r="D960" s="15" t="s">
        <v>176</v>
      </c>
      <c r="E960" s="16" t="s">
        <v>1000</v>
      </c>
      <c r="F960" s="10" t="s">
        <v>91</v>
      </c>
      <c r="G960" s="10" t="b">
        <v>0</v>
      </c>
      <c r="I960" s="10">
        <v>1.0</v>
      </c>
      <c r="J960" s="10">
        <v>0.0</v>
      </c>
      <c r="K960" s="10">
        <v>2.0</v>
      </c>
    </row>
    <row r="961" ht="15.75" customHeight="1">
      <c r="A961" s="7" t="s">
        <v>3513</v>
      </c>
      <c r="B961" s="12" t="s">
        <v>3514</v>
      </c>
      <c r="C961" s="14" t="s">
        <v>1603</v>
      </c>
      <c r="D961" s="15" t="s">
        <v>196</v>
      </c>
      <c r="E961" s="16" t="s">
        <v>24</v>
      </c>
      <c r="F961" s="10" t="s">
        <v>198</v>
      </c>
      <c r="G961" s="10" t="b">
        <v>0</v>
      </c>
      <c r="I961" s="10">
        <v>1.0</v>
      </c>
      <c r="J961" s="10">
        <v>0.0</v>
      </c>
      <c r="K961" s="10">
        <v>0.0</v>
      </c>
    </row>
    <row r="962" ht="15.75" customHeight="1">
      <c r="A962" s="7" t="s">
        <v>3515</v>
      </c>
      <c r="B962" s="12" t="s">
        <v>3516</v>
      </c>
      <c r="C962" s="14" t="s">
        <v>1606</v>
      </c>
      <c r="D962" s="15" t="s">
        <v>51</v>
      </c>
      <c r="E962" s="16" t="s">
        <v>43</v>
      </c>
      <c r="F962" s="10" t="s">
        <v>52</v>
      </c>
      <c r="G962" s="10" t="b">
        <v>0</v>
      </c>
      <c r="H962" s="10" t="s">
        <v>3517</v>
      </c>
      <c r="I962" s="10">
        <v>1.0</v>
      </c>
      <c r="J962" s="10">
        <v>0.0</v>
      </c>
      <c r="K962" s="10">
        <v>1.0</v>
      </c>
    </row>
    <row r="963" ht="15.75" customHeight="1">
      <c r="A963" s="7" t="s">
        <v>3518</v>
      </c>
      <c r="B963" s="12" t="s">
        <v>3519</v>
      </c>
      <c r="C963" s="12" t="s">
        <v>702</v>
      </c>
      <c r="D963" s="15" t="s">
        <v>176</v>
      </c>
      <c r="E963" s="16" t="s">
        <v>24</v>
      </c>
      <c r="F963" s="10" t="s">
        <v>91</v>
      </c>
      <c r="G963" s="10" t="b">
        <v>0</v>
      </c>
      <c r="I963" s="10">
        <v>1.0</v>
      </c>
      <c r="J963" s="10">
        <v>0.0</v>
      </c>
      <c r="K963" s="10">
        <v>1.0</v>
      </c>
    </row>
    <row r="964" ht="15.75" customHeight="1">
      <c r="A964" s="7" t="s">
        <v>3520</v>
      </c>
      <c r="B964" s="12" t="s">
        <v>3521</v>
      </c>
      <c r="C964" s="12" t="s">
        <v>702</v>
      </c>
      <c r="D964" s="15" t="s">
        <v>196</v>
      </c>
      <c r="E964" s="16" t="s">
        <v>24</v>
      </c>
      <c r="F964" s="10" t="s">
        <v>198</v>
      </c>
      <c r="G964" s="10" t="b">
        <v>0</v>
      </c>
      <c r="I964" s="10">
        <v>1.0</v>
      </c>
      <c r="J964" s="10">
        <v>0.0</v>
      </c>
      <c r="K964" s="10">
        <v>1.0</v>
      </c>
    </row>
    <row r="965" ht="15.75" customHeight="1">
      <c r="A965" s="7" t="s">
        <v>3522</v>
      </c>
      <c r="B965" s="12" t="s">
        <v>3523</v>
      </c>
      <c r="C965" s="14" t="s">
        <v>1611</v>
      </c>
      <c r="D965" s="15" t="s">
        <v>51</v>
      </c>
      <c r="E965" s="16" t="s">
        <v>107</v>
      </c>
      <c r="F965" s="10" t="s">
        <v>52</v>
      </c>
      <c r="G965" s="10" t="b">
        <v>0</v>
      </c>
      <c r="H965" s="10" t="s">
        <v>1613</v>
      </c>
      <c r="I965" s="10">
        <v>1.0</v>
      </c>
      <c r="J965" s="10">
        <v>0.0</v>
      </c>
      <c r="K965" s="10">
        <v>1.0</v>
      </c>
    </row>
    <row r="966" ht="15.75" customHeight="1">
      <c r="A966" s="7" t="s">
        <v>3524</v>
      </c>
      <c r="B966" s="12" t="s">
        <v>3525</v>
      </c>
      <c r="C966" s="14" t="s">
        <v>1614</v>
      </c>
      <c r="D966" s="15" t="s">
        <v>176</v>
      </c>
      <c r="E966" s="16" t="s">
        <v>24</v>
      </c>
      <c r="F966" s="10" t="s">
        <v>91</v>
      </c>
      <c r="G966" s="10" t="b">
        <v>0</v>
      </c>
      <c r="I966" s="10">
        <v>1.0</v>
      </c>
      <c r="J966" s="10">
        <v>0.0</v>
      </c>
      <c r="K966" s="10">
        <v>0.0</v>
      </c>
    </row>
    <row r="967" ht="15.75" customHeight="1">
      <c r="A967" s="7" t="s">
        <v>3526</v>
      </c>
      <c r="B967" s="12" t="s">
        <v>3527</v>
      </c>
      <c r="C967" s="14" t="s">
        <v>1099</v>
      </c>
      <c r="D967" s="15" t="s">
        <v>34</v>
      </c>
      <c r="E967" s="16" t="s">
        <v>24</v>
      </c>
      <c r="F967" s="10" t="s">
        <v>35</v>
      </c>
      <c r="G967" s="10" t="b">
        <v>0</v>
      </c>
      <c r="I967" s="10">
        <v>1.0</v>
      </c>
      <c r="J967" s="10">
        <v>0.0</v>
      </c>
      <c r="K967" s="10">
        <v>1.0</v>
      </c>
    </row>
    <row r="968" ht="15.75" customHeight="1">
      <c r="A968" s="7" t="s">
        <v>3528</v>
      </c>
      <c r="B968" s="12" t="s">
        <v>3529</v>
      </c>
      <c r="C968" s="14" t="s">
        <v>1616</v>
      </c>
      <c r="D968" s="15" t="s">
        <v>34</v>
      </c>
      <c r="E968" s="16" t="s">
        <v>107</v>
      </c>
      <c r="F968" s="10" t="s">
        <v>35</v>
      </c>
      <c r="G968" s="10" t="b">
        <v>0</v>
      </c>
      <c r="H968" s="10" t="s">
        <v>3530</v>
      </c>
      <c r="I968" s="10">
        <v>1.0</v>
      </c>
      <c r="J968" s="10">
        <v>0.0</v>
      </c>
      <c r="K968" s="10">
        <v>1.0</v>
      </c>
    </row>
    <row r="969" ht="15.75" customHeight="1">
      <c r="A969" s="7" t="s">
        <v>3531</v>
      </c>
      <c r="B969" s="12" t="s">
        <v>3532</v>
      </c>
      <c r="C969" s="14" t="s">
        <v>1619</v>
      </c>
      <c r="D969" s="15" t="s">
        <v>34</v>
      </c>
      <c r="E969" s="16" t="s">
        <v>24</v>
      </c>
      <c r="F969" s="10" t="s">
        <v>35</v>
      </c>
      <c r="G969" s="10" t="b">
        <v>0</v>
      </c>
      <c r="H969" s="10" t="s">
        <v>3533</v>
      </c>
      <c r="I969" s="10">
        <v>1.0</v>
      </c>
      <c r="J969" s="10">
        <v>0.0</v>
      </c>
      <c r="K969" s="10">
        <v>0.0</v>
      </c>
    </row>
    <row r="970" ht="15.75" customHeight="1">
      <c r="A970" s="7" t="s">
        <v>3534</v>
      </c>
      <c r="B970" s="12" t="s">
        <v>3535</v>
      </c>
      <c r="C970" s="14" t="s">
        <v>1623</v>
      </c>
      <c r="D970" s="15" t="s">
        <v>34</v>
      </c>
      <c r="E970" s="16" t="s">
        <v>44</v>
      </c>
      <c r="F970" s="10" t="s">
        <v>35</v>
      </c>
      <c r="G970" s="10" t="b">
        <v>0</v>
      </c>
      <c r="H970" s="10" t="s">
        <v>340</v>
      </c>
      <c r="I970" s="10">
        <v>1.0</v>
      </c>
      <c r="J970" s="10">
        <v>0.0</v>
      </c>
      <c r="K970" s="10">
        <v>0.0</v>
      </c>
    </row>
    <row r="971" ht="15.75" customHeight="1">
      <c r="A971" s="7" t="s">
        <v>3536</v>
      </c>
      <c r="B971" s="12" t="s">
        <v>3537</v>
      </c>
      <c r="C971" s="14" t="s">
        <v>925</v>
      </c>
      <c r="D971" s="15" t="s">
        <v>196</v>
      </c>
      <c r="E971" s="16" t="s">
        <v>24</v>
      </c>
      <c r="F971" s="10" t="s">
        <v>198</v>
      </c>
      <c r="G971" s="10" t="b">
        <v>0</v>
      </c>
      <c r="I971" s="10">
        <v>1.0</v>
      </c>
      <c r="J971" s="10">
        <v>0.0</v>
      </c>
      <c r="K971" s="10">
        <v>0.0</v>
      </c>
    </row>
    <row r="972" ht="15.75" customHeight="1">
      <c r="A972" s="7" t="s">
        <v>3538</v>
      </c>
      <c r="B972" s="12" t="s">
        <v>3539</v>
      </c>
      <c r="C972" s="14" t="s">
        <v>1626</v>
      </c>
      <c r="D972" s="15" t="s">
        <v>196</v>
      </c>
      <c r="E972" s="16" t="s">
        <v>24</v>
      </c>
      <c r="F972" s="10" t="s">
        <v>198</v>
      </c>
      <c r="G972" s="10" t="b">
        <v>0</v>
      </c>
      <c r="H972" s="10" t="s">
        <v>561</v>
      </c>
      <c r="I972" s="10">
        <v>1.0</v>
      </c>
      <c r="J972" s="10">
        <v>0.0</v>
      </c>
      <c r="K972" s="10">
        <v>0.0</v>
      </c>
    </row>
    <row r="973" ht="15.75" customHeight="1">
      <c r="A973" s="7" t="s">
        <v>3540</v>
      </c>
      <c r="B973" s="12" t="s">
        <v>3541</v>
      </c>
      <c r="C973" s="14" t="s">
        <v>1629</v>
      </c>
      <c r="D973" s="15" t="s">
        <v>51</v>
      </c>
      <c r="E973" s="16" t="s">
        <v>24</v>
      </c>
      <c r="F973" s="10" t="s">
        <v>52</v>
      </c>
      <c r="G973" s="10" t="b">
        <v>0</v>
      </c>
      <c r="I973" s="10">
        <v>1.0</v>
      </c>
      <c r="J973" s="10">
        <v>0.0</v>
      </c>
      <c r="K973" s="10">
        <v>1.0</v>
      </c>
    </row>
    <row r="974" ht="15.75" customHeight="1">
      <c r="A974" s="7" t="s">
        <v>3542</v>
      </c>
      <c r="B974" s="12" t="s">
        <v>2760</v>
      </c>
      <c r="C974" s="14" t="s">
        <v>699</v>
      </c>
      <c r="D974" s="15" t="s">
        <v>51</v>
      </c>
      <c r="E974" s="16" t="s">
        <v>99</v>
      </c>
      <c r="F974" s="10" t="s">
        <v>52</v>
      </c>
      <c r="G974" s="10" t="b">
        <v>0</v>
      </c>
      <c r="I974" s="10">
        <v>1.0</v>
      </c>
      <c r="J974" s="10">
        <v>0.0</v>
      </c>
      <c r="K974" s="10">
        <v>0.0</v>
      </c>
    </row>
    <row r="975" ht="15.75" customHeight="1">
      <c r="A975" s="7" t="s">
        <v>3543</v>
      </c>
      <c r="B975" s="12" t="s">
        <v>3544</v>
      </c>
      <c r="C975" s="14" t="s">
        <v>1632</v>
      </c>
      <c r="D975" s="15" t="s">
        <v>176</v>
      </c>
      <c r="E975" s="16" t="s">
        <v>24</v>
      </c>
      <c r="F975" s="10" t="s">
        <v>91</v>
      </c>
      <c r="G975" s="10" t="b">
        <v>0</v>
      </c>
      <c r="H975" s="10" t="s">
        <v>384</v>
      </c>
      <c r="I975" s="10">
        <v>1.0</v>
      </c>
      <c r="J975" s="10">
        <v>0.0</v>
      </c>
      <c r="K975" s="10">
        <v>1.0</v>
      </c>
    </row>
    <row r="976" ht="15.75" customHeight="1">
      <c r="A976" s="7" t="s">
        <v>3545</v>
      </c>
      <c r="B976" s="16"/>
      <c r="C976" s="14" t="s">
        <v>648</v>
      </c>
      <c r="D976" s="15" t="s">
        <v>176</v>
      </c>
      <c r="E976" s="16" t="s">
        <v>24</v>
      </c>
      <c r="F976" s="10" t="s">
        <v>91</v>
      </c>
      <c r="H976" s="10" t="s">
        <v>948</v>
      </c>
      <c r="I976" s="10">
        <v>1.0</v>
      </c>
      <c r="J976" s="10">
        <v>0.0</v>
      </c>
      <c r="K976" s="10">
        <v>1.0</v>
      </c>
    </row>
    <row r="977" ht="15.75" customHeight="1">
      <c r="A977" s="7" t="s">
        <v>3546</v>
      </c>
      <c r="B977" s="12" t="s">
        <v>3547</v>
      </c>
      <c r="C977" s="14" t="s">
        <v>2537</v>
      </c>
      <c r="D977" s="15" t="s">
        <v>749</v>
      </c>
      <c r="E977" s="16" t="s">
        <v>176</v>
      </c>
      <c r="F977" s="10" t="s">
        <v>750</v>
      </c>
      <c r="G977" s="10" t="b">
        <v>0</v>
      </c>
      <c r="H977" s="10" t="s">
        <v>574</v>
      </c>
      <c r="I977" s="10">
        <v>1.0</v>
      </c>
      <c r="J977" s="10">
        <v>0.0</v>
      </c>
      <c r="K977" s="10">
        <v>1.0</v>
      </c>
    </row>
    <row r="978" ht="15.75" customHeight="1">
      <c r="A978" s="7" t="s">
        <v>3548</v>
      </c>
      <c r="B978" s="12" t="s">
        <v>3549</v>
      </c>
      <c r="C978" s="14" t="s">
        <v>193</v>
      </c>
      <c r="D978" s="15" t="s">
        <v>51</v>
      </c>
      <c r="E978" s="16" t="s">
        <v>44</v>
      </c>
      <c r="F978" s="10" t="s">
        <v>52</v>
      </c>
      <c r="G978" s="10" t="b">
        <v>0</v>
      </c>
      <c r="H978" s="10" t="s">
        <v>3550</v>
      </c>
      <c r="I978" s="10">
        <v>1.0</v>
      </c>
      <c r="J978" s="10">
        <v>0.0</v>
      </c>
      <c r="K978" s="10">
        <v>1.0</v>
      </c>
    </row>
    <row r="979" ht="15.75" customHeight="1">
      <c r="A979" s="7" t="s">
        <v>3551</v>
      </c>
      <c r="B979" s="12" t="s">
        <v>3552</v>
      </c>
      <c r="C979" s="14" t="s">
        <v>193</v>
      </c>
      <c r="D979" s="15" t="s">
        <v>51</v>
      </c>
      <c r="E979" s="16" t="s">
        <v>44</v>
      </c>
      <c r="F979" s="10" t="s">
        <v>52</v>
      </c>
      <c r="G979" s="10" t="b">
        <v>0</v>
      </c>
      <c r="H979" s="10" t="s">
        <v>3553</v>
      </c>
      <c r="I979" s="10">
        <v>1.0</v>
      </c>
      <c r="J979" s="10">
        <v>0.0</v>
      </c>
      <c r="K979" s="10">
        <v>1.0</v>
      </c>
    </row>
    <row r="980" ht="15.75" customHeight="1">
      <c r="A980" s="7" t="s">
        <v>3554</v>
      </c>
      <c r="B980" s="12" t="s">
        <v>3555</v>
      </c>
      <c r="C980" s="14" t="s">
        <v>193</v>
      </c>
      <c r="D980" s="15" t="s">
        <v>51</v>
      </c>
      <c r="E980" s="16" t="s">
        <v>44</v>
      </c>
      <c r="F980" s="10" t="s">
        <v>52</v>
      </c>
      <c r="G980" s="10" t="b">
        <v>0</v>
      </c>
      <c r="H980" s="10" t="s">
        <v>1859</v>
      </c>
      <c r="I980" s="10">
        <v>1.0</v>
      </c>
      <c r="J980" s="10">
        <v>0.0</v>
      </c>
      <c r="K980" s="10">
        <v>1.0</v>
      </c>
    </row>
    <row r="981" ht="15.75" customHeight="1">
      <c r="A981" s="7" t="s">
        <v>3556</v>
      </c>
      <c r="B981" s="12" t="s">
        <v>3557</v>
      </c>
      <c r="C981" s="14" t="s">
        <v>193</v>
      </c>
      <c r="D981" s="15" t="s">
        <v>51</v>
      </c>
      <c r="E981" s="16" t="s">
        <v>44</v>
      </c>
      <c r="F981" s="10" t="s">
        <v>52</v>
      </c>
      <c r="G981" s="10" t="b">
        <v>0</v>
      </c>
      <c r="H981" s="10" t="s">
        <v>3558</v>
      </c>
      <c r="I981" s="10">
        <v>1.0</v>
      </c>
      <c r="J981" s="10">
        <v>0.0</v>
      </c>
      <c r="K981" s="10">
        <v>1.0</v>
      </c>
    </row>
    <row r="982" ht="15.75" customHeight="1">
      <c r="A982" s="7" t="s">
        <v>3559</v>
      </c>
      <c r="B982" s="12" t="s">
        <v>3560</v>
      </c>
      <c r="C982" s="14" t="s">
        <v>193</v>
      </c>
      <c r="D982" s="15" t="s">
        <v>51</v>
      </c>
      <c r="E982" s="16" t="s">
        <v>44</v>
      </c>
      <c r="F982" s="10" t="s">
        <v>52</v>
      </c>
      <c r="G982" s="10" t="b">
        <v>0</v>
      </c>
      <c r="H982" s="10" t="s">
        <v>3561</v>
      </c>
      <c r="I982" s="10">
        <v>1.0</v>
      </c>
      <c r="J982" s="10">
        <v>0.0</v>
      </c>
      <c r="K982" s="10">
        <v>1.0</v>
      </c>
    </row>
    <row r="983" ht="15.75" customHeight="1">
      <c r="A983" s="7" t="s">
        <v>3562</v>
      </c>
      <c r="B983" s="16"/>
      <c r="C983" s="14" t="s">
        <v>193</v>
      </c>
      <c r="D983" s="15" t="s">
        <v>176</v>
      </c>
      <c r="E983" s="16" t="s">
        <v>176</v>
      </c>
      <c r="F983" s="10" t="s">
        <v>91</v>
      </c>
      <c r="H983" s="10" t="s">
        <v>948</v>
      </c>
      <c r="I983" s="10">
        <v>1.0</v>
      </c>
      <c r="J983" s="10">
        <v>0.0</v>
      </c>
      <c r="K983" s="10">
        <v>1.0</v>
      </c>
    </row>
    <row r="984" ht="15.75" customHeight="1">
      <c r="A984" s="7" t="s">
        <v>3563</v>
      </c>
      <c r="B984" s="12" t="s">
        <v>3564</v>
      </c>
      <c r="C984" s="14" t="s">
        <v>2234</v>
      </c>
      <c r="D984" s="15" t="s">
        <v>22</v>
      </c>
      <c r="E984" s="16" t="s">
        <v>24</v>
      </c>
      <c r="F984" s="10" t="s">
        <v>25</v>
      </c>
      <c r="G984" s="10" t="b">
        <v>0</v>
      </c>
      <c r="H984" s="10" t="s">
        <v>3565</v>
      </c>
      <c r="I984" s="10">
        <v>1.0</v>
      </c>
      <c r="J984" s="10">
        <v>0.0</v>
      </c>
      <c r="K984" s="10">
        <v>1.0</v>
      </c>
    </row>
    <row r="985" ht="15.75" customHeight="1">
      <c r="A985" s="7" t="s">
        <v>3566</v>
      </c>
      <c r="B985" s="12" t="s">
        <v>3567</v>
      </c>
      <c r="C985" s="14" t="s">
        <v>537</v>
      </c>
      <c r="D985" s="15" t="s">
        <v>51</v>
      </c>
      <c r="E985" s="16" t="s">
        <v>43</v>
      </c>
      <c r="F985" s="10" t="s">
        <v>52</v>
      </c>
      <c r="G985" s="10" t="b">
        <v>0</v>
      </c>
      <c r="H985" s="10" t="s">
        <v>604</v>
      </c>
      <c r="I985" s="10">
        <v>1.0</v>
      </c>
      <c r="J985" s="10">
        <v>0.0</v>
      </c>
      <c r="K985" s="10">
        <v>1.0</v>
      </c>
    </row>
    <row r="986" ht="15.75" customHeight="1">
      <c r="A986" s="7" t="s">
        <v>3568</v>
      </c>
      <c r="B986" s="12" t="s">
        <v>3569</v>
      </c>
      <c r="C986" s="14" t="s">
        <v>537</v>
      </c>
      <c r="D986" s="15" t="s">
        <v>51</v>
      </c>
      <c r="E986" s="16" t="s">
        <v>43</v>
      </c>
      <c r="F986" s="10" t="s">
        <v>52</v>
      </c>
      <c r="G986" s="10" t="b">
        <v>0</v>
      </c>
      <c r="H986" s="10" t="s">
        <v>3570</v>
      </c>
      <c r="I986" s="10">
        <v>1.0</v>
      </c>
      <c r="J986" s="10">
        <v>0.0</v>
      </c>
      <c r="K986" s="10">
        <v>2.0</v>
      </c>
    </row>
    <row r="987" ht="15.75" customHeight="1">
      <c r="A987" s="7" t="s">
        <v>3571</v>
      </c>
      <c r="B987" s="12" t="s">
        <v>3572</v>
      </c>
      <c r="C987" s="14" t="s">
        <v>1635</v>
      </c>
      <c r="D987" s="15" t="s">
        <v>176</v>
      </c>
      <c r="E987" s="16" t="s">
        <v>24</v>
      </c>
      <c r="F987" s="10" t="s">
        <v>91</v>
      </c>
      <c r="G987" s="10" t="b">
        <v>0</v>
      </c>
      <c r="I987" s="10">
        <v>1.0</v>
      </c>
      <c r="J987" s="10">
        <v>0.0</v>
      </c>
      <c r="K987" s="10">
        <v>1.0</v>
      </c>
    </row>
    <row r="988" ht="15.75" customHeight="1">
      <c r="A988" s="7" t="s">
        <v>3573</v>
      </c>
      <c r="B988" s="12" t="s">
        <v>3574</v>
      </c>
      <c r="C988" s="14" t="s">
        <v>1637</v>
      </c>
      <c r="D988" s="15" t="s">
        <v>34</v>
      </c>
      <c r="E988" s="16" t="s">
        <v>24</v>
      </c>
      <c r="F988" s="10" t="s">
        <v>35</v>
      </c>
      <c r="G988" s="10" t="b">
        <v>0</v>
      </c>
      <c r="H988" s="10" t="s">
        <v>3575</v>
      </c>
      <c r="I988" s="10">
        <v>1.0</v>
      </c>
      <c r="J988" s="10">
        <v>0.0</v>
      </c>
      <c r="K988" s="10">
        <v>1.0</v>
      </c>
    </row>
    <row r="989" ht="15.75" customHeight="1">
      <c r="A989" s="7" t="s">
        <v>3576</v>
      </c>
      <c r="B989" s="12" t="s">
        <v>3577</v>
      </c>
      <c r="C989" s="14" t="s">
        <v>793</v>
      </c>
      <c r="D989" s="15" t="s">
        <v>196</v>
      </c>
      <c r="E989" s="16" t="s">
        <v>24</v>
      </c>
      <c r="F989" s="10" t="s">
        <v>198</v>
      </c>
      <c r="G989" s="10" t="b">
        <v>0</v>
      </c>
      <c r="H989" s="10" t="s">
        <v>798</v>
      </c>
      <c r="I989" s="10">
        <v>1.0</v>
      </c>
      <c r="J989" s="10">
        <v>0.0</v>
      </c>
      <c r="K989" s="10">
        <v>2.0</v>
      </c>
    </row>
    <row r="990" ht="15.75" customHeight="1">
      <c r="A990" s="7" t="s">
        <v>3578</v>
      </c>
      <c r="B990" s="12" t="s">
        <v>3579</v>
      </c>
      <c r="C990" s="14" t="s">
        <v>460</v>
      </c>
      <c r="D990" s="15" t="s">
        <v>240</v>
      </c>
      <c r="E990" s="16" t="s">
        <v>107</v>
      </c>
      <c r="F990" s="10" t="s">
        <v>241</v>
      </c>
      <c r="G990" s="10" t="b">
        <v>0</v>
      </c>
      <c r="H990" s="10" t="s">
        <v>461</v>
      </c>
      <c r="I990" s="10">
        <v>1.0</v>
      </c>
      <c r="J990" s="10">
        <v>0.0</v>
      </c>
      <c r="K990" s="10">
        <v>1.0</v>
      </c>
    </row>
    <row r="991" ht="15.75" customHeight="1">
      <c r="A991" s="7" t="s">
        <v>3580</v>
      </c>
      <c r="B991" s="12" t="s">
        <v>3581</v>
      </c>
      <c r="C991" s="14" t="s">
        <v>460</v>
      </c>
      <c r="D991" s="15" t="s">
        <v>749</v>
      </c>
      <c r="E991" s="16" t="s">
        <v>107</v>
      </c>
      <c r="F991" s="10" t="s">
        <v>750</v>
      </c>
      <c r="G991" s="10" t="b">
        <v>0</v>
      </c>
      <c r="H991" s="10" t="s">
        <v>461</v>
      </c>
      <c r="I991" s="10">
        <v>1.0</v>
      </c>
      <c r="J991" s="10">
        <v>0.0</v>
      </c>
      <c r="K991" s="10">
        <v>2.0</v>
      </c>
    </row>
    <row r="992" ht="15.75" customHeight="1">
      <c r="A992" s="7" t="s">
        <v>3582</v>
      </c>
      <c r="B992" s="12" t="s">
        <v>3583</v>
      </c>
      <c r="C992" s="14" t="s">
        <v>460</v>
      </c>
      <c r="D992" s="15" t="s">
        <v>749</v>
      </c>
      <c r="E992" s="16" t="s">
        <v>107</v>
      </c>
      <c r="F992" s="10" t="s">
        <v>750</v>
      </c>
      <c r="G992" s="10" t="b">
        <v>0</v>
      </c>
      <c r="H992" s="10" t="s">
        <v>461</v>
      </c>
      <c r="I992" s="10">
        <v>1.0</v>
      </c>
      <c r="J992" s="10">
        <v>0.0</v>
      </c>
      <c r="K992" s="10">
        <v>1.0</v>
      </c>
    </row>
    <row r="993" ht="15.75" customHeight="1">
      <c r="A993" s="7" t="s">
        <v>3584</v>
      </c>
      <c r="B993" s="12" t="s">
        <v>3585</v>
      </c>
      <c r="C993" s="14" t="s">
        <v>460</v>
      </c>
      <c r="D993" s="15" t="s">
        <v>196</v>
      </c>
      <c r="E993" s="16" t="s">
        <v>107</v>
      </c>
      <c r="F993" s="10" t="s">
        <v>198</v>
      </c>
      <c r="G993" s="10" t="b">
        <v>0</v>
      </c>
      <c r="H993" s="10" t="s">
        <v>461</v>
      </c>
      <c r="I993" s="10">
        <v>1.0</v>
      </c>
      <c r="J993" s="10">
        <v>0.0</v>
      </c>
      <c r="K993" s="10">
        <v>0.0</v>
      </c>
    </row>
    <row r="994" ht="15.75" customHeight="1">
      <c r="A994" s="7" t="s">
        <v>3586</v>
      </c>
      <c r="B994" s="12" t="s">
        <v>3587</v>
      </c>
      <c r="C994" s="14" t="s">
        <v>48</v>
      </c>
      <c r="D994" s="15" t="s">
        <v>22</v>
      </c>
      <c r="E994" s="16" t="s">
        <v>24</v>
      </c>
      <c r="F994" s="10" t="s">
        <v>25</v>
      </c>
      <c r="G994" s="10" t="b">
        <v>0</v>
      </c>
      <c r="H994" s="10" t="s">
        <v>3588</v>
      </c>
      <c r="I994" s="10">
        <v>1.0</v>
      </c>
      <c r="J994" s="10">
        <v>0.0</v>
      </c>
      <c r="K994" s="10">
        <v>0.0</v>
      </c>
    </row>
    <row r="995">
      <c r="A995" s="7" t="s">
        <v>3589</v>
      </c>
      <c r="B995" s="12" t="s">
        <v>3590</v>
      </c>
      <c r="C995" s="14" t="s">
        <v>48</v>
      </c>
      <c r="D995" s="15" t="s">
        <v>34</v>
      </c>
      <c r="E995" s="16" t="s">
        <v>24</v>
      </c>
      <c r="F995" s="10" t="s">
        <v>35</v>
      </c>
      <c r="G995" s="10" t="b">
        <v>0</v>
      </c>
      <c r="H995" s="10" t="s">
        <v>3591</v>
      </c>
      <c r="I995" s="10">
        <v>1.0</v>
      </c>
      <c r="J995" s="10">
        <v>0.0</v>
      </c>
      <c r="K995" s="10">
        <v>0.0</v>
      </c>
    </row>
    <row r="996">
      <c r="A996" s="7" t="s">
        <v>3592</v>
      </c>
      <c r="B996" s="12" t="s">
        <v>3593</v>
      </c>
      <c r="C996" s="14" t="s">
        <v>1642</v>
      </c>
      <c r="D996" s="15" t="s">
        <v>196</v>
      </c>
      <c r="E996" s="16" t="s">
        <v>24</v>
      </c>
      <c r="F996" s="10" t="s">
        <v>198</v>
      </c>
      <c r="G996" s="10" t="b">
        <v>0</v>
      </c>
      <c r="H996" s="10" t="s">
        <v>1442</v>
      </c>
      <c r="I996" s="10">
        <v>1.0</v>
      </c>
      <c r="J996" s="10">
        <v>0.0</v>
      </c>
      <c r="K996" s="10">
        <v>1.0</v>
      </c>
    </row>
    <row r="997">
      <c r="A997" s="7" t="s">
        <v>3594</v>
      </c>
      <c r="B997" s="12" t="s">
        <v>3595</v>
      </c>
      <c r="C997" s="14" t="s">
        <v>124</v>
      </c>
      <c r="D997" s="15" t="s">
        <v>22</v>
      </c>
      <c r="E997" s="16" t="s">
        <v>43</v>
      </c>
      <c r="F997" s="10" t="s">
        <v>25</v>
      </c>
      <c r="G997" s="10" t="b">
        <v>0</v>
      </c>
      <c r="H997" s="10" t="s">
        <v>3596</v>
      </c>
      <c r="I997" s="10">
        <v>1.0</v>
      </c>
      <c r="J997" s="10">
        <v>0.0</v>
      </c>
      <c r="K997" s="10">
        <v>1.0</v>
      </c>
    </row>
    <row r="998">
      <c r="A998" s="7" t="s">
        <v>3597</v>
      </c>
      <c r="B998" s="12" t="s">
        <v>3598</v>
      </c>
      <c r="C998" s="14" t="s">
        <v>124</v>
      </c>
      <c r="D998" s="15" t="s">
        <v>22</v>
      </c>
      <c r="E998" s="16" t="s">
        <v>43</v>
      </c>
      <c r="F998" s="10" t="s">
        <v>25</v>
      </c>
      <c r="G998" s="10" t="b">
        <v>0</v>
      </c>
      <c r="H998" s="10" t="s">
        <v>3599</v>
      </c>
      <c r="I998" s="10">
        <v>1.0</v>
      </c>
      <c r="J998" s="10">
        <v>0.0</v>
      </c>
      <c r="K998" s="10">
        <v>1.0</v>
      </c>
    </row>
    <row r="999">
      <c r="A999" s="7" t="s">
        <v>3600</v>
      </c>
      <c r="B999" s="12" t="s">
        <v>3601</v>
      </c>
      <c r="C999" s="14" t="s">
        <v>124</v>
      </c>
      <c r="D999" s="15" t="s">
        <v>51</v>
      </c>
      <c r="E999" s="16" t="s">
        <v>43</v>
      </c>
      <c r="F999" s="10" t="s">
        <v>52</v>
      </c>
      <c r="G999" s="10" t="b">
        <v>0</v>
      </c>
      <c r="H999" s="10" t="s">
        <v>3602</v>
      </c>
      <c r="I999" s="10">
        <v>1.0</v>
      </c>
      <c r="J999" s="10">
        <v>0.0</v>
      </c>
      <c r="K999" s="10">
        <v>0.0</v>
      </c>
    </row>
    <row r="1000">
      <c r="A1000" s="7" t="s">
        <v>3603</v>
      </c>
      <c r="B1000" s="12" t="s">
        <v>3604</v>
      </c>
      <c r="C1000" s="14" t="s">
        <v>1356</v>
      </c>
      <c r="D1000" s="15" t="s">
        <v>196</v>
      </c>
      <c r="E1000" s="16" t="s">
        <v>24</v>
      </c>
      <c r="F1000" s="10" t="s">
        <v>198</v>
      </c>
      <c r="G1000" s="10" t="b">
        <v>0</v>
      </c>
      <c r="H1000" s="10" t="s">
        <v>157</v>
      </c>
      <c r="I1000" s="10">
        <v>1.0</v>
      </c>
      <c r="J1000" s="10">
        <v>0.0</v>
      </c>
      <c r="K1000" s="10">
        <v>2.0</v>
      </c>
    </row>
    <row r="1001">
      <c r="A1001" s="7" t="s">
        <v>3605</v>
      </c>
      <c r="B1001" s="12" t="s">
        <v>3606</v>
      </c>
      <c r="C1001" s="14" t="s">
        <v>1644</v>
      </c>
      <c r="D1001" s="15" t="s">
        <v>404</v>
      </c>
      <c r="E1001" s="16" t="s">
        <v>24</v>
      </c>
      <c r="F1001" s="10" t="s">
        <v>405</v>
      </c>
      <c r="G1001" s="10" t="b">
        <v>0</v>
      </c>
      <c r="H1001" s="10" t="s">
        <v>1647</v>
      </c>
      <c r="I1001" s="10">
        <v>1.0</v>
      </c>
      <c r="J1001" s="10">
        <v>0.0</v>
      </c>
      <c r="K1001" s="10">
        <v>1.0</v>
      </c>
    </row>
    <row r="1002">
      <c r="A1002" s="7" t="s">
        <v>3607</v>
      </c>
      <c r="B1002" s="12" t="s">
        <v>3608</v>
      </c>
      <c r="C1002" s="14" t="s">
        <v>1648</v>
      </c>
      <c r="D1002" s="15" t="s">
        <v>240</v>
      </c>
      <c r="E1002" s="16" t="s">
        <v>24</v>
      </c>
      <c r="F1002" s="10" t="s">
        <v>241</v>
      </c>
      <c r="G1002" s="10" t="b">
        <v>0</v>
      </c>
      <c r="I1002" s="10">
        <v>1.0</v>
      </c>
      <c r="J1002" s="10">
        <v>0.0</v>
      </c>
      <c r="K1002" s="10">
        <v>0.0</v>
      </c>
    </row>
    <row r="1003">
      <c r="A1003" s="7" t="s">
        <v>3609</v>
      </c>
      <c r="B1003" s="12" t="s">
        <v>3610</v>
      </c>
      <c r="C1003" s="14" t="s">
        <v>1650</v>
      </c>
      <c r="D1003" s="15" t="s">
        <v>34</v>
      </c>
      <c r="E1003" s="16" t="s">
        <v>43</v>
      </c>
      <c r="F1003" s="10" t="s">
        <v>35</v>
      </c>
      <c r="G1003" s="10" t="b">
        <v>0</v>
      </c>
      <c r="H1003" s="10" t="s">
        <v>3611</v>
      </c>
      <c r="I1003" s="10">
        <v>1.0</v>
      </c>
      <c r="J1003" s="10">
        <v>0.0</v>
      </c>
      <c r="K1003" s="10">
        <v>0.0</v>
      </c>
    </row>
    <row r="1004">
      <c r="A1004" s="7" t="s">
        <v>3612</v>
      </c>
      <c r="B1004" s="12" t="s">
        <v>3613</v>
      </c>
      <c r="C1004" s="14" t="s">
        <v>1655</v>
      </c>
      <c r="D1004" s="15" t="s">
        <v>749</v>
      </c>
      <c r="E1004" s="16" t="s">
        <v>24</v>
      </c>
      <c r="F1004" s="10" t="s">
        <v>750</v>
      </c>
      <c r="G1004" s="10" t="b">
        <v>0</v>
      </c>
      <c r="I1004" s="10">
        <v>1.0</v>
      </c>
      <c r="J1004" s="10">
        <v>0.0</v>
      </c>
      <c r="K1004" s="10">
        <v>1.0</v>
      </c>
    </row>
    <row r="1005">
      <c r="A1005" s="7" t="s">
        <v>3614</v>
      </c>
      <c r="B1005" s="12" t="s">
        <v>3615</v>
      </c>
      <c r="C1005" s="14" t="s">
        <v>630</v>
      </c>
      <c r="D1005" s="15" t="s">
        <v>34</v>
      </c>
      <c r="E1005" s="16" t="s">
        <v>107</v>
      </c>
      <c r="F1005" s="10" t="s">
        <v>35</v>
      </c>
      <c r="G1005" s="10" t="b">
        <v>0</v>
      </c>
      <c r="H1005" s="10" t="s">
        <v>3616</v>
      </c>
      <c r="I1005" s="10">
        <v>1.0</v>
      </c>
      <c r="J1005" s="10">
        <v>0.0</v>
      </c>
      <c r="K1005" s="10">
        <v>0.0</v>
      </c>
    </row>
    <row r="1006">
      <c r="A1006" s="7" t="s">
        <v>3617</v>
      </c>
      <c r="B1006" s="12" t="s">
        <v>3618</v>
      </c>
      <c r="C1006" s="14" t="s">
        <v>630</v>
      </c>
      <c r="D1006" s="15" t="s">
        <v>34</v>
      </c>
      <c r="E1006" s="16" t="s">
        <v>107</v>
      </c>
      <c r="F1006" s="10" t="s">
        <v>35</v>
      </c>
      <c r="G1006" s="10" t="b">
        <v>0</v>
      </c>
      <c r="H1006" s="10" t="s">
        <v>3619</v>
      </c>
      <c r="I1006" s="10">
        <v>1.0</v>
      </c>
      <c r="J1006" s="10">
        <v>0.0</v>
      </c>
      <c r="K1006" s="10">
        <v>1.0</v>
      </c>
    </row>
    <row r="1007">
      <c r="A1007" s="7" t="s">
        <v>3620</v>
      </c>
      <c r="B1007" s="12" t="s">
        <v>3621</v>
      </c>
      <c r="C1007" s="14" t="s">
        <v>630</v>
      </c>
      <c r="D1007" s="15" t="s">
        <v>749</v>
      </c>
      <c r="E1007" s="16" t="s">
        <v>107</v>
      </c>
      <c r="F1007" s="10" t="s">
        <v>750</v>
      </c>
      <c r="G1007" s="10" t="b">
        <v>0</v>
      </c>
      <c r="H1007" s="10" t="s">
        <v>3622</v>
      </c>
      <c r="I1007" s="10">
        <v>1.0</v>
      </c>
      <c r="J1007" s="10">
        <v>0.0</v>
      </c>
      <c r="K1007" s="10">
        <v>1.0</v>
      </c>
    </row>
    <row r="1008">
      <c r="A1008" s="7" t="s">
        <v>3623</v>
      </c>
      <c r="B1008" s="12" t="s">
        <v>2782</v>
      </c>
      <c r="C1008" s="14" t="s">
        <v>630</v>
      </c>
      <c r="D1008" s="15" t="s">
        <v>34</v>
      </c>
      <c r="E1008" s="16" t="s">
        <v>107</v>
      </c>
      <c r="F1008" s="10" t="s">
        <v>35</v>
      </c>
      <c r="G1008" s="10" t="b">
        <v>0</v>
      </c>
      <c r="H1008" s="10" t="s">
        <v>2783</v>
      </c>
      <c r="I1008" s="10">
        <v>1.0</v>
      </c>
      <c r="J1008" s="10">
        <v>0.0</v>
      </c>
      <c r="K1008" s="10">
        <v>3.0</v>
      </c>
    </row>
    <row r="1009">
      <c r="A1009" s="7" t="s">
        <v>3624</v>
      </c>
      <c r="B1009" s="16"/>
      <c r="C1009" s="14" t="s">
        <v>1696</v>
      </c>
      <c r="D1009" s="15" t="s">
        <v>176</v>
      </c>
      <c r="E1009" s="16" t="s">
        <v>1000</v>
      </c>
      <c r="F1009" s="10" t="s">
        <v>91</v>
      </c>
      <c r="H1009" s="10" t="s">
        <v>948</v>
      </c>
      <c r="I1009" s="10">
        <v>1.0</v>
      </c>
      <c r="J1009" s="10">
        <v>0.0</v>
      </c>
      <c r="K1009" s="10">
        <v>0.0</v>
      </c>
    </row>
    <row r="1010">
      <c r="A1010" s="7" t="s">
        <v>3625</v>
      </c>
      <c r="B1010" s="12" t="s">
        <v>3626</v>
      </c>
      <c r="C1010" s="14" t="s">
        <v>1657</v>
      </c>
      <c r="D1010" s="15" t="s">
        <v>196</v>
      </c>
      <c r="E1010" s="16" t="s">
        <v>24</v>
      </c>
      <c r="F1010" s="10" t="s">
        <v>198</v>
      </c>
      <c r="G1010" s="10" t="b">
        <v>0</v>
      </c>
      <c r="H1010" s="10" t="s">
        <v>1659</v>
      </c>
      <c r="I1010" s="10">
        <v>1.0</v>
      </c>
      <c r="J1010" s="10">
        <v>0.0</v>
      </c>
      <c r="K1010" s="10">
        <v>1.0</v>
      </c>
    </row>
    <row r="1011">
      <c r="A1011" s="7" t="s">
        <v>3627</v>
      </c>
      <c r="B1011" s="12" t="s">
        <v>3628</v>
      </c>
      <c r="C1011" s="14" t="s">
        <v>1661</v>
      </c>
      <c r="D1011" s="15" t="s">
        <v>196</v>
      </c>
      <c r="E1011" s="16" t="s">
        <v>24</v>
      </c>
      <c r="F1011" s="10" t="s">
        <v>198</v>
      </c>
      <c r="G1011" s="10" t="b">
        <v>0</v>
      </c>
      <c r="H1011" s="10" t="s">
        <v>157</v>
      </c>
      <c r="I1011" s="10">
        <v>1.0</v>
      </c>
      <c r="J1011" s="10">
        <v>0.0</v>
      </c>
      <c r="K1011" s="10">
        <v>2.0</v>
      </c>
    </row>
    <row r="1012">
      <c r="A1012" s="7" t="s">
        <v>3629</v>
      </c>
      <c r="B1012" s="12" t="s">
        <v>3630</v>
      </c>
      <c r="C1012" s="14" t="s">
        <v>33</v>
      </c>
      <c r="D1012" s="15" t="s">
        <v>196</v>
      </c>
      <c r="E1012" s="16" t="s">
        <v>107</v>
      </c>
      <c r="F1012" s="10" t="s">
        <v>198</v>
      </c>
      <c r="G1012" s="10" t="b">
        <v>0</v>
      </c>
      <c r="H1012" s="10" t="s">
        <v>388</v>
      </c>
      <c r="I1012" s="10">
        <v>1.0</v>
      </c>
      <c r="J1012" s="10">
        <v>0.0</v>
      </c>
      <c r="K1012" s="10">
        <v>2.0</v>
      </c>
    </row>
    <row r="1013">
      <c r="A1013" s="7" t="s">
        <v>3631</v>
      </c>
      <c r="B1013" s="12" t="s">
        <v>3632</v>
      </c>
      <c r="C1013" s="14" t="s">
        <v>835</v>
      </c>
      <c r="D1013" s="15" t="s">
        <v>196</v>
      </c>
      <c r="E1013" s="16" t="s">
        <v>24</v>
      </c>
      <c r="F1013" s="10" t="s">
        <v>198</v>
      </c>
      <c r="G1013" s="10" t="b">
        <v>0</v>
      </c>
      <c r="I1013" s="10">
        <v>1.0</v>
      </c>
      <c r="J1013" s="10">
        <v>0.0</v>
      </c>
      <c r="K1013" s="10">
        <v>0.0</v>
      </c>
    </row>
    <row r="1014">
      <c r="A1014" s="7" t="s">
        <v>3633</v>
      </c>
      <c r="B1014" s="12" t="s">
        <v>3634</v>
      </c>
      <c r="C1014" s="14" t="s">
        <v>1663</v>
      </c>
      <c r="D1014" s="15" t="s">
        <v>176</v>
      </c>
      <c r="E1014" s="16" t="s">
        <v>176</v>
      </c>
      <c r="F1014" s="10" t="s">
        <v>91</v>
      </c>
      <c r="G1014" s="10" t="b">
        <v>0</v>
      </c>
      <c r="H1014" s="10" t="s">
        <v>3635</v>
      </c>
      <c r="I1014" s="10">
        <v>1.0</v>
      </c>
      <c r="J1014" s="10">
        <v>0.0</v>
      </c>
      <c r="K1014" s="10">
        <v>0.0</v>
      </c>
    </row>
    <row r="1015">
      <c r="A1015" s="7" t="s">
        <v>3636</v>
      </c>
      <c r="B1015" s="12" t="s">
        <v>3637</v>
      </c>
      <c r="C1015" s="14" t="s">
        <v>1666</v>
      </c>
      <c r="D1015" s="15" t="s">
        <v>176</v>
      </c>
      <c r="E1015" s="16" t="s">
        <v>24</v>
      </c>
      <c r="F1015" s="10" t="s">
        <v>91</v>
      </c>
      <c r="G1015" s="10" t="b">
        <v>0</v>
      </c>
      <c r="I1015" s="10">
        <v>1.0</v>
      </c>
      <c r="J1015" s="10">
        <v>0.0</v>
      </c>
      <c r="K1015" s="10">
        <v>1.0</v>
      </c>
    </row>
    <row r="1016">
      <c r="A1016" s="7" t="s">
        <v>3638</v>
      </c>
      <c r="B1016" s="12" t="s">
        <v>3639</v>
      </c>
      <c r="C1016" s="12" t="s">
        <v>281</v>
      </c>
      <c r="D1016" s="15" t="s">
        <v>240</v>
      </c>
      <c r="E1016" s="16" t="s">
        <v>24</v>
      </c>
      <c r="F1016" s="10" t="s">
        <v>241</v>
      </c>
      <c r="G1016" s="10" t="b">
        <v>0</v>
      </c>
      <c r="H1016" s="10" t="s">
        <v>1683</v>
      </c>
      <c r="I1016" s="10">
        <v>1.0</v>
      </c>
      <c r="J1016" s="10">
        <v>0.0</v>
      </c>
      <c r="K1016" s="10">
        <v>1.0</v>
      </c>
    </row>
    <row r="1017">
      <c r="A1017" s="7" t="s">
        <v>3640</v>
      </c>
      <c r="B1017" s="12" t="s">
        <v>3641</v>
      </c>
      <c r="C1017" s="12" t="s">
        <v>281</v>
      </c>
      <c r="D1017" s="15" t="s">
        <v>196</v>
      </c>
      <c r="E1017" s="16" t="s">
        <v>24</v>
      </c>
      <c r="F1017" s="10" t="s">
        <v>198</v>
      </c>
      <c r="G1017" s="10" t="b">
        <v>0</v>
      </c>
      <c r="H1017" s="10" t="s">
        <v>1683</v>
      </c>
      <c r="I1017" s="10">
        <v>1.0</v>
      </c>
      <c r="J1017" s="10">
        <v>0.0</v>
      </c>
      <c r="K1017" s="10">
        <v>1.0</v>
      </c>
    </row>
    <row r="1018">
      <c r="A1018" s="7" t="s">
        <v>3642</v>
      </c>
      <c r="B1018" s="12" t="s">
        <v>3643</v>
      </c>
      <c r="C1018" s="12" t="s">
        <v>281</v>
      </c>
      <c r="D1018" s="15" t="s">
        <v>196</v>
      </c>
      <c r="E1018" s="16" t="s">
        <v>24</v>
      </c>
      <c r="F1018" s="10" t="s">
        <v>198</v>
      </c>
      <c r="G1018" s="10" t="b">
        <v>0</v>
      </c>
      <c r="H1018" s="10" t="s">
        <v>1683</v>
      </c>
      <c r="I1018" s="10">
        <v>1.0</v>
      </c>
      <c r="J1018" s="10">
        <v>0.0</v>
      </c>
      <c r="K1018" s="10">
        <v>1.0</v>
      </c>
    </row>
    <row r="1019">
      <c r="A1019" s="7" t="s">
        <v>3644</v>
      </c>
      <c r="B1019" s="12" t="s">
        <v>3645</v>
      </c>
      <c r="C1019" s="12" t="s">
        <v>281</v>
      </c>
      <c r="D1019" s="15" t="s">
        <v>196</v>
      </c>
      <c r="E1019" s="16" t="s">
        <v>24</v>
      </c>
      <c r="F1019" s="10" t="s">
        <v>198</v>
      </c>
      <c r="G1019" s="10" t="b">
        <v>0</v>
      </c>
      <c r="H1019" s="10" t="s">
        <v>1683</v>
      </c>
      <c r="I1019" s="10">
        <v>1.0</v>
      </c>
      <c r="J1019" s="10">
        <v>0.0</v>
      </c>
      <c r="K1019" s="10">
        <v>1.0</v>
      </c>
    </row>
    <row r="1020">
      <c r="A1020" s="7" t="s">
        <v>3646</v>
      </c>
      <c r="B1020" s="12" t="s">
        <v>3647</v>
      </c>
      <c r="C1020" s="12" t="s">
        <v>281</v>
      </c>
      <c r="D1020" s="15" t="s">
        <v>196</v>
      </c>
      <c r="E1020" s="16" t="s">
        <v>24</v>
      </c>
      <c r="F1020" s="10" t="s">
        <v>198</v>
      </c>
      <c r="G1020" s="10" t="b">
        <v>0</v>
      </c>
      <c r="H1020" s="10" t="s">
        <v>3648</v>
      </c>
      <c r="I1020" s="10">
        <v>1.0</v>
      </c>
      <c r="J1020" s="10">
        <v>0.0</v>
      </c>
      <c r="K1020" s="10">
        <v>1.0</v>
      </c>
    </row>
    <row r="1021">
      <c r="A1021" s="7" t="s">
        <v>3649</v>
      </c>
      <c r="B1021" s="12" t="s">
        <v>3650</v>
      </c>
      <c r="C1021" s="12" t="s">
        <v>281</v>
      </c>
      <c r="D1021" s="15" t="s">
        <v>196</v>
      </c>
      <c r="E1021" s="16" t="s">
        <v>24</v>
      </c>
      <c r="F1021" s="10" t="s">
        <v>198</v>
      </c>
      <c r="G1021" s="10" t="b">
        <v>0</v>
      </c>
      <c r="H1021" s="10" t="s">
        <v>1683</v>
      </c>
      <c r="I1021" s="10">
        <v>1.0</v>
      </c>
      <c r="J1021" s="10">
        <v>0.0</v>
      </c>
      <c r="K1021" s="10">
        <v>1.0</v>
      </c>
    </row>
    <row r="1022">
      <c r="A1022" s="7" t="s">
        <v>3651</v>
      </c>
      <c r="B1022" s="12" t="s">
        <v>3652</v>
      </c>
      <c r="C1022" s="12" t="s">
        <v>281</v>
      </c>
      <c r="D1022" s="15" t="s">
        <v>176</v>
      </c>
      <c r="E1022" s="16" t="s">
        <v>24</v>
      </c>
      <c r="F1022" s="10" t="s">
        <v>91</v>
      </c>
      <c r="G1022" s="10" t="b">
        <v>0</v>
      </c>
      <c r="H1022" s="10" t="s">
        <v>1683</v>
      </c>
      <c r="I1022" s="10">
        <v>1.0</v>
      </c>
      <c r="J1022" s="10">
        <v>0.0</v>
      </c>
      <c r="K1022" s="10">
        <v>2.0</v>
      </c>
    </row>
    <row r="1023">
      <c r="A1023" s="7" t="s">
        <v>3653</v>
      </c>
      <c r="B1023" s="12" t="s">
        <v>3654</v>
      </c>
      <c r="C1023" s="14" t="s">
        <v>1668</v>
      </c>
      <c r="D1023" s="15" t="s">
        <v>240</v>
      </c>
      <c r="E1023" s="16" t="s">
        <v>24</v>
      </c>
      <c r="F1023" s="10" t="s">
        <v>241</v>
      </c>
      <c r="G1023" s="10" t="b">
        <v>0</v>
      </c>
      <c r="I1023" s="10">
        <v>1.0</v>
      </c>
      <c r="J1023" s="10">
        <v>0.0</v>
      </c>
      <c r="K1023" s="10">
        <v>1.0</v>
      </c>
    </row>
    <row r="1024">
      <c r="A1024" s="7" t="s">
        <v>3655</v>
      </c>
      <c r="B1024" s="12" t="s">
        <v>3656</v>
      </c>
      <c r="C1024" s="14" t="s">
        <v>1670</v>
      </c>
      <c r="D1024" s="15" t="s">
        <v>34</v>
      </c>
      <c r="E1024" s="16" t="s">
        <v>24</v>
      </c>
      <c r="F1024" s="10" t="s">
        <v>35</v>
      </c>
      <c r="G1024" s="10" t="b">
        <v>0</v>
      </c>
      <c r="I1024" s="10">
        <v>1.0</v>
      </c>
      <c r="J1024" s="10">
        <v>0.0</v>
      </c>
      <c r="K1024" s="10">
        <v>0.0</v>
      </c>
    </row>
    <row r="1025">
      <c r="A1025" s="7" t="s">
        <v>3657</v>
      </c>
      <c r="B1025" s="12" t="s">
        <v>3658</v>
      </c>
      <c r="C1025" s="14" t="s">
        <v>911</v>
      </c>
      <c r="D1025" s="15" t="s">
        <v>196</v>
      </c>
      <c r="E1025" s="16" t="s">
        <v>107</v>
      </c>
      <c r="F1025" s="10" t="s">
        <v>198</v>
      </c>
      <c r="G1025" s="10" t="b">
        <v>0</v>
      </c>
      <c r="H1025" s="10" t="s">
        <v>863</v>
      </c>
      <c r="I1025" s="10">
        <v>1.0</v>
      </c>
      <c r="J1025" s="10">
        <v>0.0</v>
      </c>
      <c r="K1025" s="10">
        <v>2.0</v>
      </c>
    </row>
    <row r="1026">
      <c r="A1026" s="7" t="s">
        <v>3659</v>
      </c>
      <c r="B1026" s="12" t="s">
        <v>3660</v>
      </c>
      <c r="C1026" s="14" t="s">
        <v>1673</v>
      </c>
      <c r="D1026" s="15" t="s">
        <v>196</v>
      </c>
      <c r="E1026" s="16" t="s">
        <v>24</v>
      </c>
      <c r="F1026" s="10" t="s">
        <v>198</v>
      </c>
      <c r="G1026" s="10" t="b">
        <v>0</v>
      </c>
      <c r="I1026" s="10">
        <v>1.0</v>
      </c>
      <c r="J1026" s="10">
        <v>0.0</v>
      </c>
      <c r="K1026" s="10">
        <v>2.0</v>
      </c>
    </row>
    <row r="1027">
      <c r="A1027" s="7" t="s">
        <v>3661</v>
      </c>
      <c r="B1027" s="12" t="s">
        <v>3662</v>
      </c>
      <c r="C1027" s="14" t="s">
        <v>2152</v>
      </c>
      <c r="D1027" s="15" t="s">
        <v>51</v>
      </c>
      <c r="E1027" s="16" t="s">
        <v>43</v>
      </c>
      <c r="F1027" s="10" t="s">
        <v>52</v>
      </c>
      <c r="G1027" s="10" t="b">
        <v>0</v>
      </c>
      <c r="H1027" s="10" t="s">
        <v>806</v>
      </c>
      <c r="I1027" s="10">
        <v>1.0</v>
      </c>
      <c r="J1027" s="10">
        <v>0.0</v>
      </c>
      <c r="K1027" s="10">
        <v>1.0</v>
      </c>
    </row>
    <row r="1028">
      <c r="A1028" s="7" t="s">
        <v>3663</v>
      </c>
      <c r="B1028" s="12" t="s">
        <v>3664</v>
      </c>
      <c r="C1028" s="14" t="s">
        <v>1678</v>
      </c>
      <c r="D1028" s="15" t="s">
        <v>34</v>
      </c>
      <c r="E1028" s="16" t="s">
        <v>176</v>
      </c>
      <c r="F1028" s="10" t="s">
        <v>35</v>
      </c>
      <c r="G1028" s="10" t="b">
        <v>0</v>
      </c>
      <c r="H1028" s="10" t="s">
        <v>273</v>
      </c>
      <c r="I1028" s="10">
        <v>1.0</v>
      </c>
      <c r="J1028" s="10">
        <v>0.0</v>
      </c>
      <c r="K1028" s="10">
        <v>3.0</v>
      </c>
    </row>
    <row r="1029">
      <c r="A1029" s="7" t="s">
        <v>3665</v>
      </c>
      <c r="B1029" s="12" t="s">
        <v>3666</v>
      </c>
      <c r="C1029" s="14" t="s">
        <v>463</v>
      </c>
      <c r="D1029" s="15" t="s">
        <v>34</v>
      </c>
      <c r="E1029" s="16" t="s">
        <v>99</v>
      </c>
      <c r="F1029" s="10" t="s">
        <v>35</v>
      </c>
      <c r="G1029" s="10" t="b">
        <v>0</v>
      </c>
      <c r="H1029" s="10" t="s">
        <v>340</v>
      </c>
      <c r="I1029" s="10">
        <v>1.0</v>
      </c>
      <c r="J1029" s="10">
        <v>0.0</v>
      </c>
      <c r="K1029" s="10">
        <v>1.0</v>
      </c>
    </row>
    <row r="1030">
      <c r="A1030" s="7" t="s">
        <v>3667</v>
      </c>
      <c r="B1030" s="12" t="s">
        <v>3668</v>
      </c>
      <c r="C1030" s="14" t="s">
        <v>463</v>
      </c>
      <c r="D1030" s="15" t="s">
        <v>34</v>
      </c>
      <c r="E1030" s="16" t="s">
        <v>99</v>
      </c>
      <c r="F1030" s="10" t="s">
        <v>35</v>
      </c>
      <c r="G1030" s="10" t="b">
        <v>0</v>
      </c>
      <c r="H1030" s="10" t="s">
        <v>340</v>
      </c>
      <c r="I1030" s="10">
        <v>1.0</v>
      </c>
      <c r="J1030" s="10">
        <v>0.0</v>
      </c>
      <c r="K1030" s="10">
        <v>1.0</v>
      </c>
    </row>
    <row r="1031">
      <c r="A1031" s="7" t="s">
        <v>3669</v>
      </c>
      <c r="B1031" s="12" t="s">
        <v>3670</v>
      </c>
      <c r="C1031" s="14" t="s">
        <v>1681</v>
      </c>
      <c r="D1031" s="15" t="s">
        <v>240</v>
      </c>
      <c r="E1031" s="16" t="s">
        <v>24</v>
      </c>
      <c r="F1031" s="10" t="s">
        <v>241</v>
      </c>
      <c r="G1031" s="10" t="b">
        <v>0</v>
      </c>
      <c r="I1031" s="10">
        <v>1.0</v>
      </c>
      <c r="J1031" s="10">
        <v>0.0</v>
      </c>
      <c r="K1031" s="10">
        <v>0.0</v>
      </c>
    </row>
    <row r="1032">
      <c r="A1032" s="7" t="s">
        <v>3671</v>
      </c>
      <c r="B1032" s="12" t="s">
        <v>3672</v>
      </c>
      <c r="C1032" s="14" t="s">
        <v>370</v>
      </c>
      <c r="D1032" s="15" t="s">
        <v>51</v>
      </c>
      <c r="E1032" s="16" t="s">
        <v>24</v>
      </c>
      <c r="F1032" s="10" t="s">
        <v>52</v>
      </c>
      <c r="G1032" s="10" t="b">
        <v>0</v>
      </c>
      <c r="I1032" s="10">
        <v>1.0</v>
      </c>
      <c r="J1032" s="10">
        <v>0.0</v>
      </c>
      <c r="K1032" s="10">
        <v>1.0</v>
      </c>
    </row>
    <row r="1033">
      <c r="A1033" s="7" t="s">
        <v>3673</v>
      </c>
      <c r="B1033" s="16"/>
      <c r="C1033" s="14" t="s">
        <v>370</v>
      </c>
      <c r="D1033" s="15" t="s">
        <v>176</v>
      </c>
      <c r="E1033" s="16" t="s">
        <v>24</v>
      </c>
      <c r="F1033" s="10" t="s">
        <v>91</v>
      </c>
      <c r="H1033" s="10" t="s">
        <v>948</v>
      </c>
      <c r="I1033" s="10">
        <v>1.0</v>
      </c>
      <c r="J1033" s="10">
        <v>0.0</v>
      </c>
      <c r="K1033" s="10">
        <v>0.0</v>
      </c>
    </row>
    <row r="1034">
      <c r="A1034" s="7" t="s">
        <v>3674</v>
      </c>
      <c r="B1034" s="12" t="s">
        <v>3675</v>
      </c>
      <c r="C1034" s="14" t="s">
        <v>1684</v>
      </c>
      <c r="D1034" s="15" t="s">
        <v>240</v>
      </c>
      <c r="E1034" s="16" t="s">
        <v>24</v>
      </c>
      <c r="F1034" s="10" t="s">
        <v>241</v>
      </c>
      <c r="G1034" s="10" t="b">
        <v>0</v>
      </c>
      <c r="I1034" s="10">
        <v>1.0</v>
      </c>
      <c r="J1034" s="10">
        <v>0.0</v>
      </c>
      <c r="K1034" s="10">
        <v>0.0</v>
      </c>
    </row>
    <row r="1035">
      <c r="A1035" s="7" t="s">
        <v>3676</v>
      </c>
      <c r="B1035" s="12" t="s">
        <v>3677</v>
      </c>
      <c r="C1035" s="14" t="s">
        <v>1345</v>
      </c>
      <c r="D1035" s="15" t="s">
        <v>34</v>
      </c>
      <c r="E1035" s="16" t="s">
        <v>24</v>
      </c>
      <c r="F1035" s="10" t="s">
        <v>35</v>
      </c>
      <c r="G1035" s="10" t="b">
        <v>0</v>
      </c>
      <c r="H1035" s="10" t="s">
        <v>3678</v>
      </c>
      <c r="I1035" s="10">
        <v>1.0</v>
      </c>
      <c r="J1035" s="10">
        <v>0.0</v>
      </c>
      <c r="K1035" s="10">
        <v>3.0</v>
      </c>
    </row>
    <row r="1036">
      <c r="A1036" s="7" t="s">
        <v>3679</v>
      </c>
      <c r="B1036" s="12" t="s">
        <v>3680</v>
      </c>
      <c r="C1036" s="14" t="s">
        <v>1686</v>
      </c>
      <c r="D1036" s="15" t="s">
        <v>240</v>
      </c>
      <c r="E1036" s="16" t="s">
        <v>24</v>
      </c>
      <c r="F1036" s="10" t="s">
        <v>241</v>
      </c>
      <c r="G1036" s="10" t="b">
        <v>0</v>
      </c>
      <c r="I1036" s="10">
        <v>1.0</v>
      </c>
      <c r="J1036" s="10">
        <v>0.0</v>
      </c>
      <c r="K1036" s="10">
        <v>0.0</v>
      </c>
    </row>
    <row r="1037">
      <c r="A1037" s="7" t="s">
        <v>3681</v>
      </c>
      <c r="B1037" s="12" t="s">
        <v>3682</v>
      </c>
      <c r="C1037" s="14" t="s">
        <v>1689</v>
      </c>
      <c r="D1037" s="15" t="s">
        <v>749</v>
      </c>
      <c r="E1037" s="16" t="s">
        <v>99</v>
      </c>
      <c r="F1037" s="10" t="s">
        <v>750</v>
      </c>
      <c r="G1037" s="10" t="b">
        <v>0</v>
      </c>
      <c r="H1037" s="10" t="s">
        <v>3683</v>
      </c>
      <c r="I1037" s="10">
        <v>1.0</v>
      </c>
      <c r="J1037" s="10">
        <v>0.0</v>
      </c>
      <c r="K1037" s="10">
        <v>0.0</v>
      </c>
    </row>
    <row r="1038">
      <c r="A1038" s="7" t="s">
        <v>3684</v>
      </c>
      <c r="B1038" s="12" t="s">
        <v>3685</v>
      </c>
      <c r="C1038" s="14" t="s">
        <v>1470</v>
      </c>
      <c r="D1038" s="15" t="s">
        <v>240</v>
      </c>
      <c r="E1038" s="16" t="s">
        <v>176</v>
      </c>
      <c r="F1038" s="10" t="s">
        <v>241</v>
      </c>
      <c r="G1038" s="10" t="b">
        <v>0</v>
      </c>
      <c r="I1038" s="10">
        <v>1.0</v>
      </c>
      <c r="J1038" s="10">
        <v>0.0</v>
      </c>
      <c r="K1038" s="10">
        <v>0.0</v>
      </c>
    </row>
    <row r="1039">
      <c r="A1039" s="7" t="s">
        <v>3686</v>
      </c>
      <c r="B1039" s="12" t="s">
        <v>3687</v>
      </c>
      <c r="C1039" s="14" t="s">
        <v>537</v>
      </c>
      <c r="D1039" s="15" t="s">
        <v>51</v>
      </c>
      <c r="E1039" s="16" t="s">
        <v>43</v>
      </c>
      <c r="F1039" s="10" t="s">
        <v>52</v>
      </c>
      <c r="G1039" s="10" t="b">
        <v>0</v>
      </c>
      <c r="H1039" s="10" t="s">
        <v>3688</v>
      </c>
      <c r="I1039" s="10">
        <v>1.0</v>
      </c>
      <c r="J1039" s="10">
        <v>0.0</v>
      </c>
      <c r="K1039" s="10">
        <v>1.0</v>
      </c>
    </row>
    <row r="1040">
      <c r="A1040" s="7" t="s">
        <v>3689</v>
      </c>
      <c r="B1040" s="12" t="s">
        <v>3690</v>
      </c>
      <c r="C1040" s="14" t="s">
        <v>111</v>
      </c>
      <c r="D1040" s="15" t="s">
        <v>176</v>
      </c>
      <c r="E1040" s="16" t="s">
        <v>176</v>
      </c>
      <c r="F1040" s="10" t="s">
        <v>91</v>
      </c>
      <c r="G1040" s="10" t="b">
        <v>0</v>
      </c>
      <c r="I1040" s="10">
        <v>1.0</v>
      </c>
      <c r="J1040" s="10">
        <v>0.0</v>
      </c>
      <c r="K1040" s="10">
        <v>0.0</v>
      </c>
    </row>
    <row r="1041">
      <c r="A1041" s="7" t="s">
        <v>3691</v>
      </c>
      <c r="B1041" s="12" t="s">
        <v>3692</v>
      </c>
      <c r="C1041" s="14" t="s">
        <v>111</v>
      </c>
      <c r="D1041" s="15" t="s">
        <v>22</v>
      </c>
      <c r="E1041" s="16" t="s">
        <v>176</v>
      </c>
      <c r="F1041" s="10" t="s">
        <v>25</v>
      </c>
      <c r="G1041" s="10" t="b">
        <v>0</v>
      </c>
      <c r="H1041" s="10" t="s">
        <v>1013</v>
      </c>
      <c r="I1041" s="10">
        <v>1.0</v>
      </c>
      <c r="J1041" s="10">
        <v>0.0</v>
      </c>
      <c r="K1041" s="10">
        <v>1.0</v>
      </c>
    </row>
    <row r="1042">
      <c r="A1042" s="7" t="s">
        <v>3693</v>
      </c>
      <c r="B1042" s="12" t="s">
        <v>3694</v>
      </c>
      <c r="C1042" s="14" t="s">
        <v>111</v>
      </c>
      <c r="D1042" s="15" t="s">
        <v>22</v>
      </c>
      <c r="E1042" s="16" t="s">
        <v>176</v>
      </c>
      <c r="F1042" s="10" t="s">
        <v>25</v>
      </c>
      <c r="G1042" s="10" t="b">
        <v>0</v>
      </c>
      <c r="H1042" s="10" t="s">
        <v>1013</v>
      </c>
      <c r="I1042" s="10">
        <v>1.0</v>
      </c>
      <c r="J1042" s="10">
        <v>0.0</v>
      </c>
      <c r="K1042" s="10">
        <v>1.0</v>
      </c>
    </row>
    <row r="1043">
      <c r="A1043" s="7" t="s">
        <v>3695</v>
      </c>
      <c r="B1043" s="16"/>
      <c r="C1043" s="14" t="s">
        <v>138</v>
      </c>
      <c r="D1043" s="15" t="s">
        <v>176</v>
      </c>
      <c r="E1043" s="16" t="s">
        <v>176</v>
      </c>
      <c r="F1043" s="10" t="s">
        <v>91</v>
      </c>
      <c r="H1043" s="10" t="s">
        <v>948</v>
      </c>
      <c r="I1043" s="10">
        <v>1.0</v>
      </c>
      <c r="J1043" s="10">
        <v>0.0</v>
      </c>
      <c r="K1043" s="10">
        <v>0.0</v>
      </c>
    </row>
    <row r="1044">
      <c r="A1044" s="7" t="s">
        <v>3696</v>
      </c>
      <c r="B1044" s="16"/>
      <c r="C1044" s="12" t="s">
        <v>286</v>
      </c>
      <c r="D1044" s="15" t="s">
        <v>176</v>
      </c>
      <c r="E1044" s="16" t="s">
        <v>176</v>
      </c>
      <c r="F1044" s="10" t="s">
        <v>91</v>
      </c>
      <c r="H1044" s="10" t="s">
        <v>948</v>
      </c>
      <c r="I1044" s="10">
        <v>1.0</v>
      </c>
      <c r="J1044" s="10">
        <v>0.0</v>
      </c>
      <c r="K1044" s="10">
        <v>1.0</v>
      </c>
    </row>
    <row r="1045">
      <c r="A1045" s="7" t="s">
        <v>3697</v>
      </c>
      <c r="B1045" s="12" t="s">
        <v>3698</v>
      </c>
      <c r="C1045" s="14" t="s">
        <v>1693</v>
      </c>
      <c r="D1045" s="15" t="s">
        <v>34</v>
      </c>
      <c r="E1045" s="16" t="s">
        <v>24</v>
      </c>
      <c r="F1045" s="10" t="s">
        <v>35</v>
      </c>
      <c r="G1045" s="10" t="b">
        <v>0</v>
      </c>
      <c r="H1045" s="10" t="s">
        <v>3699</v>
      </c>
      <c r="I1045" s="10">
        <v>1.0</v>
      </c>
      <c r="J1045" s="10">
        <v>0.0</v>
      </c>
      <c r="K1045" s="10">
        <v>2.0</v>
      </c>
    </row>
    <row r="1046">
      <c r="A1046" s="7" t="s">
        <v>3700</v>
      </c>
      <c r="B1046" s="12" t="s">
        <v>3701</v>
      </c>
      <c r="C1046" s="14" t="s">
        <v>1699</v>
      </c>
      <c r="D1046" s="15" t="s">
        <v>34</v>
      </c>
      <c r="E1046" s="16" t="s">
        <v>24</v>
      </c>
      <c r="F1046" s="10" t="s">
        <v>35</v>
      </c>
      <c r="G1046" s="10" t="b">
        <v>0</v>
      </c>
      <c r="H1046" s="10" t="s">
        <v>3702</v>
      </c>
      <c r="I1046" s="10">
        <v>1.0</v>
      </c>
      <c r="J1046" s="10">
        <v>0.0</v>
      </c>
      <c r="K1046" s="10">
        <v>0.0</v>
      </c>
    </row>
    <row r="1047">
      <c r="A1047" s="7" t="s">
        <v>3703</v>
      </c>
      <c r="B1047" s="12" t="s">
        <v>3704</v>
      </c>
      <c r="C1047" s="14" t="s">
        <v>1702</v>
      </c>
      <c r="D1047" s="15" t="s">
        <v>240</v>
      </c>
      <c r="E1047" s="16" t="s">
        <v>24</v>
      </c>
      <c r="F1047" s="10" t="s">
        <v>241</v>
      </c>
      <c r="G1047" s="10" t="b">
        <v>0</v>
      </c>
      <c r="I1047" s="10">
        <v>1.0</v>
      </c>
      <c r="J1047" s="10">
        <v>0.0</v>
      </c>
      <c r="K1047" s="10">
        <v>0.0</v>
      </c>
    </row>
    <row r="1048">
      <c r="A1048" s="7" t="s">
        <v>3705</v>
      </c>
      <c r="B1048" s="12" t="s">
        <v>3706</v>
      </c>
      <c r="C1048" s="14" t="s">
        <v>1704</v>
      </c>
      <c r="D1048" s="15" t="s">
        <v>176</v>
      </c>
      <c r="E1048" s="16" t="s">
        <v>99</v>
      </c>
      <c r="F1048" s="10" t="s">
        <v>91</v>
      </c>
      <c r="G1048" s="10" t="b">
        <v>0</v>
      </c>
      <c r="I1048" s="10">
        <v>1.0</v>
      </c>
      <c r="J1048" s="10">
        <v>0.0</v>
      </c>
      <c r="K1048" s="10">
        <v>1.0</v>
      </c>
    </row>
    <row r="1049">
      <c r="A1049" s="7" t="s">
        <v>3707</v>
      </c>
      <c r="B1049" s="12" t="s">
        <v>3708</v>
      </c>
      <c r="C1049" s="12" t="s">
        <v>838</v>
      </c>
      <c r="D1049" s="15" t="s">
        <v>240</v>
      </c>
      <c r="E1049" s="16" t="s">
        <v>99</v>
      </c>
      <c r="F1049" s="10" t="s">
        <v>241</v>
      </c>
      <c r="G1049" s="10" t="b">
        <v>0</v>
      </c>
      <c r="H1049" s="10" t="s">
        <v>3709</v>
      </c>
      <c r="I1049" s="10">
        <v>1.0</v>
      </c>
      <c r="J1049" s="10">
        <v>0.0</v>
      </c>
      <c r="K1049" s="10">
        <v>0.0</v>
      </c>
    </row>
    <row r="1050">
      <c r="A1050" s="7" t="s">
        <v>3710</v>
      </c>
      <c r="B1050" s="12" t="s">
        <v>3711</v>
      </c>
      <c r="C1050" s="12" t="s">
        <v>838</v>
      </c>
      <c r="D1050" s="15" t="s">
        <v>404</v>
      </c>
      <c r="E1050" s="16" t="s">
        <v>99</v>
      </c>
      <c r="F1050" s="10" t="s">
        <v>405</v>
      </c>
      <c r="G1050" s="10" t="b">
        <v>0</v>
      </c>
      <c r="H1050" s="10" t="s">
        <v>157</v>
      </c>
      <c r="I1050" s="10">
        <v>1.0</v>
      </c>
      <c r="J1050" s="10">
        <v>0.0</v>
      </c>
      <c r="K1050" s="10">
        <v>1.0</v>
      </c>
    </row>
    <row r="1051">
      <c r="A1051" s="7" t="s">
        <v>3712</v>
      </c>
      <c r="B1051" s="12" t="s">
        <v>3713</v>
      </c>
      <c r="C1051" s="12" t="s">
        <v>1707</v>
      </c>
      <c r="D1051" s="15" t="s">
        <v>196</v>
      </c>
      <c r="E1051" s="16" t="s">
        <v>24</v>
      </c>
      <c r="F1051" s="10" t="s">
        <v>198</v>
      </c>
      <c r="G1051" s="10" t="b">
        <v>0</v>
      </c>
      <c r="I1051" s="10">
        <v>1.0</v>
      </c>
      <c r="J1051" s="10">
        <v>0.0</v>
      </c>
      <c r="K1051" s="10">
        <v>1.0</v>
      </c>
    </row>
    <row r="1052">
      <c r="A1052" s="7" t="s">
        <v>3714</v>
      </c>
      <c r="B1052" s="12" t="s">
        <v>3715</v>
      </c>
      <c r="C1052" s="14" t="s">
        <v>1708</v>
      </c>
      <c r="D1052" s="15" t="s">
        <v>34</v>
      </c>
      <c r="E1052" s="16" t="s">
        <v>24</v>
      </c>
      <c r="F1052" s="10" t="s">
        <v>35</v>
      </c>
      <c r="G1052" s="10" t="b">
        <v>0</v>
      </c>
      <c r="H1052" s="10" t="s">
        <v>3716</v>
      </c>
      <c r="I1052" s="10">
        <v>1.0</v>
      </c>
      <c r="J1052" s="10">
        <v>0.0</v>
      </c>
      <c r="K1052" s="10">
        <v>0.0</v>
      </c>
    </row>
    <row r="1053">
      <c r="A1053" s="7" t="s">
        <v>3717</v>
      </c>
      <c r="B1053" s="12" t="s">
        <v>3718</v>
      </c>
      <c r="C1053" s="14" t="s">
        <v>1712</v>
      </c>
      <c r="D1053" s="15" t="s">
        <v>34</v>
      </c>
      <c r="E1053" s="16" t="s">
        <v>43</v>
      </c>
      <c r="F1053" s="10" t="s">
        <v>35</v>
      </c>
      <c r="G1053" s="10" t="b">
        <v>0</v>
      </c>
      <c r="H1053" s="10" t="s">
        <v>584</v>
      </c>
      <c r="I1053" s="10">
        <v>1.0</v>
      </c>
      <c r="J1053" s="10">
        <v>0.0</v>
      </c>
      <c r="K1053" s="10">
        <v>1.0</v>
      </c>
    </row>
    <row r="1054">
      <c r="A1054" s="7" t="s">
        <v>3719</v>
      </c>
      <c r="B1054" s="12" t="s">
        <v>3720</v>
      </c>
      <c r="C1054" s="14" t="s">
        <v>1718</v>
      </c>
      <c r="D1054" s="15" t="s">
        <v>34</v>
      </c>
      <c r="E1054" s="16" t="s">
        <v>24</v>
      </c>
      <c r="F1054" s="10" t="s">
        <v>35</v>
      </c>
      <c r="G1054" s="10" t="b">
        <v>0</v>
      </c>
      <c r="I1054" s="10">
        <v>1.0</v>
      </c>
      <c r="J1054" s="10">
        <v>0.0</v>
      </c>
      <c r="K1054" s="10">
        <v>1.0</v>
      </c>
    </row>
    <row r="1055">
      <c r="A1055" s="7" t="s">
        <v>3721</v>
      </c>
      <c r="B1055" s="12" t="s">
        <v>3722</v>
      </c>
      <c r="C1055" s="14" t="s">
        <v>1127</v>
      </c>
      <c r="D1055" s="15" t="s">
        <v>749</v>
      </c>
      <c r="E1055" s="16" t="s">
        <v>24</v>
      </c>
      <c r="F1055" s="10" t="s">
        <v>750</v>
      </c>
      <c r="G1055" s="10" t="b">
        <v>0</v>
      </c>
      <c r="I1055" s="10">
        <v>1.0</v>
      </c>
      <c r="J1055" s="10">
        <v>0.0</v>
      </c>
      <c r="K1055" s="10">
        <v>1.0</v>
      </c>
    </row>
    <row r="1056">
      <c r="A1056" s="7" t="s">
        <v>3723</v>
      </c>
      <c r="B1056" s="12" t="s">
        <v>3724</v>
      </c>
      <c r="C1056" s="14" t="s">
        <v>1127</v>
      </c>
      <c r="D1056" s="15" t="s">
        <v>196</v>
      </c>
      <c r="E1056" s="16" t="s">
        <v>24</v>
      </c>
      <c r="F1056" s="10" t="s">
        <v>198</v>
      </c>
      <c r="G1056" s="10" t="b">
        <v>0</v>
      </c>
      <c r="I1056" s="10">
        <v>1.0</v>
      </c>
      <c r="J1056" s="10">
        <v>0.0</v>
      </c>
      <c r="K1056" s="10">
        <v>0.0</v>
      </c>
    </row>
    <row r="1057">
      <c r="A1057" s="7" t="s">
        <v>3725</v>
      </c>
      <c r="B1057" s="12" t="s">
        <v>3726</v>
      </c>
      <c r="C1057" s="14" t="s">
        <v>728</v>
      </c>
      <c r="D1057" s="15" t="s">
        <v>176</v>
      </c>
      <c r="E1057" s="16" t="s">
        <v>44</v>
      </c>
      <c r="F1057" s="10" t="s">
        <v>91</v>
      </c>
      <c r="G1057" s="10" t="b">
        <v>0</v>
      </c>
      <c r="I1057" s="10">
        <v>1.0</v>
      </c>
      <c r="J1057" s="10">
        <v>0.0</v>
      </c>
      <c r="K1057" s="10">
        <v>0.0</v>
      </c>
    </row>
    <row r="1058">
      <c r="A1058" s="7" t="s">
        <v>3727</v>
      </c>
      <c r="B1058" s="16"/>
      <c r="C1058" s="14" t="s">
        <v>1721</v>
      </c>
      <c r="D1058" s="15" t="s">
        <v>176</v>
      </c>
      <c r="E1058" s="16" t="s">
        <v>176</v>
      </c>
      <c r="F1058" s="10" t="s">
        <v>91</v>
      </c>
      <c r="H1058" s="10" t="s">
        <v>948</v>
      </c>
      <c r="I1058" s="10">
        <v>1.0</v>
      </c>
      <c r="J1058" s="10">
        <v>0.0</v>
      </c>
      <c r="K1058" s="10">
        <v>1.0</v>
      </c>
    </row>
    <row r="1059">
      <c r="A1059" s="7" t="s">
        <v>3728</v>
      </c>
      <c r="B1059" s="12" t="s">
        <v>3729</v>
      </c>
      <c r="C1059" s="14" t="s">
        <v>1725</v>
      </c>
      <c r="D1059" s="15" t="s">
        <v>240</v>
      </c>
      <c r="E1059" s="16" t="s">
        <v>24</v>
      </c>
      <c r="F1059" s="10" t="s">
        <v>241</v>
      </c>
      <c r="G1059" s="10" t="b">
        <v>0</v>
      </c>
      <c r="I1059" s="10">
        <v>1.0</v>
      </c>
      <c r="J1059" s="10">
        <v>0.0</v>
      </c>
      <c r="K1059" s="10">
        <v>2.0</v>
      </c>
    </row>
    <row r="1060">
      <c r="A1060" s="7" t="s">
        <v>3730</v>
      </c>
      <c r="B1060" s="12" t="s">
        <v>3731</v>
      </c>
      <c r="C1060" s="14" t="s">
        <v>1728</v>
      </c>
      <c r="D1060" s="15" t="s">
        <v>22</v>
      </c>
      <c r="E1060" s="16" t="s">
        <v>43</v>
      </c>
      <c r="F1060" s="10" t="s">
        <v>25</v>
      </c>
      <c r="G1060" s="10" t="b">
        <v>0</v>
      </c>
      <c r="I1060" s="10">
        <v>1.0</v>
      </c>
      <c r="J1060" s="10">
        <v>0.0</v>
      </c>
      <c r="K1060" s="10">
        <v>0.0</v>
      </c>
    </row>
    <row r="1061">
      <c r="A1061" s="7" t="s">
        <v>3732</v>
      </c>
      <c r="B1061" s="12" t="s">
        <v>3733</v>
      </c>
      <c r="C1061" s="14" t="s">
        <v>41</v>
      </c>
      <c r="D1061" s="15" t="s">
        <v>51</v>
      </c>
      <c r="E1061" s="16" t="s">
        <v>44</v>
      </c>
      <c r="F1061" s="10" t="s">
        <v>52</v>
      </c>
      <c r="G1061" s="10" t="b">
        <v>0</v>
      </c>
      <c r="I1061" s="10">
        <v>1.0</v>
      </c>
      <c r="J1061" s="10">
        <v>0.0</v>
      </c>
      <c r="K1061" s="10">
        <v>1.0</v>
      </c>
    </row>
    <row r="1062">
      <c r="A1062" s="7" t="s">
        <v>3734</v>
      </c>
      <c r="B1062" s="12" t="s">
        <v>3735</v>
      </c>
      <c r="C1062" s="14" t="s">
        <v>41</v>
      </c>
      <c r="D1062" s="15" t="s">
        <v>22</v>
      </c>
      <c r="E1062" s="16" t="s">
        <v>44</v>
      </c>
      <c r="F1062" s="10" t="s">
        <v>25</v>
      </c>
      <c r="G1062" s="10" t="b">
        <v>0</v>
      </c>
      <c r="H1062" s="10" t="s">
        <v>3736</v>
      </c>
      <c r="I1062" s="10">
        <v>1.0</v>
      </c>
      <c r="J1062" s="10">
        <v>0.0</v>
      </c>
      <c r="K1062" s="10">
        <v>1.0</v>
      </c>
    </row>
    <row r="1063">
      <c r="A1063" s="7" t="s">
        <v>3737</v>
      </c>
      <c r="B1063" s="12" t="s">
        <v>3738</v>
      </c>
      <c r="C1063" s="14" t="s">
        <v>41</v>
      </c>
      <c r="D1063" s="15" t="s">
        <v>22</v>
      </c>
      <c r="E1063" s="16" t="s">
        <v>44</v>
      </c>
      <c r="F1063" s="10" t="s">
        <v>25</v>
      </c>
      <c r="G1063" s="10" t="b">
        <v>0</v>
      </c>
      <c r="H1063" s="10" t="s">
        <v>3739</v>
      </c>
      <c r="I1063" s="10">
        <v>1.0</v>
      </c>
      <c r="J1063" s="10">
        <v>0.0</v>
      </c>
      <c r="K1063" s="10">
        <v>1.0</v>
      </c>
    </row>
    <row r="1064">
      <c r="A1064" s="7" t="s">
        <v>3740</v>
      </c>
      <c r="B1064" s="12" t="s">
        <v>3741</v>
      </c>
      <c r="C1064" s="14" t="s">
        <v>41</v>
      </c>
      <c r="D1064" s="15" t="s">
        <v>51</v>
      </c>
      <c r="E1064" s="16" t="s">
        <v>44</v>
      </c>
      <c r="F1064" s="10" t="s">
        <v>52</v>
      </c>
      <c r="G1064" s="10" t="b">
        <v>0</v>
      </c>
      <c r="H1064" s="10" t="s">
        <v>1580</v>
      </c>
      <c r="I1064" s="10">
        <v>1.0</v>
      </c>
      <c r="J1064" s="10">
        <v>0.0</v>
      </c>
      <c r="K1064" s="10">
        <v>3.0</v>
      </c>
    </row>
    <row r="1065">
      <c r="A1065" s="7" t="s">
        <v>3742</v>
      </c>
      <c r="B1065" s="12" t="s">
        <v>3743</v>
      </c>
      <c r="C1065" s="14" t="s">
        <v>41</v>
      </c>
      <c r="D1065" s="15" t="s">
        <v>51</v>
      </c>
      <c r="E1065" s="16" t="s">
        <v>44</v>
      </c>
      <c r="F1065" s="10" t="s">
        <v>52</v>
      </c>
      <c r="G1065" s="10" t="b">
        <v>0</v>
      </c>
      <c r="H1065" s="10" t="s">
        <v>392</v>
      </c>
      <c r="I1065" s="10">
        <v>1.0</v>
      </c>
      <c r="J1065" s="10">
        <v>0.0</v>
      </c>
      <c r="K1065" s="10">
        <v>1.0</v>
      </c>
    </row>
    <row r="1066">
      <c r="A1066" s="7" t="s">
        <v>3744</v>
      </c>
      <c r="B1066" s="12" t="s">
        <v>3745</v>
      </c>
      <c r="C1066" s="14" t="s">
        <v>41</v>
      </c>
      <c r="D1066" s="15" t="s">
        <v>51</v>
      </c>
      <c r="E1066" s="16" t="s">
        <v>44</v>
      </c>
      <c r="F1066" s="10" t="s">
        <v>52</v>
      </c>
      <c r="G1066" s="10" t="b">
        <v>0</v>
      </c>
      <c r="H1066" s="10" t="s">
        <v>3746</v>
      </c>
      <c r="I1066" s="10">
        <v>1.0</v>
      </c>
      <c r="J1066" s="10">
        <v>0.0</v>
      </c>
      <c r="K1066" s="10">
        <v>0.0</v>
      </c>
    </row>
    <row r="1067">
      <c r="A1067" s="7" t="s">
        <v>3747</v>
      </c>
      <c r="B1067" s="12" t="s">
        <v>3748</v>
      </c>
      <c r="C1067" s="14" t="s">
        <v>145</v>
      </c>
      <c r="D1067" s="15" t="s">
        <v>196</v>
      </c>
      <c r="E1067" s="16" t="s">
        <v>107</v>
      </c>
      <c r="F1067" s="10" t="s">
        <v>198</v>
      </c>
      <c r="G1067" s="10" t="b">
        <v>0</v>
      </c>
      <c r="H1067" s="10" t="s">
        <v>146</v>
      </c>
      <c r="I1067" s="10">
        <v>1.0</v>
      </c>
      <c r="J1067" s="10">
        <v>0.0</v>
      </c>
      <c r="K1067" s="10">
        <v>1.0</v>
      </c>
    </row>
    <row r="1068">
      <c r="A1068" s="7" t="s">
        <v>3749</v>
      </c>
      <c r="B1068" s="12" t="s">
        <v>3750</v>
      </c>
      <c r="C1068" s="14" t="s">
        <v>145</v>
      </c>
      <c r="D1068" s="15" t="s">
        <v>51</v>
      </c>
      <c r="E1068" s="16" t="s">
        <v>107</v>
      </c>
      <c r="F1068" s="10" t="s">
        <v>52</v>
      </c>
      <c r="G1068" s="10" t="b">
        <v>0</v>
      </c>
      <c r="H1068" s="10" t="s">
        <v>146</v>
      </c>
      <c r="I1068" s="10">
        <v>1.0</v>
      </c>
      <c r="J1068" s="10">
        <v>0.0</v>
      </c>
      <c r="K1068" s="10">
        <v>1.0</v>
      </c>
    </row>
    <row r="1069">
      <c r="A1069" s="7" t="s">
        <v>3751</v>
      </c>
      <c r="B1069" s="12" t="s">
        <v>3752</v>
      </c>
      <c r="C1069" s="14" t="s">
        <v>1731</v>
      </c>
      <c r="D1069" s="15" t="s">
        <v>34</v>
      </c>
      <c r="E1069" s="16" t="s">
        <v>176</v>
      </c>
      <c r="F1069" s="10" t="s">
        <v>35</v>
      </c>
      <c r="G1069" s="10" t="b">
        <v>0</v>
      </c>
      <c r="H1069" s="10" t="s">
        <v>3753</v>
      </c>
      <c r="I1069" s="10">
        <v>1.0</v>
      </c>
      <c r="J1069" s="10">
        <v>0.0</v>
      </c>
      <c r="K1069" s="10">
        <v>0.0</v>
      </c>
    </row>
    <row r="1070">
      <c r="A1070" s="7" t="s">
        <v>3754</v>
      </c>
      <c r="B1070" s="12" t="s">
        <v>3755</v>
      </c>
      <c r="C1070" s="12" t="s">
        <v>928</v>
      </c>
      <c r="D1070" s="15" t="s">
        <v>34</v>
      </c>
      <c r="E1070" s="16" t="s">
        <v>24</v>
      </c>
      <c r="F1070" s="10" t="s">
        <v>35</v>
      </c>
      <c r="G1070" s="10" t="b">
        <v>0</v>
      </c>
      <c r="H1070" s="10" t="s">
        <v>3756</v>
      </c>
      <c r="I1070" s="10">
        <v>1.0</v>
      </c>
      <c r="J1070" s="10">
        <v>0.0</v>
      </c>
      <c r="K1070" s="10">
        <v>1.0</v>
      </c>
    </row>
    <row r="1071">
      <c r="A1071" s="7" t="s">
        <v>3757</v>
      </c>
      <c r="B1071" s="12" t="s">
        <v>3758</v>
      </c>
      <c r="C1071" s="12" t="s">
        <v>928</v>
      </c>
      <c r="D1071" s="15" t="s">
        <v>34</v>
      </c>
      <c r="E1071" s="16" t="s">
        <v>24</v>
      </c>
      <c r="F1071" s="10" t="s">
        <v>35</v>
      </c>
      <c r="G1071" s="10" t="b">
        <v>0</v>
      </c>
      <c r="H1071" s="10" t="s">
        <v>3759</v>
      </c>
      <c r="I1071" s="10">
        <v>1.0</v>
      </c>
      <c r="J1071" s="10">
        <v>0.0</v>
      </c>
      <c r="K1071" s="10">
        <v>2.0</v>
      </c>
    </row>
    <row r="1072">
      <c r="A1072" s="7" t="s">
        <v>3760</v>
      </c>
      <c r="B1072" s="12" t="s">
        <v>3761</v>
      </c>
      <c r="C1072" s="14" t="s">
        <v>1735</v>
      </c>
      <c r="D1072" s="15" t="s">
        <v>240</v>
      </c>
      <c r="E1072" s="16" t="s">
        <v>24</v>
      </c>
      <c r="F1072" s="10" t="s">
        <v>241</v>
      </c>
      <c r="G1072" s="10" t="b">
        <v>0</v>
      </c>
      <c r="I1072" s="10">
        <v>1.0</v>
      </c>
      <c r="J1072" s="10">
        <v>0.0</v>
      </c>
      <c r="K1072" s="10">
        <v>1.0</v>
      </c>
    </row>
    <row r="1073">
      <c r="A1073" s="7" t="s">
        <v>3762</v>
      </c>
      <c r="B1073" s="12" t="s">
        <v>3763</v>
      </c>
      <c r="C1073" s="14" t="s">
        <v>1737</v>
      </c>
      <c r="D1073" s="15" t="s">
        <v>34</v>
      </c>
      <c r="E1073" s="16" t="s">
        <v>24</v>
      </c>
      <c r="F1073" s="10" t="s">
        <v>35</v>
      </c>
      <c r="G1073" s="10" t="b">
        <v>0</v>
      </c>
      <c r="H1073" s="10" t="s">
        <v>3764</v>
      </c>
      <c r="I1073" s="10">
        <v>1.0</v>
      </c>
      <c r="J1073" s="10">
        <v>0.0</v>
      </c>
      <c r="K1073" s="10">
        <v>0.0</v>
      </c>
    </row>
    <row r="1074">
      <c r="A1074" s="7" t="s">
        <v>3765</v>
      </c>
      <c r="B1074" s="16"/>
      <c r="C1074" s="14" t="s">
        <v>1601</v>
      </c>
      <c r="D1074" s="15" t="s">
        <v>176</v>
      </c>
      <c r="E1074" s="16" t="s">
        <v>176</v>
      </c>
      <c r="F1074" s="10" t="s">
        <v>91</v>
      </c>
      <c r="H1074" s="10" t="s">
        <v>948</v>
      </c>
      <c r="I1074" s="10">
        <v>1.0</v>
      </c>
      <c r="J1074" s="10">
        <v>0.0</v>
      </c>
      <c r="K1074" s="10">
        <v>1.0</v>
      </c>
    </row>
    <row r="1075">
      <c r="A1075" s="7" t="s">
        <v>3766</v>
      </c>
      <c r="B1075" s="12" t="s">
        <v>3767</v>
      </c>
      <c r="C1075" s="14" t="s">
        <v>1741</v>
      </c>
      <c r="D1075" s="15" t="s">
        <v>240</v>
      </c>
      <c r="E1075" s="16" t="s">
        <v>24</v>
      </c>
      <c r="F1075" s="10" t="s">
        <v>241</v>
      </c>
      <c r="G1075" s="10" t="b">
        <v>0</v>
      </c>
      <c r="H1075" s="10" t="s">
        <v>417</v>
      </c>
      <c r="I1075" s="10">
        <v>1.0</v>
      </c>
      <c r="J1075" s="10">
        <v>0.0</v>
      </c>
      <c r="K1075" s="10">
        <v>0.0</v>
      </c>
    </row>
    <row r="1076">
      <c r="A1076" s="7" t="s">
        <v>3768</v>
      </c>
      <c r="B1076" s="12" t="s">
        <v>3769</v>
      </c>
      <c r="C1076" s="14" t="s">
        <v>1743</v>
      </c>
      <c r="D1076" s="15" t="s">
        <v>34</v>
      </c>
      <c r="E1076" s="16" t="s">
        <v>24</v>
      </c>
      <c r="F1076" s="10" t="s">
        <v>35</v>
      </c>
      <c r="G1076" s="10" t="b">
        <v>0</v>
      </c>
      <c r="H1076" s="10" t="s">
        <v>3770</v>
      </c>
      <c r="I1076" s="10">
        <v>1.0</v>
      </c>
      <c r="J1076" s="10">
        <v>0.0</v>
      </c>
      <c r="K1076" s="10">
        <v>0.0</v>
      </c>
    </row>
    <row r="1077">
      <c r="A1077" s="7" t="s">
        <v>3771</v>
      </c>
      <c r="B1077" s="12" t="s">
        <v>3772</v>
      </c>
      <c r="C1077" s="14" t="s">
        <v>1130</v>
      </c>
      <c r="D1077" s="15" t="s">
        <v>34</v>
      </c>
      <c r="E1077" s="16" t="s">
        <v>24</v>
      </c>
      <c r="F1077" s="10" t="s">
        <v>35</v>
      </c>
      <c r="G1077" s="10" t="b">
        <v>0</v>
      </c>
      <c r="I1077" s="10">
        <v>1.0</v>
      </c>
      <c r="J1077" s="10">
        <v>0.0</v>
      </c>
      <c r="K1077" s="10">
        <v>0.0</v>
      </c>
    </row>
    <row r="1078">
      <c r="A1078" s="7" t="s">
        <v>3773</v>
      </c>
      <c r="B1078" s="12" t="s">
        <v>3774</v>
      </c>
      <c r="C1078" s="14" t="s">
        <v>1130</v>
      </c>
      <c r="D1078" s="15" t="s">
        <v>176</v>
      </c>
      <c r="E1078" s="16" t="s">
        <v>24</v>
      </c>
      <c r="F1078" s="10" t="s">
        <v>91</v>
      </c>
      <c r="G1078" s="10" t="b">
        <v>0</v>
      </c>
      <c r="I1078" s="10">
        <v>1.0</v>
      </c>
      <c r="J1078" s="10">
        <v>0.0</v>
      </c>
      <c r="K1078" s="10">
        <v>2.0</v>
      </c>
    </row>
    <row r="1079">
      <c r="A1079" s="7" t="s">
        <v>3775</v>
      </c>
      <c r="B1079" s="12" t="s">
        <v>3776</v>
      </c>
      <c r="C1079" s="14" t="s">
        <v>1746</v>
      </c>
      <c r="D1079" s="15" t="s">
        <v>749</v>
      </c>
      <c r="E1079" s="16" t="s">
        <v>24</v>
      </c>
      <c r="F1079" s="10" t="s">
        <v>750</v>
      </c>
      <c r="G1079" s="10" t="b">
        <v>0</v>
      </c>
      <c r="I1079" s="10">
        <v>1.0</v>
      </c>
      <c r="J1079" s="10">
        <v>0.0</v>
      </c>
      <c r="K1079" s="10">
        <v>0.0</v>
      </c>
    </row>
    <row r="1080">
      <c r="A1080" s="7" t="s">
        <v>3777</v>
      </c>
      <c r="B1080" s="12" t="s">
        <v>3778</v>
      </c>
      <c r="C1080" s="14" t="s">
        <v>1747</v>
      </c>
      <c r="D1080" s="15" t="s">
        <v>196</v>
      </c>
      <c r="E1080" s="16" t="s">
        <v>24</v>
      </c>
      <c r="F1080" s="10" t="s">
        <v>198</v>
      </c>
      <c r="G1080" s="10" t="b">
        <v>0</v>
      </c>
      <c r="I1080" s="10">
        <v>1.0</v>
      </c>
      <c r="J1080" s="10">
        <v>0.0</v>
      </c>
      <c r="K1080" s="10">
        <v>1.0</v>
      </c>
    </row>
    <row r="1081">
      <c r="A1081" s="7" t="s">
        <v>3779</v>
      </c>
      <c r="B1081" s="16"/>
      <c r="C1081" s="14" t="s">
        <v>1749</v>
      </c>
      <c r="D1081" s="15" t="s">
        <v>34</v>
      </c>
      <c r="E1081" s="16" t="s">
        <v>99</v>
      </c>
      <c r="F1081" s="10" t="s">
        <v>35</v>
      </c>
      <c r="G1081" s="10" t="b">
        <v>0</v>
      </c>
      <c r="I1081" s="10">
        <v>1.0</v>
      </c>
      <c r="J1081" s="10">
        <v>0.0</v>
      </c>
      <c r="K1081" s="10">
        <v>0.0</v>
      </c>
    </row>
    <row r="1082">
      <c r="A1082" s="7" t="s">
        <v>3780</v>
      </c>
      <c r="B1082" s="12" t="s">
        <v>3781</v>
      </c>
      <c r="C1082" s="14" t="s">
        <v>1751</v>
      </c>
      <c r="D1082" s="15" t="s">
        <v>196</v>
      </c>
      <c r="E1082" s="16" t="s">
        <v>24</v>
      </c>
      <c r="F1082" s="10" t="s">
        <v>198</v>
      </c>
      <c r="G1082" s="10" t="b">
        <v>0</v>
      </c>
      <c r="H1082" s="10" t="s">
        <v>384</v>
      </c>
      <c r="I1082" s="10">
        <v>1.0</v>
      </c>
      <c r="J1082" s="10">
        <v>0.0</v>
      </c>
      <c r="K1082" s="10">
        <v>1.0</v>
      </c>
    </row>
    <row r="1083">
      <c r="A1083" s="7" t="s">
        <v>3782</v>
      </c>
      <c r="B1083" s="12" t="s">
        <v>3783</v>
      </c>
      <c r="C1083" s="14" t="s">
        <v>1754</v>
      </c>
      <c r="D1083" s="15" t="s">
        <v>34</v>
      </c>
      <c r="E1083" s="16" t="s">
        <v>24</v>
      </c>
      <c r="F1083" s="10" t="s">
        <v>35</v>
      </c>
      <c r="G1083" s="10" t="b">
        <v>0</v>
      </c>
      <c r="H1083" s="10" t="s">
        <v>119</v>
      </c>
      <c r="I1083" s="10">
        <v>1.0</v>
      </c>
      <c r="J1083" s="10">
        <v>0.0</v>
      </c>
      <c r="K1083" s="10">
        <v>0.0</v>
      </c>
    </row>
    <row r="1084">
      <c r="A1084" s="7" t="s">
        <v>3784</v>
      </c>
      <c r="B1084" s="12" t="s">
        <v>3785</v>
      </c>
      <c r="C1084" s="14" t="s">
        <v>1756</v>
      </c>
      <c r="D1084" s="15" t="s">
        <v>240</v>
      </c>
      <c r="E1084" s="16" t="s">
        <v>24</v>
      </c>
      <c r="F1084" s="10" t="s">
        <v>241</v>
      </c>
      <c r="G1084" s="10" t="b">
        <v>0</v>
      </c>
      <c r="I1084" s="10">
        <v>1.0</v>
      </c>
      <c r="J1084" s="10">
        <v>0.0</v>
      </c>
      <c r="K1084" s="10">
        <v>0.0</v>
      </c>
    </row>
    <row r="1085">
      <c r="A1085" s="7" t="s">
        <v>3786</v>
      </c>
      <c r="B1085" s="12" t="s">
        <v>3787</v>
      </c>
      <c r="C1085" s="14" t="s">
        <v>968</v>
      </c>
      <c r="D1085" s="15" t="s">
        <v>196</v>
      </c>
      <c r="E1085" s="16" t="s">
        <v>24</v>
      </c>
      <c r="F1085" s="10" t="s">
        <v>198</v>
      </c>
      <c r="G1085" s="10" t="b">
        <v>0</v>
      </c>
      <c r="H1085" s="10" t="s">
        <v>146</v>
      </c>
      <c r="I1085" s="10">
        <v>1.0</v>
      </c>
      <c r="J1085" s="10">
        <v>0.0</v>
      </c>
      <c r="K1085" s="10">
        <v>1.0</v>
      </c>
    </row>
    <row r="1086">
      <c r="A1086" s="7" t="s">
        <v>3788</v>
      </c>
      <c r="B1086" s="12" t="s">
        <v>3789</v>
      </c>
      <c r="C1086" s="14" t="s">
        <v>1759</v>
      </c>
      <c r="D1086" s="15" t="s">
        <v>240</v>
      </c>
      <c r="E1086" s="16" t="s">
        <v>24</v>
      </c>
      <c r="F1086" s="10" t="s">
        <v>241</v>
      </c>
      <c r="G1086" s="10" t="b">
        <v>0</v>
      </c>
      <c r="H1086" s="10" t="s">
        <v>1761</v>
      </c>
      <c r="I1086" s="10">
        <v>1.0</v>
      </c>
      <c r="J1086" s="10">
        <v>0.0</v>
      </c>
      <c r="K1086" s="10">
        <v>0.0</v>
      </c>
    </row>
    <row r="1087">
      <c r="A1087" s="7" t="s">
        <v>3790</v>
      </c>
      <c r="B1087" s="12" t="s">
        <v>3791</v>
      </c>
      <c r="C1087" s="14" t="s">
        <v>321</v>
      </c>
      <c r="D1087" s="15" t="s">
        <v>22</v>
      </c>
      <c r="E1087" s="16" t="s">
        <v>24</v>
      </c>
      <c r="F1087" s="10" t="s">
        <v>25</v>
      </c>
      <c r="G1087" s="10" t="b">
        <v>0</v>
      </c>
      <c r="H1087" s="10" t="s">
        <v>3792</v>
      </c>
      <c r="I1087" s="10">
        <v>1.0</v>
      </c>
      <c r="J1087" s="10">
        <v>0.0</v>
      </c>
      <c r="K1087" s="10">
        <v>0.0</v>
      </c>
    </row>
    <row r="1088">
      <c r="A1088" s="7" t="s">
        <v>3793</v>
      </c>
      <c r="B1088" s="12" t="s">
        <v>3794</v>
      </c>
      <c r="C1088" s="14" t="s">
        <v>1763</v>
      </c>
      <c r="D1088" s="15" t="s">
        <v>34</v>
      </c>
      <c r="E1088" s="16" t="s">
        <v>24</v>
      </c>
      <c r="F1088" s="10" t="s">
        <v>35</v>
      </c>
      <c r="G1088" s="10" t="b">
        <v>0</v>
      </c>
      <c r="H1088" s="10" t="s">
        <v>3795</v>
      </c>
      <c r="I1088" s="10">
        <v>1.0</v>
      </c>
      <c r="J1088" s="10">
        <v>0.0</v>
      </c>
      <c r="K1088" s="10">
        <v>0.0</v>
      </c>
    </row>
    <row r="1089">
      <c r="A1089" s="7" t="s">
        <v>3796</v>
      </c>
      <c r="B1089" s="12" t="s">
        <v>3797</v>
      </c>
      <c r="C1089" s="14" t="s">
        <v>1143</v>
      </c>
      <c r="D1089" s="15" t="s">
        <v>34</v>
      </c>
      <c r="E1089" s="16" t="s">
        <v>24</v>
      </c>
      <c r="F1089" s="10" t="s">
        <v>35</v>
      </c>
      <c r="G1089" s="10" t="b">
        <v>0</v>
      </c>
      <c r="H1089" s="10" t="s">
        <v>3798</v>
      </c>
      <c r="I1089" s="10">
        <v>1.0</v>
      </c>
      <c r="J1089" s="10">
        <v>0.0</v>
      </c>
      <c r="K1089" s="10">
        <v>1.0</v>
      </c>
    </row>
    <row r="1090">
      <c r="A1090" s="7" t="s">
        <v>3799</v>
      </c>
      <c r="B1090" s="12" t="s">
        <v>3800</v>
      </c>
      <c r="C1090" s="14" t="s">
        <v>1143</v>
      </c>
      <c r="D1090" s="15" t="s">
        <v>34</v>
      </c>
      <c r="E1090" s="16" t="s">
        <v>24</v>
      </c>
      <c r="F1090" s="10" t="s">
        <v>35</v>
      </c>
      <c r="G1090" s="10" t="b">
        <v>0</v>
      </c>
      <c r="H1090" s="10" t="s">
        <v>3801</v>
      </c>
      <c r="I1090" s="10">
        <v>1.0</v>
      </c>
      <c r="J1090" s="10">
        <v>0.0</v>
      </c>
      <c r="K1090" s="10">
        <v>0.0</v>
      </c>
    </row>
    <row r="1091">
      <c r="A1091" s="7" t="s">
        <v>3802</v>
      </c>
      <c r="B1091" s="12" t="s">
        <v>3803</v>
      </c>
      <c r="C1091" s="14" t="s">
        <v>1766</v>
      </c>
      <c r="D1091" s="15" t="s">
        <v>51</v>
      </c>
      <c r="E1091" s="16" t="s">
        <v>24</v>
      </c>
      <c r="F1091" s="10" t="s">
        <v>52</v>
      </c>
      <c r="G1091" s="10" t="b">
        <v>0</v>
      </c>
      <c r="H1091" s="10" t="s">
        <v>119</v>
      </c>
      <c r="I1091" s="10">
        <v>1.0</v>
      </c>
      <c r="J1091" s="10">
        <v>0.0</v>
      </c>
      <c r="K1091" s="10">
        <v>1.0</v>
      </c>
    </row>
    <row r="1092">
      <c r="A1092" s="7" t="s">
        <v>3804</v>
      </c>
      <c r="B1092" s="12" t="s">
        <v>3805</v>
      </c>
      <c r="C1092" s="14" t="s">
        <v>1768</v>
      </c>
      <c r="D1092" s="15" t="s">
        <v>240</v>
      </c>
      <c r="E1092" s="16" t="s">
        <v>24</v>
      </c>
      <c r="F1092" s="10" t="s">
        <v>241</v>
      </c>
      <c r="G1092" s="10" t="b">
        <v>0</v>
      </c>
      <c r="I1092" s="10">
        <v>1.0</v>
      </c>
      <c r="J1092" s="10">
        <v>0.0</v>
      </c>
      <c r="K1092" s="10">
        <v>0.0</v>
      </c>
    </row>
    <row r="1093">
      <c r="A1093" s="7" t="s">
        <v>3806</v>
      </c>
      <c r="B1093" s="12" t="s">
        <v>3807</v>
      </c>
      <c r="C1093" s="14" t="s">
        <v>208</v>
      </c>
      <c r="D1093" s="15" t="s">
        <v>22</v>
      </c>
      <c r="E1093" s="16" t="s">
        <v>43</v>
      </c>
      <c r="F1093" s="10" t="s">
        <v>25</v>
      </c>
      <c r="G1093" s="10" t="b">
        <v>0</v>
      </c>
      <c r="H1093" s="10" t="s">
        <v>336</v>
      </c>
      <c r="I1093" s="10">
        <v>1.0</v>
      </c>
      <c r="J1093" s="10">
        <v>0.0</v>
      </c>
      <c r="K1093" s="10">
        <v>0.0</v>
      </c>
    </row>
    <row r="1094">
      <c r="A1094" s="7" t="s">
        <v>3808</v>
      </c>
      <c r="B1094" s="12" t="s">
        <v>3809</v>
      </c>
      <c r="C1094" s="14" t="s">
        <v>1775</v>
      </c>
      <c r="D1094" s="15" t="s">
        <v>196</v>
      </c>
      <c r="E1094" s="16" t="s">
        <v>24</v>
      </c>
      <c r="F1094" s="10" t="s">
        <v>198</v>
      </c>
      <c r="G1094" s="10" t="b">
        <v>0</v>
      </c>
      <c r="I1094" s="10">
        <v>1.0</v>
      </c>
      <c r="J1094" s="10">
        <v>0.0</v>
      </c>
      <c r="K1094" s="10">
        <v>1.0</v>
      </c>
    </row>
    <row r="1095">
      <c r="A1095" s="7" t="s">
        <v>3810</v>
      </c>
      <c r="B1095" s="12" t="s">
        <v>3811</v>
      </c>
      <c r="C1095" s="14" t="s">
        <v>1777</v>
      </c>
      <c r="D1095" s="15" t="s">
        <v>404</v>
      </c>
      <c r="E1095" s="16" t="s">
        <v>24</v>
      </c>
      <c r="F1095" s="10" t="s">
        <v>405</v>
      </c>
      <c r="G1095" s="10" t="b">
        <v>0</v>
      </c>
      <c r="H1095" s="10" t="s">
        <v>1778</v>
      </c>
      <c r="I1095" s="10">
        <v>1.0</v>
      </c>
      <c r="J1095" s="10">
        <v>0.0</v>
      </c>
      <c r="K1095" s="10">
        <v>0.0</v>
      </c>
    </row>
    <row r="1096">
      <c r="A1096" s="7" t="s">
        <v>3812</v>
      </c>
      <c r="B1096" s="12" t="s">
        <v>3813</v>
      </c>
      <c r="C1096" s="14" t="s">
        <v>1780</v>
      </c>
      <c r="D1096" s="15" t="s">
        <v>240</v>
      </c>
      <c r="E1096" s="16" t="s">
        <v>24</v>
      </c>
      <c r="F1096" s="10" t="s">
        <v>241</v>
      </c>
      <c r="G1096" s="10" t="b">
        <v>0</v>
      </c>
      <c r="H1096" s="10" t="s">
        <v>157</v>
      </c>
      <c r="I1096" s="10">
        <v>1.0</v>
      </c>
      <c r="J1096" s="10">
        <v>0.0</v>
      </c>
      <c r="K1096" s="10">
        <v>0.0</v>
      </c>
    </row>
    <row r="1097">
      <c r="A1097" s="7" t="s">
        <v>3814</v>
      </c>
      <c r="B1097" s="12" t="s">
        <v>3815</v>
      </c>
      <c r="C1097" s="14" t="s">
        <v>1784</v>
      </c>
      <c r="D1097" s="15" t="s">
        <v>176</v>
      </c>
      <c r="E1097" s="16" t="s">
        <v>24</v>
      </c>
      <c r="F1097" s="10" t="s">
        <v>91</v>
      </c>
      <c r="G1097" s="10" t="b">
        <v>0</v>
      </c>
      <c r="I1097" s="10">
        <v>1.0</v>
      </c>
      <c r="J1097" s="10">
        <v>0.0</v>
      </c>
      <c r="K1097" s="10">
        <v>1.0</v>
      </c>
    </row>
    <row r="1098">
      <c r="A1098" s="7" t="s">
        <v>3816</v>
      </c>
      <c r="B1098" s="12" t="s">
        <v>3817</v>
      </c>
      <c r="C1098" s="14" t="s">
        <v>903</v>
      </c>
      <c r="D1098" s="15" t="s">
        <v>196</v>
      </c>
      <c r="E1098" s="16" t="s">
        <v>24</v>
      </c>
      <c r="F1098" s="10" t="s">
        <v>198</v>
      </c>
      <c r="G1098" s="10" t="b">
        <v>0</v>
      </c>
      <c r="I1098" s="10">
        <v>1.0</v>
      </c>
      <c r="J1098" s="10">
        <v>0.0</v>
      </c>
      <c r="K1098" s="10">
        <v>0.0</v>
      </c>
    </row>
    <row r="1099">
      <c r="A1099" s="7" t="s">
        <v>3818</v>
      </c>
      <c r="B1099" s="12" t="s">
        <v>3819</v>
      </c>
      <c r="C1099" s="14" t="s">
        <v>903</v>
      </c>
      <c r="D1099" s="15" t="s">
        <v>196</v>
      </c>
      <c r="E1099" s="16" t="s">
        <v>24</v>
      </c>
      <c r="F1099" s="10" t="s">
        <v>198</v>
      </c>
      <c r="G1099" s="10" t="b">
        <v>0</v>
      </c>
      <c r="I1099" s="10">
        <v>1.0</v>
      </c>
      <c r="J1099" s="10">
        <v>0.0</v>
      </c>
      <c r="K1099" s="10">
        <v>1.0</v>
      </c>
    </row>
    <row r="1100">
      <c r="A1100" s="7" t="s">
        <v>3820</v>
      </c>
      <c r="B1100" s="12" t="s">
        <v>3821</v>
      </c>
      <c r="C1100" s="14" t="s">
        <v>903</v>
      </c>
      <c r="D1100" s="15" t="s">
        <v>240</v>
      </c>
      <c r="E1100" s="16" t="s">
        <v>24</v>
      </c>
      <c r="F1100" s="10" t="s">
        <v>241</v>
      </c>
      <c r="G1100" s="10" t="b">
        <v>0</v>
      </c>
      <c r="H1100" s="10" t="s">
        <v>340</v>
      </c>
      <c r="I1100" s="10">
        <v>1.0</v>
      </c>
      <c r="J1100" s="10">
        <v>0.0</v>
      </c>
      <c r="K1100" s="10">
        <v>1.0</v>
      </c>
    </row>
    <row r="1101">
      <c r="A1101" s="7" t="s">
        <v>3822</v>
      </c>
      <c r="B1101" s="12" t="s">
        <v>3823</v>
      </c>
      <c r="C1101" s="14" t="s">
        <v>1787</v>
      </c>
      <c r="D1101" s="15" t="s">
        <v>34</v>
      </c>
      <c r="E1101" s="16" t="s">
        <v>24</v>
      </c>
      <c r="F1101" s="10" t="s">
        <v>35</v>
      </c>
      <c r="G1101" s="10" t="b">
        <v>0</v>
      </c>
      <c r="I1101" s="10">
        <v>1.0</v>
      </c>
      <c r="J1101" s="10">
        <v>0.0</v>
      </c>
      <c r="K1101" s="10">
        <v>0.0</v>
      </c>
    </row>
    <row r="1102">
      <c r="A1102" s="7" t="s">
        <v>3824</v>
      </c>
      <c r="B1102" s="12" t="s">
        <v>3825</v>
      </c>
      <c r="C1102" s="14" t="s">
        <v>1791</v>
      </c>
      <c r="D1102" s="15" t="s">
        <v>51</v>
      </c>
      <c r="E1102" s="16" t="s">
        <v>44</v>
      </c>
      <c r="F1102" s="10" t="s">
        <v>52</v>
      </c>
      <c r="G1102" s="10" t="b">
        <v>0</v>
      </c>
      <c r="H1102" s="10" t="s">
        <v>1402</v>
      </c>
      <c r="I1102" s="10">
        <v>1.0</v>
      </c>
      <c r="J1102" s="10">
        <v>0.0</v>
      </c>
      <c r="K1102" s="10">
        <v>1.0</v>
      </c>
    </row>
    <row r="1103">
      <c r="A1103" s="7" t="s">
        <v>3826</v>
      </c>
      <c r="B1103" s="12" t="s">
        <v>3827</v>
      </c>
      <c r="C1103" s="14" t="s">
        <v>1795</v>
      </c>
      <c r="D1103" s="15" t="s">
        <v>34</v>
      </c>
      <c r="E1103" s="16" t="s">
        <v>44</v>
      </c>
      <c r="F1103" s="10" t="s">
        <v>35</v>
      </c>
      <c r="G1103" s="10" t="b">
        <v>0</v>
      </c>
      <c r="H1103" s="10" t="s">
        <v>3828</v>
      </c>
      <c r="I1103" s="10">
        <v>1.0</v>
      </c>
      <c r="J1103" s="10">
        <v>0.0</v>
      </c>
      <c r="K1103" s="10">
        <v>1.0</v>
      </c>
    </row>
    <row r="1104">
      <c r="A1104" s="7" t="s">
        <v>3829</v>
      </c>
      <c r="B1104" s="12" t="s">
        <v>3830</v>
      </c>
      <c r="C1104" s="14" t="s">
        <v>1801</v>
      </c>
      <c r="D1104" s="15" t="s">
        <v>176</v>
      </c>
      <c r="E1104" s="16" t="s">
        <v>24</v>
      </c>
      <c r="F1104" s="10" t="s">
        <v>91</v>
      </c>
      <c r="G1104" s="10" t="b">
        <v>0</v>
      </c>
      <c r="I1104" s="10">
        <v>1.0</v>
      </c>
      <c r="J1104" s="10">
        <v>0.0</v>
      </c>
      <c r="K1104" s="10">
        <v>1.0</v>
      </c>
    </row>
    <row r="1105">
      <c r="A1105" s="7" t="s">
        <v>3831</v>
      </c>
      <c r="B1105" s="12" t="s">
        <v>3832</v>
      </c>
      <c r="C1105" s="12" t="s">
        <v>1358</v>
      </c>
      <c r="D1105" s="15" t="s">
        <v>749</v>
      </c>
      <c r="E1105" s="16" t="s">
        <v>24</v>
      </c>
      <c r="F1105" s="10" t="s">
        <v>750</v>
      </c>
      <c r="G1105" s="10" t="b">
        <v>0</v>
      </c>
      <c r="I1105" s="10">
        <v>1.0</v>
      </c>
      <c r="J1105" s="10">
        <v>0.0</v>
      </c>
      <c r="K1105" s="10">
        <v>1.0</v>
      </c>
    </row>
    <row r="1106">
      <c r="A1106" s="7" t="s">
        <v>3833</v>
      </c>
      <c r="B1106" s="12" t="s">
        <v>3834</v>
      </c>
      <c r="C1106" s="12" t="s">
        <v>1358</v>
      </c>
      <c r="D1106" s="15" t="s">
        <v>196</v>
      </c>
      <c r="E1106" s="16" t="s">
        <v>24</v>
      </c>
      <c r="F1106" s="10" t="s">
        <v>198</v>
      </c>
      <c r="G1106" s="10" t="b">
        <v>0</v>
      </c>
      <c r="I1106" s="10">
        <v>1.0</v>
      </c>
      <c r="J1106" s="10">
        <v>0.0</v>
      </c>
      <c r="K1106" s="10">
        <v>1.0</v>
      </c>
    </row>
    <row r="1107">
      <c r="A1107" s="7" t="s">
        <v>3835</v>
      </c>
      <c r="B1107" s="12" t="s">
        <v>3836</v>
      </c>
      <c r="C1107" s="14" t="s">
        <v>1804</v>
      </c>
      <c r="D1107" s="15" t="s">
        <v>196</v>
      </c>
      <c r="E1107" s="16" t="s">
        <v>107</v>
      </c>
      <c r="F1107" s="10" t="s">
        <v>198</v>
      </c>
      <c r="G1107" s="10" t="b">
        <v>0</v>
      </c>
      <c r="H1107" s="10" t="s">
        <v>1808</v>
      </c>
      <c r="I1107" s="10">
        <v>1.0</v>
      </c>
      <c r="J1107" s="10">
        <v>0.0</v>
      </c>
      <c r="K1107" s="10">
        <v>2.0</v>
      </c>
    </row>
    <row r="1108">
      <c r="A1108" s="7" t="s">
        <v>3837</v>
      </c>
      <c r="B1108" s="12" t="s">
        <v>3838</v>
      </c>
      <c r="C1108" s="14" t="s">
        <v>1810</v>
      </c>
      <c r="D1108" s="15" t="s">
        <v>196</v>
      </c>
      <c r="E1108" s="16" t="s">
        <v>24</v>
      </c>
      <c r="F1108" s="10" t="s">
        <v>198</v>
      </c>
      <c r="G1108" s="10" t="b">
        <v>0</v>
      </c>
      <c r="I1108" s="10">
        <v>1.0</v>
      </c>
      <c r="J1108" s="10">
        <v>0.0</v>
      </c>
      <c r="K1108" s="10">
        <v>1.0</v>
      </c>
    </row>
    <row r="1109">
      <c r="A1109" s="7" t="s">
        <v>3839</v>
      </c>
      <c r="B1109" s="12" t="s">
        <v>3840</v>
      </c>
      <c r="C1109" s="14" t="s">
        <v>1814</v>
      </c>
      <c r="D1109" s="15" t="s">
        <v>34</v>
      </c>
      <c r="E1109" s="16" t="s">
        <v>24</v>
      </c>
      <c r="F1109" s="10" t="s">
        <v>35</v>
      </c>
      <c r="G1109" s="10" t="b">
        <v>0</v>
      </c>
      <c r="H1109" s="10" t="s">
        <v>3841</v>
      </c>
      <c r="I1109" s="10">
        <v>1.0</v>
      </c>
      <c r="J1109" s="10">
        <v>0.0</v>
      </c>
      <c r="K1109" s="10">
        <v>2.0</v>
      </c>
    </row>
    <row r="1110">
      <c r="A1110" s="7" t="s">
        <v>3842</v>
      </c>
      <c r="B1110" s="12" t="s">
        <v>3843</v>
      </c>
      <c r="C1110" s="14" t="s">
        <v>1819</v>
      </c>
      <c r="D1110" s="15" t="s">
        <v>240</v>
      </c>
      <c r="E1110" s="16" t="s">
        <v>24</v>
      </c>
      <c r="F1110" s="10" t="s">
        <v>241</v>
      </c>
      <c r="G1110" s="10" t="b">
        <v>0</v>
      </c>
      <c r="H1110" s="10" t="s">
        <v>384</v>
      </c>
      <c r="I1110" s="10">
        <v>1.0</v>
      </c>
      <c r="J1110" s="10">
        <v>0.0</v>
      </c>
      <c r="K1110" s="10">
        <v>0.0</v>
      </c>
    </row>
    <row r="1111">
      <c r="A1111" s="7" t="s">
        <v>3844</v>
      </c>
      <c r="B1111" s="12" t="s">
        <v>3845</v>
      </c>
      <c r="C1111" s="14" t="s">
        <v>69</v>
      </c>
      <c r="D1111" s="15" t="s">
        <v>22</v>
      </c>
      <c r="E1111" s="16" t="s">
        <v>44</v>
      </c>
      <c r="F1111" s="10" t="s">
        <v>25</v>
      </c>
      <c r="G1111" s="10" t="b">
        <v>0</v>
      </c>
      <c r="H1111" s="10" t="s">
        <v>3846</v>
      </c>
      <c r="I1111" s="10">
        <v>1.0</v>
      </c>
      <c r="J1111" s="10">
        <v>0.0</v>
      </c>
      <c r="K1111" s="10">
        <v>0.0</v>
      </c>
    </row>
    <row r="1112">
      <c r="A1112" s="7" t="s">
        <v>3847</v>
      </c>
      <c r="B1112" s="16"/>
      <c r="C1112" s="14" t="s">
        <v>138</v>
      </c>
      <c r="D1112" s="15" t="s">
        <v>176</v>
      </c>
      <c r="E1112" s="16" t="s">
        <v>176</v>
      </c>
      <c r="F1112" s="10" t="s">
        <v>91</v>
      </c>
      <c r="H1112" s="10" t="s">
        <v>948</v>
      </c>
      <c r="I1112" s="10">
        <v>1.0</v>
      </c>
      <c r="J1112" s="10">
        <v>0.0</v>
      </c>
      <c r="K1112" s="10">
        <v>1.0</v>
      </c>
    </row>
    <row r="1113">
      <c r="A1113" s="7" t="s">
        <v>3848</v>
      </c>
      <c r="B1113" s="16"/>
      <c r="C1113" s="14" t="s">
        <v>138</v>
      </c>
      <c r="D1113" s="15" t="s">
        <v>176</v>
      </c>
      <c r="E1113" s="16" t="s">
        <v>176</v>
      </c>
      <c r="F1113" s="10" t="s">
        <v>91</v>
      </c>
      <c r="H1113" s="10" t="s">
        <v>948</v>
      </c>
      <c r="I1113" s="10">
        <v>1.0</v>
      </c>
      <c r="J1113" s="10">
        <v>0.0</v>
      </c>
      <c r="K1113" s="10">
        <v>1.0</v>
      </c>
    </row>
    <row r="1114">
      <c r="A1114" s="7" t="s">
        <v>3849</v>
      </c>
      <c r="B1114" s="16"/>
      <c r="C1114" s="14" t="s">
        <v>138</v>
      </c>
      <c r="D1114" s="15" t="s">
        <v>176</v>
      </c>
      <c r="E1114" s="16" t="s">
        <v>176</v>
      </c>
      <c r="F1114" s="10" t="s">
        <v>91</v>
      </c>
      <c r="H1114" s="10" t="s">
        <v>948</v>
      </c>
      <c r="I1114" s="10">
        <v>1.0</v>
      </c>
      <c r="J1114" s="10">
        <v>0.0</v>
      </c>
      <c r="K1114" s="10">
        <v>0.0</v>
      </c>
    </row>
    <row r="1115">
      <c r="A1115" s="7" t="s">
        <v>3850</v>
      </c>
      <c r="B1115" s="16"/>
      <c r="C1115" s="14" t="s">
        <v>138</v>
      </c>
      <c r="D1115" s="15" t="s">
        <v>176</v>
      </c>
      <c r="E1115" s="16" t="s">
        <v>176</v>
      </c>
      <c r="F1115" s="10" t="s">
        <v>91</v>
      </c>
      <c r="H1115" s="10" t="s">
        <v>948</v>
      </c>
      <c r="I1115" s="10">
        <v>1.0</v>
      </c>
      <c r="J1115" s="10">
        <v>0.0</v>
      </c>
      <c r="K1115" s="10">
        <v>0.0</v>
      </c>
    </row>
    <row r="1116">
      <c r="A1116" s="7" t="s">
        <v>3851</v>
      </c>
      <c r="B1116" s="16"/>
      <c r="C1116" s="14" t="s">
        <v>138</v>
      </c>
      <c r="D1116" s="15" t="s">
        <v>176</v>
      </c>
      <c r="E1116" s="16" t="s">
        <v>176</v>
      </c>
      <c r="F1116" s="10" t="s">
        <v>91</v>
      </c>
      <c r="H1116" s="10" t="s">
        <v>948</v>
      </c>
      <c r="I1116" s="10">
        <v>1.0</v>
      </c>
      <c r="J1116" s="10">
        <v>0.0</v>
      </c>
      <c r="K1116" s="10">
        <v>0.0</v>
      </c>
    </row>
    <row r="1117">
      <c r="A1117" s="7" t="s">
        <v>3852</v>
      </c>
      <c r="B1117" s="16"/>
      <c r="C1117" s="14" t="s">
        <v>138</v>
      </c>
      <c r="D1117" s="15" t="s">
        <v>176</v>
      </c>
      <c r="E1117" s="16" t="s">
        <v>176</v>
      </c>
      <c r="F1117" s="10" t="s">
        <v>91</v>
      </c>
      <c r="H1117" s="10" t="s">
        <v>948</v>
      </c>
      <c r="I1117" s="10">
        <v>1.0</v>
      </c>
      <c r="J1117" s="10">
        <v>0.0</v>
      </c>
      <c r="K1117" s="10">
        <v>2.0</v>
      </c>
    </row>
    <row r="1118">
      <c r="A1118" s="7" t="s">
        <v>3853</v>
      </c>
      <c r="B1118" s="16"/>
      <c r="C1118" s="14" t="s">
        <v>138</v>
      </c>
      <c r="D1118" s="15" t="s">
        <v>176</v>
      </c>
      <c r="E1118" s="16" t="s">
        <v>176</v>
      </c>
      <c r="F1118" s="10" t="s">
        <v>91</v>
      </c>
      <c r="H1118" s="10" t="s">
        <v>948</v>
      </c>
      <c r="I1118" s="10">
        <v>1.0</v>
      </c>
      <c r="J1118" s="10">
        <v>0.0</v>
      </c>
      <c r="K1118" s="10">
        <v>0.0</v>
      </c>
    </row>
    <row r="1119">
      <c r="A1119" s="7" t="s">
        <v>3854</v>
      </c>
      <c r="B1119" s="12" t="s">
        <v>3855</v>
      </c>
      <c r="C1119" s="14" t="s">
        <v>1359</v>
      </c>
      <c r="D1119" s="15" t="s">
        <v>34</v>
      </c>
      <c r="E1119" s="16" t="s">
        <v>24</v>
      </c>
      <c r="F1119" s="10" t="s">
        <v>35</v>
      </c>
      <c r="G1119" s="10" t="b">
        <v>0</v>
      </c>
      <c r="H1119" s="10" t="s">
        <v>3856</v>
      </c>
      <c r="I1119" s="10">
        <v>1.0</v>
      </c>
      <c r="J1119" s="10">
        <v>0.0</v>
      </c>
      <c r="K1119" s="10">
        <v>2.0</v>
      </c>
    </row>
    <row r="1120">
      <c r="A1120" s="7" t="s">
        <v>3857</v>
      </c>
      <c r="B1120" s="12" t="s">
        <v>3858</v>
      </c>
      <c r="C1120" s="14" t="s">
        <v>1824</v>
      </c>
      <c r="D1120" s="15" t="s">
        <v>176</v>
      </c>
      <c r="E1120" s="16" t="s">
        <v>24</v>
      </c>
      <c r="F1120" s="10" t="s">
        <v>91</v>
      </c>
      <c r="G1120" s="10" t="b">
        <v>0</v>
      </c>
      <c r="H1120" s="10" t="s">
        <v>1826</v>
      </c>
      <c r="I1120" s="10">
        <v>1.0</v>
      </c>
      <c r="J1120" s="10">
        <v>0.0</v>
      </c>
      <c r="K1120" s="10">
        <v>0.0</v>
      </c>
    </row>
    <row r="1121">
      <c r="A1121" s="7" t="s">
        <v>3859</v>
      </c>
      <c r="B1121" s="12" t="s">
        <v>3860</v>
      </c>
      <c r="C1121" s="14" t="s">
        <v>1828</v>
      </c>
      <c r="D1121" s="15" t="s">
        <v>404</v>
      </c>
      <c r="E1121" s="16" t="s">
        <v>24</v>
      </c>
      <c r="F1121" s="10" t="s">
        <v>405</v>
      </c>
      <c r="G1121" s="10" t="b">
        <v>0</v>
      </c>
      <c r="I1121" s="10">
        <v>1.0</v>
      </c>
      <c r="J1121" s="10">
        <v>0.0</v>
      </c>
      <c r="K1121" s="10">
        <v>0.0</v>
      </c>
    </row>
    <row r="1122">
      <c r="A1122" s="7" t="s">
        <v>3861</v>
      </c>
      <c r="B1122" s="12" t="s">
        <v>3862</v>
      </c>
      <c r="C1122" s="14" t="s">
        <v>1833</v>
      </c>
      <c r="D1122" s="15" t="s">
        <v>196</v>
      </c>
      <c r="E1122" s="16" t="s">
        <v>24</v>
      </c>
      <c r="F1122" s="10" t="s">
        <v>198</v>
      </c>
      <c r="G1122" s="10" t="b">
        <v>0</v>
      </c>
      <c r="H1122" s="10" t="s">
        <v>119</v>
      </c>
      <c r="I1122" s="10">
        <v>1.0</v>
      </c>
      <c r="J1122" s="10">
        <v>0.0</v>
      </c>
      <c r="K1122" s="10">
        <v>1.0</v>
      </c>
    </row>
    <row r="1123">
      <c r="A1123" s="7" t="s">
        <v>3863</v>
      </c>
      <c r="B1123" s="12" t="s">
        <v>3864</v>
      </c>
      <c r="C1123" s="14" t="s">
        <v>847</v>
      </c>
      <c r="D1123" s="15" t="s">
        <v>176</v>
      </c>
      <c r="E1123" s="16" t="s">
        <v>24</v>
      </c>
      <c r="F1123" s="10" t="s">
        <v>91</v>
      </c>
      <c r="G1123" s="10" t="b">
        <v>0</v>
      </c>
      <c r="H1123" s="10" t="s">
        <v>119</v>
      </c>
      <c r="I1123" s="10">
        <v>1.0</v>
      </c>
      <c r="J1123" s="10">
        <v>0.0</v>
      </c>
      <c r="K1123" s="10">
        <v>0.0</v>
      </c>
    </row>
    <row r="1124">
      <c r="A1124" s="7" t="s">
        <v>3865</v>
      </c>
      <c r="B1124" s="12" t="s">
        <v>3866</v>
      </c>
      <c r="C1124" s="14" t="s">
        <v>847</v>
      </c>
      <c r="D1124" s="15" t="s">
        <v>176</v>
      </c>
      <c r="E1124" s="16" t="s">
        <v>24</v>
      </c>
      <c r="F1124" s="10" t="s">
        <v>91</v>
      </c>
      <c r="G1124" s="10" t="b">
        <v>0</v>
      </c>
      <c r="H1124" s="10" t="s">
        <v>3867</v>
      </c>
      <c r="I1124" s="10">
        <v>1.0</v>
      </c>
      <c r="J1124" s="10">
        <v>0.0</v>
      </c>
      <c r="K1124" s="10">
        <v>0.0</v>
      </c>
    </row>
    <row r="1125">
      <c r="A1125" s="7" t="s">
        <v>3868</v>
      </c>
      <c r="B1125" s="12" t="s">
        <v>3869</v>
      </c>
      <c r="C1125" s="14" t="s">
        <v>1838</v>
      </c>
      <c r="D1125" s="15" t="s">
        <v>34</v>
      </c>
      <c r="E1125" s="16" t="s">
        <v>24</v>
      </c>
      <c r="F1125" s="10" t="s">
        <v>35</v>
      </c>
      <c r="G1125" s="10" t="b">
        <v>0</v>
      </c>
      <c r="H1125" s="10" t="s">
        <v>1841</v>
      </c>
      <c r="I1125" s="10">
        <v>1.0</v>
      </c>
      <c r="J1125" s="10">
        <v>0.0</v>
      </c>
      <c r="K1125" s="10">
        <v>1.0</v>
      </c>
    </row>
    <row r="1126">
      <c r="A1126" s="7" t="s">
        <v>3870</v>
      </c>
      <c r="B1126" s="12" t="s">
        <v>3871</v>
      </c>
      <c r="C1126" s="14" t="s">
        <v>737</v>
      </c>
      <c r="D1126" s="15" t="s">
        <v>51</v>
      </c>
      <c r="E1126" s="16" t="s">
        <v>1000</v>
      </c>
      <c r="F1126" s="10" t="s">
        <v>52</v>
      </c>
      <c r="G1126" s="10" t="b">
        <v>0</v>
      </c>
      <c r="H1126" s="10" t="s">
        <v>2003</v>
      </c>
      <c r="I1126" s="10">
        <v>1.0</v>
      </c>
      <c r="J1126" s="10">
        <v>0.0</v>
      </c>
      <c r="K1126" s="10">
        <v>1.0</v>
      </c>
    </row>
    <row r="1127">
      <c r="A1127" s="7" t="s">
        <v>3872</v>
      </c>
      <c r="B1127" s="12" t="s">
        <v>3873</v>
      </c>
      <c r="C1127" s="14" t="s">
        <v>1843</v>
      </c>
      <c r="D1127" s="15" t="s">
        <v>749</v>
      </c>
      <c r="E1127" s="16" t="s">
        <v>99</v>
      </c>
      <c r="F1127" s="10" t="s">
        <v>750</v>
      </c>
      <c r="G1127" s="10" t="b">
        <v>0</v>
      </c>
      <c r="H1127" s="10" t="s">
        <v>1847</v>
      </c>
      <c r="I1127" s="10">
        <v>1.0</v>
      </c>
      <c r="J1127" s="10">
        <v>0.0</v>
      </c>
      <c r="K1127" s="10">
        <v>0.0</v>
      </c>
    </row>
    <row r="1128">
      <c r="A1128" s="7" t="s">
        <v>3874</v>
      </c>
      <c r="B1128" s="12" t="s">
        <v>3875</v>
      </c>
      <c r="C1128" s="14" t="s">
        <v>1848</v>
      </c>
      <c r="D1128" s="15" t="s">
        <v>196</v>
      </c>
      <c r="E1128" s="16" t="s">
        <v>24</v>
      </c>
      <c r="F1128" s="10" t="s">
        <v>198</v>
      </c>
      <c r="G1128" s="10" t="b">
        <v>0</v>
      </c>
      <c r="I1128" s="10">
        <v>1.0</v>
      </c>
      <c r="J1128" s="10">
        <v>0.0</v>
      </c>
      <c r="K1128" s="10">
        <v>0.0</v>
      </c>
    </row>
    <row r="1129">
      <c r="A1129" s="7" t="s">
        <v>3876</v>
      </c>
      <c r="B1129" s="12" t="s">
        <v>3877</v>
      </c>
      <c r="C1129" s="14" t="s">
        <v>295</v>
      </c>
      <c r="D1129" s="15" t="s">
        <v>749</v>
      </c>
      <c r="E1129" s="16" t="s">
        <v>107</v>
      </c>
      <c r="F1129" s="10" t="s">
        <v>750</v>
      </c>
      <c r="G1129" s="10" t="b">
        <v>0</v>
      </c>
      <c r="H1129" s="10" t="s">
        <v>1187</v>
      </c>
      <c r="I1129" s="10">
        <v>1.0</v>
      </c>
      <c r="J1129" s="10">
        <v>0.0</v>
      </c>
      <c r="K1129" s="10">
        <v>1.0</v>
      </c>
    </row>
    <row r="1130">
      <c r="A1130" s="7" t="s">
        <v>3878</v>
      </c>
      <c r="B1130" s="12" t="s">
        <v>3879</v>
      </c>
      <c r="C1130" s="14" t="s">
        <v>295</v>
      </c>
      <c r="D1130" s="15" t="s">
        <v>404</v>
      </c>
      <c r="E1130" s="16" t="s">
        <v>107</v>
      </c>
      <c r="F1130" s="10" t="s">
        <v>405</v>
      </c>
      <c r="G1130" s="10" t="b">
        <v>0</v>
      </c>
      <c r="H1130" s="10" t="s">
        <v>417</v>
      </c>
      <c r="I1130" s="10">
        <v>1.0</v>
      </c>
      <c r="J1130" s="10">
        <v>0.0</v>
      </c>
      <c r="K1130" s="10">
        <v>0.0</v>
      </c>
    </row>
    <row r="1131">
      <c r="A1131" s="7" t="s">
        <v>3880</v>
      </c>
      <c r="B1131" s="12" t="s">
        <v>3881</v>
      </c>
      <c r="C1131" s="14" t="s">
        <v>1853</v>
      </c>
      <c r="D1131" s="15" t="s">
        <v>196</v>
      </c>
      <c r="E1131" s="16" t="s">
        <v>24</v>
      </c>
      <c r="F1131" s="10" t="s">
        <v>198</v>
      </c>
      <c r="G1131" s="10" t="b">
        <v>0</v>
      </c>
      <c r="H1131" s="10" t="s">
        <v>157</v>
      </c>
      <c r="I1131" s="10">
        <v>1.0</v>
      </c>
      <c r="J1131" s="10">
        <v>0.0</v>
      </c>
      <c r="K1131" s="10">
        <v>0.0</v>
      </c>
    </row>
    <row r="1132">
      <c r="A1132" s="7" t="s">
        <v>3882</v>
      </c>
      <c r="B1132" s="12" t="s">
        <v>3883</v>
      </c>
      <c r="C1132" s="14" t="s">
        <v>1857</v>
      </c>
      <c r="D1132" s="15" t="s">
        <v>34</v>
      </c>
      <c r="E1132" s="16" t="s">
        <v>107</v>
      </c>
      <c r="F1132" s="10" t="s">
        <v>35</v>
      </c>
      <c r="G1132" s="10" t="b">
        <v>0</v>
      </c>
      <c r="H1132" s="10" t="s">
        <v>3884</v>
      </c>
      <c r="I1132" s="10">
        <v>1.0</v>
      </c>
      <c r="J1132" s="10">
        <v>0.0</v>
      </c>
      <c r="K1132" s="10">
        <v>1.0</v>
      </c>
    </row>
    <row r="1133">
      <c r="A1133" s="7" t="s">
        <v>3885</v>
      </c>
      <c r="B1133" s="12" t="s">
        <v>3886</v>
      </c>
      <c r="C1133" s="14" t="s">
        <v>1863</v>
      </c>
      <c r="D1133" s="15" t="s">
        <v>34</v>
      </c>
      <c r="E1133" s="16" t="s">
        <v>24</v>
      </c>
      <c r="F1133" s="10" t="s">
        <v>35</v>
      </c>
      <c r="G1133" s="10" t="b">
        <v>0</v>
      </c>
      <c r="H1133" s="10" t="s">
        <v>1865</v>
      </c>
      <c r="I1133" s="10">
        <v>1.0</v>
      </c>
      <c r="J1133" s="10">
        <v>0.0</v>
      </c>
      <c r="K1133" s="10">
        <v>0.0</v>
      </c>
    </row>
    <row r="1134">
      <c r="A1134" s="7" t="s">
        <v>3887</v>
      </c>
      <c r="B1134" s="12" t="s">
        <v>3888</v>
      </c>
      <c r="C1134" s="14" t="s">
        <v>1867</v>
      </c>
      <c r="D1134" s="15" t="s">
        <v>577</v>
      </c>
      <c r="E1134" s="16" t="s">
        <v>24</v>
      </c>
      <c r="F1134" s="10" t="s">
        <v>578</v>
      </c>
      <c r="G1134" s="10" t="b">
        <v>0</v>
      </c>
      <c r="H1134" s="10" t="s">
        <v>3889</v>
      </c>
      <c r="I1134" s="10">
        <v>1.0</v>
      </c>
      <c r="J1134" s="10">
        <v>0.0</v>
      </c>
      <c r="K1134" s="10">
        <v>0.0</v>
      </c>
    </row>
    <row r="1135">
      <c r="A1135" s="7" t="s">
        <v>3890</v>
      </c>
      <c r="B1135" s="12" t="s">
        <v>3891</v>
      </c>
      <c r="C1135" s="12" t="s">
        <v>1871</v>
      </c>
      <c r="D1135" s="15" t="s">
        <v>34</v>
      </c>
      <c r="E1135" s="16" t="s">
        <v>24</v>
      </c>
      <c r="F1135" s="10" t="s">
        <v>35</v>
      </c>
      <c r="G1135" s="10" t="b">
        <v>0</v>
      </c>
      <c r="H1135" s="10" t="s">
        <v>3892</v>
      </c>
      <c r="I1135" s="10">
        <v>1.0</v>
      </c>
      <c r="J1135" s="10">
        <v>0.0</v>
      </c>
      <c r="K1135" s="10">
        <v>1.0</v>
      </c>
    </row>
    <row r="1136">
      <c r="A1136" s="7" t="s">
        <v>3893</v>
      </c>
      <c r="B1136" s="12" t="s">
        <v>3894</v>
      </c>
      <c r="C1136" s="14" t="s">
        <v>1874</v>
      </c>
      <c r="D1136" s="15" t="s">
        <v>176</v>
      </c>
      <c r="E1136" s="16" t="s">
        <v>24</v>
      </c>
      <c r="F1136" s="10" t="s">
        <v>91</v>
      </c>
      <c r="G1136" s="10" t="b">
        <v>0</v>
      </c>
      <c r="I1136" s="10">
        <v>1.0</v>
      </c>
      <c r="J1136" s="10">
        <v>0.0</v>
      </c>
      <c r="K1136" s="10">
        <v>1.0</v>
      </c>
    </row>
    <row r="1137">
      <c r="A1137" s="7" t="s">
        <v>3895</v>
      </c>
      <c r="B1137" s="12" t="s">
        <v>3896</v>
      </c>
      <c r="C1137" s="14" t="s">
        <v>1159</v>
      </c>
      <c r="D1137" s="15" t="s">
        <v>34</v>
      </c>
      <c r="E1137" s="16" t="s">
        <v>24</v>
      </c>
      <c r="F1137" s="10" t="s">
        <v>35</v>
      </c>
      <c r="G1137" s="10" t="b">
        <v>0</v>
      </c>
      <c r="H1137" s="10" t="s">
        <v>3897</v>
      </c>
      <c r="I1137" s="10">
        <v>1.0</v>
      </c>
      <c r="J1137" s="10">
        <v>0.0</v>
      </c>
      <c r="K1137" s="10">
        <v>1.0</v>
      </c>
    </row>
    <row r="1138">
      <c r="A1138" s="7" t="s">
        <v>3898</v>
      </c>
      <c r="B1138" s="12" t="s">
        <v>3899</v>
      </c>
      <c r="C1138" s="14" t="s">
        <v>1159</v>
      </c>
      <c r="D1138" s="15" t="s">
        <v>34</v>
      </c>
      <c r="E1138" s="16" t="s">
        <v>24</v>
      </c>
      <c r="F1138" s="10" t="s">
        <v>35</v>
      </c>
      <c r="G1138" s="10" t="b">
        <v>0</v>
      </c>
      <c r="H1138" s="10" t="s">
        <v>3900</v>
      </c>
      <c r="I1138" s="10">
        <v>1.0</v>
      </c>
      <c r="J1138" s="10">
        <v>0.0</v>
      </c>
      <c r="K1138" s="10">
        <v>0.0</v>
      </c>
    </row>
    <row r="1139">
      <c r="A1139" s="7" t="s">
        <v>3901</v>
      </c>
      <c r="B1139" s="12" t="s">
        <v>3902</v>
      </c>
      <c r="C1139" s="14" t="s">
        <v>1876</v>
      </c>
      <c r="D1139" s="15" t="s">
        <v>34</v>
      </c>
      <c r="E1139" s="16" t="s">
        <v>176</v>
      </c>
      <c r="F1139" s="10" t="s">
        <v>35</v>
      </c>
      <c r="G1139" s="10" t="b">
        <v>0</v>
      </c>
      <c r="H1139" s="10" t="s">
        <v>1877</v>
      </c>
      <c r="I1139" s="10">
        <v>1.0</v>
      </c>
      <c r="J1139" s="10">
        <v>0.0</v>
      </c>
      <c r="K1139" s="10">
        <v>1.0</v>
      </c>
    </row>
    <row r="1140">
      <c r="A1140" s="7" t="s">
        <v>3903</v>
      </c>
      <c r="B1140" s="12" t="s">
        <v>3904</v>
      </c>
      <c r="C1140" s="14" t="s">
        <v>103</v>
      </c>
      <c r="D1140" s="15" t="s">
        <v>34</v>
      </c>
      <c r="E1140" s="16" t="s">
        <v>107</v>
      </c>
      <c r="F1140" s="10" t="s">
        <v>35</v>
      </c>
      <c r="G1140" s="10" t="b">
        <v>0</v>
      </c>
      <c r="H1140" s="10" t="s">
        <v>105</v>
      </c>
      <c r="I1140" s="10">
        <v>1.0</v>
      </c>
      <c r="J1140" s="10">
        <v>0.0</v>
      </c>
      <c r="K1140" s="10">
        <v>1.0</v>
      </c>
    </row>
    <row r="1141">
      <c r="A1141" s="7" t="s">
        <v>3905</v>
      </c>
      <c r="B1141" s="16"/>
      <c r="C1141" s="12" t="s">
        <v>1879</v>
      </c>
      <c r="D1141" s="15" t="s">
        <v>176</v>
      </c>
      <c r="E1141" s="16" t="s">
        <v>176</v>
      </c>
      <c r="F1141" s="10" t="s">
        <v>91</v>
      </c>
      <c r="H1141" s="10" t="s">
        <v>948</v>
      </c>
      <c r="I1141" s="10">
        <v>1.0</v>
      </c>
      <c r="J1141" s="10">
        <v>0.0</v>
      </c>
      <c r="K1141" s="10">
        <v>1.0</v>
      </c>
    </row>
    <row r="1142">
      <c r="A1142" s="7" t="s">
        <v>3906</v>
      </c>
      <c r="B1142" s="12" t="s">
        <v>3907</v>
      </c>
      <c r="C1142" s="14" t="s">
        <v>1881</v>
      </c>
      <c r="D1142" s="15" t="s">
        <v>34</v>
      </c>
      <c r="E1142" s="16" t="s">
        <v>24</v>
      </c>
      <c r="F1142" s="10" t="s">
        <v>35</v>
      </c>
      <c r="G1142" s="10" t="b">
        <v>0</v>
      </c>
      <c r="H1142" s="10" t="s">
        <v>384</v>
      </c>
      <c r="I1142" s="10">
        <v>1.0</v>
      </c>
      <c r="J1142" s="10">
        <v>0.0</v>
      </c>
      <c r="K1142" s="10">
        <v>0.0</v>
      </c>
    </row>
    <row r="1143">
      <c r="A1143" s="7" t="s">
        <v>3908</v>
      </c>
      <c r="B1143" s="12" t="s">
        <v>3909</v>
      </c>
      <c r="C1143" s="14" t="s">
        <v>1885</v>
      </c>
      <c r="D1143" s="15" t="s">
        <v>240</v>
      </c>
      <c r="E1143" s="16" t="s">
        <v>24</v>
      </c>
      <c r="F1143" s="10" t="s">
        <v>241</v>
      </c>
      <c r="G1143" s="10" t="b">
        <v>0</v>
      </c>
      <c r="I1143" s="10">
        <v>1.0</v>
      </c>
      <c r="J1143" s="10">
        <v>0.0</v>
      </c>
      <c r="K1143" s="10">
        <v>0.0</v>
      </c>
    </row>
    <row r="1144">
      <c r="A1144" s="7" t="s">
        <v>3910</v>
      </c>
      <c r="B1144" s="12" t="s">
        <v>3911</v>
      </c>
      <c r="C1144" s="14" t="s">
        <v>452</v>
      </c>
      <c r="D1144" s="15" t="s">
        <v>51</v>
      </c>
      <c r="E1144" s="16" t="s">
        <v>107</v>
      </c>
      <c r="F1144" s="10" t="s">
        <v>52</v>
      </c>
      <c r="G1144" s="10" t="b">
        <v>0</v>
      </c>
      <c r="H1144" s="10" t="s">
        <v>2473</v>
      </c>
      <c r="I1144" s="10">
        <v>1.0</v>
      </c>
      <c r="J1144" s="10">
        <v>0.0</v>
      </c>
      <c r="K1144" s="10">
        <v>0.0</v>
      </c>
    </row>
    <row r="1145">
      <c r="A1145" s="7" t="s">
        <v>3912</v>
      </c>
      <c r="B1145" s="12" t="s">
        <v>3913</v>
      </c>
      <c r="C1145" s="14" t="s">
        <v>452</v>
      </c>
      <c r="D1145" s="15" t="s">
        <v>196</v>
      </c>
      <c r="E1145" s="16" t="s">
        <v>107</v>
      </c>
      <c r="F1145" s="10" t="s">
        <v>198</v>
      </c>
      <c r="G1145" s="10" t="b">
        <v>0</v>
      </c>
      <c r="H1145" s="10" t="s">
        <v>2473</v>
      </c>
      <c r="I1145" s="10">
        <v>1.0</v>
      </c>
      <c r="J1145" s="10">
        <v>0.0</v>
      </c>
      <c r="K1145" s="10">
        <v>1.0</v>
      </c>
    </row>
    <row r="1146">
      <c r="A1146" s="7" t="s">
        <v>3914</v>
      </c>
      <c r="B1146" s="12" t="s">
        <v>3915</v>
      </c>
      <c r="C1146" s="14" t="s">
        <v>1018</v>
      </c>
      <c r="D1146" s="15" t="s">
        <v>34</v>
      </c>
      <c r="E1146" s="16" t="s">
        <v>99</v>
      </c>
      <c r="F1146" s="10" t="s">
        <v>35</v>
      </c>
      <c r="G1146" s="10" t="b">
        <v>0</v>
      </c>
      <c r="H1146" s="10" t="s">
        <v>3916</v>
      </c>
      <c r="I1146" s="10">
        <v>1.0</v>
      </c>
      <c r="J1146" s="10">
        <v>0.0</v>
      </c>
      <c r="K1146" s="10">
        <v>1.0</v>
      </c>
    </row>
    <row r="1147">
      <c r="A1147" s="7" t="s">
        <v>3917</v>
      </c>
      <c r="B1147" s="12" t="s">
        <v>3918</v>
      </c>
      <c r="C1147" s="14" t="s">
        <v>1018</v>
      </c>
      <c r="D1147" s="15" t="s">
        <v>176</v>
      </c>
      <c r="E1147" s="16" t="s">
        <v>99</v>
      </c>
      <c r="F1147" s="10" t="s">
        <v>91</v>
      </c>
      <c r="G1147" s="10" t="b">
        <v>0</v>
      </c>
      <c r="H1147" s="10" t="s">
        <v>3919</v>
      </c>
      <c r="I1147" s="10">
        <v>1.0</v>
      </c>
      <c r="J1147" s="10">
        <v>0.0</v>
      </c>
      <c r="K1147" s="10">
        <v>1.0</v>
      </c>
    </row>
    <row r="1148">
      <c r="A1148" s="7" t="s">
        <v>3920</v>
      </c>
      <c r="B1148" s="12" t="s">
        <v>3921</v>
      </c>
      <c r="C1148" s="14" t="s">
        <v>1018</v>
      </c>
      <c r="D1148" s="15" t="s">
        <v>34</v>
      </c>
      <c r="E1148" s="16" t="s">
        <v>99</v>
      </c>
      <c r="F1148" s="10" t="s">
        <v>35</v>
      </c>
      <c r="G1148" s="10" t="b">
        <v>0</v>
      </c>
      <c r="I1148" s="10">
        <v>1.0</v>
      </c>
      <c r="J1148" s="10">
        <v>0.0</v>
      </c>
      <c r="K1148" s="10">
        <v>1.0</v>
      </c>
    </row>
    <row r="1149">
      <c r="A1149" s="7" t="s">
        <v>3922</v>
      </c>
      <c r="B1149" s="12" t="s">
        <v>3923</v>
      </c>
      <c r="C1149" s="14" t="s">
        <v>1018</v>
      </c>
      <c r="D1149" s="15" t="s">
        <v>176</v>
      </c>
      <c r="E1149" s="16" t="s">
        <v>99</v>
      </c>
      <c r="F1149" s="10" t="s">
        <v>91</v>
      </c>
      <c r="G1149" s="10" t="b">
        <v>0</v>
      </c>
      <c r="H1149" s="10" t="s">
        <v>3924</v>
      </c>
      <c r="I1149" s="10">
        <v>1.0</v>
      </c>
      <c r="J1149" s="10">
        <v>0.0</v>
      </c>
      <c r="K1149" s="10">
        <v>1.0</v>
      </c>
    </row>
    <row r="1150">
      <c r="A1150" s="7" t="s">
        <v>3925</v>
      </c>
      <c r="B1150" s="12" t="s">
        <v>3926</v>
      </c>
      <c r="C1150" s="14" t="s">
        <v>1889</v>
      </c>
      <c r="D1150" s="15" t="s">
        <v>34</v>
      </c>
      <c r="E1150" s="16" t="s">
        <v>24</v>
      </c>
      <c r="F1150" s="10" t="s">
        <v>35</v>
      </c>
      <c r="G1150" s="10" t="b">
        <v>0</v>
      </c>
      <c r="H1150" s="10" t="s">
        <v>1893</v>
      </c>
      <c r="I1150" s="10">
        <v>1.0</v>
      </c>
      <c r="J1150" s="10">
        <v>0.0</v>
      </c>
      <c r="K1150" s="10">
        <v>0.0</v>
      </c>
    </row>
    <row r="1151">
      <c r="A1151" s="7" t="s">
        <v>3927</v>
      </c>
      <c r="B1151" s="12" t="s">
        <v>3928</v>
      </c>
      <c r="C1151" s="14" t="s">
        <v>367</v>
      </c>
      <c r="D1151" s="15" t="s">
        <v>749</v>
      </c>
      <c r="E1151" s="16" t="s">
        <v>107</v>
      </c>
      <c r="F1151" s="10" t="s">
        <v>750</v>
      </c>
      <c r="G1151" s="10" t="b">
        <v>0</v>
      </c>
      <c r="H1151" s="10" t="s">
        <v>3929</v>
      </c>
      <c r="I1151" s="10">
        <v>1.0</v>
      </c>
      <c r="J1151" s="10">
        <v>0.0</v>
      </c>
      <c r="K1151" s="10">
        <v>0.0</v>
      </c>
    </row>
    <row r="1152">
      <c r="A1152" s="7" t="s">
        <v>3930</v>
      </c>
      <c r="B1152" s="12" t="s">
        <v>3931</v>
      </c>
      <c r="C1152" s="14" t="s">
        <v>367</v>
      </c>
      <c r="D1152" s="15" t="s">
        <v>240</v>
      </c>
      <c r="E1152" s="16" t="s">
        <v>107</v>
      </c>
      <c r="F1152" s="10" t="s">
        <v>241</v>
      </c>
      <c r="G1152" s="10" t="b">
        <v>0</v>
      </c>
      <c r="H1152" s="10" t="s">
        <v>1714</v>
      </c>
      <c r="I1152" s="10">
        <v>1.0</v>
      </c>
      <c r="J1152" s="10">
        <v>0.0</v>
      </c>
      <c r="K1152" s="10">
        <v>0.0</v>
      </c>
    </row>
    <row r="1153">
      <c r="A1153" s="7" t="s">
        <v>3932</v>
      </c>
      <c r="B1153" s="12" t="s">
        <v>3933</v>
      </c>
      <c r="C1153" s="14" t="s">
        <v>367</v>
      </c>
      <c r="D1153" s="15" t="s">
        <v>51</v>
      </c>
      <c r="E1153" s="16" t="s">
        <v>107</v>
      </c>
      <c r="F1153" s="10" t="s">
        <v>52</v>
      </c>
      <c r="G1153" s="10" t="b">
        <v>0</v>
      </c>
      <c r="H1153" s="10" t="s">
        <v>1714</v>
      </c>
      <c r="I1153" s="10">
        <v>1.0</v>
      </c>
      <c r="J1153" s="10">
        <v>0.0</v>
      </c>
      <c r="K1153" s="10">
        <v>1.0</v>
      </c>
    </row>
    <row r="1154">
      <c r="A1154" s="7" t="s">
        <v>3934</v>
      </c>
      <c r="B1154" s="12" t="s">
        <v>3935</v>
      </c>
      <c r="C1154" s="14" t="s">
        <v>367</v>
      </c>
      <c r="D1154" s="15" t="s">
        <v>196</v>
      </c>
      <c r="E1154" s="16" t="s">
        <v>107</v>
      </c>
      <c r="F1154" s="10" t="s">
        <v>198</v>
      </c>
      <c r="G1154" s="10" t="b">
        <v>0</v>
      </c>
      <c r="H1154" s="10" t="s">
        <v>3936</v>
      </c>
      <c r="I1154" s="10">
        <v>1.0</v>
      </c>
      <c r="J1154" s="10">
        <v>0.0</v>
      </c>
      <c r="K1154" s="10">
        <v>2.0</v>
      </c>
    </row>
    <row r="1155">
      <c r="A1155" s="7" t="s">
        <v>3937</v>
      </c>
      <c r="B1155" s="12" t="s">
        <v>3938</v>
      </c>
      <c r="C1155" s="14" t="s">
        <v>367</v>
      </c>
      <c r="D1155" s="15" t="s">
        <v>51</v>
      </c>
      <c r="E1155" s="16" t="s">
        <v>107</v>
      </c>
      <c r="F1155" s="10" t="s">
        <v>52</v>
      </c>
      <c r="G1155" s="10" t="b">
        <v>0</v>
      </c>
      <c r="H1155" s="10" t="s">
        <v>1714</v>
      </c>
      <c r="I1155" s="10">
        <v>1.0</v>
      </c>
      <c r="J1155" s="10">
        <v>0.0</v>
      </c>
      <c r="K1155" s="10">
        <v>0.0</v>
      </c>
    </row>
    <row r="1156">
      <c r="A1156" s="7" t="s">
        <v>3939</v>
      </c>
      <c r="B1156" s="12" t="s">
        <v>1192</v>
      </c>
      <c r="C1156" s="14" t="s">
        <v>367</v>
      </c>
      <c r="D1156" s="15" t="s">
        <v>51</v>
      </c>
      <c r="E1156" s="16" t="s">
        <v>107</v>
      </c>
      <c r="F1156" s="10" t="s">
        <v>52</v>
      </c>
      <c r="G1156" s="10" t="b">
        <v>0</v>
      </c>
      <c r="H1156" s="10" t="s">
        <v>3940</v>
      </c>
      <c r="I1156" s="10">
        <v>1.0</v>
      </c>
      <c r="J1156" s="10">
        <v>0.0</v>
      </c>
      <c r="K1156" s="10">
        <v>3.0</v>
      </c>
    </row>
    <row r="1157">
      <c r="A1157" s="7" t="s">
        <v>3941</v>
      </c>
      <c r="B1157" s="12" t="s">
        <v>1192</v>
      </c>
      <c r="C1157" s="14" t="s">
        <v>367</v>
      </c>
      <c r="D1157" s="15" t="s">
        <v>51</v>
      </c>
      <c r="E1157" s="16" t="s">
        <v>107</v>
      </c>
      <c r="F1157" s="10" t="s">
        <v>52</v>
      </c>
      <c r="G1157" s="10" t="b">
        <v>0</v>
      </c>
      <c r="H1157" s="10" t="s">
        <v>1714</v>
      </c>
      <c r="I1157" s="10">
        <v>1.0</v>
      </c>
      <c r="J1157" s="10">
        <v>0.0</v>
      </c>
      <c r="K1157" s="10">
        <v>1.0</v>
      </c>
    </row>
    <row r="1158">
      <c r="A1158" s="7" t="s">
        <v>3942</v>
      </c>
      <c r="B1158" s="12" t="s">
        <v>3938</v>
      </c>
      <c r="C1158" s="14" t="s">
        <v>367</v>
      </c>
      <c r="D1158" s="15" t="s">
        <v>51</v>
      </c>
      <c r="E1158" s="16" t="s">
        <v>107</v>
      </c>
      <c r="F1158" s="10" t="s">
        <v>52</v>
      </c>
      <c r="G1158" s="10" t="b">
        <v>0</v>
      </c>
      <c r="H1158" s="10" t="s">
        <v>1714</v>
      </c>
      <c r="I1158" s="10">
        <v>1.0</v>
      </c>
      <c r="J1158" s="10">
        <v>0.0</v>
      </c>
      <c r="K1158" s="10">
        <v>2.0</v>
      </c>
    </row>
    <row r="1159">
      <c r="A1159" s="7" t="s">
        <v>3943</v>
      </c>
      <c r="B1159" s="12" t="s">
        <v>3935</v>
      </c>
      <c r="C1159" s="14" t="s">
        <v>367</v>
      </c>
      <c r="D1159" s="15" t="s">
        <v>176</v>
      </c>
      <c r="E1159" s="16" t="s">
        <v>107</v>
      </c>
      <c r="F1159" s="10" t="s">
        <v>91</v>
      </c>
      <c r="G1159" s="10" t="b">
        <v>0</v>
      </c>
      <c r="H1159" s="10" t="s">
        <v>3936</v>
      </c>
      <c r="I1159" s="10">
        <v>1.0</v>
      </c>
      <c r="J1159" s="10">
        <v>0.0</v>
      </c>
      <c r="K1159" s="10">
        <v>0.0</v>
      </c>
    </row>
    <row r="1160">
      <c r="A1160" s="7" t="s">
        <v>3944</v>
      </c>
      <c r="B1160" s="12" t="s">
        <v>3945</v>
      </c>
      <c r="C1160" s="14" t="s">
        <v>852</v>
      </c>
      <c r="D1160" s="15" t="s">
        <v>34</v>
      </c>
      <c r="E1160" s="16" t="s">
        <v>24</v>
      </c>
      <c r="F1160" s="10" t="s">
        <v>35</v>
      </c>
      <c r="G1160" s="10" t="b">
        <v>0</v>
      </c>
      <c r="H1160" s="10" t="s">
        <v>3946</v>
      </c>
      <c r="I1160" s="10">
        <v>1.0</v>
      </c>
      <c r="J1160" s="10">
        <v>0.0</v>
      </c>
      <c r="K1160" s="10">
        <v>1.0</v>
      </c>
    </row>
    <row r="1161">
      <c r="A1161" s="7" t="s">
        <v>3947</v>
      </c>
      <c r="B1161" s="12" t="s">
        <v>3948</v>
      </c>
      <c r="C1161" s="12" t="s">
        <v>1895</v>
      </c>
      <c r="D1161" s="15" t="s">
        <v>34</v>
      </c>
      <c r="E1161" s="16" t="s">
        <v>24</v>
      </c>
      <c r="F1161" s="10" t="s">
        <v>35</v>
      </c>
      <c r="G1161" s="10" t="b">
        <v>0</v>
      </c>
      <c r="I1161" s="10">
        <v>1.0</v>
      </c>
      <c r="J1161" s="10">
        <v>0.0</v>
      </c>
      <c r="K1161" s="10">
        <v>0.0</v>
      </c>
    </row>
    <row r="1162">
      <c r="A1162" s="7" t="s">
        <v>3949</v>
      </c>
      <c r="B1162" s="12" t="s">
        <v>3950</v>
      </c>
      <c r="C1162" s="14" t="s">
        <v>1896</v>
      </c>
      <c r="D1162" s="15" t="s">
        <v>34</v>
      </c>
      <c r="E1162" s="16" t="s">
        <v>24</v>
      </c>
      <c r="F1162" s="10" t="s">
        <v>35</v>
      </c>
      <c r="G1162" s="10" t="b">
        <v>0</v>
      </c>
      <c r="I1162" s="10">
        <v>1.0</v>
      </c>
      <c r="J1162" s="10">
        <v>0.0</v>
      </c>
      <c r="K1162" s="10">
        <v>0.0</v>
      </c>
    </row>
    <row r="1163">
      <c r="A1163" s="7" t="s">
        <v>3951</v>
      </c>
      <c r="B1163" s="12" t="s">
        <v>3952</v>
      </c>
      <c r="C1163" s="14" t="s">
        <v>352</v>
      </c>
      <c r="D1163" s="15" t="s">
        <v>51</v>
      </c>
      <c r="E1163" s="16" t="s">
        <v>24</v>
      </c>
      <c r="F1163" s="10" t="s">
        <v>52</v>
      </c>
      <c r="G1163" s="10" t="b">
        <v>0</v>
      </c>
      <c r="H1163" s="10" t="s">
        <v>1859</v>
      </c>
      <c r="I1163" s="10">
        <v>1.0</v>
      </c>
      <c r="J1163" s="10">
        <v>0.0</v>
      </c>
      <c r="K1163" s="10">
        <v>1.0</v>
      </c>
    </row>
    <row r="1164">
      <c r="A1164" s="7" t="s">
        <v>3953</v>
      </c>
      <c r="B1164" s="12" t="s">
        <v>3954</v>
      </c>
      <c r="C1164" s="14" t="s">
        <v>73</v>
      </c>
      <c r="D1164" s="15" t="s">
        <v>749</v>
      </c>
      <c r="E1164" s="16" t="s">
        <v>99</v>
      </c>
      <c r="F1164" s="10" t="s">
        <v>750</v>
      </c>
      <c r="G1164" s="10" t="b">
        <v>0</v>
      </c>
      <c r="H1164" s="10" t="s">
        <v>3955</v>
      </c>
      <c r="I1164" s="10">
        <v>1.0</v>
      </c>
      <c r="J1164" s="10">
        <v>0.0</v>
      </c>
      <c r="K1164" s="10">
        <v>0.0</v>
      </c>
    </row>
    <row r="1165">
      <c r="A1165" s="7" t="s">
        <v>3956</v>
      </c>
      <c r="B1165" s="12" t="s">
        <v>3957</v>
      </c>
      <c r="C1165" s="14" t="s">
        <v>73</v>
      </c>
      <c r="D1165" s="15" t="s">
        <v>176</v>
      </c>
      <c r="E1165" s="16" t="s">
        <v>99</v>
      </c>
      <c r="F1165" s="10" t="s">
        <v>91</v>
      </c>
      <c r="G1165" s="10" t="b">
        <v>0</v>
      </c>
      <c r="I1165" s="10">
        <v>1.0</v>
      </c>
      <c r="J1165" s="10">
        <v>0.0</v>
      </c>
      <c r="K1165" s="10">
        <v>0.0</v>
      </c>
    </row>
    <row r="1166">
      <c r="A1166" s="7" t="s">
        <v>3958</v>
      </c>
      <c r="B1166" s="12" t="s">
        <v>97</v>
      </c>
      <c r="C1166" s="14" t="s">
        <v>73</v>
      </c>
      <c r="D1166" s="15" t="s">
        <v>34</v>
      </c>
      <c r="E1166" s="16" t="s">
        <v>99</v>
      </c>
      <c r="F1166" s="10" t="s">
        <v>35</v>
      </c>
      <c r="G1166" s="10" t="b">
        <v>0</v>
      </c>
      <c r="H1166" s="10" t="s">
        <v>3959</v>
      </c>
      <c r="I1166" s="10">
        <v>1.0</v>
      </c>
      <c r="J1166" s="10">
        <v>0.0</v>
      </c>
      <c r="K1166" s="10">
        <v>0.0</v>
      </c>
    </row>
    <row r="1167">
      <c r="A1167" s="7" t="s">
        <v>3960</v>
      </c>
      <c r="B1167" s="12" t="s">
        <v>97</v>
      </c>
      <c r="C1167" s="14" t="s">
        <v>73</v>
      </c>
      <c r="D1167" s="15" t="s">
        <v>34</v>
      </c>
      <c r="E1167" s="16" t="s">
        <v>99</v>
      </c>
      <c r="F1167" s="10" t="s">
        <v>35</v>
      </c>
      <c r="G1167" s="10" t="b">
        <v>0</v>
      </c>
      <c r="H1167" s="10" t="s">
        <v>501</v>
      </c>
      <c r="I1167" s="10">
        <v>1.0</v>
      </c>
      <c r="J1167" s="10">
        <v>0.0</v>
      </c>
      <c r="K1167" s="10">
        <v>0.0</v>
      </c>
    </row>
    <row r="1168">
      <c r="A1168" s="7" t="s">
        <v>3961</v>
      </c>
      <c r="B1168" s="12" t="s">
        <v>97</v>
      </c>
      <c r="C1168" s="14" t="s">
        <v>73</v>
      </c>
      <c r="D1168" s="15" t="s">
        <v>176</v>
      </c>
      <c r="E1168" s="16" t="s">
        <v>99</v>
      </c>
      <c r="F1168" s="10" t="s">
        <v>91</v>
      </c>
      <c r="G1168" s="10" t="b">
        <v>0</v>
      </c>
      <c r="H1168" s="10" t="s">
        <v>1210</v>
      </c>
      <c r="I1168" s="10">
        <v>1.0</v>
      </c>
      <c r="J1168" s="10">
        <v>0.0</v>
      </c>
      <c r="K1168" s="10">
        <v>0.0</v>
      </c>
    </row>
    <row r="1169">
      <c r="A1169" s="7" t="s">
        <v>3962</v>
      </c>
      <c r="B1169" s="12" t="s">
        <v>97</v>
      </c>
      <c r="C1169" s="14" t="s">
        <v>73</v>
      </c>
      <c r="D1169" s="15" t="s">
        <v>176</v>
      </c>
      <c r="E1169" s="16" t="s">
        <v>99</v>
      </c>
      <c r="F1169" s="10" t="s">
        <v>91</v>
      </c>
      <c r="G1169" s="10" t="b">
        <v>0</v>
      </c>
      <c r="I1169" s="10">
        <v>1.0</v>
      </c>
      <c r="J1169" s="10">
        <v>0.0</v>
      </c>
      <c r="K1169" s="10">
        <v>0.0</v>
      </c>
    </row>
    <row r="1170">
      <c r="A1170" s="7" t="s">
        <v>3963</v>
      </c>
      <c r="B1170" s="12" t="s">
        <v>97</v>
      </c>
      <c r="C1170" s="14" t="s">
        <v>73</v>
      </c>
      <c r="D1170" s="15" t="s">
        <v>176</v>
      </c>
      <c r="E1170" s="16" t="s">
        <v>99</v>
      </c>
      <c r="F1170" s="10" t="s">
        <v>91</v>
      </c>
      <c r="G1170" s="10" t="b">
        <v>0</v>
      </c>
      <c r="H1170" s="10" t="s">
        <v>3964</v>
      </c>
      <c r="I1170" s="10">
        <v>1.0</v>
      </c>
      <c r="J1170" s="10">
        <v>0.0</v>
      </c>
      <c r="K1170" s="10">
        <v>0.0</v>
      </c>
    </row>
    <row r="1171">
      <c r="A1171" s="7" t="s">
        <v>3965</v>
      </c>
      <c r="B1171" s="12" t="s">
        <v>97</v>
      </c>
      <c r="C1171" s="14" t="s">
        <v>73</v>
      </c>
      <c r="D1171" s="15" t="s">
        <v>51</v>
      </c>
      <c r="E1171" s="16" t="s">
        <v>99</v>
      </c>
      <c r="F1171" s="10" t="s">
        <v>52</v>
      </c>
      <c r="G1171" s="10" t="b">
        <v>0</v>
      </c>
      <c r="H1171" s="10" t="s">
        <v>285</v>
      </c>
      <c r="I1171" s="10">
        <v>1.0</v>
      </c>
      <c r="J1171" s="10">
        <v>0.0</v>
      </c>
      <c r="K1171" s="10">
        <v>0.0</v>
      </c>
    </row>
    <row r="1172">
      <c r="A1172" s="7" t="s">
        <v>3966</v>
      </c>
      <c r="B1172" s="12" t="s">
        <v>97</v>
      </c>
      <c r="C1172" s="14" t="s">
        <v>73</v>
      </c>
      <c r="D1172" s="15" t="s">
        <v>176</v>
      </c>
      <c r="E1172" s="16" t="s">
        <v>99</v>
      </c>
      <c r="F1172" s="10" t="s">
        <v>91</v>
      </c>
      <c r="G1172" s="10" t="b">
        <v>0</v>
      </c>
      <c r="I1172" s="10">
        <v>1.0</v>
      </c>
      <c r="J1172" s="10">
        <v>0.0</v>
      </c>
      <c r="K1172" s="10">
        <v>0.0</v>
      </c>
    </row>
    <row r="1173">
      <c r="A1173" s="7" t="s">
        <v>3967</v>
      </c>
      <c r="B1173" s="12" t="s">
        <v>3968</v>
      </c>
      <c r="C1173" s="14" t="s">
        <v>393</v>
      </c>
      <c r="D1173" s="15" t="s">
        <v>34</v>
      </c>
      <c r="E1173" s="16" t="s">
        <v>24</v>
      </c>
      <c r="F1173" s="10" t="s">
        <v>35</v>
      </c>
      <c r="G1173" s="10" t="b">
        <v>0</v>
      </c>
      <c r="H1173" s="10" t="s">
        <v>3969</v>
      </c>
      <c r="I1173" s="10">
        <v>1.0</v>
      </c>
      <c r="J1173" s="10">
        <v>0.0</v>
      </c>
      <c r="K1173" s="10">
        <v>0.0</v>
      </c>
    </row>
    <row r="1174">
      <c r="A1174" s="7" t="s">
        <v>3970</v>
      </c>
      <c r="B1174" s="12" t="s">
        <v>3971</v>
      </c>
      <c r="C1174" s="14" t="s">
        <v>393</v>
      </c>
      <c r="D1174" s="15" t="s">
        <v>34</v>
      </c>
      <c r="E1174" s="16" t="s">
        <v>24</v>
      </c>
      <c r="F1174" s="10" t="s">
        <v>35</v>
      </c>
      <c r="G1174" s="10" t="b">
        <v>0</v>
      </c>
      <c r="I1174" s="10">
        <v>1.0</v>
      </c>
      <c r="J1174" s="10">
        <v>0.0</v>
      </c>
      <c r="K1174" s="10">
        <v>0.0</v>
      </c>
    </row>
    <row r="1175">
      <c r="A1175" s="7" t="s">
        <v>3972</v>
      </c>
      <c r="B1175" s="12" t="s">
        <v>3973</v>
      </c>
      <c r="C1175" s="14" t="s">
        <v>1901</v>
      </c>
      <c r="D1175" s="15" t="s">
        <v>196</v>
      </c>
      <c r="E1175" s="16" t="s">
        <v>24</v>
      </c>
      <c r="F1175" s="10" t="s">
        <v>198</v>
      </c>
      <c r="G1175" s="10" t="b">
        <v>0</v>
      </c>
      <c r="H1175" s="10" t="s">
        <v>3468</v>
      </c>
      <c r="I1175" s="10">
        <v>1.0</v>
      </c>
      <c r="J1175" s="10">
        <v>0.0</v>
      </c>
      <c r="K1175" s="10">
        <v>2.0</v>
      </c>
    </row>
    <row r="1176">
      <c r="A1176" s="7" t="s">
        <v>3974</v>
      </c>
      <c r="B1176" s="12" t="s">
        <v>3975</v>
      </c>
      <c r="C1176" s="14" t="s">
        <v>415</v>
      </c>
      <c r="D1176" s="15" t="s">
        <v>34</v>
      </c>
      <c r="E1176" s="16" t="s">
        <v>176</v>
      </c>
      <c r="F1176" s="10" t="s">
        <v>35</v>
      </c>
      <c r="G1176" s="10" t="b">
        <v>0</v>
      </c>
      <c r="I1176" s="10">
        <v>1.0</v>
      </c>
      <c r="J1176" s="10">
        <v>0.0</v>
      </c>
      <c r="K1176" s="10">
        <v>0.0</v>
      </c>
    </row>
    <row r="1177">
      <c r="A1177" s="7" t="s">
        <v>3976</v>
      </c>
      <c r="B1177" s="12" t="s">
        <v>3977</v>
      </c>
      <c r="C1177" s="14" t="s">
        <v>1904</v>
      </c>
      <c r="D1177" s="15" t="s">
        <v>196</v>
      </c>
      <c r="E1177" s="16" t="s">
        <v>24</v>
      </c>
      <c r="F1177" s="10" t="s">
        <v>198</v>
      </c>
      <c r="G1177" s="10" t="b">
        <v>0</v>
      </c>
      <c r="H1177" s="10" t="s">
        <v>1906</v>
      </c>
      <c r="I1177" s="10">
        <v>1.0</v>
      </c>
      <c r="J1177" s="10">
        <v>0.0</v>
      </c>
      <c r="K1177" s="10">
        <v>0.0</v>
      </c>
    </row>
    <row r="1178">
      <c r="A1178" s="7" t="s">
        <v>3978</v>
      </c>
      <c r="B1178" s="12" t="s">
        <v>3979</v>
      </c>
      <c r="C1178" s="14" t="s">
        <v>1908</v>
      </c>
      <c r="D1178" s="15" t="s">
        <v>196</v>
      </c>
      <c r="E1178" s="16" t="s">
        <v>24</v>
      </c>
      <c r="F1178" s="10" t="s">
        <v>198</v>
      </c>
      <c r="G1178" s="10" t="b">
        <v>0</v>
      </c>
      <c r="I1178" s="10">
        <v>1.0</v>
      </c>
      <c r="J1178" s="10">
        <v>0.0</v>
      </c>
      <c r="K1178" s="10">
        <v>1.0</v>
      </c>
    </row>
    <row r="1179">
      <c r="A1179" s="7" t="s">
        <v>3980</v>
      </c>
      <c r="B1179" s="12" t="s">
        <v>3981</v>
      </c>
      <c r="C1179" s="14" t="s">
        <v>1911</v>
      </c>
      <c r="D1179" s="15" t="s">
        <v>749</v>
      </c>
      <c r="E1179" s="16" t="s">
        <v>1000</v>
      </c>
      <c r="F1179" s="10" t="s">
        <v>750</v>
      </c>
      <c r="G1179" s="10" t="b">
        <v>0</v>
      </c>
      <c r="H1179" s="10" t="s">
        <v>1913</v>
      </c>
      <c r="I1179" s="10">
        <v>1.0</v>
      </c>
      <c r="J1179" s="10">
        <v>0.0</v>
      </c>
      <c r="K1179" s="10">
        <v>1.0</v>
      </c>
    </row>
    <row r="1180">
      <c r="A1180" s="7" t="s">
        <v>3982</v>
      </c>
      <c r="B1180" s="12" t="s">
        <v>3983</v>
      </c>
      <c r="C1180" s="12" t="s">
        <v>667</v>
      </c>
      <c r="D1180" s="15" t="s">
        <v>749</v>
      </c>
      <c r="E1180" s="16" t="s">
        <v>107</v>
      </c>
      <c r="F1180" s="10" t="s">
        <v>750</v>
      </c>
      <c r="G1180" s="10" t="b">
        <v>0</v>
      </c>
      <c r="H1180" s="10" t="s">
        <v>3984</v>
      </c>
      <c r="I1180" s="10">
        <v>1.0</v>
      </c>
      <c r="J1180" s="10">
        <v>0.0</v>
      </c>
      <c r="K1180" s="10">
        <v>0.0</v>
      </c>
    </row>
    <row r="1181">
      <c r="A1181" s="7" t="s">
        <v>3985</v>
      </c>
      <c r="B1181" s="12" t="s">
        <v>3986</v>
      </c>
      <c r="C1181" s="12" t="s">
        <v>667</v>
      </c>
      <c r="D1181" s="15" t="s">
        <v>34</v>
      </c>
      <c r="E1181" s="16" t="s">
        <v>107</v>
      </c>
      <c r="F1181" s="10" t="s">
        <v>35</v>
      </c>
      <c r="G1181" s="10" t="b">
        <v>0</v>
      </c>
      <c r="H1181" s="10" t="s">
        <v>3987</v>
      </c>
      <c r="I1181" s="10">
        <v>1.0</v>
      </c>
      <c r="J1181" s="10">
        <v>0.0</v>
      </c>
      <c r="K1181" s="10">
        <v>0.0</v>
      </c>
    </row>
    <row r="1182">
      <c r="A1182" s="7" t="s">
        <v>3988</v>
      </c>
      <c r="B1182" s="12" t="s">
        <v>3989</v>
      </c>
      <c r="C1182" s="14" t="s">
        <v>1914</v>
      </c>
      <c r="D1182" s="15" t="s">
        <v>34</v>
      </c>
      <c r="E1182" s="16" t="s">
        <v>24</v>
      </c>
      <c r="F1182" s="10" t="s">
        <v>35</v>
      </c>
      <c r="G1182" s="10" t="b">
        <v>0</v>
      </c>
      <c r="H1182" s="10" t="s">
        <v>3990</v>
      </c>
      <c r="I1182" s="10">
        <v>1.0</v>
      </c>
      <c r="J1182" s="10">
        <v>0.0</v>
      </c>
      <c r="K1182" s="10">
        <v>0.0</v>
      </c>
    </row>
    <row r="1183">
      <c r="A1183" s="7" t="s">
        <v>3991</v>
      </c>
      <c r="B1183" s="12" t="s">
        <v>3992</v>
      </c>
      <c r="C1183" s="14" t="s">
        <v>913</v>
      </c>
      <c r="D1183" s="15" t="s">
        <v>196</v>
      </c>
      <c r="E1183" s="16" t="s">
        <v>107</v>
      </c>
      <c r="F1183" s="10" t="s">
        <v>198</v>
      </c>
      <c r="G1183" s="10" t="b">
        <v>0</v>
      </c>
      <c r="H1183" s="10" t="s">
        <v>1412</v>
      </c>
      <c r="I1183" s="10">
        <v>1.0</v>
      </c>
      <c r="J1183" s="10">
        <v>0.0</v>
      </c>
      <c r="K1183" s="10">
        <v>1.0</v>
      </c>
    </row>
    <row r="1184">
      <c r="A1184" s="7" t="s">
        <v>3993</v>
      </c>
      <c r="B1184" s="12" t="s">
        <v>3994</v>
      </c>
      <c r="C1184" s="14" t="s">
        <v>913</v>
      </c>
      <c r="D1184" s="15" t="s">
        <v>749</v>
      </c>
      <c r="E1184" s="16" t="s">
        <v>107</v>
      </c>
      <c r="F1184" s="10" t="s">
        <v>750</v>
      </c>
      <c r="G1184" s="10" t="b">
        <v>0</v>
      </c>
      <c r="H1184" s="10" t="s">
        <v>1412</v>
      </c>
      <c r="I1184" s="10">
        <v>1.0</v>
      </c>
      <c r="J1184" s="10">
        <v>0.0</v>
      </c>
      <c r="K1184" s="10">
        <v>1.0</v>
      </c>
    </row>
    <row r="1185">
      <c r="A1185" s="7" t="s">
        <v>3995</v>
      </c>
      <c r="B1185" s="12" t="s">
        <v>3996</v>
      </c>
      <c r="C1185" s="14" t="s">
        <v>782</v>
      </c>
      <c r="D1185" s="15" t="s">
        <v>240</v>
      </c>
      <c r="E1185" s="16" t="s">
        <v>3997</v>
      </c>
      <c r="F1185" s="10" t="s">
        <v>241</v>
      </c>
      <c r="G1185" s="10" t="b">
        <v>1</v>
      </c>
      <c r="H1185" s="10" t="s">
        <v>785</v>
      </c>
      <c r="I1185" s="10">
        <v>1.0</v>
      </c>
      <c r="J1185" s="10">
        <v>0.0</v>
      </c>
      <c r="K1185" s="10">
        <v>1.0</v>
      </c>
    </row>
    <row r="1186">
      <c r="A1186" s="7" t="s">
        <v>3998</v>
      </c>
      <c r="B1186" s="12" t="s">
        <v>3999</v>
      </c>
      <c r="C1186" s="14" t="s">
        <v>782</v>
      </c>
      <c r="D1186" s="15" t="s">
        <v>196</v>
      </c>
      <c r="E1186" s="16" t="s">
        <v>3997</v>
      </c>
      <c r="F1186" s="10" t="s">
        <v>198</v>
      </c>
      <c r="G1186" s="10" t="b">
        <v>1</v>
      </c>
      <c r="H1186" s="10" t="s">
        <v>785</v>
      </c>
      <c r="I1186" s="10">
        <v>1.0</v>
      </c>
      <c r="J1186" s="10">
        <v>0.0</v>
      </c>
      <c r="K1186" s="10">
        <v>1.0</v>
      </c>
    </row>
    <row r="1187">
      <c r="A1187" s="7" t="s">
        <v>4000</v>
      </c>
      <c r="B1187" s="12" t="s">
        <v>4001</v>
      </c>
      <c r="C1187" s="14" t="s">
        <v>782</v>
      </c>
      <c r="D1187" s="15" t="s">
        <v>176</v>
      </c>
      <c r="E1187" s="16" t="s">
        <v>3997</v>
      </c>
      <c r="F1187" s="10" t="s">
        <v>91</v>
      </c>
      <c r="G1187" s="10" t="b">
        <v>1</v>
      </c>
      <c r="H1187" s="10" t="s">
        <v>785</v>
      </c>
      <c r="I1187" s="10">
        <v>1.0</v>
      </c>
      <c r="J1187" s="10">
        <v>0.0</v>
      </c>
      <c r="K1187" s="10">
        <v>1.0</v>
      </c>
    </row>
    <row r="1188">
      <c r="A1188" s="7" t="s">
        <v>4002</v>
      </c>
      <c r="B1188" s="12" t="s">
        <v>4003</v>
      </c>
      <c r="C1188" s="14" t="s">
        <v>782</v>
      </c>
      <c r="D1188" s="15" t="s">
        <v>176</v>
      </c>
      <c r="E1188" s="16" t="s">
        <v>3997</v>
      </c>
      <c r="F1188" s="10" t="s">
        <v>91</v>
      </c>
      <c r="G1188" s="10" t="b">
        <v>1</v>
      </c>
      <c r="H1188" s="10" t="s">
        <v>785</v>
      </c>
      <c r="I1188" s="10">
        <v>1.0</v>
      </c>
      <c r="J1188" s="10">
        <v>0.0</v>
      </c>
      <c r="K1188" s="10">
        <v>1.0</v>
      </c>
    </row>
    <row r="1189">
      <c r="A1189" s="7" t="s">
        <v>4004</v>
      </c>
      <c r="B1189" s="12" t="s">
        <v>4005</v>
      </c>
      <c r="C1189" s="14" t="s">
        <v>782</v>
      </c>
      <c r="D1189" s="15" t="s">
        <v>176</v>
      </c>
      <c r="E1189" s="16" t="s">
        <v>3997</v>
      </c>
      <c r="F1189" s="10" t="s">
        <v>91</v>
      </c>
      <c r="G1189" s="10" t="b">
        <v>1</v>
      </c>
      <c r="H1189" s="10" t="s">
        <v>785</v>
      </c>
      <c r="I1189" s="10">
        <v>1.0</v>
      </c>
      <c r="J1189" s="10">
        <v>0.0</v>
      </c>
      <c r="K1189" s="10">
        <v>1.0</v>
      </c>
    </row>
    <row r="1190">
      <c r="A1190" s="7" t="s">
        <v>4006</v>
      </c>
      <c r="B1190" s="12" t="s">
        <v>4007</v>
      </c>
      <c r="C1190" s="14" t="s">
        <v>782</v>
      </c>
      <c r="D1190" s="15" t="s">
        <v>176</v>
      </c>
      <c r="E1190" s="16" t="s">
        <v>3997</v>
      </c>
      <c r="F1190" s="10" t="s">
        <v>91</v>
      </c>
      <c r="G1190" s="10" t="b">
        <v>1</v>
      </c>
      <c r="H1190" s="10" t="s">
        <v>785</v>
      </c>
      <c r="I1190" s="10">
        <v>1.0</v>
      </c>
      <c r="J1190" s="10">
        <v>0.0</v>
      </c>
      <c r="K1190" s="10">
        <v>1.0</v>
      </c>
    </row>
    <row r="1191">
      <c r="A1191" s="7" t="s">
        <v>4008</v>
      </c>
      <c r="B1191" s="12" t="s">
        <v>4009</v>
      </c>
      <c r="C1191" s="14" t="s">
        <v>782</v>
      </c>
      <c r="D1191" s="15" t="s">
        <v>749</v>
      </c>
      <c r="E1191" s="16" t="s">
        <v>3997</v>
      </c>
      <c r="F1191" s="10" t="s">
        <v>750</v>
      </c>
      <c r="G1191" s="10" t="b">
        <v>1</v>
      </c>
      <c r="H1191" s="10" t="s">
        <v>785</v>
      </c>
      <c r="I1191" s="10">
        <v>1.0</v>
      </c>
      <c r="J1191" s="10">
        <v>0.0</v>
      </c>
      <c r="K1191" s="10">
        <v>1.0</v>
      </c>
    </row>
    <row r="1192">
      <c r="A1192" s="7" t="s">
        <v>4010</v>
      </c>
      <c r="B1192" s="12" t="s">
        <v>4011</v>
      </c>
      <c r="C1192" s="14" t="s">
        <v>29</v>
      </c>
      <c r="D1192" s="15" t="s">
        <v>34</v>
      </c>
      <c r="E1192" s="16" t="s">
        <v>24</v>
      </c>
      <c r="F1192" s="10" t="s">
        <v>35</v>
      </c>
      <c r="G1192" s="10" t="b">
        <v>0</v>
      </c>
      <c r="H1192" s="10" t="s">
        <v>4012</v>
      </c>
      <c r="I1192" s="10">
        <v>1.0</v>
      </c>
      <c r="J1192" s="10">
        <v>0.0</v>
      </c>
      <c r="K1192" s="10">
        <v>2.0</v>
      </c>
    </row>
    <row r="1193">
      <c r="A1193" s="7" t="s">
        <v>4013</v>
      </c>
      <c r="B1193" s="12" t="s">
        <v>4014</v>
      </c>
      <c r="C1193" s="14" t="s">
        <v>29</v>
      </c>
      <c r="D1193" s="15" t="s">
        <v>34</v>
      </c>
      <c r="E1193" s="16" t="s">
        <v>24</v>
      </c>
      <c r="F1193" s="10" t="s">
        <v>35</v>
      </c>
      <c r="G1193" s="10" t="b">
        <v>0</v>
      </c>
      <c r="H1193" s="10" t="s">
        <v>135</v>
      </c>
      <c r="I1193" s="10">
        <v>1.0</v>
      </c>
      <c r="J1193" s="10">
        <v>0.0</v>
      </c>
      <c r="K1193" s="10">
        <v>1.0</v>
      </c>
    </row>
    <row r="1194">
      <c r="A1194" s="7" t="s">
        <v>4015</v>
      </c>
      <c r="B1194" s="12" t="s">
        <v>4016</v>
      </c>
      <c r="C1194" s="14" t="s">
        <v>740</v>
      </c>
      <c r="D1194" s="15" t="s">
        <v>34</v>
      </c>
      <c r="E1194" s="16" t="s">
        <v>43</v>
      </c>
      <c r="F1194" s="10" t="s">
        <v>35</v>
      </c>
      <c r="G1194" s="10" t="b">
        <v>0</v>
      </c>
      <c r="H1194" s="10" t="s">
        <v>4017</v>
      </c>
      <c r="I1194" s="10">
        <v>1.0</v>
      </c>
      <c r="J1194" s="10">
        <v>0.0</v>
      </c>
      <c r="K1194" s="10">
        <v>0.0</v>
      </c>
    </row>
    <row r="1195">
      <c r="A1195" s="7" t="s">
        <v>4018</v>
      </c>
      <c r="B1195" s="12" t="s">
        <v>4019</v>
      </c>
      <c r="C1195" s="14" t="s">
        <v>740</v>
      </c>
      <c r="D1195" s="15" t="s">
        <v>34</v>
      </c>
      <c r="E1195" s="16" t="s">
        <v>43</v>
      </c>
      <c r="F1195" s="10" t="s">
        <v>35</v>
      </c>
      <c r="G1195" s="10" t="b">
        <v>0</v>
      </c>
      <c r="H1195" s="10" t="s">
        <v>4020</v>
      </c>
      <c r="I1195" s="10">
        <v>1.0</v>
      </c>
      <c r="J1195" s="10">
        <v>0.0</v>
      </c>
      <c r="K1195" s="10">
        <v>0.0</v>
      </c>
    </row>
    <row r="1196">
      <c r="A1196" s="7" t="s">
        <v>4021</v>
      </c>
      <c r="B1196" s="12" t="s">
        <v>4022</v>
      </c>
      <c r="C1196" s="14" t="s">
        <v>740</v>
      </c>
      <c r="D1196" s="15" t="s">
        <v>34</v>
      </c>
      <c r="E1196" s="16" t="s">
        <v>43</v>
      </c>
      <c r="F1196" s="10" t="s">
        <v>35</v>
      </c>
      <c r="G1196" s="10" t="b">
        <v>0</v>
      </c>
      <c r="H1196" s="10" t="s">
        <v>4023</v>
      </c>
      <c r="I1196" s="10">
        <v>1.0</v>
      </c>
      <c r="J1196" s="10">
        <v>0.0</v>
      </c>
      <c r="K1196" s="10">
        <v>1.0</v>
      </c>
    </row>
    <row r="1197">
      <c r="A1197" s="7" t="s">
        <v>4024</v>
      </c>
      <c r="B1197" s="12" t="s">
        <v>4025</v>
      </c>
      <c r="C1197" s="14" t="s">
        <v>1918</v>
      </c>
      <c r="D1197" s="15" t="s">
        <v>176</v>
      </c>
      <c r="E1197" s="16" t="s">
        <v>24</v>
      </c>
      <c r="F1197" s="10" t="s">
        <v>91</v>
      </c>
      <c r="G1197" s="10" t="b">
        <v>0</v>
      </c>
      <c r="I1197" s="10">
        <v>1.0</v>
      </c>
      <c r="J1197" s="10">
        <v>0.0</v>
      </c>
      <c r="K1197" s="10">
        <v>0.0</v>
      </c>
    </row>
    <row r="1198">
      <c r="A1198" s="7" t="s">
        <v>4026</v>
      </c>
      <c r="B1198" s="12" t="s">
        <v>4027</v>
      </c>
      <c r="C1198" s="14" t="s">
        <v>1923</v>
      </c>
      <c r="D1198" s="15" t="s">
        <v>176</v>
      </c>
      <c r="E1198" s="16" t="s">
        <v>24</v>
      </c>
      <c r="F1198" s="10" t="s">
        <v>91</v>
      </c>
      <c r="G1198" s="10" t="b">
        <v>0</v>
      </c>
      <c r="I1198" s="10">
        <v>1.0</v>
      </c>
      <c r="J1198" s="10">
        <v>0.0</v>
      </c>
      <c r="K1198" s="10">
        <v>0.0</v>
      </c>
    </row>
    <row r="1199">
      <c r="A1199" s="7" t="s">
        <v>4028</v>
      </c>
      <c r="B1199" s="12" t="s">
        <v>4029</v>
      </c>
      <c r="C1199" s="14" t="s">
        <v>1167</v>
      </c>
      <c r="D1199" s="15" t="s">
        <v>176</v>
      </c>
      <c r="E1199" s="16" t="s">
        <v>44</v>
      </c>
      <c r="F1199" s="10" t="s">
        <v>91</v>
      </c>
      <c r="H1199" s="10" t="s">
        <v>948</v>
      </c>
      <c r="I1199" s="10">
        <v>1.0</v>
      </c>
      <c r="J1199" s="10">
        <v>0.0</v>
      </c>
      <c r="K1199" s="10">
        <v>1.0</v>
      </c>
    </row>
    <row r="1200">
      <c r="A1200" s="7" t="s">
        <v>4030</v>
      </c>
      <c r="B1200" s="16"/>
      <c r="C1200" s="14" t="s">
        <v>1167</v>
      </c>
      <c r="D1200" s="15" t="s">
        <v>176</v>
      </c>
      <c r="E1200" s="16" t="s">
        <v>176</v>
      </c>
      <c r="F1200" s="10" t="s">
        <v>91</v>
      </c>
      <c r="H1200" s="10" t="s">
        <v>948</v>
      </c>
      <c r="I1200" s="10">
        <v>1.0</v>
      </c>
      <c r="J1200" s="10">
        <v>0.0</v>
      </c>
      <c r="K1200" s="10">
        <v>1.0</v>
      </c>
    </row>
    <row r="1201">
      <c r="A1201" s="7" t="s">
        <v>4031</v>
      </c>
      <c r="B1201" s="12" t="s">
        <v>4032</v>
      </c>
      <c r="C1201" s="14" t="s">
        <v>1926</v>
      </c>
      <c r="D1201" s="15" t="s">
        <v>240</v>
      </c>
      <c r="E1201" s="16" t="s">
        <v>24</v>
      </c>
      <c r="F1201" s="10" t="s">
        <v>241</v>
      </c>
      <c r="G1201" s="10" t="b">
        <v>0</v>
      </c>
      <c r="I1201" s="10">
        <v>1.0</v>
      </c>
      <c r="J1201" s="10">
        <v>0.0</v>
      </c>
      <c r="K1201" s="10">
        <v>0.0</v>
      </c>
    </row>
    <row r="1202">
      <c r="A1202" s="7" t="s">
        <v>4033</v>
      </c>
      <c r="B1202" s="12" t="s">
        <v>4034</v>
      </c>
      <c r="C1202" s="14" t="s">
        <v>1169</v>
      </c>
      <c r="D1202" s="15" t="s">
        <v>34</v>
      </c>
      <c r="E1202" s="16" t="s">
        <v>44</v>
      </c>
      <c r="F1202" s="10" t="s">
        <v>35</v>
      </c>
      <c r="G1202" s="10" t="b">
        <v>0</v>
      </c>
      <c r="H1202" s="10" t="s">
        <v>384</v>
      </c>
      <c r="I1202" s="10">
        <v>1.0</v>
      </c>
      <c r="J1202" s="10">
        <v>0.0</v>
      </c>
      <c r="K1202" s="10">
        <v>0.0</v>
      </c>
    </row>
    <row r="1203">
      <c r="A1203" s="7" t="s">
        <v>4035</v>
      </c>
      <c r="B1203" s="12" t="s">
        <v>4036</v>
      </c>
      <c r="C1203" s="14" t="s">
        <v>1169</v>
      </c>
      <c r="D1203" s="15" t="s">
        <v>34</v>
      </c>
      <c r="E1203" s="16" t="s">
        <v>44</v>
      </c>
      <c r="F1203" s="10" t="s">
        <v>35</v>
      </c>
      <c r="G1203" s="10" t="b">
        <v>0</v>
      </c>
      <c r="H1203" s="10" t="s">
        <v>4037</v>
      </c>
      <c r="I1203" s="10">
        <v>1.0</v>
      </c>
      <c r="J1203" s="10">
        <v>0.0</v>
      </c>
      <c r="K1203" s="10">
        <v>0.0</v>
      </c>
    </row>
    <row r="1204">
      <c r="A1204" s="7" t="s">
        <v>4038</v>
      </c>
      <c r="B1204" s="12" t="s">
        <v>4039</v>
      </c>
      <c r="C1204" s="14" t="s">
        <v>1931</v>
      </c>
      <c r="D1204" s="15" t="s">
        <v>240</v>
      </c>
      <c r="E1204" s="16" t="s">
        <v>24</v>
      </c>
      <c r="F1204" s="10" t="s">
        <v>241</v>
      </c>
      <c r="G1204" s="10" t="b">
        <v>0</v>
      </c>
      <c r="I1204" s="10">
        <v>1.0</v>
      </c>
      <c r="J1204" s="10">
        <v>0.0</v>
      </c>
      <c r="K1204" s="10">
        <v>0.0</v>
      </c>
    </row>
    <row r="1205">
      <c r="A1205" s="7" t="s">
        <v>4040</v>
      </c>
      <c r="B1205" s="12" t="s">
        <v>4041</v>
      </c>
      <c r="C1205" s="14" t="s">
        <v>476</v>
      </c>
      <c r="D1205" s="15" t="s">
        <v>196</v>
      </c>
      <c r="E1205" s="16" t="s">
        <v>24</v>
      </c>
      <c r="F1205" s="10" t="s">
        <v>198</v>
      </c>
      <c r="G1205" s="10" t="b">
        <v>0</v>
      </c>
      <c r="H1205" s="10" t="s">
        <v>157</v>
      </c>
      <c r="I1205" s="10">
        <v>1.0</v>
      </c>
      <c r="J1205" s="10">
        <v>0.0</v>
      </c>
      <c r="K1205" s="10">
        <v>1.0</v>
      </c>
    </row>
    <row r="1206">
      <c r="A1206" s="7" t="s">
        <v>4042</v>
      </c>
      <c r="B1206" s="12" t="s">
        <v>4043</v>
      </c>
      <c r="C1206" s="14" t="s">
        <v>1936</v>
      </c>
      <c r="D1206" s="15" t="s">
        <v>196</v>
      </c>
      <c r="E1206" s="16" t="s">
        <v>24</v>
      </c>
      <c r="F1206" s="10" t="s">
        <v>198</v>
      </c>
      <c r="G1206" s="10" t="b">
        <v>0</v>
      </c>
      <c r="H1206" s="10" t="s">
        <v>157</v>
      </c>
      <c r="I1206" s="10">
        <v>1.0</v>
      </c>
      <c r="J1206" s="10">
        <v>0.0</v>
      </c>
      <c r="K1206" s="10">
        <v>1.0</v>
      </c>
    </row>
    <row r="1207">
      <c r="A1207" s="7" t="s">
        <v>4044</v>
      </c>
      <c r="B1207" s="12" t="s">
        <v>4045</v>
      </c>
      <c r="C1207" s="14" t="s">
        <v>1940</v>
      </c>
      <c r="D1207" s="15" t="s">
        <v>196</v>
      </c>
      <c r="E1207" s="16" t="s">
        <v>44</v>
      </c>
      <c r="F1207" s="10" t="s">
        <v>198</v>
      </c>
      <c r="G1207" s="10" t="b">
        <v>0</v>
      </c>
      <c r="H1207" s="10" t="s">
        <v>561</v>
      </c>
      <c r="I1207" s="10">
        <v>1.0</v>
      </c>
      <c r="J1207" s="10">
        <v>0.0</v>
      </c>
      <c r="K1207" s="10">
        <v>1.0</v>
      </c>
    </row>
    <row r="1208">
      <c r="A1208" s="7" t="s">
        <v>4046</v>
      </c>
      <c r="B1208" s="12" t="s">
        <v>4047</v>
      </c>
      <c r="C1208" s="14" t="s">
        <v>1363</v>
      </c>
      <c r="D1208" s="15" t="s">
        <v>176</v>
      </c>
      <c r="E1208" s="16" t="s">
        <v>24</v>
      </c>
      <c r="F1208" s="10" t="s">
        <v>91</v>
      </c>
      <c r="G1208" s="10" t="b">
        <v>0</v>
      </c>
      <c r="I1208" s="10">
        <v>1.0</v>
      </c>
      <c r="J1208" s="10">
        <v>0.0</v>
      </c>
      <c r="K1208" s="10">
        <v>1.0</v>
      </c>
    </row>
    <row r="1209">
      <c r="A1209" s="7" t="s">
        <v>4048</v>
      </c>
      <c r="B1209" s="12" t="s">
        <v>4049</v>
      </c>
      <c r="C1209" s="14" t="s">
        <v>1363</v>
      </c>
      <c r="D1209" s="15" t="s">
        <v>176</v>
      </c>
      <c r="E1209" s="16" t="s">
        <v>24</v>
      </c>
      <c r="F1209" s="10" t="s">
        <v>91</v>
      </c>
      <c r="G1209" s="10" t="b">
        <v>0</v>
      </c>
      <c r="I1209" s="10">
        <v>1.0</v>
      </c>
      <c r="J1209" s="10">
        <v>0.0</v>
      </c>
      <c r="K1209" s="10">
        <v>1.0</v>
      </c>
    </row>
    <row r="1210">
      <c r="A1210" s="7" t="s">
        <v>4050</v>
      </c>
      <c r="B1210" s="12" t="s">
        <v>4051</v>
      </c>
      <c r="C1210" s="14" t="s">
        <v>1943</v>
      </c>
      <c r="D1210" s="15" t="s">
        <v>749</v>
      </c>
      <c r="E1210" s="16" t="s">
        <v>176</v>
      </c>
      <c r="F1210" s="10" t="s">
        <v>750</v>
      </c>
      <c r="G1210" s="10" t="b">
        <v>0</v>
      </c>
      <c r="H1210" s="10" t="s">
        <v>157</v>
      </c>
      <c r="I1210" s="10">
        <v>1.0</v>
      </c>
      <c r="J1210" s="10">
        <v>0.0</v>
      </c>
      <c r="K1210" s="10">
        <v>1.0</v>
      </c>
    </row>
    <row r="1211">
      <c r="A1211" s="7" t="s">
        <v>4052</v>
      </c>
      <c r="B1211" s="12" t="s">
        <v>4053</v>
      </c>
      <c r="C1211" s="14" t="s">
        <v>1944</v>
      </c>
      <c r="D1211" s="15" t="s">
        <v>176</v>
      </c>
      <c r="E1211" s="16" t="s">
        <v>24</v>
      </c>
      <c r="F1211" s="10" t="s">
        <v>91</v>
      </c>
      <c r="G1211" s="10" t="b">
        <v>0</v>
      </c>
      <c r="H1211" s="10" t="s">
        <v>340</v>
      </c>
      <c r="I1211" s="10">
        <v>1.0</v>
      </c>
      <c r="J1211" s="10">
        <v>0.0</v>
      </c>
      <c r="K1211" s="10">
        <v>0.0</v>
      </c>
    </row>
    <row r="1212">
      <c r="A1212" s="7" t="s">
        <v>4054</v>
      </c>
      <c r="B1212" s="12" t="s">
        <v>4055</v>
      </c>
      <c r="C1212" s="14" t="s">
        <v>1947</v>
      </c>
      <c r="D1212" s="15" t="s">
        <v>196</v>
      </c>
      <c r="E1212" s="16" t="s">
        <v>24</v>
      </c>
      <c r="F1212" s="10" t="s">
        <v>198</v>
      </c>
      <c r="G1212" s="10" t="b">
        <v>0</v>
      </c>
      <c r="H1212" s="10" t="s">
        <v>1950</v>
      </c>
      <c r="I1212" s="10">
        <v>1.0</v>
      </c>
      <c r="J1212" s="10">
        <v>0.0</v>
      </c>
      <c r="K1212" s="10">
        <v>1.0</v>
      </c>
    </row>
    <row r="1213">
      <c r="A1213" s="7" t="s">
        <v>4056</v>
      </c>
      <c r="B1213" s="12" t="s">
        <v>4057</v>
      </c>
      <c r="C1213" s="14" t="s">
        <v>1348</v>
      </c>
      <c r="D1213" s="15" t="s">
        <v>34</v>
      </c>
      <c r="E1213" s="16" t="s">
        <v>24</v>
      </c>
      <c r="F1213" s="10" t="s">
        <v>35</v>
      </c>
      <c r="G1213" s="10" t="b">
        <v>0</v>
      </c>
      <c r="H1213" s="10" t="s">
        <v>4058</v>
      </c>
      <c r="I1213" s="10">
        <v>1.0</v>
      </c>
      <c r="J1213" s="10">
        <v>0.0</v>
      </c>
      <c r="K1213" s="10">
        <v>0.0</v>
      </c>
    </row>
    <row r="1214">
      <c r="A1214" s="7" t="s">
        <v>4059</v>
      </c>
      <c r="B1214" s="12" t="s">
        <v>4060</v>
      </c>
      <c r="C1214" s="14" t="s">
        <v>1348</v>
      </c>
      <c r="D1214" s="15" t="s">
        <v>577</v>
      </c>
      <c r="E1214" s="16" t="s">
        <v>24</v>
      </c>
      <c r="F1214" s="10" t="s">
        <v>578</v>
      </c>
      <c r="G1214" s="10" t="b">
        <v>0</v>
      </c>
      <c r="H1214" s="10" t="s">
        <v>4061</v>
      </c>
      <c r="I1214" s="10">
        <v>1.0</v>
      </c>
      <c r="J1214" s="10">
        <v>0.0</v>
      </c>
      <c r="K1214" s="10">
        <v>0.0</v>
      </c>
    </row>
    <row r="1215">
      <c r="A1215" s="7" t="s">
        <v>4062</v>
      </c>
      <c r="B1215" s="12" t="s">
        <v>4063</v>
      </c>
      <c r="C1215" s="14" t="s">
        <v>1348</v>
      </c>
      <c r="D1215" s="15" t="s">
        <v>577</v>
      </c>
      <c r="E1215" s="16" t="s">
        <v>24</v>
      </c>
      <c r="F1215" s="10" t="s">
        <v>578</v>
      </c>
      <c r="G1215" s="10" t="b">
        <v>0</v>
      </c>
      <c r="I1215" s="10">
        <v>1.0</v>
      </c>
      <c r="J1215" s="10">
        <v>0.0</v>
      </c>
      <c r="K1215" s="10">
        <v>2.0</v>
      </c>
    </row>
    <row r="1216">
      <c r="A1216" s="7" t="s">
        <v>4064</v>
      </c>
      <c r="B1216" s="12" t="s">
        <v>1402</v>
      </c>
      <c r="C1216" s="14" t="s">
        <v>1951</v>
      </c>
      <c r="D1216" s="15" t="s">
        <v>240</v>
      </c>
      <c r="E1216" s="16" t="s">
        <v>107</v>
      </c>
      <c r="F1216" s="10" t="s">
        <v>241</v>
      </c>
      <c r="G1216" s="10" t="b">
        <v>0</v>
      </c>
      <c r="H1216" s="10" t="s">
        <v>1402</v>
      </c>
      <c r="I1216" s="10">
        <v>1.0</v>
      </c>
      <c r="J1216" s="10">
        <v>0.0</v>
      </c>
      <c r="K1216" s="10">
        <v>1.0</v>
      </c>
    </row>
    <row r="1217">
      <c r="A1217" s="7" t="s">
        <v>4065</v>
      </c>
      <c r="B1217" s="12" t="s">
        <v>4066</v>
      </c>
      <c r="C1217" s="14" t="s">
        <v>1953</v>
      </c>
      <c r="D1217" s="15" t="s">
        <v>196</v>
      </c>
      <c r="E1217" s="16" t="s">
        <v>24</v>
      </c>
      <c r="F1217" s="10" t="s">
        <v>198</v>
      </c>
      <c r="G1217" s="10" t="b">
        <v>0</v>
      </c>
      <c r="I1217" s="10">
        <v>1.0</v>
      </c>
      <c r="J1217" s="10">
        <v>0.0</v>
      </c>
      <c r="K1217" s="10">
        <v>1.0</v>
      </c>
    </row>
    <row r="1218">
      <c r="A1218" s="7" t="s">
        <v>4067</v>
      </c>
      <c r="B1218" s="12" t="s">
        <v>4068</v>
      </c>
      <c r="C1218" s="14" t="s">
        <v>1957</v>
      </c>
      <c r="D1218" s="15" t="s">
        <v>34</v>
      </c>
      <c r="E1218" s="16" t="s">
        <v>99</v>
      </c>
      <c r="F1218" s="10" t="s">
        <v>35</v>
      </c>
      <c r="G1218" s="10" t="b">
        <v>0</v>
      </c>
      <c r="H1218" s="10" t="s">
        <v>1959</v>
      </c>
      <c r="I1218" s="10">
        <v>1.0</v>
      </c>
      <c r="J1218" s="10">
        <v>0.0</v>
      </c>
      <c r="K1218" s="10">
        <v>1.0</v>
      </c>
    </row>
    <row r="1219">
      <c r="A1219" s="7" t="s">
        <v>4069</v>
      </c>
      <c r="B1219" s="12" t="s">
        <v>4070</v>
      </c>
      <c r="C1219" s="14" t="s">
        <v>1961</v>
      </c>
      <c r="D1219" s="15" t="s">
        <v>34</v>
      </c>
      <c r="E1219" s="16" t="s">
        <v>176</v>
      </c>
      <c r="F1219" s="10" t="s">
        <v>35</v>
      </c>
      <c r="G1219" s="10" t="b">
        <v>0</v>
      </c>
      <c r="H1219" s="10" t="s">
        <v>4071</v>
      </c>
      <c r="I1219" s="10">
        <v>1.0</v>
      </c>
      <c r="J1219" s="10">
        <v>0.0</v>
      </c>
      <c r="K1219" s="10">
        <v>1.0</v>
      </c>
    </row>
    <row r="1220">
      <c r="A1220" s="7" t="s">
        <v>4072</v>
      </c>
      <c r="B1220" s="12" t="s">
        <v>4073</v>
      </c>
      <c r="C1220" s="14" t="s">
        <v>1967</v>
      </c>
      <c r="D1220" s="15" t="s">
        <v>240</v>
      </c>
      <c r="E1220" s="16" t="s">
        <v>24</v>
      </c>
      <c r="F1220" s="10" t="s">
        <v>241</v>
      </c>
      <c r="G1220" s="10" t="b">
        <v>0</v>
      </c>
      <c r="I1220" s="10">
        <v>1.0</v>
      </c>
      <c r="J1220" s="10">
        <v>0.0</v>
      </c>
      <c r="K1220" s="10">
        <v>0.0</v>
      </c>
    </row>
    <row r="1221">
      <c r="A1221" s="7" t="s">
        <v>4074</v>
      </c>
      <c r="B1221" s="12" t="s">
        <v>4075</v>
      </c>
      <c r="C1221" s="14" t="s">
        <v>1968</v>
      </c>
      <c r="D1221" s="15" t="s">
        <v>34</v>
      </c>
      <c r="E1221" s="16" t="s">
        <v>24</v>
      </c>
      <c r="F1221" s="10" t="s">
        <v>35</v>
      </c>
      <c r="G1221" s="10" t="b">
        <v>0</v>
      </c>
      <c r="H1221" s="10" t="s">
        <v>4076</v>
      </c>
      <c r="I1221" s="10">
        <v>1.0</v>
      </c>
      <c r="J1221" s="10">
        <v>0.0</v>
      </c>
      <c r="K1221" s="10">
        <v>1.0</v>
      </c>
    </row>
    <row r="1222">
      <c r="A1222" s="7" t="s">
        <v>4077</v>
      </c>
      <c r="B1222" s="12" t="s">
        <v>4078</v>
      </c>
      <c r="C1222" s="14" t="s">
        <v>930</v>
      </c>
      <c r="D1222" s="15" t="s">
        <v>196</v>
      </c>
      <c r="E1222" s="16" t="s">
        <v>24</v>
      </c>
      <c r="F1222" s="10" t="s">
        <v>198</v>
      </c>
      <c r="G1222" s="10" t="b">
        <v>0</v>
      </c>
      <c r="H1222" s="10" t="s">
        <v>932</v>
      </c>
      <c r="I1222" s="10">
        <v>1.0</v>
      </c>
      <c r="J1222" s="10">
        <v>0.0</v>
      </c>
      <c r="K1222" s="10">
        <v>0.0</v>
      </c>
    </row>
    <row r="1223">
      <c r="A1223" s="7" t="s">
        <v>4079</v>
      </c>
      <c r="B1223" s="12" t="s">
        <v>4080</v>
      </c>
      <c r="C1223" s="14" t="s">
        <v>1971</v>
      </c>
      <c r="D1223" s="15" t="s">
        <v>196</v>
      </c>
      <c r="E1223" s="16" t="s">
        <v>24</v>
      </c>
      <c r="F1223" s="10" t="s">
        <v>198</v>
      </c>
      <c r="G1223" s="10" t="b">
        <v>0</v>
      </c>
      <c r="H1223" s="10" t="s">
        <v>1974</v>
      </c>
      <c r="I1223" s="10">
        <v>1.0</v>
      </c>
      <c r="J1223" s="10">
        <v>0.0</v>
      </c>
      <c r="K1223" s="10">
        <v>0.0</v>
      </c>
    </row>
    <row r="1224">
      <c r="A1224" s="7" t="s">
        <v>4081</v>
      </c>
      <c r="B1224" s="12" t="s">
        <v>4082</v>
      </c>
      <c r="C1224" s="14" t="s">
        <v>156</v>
      </c>
      <c r="D1224" s="15" t="s">
        <v>196</v>
      </c>
      <c r="E1224" s="16" t="s">
        <v>107</v>
      </c>
      <c r="F1224" s="10" t="s">
        <v>198</v>
      </c>
      <c r="G1224" s="10" t="b">
        <v>0</v>
      </c>
      <c r="H1224" s="10" t="s">
        <v>158</v>
      </c>
      <c r="I1224" s="10">
        <v>1.0</v>
      </c>
      <c r="J1224" s="10">
        <v>0.0</v>
      </c>
      <c r="K1224" s="10">
        <v>1.0</v>
      </c>
    </row>
    <row r="1225">
      <c r="A1225" s="7" t="s">
        <v>4083</v>
      </c>
      <c r="B1225" s="12" t="s">
        <v>4084</v>
      </c>
      <c r="C1225" s="12" t="s">
        <v>1976</v>
      </c>
      <c r="D1225" s="15" t="s">
        <v>196</v>
      </c>
      <c r="E1225" s="16" t="s">
        <v>24</v>
      </c>
      <c r="F1225" s="10" t="s">
        <v>198</v>
      </c>
      <c r="G1225" s="10" t="b">
        <v>0</v>
      </c>
      <c r="H1225" s="10" t="s">
        <v>340</v>
      </c>
      <c r="I1225" s="10">
        <v>1.0</v>
      </c>
      <c r="J1225" s="10">
        <v>0.0</v>
      </c>
      <c r="K1225" s="10">
        <v>1.0</v>
      </c>
    </row>
    <row r="1226">
      <c r="A1226" s="7" t="s">
        <v>4085</v>
      </c>
      <c r="B1226" s="12" t="s">
        <v>4086</v>
      </c>
      <c r="C1226" s="14" t="s">
        <v>1978</v>
      </c>
      <c r="D1226" s="15" t="s">
        <v>240</v>
      </c>
      <c r="E1226" s="16" t="s">
        <v>24</v>
      </c>
      <c r="F1226" s="10" t="s">
        <v>241</v>
      </c>
      <c r="G1226" s="10" t="b">
        <v>0</v>
      </c>
      <c r="H1226" s="10" t="s">
        <v>4087</v>
      </c>
      <c r="I1226" s="10">
        <v>1.0</v>
      </c>
      <c r="J1226" s="10">
        <v>0.0</v>
      </c>
      <c r="K1226" s="10">
        <v>0.0</v>
      </c>
    </row>
    <row r="1227">
      <c r="A1227" s="7" t="s">
        <v>4088</v>
      </c>
      <c r="B1227" s="12" t="s">
        <v>4089</v>
      </c>
      <c r="C1227" s="14" t="s">
        <v>1983</v>
      </c>
      <c r="D1227" s="15" t="s">
        <v>240</v>
      </c>
      <c r="E1227" s="16" t="s">
        <v>24</v>
      </c>
      <c r="F1227" s="10" t="s">
        <v>241</v>
      </c>
      <c r="G1227" s="10" t="b">
        <v>0</v>
      </c>
      <c r="I1227" s="10">
        <v>1.0</v>
      </c>
      <c r="J1227" s="10">
        <v>0.0</v>
      </c>
      <c r="K1227" s="10">
        <v>0.0</v>
      </c>
    </row>
    <row r="1228">
      <c r="A1228" s="7" t="s">
        <v>4090</v>
      </c>
      <c r="B1228" s="12" t="s">
        <v>4091</v>
      </c>
      <c r="C1228" s="14" t="s">
        <v>1988</v>
      </c>
      <c r="D1228" s="15" t="s">
        <v>749</v>
      </c>
      <c r="E1228" s="16" t="s">
        <v>24</v>
      </c>
      <c r="F1228" s="10" t="s">
        <v>750</v>
      </c>
      <c r="G1228" s="10" t="b">
        <v>0</v>
      </c>
      <c r="I1228" s="10">
        <v>1.0</v>
      </c>
      <c r="J1228" s="10">
        <v>0.0</v>
      </c>
      <c r="K1228" s="10">
        <v>0.0</v>
      </c>
    </row>
    <row r="1229">
      <c r="A1229" s="7" t="s">
        <v>4092</v>
      </c>
      <c r="B1229" s="12" t="s">
        <v>4093</v>
      </c>
      <c r="C1229" s="14" t="s">
        <v>1990</v>
      </c>
      <c r="D1229" s="15" t="s">
        <v>176</v>
      </c>
      <c r="E1229" s="16" t="s">
        <v>24</v>
      </c>
      <c r="F1229" s="10" t="s">
        <v>91</v>
      </c>
      <c r="G1229" s="10" t="b">
        <v>0</v>
      </c>
      <c r="I1229" s="10">
        <v>1.0</v>
      </c>
      <c r="J1229" s="10">
        <v>0.0</v>
      </c>
      <c r="K1229" s="10">
        <v>3.0</v>
      </c>
    </row>
    <row r="1230">
      <c r="A1230" s="7" t="s">
        <v>4094</v>
      </c>
      <c r="B1230" s="12" t="s">
        <v>4095</v>
      </c>
      <c r="C1230" s="14" t="s">
        <v>1993</v>
      </c>
      <c r="D1230" s="15" t="s">
        <v>196</v>
      </c>
      <c r="E1230" s="16" t="s">
        <v>24</v>
      </c>
      <c r="F1230" s="10" t="s">
        <v>198</v>
      </c>
      <c r="G1230" s="10" t="b">
        <v>0</v>
      </c>
      <c r="I1230" s="10">
        <v>1.0</v>
      </c>
      <c r="J1230" s="10">
        <v>0.0</v>
      </c>
      <c r="K1230" s="10">
        <v>2.0</v>
      </c>
    </row>
    <row r="1231">
      <c r="A1231" s="7" t="s">
        <v>4096</v>
      </c>
      <c r="B1231" s="12" t="s">
        <v>2876</v>
      </c>
      <c r="C1231" s="14" t="s">
        <v>977</v>
      </c>
      <c r="D1231" s="15" t="s">
        <v>51</v>
      </c>
      <c r="E1231" s="16" t="s">
        <v>24</v>
      </c>
      <c r="F1231" s="10" t="s">
        <v>52</v>
      </c>
      <c r="G1231" s="10" t="b">
        <v>0</v>
      </c>
      <c r="H1231" s="10" t="s">
        <v>2877</v>
      </c>
      <c r="I1231" s="10">
        <v>1.0</v>
      </c>
      <c r="J1231" s="10">
        <v>0.0</v>
      </c>
      <c r="K1231" s="10">
        <v>0.0</v>
      </c>
    </row>
    <row r="1232">
      <c r="A1232" s="7" t="s">
        <v>4097</v>
      </c>
      <c r="B1232" s="16"/>
      <c r="C1232" s="14" t="s">
        <v>1179</v>
      </c>
      <c r="D1232" s="15" t="s">
        <v>51</v>
      </c>
      <c r="E1232" s="16" t="s">
        <v>43</v>
      </c>
      <c r="F1232" s="10" t="s">
        <v>52</v>
      </c>
      <c r="G1232" s="10" t="b">
        <v>0</v>
      </c>
      <c r="H1232" s="10" t="s">
        <v>4098</v>
      </c>
      <c r="I1232" s="10">
        <v>1.0</v>
      </c>
      <c r="J1232" s="10">
        <v>0.0</v>
      </c>
      <c r="K1232" s="10">
        <v>0.0</v>
      </c>
    </row>
    <row r="1233">
      <c r="A1233" s="7" t="s">
        <v>4099</v>
      </c>
      <c r="B1233" s="16"/>
      <c r="C1233" s="14" t="s">
        <v>1179</v>
      </c>
      <c r="D1233" s="15" t="s">
        <v>176</v>
      </c>
      <c r="E1233" s="16" t="s">
        <v>43</v>
      </c>
      <c r="F1233" s="10" t="s">
        <v>91</v>
      </c>
      <c r="G1233" s="10" t="b">
        <v>0</v>
      </c>
      <c r="H1233" s="10" t="s">
        <v>1714</v>
      </c>
      <c r="I1233" s="10">
        <v>1.0</v>
      </c>
      <c r="J1233" s="10">
        <v>0.0</v>
      </c>
      <c r="K1233" s="10">
        <v>0.0</v>
      </c>
    </row>
    <row r="1234">
      <c r="A1234" s="7" t="s">
        <v>4100</v>
      </c>
      <c r="B1234" s="12" t="s">
        <v>4101</v>
      </c>
      <c r="C1234" s="14" t="s">
        <v>1997</v>
      </c>
      <c r="D1234" s="15" t="s">
        <v>749</v>
      </c>
      <c r="E1234" s="16" t="s">
        <v>176</v>
      </c>
      <c r="F1234" s="10" t="s">
        <v>750</v>
      </c>
      <c r="G1234" s="10" t="b">
        <v>0</v>
      </c>
      <c r="H1234" s="10" t="s">
        <v>384</v>
      </c>
      <c r="I1234" s="10">
        <v>1.0</v>
      </c>
      <c r="J1234" s="10">
        <v>0.0</v>
      </c>
      <c r="K1234" s="10">
        <v>1.0</v>
      </c>
    </row>
    <row r="1235">
      <c r="A1235" s="7" t="s">
        <v>4102</v>
      </c>
      <c r="B1235" s="12" t="s">
        <v>4103</v>
      </c>
      <c r="C1235" s="14" t="s">
        <v>1998</v>
      </c>
      <c r="D1235" s="15" t="s">
        <v>34</v>
      </c>
      <c r="E1235" s="16" t="s">
        <v>24</v>
      </c>
      <c r="F1235" s="10" t="s">
        <v>35</v>
      </c>
      <c r="G1235" s="10" t="b">
        <v>0</v>
      </c>
      <c r="I1235" s="10">
        <v>1.0</v>
      </c>
      <c r="J1235" s="10">
        <v>0.0</v>
      </c>
      <c r="K1235" s="10">
        <v>3.0</v>
      </c>
    </row>
    <row r="1236">
      <c r="A1236" s="7" t="s">
        <v>4104</v>
      </c>
      <c r="B1236" s="12" t="s">
        <v>4105</v>
      </c>
      <c r="C1236" s="14" t="s">
        <v>79</v>
      </c>
      <c r="D1236" s="15" t="s">
        <v>34</v>
      </c>
      <c r="E1236" s="16" t="s">
        <v>24</v>
      </c>
      <c r="F1236" s="10" t="s">
        <v>35</v>
      </c>
      <c r="G1236" s="10" t="b">
        <v>0</v>
      </c>
      <c r="H1236" s="10" t="s">
        <v>795</v>
      </c>
      <c r="I1236" s="10">
        <v>1.0</v>
      </c>
      <c r="J1236" s="10">
        <v>0.0</v>
      </c>
      <c r="K1236" s="10">
        <v>1.0</v>
      </c>
    </row>
    <row r="1237">
      <c r="A1237" s="7" t="s">
        <v>4106</v>
      </c>
      <c r="B1237" s="12" t="s">
        <v>4107</v>
      </c>
      <c r="C1237" s="14" t="s">
        <v>79</v>
      </c>
      <c r="D1237" s="15" t="s">
        <v>34</v>
      </c>
      <c r="E1237" s="16" t="s">
        <v>24</v>
      </c>
      <c r="F1237" s="10" t="s">
        <v>35</v>
      </c>
      <c r="G1237" s="10" t="b">
        <v>0</v>
      </c>
      <c r="H1237" s="10" t="s">
        <v>4108</v>
      </c>
      <c r="I1237" s="10">
        <v>1.0</v>
      </c>
      <c r="J1237" s="10">
        <v>0.0</v>
      </c>
      <c r="K1237" s="10">
        <v>1.0</v>
      </c>
    </row>
    <row r="1238">
      <c r="A1238" s="7" t="s">
        <v>4109</v>
      </c>
      <c r="B1238" s="12" t="s">
        <v>4110</v>
      </c>
      <c r="C1238" s="12" t="s">
        <v>2002</v>
      </c>
      <c r="D1238" s="15" t="s">
        <v>2154</v>
      </c>
      <c r="E1238" s="16" t="s">
        <v>24</v>
      </c>
      <c r="F1238" s="10" t="s">
        <v>2155</v>
      </c>
      <c r="G1238" s="10" t="b">
        <v>0</v>
      </c>
      <c r="I1238" s="10">
        <v>1.0</v>
      </c>
      <c r="J1238" s="10">
        <v>0.0</v>
      </c>
      <c r="K1238" s="10">
        <v>1.0</v>
      </c>
    </row>
    <row r="1239">
      <c r="A1239" s="7" t="s">
        <v>4111</v>
      </c>
      <c r="B1239" s="12" t="s">
        <v>4112</v>
      </c>
      <c r="C1239" s="14" t="s">
        <v>437</v>
      </c>
      <c r="D1239" s="15" t="s">
        <v>34</v>
      </c>
      <c r="E1239" s="16" t="s">
        <v>107</v>
      </c>
      <c r="F1239" s="10" t="s">
        <v>35</v>
      </c>
      <c r="G1239" s="10" t="b">
        <v>0</v>
      </c>
      <c r="H1239" s="10" t="s">
        <v>4113</v>
      </c>
      <c r="I1239" s="10">
        <v>1.0</v>
      </c>
      <c r="J1239" s="10">
        <v>0.0</v>
      </c>
      <c r="K1239" s="10">
        <v>1.0</v>
      </c>
    </row>
    <row r="1240">
      <c r="A1240" s="7" t="s">
        <v>4114</v>
      </c>
      <c r="B1240" s="12" t="s">
        <v>4115</v>
      </c>
      <c r="C1240" s="14" t="s">
        <v>193</v>
      </c>
      <c r="D1240" s="15" t="s">
        <v>176</v>
      </c>
      <c r="E1240" s="16" t="s">
        <v>44</v>
      </c>
      <c r="F1240" s="10" t="s">
        <v>91</v>
      </c>
      <c r="G1240" s="10" t="b">
        <v>0</v>
      </c>
      <c r="H1240" s="10" t="s">
        <v>4116</v>
      </c>
      <c r="I1240" s="10">
        <v>1.0</v>
      </c>
      <c r="J1240" s="10">
        <v>0.0</v>
      </c>
      <c r="K1240" s="10">
        <v>1.0</v>
      </c>
    </row>
    <row r="1241">
      <c r="A1241" s="7" t="s">
        <v>4117</v>
      </c>
      <c r="B1241" s="12" t="s">
        <v>4118</v>
      </c>
      <c r="C1241" s="14" t="s">
        <v>193</v>
      </c>
      <c r="D1241" s="15" t="s">
        <v>51</v>
      </c>
      <c r="E1241" s="16" t="s">
        <v>44</v>
      </c>
      <c r="F1241" s="10" t="s">
        <v>52</v>
      </c>
      <c r="G1241" s="10" t="b">
        <v>0</v>
      </c>
      <c r="H1241" s="10" t="s">
        <v>4119</v>
      </c>
      <c r="I1241" s="10">
        <v>1.0</v>
      </c>
      <c r="J1241" s="10">
        <v>0.0</v>
      </c>
      <c r="K1241" s="10">
        <v>1.0</v>
      </c>
    </row>
    <row r="1242">
      <c r="A1242" s="7" t="s">
        <v>4120</v>
      </c>
      <c r="B1242" s="12" t="s">
        <v>4121</v>
      </c>
      <c r="C1242" s="14" t="s">
        <v>193</v>
      </c>
      <c r="D1242" s="15" t="s">
        <v>222</v>
      </c>
      <c r="E1242" s="16" t="s">
        <v>44</v>
      </c>
      <c r="F1242" s="10" t="s">
        <v>223</v>
      </c>
      <c r="G1242" s="10" t="b">
        <v>0</v>
      </c>
      <c r="H1242" s="10" t="s">
        <v>4122</v>
      </c>
      <c r="I1242" s="10">
        <v>1.0</v>
      </c>
      <c r="J1242" s="10">
        <v>0.0</v>
      </c>
      <c r="K1242" s="10">
        <v>1.0</v>
      </c>
    </row>
    <row r="1243">
      <c r="A1243" s="7" t="s">
        <v>4123</v>
      </c>
      <c r="B1243" s="12" t="s">
        <v>4124</v>
      </c>
      <c r="C1243" s="14" t="s">
        <v>193</v>
      </c>
      <c r="D1243" s="15" t="s">
        <v>222</v>
      </c>
      <c r="E1243" s="16" t="s">
        <v>44</v>
      </c>
      <c r="F1243" s="10" t="s">
        <v>223</v>
      </c>
      <c r="G1243" s="10" t="b">
        <v>0</v>
      </c>
      <c r="H1243" s="10" t="s">
        <v>4125</v>
      </c>
      <c r="I1243" s="10">
        <v>1.0</v>
      </c>
      <c r="J1243" s="10">
        <v>0.0</v>
      </c>
      <c r="K1243" s="10">
        <v>1.0</v>
      </c>
    </row>
    <row r="1244">
      <c r="A1244" s="7" t="s">
        <v>4126</v>
      </c>
      <c r="B1244" s="12" t="s">
        <v>4127</v>
      </c>
      <c r="C1244" s="14" t="s">
        <v>193</v>
      </c>
      <c r="D1244" s="15" t="s">
        <v>222</v>
      </c>
      <c r="E1244" s="16" t="s">
        <v>44</v>
      </c>
      <c r="F1244" s="10" t="s">
        <v>223</v>
      </c>
      <c r="G1244" s="10" t="b">
        <v>0</v>
      </c>
      <c r="H1244" s="10" t="s">
        <v>4128</v>
      </c>
      <c r="I1244" s="10">
        <v>1.0</v>
      </c>
      <c r="J1244" s="10">
        <v>0.0</v>
      </c>
      <c r="K1244" s="10">
        <v>1.0</v>
      </c>
    </row>
    <row r="1245">
      <c r="A1245" s="7" t="s">
        <v>4129</v>
      </c>
      <c r="B1245" s="12" t="s">
        <v>4130</v>
      </c>
      <c r="C1245" s="14" t="s">
        <v>193</v>
      </c>
      <c r="D1245" s="15" t="s">
        <v>222</v>
      </c>
      <c r="E1245" s="16" t="s">
        <v>44</v>
      </c>
      <c r="F1245" s="10" t="s">
        <v>223</v>
      </c>
      <c r="G1245" s="10" t="b">
        <v>0</v>
      </c>
      <c r="H1245" s="10" t="s">
        <v>3468</v>
      </c>
      <c r="I1245" s="10">
        <v>1.0</v>
      </c>
      <c r="J1245" s="10">
        <v>0.0</v>
      </c>
      <c r="K1245" s="10">
        <v>0.0</v>
      </c>
    </row>
    <row r="1246">
      <c r="A1246" s="7" t="s">
        <v>4131</v>
      </c>
      <c r="B1246" s="12" t="s">
        <v>4132</v>
      </c>
      <c r="C1246" s="14" t="s">
        <v>193</v>
      </c>
      <c r="D1246" s="15" t="s">
        <v>749</v>
      </c>
      <c r="E1246" s="16" t="s">
        <v>44</v>
      </c>
      <c r="F1246" s="10" t="s">
        <v>750</v>
      </c>
      <c r="G1246" s="10" t="b">
        <v>0</v>
      </c>
      <c r="H1246" s="10" t="s">
        <v>4133</v>
      </c>
      <c r="I1246" s="10">
        <v>1.0</v>
      </c>
      <c r="J1246" s="10">
        <v>0.0</v>
      </c>
      <c r="K1246" s="10">
        <v>0.0</v>
      </c>
    </row>
    <row r="1247">
      <c r="A1247" s="7" t="s">
        <v>4134</v>
      </c>
      <c r="B1247" s="12" t="s">
        <v>4135</v>
      </c>
      <c r="C1247" s="14" t="s">
        <v>193</v>
      </c>
      <c r="D1247" s="15" t="s">
        <v>34</v>
      </c>
      <c r="E1247" s="16" t="s">
        <v>44</v>
      </c>
      <c r="F1247" s="10" t="s">
        <v>35</v>
      </c>
      <c r="G1247" s="10" t="b">
        <v>0</v>
      </c>
      <c r="H1247" s="10" t="s">
        <v>4136</v>
      </c>
      <c r="I1247" s="10">
        <v>1.0</v>
      </c>
      <c r="J1247" s="10">
        <v>0.0</v>
      </c>
      <c r="K1247" s="10">
        <v>1.0</v>
      </c>
    </row>
    <row r="1248">
      <c r="A1248" s="7" t="s">
        <v>4137</v>
      </c>
      <c r="B1248" s="12" t="s">
        <v>4138</v>
      </c>
      <c r="C1248" s="14" t="s">
        <v>193</v>
      </c>
      <c r="D1248" s="15" t="s">
        <v>34</v>
      </c>
      <c r="E1248" s="16" t="s">
        <v>44</v>
      </c>
      <c r="F1248" s="10" t="s">
        <v>35</v>
      </c>
      <c r="G1248" s="10" t="b">
        <v>0</v>
      </c>
      <c r="H1248" s="10" t="s">
        <v>4139</v>
      </c>
      <c r="I1248" s="10">
        <v>1.0</v>
      </c>
      <c r="J1248" s="10">
        <v>0.0</v>
      </c>
      <c r="K1248" s="10">
        <v>0.0</v>
      </c>
    </row>
    <row r="1249">
      <c r="A1249" s="7" t="s">
        <v>4140</v>
      </c>
      <c r="B1249" s="12" t="s">
        <v>4141</v>
      </c>
      <c r="C1249" s="14" t="s">
        <v>193</v>
      </c>
      <c r="D1249" s="15" t="s">
        <v>749</v>
      </c>
      <c r="E1249" s="16" t="s">
        <v>44</v>
      </c>
      <c r="F1249" s="10" t="s">
        <v>750</v>
      </c>
      <c r="G1249" s="10" t="b">
        <v>0</v>
      </c>
      <c r="H1249" s="10" t="s">
        <v>157</v>
      </c>
      <c r="I1249" s="10">
        <v>1.0</v>
      </c>
      <c r="J1249" s="10">
        <v>0.0</v>
      </c>
      <c r="K1249" s="10">
        <v>1.0</v>
      </c>
    </row>
    <row r="1250">
      <c r="A1250" s="7" t="s">
        <v>4142</v>
      </c>
      <c r="B1250" s="12" t="s">
        <v>4143</v>
      </c>
      <c r="C1250" s="14" t="s">
        <v>193</v>
      </c>
      <c r="D1250" s="15" t="s">
        <v>404</v>
      </c>
      <c r="E1250" s="16" t="s">
        <v>44</v>
      </c>
      <c r="F1250" s="10" t="s">
        <v>405</v>
      </c>
      <c r="G1250" s="10" t="b">
        <v>0</v>
      </c>
      <c r="H1250" s="10" t="s">
        <v>4144</v>
      </c>
      <c r="I1250" s="10">
        <v>1.0</v>
      </c>
      <c r="J1250" s="10">
        <v>0.0</v>
      </c>
      <c r="K1250" s="10">
        <v>1.0</v>
      </c>
    </row>
    <row r="1251">
      <c r="A1251" s="7" t="s">
        <v>4145</v>
      </c>
      <c r="B1251" s="12" t="s">
        <v>4146</v>
      </c>
      <c r="C1251" s="14" t="s">
        <v>2004</v>
      </c>
      <c r="D1251" s="15" t="s">
        <v>749</v>
      </c>
      <c r="E1251" s="16" t="s">
        <v>24</v>
      </c>
      <c r="F1251" s="10" t="s">
        <v>750</v>
      </c>
      <c r="G1251" s="10" t="b">
        <v>0</v>
      </c>
      <c r="I1251" s="10">
        <v>1.0</v>
      </c>
      <c r="J1251" s="10">
        <v>0.0</v>
      </c>
      <c r="K1251" s="10">
        <v>1.0</v>
      </c>
    </row>
    <row r="1252">
      <c r="A1252" s="7" t="s">
        <v>4147</v>
      </c>
      <c r="B1252" s="12" t="s">
        <v>4148</v>
      </c>
      <c r="C1252" s="14" t="s">
        <v>2007</v>
      </c>
      <c r="D1252" s="15" t="s">
        <v>51</v>
      </c>
      <c r="E1252" s="16" t="s">
        <v>24</v>
      </c>
      <c r="F1252" s="10" t="s">
        <v>52</v>
      </c>
      <c r="G1252" s="10" t="b">
        <v>0</v>
      </c>
      <c r="I1252" s="10">
        <v>1.0</v>
      </c>
      <c r="J1252" s="10">
        <v>0.0</v>
      </c>
      <c r="K1252" s="10">
        <v>0.0</v>
      </c>
    </row>
    <row r="1253">
      <c r="A1253" s="7" t="s">
        <v>4149</v>
      </c>
      <c r="B1253" s="12" t="s">
        <v>4150</v>
      </c>
      <c r="C1253" s="14" t="s">
        <v>2011</v>
      </c>
      <c r="D1253" s="15" t="s">
        <v>34</v>
      </c>
      <c r="E1253" s="16" t="s">
        <v>24</v>
      </c>
      <c r="F1253" s="10" t="s">
        <v>35</v>
      </c>
      <c r="G1253" s="10" t="b">
        <v>0</v>
      </c>
      <c r="H1253" s="10" t="s">
        <v>157</v>
      </c>
      <c r="I1253" s="10">
        <v>1.0</v>
      </c>
      <c r="J1253" s="10">
        <v>0.0</v>
      </c>
      <c r="K1253" s="10">
        <v>2.0</v>
      </c>
    </row>
    <row r="1254">
      <c r="A1254" s="7" t="s">
        <v>4151</v>
      </c>
      <c r="B1254" s="12" t="s">
        <v>4152</v>
      </c>
      <c r="C1254" s="14" t="s">
        <v>2013</v>
      </c>
      <c r="D1254" s="15" t="s">
        <v>34</v>
      </c>
      <c r="E1254" s="16" t="s">
        <v>24</v>
      </c>
      <c r="F1254" s="10" t="s">
        <v>35</v>
      </c>
      <c r="G1254" s="10" t="b">
        <v>0</v>
      </c>
      <c r="H1254" s="10" t="s">
        <v>4153</v>
      </c>
      <c r="I1254" s="10">
        <v>1.0</v>
      </c>
      <c r="J1254" s="10">
        <v>0.0</v>
      </c>
      <c r="K1254" s="10">
        <v>0.0</v>
      </c>
    </row>
    <row r="1255">
      <c r="A1255" s="7" t="s">
        <v>4154</v>
      </c>
      <c r="B1255" s="12" t="s">
        <v>4155</v>
      </c>
      <c r="C1255" s="14" t="s">
        <v>2017</v>
      </c>
      <c r="D1255" s="15" t="s">
        <v>240</v>
      </c>
      <c r="E1255" s="16" t="s">
        <v>24</v>
      </c>
      <c r="F1255" s="10" t="s">
        <v>241</v>
      </c>
      <c r="G1255" s="10" t="b">
        <v>0</v>
      </c>
      <c r="I1255" s="10">
        <v>1.0</v>
      </c>
      <c r="J1255" s="10">
        <v>0.0</v>
      </c>
      <c r="K1255" s="10">
        <v>0.0</v>
      </c>
    </row>
    <row r="1256">
      <c r="A1256" s="7" t="s">
        <v>4156</v>
      </c>
      <c r="B1256" s="12" t="s">
        <v>4157</v>
      </c>
      <c r="C1256" s="14" t="s">
        <v>933</v>
      </c>
      <c r="D1256" s="15" t="s">
        <v>176</v>
      </c>
      <c r="E1256" s="16" t="s">
        <v>24</v>
      </c>
      <c r="F1256" s="10" t="s">
        <v>91</v>
      </c>
      <c r="G1256" s="10" t="b">
        <v>0</v>
      </c>
      <c r="H1256" s="10" t="s">
        <v>4158</v>
      </c>
      <c r="I1256" s="10">
        <v>1.0</v>
      </c>
      <c r="J1256" s="10">
        <v>0.0</v>
      </c>
      <c r="K1256" s="10">
        <v>1.0</v>
      </c>
    </row>
    <row r="1257">
      <c r="A1257" s="7" t="s">
        <v>4159</v>
      </c>
      <c r="B1257" s="12" t="s">
        <v>4160</v>
      </c>
      <c r="C1257" s="14" t="s">
        <v>2020</v>
      </c>
      <c r="D1257" s="15" t="s">
        <v>404</v>
      </c>
      <c r="E1257" s="16" t="s">
        <v>44</v>
      </c>
      <c r="F1257" s="10" t="s">
        <v>405</v>
      </c>
      <c r="G1257" s="10" t="b">
        <v>0</v>
      </c>
      <c r="H1257" s="10" t="s">
        <v>2022</v>
      </c>
      <c r="I1257" s="10">
        <v>1.0</v>
      </c>
      <c r="J1257" s="10">
        <v>0.0</v>
      </c>
      <c r="K1257" s="10">
        <v>1.0</v>
      </c>
    </row>
    <row r="1258">
      <c r="A1258" s="7" t="s">
        <v>4161</v>
      </c>
      <c r="B1258" s="12" t="s">
        <v>4162</v>
      </c>
      <c r="C1258" s="14" t="s">
        <v>743</v>
      </c>
      <c r="D1258" s="15" t="s">
        <v>34</v>
      </c>
      <c r="E1258" s="16" t="s">
        <v>176</v>
      </c>
      <c r="F1258" s="10" t="s">
        <v>35</v>
      </c>
      <c r="G1258" s="10" t="b">
        <v>0</v>
      </c>
      <c r="H1258" s="10" t="s">
        <v>4163</v>
      </c>
      <c r="I1258" s="10">
        <v>1.0</v>
      </c>
      <c r="J1258" s="10">
        <v>0.0</v>
      </c>
      <c r="K1258" s="10">
        <v>1.0</v>
      </c>
    </row>
    <row r="1259">
      <c r="A1259" s="7" t="s">
        <v>4164</v>
      </c>
      <c r="B1259" s="12" t="s">
        <v>4165</v>
      </c>
      <c r="C1259" s="14" t="s">
        <v>2023</v>
      </c>
      <c r="D1259" s="15" t="s">
        <v>240</v>
      </c>
      <c r="E1259" s="16" t="s">
        <v>107</v>
      </c>
      <c r="F1259" s="10" t="s">
        <v>241</v>
      </c>
      <c r="G1259" s="10" t="b">
        <v>0</v>
      </c>
      <c r="H1259" s="10" t="s">
        <v>1024</v>
      </c>
      <c r="I1259" s="10">
        <v>1.0</v>
      </c>
      <c r="J1259" s="10">
        <v>0.0</v>
      </c>
      <c r="K1259" s="10">
        <v>1.0</v>
      </c>
    </row>
    <row r="1260">
      <c r="A1260" s="7" t="s">
        <v>4166</v>
      </c>
      <c r="B1260" s="12" t="s">
        <v>4167</v>
      </c>
      <c r="C1260" s="14" t="s">
        <v>1021</v>
      </c>
      <c r="D1260" s="15" t="s">
        <v>240</v>
      </c>
      <c r="E1260" s="16" t="s">
        <v>24</v>
      </c>
      <c r="F1260" s="10" t="s">
        <v>241</v>
      </c>
      <c r="G1260" s="10" t="b">
        <v>0</v>
      </c>
      <c r="H1260" s="10" t="s">
        <v>1024</v>
      </c>
      <c r="I1260" s="10">
        <v>1.0</v>
      </c>
      <c r="J1260" s="10">
        <v>0.0</v>
      </c>
      <c r="K1260" s="10">
        <v>0.0</v>
      </c>
    </row>
    <row r="1261">
      <c r="A1261" s="7" t="s">
        <v>4168</v>
      </c>
      <c r="B1261" s="12" t="s">
        <v>4169</v>
      </c>
      <c r="C1261" s="14" t="s">
        <v>2025</v>
      </c>
      <c r="D1261" s="15" t="s">
        <v>34</v>
      </c>
      <c r="E1261" s="16" t="s">
        <v>24</v>
      </c>
      <c r="F1261" s="10" t="s">
        <v>35</v>
      </c>
      <c r="G1261" s="10" t="b">
        <v>0</v>
      </c>
      <c r="H1261" s="10" t="s">
        <v>384</v>
      </c>
      <c r="I1261" s="10">
        <v>1.0</v>
      </c>
      <c r="J1261" s="10">
        <v>0.0</v>
      </c>
      <c r="K1261" s="10">
        <v>1.0</v>
      </c>
    </row>
    <row r="1262">
      <c r="A1262" s="7" t="s">
        <v>4170</v>
      </c>
      <c r="B1262" s="12" t="s">
        <v>4171</v>
      </c>
      <c r="C1262" s="14" t="s">
        <v>2027</v>
      </c>
      <c r="D1262" s="15" t="s">
        <v>34</v>
      </c>
      <c r="E1262" s="16" t="s">
        <v>24</v>
      </c>
      <c r="F1262" s="10" t="s">
        <v>35</v>
      </c>
      <c r="G1262" s="10" t="b">
        <v>0</v>
      </c>
      <c r="I1262" s="10">
        <v>1.0</v>
      </c>
      <c r="J1262" s="10">
        <v>0.0</v>
      </c>
      <c r="K1262" s="10">
        <v>1.0</v>
      </c>
    </row>
    <row r="1263">
      <c r="A1263" s="7" t="s">
        <v>4172</v>
      </c>
      <c r="B1263" s="12" t="s">
        <v>4173</v>
      </c>
      <c r="C1263" s="14" t="s">
        <v>1182</v>
      </c>
      <c r="D1263" s="15" t="s">
        <v>749</v>
      </c>
      <c r="E1263" s="16" t="s">
        <v>43</v>
      </c>
      <c r="F1263" s="10" t="s">
        <v>750</v>
      </c>
      <c r="G1263" s="10" t="b">
        <v>0</v>
      </c>
      <c r="H1263" s="10" t="s">
        <v>4174</v>
      </c>
      <c r="I1263" s="10">
        <v>1.0</v>
      </c>
      <c r="J1263" s="10">
        <v>0.0</v>
      </c>
      <c r="K1263" s="10">
        <v>0.0</v>
      </c>
    </row>
    <row r="1264">
      <c r="A1264" s="7" t="s">
        <v>4175</v>
      </c>
      <c r="B1264" s="12" t="s">
        <v>1798</v>
      </c>
      <c r="C1264" s="14" t="s">
        <v>1182</v>
      </c>
      <c r="D1264" s="15" t="s">
        <v>34</v>
      </c>
      <c r="E1264" s="16" t="s">
        <v>43</v>
      </c>
      <c r="F1264" s="10" t="s">
        <v>35</v>
      </c>
      <c r="G1264" s="10" t="b">
        <v>0</v>
      </c>
      <c r="H1264" s="10" t="s">
        <v>4176</v>
      </c>
      <c r="I1264" s="10">
        <v>1.0</v>
      </c>
      <c r="J1264" s="10">
        <v>0.0</v>
      </c>
      <c r="K1264" s="10">
        <v>0.0</v>
      </c>
    </row>
    <row r="1265">
      <c r="A1265" s="7" t="s">
        <v>4177</v>
      </c>
      <c r="B1265" s="12" t="s">
        <v>4178</v>
      </c>
      <c r="C1265" s="14" t="s">
        <v>2029</v>
      </c>
      <c r="D1265" s="15" t="s">
        <v>176</v>
      </c>
      <c r="E1265" s="16" t="s">
        <v>1000</v>
      </c>
      <c r="F1265" s="10" t="s">
        <v>91</v>
      </c>
      <c r="G1265" s="10" t="b">
        <v>0</v>
      </c>
      <c r="H1265" s="10" t="s">
        <v>146</v>
      </c>
      <c r="I1265" s="10">
        <v>1.0</v>
      </c>
      <c r="J1265" s="10">
        <v>0.0</v>
      </c>
      <c r="K1265" s="10">
        <v>2.0</v>
      </c>
    </row>
    <row r="1266">
      <c r="A1266" s="7" t="s">
        <v>4179</v>
      </c>
      <c r="B1266" s="12" t="s">
        <v>4180</v>
      </c>
      <c r="C1266" s="14" t="s">
        <v>2034</v>
      </c>
      <c r="D1266" s="15" t="s">
        <v>240</v>
      </c>
      <c r="E1266" s="16" t="s">
        <v>99</v>
      </c>
      <c r="F1266" s="10" t="s">
        <v>241</v>
      </c>
      <c r="G1266" s="10" t="b">
        <v>0</v>
      </c>
      <c r="H1266" s="10" t="s">
        <v>4181</v>
      </c>
      <c r="I1266" s="10">
        <v>1.0</v>
      </c>
      <c r="J1266" s="10">
        <v>0.0</v>
      </c>
      <c r="K1266" s="10">
        <v>0.0</v>
      </c>
    </row>
    <row r="1267">
      <c r="A1267" s="7" t="s">
        <v>4182</v>
      </c>
      <c r="B1267" s="12" t="s">
        <v>4183</v>
      </c>
      <c r="C1267" s="14" t="s">
        <v>138</v>
      </c>
      <c r="D1267" s="15" t="s">
        <v>240</v>
      </c>
      <c r="E1267" s="16" t="s">
        <v>176</v>
      </c>
      <c r="F1267" s="10" t="s">
        <v>241</v>
      </c>
      <c r="G1267" s="10" t="b">
        <v>0</v>
      </c>
      <c r="I1267" s="10">
        <v>1.0</v>
      </c>
      <c r="J1267" s="10">
        <v>0.0</v>
      </c>
      <c r="K1267" s="10">
        <v>1.0</v>
      </c>
    </row>
    <row r="1268">
      <c r="A1268" s="7" t="s">
        <v>4184</v>
      </c>
      <c r="B1268" s="12" t="s">
        <v>4185</v>
      </c>
      <c r="C1268" s="14" t="s">
        <v>2037</v>
      </c>
      <c r="D1268" s="15" t="s">
        <v>34</v>
      </c>
      <c r="E1268" s="16" t="s">
        <v>176</v>
      </c>
      <c r="F1268" s="10" t="s">
        <v>35</v>
      </c>
      <c r="G1268" s="10" t="b">
        <v>0</v>
      </c>
      <c r="H1268" s="10" t="s">
        <v>4186</v>
      </c>
      <c r="I1268" s="10">
        <v>1.0</v>
      </c>
      <c r="J1268" s="10">
        <v>0.0</v>
      </c>
      <c r="K1268" s="10">
        <v>0.0</v>
      </c>
    </row>
    <row r="1269">
      <c r="A1269" s="7" t="s">
        <v>4187</v>
      </c>
      <c r="B1269" s="12" t="s">
        <v>4188</v>
      </c>
      <c r="C1269" s="14" t="s">
        <v>2040</v>
      </c>
      <c r="D1269" s="15" t="s">
        <v>240</v>
      </c>
      <c r="E1269" s="16" t="s">
        <v>24</v>
      </c>
      <c r="F1269" s="10" t="s">
        <v>241</v>
      </c>
      <c r="G1269" s="10" t="b">
        <v>0</v>
      </c>
      <c r="I1269" s="10">
        <v>1.0</v>
      </c>
      <c r="J1269" s="10">
        <v>0.0</v>
      </c>
      <c r="K1269" s="10">
        <v>0.0</v>
      </c>
    </row>
    <row r="1270">
      <c r="A1270" s="7" t="s">
        <v>4189</v>
      </c>
      <c r="B1270" s="12" t="s">
        <v>4190</v>
      </c>
      <c r="C1270" s="14" t="s">
        <v>804</v>
      </c>
      <c r="D1270" s="15" t="s">
        <v>240</v>
      </c>
      <c r="E1270" s="16" t="s">
        <v>107</v>
      </c>
      <c r="F1270" s="10" t="s">
        <v>241</v>
      </c>
      <c r="G1270" s="10" t="b">
        <v>0</v>
      </c>
      <c r="H1270" s="10" t="s">
        <v>806</v>
      </c>
      <c r="I1270" s="10">
        <v>1.0</v>
      </c>
      <c r="J1270" s="10">
        <v>0.0</v>
      </c>
      <c r="K1270" s="10">
        <v>1.0</v>
      </c>
    </row>
    <row r="1271">
      <c r="A1271" s="7" t="s">
        <v>4191</v>
      </c>
      <c r="B1271" s="12" t="s">
        <v>4192</v>
      </c>
      <c r="C1271" s="14" t="s">
        <v>148</v>
      </c>
      <c r="D1271" s="15" t="s">
        <v>240</v>
      </c>
      <c r="E1271" s="16" t="s">
        <v>107</v>
      </c>
      <c r="F1271" s="10" t="s">
        <v>241</v>
      </c>
      <c r="G1271" s="10" t="b">
        <v>0</v>
      </c>
      <c r="H1271" s="10" t="s">
        <v>157</v>
      </c>
      <c r="I1271" s="10">
        <v>1.0</v>
      </c>
      <c r="J1271" s="10">
        <v>0.0</v>
      </c>
      <c r="K1271" s="10">
        <v>2.0</v>
      </c>
    </row>
    <row r="1272">
      <c r="A1272" s="7" t="s">
        <v>4193</v>
      </c>
      <c r="B1272" s="12" t="s">
        <v>4194</v>
      </c>
      <c r="C1272" s="14" t="s">
        <v>148</v>
      </c>
      <c r="D1272" s="15" t="s">
        <v>34</v>
      </c>
      <c r="E1272" s="16" t="s">
        <v>107</v>
      </c>
      <c r="F1272" s="10" t="s">
        <v>35</v>
      </c>
      <c r="G1272" s="10" t="b">
        <v>0</v>
      </c>
      <c r="H1272" s="10" t="s">
        <v>4195</v>
      </c>
      <c r="I1272" s="10">
        <v>1.0</v>
      </c>
      <c r="J1272" s="10">
        <v>0.0</v>
      </c>
      <c r="K1272" s="10">
        <v>1.0</v>
      </c>
    </row>
    <row r="1273">
      <c r="A1273" s="7" t="s">
        <v>4196</v>
      </c>
      <c r="B1273" s="12" t="s">
        <v>4197</v>
      </c>
      <c r="C1273" s="14" t="s">
        <v>148</v>
      </c>
      <c r="D1273" s="15" t="s">
        <v>577</v>
      </c>
      <c r="E1273" s="16" t="s">
        <v>107</v>
      </c>
      <c r="F1273" s="10" t="s">
        <v>578</v>
      </c>
      <c r="G1273" s="10" t="b">
        <v>0</v>
      </c>
      <c r="H1273" s="10" t="s">
        <v>157</v>
      </c>
      <c r="I1273" s="10">
        <v>1.0</v>
      </c>
      <c r="J1273" s="10">
        <v>0.0</v>
      </c>
      <c r="K1273" s="10">
        <v>1.0</v>
      </c>
    </row>
    <row r="1274">
      <c r="A1274" s="7" t="s">
        <v>4198</v>
      </c>
      <c r="B1274" s="12" t="s">
        <v>4199</v>
      </c>
      <c r="C1274" s="14" t="s">
        <v>2044</v>
      </c>
      <c r="D1274" s="15" t="s">
        <v>749</v>
      </c>
      <c r="E1274" s="16" t="s">
        <v>99</v>
      </c>
      <c r="F1274" s="10" t="s">
        <v>750</v>
      </c>
      <c r="G1274" s="10" t="b">
        <v>0</v>
      </c>
      <c r="H1274" s="10" t="s">
        <v>1714</v>
      </c>
      <c r="I1274" s="10">
        <v>1.0</v>
      </c>
      <c r="J1274" s="10">
        <v>0.0</v>
      </c>
      <c r="K1274" s="10">
        <v>0.0</v>
      </c>
    </row>
    <row r="1275">
      <c r="A1275" s="7" t="s">
        <v>4200</v>
      </c>
      <c r="B1275" s="12" t="s">
        <v>4201</v>
      </c>
      <c r="C1275" s="14" t="s">
        <v>2045</v>
      </c>
      <c r="D1275" s="15" t="s">
        <v>240</v>
      </c>
      <c r="E1275" s="16" t="s">
        <v>24</v>
      </c>
      <c r="F1275" s="10" t="s">
        <v>241</v>
      </c>
      <c r="G1275" s="10" t="b">
        <v>0</v>
      </c>
      <c r="I1275" s="10">
        <v>1.0</v>
      </c>
      <c r="J1275" s="10">
        <v>0.0</v>
      </c>
      <c r="K1275" s="10">
        <v>1.0</v>
      </c>
    </row>
    <row r="1276">
      <c r="A1276" s="7" t="s">
        <v>4202</v>
      </c>
      <c r="B1276" s="12" t="s">
        <v>4203</v>
      </c>
      <c r="C1276" s="14" t="s">
        <v>2046</v>
      </c>
      <c r="D1276" s="15" t="s">
        <v>34</v>
      </c>
      <c r="E1276" s="16" t="s">
        <v>176</v>
      </c>
      <c r="F1276" s="10" t="s">
        <v>35</v>
      </c>
      <c r="G1276" s="10" t="b">
        <v>0</v>
      </c>
      <c r="H1276" s="10" t="s">
        <v>4204</v>
      </c>
      <c r="I1276" s="10">
        <v>1.0</v>
      </c>
      <c r="J1276" s="10">
        <v>0.0</v>
      </c>
      <c r="K1276" s="10">
        <v>0.0</v>
      </c>
    </row>
    <row r="1277">
      <c r="A1277" s="7" t="s">
        <v>4205</v>
      </c>
      <c r="B1277" s="12" t="s">
        <v>4206</v>
      </c>
      <c r="C1277" s="14" t="s">
        <v>592</v>
      </c>
      <c r="D1277" s="15" t="s">
        <v>749</v>
      </c>
      <c r="E1277" s="16" t="s">
        <v>99</v>
      </c>
      <c r="F1277" s="10" t="s">
        <v>750</v>
      </c>
      <c r="G1277" s="10" t="b">
        <v>0</v>
      </c>
      <c r="H1277" s="10" t="s">
        <v>4207</v>
      </c>
      <c r="I1277" s="10">
        <v>1.0</v>
      </c>
      <c r="J1277" s="10">
        <v>0.0</v>
      </c>
      <c r="K1277" s="10">
        <v>0.0</v>
      </c>
    </row>
    <row r="1278">
      <c r="A1278" s="7" t="s">
        <v>4208</v>
      </c>
      <c r="B1278" s="12" t="s">
        <v>4209</v>
      </c>
      <c r="C1278" s="14" t="s">
        <v>1191</v>
      </c>
      <c r="D1278" s="15" t="s">
        <v>176</v>
      </c>
      <c r="E1278" s="16" t="s">
        <v>24</v>
      </c>
      <c r="F1278" s="10" t="s">
        <v>91</v>
      </c>
      <c r="G1278" s="10" t="b">
        <v>0</v>
      </c>
      <c r="I1278" s="10">
        <v>1.0</v>
      </c>
      <c r="J1278" s="10">
        <v>0.0</v>
      </c>
      <c r="K1278" s="10">
        <v>0.0</v>
      </c>
    </row>
    <row r="1279">
      <c r="A1279" s="7" t="s">
        <v>4210</v>
      </c>
      <c r="B1279" s="12" t="s">
        <v>4211</v>
      </c>
      <c r="C1279" s="14" t="s">
        <v>1191</v>
      </c>
      <c r="D1279" s="15" t="s">
        <v>196</v>
      </c>
      <c r="E1279" s="16" t="s">
        <v>24</v>
      </c>
      <c r="F1279" s="10" t="s">
        <v>198</v>
      </c>
      <c r="G1279" s="10" t="b">
        <v>0</v>
      </c>
      <c r="I1279" s="10">
        <v>1.0</v>
      </c>
      <c r="J1279" s="10">
        <v>0.0</v>
      </c>
      <c r="K1279" s="10">
        <v>2.0</v>
      </c>
    </row>
    <row r="1280">
      <c r="A1280" s="7" t="s">
        <v>4212</v>
      </c>
      <c r="B1280" s="12" t="s">
        <v>4213</v>
      </c>
      <c r="C1280" s="14" t="s">
        <v>993</v>
      </c>
      <c r="D1280" s="15" t="s">
        <v>176</v>
      </c>
      <c r="E1280" s="16" t="s">
        <v>107</v>
      </c>
      <c r="F1280" s="10" t="s">
        <v>91</v>
      </c>
      <c r="G1280" s="10" t="b">
        <v>0</v>
      </c>
      <c r="H1280" s="10" t="s">
        <v>2905</v>
      </c>
      <c r="I1280" s="10">
        <v>1.0</v>
      </c>
      <c r="J1280" s="10">
        <v>0.0</v>
      </c>
      <c r="K1280" s="10">
        <v>1.0</v>
      </c>
    </row>
    <row r="1281">
      <c r="A1281" s="7" t="s">
        <v>4214</v>
      </c>
      <c r="B1281" s="12" t="s">
        <v>4215</v>
      </c>
      <c r="C1281" s="14" t="s">
        <v>2050</v>
      </c>
      <c r="D1281" s="15" t="s">
        <v>34</v>
      </c>
      <c r="E1281" s="16" t="s">
        <v>99</v>
      </c>
      <c r="F1281" s="10" t="s">
        <v>35</v>
      </c>
      <c r="G1281" s="10" t="b">
        <v>0</v>
      </c>
      <c r="H1281" s="10" t="s">
        <v>4216</v>
      </c>
      <c r="I1281" s="10">
        <v>1.0</v>
      </c>
      <c r="J1281" s="10">
        <v>0.0</v>
      </c>
      <c r="K1281" s="10">
        <v>1.0</v>
      </c>
    </row>
    <row r="1282">
      <c r="A1282" s="7" t="s">
        <v>4217</v>
      </c>
      <c r="B1282" s="12" t="s">
        <v>4218</v>
      </c>
      <c r="C1282" s="14" t="s">
        <v>808</v>
      </c>
      <c r="D1282" s="15" t="s">
        <v>196</v>
      </c>
      <c r="E1282" s="16" t="s">
        <v>24</v>
      </c>
      <c r="F1282" s="10" t="s">
        <v>198</v>
      </c>
      <c r="G1282" s="10" t="b">
        <v>0</v>
      </c>
      <c r="I1282" s="10">
        <v>1.0</v>
      </c>
      <c r="J1282" s="10">
        <v>0.0</v>
      </c>
      <c r="K1282" s="10">
        <v>1.0</v>
      </c>
    </row>
    <row r="1283">
      <c r="A1283" s="7" t="s">
        <v>4219</v>
      </c>
      <c r="B1283" s="12" t="s">
        <v>4220</v>
      </c>
      <c r="C1283" s="14" t="s">
        <v>808</v>
      </c>
      <c r="D1283" s="15" t="s">
        <v>196</v>
      </c>
      <c r="E1283" s="16" t="s">
        <v>24</v>
      </c>
      <c r="F1283" s="10" t="s">
        <v>198</v>
      </c>
      <c r="G1283" s="10" t="b">
        <v>0</v>
      </c>
      <c r="I1283" s="10">
        <v>1.0</v>
      </c>
      <c r="J1283" s="10">
        <v>0.0</v>
      </c>
      <c r="K1283" s="10">
        <v>2.0</v>
      </c>
    </row>
    <row r="1284">
      <c r="A1284" s="7" t="s">
        <v>4221</v>
      </c>
      <c r="B1284" s="12" t="s">
        <v>4222</v>
      </c>
      <c r="C1284" s="14" t="s">
        <v>1366</v>
      </c>
      <c r="D1284" s="15" t="s">
        <v>577</v>
      </c>
      <c r="E1284" s="16" t="s">
        <v>24</v>
      </c>
      <c r="F1284" s="10" t="s">
        <v>578</v>
      </c>
      <c r="G1284" s="10" t="b">
        <v>0</v>
      </c>
      <c r="I1284" s="10">
        <v>1.0</v>
      </c>
      <c r="J1284" s="10">
        <v>0.0</v>
      </c>
      <c r="K1284" s="10">
        <v>3.0</v>
      </c>
    </row>
    <row r="1285">
      <c r="A1285" s="7" t="s">
        <v>4223</v>
      </c>
      <c r="B1285" s="12" t="s">
        <v>4224</v>
      </c>
      <c r="C1285" s="14" t="s">
        <v>1366</v>
      </c>
      <c r="D1285" s="15" t="s">
        <v>34</v>
      </c>
      <c r="E1285" s="16" t="s">
        <v>24</v>
      </c>
      <c r="F1285" s="10" t="s">
        <v>35</v>
      </c>
      <c r="G1285" s="10" t="b">
        <v>0</v>
      </c>
      <c r="H1285" s="10" t="s">
        <v>636</v>
      </c>
      <c r="I1285" s="10">
        <v>1.0</v>
      </c>
      <c r="J1285" s="10">
        <v>0.0</v>
      </c>
      <c r="K1285" s="10">
        <v>3.0</v>
      </c>
    </row>
    <row r="1286">
      <c r="A1286" s="7" t="s">
        <v>4225</v>
      </c>
      <c r="B1286" s="12" t="s">
        <v>4226</v>
      </c>
      <c r="C1286" s="14" t="s">
        <v>2056</v>
      </c>
      <c r="D1286" s="15" t="s">
        <v>34</v>
      </c>
      <c r="E1286" s="16" t="s">
        <v>24</v>
      </c>
      <c r="F1286" s="10" t="s">
        <v>35</v>
      </c>
      <c r="G1286" s="10" t="b">
        <v>0</v>
      </c>
      <c r="H1286" s="10" t="s">
        <v>4227</v>
      </c>
      <c r="I1286" s="10">
        <v>1.0</v>
      </c>
      <c r="J1286" s="10">
        <v>0.0</v>
      </c>
      <c r="K1286" s="10">
        <v>1.0</v>
      </c>
    </row>
    <row r="1287">
      <c r="A1287" s="7" t="s">
        <v>4228</v>
      </c>
      <c r="B1287" s="12" t="s">
        <v>4229</v>
      </c>
      <c r="C1287" s="14" t="s">
        <v>2060</v>
      </c>
      <c r="D1287" s="15" t="s">
        <v>176</v>
      </c>
      <c r="E1287" s="16" t="s">
        <v>24</v>
      </c>
      <c r="F1287" s="10" t="s">
        <v>91</v>
      </c>
      <c r="G1287" s="10" t="b">
        <v>0</v>
      </c>
      <c r="I1287" s="10">
        <v>1.0</v>
      </c>
      <c r="J1287" s="10">
        <v>0.0</v>
      </c>
      <c r="K1287" s="10">
        <v>0.0</v>
      </c>
    </row>
    <row r="1288">
      <c r="A1288" s="7" t="s">
        <v>4230</v>
      </c>
      <c r="B1288" s="12" t="s">
        <v>4231</v>
      </c>
      <c r="C1288" s="14" t="s">
        <v>565</v>
      </c>
      <c r="D1288" s="15" t="s">
        <v>34</v>
      </c>
      <c r="E1288" s="16" t="s">
        <v>24</v>
      </c>
      <c r="F1288" s="10" t="s">
        <v>35</v>
      </c>
      <c r="G1288" s="10" t="b">
        <v>0</v>
      </c>
      <c r="H1288" s="10" t="s">
        <v>4232</v>
      </c>
      <c r="I1288" s="10">
        <v>1.0</v>
      </c>
      <c r="J1288" s="10">
        <v>0.0</v>
      </c>
      <c r="K1288" s="10">
        <v>1.0</v>
      </c>
    </row>
    <row r="1289">
      <c r="A1289" s="7" t="s">
        <v>4233</v>
      </c>
      <c r="B1289" s="12" t="s">
        <v>4234</v>
      </c>
      <c r="C1289" s="14" t="s">
        <v>565</v>
      </c>
      <c r="D1289" s="15" t="s">
        <v>34</v>
      </c>
      <c r="E1289" s="16" t="s">
        <v>24</v>
      </c>
      <c r="F1289" s="10" t="s">
        <v>35</v>
      </c>
      <c r="G1289" s="10" t="b">
        <v>0</v>
      </c>
      <c r="H1289" s="10" t="s">
        <v>4235</v>
      </c>
      <c r="I1289" s="10">
        <v>1.0</v>
      </c>
      <c r="J1289" s="10">
        <v>0.0</v>
      </c>
      <c r="K1289" s="10">
        <v>1.0</v>
      </c>
    </row>
    <row r="1290">
      <c r="A1290" s="7" t="s">
        <v>4236</v>
      </c>
      <c r="B1290" s="16"/>
      <c r="C1290" s="14" t="s">
        <v>2062</v>
      </c>
      <c r="D1290" s="15" t="s">
        <v>240</v>
      </c>
      <c r="E1290" s="16" t="s">
        <v>24</v>
      </c>
      <c r="F1290" s="10" t="s">
        <v>241</v>
      </c>
      <c r="H1290" s="10" t="s">
        <v>948</v>
      </c>
      <c r="I1290" s="10">
        <v>1.0</v>
      </c>
      <c r="J1290" s="10">
        <v>0.0</v>
      </c>
      <c r="K1290" s="10">
        <v>2.0</v>
      </c>
    </row>
    <row r="1291">
      <c r="A1291" s="7" t="s">
        <v>4237</v>
      </c>
      <c r="B1291" s="12" t="s">
        <v>4238</v>
      </c>
      <c r="C1291" s="14" t="s">
        <v>2064</v>
      </c>
      <c r="D1291" s="15" t="s">
        <v>240</v>
      </c>
      <c r="E1291" s="16" t="s">
        <v>24</v>
      </c>
      <c r="F1291" s="10" t="s">
        <v>241</v>
      </c>
      <c r="G1291" s="10" t="b">
        <v>0</v>
      </c>
      <c r="I1291" s="10">
        <v>1.0</v>
      </c>
      <c r="J1291" s="10">
        <v>0.0</v>
      </c>
      <c r="K1291" s="10">
        <v>0.0</v>
      </c>
    </row>
    <row r="1292">
      <c r="A1292" s="7" t="s">
        <v>4239</v>
      </c>
      <c r="B1292" s="12" t="s">
        <v>4240</v>
      </c>
      <c r="C1292" s="14" t="s">
        <v>2066</v>
      </c>
      <c r="D1292" s="15" t="s">
        <v>34</v>
      </c>
      <c r="E1292" s="16" t="s">
        <v>24</v>
      </c>
      <c r="F1292" s="10" t="s">
        <v>35</v>
      </c>
      <c r="G1292" s="10" t="b">
        <v>0</v>
      </c>
      <c r="H1292" s="10" t="s">
        <v>384</v>
      </c>
      <c r="I1292" s="10">
        <v>1.0</v>
      </c>
      <c r="J1292" s="10">
        <v>0.0</v>
      </c>
      <c r="K1292" s="10">
        <v>1.0</v>
      </c>
    </row>
    <row r="1293">
      <c r="A1293" s="7" t="s">
        <v>4241</v>
      </c>
      <c r="B1293" s="12" t="s">
        <v>4242</v>
      </c>
      <c r="C1293" s="14" t="s">
        <v>2067</v>
      </c>
      <c r="D1293" s="15" t="s">
        <v>196</v>
      </c>
      <c r="E1293" s="16" t="s">
        <v>24</v>
      </c>
      <c r="F1293" s="10" t="s">
        <v>198</v>
      </c>
      <c r="G1293" s="10" t="b">
        <v>0</v>
      </c>
      <c r="I1293" s="10">
        <v>1.0</v>
      </c>
      <c r="J1293" s="10">
        <v>0.0</v>
      </c>
      <c r="K1293" s="10">
        <v>1.0</v>
      </c>
    </row>
    <row r="1294">
      <c r="A1294" s="7" t="s">
        <v>4243</v>
      </c>
      <c r="B1294" s="12" t="s">
        <v>2910</v>
      </c>
      <c r="C1294" s="14" t="s">
        <v>651</v>
      </c>
      <c r="D1294" s="15" t="s">
        <v>196</v>
      </c>
      <c r="E1294" s="16" t="s">
        <v>107</v>
      </c>
      <c r="F1294" s="10" t="s">
        <v>198</v>
      </c>
      <c r="G1294" s="10" t="b">
        <v>0</v>
      </c>
      <c r="H1294" s="10" t="s">
        <v>654</v>
      </c>
      <c r="I1294" s="10">
        <v>1.0</v>
      </c>
      <c r="J1294" s="10">
        <v>0.0</v>
      </c>
      <c r="K1294" s="10">
        <v>1.0</v>
      </c>
    </row>
    <row r="1295">
      <c r="A1295" s="7" t="s">
        <v>4244</v>
      </c>
      <c r="B1295" s="12" t="s">
        <v>4245</v>
      </c>
      <c r="C1295" s="14" t="s">
        <v>228</v>
      </c>
      <c r="D1295" s="15" t="s">
        <v>240</v>
      </c>
      <c r="E1295" s="16" t="s">
        <v>107</v>
      </c>
      <c r="F1295" s="10" t="s">
        <v>241</v>
      </c>
      <c r="G1295" s="10" t="b">
        <v>0</v>
      </c>
      <c r="H1295" s="10" t="s">
        <v>230</v>
      </c>
      <c r="I1295" s="10">
        <v>1.0</v>
      </c>
      <c r="J1295" s="10">
        <v>0.0</v>
      </c>
      <c r="K1295" s="10">
        <v>1.0</v>
      </c>
    </row>
    <row r="1296">
      <c r="A1296" s="7" t="s">
        <v>4246</v>
      </c>
      <c r="B1296" s="12" t="s">
        <v>4247</v>
      </c>
      <c r="C1296" s="14" t="s">
        <v>228</v>
      </c>
      <c r="D1296" s="15" t="s">
        <v>196</v>
      </c>
      <c r="E1296" s="16" t="s">
        <v>107</v>
      </c>
      <c r="F1296" s="10" t="s">
        <v>198</v>
      </c>
      <c r="G1296" s="10" t="b">
        <v>0</v>
      </c>
      <c r="H1296" s="10" t="s">
        <v>230</v>
      </c>
      <c r="I1296" s="10">
        <v>1.0</v>
      </c>
      <c r="J1296" s="10">
        <v>0.0</v>
      </c>
      <c r="K1296" s="10">
        <v>1.0</v>
      </c>
    </row>
    <row r="1297">
      <c r="A1297" s="7" t="s">
        <v>4248</v>
      </c>
      <c r="B1297" s="12" t="s">
        <v>4249</v>
      </c>
      <c r="C1297" s="14" t="s">
        <v>2070</v>
      </c>
      <c r="D1297" s="15" t="s">
        <v>749</v>
      </c>
      <c r="E1297" s="16" t="s">
        <v>24</v>
      </c>
      <c r="F1297" s="10" t="s">
        <v>750</v>
      </c>
      <c r="G1297" s="10" t="b">
        <v>0</v>
      </c>
      <c r="H1297" s="10" t="s">
        <v>798</v>
      </c>
      <c r="I1297" s="10">
        <v>1.0</v>
      </c>
      <c r="J1297" s="10">
        <v>0.0</v>
      </c>
      <c r="K1297" s="10">
        <v>1.0</v>
      </c>
    </row>
    <row r="1298">
      <c r="A1298" s="7" t="s">
        <v>4250</v>
      </c>
      <c r="B1298" s="12" t="s">
        <v>4251</v>
      </c>
      <c r="C1298" s="14" t="s">
        <v>2074</v>
      </c>
      <c r="D1298" s="15" t="s">
        <v>196</v>
      </c>
      <c r="E1298" s="16" t="s">
        <v>24</v>
      </c>
      <c r="F1298" s="10" t="s">
        <v>198</v>
      </c>
      <c r="G1298" s="10" t="b">
        <v>0</v>
      </c>
      <c r="I1298" s="10">
        <v>1.0</v>
      </c>
      <c r="J1298" s="10">
        <v>0.0</v>
      </c>
      <c r="K1298" s="10">
        <v>1.0</v>
      </c>
    </row>
    <row r="1299">
      <c r="A1299" s="7" t="s">
        <v>4252</v>
      </c>
      <c r="B1299" s="12" t="s">
        <v>4253</v>
      </c>
      <c r="C1299" s="12" t="s">
        <v>1196</v>
      </c>
      <c r="D1299" s="15" t="s">
        <v>34</v>
      </c>
      <c r="E1299" s="16" t="s">
        <v>24</v>
      </c>
      <c r="F1299" s="10" t="s">
        <v>35</v>
      </c>
      <c r="G1299" s="10" t="b">
        <v>0</v>
      </c>
      <c r="H1299" s="10" t="s">
        <v>4254</v>
      </c>
      <c r="I1299" s="10">
        <v>1.0</v>
      </c>
      <c r="J1299" s="10">
        <v>0.0</v>
      </c>
      <c r="K1299" s="10">
        <v>0.0</v>
      </c>
    </row>
    <row r="1300">
      <c r="A1300" s="7" t="s">
        <v>4255</v>
      </c>
      <c r="B1300" s="12" t="s">
        <v>4256</v>
      </c>
      <c r="C1300" s="12" t="s">
        <v>1196</v>
      </c>
      <c r="D1300" s="15" t="s">
        <v>34</v>
      </c>
      <c r="E1300" s="16" t="s">
        <v>24</v>
      </c>
      <c r="F1300" s="10" t="s">
        <v>35</v>
      </c>
      <c r="G1300" s="10" t="b">
        <v>0</v>
      </c>
      <c r="H1300" s="10" t="s">
        <v>4257</v>
      </c>
      <c r="I1300" s="10">
        <v>1.0</v>
      </c>
      <c r="J1300" s="10">
        <v>0.0</v>
      </c>
      <c r="K1300" s="10">
        <v>1.0</v>
      </c>
    </row>
    <row r="1301">
      <c r="A1301" s="7" t="s">
        <v>4258</v>
      </c>
      <c r="B1301" s="12" t="s">
        <v>4259</v>
      </c>
      <c r="C1301" s="12" t="s">
        <v>2077</v>
      </c>
      <c r="D1301" s="15" t="s">
        <v>176</v>
      </c>
      <c r="E1301" s="16" t="s">
        <v>24</v>
      </c>
      <c r="F1301" s="10" t="s">
        <v>91</v>
      </c>
      <c r="G1301" s="10" t="b">
        <v>1</v>
      </c>
      <c r="H1301" s="10" t="s">
        <v>785</v>
      </c>
      <c r="I1301" s="10">
        <v>1.0</v>
      </c>
      <c r="J1301" s="10">
        <v>0.0</v>
      </c>
      <c r="K1301" s="10">
        <v>1.0</v>
      </c>
    </row>
    <row r="1302">
      <c r="A1302" s="7" t="s">
        <v>4260</v>
      </c>
      <c r="B1302" s="12" t="s">
        <v>4261</v>
      </c>
      <c r="C1302" s="14" t="s">
        <v>2078</v>
      </c>
      <c r="D1302" s="15" t="s">
        <v>34</v>
      </c>
      <c r="E1302" s="16" t="s">
        <v>24</v>
      </c>
      <c r="F1302" s="10" t="s">
        <v>35</v>
      </c>
      <c r="G1302" s="10" t="b">
        <v>0</v>
      </c>
      <c r="I1302" s="10">
        <v>1.0</v>
      </c>
      <c r="J1302" s="10">
        <v>0.0</v>
      </c>
      <c r="K1302" s="10">
        <v>1.0</v>
      </c>
    </row>
    <row r="1303">
      <c r="A1303" s="7" t="s">
        <v>4262</v>
      </c>
      <c r="B1303" s="12" t="s">
        <v>4263</v>
      </c>
      <c r="C1303" s="14" t="s">
        <v>1201</v>
      </c>
      <c r="D1303" s="15" t="s">
        <v>34</v>
      </c>
      <c r="E1303" s="16" t="s">
        <v>24</v>
      </c>
      <c r="F1303" s="10" t="s">
        <v>35</v>
      </c>
      <c r="G1303" s="10" t="b">
        <v>0</v>
      </c>
      <c r="H1303" s="10" t="s">
        <v>4264</v>
      </c>
      <c r="I1303" s="10">
        <v>1.0</v>
      </c>
      <c r="J1303" s="10">
        <v>0.0</v>
      </c>
      <c r="K1303" s="10">
        <v>0.0</v>
      </c>
    </row>
    <row r="1304">
      <c r="A1304" s="7" t="s">
        <v>4265</v>
      </c>
      <c r="B1304" s="12" t="s">
        <v>4266</v>
      </c>
      <c r="C1304" s="14" t="s">
        <v>1201</v>
      </c>
      <c r="D1304" s="15" t="s">
        <v>34</v>
      </c>
      <c r="E1304" s="16" t="s">
        <v>24</v>
      </c>
      <c r="F1304" s="10" t="s">
        <v>35</v>
      </c>
      <c r="G1304" s="10" t="b">
        <v>0</v>
      </c>
      <c r="H1304" s="10" t="s">
        <v>4267</v>
      </c>
      <c r="I1304" s="10">
        <v>1.0</v>
      </c>
      <c r="J1304" s="10">
        <v>0.0</v>
      </c>
      <c r="K1304" s="10">
        <v>1.0</v>
      </c>
    </row>
    <row r="1305">
      <c r="A1305" s="7" t="s">
        <v>4268</v>
      </c>
      <c r="B1305" s="12" t="s">
        <v>4269</v>
      </c>
      <c r="C1305" s="14" t="s">
        <v>2080</v>
      </c>
      <c r="D1305" s="15" t="s">
        <v>196</v>
      </c>
      <c r="E1305" s="16" t="s">
        <v>24</v>
      </c>
      <c r="F1305" s="10" t="s">
        <v>198</v>
      </c>
      <c r="G1305" s="10" t="b">
        <v>0</v>
      </c>
      <c r="H1305" s="10" t="s">
        <v>4270</v>
      </c>
      <c r="I1305" s="10">
        <v>1.0</v>
      </c>
      <c r="J1305" s="10">
        <v>0.0</v>
      </c>
      <c r="K1305" s="10">
        <v>0.0</v>
      </c>
    </row>
    <row r="1306">
      <c r="A1306" s="7" t="s">
        <v>4271</v>
      </c>
      <c r="B1306" s="12" t="s">
        <v>4272</v>
      </c>
      <c r="C1306" s="14" t="s">
        <v>2084</v>
      </c>
      <c r="D1306" s="15" t="s">
        <v>51</v>
      </c>
      <c r="E1306" s="16" t="s">
        <v>24</v>
      </c>
      <c r="F1306" s="10" t="s">
        <v>52</v>
      </c>
      <c r="G1306" s="10" t="b">
        <v>0</v>
      </c>
      <c r="H1306" s="10" t="s">
        <v>1898</v>
      </c>
      <c r="I1306" s="10">
        <v>1.0</v>
      </c>
      <c r="J1306" s="10">
        <v>0.0</v>
      </c>
      <c r="K1306" s="10">
        <v>2.0</v>
      </c>
    </row>
    <row r="1307">
      <c r="A1307" s="7" t="s">
        <v>4273</v>
      </c>
      <c r="B1307" s="12" t="s">
        <v>4274</v>
      </c>
      <c r="C1307" s="14" t="s">
        <v>220</v>
      </c>
      <c r="D1307" s="15" t="s">
        <v>34</v>
      </c>
      <c r="E1307" s="16" t="s">
        <v>99</v>
      </c>
      <c r="F1307" s="10" t="s">
        <v>35</v>
      </c>
      <c r="G1307" s="10" t="b">
        <v>0</v>
      </c>
      <c r="H1307" s="10" t="s">
        <v>4275</v>
      </c>
      <c r="I1307" s="10">
        <v>1.0</v>
      </c>
      <c r="J1307" s="10">
        <v>0.0</v>
      </c>
      <c r="K1307" s="10">
        <v>1.0</v>
      </c>
    </row>
    <row r="1308">
      <c r="A1308" s="7" t="s">
        <v>4276</v>
      </c>
      <c r="B1308" s="12" t="s">
        <v>497</v>
      </c>
      <c r="C1308" s="14" t="s">
        <v>220</v>
      </c>
      <c r="D1308" s="15" t="s">
        <v>34</v>
      </c>
      <c r="E1308" s="16" t="s">
        <v>99</v>
      </c>
      <c r="F1308" s="10" t="s">
        <v>35</v>
      </c>
      <c r="G1308" s="10" t="b">
        <v>0</v>
      </c>
      <c r="H1308" s="10" t="s">
        <v>4277</v>
      </c>
      <c r="I1308" s="10">
        <v>1.0</v>
      </c>
      <c r="J1308" s="10">
        <v>0.0</v>
      </c>
      <c r="K1308" s="10">
        <v>0.0</v>
      </c>
    </row>
    <row r="1309">
      <c r="A1309" s="7" t="s">
        <v>4278</v>
      </c>
      <c r="B1309" s="12" t="s">
        <v>497</v>
      </c>
      <c r="C1309" s="14" t="s">
        <v>220</v>
      </c>
      <c r="D1309" s="15" t="s">
        <v>51</v>
      </c>
      <c r="E1309" s="16" t="s">
        <v>99</v>
      </c>
      <c r="F1309" s="10" t="s">
        <v>52</v>
      </c>
      <c r="G1309" s="10" t="b">
        <v>0</v>
      </c>
      <c r="H1309" s="10" t="s">
        <v>1202</v>
      </c>
      <c r="I1309" s="10">
        <v>1.0</v>
      </c>
      <c r="J1309" s="10">
        <v>0.0</v>
      </c>
      <c r="K1309" s="10">
        <v>0.0</v>
      </c>
    </row>
    <row r="1310">
      <c r="A1310" s="7" t="s">
        <v>4279</v>
      </c>
      <c r="B1310" s="12" t="s">
        <v>497</v>
      </c>
      <c r="C1310" s="14" t="s">
        <v>220</v>
      </c>
      <c r="D1310" s="15" t="s">
        <v>51</v>
      </c>
      <c r="E1310" s="16" t="s">
        <v>99</v>
      </c>
      <c r="F1310" s="10" t="s">
        <v>52</v>
      </c>
      <c r="G1310" s="10" t="b">
        <v>0</v>
      </c>
      <c r="I1310" s="10">
        <v>1.0</v>
      </c>
      <c r="J1310" s="10">
        <v>0.0</v>
      </c>
      <c r="K1310" s="10">
        <v>0.0</v>
      </c>
    </row>
    <row r="1311">
      <c r="A1311" s="7" t="s">
        <v>4280</v>
      </c>
      <c r="B1311" s="12" t="s">
        <v>4281</v>
      </c>
      <c r="C1311" s="12" t="s">
        <v>2087</v>
      </c>
      <c r="D1311" s="15" t="s">
        <v>196</v>
      </c>
      <c r="E1311" s="16" t="s">
        <v>24</v>
      </c>
      <c r="F1311" s="10" t="s">
        <v>198</v>
      </c>
      <c r="G1311" s="10" t="b">
        <v>0</v>
      </c>
      <c r="I1311" s="10">
        <v>1.0</v>
      </c>
      <c r="J1311" s="10">
        <v>0.0</v>
      </c>
      <c r="K1311" s="10">
        <v>0.0</v>
      </c>
    </row>
    <row r="1312">
      <c r="A1312" s="7" t="s">
        <v>4282</v>
      </c>
      <c r="B1312" s="12" t="s">
        <v>4283</v>
      </c>
      <c r="C1312" s="14" t="s">
        <v>2089</v>
      </c>
      <c r="D1312" s="15" t="s">
        <v>51</v>
      </c>
      <c r="E1312" s="16" t="s">
        <v>107</v>
      </c>
      <c r="F1312" s="10" t="s">
        <v>52</v>
      </c>
      <c r="G1312" s="10" t="b">
        <v>0</v>
      </c>
      <c r="H1312" s="10" t="s">
        <v>561</v>
      </c>
      <c r="I1312" s="10">
        <v>1.0</v>
      </c>
      <c r="J1312" s="10">
        <v>0.0</v>
      </c>
      <c r="K1312" s="10">
        <v>1.0</v>
      </c>
    </row>
    <row r="1313">
      <c r="A1313" s="7" t="s">
        <v>4284</v>
      </c>
      <c r="B1313" s="12" t="s">
        <v>4285</v>
      </c>
      <c r="C1313" s="14" t="s">
        <v>2093</v>
      </c>
      <c r="D1313" s="15" t="s">
        <v>34</v>
      </c>
      <c r="E1313" s="16" t="s">
        <v>24</v>
      </c>
      <c r="F1313" s="10" t="s">
        <v>35</v>
      </c>
      <c r="G1313" s="10" t="b">
        <v>0</v>
      </c>
      <c r="I1313" s="10">
        <v>1.0</v>
      </c>
      <c r="J1313" s="10">
        <v>0.0</v>
      </c>
      <c r="K1313" s="10">
        <v>1.0</v>
      </c>
    </row>
    <row r="1314">
      <c r="A1314" s="7" t="s">
        <v>4286</v>
      </c>
      <c r="B1314" s="12" t="s">
        <v>4287</v>
      </c>
      <c r="C1314" s="14" t="s">
        <v>383</v>
      </c>
      <c r="D1314" s="15" t="s">
        <v>34</v>
      </c>
      <c r="E1314" s="16" t="s">
        <v>24</v>
      </c>
      <c r="F1314" s="10" t="s">
        <v>35</v>
      </c>
      <c r="G1314" s="10" t="b">
        <v>0</v>
      </c>
      <c r="H1314" s="10" t="s">
        <v>384</v>
      </c>
      <c r="I1314" s="10">
        <v>1.0</v>
      </c>
      <c r="J1314" s="10">
        <v>0.0</v>
      </c>
      <c r="K1314" s="10">
        <v>0.0</v>
      </c>
    </row>
    <row r="1315">
      <c r="A1315" s="7" t="s">
        <v>4288</v>
      </c>
      <c r="B1315" s="12" t="s">
        <v>4289</v>
      </c>
      <c r="C1315" s="14" t="s">
        <v>2097</v>
      </c>
      <c r="D1315" s="15" t="s">
        <v>240</v>
      </c>
      <c r="E1315" s="16" t="s">
        <v>24</v>
      </c>
      <c r="F1315" s="10" t="s">
        <v>241</v>
      </c>
      <c r="G1315" s="10" t="b">
        <v>0</v>
      </c>
      <c r="H1315" s="10" t="s">
        <v>2099</v>
      </c>
      <c r="I1315" s="10">
        <v>1.0</v>
      </c>
      <c r="J1315" s="10">
        <v>0.0</v>
      </c>
      <c r="K1315" s="10">
        <v>0.0</v>
      </c>
    </row>
    <row r="1316">
      <c r="A1316" s="7" t="s">
        <v>4290</v>
      </c>
      <c r="B1316" s="12" t="s">
        <v>4291</v>
      </c>
      <c r="C1316" s="14" t="s">
        <v>746</v>
      </c>
      <c r="D1316" s="15" t="s">
        <v>34</v>
      </c>
      <c r="E1316" s="16" t="s">
        <v>24</v>
      </c>
      <c r="F1316" s="10" t="s">
        <v>35</v>
      </c>
      <c r="G1316" s="10" t="b">
        <v>0</v>
      </c>
      <c r="H1316" s="10" t="s">
        <v>4292</v>
      </c>
      <c r="I1316" s="10">
        <v>1.0</v>
      </c>
      <c r="J1316" s="10">
        <v>0.0</v>
      </c>
      <c r="K1316" s="10">
        <v>0.0</v>
      </c>
    </row>
    <row r="1317">
      <c r="A1317" s="7" t="s">
        <v>4293</v>
      </c>
      <c r="B1317" s="12" t="s">
        <v>4294</v>
      </c>
      <c r="C1317" s="14" t="s">
        <v>2101</v>
      </c>
      <c r="D1317" s="15" t="s">
        <v>51</v>
      </c>
      <c r="E1317" s="16" t="s">
        <v>43</v>
      </c>
      <c r="F1317" s="10" t="s">
        <v>52</v>
      </c>
      <c r="G1317" s="10" t="b">
        <v>0</v>
      </c>
      <c r="H1317" s="10" t="s">
        <v>4295</v>
      </c>
      <c r="I1317" s="10">
        <v>1.0</v>
      </c>
      <c r="J1317" s="10">
        <v>0.0</v>
      </c>
      <c r="K1317" s="10">
        <v>1.0</v>
      </c>
    </row>
    <row r="1318">
      <c r="A1318" s="7" t="s">
        <v>4296</v>
      </c>
      <c r="B1318" s="12" t="s">
        <v>4297</v>
      </c>
      <c r="C1318" s="14" t="s">
        <v>2104</v>
      </c>
      <c r="D1318" s="15" t="s">
        <v>34</v>
      </c>
      <c r="E1318" s="16" t="s">
        <v>24</v>
      </c>
      <c r="F1318" s="10" t="s">
        <v>35</v>
      </c>
      <c r="G1318" s="10" t="b">
        <v>0</v>
      </c>
      <c r="I1318" s="10">
        <v>1.0</v>
      </c>
      <c r="J1318" s="10">
        <v>0.0</v>
      </c>
      <c r="K1318" s="10">
        <v>2.0</v>
      </c>
    </row>
    <row r="1319">
      <c r="A1319" s="7" t="s">
        <v>4298</v>
      </c>
      <c r="B1319" s="12" t="s">
        <v>4299</v>
      </c>
      <c r="C1319" s="14" t="s">
        <v>2107</v>
      </c>
      <c r="D1319" s="15" t="s">
        <v>34</v>
      </c>
      <c r="E1319" s="16" t="s">
        <v>24</v>
      </c>
      <c r="F1319" s="10" t="s">
        <v>35</v>
      </c>
      <c r="G1319" s="10" t="b">
        <v>0</v>
      </c>
      <c r="H1319" s="10" t="s">
        <v>2109</v>
      </c>
      <c r="I1319" s="10">
        <v>1.0</v>
      </c>
      <c r="J1319" s="10">
        <v>0.0</v>
      </c>
      <c r="K1319" s="10">
        <v>0.0</v>
      </c>
    </row>
    <row r="1320">
      <c r="A1320" s="7" t="s">
        <v>4300</v>
      </c>
      <c r="B1320" s="12" t="s">
        <v>4301</v>
      </c>
      <c r="C1320" s="14" t="s">
        <v>2110</v>
      </c>
      <c r="D1320" s="15" t="s">
        <v>34</v>
      </c>
      <c r="E1320" s="16" t="s">
        <v>24</v>
      </c>
      <c r="F1320" s="10" t="s">
        <v>35</v>
      </c>
      <c r="G1320" s="10" t="b">
        <v>0</v>
      </c>
      <c r="H1320" s="10" t="s">
        <v>4302</v>
      </c>
      <c r="I1320" s="10">
        <v>1.0</v>
      </c>
      <c r="J1320" s="10">
        <v>0.0</v>
      </c>
      <c r="K1320" s="10">
        <v>0.0</v>
      </c>
    </row>
    <row r="1321">
      <c r="A1321" s="7" t="s">
        <v>4303</v>
      </c>
      <c r="B1321" s="12" t="s">
        <v>4304</v>
      </c>
      <c r="C1321" s="14" t="s">
        <v>2113</v>
      </c>
      <c r="D1321" s="15" t="s">
        <v>240</v>
      </c>
      <c r="E1321" s="16" t="s">
        <v>24</v>
      </c>
      <c r="F1321" s="10" t="s">
        <v>241</v>
      </c>
      <c r="G1321" s="10" t="b">
        <v>0</v>
      </c>
      <c r="H1321" s="10" t="s">
        <v>2114</v>
      </c>
      <c r="I1321" s="10">
        <v>1.0</v>
      </c>
      <c r="J1321" s="10">
        <v>0.0</v>
      </c>
      <c r="K1321" s="10">
        <v>0.0</v>
      </c>
    </row>
    <row r="1322">
      <c r="A1322" s="7" t="s">
        <v>4305</v>
      </c>
      <c r="B1322" s="12" t="s">
        <v>4306</v>
      </c>
      <c r="C1322" s="14" t="s">
        <v>2115</v>
      </c>
      <c r="D1322" s="15" t="s">
        <v>34</v>
      </c>
      <c r="E1322" s="16" t="s">
        <v>24</v>
      </c>
      <c r="F1322" s="10" t="s">
        <v>35</v>
      </c>
      <c r="G1322" s="10" t="b">
        <v>0</v>
      </c>
      <c r="H1322" s="10" t="s">
        <v>4307</v>
      </c>
      <c r="I1322" s="10">
        <v>1.0</v>
      </c>
      <c r="J1322" s="10">
        <v>0.0</v>
      </c>
      <c r="K1322" s="10">
        <v>1.0</v>
      </c>
    </row>
    <row r="1323">
      <c r="A1323" s="7" t="s">
        <v>4308</v>
      </c>
      <c r="B1323" s="12" t="s">
        <v>4309</v>
      </c>
      <c r="C1323" s="14" t="s">
        <v>2119</v>
      </c>
      <c r="D1323" s="15" t="s">
        <v>240</v>
      </c>
      <c r="E1323" s="16" t="s">
        <v>24</v>
      </c>
      <c r="F1323" s="10" t="s">
        <v>241</v>
      </c>
      <c r="G1323" s="10" t="b">
        <v>0</v>
      </c>
      <c r="H1323" s="10" t="s">
        <v>2121</v>
      </c>
      <c r="I1323" s="10">
        <v>1.0</v>
      </c>
      <c r="J1323" s="10">
        <v>0.0</v>
      </c>
      <c r="K1323" s="10">
        <v>2.0</v>
      </c>
    </row>
    <row r="1324">
      <c r="A1324" s="7" t="s">
        <v>4310</v>
      </c>
      <c r="B1324" s="12" t="s">
        <v>4311</v>
      </c>
      <c r="C1324" s="14" t="s">
        <v>89</v>
      </c>
      <c r="D1324" s="15" t="s">
        <v>22</v>
      </c>
      <c r="E1324" s="16" t="s">
        <v>176</v>
      </c>
      <c r="F1324" s="10" t="s">
        <v>25</v>
      </c>
      <c r="G1324" s="10" t="b">
        <v>0</v>
      </c>
      <c r="H1324" s="10" t="s">
        <v>4312</v>
      </c>
      <c r="I1324" s="10">
        <v>1.0</v>
      </c>
      <c r="J1324" s="10">
        <v>0.0</v>
      </c>
      <c r="K1324" s="10">
        <v>0.0</v>
      </c>
    </row>
    <row r="1325">
      <c r="A1325" s="7" t="s">
        <v>4313</v>
      </c>
      <c r="B1325" s="12" t="s">
        <v>649</v>
      </c>
      <c r="C1325" s="14" t="s">
        <v>89</v>
      </c>
      <c r="D1325" s="15" t="s">
        <v>22</v>
      </c>
      <c r="E1325" s="16" t="s">
        <v>176</v>
      </c>
      <c r="F1325" s="10" t="s">
        <v>25</v>
      </c>
      <c r="G1325" s="10" t="b">
        <v>0</v>
      </c>
      <c r="H1325" s="10" t="s">
        <v>850</v>
      </c>
      <c r="I1325" s="10">
        <v>1.0</v>
      </c>
      <c r="J1325" s="10">
        <v>0.0</v>
      </c>
      <c r="K1325" s="10">
        <v>0.0</v>
      </c>
    </row>
    <row r="1326">
      <c r="A1326" s="7" t="s">
        <v>4314</v>
      </c>
      <c r="B1326" s="12" t="s">
        <v>4315</v>
      </c>
      <c r="C1326" s="14" t="s">
        <v>89</v>
      </c>
      <c r="D1326" s="15" t="s">
        <v>51</v>
      </c>
      <c r="E1326" s="16" t="s">
        <v>176</v>
      </c>
      <c r="F1326" s="10" t="s">
        <v>52</v>
      </c>
      <c r="G1326" s="10" t="b">
        <v>0</v>
      </c>
      <c r="H1326" s="10" t="s">
        <v>384</v>
      </c>
      <c r="I1326" s="10">
        <v>1.0</v>
      </c>
      <c r="J1326" s="10">
        <v>0.0</v>
      </c>
      <c r="K1326" s="10">
        <v>1.0</v>
      </c>
    </row>
    <row r="1327">
      <c r="A1327" s="7" t="s">
        <v>4316</v>
      </c>
      <c r="B1327" s="12" t="s">
        <v>4317</v>
      </c>
      <c r="C1327" s="14" t="s">
        <v>499</v>
      </c>
      <c r="D1327" s="15" t="s">
        <v>22</v>
      </c>
      <c r="E1327" s="16" t="s">
        <v>176</v>
      </c>
      <c r="F1327" s="10" t="s">
        <v>25</v>
      </c>
      <c r="G1327" s="10" t="b">
        <v>0</v>
      </c>
      <c r="H1327" s="10" t="s">
        <v>4318</v>
      </c>
      <c r="I1327" s="10">
        <v>1.0</v>
      </c>
      <c r="J1327" s="10">
        <v>0.0</v>
      </c>
      <c r="K1327" s="10">
        <v>0.0</v>
      </c>
    </row>
    <row r="1328">
      <c r="A1328" s="7" t="s">
        <v>4319</v>
      </c>
      <c r="B1328" s="12" t="s">
        <v>4320</v>
      </c>
      <c r="C1328" s="14" t="s">
        <v>499</v>
      </c>
      <c r="D1328" s="15" t="s">
        <v>22</v>
      </c>
      <c r="E1328" s="16" t="s">
        <v>176</v>
      </c>
      <c r="F1328" s="10" t="s">
        <v>25</v>
      </c>
      <c r="G1328" s="10" t="b">
        <v>0</v>
      </c>
      <c r="H1328" s="10" t="s">
        <v>4321</v>
      </c>
      <c r="I1328" s="10">
        <v>1.0</v>
      </c>
      <c r="J1328" s="10">
        <v>0.0</v>
      </c>
      <c r="K1328" s="10">
        <v>0.0</v>
      </c>
    </row>
    <row r="1329">
      <c r="A1329" s="7" t="s">
        <v>4322</v>
      </c>
      <c r="B1329" s="12" t="s">
        <v>4323</v>
      </c>
      <c r="C1329" s="14" t="s">
        <v>332</v>
      </c>
      <c r="D1329" s="15" t="s">
        <v>22</v>
      </c>
      <c r="E1329" s="16" t="s">
        <v>1000</v>
      </c>
      <c r="F1329" s="10" t="s">
        <v>25</v>
      </c>
      <c r="G1329" s="10" t="b">
        <v>0</v>
      </c>
      <c r="H1329" s="10" t="s">
        <v>4324</v>
      </c>
      <c r="I1329" s="10">
        <v>1.0</v>
      </c>
      <c r="J1329" s="10">
        <v>0.0</v>
      </c>
      <c r="K1329" s="10">
        <v>0.0</v>
      </c>
    </row>
    <row r="1330">
      <c r="A1330" s="7" t="s">
        <v>4325</v>
      </c>
      <c r="B1330" s="12" t="s">
        <v>4326</v>
      </c>
      <c r="C1330" s="14" t="s">
        <v>332</v>
      </c>
      <c r="D1330" s="15" t="s">
        <v>22</v>
      </c>
      <c r="E1330" s="16" t="s">
        <v>1000</v>
      </c>
      <c r="F1330" s="10" t="s">
        <v>25</v>
      </c>
      <c r="G1330" s="10" t="b">
        <v>0</v>
      </c>
      <c r="H1330" s="10" t="s">
        <v>4327</v>
      </c>
      <c r="I1330" s="10">
        <v>1.0</v>
      </c>
      <c r="J1330" s="10">
        <v>0.0</v>
      </c>
      <c r="K1330" s="10">
        <v>2.0</v>
      </c>
    </row>
    <row r="1331">
      <c r="A1331" s="7" t="s">
        <v>4328</v>
      </c>
      <c r="B1331" s="12" t="s">
        <v>4329</v>
      </c>
      <c r="C1331" s="14" t="s">
        <v>332</v>
      </c>
      <c r="D1331" s="15" t="s">
        <v>51</v>
      </c>
      <c r="E1331" s="16" t="s">
        <v>1000</v>
      </c>
      <c r="F1331" s="10" t="s">
        <v>52</v>
      </c>
      <c r="G1331" s="10" t="b">
        <v>0</v>
      </c>
      <c r="H1331" s="10" t="s">
        <v>2561</v>
      </c>
      <c r="I1331" s="10">
        <v>1.0</v>
      </c>
      <c r="J1331" s="10">
        <v>0.0</v>
      </c>
      <c r="K1331" s="10">
        <v>0.0</v>
      </c>
    </row>
    <row r="1332">
      <c r="A1332" s="7" t="s">
        <v>4330</v>
      </c>
      <c r="B1332" s="16"/>
      <c r="C1332" s="14" t="s">
        <v>332</v>
      </c>
      <c r="D1332" s="15" t="s">
        <v>176</v>
      </c>
      <c r="E1332" s="16" t="s">
        <v>1000</v>
      </c>
      <c r="F1332" s="10" t="s">
        <v>91</v>
      </c>
      <c r="H1332" s="10" t="s">
        <v>948</v>
      </c>
      <c r="I1332" s="10">
        <v>1.0</v>
      </c>
      <c r="J1332" s="10">
        <v>0.0</v>
      </c>
      <c r="K1332" s="10">
        <v>0.0</v>
      </c>
    </row>
    <row r="1333">
      <c r="A1333" s="7" t="s">
        <v>4331</v>
      </c>
      <c r="B1333" s="12" t="s">
        <v>4332</v>
      </c>
      <c r="C1333" s="14" t="s">
        <v>332</v>
      </c>
      <c r="D1333" s="15" t="s">
        <v>34</v>
      </c>
      <c r="E1333" s="16" t="s">
        <v>1000</v>
      </c>
      <c r="F1333" s="10" t="s">
        <v>35</v>
      </c>
      <c r="G1333" s="10" t="b">
        <v>0</v>
      </c>
      <c r="H1333" s="10" t="s">
        <v>4333</v>
      </c>
      <c r="I1333" s="10">
        <v>1.0</v>
      </c>
      <c r="J1333" s="10">
        <v>0.0</v>
      </c>
      <c r="K1333" s="10">
        <v>1.0</v>
      </c>
    </row>
    <row r="1334">
      <c r="A1334" s="7" t="s">
        <v>4334</v>
      </c>
      <c r="B1334" s="12" t="s">
        <v>4335</v>
      </c>
      <c r="C1334" s="14" t="s">
        <v>332</v>
      </c>
      <c r="D1334" s="15" t="s">
        <v>749</v>
      </c>
      <c r="E1334" s="16" t="s">
        <v>1000</v>
      </c>
      <c r="F1334" s="10" t="s">
        <v>750</v>
      </c>
      <c r="G1334" s="10" t="b">
        <v>0</v>
      </c>
      <c r="H1334" s="10" t="s">
        <v>4336</v>
      </c>
      <c r="I1334" s="10">
        <v>1.0</v>
      </c>
      <c r="J1334" s="10">
        <v>0.0</v>
      </c>
      <c r="K1334" s="10">
        <v>0.0</v>
      </c>
    </row>
    <row r="1335">
      <c r="A1335" s="7" t="s">
        <v>4337</v>
      </c>
      <c r="B1335" s="12" t="s">
        <v>4338</v>
      </c>
      <c r="C1335" s="12" t="s">
        <v>2122</v>
      </c>
      <c r="D1335" s="15" t="s">
        <v>196</v>
      </c>
      <c r="E1335" s="16" t="s">
        <v>24</v>
      </c>
      <c r="F1335" s="10" t="s">
        <v>198</v>
      </c>
      <c r="G1335" s="10" t="b">
        <v>0</v>
      </c>
      <c r="H1335" s="10" t="s">
        <v>157</v>
      </c>
      <c r="I1335" s="10">
        <v>1.0</v>
      </c>
      <c r="J1335" s="10">
        <v>0.0</v>
      </c>
      <c r="K1335" s="10">
        <v>1.0</v>
      </c>
    </row>
    <row r="1336">
      <c r="A1336" s="7" t="s">
        <v>4339</v>
      </c>
      <c r="B1336" s="12" t="s">
        <v>4340</v>
      </c>
      <c r="C1336" s="14" t="s">
        <v>1217</v>
      </c>
      <c r="D1336" s="15" t="s">
        <v>34</v>
      </c>
      <c r="E1336" s="16" t="s">
        <v>24</v>
      </c>
      <c r="F1336" s="10" t="s">
        <v>35</v>
      </c>
      <c r="G1336" s="10" t="b">
        <v>0</v>
      </c>
      <c r="H1336" s="10" t="s">
        <v>4341</v>
      </c>
      <c r="I1336" s="10">
        <v>1.0</v>
      </c>
      <c r="J1336" s="10">
        <v>0.0</v>
      </c>
      <c r="K1336" s="10">
        <v>1.0</v>
      </c>
    </row>
    <row r="1337">
      <c r="A1337" s="7" t="s">
        <v>4342</v>
      </c>
      <c r="B1337" s="12" t="s">
        <v>4343</v>
      </c>
      <c r="C1337" s="14" t="s">
        <v>1217</v>
      </c>
      <c r="D1337" s="15" t="s">
        <v>34</v>
      </c>
      <c r="E1337" s="16" t="s">
        <v>24</v>
      </c>
      <c r="F1337" s="10" t="s">
        <v>35</v>
      </c>
      <c r="G1337" s="10" t="b">
        <v>0</v>
      </c>
      <c r="H1337" s="10" t="s">
        <v>4344</v>
      </c>
      <c r="I1337" s="10">
        <v>1.0</v>
      </c>
      <c r="J1337" s="10">
        <v>0.0</v>
      </c>
      <c r="K1337" s="10">
        <v>0.0</v>
      </c>
    </row>
    <row r="1338">
      <c r="A1338" s="7" t="s">
        <v>4345</v>
      </c>
      <c r="B1338" s="12" t="s">
        <v>3957</v>
      </c>
      <c r="C1338" s="14" t="s">
        <v>182</v>
      </c>
      <c r="D1338" s="15" t="s">
        <v>176</v>
      </c>
      <c r="E1338" s="16" t="s">
        <v>176</v>
      </c>
      <c r="F1338" s="10" t="s">
        <v>91</v>
      </c>
      <c r="G1338" s="10" t="b">
        <v>0</v>
      </c>
      <c r="H1338" s="10" t="s">
        <v>4346</v>
      </c>
      <c r="I1338" s="10">
        <v>1.0</v>
      </c>
      <c r="J1338" s="10">
        <v>0.0</v>
      </c>
      <c r="K1338" s="10">
        <v>0.0</v>
      </c>
    </row>
    <row r="1339">
      <c r="A1339" s="7" t="s">
        <v>4347</v>
      </c>
      <c r="B1339" s="12" t="s">
        <v>1051</v>
      </c>
      <c r="C1339" s="14" t="s">
        <v>182</v>
      </c>
      <c r="D1339" s="15" t="s">
        <v>34</v>
      </c>
      <c r="E1339" s="16" t="s">
        <v>176</v>
      </c>
      <c r="F1339" s="10" t="s">
        <v>35</v>
      </c>
      <c r="G1339" s="10" t="b">
        <v>0</v>
      </c>
      <c r="H1339" s="10" t="s">
        <v>4348</v>
      </c>
      <c r="I1339" s="10">
        <v>1.0</v>
      </c>
      <c r="J1339" s="10">
        <v>0.0</v>
      </c>
      <c r="K1339" s="10">
        <v>0.0</v>
      </c>
    </row>
    <row r="1340">
      <c r="A1340" s="7" t="s">
        <v>4349</v>
      </c>
      <c r="B1340" s="12" t="s">
        <v>4350</v>
      </c>
      <c r="C1340" s="14" t="s">
        <v>443</v>
      </c>
      <c r="D1340" s="15" t="s">
        <v>196</v>
      </c>
      <c r="E1340" s="16" t="s">
        <v>24</v>
      </c>
      <c r="F1340" s="10" t="s">
        <v>198</v>
      </c>
      <c r="G1340" s="10" t="b">
        <v>0</v>
      </c>
      <c r="I1340" s="10">
        <v>1.0</v>
      </c>
      <c r="J1340" s="10">
        <v>0.0</v>
      </c>
      <c r="K1340" s="10">
        <v>2.0</v>
      </c>
    </row>
    <row r="1341">
      <c r="A1341" s="7" t="s">
        <v>4351</v>
      </c>
      <c r="B1341" s="12" t="s">
        <v>4352</v>
      </c>
      <c r="C1341" s="14" t="s">
        <v>2367</v>
      </c>
      <c r="D1341" s="15" t="s">
        <v>176</v>
      </c>
      <c r="E1341" s="16" t="s">
        <v>44</v>
      </c>
      <c r="F1341" s="10" t="s">
        <v>91</v>
      </c>
      <c r="G1341" s="10" t="b">
        <v>0</v>
      </c>
      <c r="I1341" s="10">
        <v>1.0</v>
      </c>
      <c r="J1341" s="10">
        <v>0.0</v>
      </c>
      <c r="K1341" s="10">
        <v>1.0</v>
      </c>
    </row>
    <row r="1342">
      <c r="A1342" s="7" t="s">
        <v>4353</v>
      </c>
      <c r="B1342" s="12" t="s">
        <v>4354</v>
      </c>
      <c r="C1342" s="14" t="s">
        <v>2123</v>
      </c>
      <c r="D1342" s="15" t="s">
        <v>34</v>
      </c>
      <c r="E1342" s="16" t="s">
        <v>176</v>
      </c>
      <c r="F1342" s="10" t="s">
        <v>35</v>
      </c>
      <c r="G1342" s="10" t="b">
        <v>0</v>
      </c>
      <c r="H1342" s="10" t="s">
        <v>2126</v>
      </c>
      <c r="I1342" s="10">
        <v>1.0</v>
      </c>
      <c r="J1342" s="10">
        <v>0.0</v>
      </c>
      <c r="K1342" s="10">
        <v>1.0</v>
      </c>
    </row>
    <row r="1343">
      <c r="A1343" s="7" t="s">
        <v>4355</v>
      </c>
      <c r="B1343" s="12" t="s">
        <v>4356</v>
      </c>
      <c r="C1343" s="14" t="s">
        <v>2128</v>
      </c>
      <c r="D1343" s="15" t="s">
        <v>240</v>
      </c>
      <c r="E1343" s="16" t="s">
        <v>24</v>
      </c>
      <c r="F1343" s="10" t="s">
        <v>241</v>
      </c>
      <c r="G1343" s="10" t="b">
        <v>0</v>
      </c>
      <c r="I1343" s="10">
        <v>1.0</v>
      </c>
      <c r="J1343" s="10">
        <v>0.0</v>
      </c>
      <c r="K1343" s="10">
        <v>0.0</v>
      </c>
    </row>
    <row r="1344">
      <c r="A1344" s="7" t="s">
        <v>4357</v>
      </c>
      <c r="B1344" s="12" t="s">
        <v>4358</v>
      </c>
      <c r="C1344" s="14" t="s">
        <v>2132</v>
      </c>
      <c r="D1344" s="15" t="s">
        <v>196</v>
      </c>
      <c r="E1344" s="16" t="s">
        <v>24</v>
      </c>
      <c r="F1344" s="10" t="s">
        <v>198</v>
      </c>
      <c r="G1344" s="10" t="b">
        <v>0</v>
      </c>
      <c r="I1344" s="10">
        <v>1.0</v>
      </c>
      <c r="J1344" s="10">
        <v>0.0</v>
      </c>
      <c r="K1344" s="10">
        <v>1.0</v>
      </c>
    </row>
    <row r="1345">
      <c r="A1345" s="7" t="s">
        <v>4359</v>
      </c>
      <c r="B1345" s="12" t="s">
        <v>4360</v>
      </c>
      <c r="C1345" s="12" t="s">
        <v>1230</v>
      </c>
      <c r="D1345" s="15" t="s">
        <v>34</v>
      </c>
      <c r="E1345" s="16" t="s">
        <v>24</v>
      </c>
      <c r="F1345" s="10" t="s">
        <v>35</v>
      </c>
      <c r="G1345" s="10" t="b">
        <v>0</v>
      </c>
      <c r="H1345" s="10" t="s">
        <v>3484</v>
      </c>
      <c r="I1345" s="10">
        <v>1.0</v>
      </c>
      <c r="J1345" s="10">
        <v>0.0</v>
      </c>
      <c r="K1345" s="10">
        <v>1.0</v>
      </c>
    </row>
    <row r="1346">
      <c r="A1346" s="7" t="s">
        <v>4361</v>
      </c>
      <c r="B1346" s="12" t="s">
        <v>4362</v>
      </c>
      <c r="C1346" s="12" t="s">
        <v>1230</v>
      </c>
      <c r="D1346" s="15" t="s">
        <v>176</v>
      </c>
      <c r="E1346" s="16" t="s">
        <v>24</v>
      </c>
      <c r="F1346" s="10" t="s">
        <v>91</v>
      </c>
      <c r="G1346" s="10" t="b">
        <v>0</v>
      </c>
      <c r="I1346" s="10">
        <v>1.0</v>
      </c>
      <c r="J1346" s="10">
        <v>0.0</v>
      </c>
      <c r="K1346" s="10">
        <v>1.0</v>
      </c>
    </row>
    <row r="1347">
      <c r="A1347" s="7" t="s">
        <v>4363</v>
      </c>
      <c r="B1347" s="12" t="s">
        <v>4364</v>
      </c>
      <c r="C1347" s="12" t="s">
        <v>172</v>
      </c>
      <c r="D1347" s="15" t="s">
        <v>34</v>
      </c>
      <c r="E1347" s="16" t="s">
        <v>176</v>
      </c>
      <c r="F1347" s="10" t="s">
        <v>35</v>
      </c>
      <c r="G1347" s="10" t="b">
        <v>0</v>
      </c>
      <c r="I1347" s="10">
        <v>1.0</v>
      </c>
      <c r="J1347" s="10">
        <v>0.0</v>
      </c>
      <c r="K1347" s="10">
        <v>1.0</v>
      </c>
    </row>
    <row r="1348">
      <c r="A1348" s="7" t="s">
        <v>4365</v>
      </c>
      <c r="B1348" s="12" t="s">
        <v>4366</v>
      </c>
      <c r="C1348" s="14" t="s">
        <v>2136</v>
      </c>
      <c r="D1348" s="15" t="s">
        <v>404</v>
      </c>
      <c r="E1348" s="16" t="s">
        <v>24</v>
      </c>
      <c r="F1348" s="10" t="s">
        <v>405</v>
      </c>
      <c r="G1348" s="10" t="b">
        <v>0</v>
      </c>
      <c r="H1348" s="10" t="s">
        <v>561</v>
      </c>
      <c r="I1348" s="10">
        <v>1.0</v>
      </c>
      <c r="J1348" s="10">
        <v>0.0</v>
      </c>
      <c r="K1348" s="10">
        <v>0.0</v>
      </c>
    </row>
    <row r="1349">
      <c r="A1349" s="7" t="s">
        <v>4367</v>
      </c>
      <c r="B1349" s="12" t="s">
        <v>4368</v>
      </c>
      <c r="C1349" s="14" t="s">
        <v>2138</v>
      </c>
      <c r="D1349" s="15" t="s">
        <v>34</v>
      </c>
      <c r="E1349" s="16" t="s">
        <v>24</v>
      </c>
      <c r="F1349" s="10" t="s">
        <v>35</v>
      </c>
      <c r="G1349" s="10" t="b">
        <v>0</v>
      </c>
      <c r="H1349" s="10" t="s">
        <v>4369</v>
      </c>
      <c r="I1349" s="10">
        <v>1.0</v>
      </c>
      <c r="J1349" s="10">
        <v>0.0</v>
      </c>
      <c r="K1349" s="10">
        <v>1.0</v>
      </c>
    </row>
    <row r="1350">
      <c r="A1350" s="7" t="s">
        <v>4370</v>
      </c>
      <c r="B1350" s="12" t="s">
        <v>4371</v>
      </c>
      <c r="C1350" s="14" t="s">
        <v>2141</v>
      </c>
      <c r="D1350" s="15" t="s">
        <v>34</v>
      </c>
      <c r="E1350" s="16" t="s">
        <v>24</v>
      </c>
      <c r="F1350" s="10" t="s">
        <v>35</v>
      </c>
      <c r="G1350" s="10" t="b">
        <v>0</v>
      </c>
      <c r="H1350" s="10" t="s">
        <v>4372</v>
      </c>
      <c r="I1350" s="10">
        <v>1.0</v>
      </c>
      <c r="J1350" s="10">
        <v>0.0</v>
      </c>
      <c r="K1350" s="10">
        <v>0.0</v>
      </c>
    </row>
    <row r="1351">
      <c r="A1351" s="7" t="s">
        <v>4373</v>
      </c>
      <c r="B1351" s="12" t="s">
        <v>4374</v>
      </c>
      <c r="C1351" s="14" t="s">
        <v>2144</v>
      </c>
      <c r="D1351" s="15" t="s">
        <v>34</v>
      </c>
      <c r="E1351" s="16" t="s">
        <v>24</v>
      </c>
      <c r="F1351" s="10" t="s">
        <v>35</v>
      </c>
      <c r="G1351" s="10" t="b">
        <v>0</v>
      </c>
      <c r="H1351" s="10" t="s">
        <v>2145</v>
      </c>
      <c r="I1351" s="10">
        <v>1.0</v>
      </c>
      <c r="J1351" s="10">
        <v>0.0</v>
      </c>
      <c r="K1351" s="10">
        <v>0.0</v>
      </c>
    </row>
    <row r="1352">
      <c r="A1352" s="7" t="s">
        <v>4375</v>
      </c>
      <c r="B1352" s="12" t="s">
        <v>4376</v>
      </c>
      <c r="C1352" s="14" t="s">
        <v>2147</v>
      </c>
      <c r="D1352" s="15" t="s">
        <v>196</v>
      </c>
      <c r="E1352" s="16" t="s">
        <v>24</v>
      </c>
      <c r="F1352" s="10" t="s">
        <v>198</v>
      </c>
      <c r="G1352" s="10" t="b">
        <v>0</v>
      </c>
      <c r="H1352" s="10" t="s">
        <v>384</v>
      </c>
      <c r="I1352" s="10">
        <v>1.0</v>
      </c>
      <c r="J1352" s="10">
        <v>0.0</v>
      </c>
      <c r="K1352" s="10">
        <v>0.0</v>
      </c>
    </row>
    <row r="1353">
      <c r="A1353" s="7" t="s">
        <v>4377</v>
      </c>
      <c r="B1353" s="12" t="s">
        <v>4378</v>
      </c>
      <c r="C1353" s="14" t="s">
        <v>2149</v>
      </c>
      <c r="D1353" s="15" t="s">
        <v>196</v>
      </c>
      <c r="E1353" s="16" t="s">
        <v>24</v>
      </c>
      <c r="F1353" s="10" t="s">
        <v>198</v>
      </c>
      <c r="G1353" s="10" t="b">
        <v>0</v>
      </c>
      <c r="H1353" s="10" t="s">
        <v>2150</v>
      </c>
      <c r="I1353" s="10">
        <v>1.0</v>
      </c>
      <c r="J1353" s="10">
        <v>0.0</v>
      </c>
      <c r="K1353" s="10">
        <v>1.0</v>
      </c>
    </row>
    <row r="1354">
      <c r="A1354" s="7" t="s">
        <v>4379</v>
      </c>
      <c r="B1354" s="16"/>
      <c r="C1354" s="14" t="s">
        <v>189</v>
      </c>
      <c r="D1354" s="15" t="s">
        <v>176</v>
      </c>
      <c r="E1354" s="16" t="s">
        <v>24</v>
      </c>
      <c r="F1354" s="10" t="s">
        <v>91</v>
      </c>
      <c r="H1354" s="10" t="s">
        <v>948</v>
      </c>
      <c r="I1354" s="10">
        <v>1.0</v>
      </c>
      <c r="J1354" s="10">
        <v>0.0</v>
      </c>
      <c r="K1354" s="10">
        <v>1.0</v>
      </c>
    </row>
    <row r="1355">
      <c r="A1355" s="7" t="s">
        <v>4380</v>
      </c>
      <c r="B1355" s="16"/>
      <c r="C1355" s="14" t="s">
        <v>189</v>
      </c>
      <c r="D1355" s="15" t="s">
        <v>176</v>
      </c>
      <c r="E1355" s="16" t="s">
        <v>24</v>
      </c>
      <c r="F1355" s="10" t="s">
        <v>91</v>
      </c>
      <c r="H1355" s="10" t="s">
        <v>948</v>
      </c>
      <c r="I1355" s="10">
        <v>1.0</v>
      </c>
      <c r="J1355" s="10">
        <v>0.0</v>
      </c>
      <c r="K1355" s="10">
        <v>0.0</v>
      </c>
    </row>
    <row r="1356">
      <c r="A1356" s="7" t="s">
        <v>4381</v>
      </c>
      <c r="B1356" s="12" t="s">
        <v>4382</v>
      </c>
      <c r="C1356" s="12" t="s">
        <v>2156</v>
      </c>
      <c r="D1356" s="15" t="s">
        <v>196</v>
      </c>
      <c r="E1356" s="16" t="s">
        <v>107</v>
      </c>
      <c r="F1356" s="10" t="s">
        <v>198</v>
      </c>
      <c r="G1356" s="10" t="b">
        <v>0</v>
      </c>
      <c r="H1356" s="10" t="s">
        <v>2158</v>
      </c>
      <c r="I1356" s="10">
        <v>1.0</v>
      </c>
      <c r="J1356" s="10">
        <v>0.0</v>
      </c>
      <c r="K1356" s="10">
        <v>0.0</v>
      </c>
    </row>
    <row r="1357">
      <c r="A1357" s="7" t="s">
        <v>4383</v>
      </c>
      <c r="B1357" s="12" t="s">
        <v>4384</v>
      </c>
      <c r="C1357" s="14" t="s">
        <v>114</v>
      </c>
      <c r="D1357" s="15" t="s">
        <v>196</v>
      </c>
      <c r="E1357" s="16" t="s">
        <v>107</v>
      </c>
      <c r="F1357" s="10" t="s">
        <v>198</v>
      </c>
      <c r="G1357" s="10" t="b">
        <v>0</v>
      </c>
      <c r="H1357" s="10" t="s">
        <v>118</v>
      </c>
      <c r="I1357" s="10">
        <v>1.0</v>
      </c>
      <c r="J1357" s="10">
        <v>0.0</v>
      </c>
      <c r="K1357" s="10">
        <v>1.0</v>
      </c>
    </row>
    <row r="1358">
      <c r="A1358" s="7" t="s">
        <v>4385</v>
      </c>
      <c r="B1358" s="12" t="s">
        <v>4386</v>
      </c>
      <c r="C1358" s="14" t="s">
        <v>114</v>
      </c>
      <c r="D1358" s="15" t="s">
        <v>196</v>
      </c>
      <c r="E1358" s="16" t="s">
        <v>107</v>
      </c>
      <c r="F1358" s="10" t="s">
        <v>198</v>
      </c>
      <c r="G1358" s="10" t="b">
        <v>0</v>
      </c>
      <c r="H1358" s="10" t="s">
        <v>118</v>
      </c>
      <c r="I1358" s="10">
        <v>1.0</v>
      </c>
      <c r="J1358" s="10">
        <v>0.0</v>
      </c>
      <c r="K1358" s="10">
        <v>1.0</v>
      </c>
    </row>
    <row r="1359">
      <c r="A1359" s="7" t="s">
        <v>4387</v>
      </c>
      <c r="B1359" s="12" t="s">
        <v>4388</v>
      </c>
      <c r="C1359" s="14" t="s">
        <v>114</v>
      </c>
      <c r="D1359" s="15" t="s">
        <v>196</v>
      </c>
      <c r="E1359" s="16" t="s">
        <v>107</v>
      </c>
      <c r="F1359" s="10" t="s">
        <v>198</v>
      </c>
      <c r="G1359" s="10" t="b">
        <v>0</v>
      </c>
      <c r="H1359" s="10" t="s">
        <v>118</v>
      </c>
      <c r="I1359" s="10">
        <v>1.0</v>
      </c>
      <c r="J1359" s="10">
        <v>0.0</v>
      </c>
      <c r="K1359" s="10">
        <v>1.0</v>
      </c>
    </row>
    <row r="1360">
      <c r="A1360" s="7" t="s">
        <v>4389</v>
      </c>
      <c r="B1360" s="12" t="s">
        <v>4390</v>
      </c>
      <c r="C1360" s="14" t="s">
        <v>2160</v>
      </c>
      <c r="D1360" s="15" t="s">
        <v>196</v>
      </c>
      <c r="E1360" s="16" t="s">
        <v>24</v>
      </c>
      <c r="F1360" s="10" t="s">
        <v>198</v>
      </c>
      <c r="G1360" s="10" t="b">
        <v>0</v>
      </c>
      <c r="H1360" s="10" t="s">
        <v>2121</v>
      </c>
      <c r="I1360" s="10">
        <v>1.0</v>
      </c>
      <c r="J1360" s="10">
        <v>0.0</v>
      </c>
      <c r="K1360" s="10">
        <v>0.0</v>
      </c>
    </row>
    <row r="1361">
      <c r="A1361" s="7" t="s">
        <v>4391</v>
      </c>
      <c r="B1361" s="12" t="s">
        <v>4392</v>
      </c>
      <c r="C1361" s="14" t="s">
        <v>2162</v>
      </c>
      <c r="D1361" s="15" t="s">
        <v>34</v>
      </c>
      <c r="E1361" s="16" t="s">
        <v>24</v>
      </c>
      <c r="F1361" s="10" t="s">
        <v>35</v>
      </c>
      <c r="G1361" s="10" t="b">
        <v>0</v>
      </c>
      <c r="H1361" s="10" t="s">
        <v>4393</v>
      </c>
      <c r="I1361" s="10">
        <v>1.0</v>
      </c>
      <c r="J1361" s="10">
        <v>0.0</v>
      </c>
      <c r="K1361" s="10">
        <v>0.0</v>
      </c>
    </row>
    <row r="1362">
      <c r="A1362" s="7" t="s">
        <v>4394</v>
      </c>
      <c r="B1362" s="12" t="s">
        <v>4395</v>
      </c>
      <c r="C1362" s="14" t="s">
        <v>2166</v>
      </c>
      <c r="D1362" s="15" t="s">
        <v>196</v>
      </c>
      <c r="E1362" s="16" t="s">
        <v>107</v>
      </c>
      <c r="F1362" s="10" t="s">
        <v>198</v>
      </c>
      <c r="G1362" s="10" t="b">
        <v>0</v>
      </c>
      <c r="H1362" s="10" t="s">
        <v>384</v>
      </c>
      <c r="I1362" s="10">
        <v>1.0</v>
      </c>
      <c r="J1362" s="10">
        <v>0.0</v>
      </c>
      <c r="K1362" s="10">
        <v>1.0</v>
      </c>
    </row>
    <row r="1363">
      <c r="A1363" s="7" t="s">
        <v>4396</v>
      </c>
      <c r="B1363" s="12" t="s">
        <v>4397</v>
      </c>
      <c r="C1363" s="14" t="s">
        <v>2551</v>
      </c>
      <c r="D1363" s="15" t="s">
        <v>34</v>
      </c>
      <c r="E1363" s="16" t="s">
        <v>24</v>
      </c>
      <c r="F1363" s="10" t="s">
        <v>35</v>
      </c>
      <c r="G1363" s="10" t="b">
        <v>0</v>
      </c>
      <c r="I1363" s="10">
        <v>1.0</v>
      </c>
      <c r="J1363" s="10">
        <v>0.0</v>
      </c>
      <c r="K1363" s="10">
        <v>0.0</v>
      </c>
    </row>
    <row r="1364">
      <c r="A1364" s="7" t="s">
        <v>4398</v>
      </c>
      <c r="B1364" s="12" t="s">
        <v>4399</v>
      </c>
      <c r="C1364" s="14" t="s">
        <v>1367</v>
      </c>
      <c r="D1364" s="15" t="s">
        <v>34</v>
      </c>
      <c r="E1364" s="16" t="s">
        <v>24</v>
      </c>
      <c r="F1364" s="10" t="s">
        <v>35</v>
      </c>
      <c r="G1364" s="10" t="b">
        <v>0</v>
      </c>
      <c r="H1364" s="10" t="s">
        <v>4400</v>
      </c>
      <c r="I1364" s="10">
        <v>1.0</v>
      </c>
      <c r="J1364" s="10">
        <v>0.0</v>
      </c>
      <c r="K1364" s="10">
        <v>2.0</v>
      </c>
    </row>
    <row r="1365">
      <c r="A1365" s="7" t="s">
        <v>4401</v>
      </c>
      <c r="B1365" s="12" t="s">
        <v>4402</v>
      </c>
      <c r="C1365" s="14" t="s">
        <v>2170</v>
      </c>
      <c r="D1365" s="15" t="s">
        <v>34</v>
      </c>
      <c r="E1365" s="16" t="s">
        <v>24</v>
      </c>
      <c r="F1365" s="10" t="s">
        <v>35</v>
      </c>
      <c r="G1365" s="10" t="b">
        <v>0</v>
      </c>
      <c r="H1365" s="10" t="s">
        <v>413</v>
      </c>
      <c r="I1365" s="10">
        <v>1.0</v>
      </c>
      <c r="J1365" s="10">
        <v>0.0</v>
      </c>
      <c r="K1365" s="10">
        <v>1.0</v>
      </c>
    </row>
    <row r="1366">
      <c r="A1366" s="7" t="s">
        <v>4403</v>
      </c>
      <c r="B1366" s="12" t="s">
        <v>4404</v>
      </c>
      <c r="C1366" s="14" t="s">
        <v>2173</v>
      </c>
      <c r="D1366" s="15" t="s">
        <v>196</v>
      </c>
      <c r="E1366" s="16" t="s">
        <v>24</v>
      </c>
      <c r="F1366" s="10" t="s">
        <v>198</v>
      </c>
      <c r="G1366" s="10" t="b">
        <v>0</v>
      </c>
      <c r="I1366" s="10">
        <v>1.0</v>
      </c>
      <c r="J1366" s="10">
        <v>0.0</v>
      </c>
      <c r="K1366" s="10">
        <v>1.0</v>
      </c>
    </row>
    <row r="1367">
      <c r="A1367" s="7" t="s">
        <v>4405</v>
      </c>
      <c r="B1367" s="12" t="s">
        <v>4406</v>
      </c>
      <c r="C1367" s="14" t="s">
        <v>699</v>
      </c>
      <c r="D1367" s="15" t="s">
        <v>34</v>
      </c>
      <c r="E1367" s="16" t="s">
        <v>99</v>
      </c>
      <c r="F1367" s="10" t="s">
        <v>35</v>
      </c>
      <c r="G1367" s="10" t="b">
        <v>0</v>
      </c>
      <c r="H1367" s="10" t="s">
        <v>4407</v>
      </c>
      <c r="I1367" s="10">
        <v>1.0</v>
      </c>
      <c r="J1367" s="10">
        <v>0.0</v>
      </c>
      <c r="K1367" s="10">
        <v>0.0</v>
      </c>
    </row>
    <row r="1368">
      <c r="A1368" s="7" t="s">
        <v>4408</v>
      </c>
      <c r="B1368" s="12" t="s">
        <v>4409</v>
      </c>
      <c r="C1368" s="14" t="s">
        <v>2177</v>
      </c>
      <c r="D1368" s="15" t="s">
        <v>749</v>
      </c>
      <c r="E1368" s="16" t="s">
        <v>24</v>
      </c>
      <c r="F1368" s="10" t="s">
        <v>750</v>
      </c>
      <c r="G1368" s="10" t="b">
        <v>0</v>
      </c>
      <c r="I1368" s="10">
        <v>1.0</v>
      </c>
      <c r="J1368" s="10">
        <v>0.0</v>
      </c>
      <c r="K1368" s="10">
        <v>1.0</v>
      </c>
    </row>
    <row r="1369">
      <c r="A1369" s="7" t="s">
        <v>4410</v>
      </c>
      <c r="B1369" s="12" t="s">
        <v>2969</v>
      </c>
      <c r="C1369" s="14" t="s">
        <v>2181</v>
      </c>
      <c r="D1369" s="15" t="s">
        <v>22</v>
      </c>
      <c r="E1369" s="16" t="s">
        <v>24</v>
      </c>
      <c r="F1369" s="10" t="s">
        <v>25</v>
      </c>
      <c r="G1369" s="10" t="b">
        <v>0</v>
      </c>
      <c r="H1369" s="10" t="s">
        <v>4411</v>
      </c>
      <c r="I1369" s="10">
        <v>1.0</v>
      </c>
      <c r="J1369" s="10">
        <v>0.0</v>
      </c>
      <c r="K1369" s="10">
        <v>0.0</v>
      </c>
    </row>
    <row r="1370">
      <c r="A1370" s="7" t="s">
        <v>4412</v>
      </c>
      <c r="B1370" s="12" t="s">
        <v>4413</v>
      </c>
      <c r="C1370" s="14" t="s">
        <v>2185</v>
      </c>
      <c r="D1370" s="15" t="s">
        <v>240</v>
      </c>
      <c r="E1370" s="16" t="s">
        <v>24</v>
      </c>
      <c r="F1370" s="10" t="s">
        <v>241</v>
      </c>
      <c r="G1370" s="10" t="b">
        <v>0</v>
      </c>
      <c r="I1370" s="10">
        <v>1.0</v>
      </c>
      <c r="J1370" s="10">
        <v>0.0</v>
      </c>
      <c r="K1370" s="10">
        <v>1.0</v>
      </c>
    </row>
    <row r="1371">
      <c r="A1371" s="7" t="s">
        <v>4414</v>
      </c>
      <c r="B1371" s="12" t="s">
        <v>4415</v>
      </c>
      <c r="C1371" s="14" t="s">
        <v>2188</v>
      </c>
      <c r="D1371" s="15" t="s">
        <v>34</v>
      </c>
      <c r="E1371" s="16" t="s">
        <v>24</v>
      </c>
      <c r="F1371" s="10" t="s">
        <v>35</v>
      </c>
      <c r="G1371" s="10" t="b">
        <v>0</v>
      </c>
      <c r="H1371" s="10" t="s">
        <v>2190</v>
      </c>
      <c r="I1371" s="10">
        <v>1.0</v>
      </c>
      <c r="J1371" s="10">
        <v>0.0</v>
      </c>
      <c r="K1371" s="10">
        <v>0.0</v>
      </c>
    </row>
    <row r="1372">
      <c r="A1372" s="7" t="s">
        <v>4416</v>
      </c>
      <c r="B1372" s="12" t="s">
        <v>4417</v>
      </c>
      <c r="C1372" s="14" t="s">
        <v>1099</v>
      </c>
      <c r="D1372" s="15" t="s">
        <v>196</v>
      </c>
      <c r="E1372" s="16" t="s">
        <v>24</v>
      </c>
      <c r="F1372" s="10" t="s">
        <v>198</v>
      </c>
      <c r="G1372" s="10" t="b">
        <v>0</v>
      </c>
      <c r="I1372" s="10">
        <v>1.0</v>
      </c>
      <c r="J1372" s="10">
        <v>0.0</v>
      </c>
      <c r="K1372" s="10">
        <v>0.0</v>
      </c>
    </row>
    <row r="1373">
      <c r="A1373" s="7" t="s">
        <v>4418</v>
      </c>
      <c r="B1373" s="12" t="s">
        <v>4419</v>
      </c>
      <c r="C1373" s="14" t="s">
        <v>2192</v>
      </c>
      <c r="D1373" s="15" t="s">
        <v>51</v>
      </c>
      <c r="E1373" s="16" t="s">
        <v>24</v>
      </c>
      <c r="F1373" s="10" t="s">
        <v>52</v>
      </c>
      <c r="G1373" s="10" t="b">
        <v>0</v>
      </c>
      <c r="H1373" s="10" t="s">
        <v>1562</v>
      </c>
      <c r="I1373" s="10">
        <v>1.0</v>
      </c>
      <c r="J1373" s="10">
        <v>0.0</v>
      </c>
      <c r="K1373" s="10">
        <v>0.0</v>
      </c>
    </row>
    <row r="1374">
      <c r="A1374" s="7" t="s">
        <v>4420</v>
      </c>
      <c r="B1374" s="12" t="s">
        <v>4421</v>
      </c>
      <c r="C1374" s="14" t="s">
        <v>2195</v>
      </c>
      <c r="D1374" s="15" t="s">
        <v>240</v>
      </c>
      <c r="E1374" s="16" t="s">
        <v>24</v>
      </c>
      <c r="F1374" s="10" t="s">
        <v>241</v>
      </c>
      <c r="G1374" s="10" t="b">
        <v>0</v>
      </c>
      <c r="H1374" s="10" t="s">
        <v>1562</v>
      </c>
      <c r="I1374" s="10">
        <v>1.0</v>
      </c>
      <c r="J1374" s="10">
        <v>0.0</v>
      </c>
      <c r="K1374" s="10">
        <v>0.0</v>
      </c>
    </row>
    <row r="1375">
      <c r="A1375" s="7" t="s">
        <v>4422</v>
      </c>
      <c r="B1375" s="12" t="s">
        <v>4423</v>
      </c>
      <c r="C1375" s="14" t="s">
        <v>568</v>
      </c>
      <c r="D1375" s="15" t="s">
        <v>196</v>
      </c>
      <c r="E1375" s="16" t="s">
        <v>24</v>
      </c>
      <c r="F1375" s="10" t="s">
        <v>198</v>
      </c>
      <c r="G1375" s="10" t="b">
        <v>0</v>
      </c>
      <c r="H1375" s="10" t="s">
        <v>570</v>
      </c>
      <c r="I1375" s="10">
        <v>1.0</v>
      </c>
      <c r="J1375" s="10">
        <v>0.0</v>
      </c>
      <c r="K1375" s="10">
        <v>0.0</v>
      </c>
    </row>
    <row r="1376">
      <c r="A1376" s="7" t="s">
        <v>4424</v>
      </c>
      <c r="B1376" s="12" t="s">
        <v>4425</v>
      </c>
      <c r="C1376" s="14" t="s">
        <v>2199</v>
      </c>
      <c r="D1376" s="15" t="s">
        <v>34</v>
      </c>
      <c r="E1376" s="16" t="s">
        <v>24</v>
      </c>
      <c r="F1376" s="10" t="s">
        <v>35</v>
      </c>
      <c r="G1376" s="10" t="b">
        <v>0</v>
      </c>
      <c r="H1376" s="10" t="s">
        <v>2200</v>
      </c>
      <c r="I1376" s="10">
        <v>1.0</v>
      </c>
      <c r="J1376" s="10">
        <v>0.0</v>
      </c>
      <c r="K1376" s="10">
        <v>1.0</v>
      </c>
    </row>
    <row r="1377">
      <c r="A1377" s="7" t="s">
        <v>4426</v>
      </c>
      <c r="B1377" s="12" t="s">
        <v>4427</v>
      </c>
      <c r="C1377" s="14" t="s">
        <v>2201</v>
      </c>
      <c r="D1377" s="15" t="s">
        <v>34</v>
      </c>
      <c r="E1377" s="16" t="s">
        <v>24</v>
      </c>
      <c r="F1377" s="10" t="s">
        <v>35</v>
      </c>
      <c r="G1377" s="10" t="b">
        <v>0</v>
      </c>
      <c r="H1377" s="10" t="s">
        <v>4428</v>
      </c>
      <c r="I1377" s="10">
        <v>1.0</v>
      </c>
      <c r="J1377" s="10">
        <v>0.0</v>
      </c>
      <c r="K1377" s="10">
        <v>0.0</v>
      </c>
    </row>
    <row r="1378">
      <c r="A1378" s="7" t="s">
        <v>4429</v>
      </c>
      <c r="B1378" s="16"/>
      <c r="C1378" s="14" t="s">
        <v>2204</v>
      </c>
      <c r="D1378" s="15" t="s">
        <v>222</v>
      </c>
      <c r="E1378" s="16" t="s">
        <v>44</v>
      </c>
      <c r="F1378" s="10" t="s">
        <v>223</v>
      </c>
      <c r="G1378" s="10" t="b">
        <v>0</v>
      </c>
      <c r="H1378" s="10" t="s">
        <v>4430</v>
      </c>
      <c r="I1378" s="10">
        <v>1.0</v>
      </c>
      <c r="J1378" s="10">
        <v>0.0</v>
      </c>
      <c r="K1378" s="10">
        <v>1.0</v>
      </c>
    </row>
    <row r="1379">
      <c r="A1379" s="7" t="s">
        <v>4431</v>
      </c>
      <c r="B1379" s="12" t="s">
        <v>4432</v>
      </c>
      <c r="C1379" s="12" t="s">
        <v>2207</v>
      </c>
      <c r="D1379" s="15" t="s">
        <v>196</v>
      </c>
      <c r="E1379" s="16" t="s">
        <v>24</v>
      </c>
      <c r="F1379" s="10" t="s">
        <v>198</v>
      </c>
      <c r="G1379" s="10" t="b">
        <v>0</v>
      </c>
      <c r="I1379" s="10">
        <v>1.0</v>
      </c>
      <c r="J1379" s="10">
        <v>0.0</v>
      </c>
      <c r="K1379" s="10">
        <v>0.0</v>
      </c>
    </row>
    <row r="1380">
      <c r="A1380" s="7" t="s">
        <v>4433</v>
      </c>
      <c r="B1380" s="12" t="s">
        <v>4434</v>
      </c>
      <c r="C1380" s="14" t="s">
        <v>94</v>
      </c>
      <c r="D1380" s="15" t="s">
        <v>34</v>
      </c>
      <c r="E1380" s="16" t="s">
        <v>107</v>
      </c>
      <c r="F1380" s="10" t="s">
        <v>35</v>
      </c>
      <c r="G1380" s="10" t="b">
        <v>0</v>
      </c>
      <c r="H1380" s="10" t="s">
        <v>4435</v>
      </c>
      <c r="I1380" s="10">
        <v>1.0</v>
      </c>
      <c r="J1380" s="10">
        <v>0.0</v>
      </c>
      <c r="K1380" s="10">
        <v>1.0</v>
      </c>
    </row>
    <row r="1381">
      <c r="A1381" s="7" t="s">
        <v>4436</v>
      </c>
      <c r="B1381" s="12" t="s">
        <v>4437</v>
      </c>
      <c r="C1381" s="14" t="s">
        <v>2209</v>
      </c>
      <c r="D1381" s="15" t="s">
        <v>749</v>
      </c>
      <c r="E1381" s="16" t="s">
        <v>99</v>
      </c>
      <c r="F1381" s="10" t="s">
        <v>750</v>
      </c>
      <c r="G1381" s="10" t="b">
        <v>0</v>
      </c>
      <c r="H1381" s="10" t="s">
        <v>4438</v>
      </c>
      <c r="I1381" s="10">
        <v>1.0</v>
      </c>
      <c r="J1381" s="10">
        <v>0.0</v>
      </c>
      <c r="K1381" s="10">
        <v>1.0</v>
      </c>
    </row>
    <row r="1382">
      <c r="A1382" s="7" t="s">
        <v>4439</v>
      </c>
      <c r="B1382" s="12" t="s">
        <v>4440</v>
      </c>
      <c r="C1382" s="14" t="s">
        <v>1004</v>
      </c>
      <c r="D1382" s="15" t="s">
        <v>196</v>
      </c>
      <c r="E1382" s="16" t="s">
        <v>24</v>
      </c>
      <c r="F1382" s="10" t="s">
        <v>198</v>
      </c>
      <c r="G1382" s="10" t="b">
        <v>0</v>
      </c>
      <c r="I1382" s="10">
        <v>1.0</v>
      </c>
      <c r="J1382" s="10">
        <v>0.0</v>
      </c>
      <c r="K1382" s="10">
        <v>0.0</v>
      </c>
    </row>
    <row r="1383">
      <c r="A1383" s="7" t="s">
        <v>4441</v>
      </c>
      <c r="B1383" s="12" t="s">
        <v>4442</v>
      </c>
      <c r="C1383" s="14" t="s">
        <v>2212</v>
      </c>
      <c r="D1383" s="15" t="s">
        <v>51</v>
      </c>
      <c r="E1383" s="16" t="s">
        <v>24</v>
      </c>
      <c r="F1383" s="10" t="s">
        <v>52</v>
      </c>
      <c r="G1383" s="10" t="b">
        <v>0</v>
      </c>
      <c r="I1383" s="10">
        <v>1.0</v>
      </c>
      <c r="J1383" s="10">
        <v>0.0</v>
      </c>
      <c r="K1383" s="10">
        <v>1.0</v>
      </c>
    </row>
    <row r="1384">
      <c r="A1384" s="7" t="s">
        <v>4443</v>
      </c>
      <c r="B1384" s="12" t="s">
        <v>4444</v>
      </c>
      <c r="C1384" s="14" t="s">
        <v>2214</v>
      </c>
      <c r="D1384" s="15" t="s">
        <v>51</v>
      </c>
      <c r="E1384" s="16" t="s">
        <v>24</v>
      </c>
      <c r="F1384" s="10" t="s">
        <v>52</v>
      </c>
      <c r="G1384" s="10" t="b">
        <v>0</v>
      </c>
      <c r="H1384" s="10" t="s">
        <v>2121</v>
      </c>
      <c r="I1384" s="10">
        <v>1.0</v>
      </c>
      <c r="J1384" s="10">
        <v>0.0</v>
      </c>
      <c r="K1384" s="10">
        <v>1.0</v>
      </c>
    </row>
    <row r="1385">
      <c r="A1385" s="7" t="s">
        <v>4445</v>
      </c>
      <c r="B1385" s="12" t="s">
        <v>1450</v>
      </c>
      <c r="C1385" s="14" t="s">
        <v>677</v>
      </c>
      <c r="D1385" s="15" t="s">
        <v>51</v>
      </c>
      <c r="E1385" s="16" t="s">
        <v>1000</v>
      </c>
      <c r="F1385" s="10" t="s">
        <v>52</v>
      </c>
      <c r="G1385" s="10" t="b">
        <v>0</v>
      </c>
      <c r="H1385" s="10" t="s">
        <v>1450</v>
      </c>
      <c r="I1385" s="10">
        <v>1.0</v>
      </c>
      <c r="J1385" s="10">
        <v>0.0</v>
      </c>
      <c r="K1385" s="10">
        <v>1.0</v>
      </c>
    </row>
    <row r="1386">
      <c r="A1386" s="7" t="s">
        <v>4446</v>
      </c>
      <c r="B1386" s="12" t="s">
        <v>4447</v>
      </c>
      <c r="C1386" s="14" t="s">
        <v>677</v>
      </c>
      <c r="D1386" s="15" t="s">
        <v>51</v>
      </c>
      <c r="E1386" s="16" t="s">
        <v>1000</v>
      </c>
      <c r="F1386" s="10" t="s">
        <v>52</v>
      </c>
      <c r="G1386" s="10" t="b">
        <v>0</v>
      </c>
      <c r="H1386" s="10" t="s">
        <v>4448</v>
      </c>
      <c r="I1386" s="10">
        <v>1.0</v>
      </c>
      <c r="J1386" s="10">
        <v>0.0</v>
      </c>
      <c r="K1386" s="10">
        <v>1.0</v>
      </c>
    </row>
    <row r="1387">
      <c r="A1387" s="7" t="s">
        <v>4449</v>
      </c>
      <c r="B1387" s="12" t="s">
        <v>4450</v>
      </c>
      <c r="C1387" s="14" t="s">
        <v>677</v>
      </c>
      <c r="D1387" s="15" t="s">
        <v>749</v>
      </c>
      <c r="E1387" s="16" t="s">
        <v>1000</v>
      </c>
      <c r="F1387" s="10" t="s">
        <v>750</v>
      </c>
      <c r="G1387" s="10" t="b">
        <v>0</v>
      </c>
      <c r="H1387" s="10" t="s">
        <v>1402</v>
      </c>
      <c r="I1387" s="10">
        <v>1.0</v>
      </c>
      <c r="J1387" s="10">
        <v>0.0</v>
      </c>
      <c r="K1387" s="10">
        <v>1.0</v>
      </c>
    </row>
    <row r="1388">
      <c r="A1388" s="7" t="s">
        <v>4451</v>
      </c>
      <c r="B1388" s="12" t="s">
        <v>1192</v>
      </c>
      <c r="C1388" s="14" t="s">
        <v>677</v>
      </c>
      <c r="D1388" s="15" t="s">
        <v>51</v>
      </c>
      <c r="E1388" s="16" t="s">
        <v>1000</v>
      </c>
      <c r="F1388" s="10" t="s">
        <v>52</v>
      </c>
      <c r="G1388" s="10" t="b">
        <v>0</v>
      </c>
      <c r="H1388" s="10" t="s">
        <v>1714</v>
      </c>
      <c r="I1388" s="10">
        <v>1.0</v>
      </c>
      <c r="J1388" s="10">
        <v>0.0</v>
      </c>
      <c r="K1388" s="10">
        <v>1.0</v>
      </c>
    </row>
    <row r="1389">
      <c r="A1389" s="7" t="s">
        <v>4452</v>
      </c>
      <c r="B1389" s="12" t="s">
        <v>4453</v>
      </c>
      <c r="C1389" s="14" t="s">
        <v>84</v>
      </c>
      <c r="D1389" s="15" t="s">
        <v>222</v>
      </c>
      <c r="E1389" s="16" t="s">
        <v>44</v>
      </c>
      <c r="F1389" s="10" t="s">
        <v>223</v>
      </c>
      <c r="G1389" s="10" t="b">
        <v>0</v>
      </c>
      <c r="I1389" s="10">
        <v>1.0</v>
      </c>
      <c r="J1389" s="10">
        <v>0.0</v>
      </c>
      <c r="K1389" s="10">
        <v>3.0</v>
      </c>
    </row>
    <row r="1390">
      <c r="A1390" s="7" t="s">
        <v>4454</v>
      </c>
      <c r="B1390" s="12" t="s">
        <v>4455</v>
      </c>
      <c r="C1390" s="14" t="s">
        <v>84</v>
      </c>
      <c r="D1390" s="15" t="s">
        <v>222</v>
      </c>
      <c r="E1390" s="16" t="s">
        <v>44</v>
      </c>
      <c r="F1390" s="10" t="s">
        <v>223</v>
      </c>
      <c r="G1390" s="10" t="b">
        <v>0</v>
      </c>
      <c r="H1390" s="10" t="s">
        <v>4456</v>
      </c>
      <c r="I1390" s="10">
        <v>1.0</v>
      </c>
      <c r="J1390" s="10">
        <v>0.0</v>
      </c>
      <c r="K1390" s="10">
        <v>2.0</v>
      </c>
    </row>
    <row r="1391">
      <c r="A1391" s="7" t="s">
        <v>4457</v>
      </c>
      <c r="B1391" s="12" t="s">
        <v>4458</v>
      </c>
      <c r="C1391" s="14" t="s">
        <v>84</v>
      </c>
      <c r="D1391" s="15" t="s">
        <v>222</v>
      </c>
      <c r="E1391" s="16" t="s">
        <v>44</v>
      </c>
      <c r="F1391" s="10" t="s">
        <v>223</v>
      </c>
      <c r="G1391" s="10" t="b">
        <v>0</v>
      </c>
      <c r="H1391" s="10" t="s">
        <v>157</v>
      </c>
      <c r="I1391" s="10">
        <v>1.0</v>
      </c>
      <c r="J1391" s="10">
        <v>0.0</v>
      </c>
      <c r="K1391" s="10">
        <v>2.0</v>
      </c>
    </row>
    <row r="1392">
      <c r="A1392" s="7" t="s">
        <v>4459</v>
      </c>
      <c r="B1392" s="12" t="s">
        <v>4460</v>
      </c>
      <c r="C1392" s="14" t="s">
        <v>84</v>
      </c>
      <c r="D1392" s="15" t="s">
        <v>222</v>
      </c>
      <c r="E1392" s="16" t="s">
        <v>44</v>
      </c>
      <c r="F1392" s="10" t="s">
        <v>223</v>
      </c>
      <c r="G1392" s="10" t="b">
        <v>0</v>
      </c>
      <c r="H1392" s="10" t="s">
        <v>4461</v>
      </c>
      <c r="I1392" s="10">
        <v>1.0</v>
      </c>
      <c r="J1392" s="10">
        <v>0.0</v>
      </c>
      <c r="K1392" s="10">
        <v>2.0</v>
      </c>
    </row>
    <row r="1393">
      <c r="A1393" s="7" t="s">
        <v>4462</v>
      </c>
      <c r="B1393" s="12" t="s">
        <v>4463</v>
      </c>
      <c r="C1393" s="14" t="s">
        <v>84</v>
      </c>
      <c r="D1393" s="15" t="s">
        <v>222</v>
      </c>
      <c r="E1393" s="16" t="s">
        <v>44</v>
      </c>
      <c r="F1393" s="10" t="s">
        <v>223</v>
      </c>
      <c r="G1393" s="10" t="b">
        <v>0</v>
      </c>
      <c r="H1393" s="10" t="s">
        <v>180</v>
      </c>
      <c r="I1393" s="10">
        <v>1.0</v>
      </c>
      <c r="J1393" s="10">
        <v>0.0</v>
      </c>
      <c r="K1393" s="10">
        <v>1.0</v>
      </c>
    </row>
    <row r="1394">
      <c r="A1394" s="7" t="s">
        <v>4464</v>
      </c>
      <c r="B1394" s="12" t="s">
        <v>4465</v>
      </c>
      <c r="C1394" s="14" t="s">
        <v>84</v>
      </c>
      <c r="D1394" s="15" t="s">
        <v>222</v>
      </c>
      <c r="E1394" s="16" t="s">
        <v>44</v>
      </c>
      <c r="F1394" s="10" t="s">
        <v>223</v>
      </c>
      <c r="G1394" s="10" t="b">
        <v>0</v>
      </c>
      <c r="H1394" s="10" t="s">
        <v>1372</v>
      </c>
      <c r="I1394" s="10">
        <v>1.0</v>
      </c>
      <c r="J1394" s="10">
        <v>0.0</v>
      </c>
      <c r="K1394" s="10">
        <v>1.0</v>
      </c>
    </row>
    <row r="1395">
      <c r="A1395" s="7" t="s">
        <v>4466</v>
      </c>
      <c r="B1395" s="12" t="s">
        <v>4467</v>
      </c>
      <c r="C1395" s="14" t="s">
        <v>84</v>
      </c>
      <c r="D1395" s="15" t="s">
        <v>222</v>
      </c>
      <c r="E1395" s="16" t="s">
        <v>44</v>
      </c>
      <c r="F1395" s="10" t="s">
        <v>223</v>
      </c>
      <c r="G1395" s="10" t="b">
        <v>0</v>
      </c>
      <c r="H1395" s="10" t="s">
        <v>340</v>
      </c>
      <c r="I1395" s="10">
        <v>1.0</v>
      </c>
      <c r="J1395" s="10">
        <v>0.0</v>
      </c>
      <c r="K1395" s="10">
        <v>2.0</v>
      </c>
    </row>
    <row r="1396">
      <c r="A1396" s="7" t="s">
        <v>4468</v>
      </c>
      <c r="B1396" s="12" t="s">
        <v>4469</v>
      </c>
      <c r="C1396" s="14" t="s">
        <v>84</v>
      </c>
      <c r="D1396" s="15" t="s">
        <v>222</v>
      </c>
      <c r="E1396" s="16" t="s">
        <v>44</v>
      </c>
      <c r="F1396" s="10" t="s">
        <v>223</v>
      </c>
      <c r="G1396" s="10" t="b">
        <v>0</v>
      </c>
      <c r="H1396" s="10" t="s">
        <v>4470</v>
      </c>
      <c r="I1396" s="10">
        <v>1.0</v>
      </c>
      <c r="J1396" s="10">
        <v>0.0</v>
      </c>
      <c r="K1396" s="10">
        <v>1.0</v>
      </c>
    </row>
    <row r="1397">
      <c r="A1397" s="7" t="s">
        <v>4471</v>
      </c>
      <c r="B1397" s="12" t="s">
        <v>4472</v>
      </c>
      <c r="C1397" s="14" t="s">
        <v>84</v>
      </c>
      <c r="D1397" s="15" t="s">
        <v>222</v>
      </c>
      <c r="E1397" s="16" t="s">
        <v>44</v>
      </c>
      <c r="F1397" s="10" t="s">
        <v>223</v>
      </c>
      <c r="G1397" s="10" t="b">
        <v>0</v>
      </c>
      <c r="H1397" s="10" t="s">
        <v>4473</v>
      </c>
      <c r="I1397" s="10">
        <v>1.0</v>
      </c>
      <c r="J1397" s="10">
        <v>0.0</v>
      </c>
      <c r="K1397" s="10">
        <v>0.0</v>
      </c>
    </row>
    <row r="1398">
      <c r="A1398" s="7" t="s">
        <v>4474</v>
      </c>
      <c r="B1398" s="12" t="s">
        <v>4475</v>
      </c>
      <c r="C1398" s="14" t="s">
        <v>84</v>
      </c>
      <c r="D1398" s="15" t="s">
        <v>222</v>
      </c>
      <c r="E1398" s="16" t="s">
        <v>44</v>
      </c>
      <c r="F1398" s="10" t="s">
        <v>223</v>
      </c>
      <c r="G1398" s="10" t="b">
        <v>0</v>
      </c>
      <c r="H1398" s="10" t="s">
        <v>4476</v>
      </c>
      <c r="I1398" s="10">
        <v>1.0</v>
      </c>
      <c r="J1398" s="10">
        <v>0.0</v>
      </c>
      <c r="K1398" s="10">
        <v>1.0</v>
      </c>
    </row>
    <row r="1399">
      <c r="A1399" s="7" t="s">
        <v>4477</v>
      </c>
      <c r="B1399" s="12" t="s">
        <v>4478</v>
      </c>
      <c r="C1399" s="14" t="s">
        <v>2217</v>
      </c>
      <c r="D1399" s="15" t="s">
        <v>196</v>
      </c>
      <c r="E1399" s="16" t="s">
        <v>24</v>
      </c>
      <c r="F1399" s="10" t="s">
        <v>198</v>
      </c>
      <c r="G1399" s="10" t="b">
        <v>0</v>
      </c>
      <c r="I1399" s="10">
        <v>1.0</v>
      </c>
      <c r="J1399" s="10">
        <v>0.0</v>
      </c>
      <c r="K1399" s="10">
        <v>1.0</v>
      </c>
    </row>
    <row r="1400">
      <c r="A1400" s="7" t="s">
        <v>4479</v>
      </c>
      <c r="B1400" s="12" t="s">
        <v>4480</v>
      </c>
      <c r="C1400" s="14" t="s">
        <v>2219</v>
      </c>
      <c r="D1400" s="15" t="s">
        <v>749</v>
      </c>
      <c r="E1400" s="16" t="s">
        <v>24</v>
      </c>
      <c r="F1400" s="10" t="s">
        <v>750</v>
      </c>
      <c r="G1400" s="10" t="b">
        <v>0</v>
      </c>
      <c r="I1400" s="10">
        <v>1.0</v>
      </c>
      <c r="J1400" s="10">
        <v>0.0</v>
      </c>
      <c r="K1400" s="10">
        <v>0.0</v>
      </c>
    </row>
    <row r="1401">
      <c r="A1401" s="7" t="s">
        <v>4481</v>
      </c>
      <c r="B1401" s="12" t="s">
        <v>4482</v>
      </c>
      <c r="C1401" s="14" t="s">
        <v>2221</v>
      </c>
      <c r="D1401" s="15" t="s">
        <v>196</v>
      </c>
      <c r="E1401" s="16" t="s">
        <v>176</v>
      </c>
      <c r="F1401" s="10" t="s">
        <v>198</v>
      </c>
      <c r="G1401" s="10" t="b">
        <v>0</v>
      </c>
      <c r="I1401" s="10">
        <v>1.0</v>
      </c>
      <c r="J1401" s="10">
        <v>0.0</v>
      </c>
      <c r="K1401" s="10">
        <v>1.0</v>
      </c>
    </row>
    <row r="1402">
      <c r="A1402" s="7" t="s">
        <v>4483</v>
      </c>
      <c r="B1402" s="12" t="s">
        <v>4484</v>
      </c>
      <c r="C1402" s="14" t="s">
        <v>680</v>
      </c>
      <c r="D1402" s="15" t="s">
        <v>749</v>
      </c>
      <c r="E1402" s="16" t="s">
        <v>99</v>
      </c>
      <c r="F1402" s="10" t="s">
        <v>750</v>
      </c>
      <c r="G1402" s="10" t="b">
        <v>0</v>
      </c>
      <c r="H1402" s="10" t="s">
        <v>4485</v>
      </c>
      <c r="I1402" s="10">
        <v>1.0</v>
      </c>
      <c r="J1402" s="10">
        <v>0.0</v>
      </c>
      <c r="K1402" s="10">
        <v>2.0</v>
      </c>
    </row>
    <row r="1403">
      <c r="A1403" s="7" t="s">
        <v>4486</v>
      </c>
      <c r="B1403" s="12" t="s">
        <v>4487</v>
      </c>
      <c r="C1403" s="14" t="s">
        <v>680</v>
      </c>
      <c r="D1403" s="15" t="s">
        <v>749</v>
      </c>
      <c r="E1403" s="16" t="s">
        <v>99</v>
      </c>
      <c r="F1403" s="10" t="s">
        <v>750</v>
      </c>
      <c r="G1403" s="10" t="b">
        <v>0</v>
      </c>
      <c r="H1403" s="10" t="s">
        <v>4488</v>
      </c>
      <c r="I1403" s="10">
        <v>1.0</v>
      </c>
      <c r="J1403" s="10">
        <v>0.0</v>
      </c>
      <c r="K1403" s="10">
        <v>2.0</v>
      </c>
    </row>
    <row r="1404">
      <c r="A1404" s="7" t="s">
        <v>4489</v>
      </c>
      <c r="B1404" s="12" t="s">
        <v>4490</v>
      </c>
      <c r="C1404" s="14" t="s">
        <v>2222</v>
      </c>
      <c r="D1404" s="15" t="s">
        <v>34</v>
      </c>
      <c r="E1404" s="16" t="s">
        <v>24</v>
      </c>
      <c r="F1404" s="10" t="s">
        <v>35</v>
      </c>
      <c r="G1404" s="10" t="b">
        <v>0</v>
      </c>
      <c r="H1404" s="10" t="s">
        <v>4491</v>
      </c>
      <c r="I1404" s="10">
        <v>1.0</v>
      </c>
      <c r="J1404" s="10">
        <v>0.0</v>
      </c>
      <c r="K1404" s="10">
        <v>0.0</v>
      </c>
    </row>
    <row r="1405">
      <c r="A1405" s="7" t="s">
        <v>4492</v>
      </c>
      <c r="B1405" s="12" t="s">
        <v>4493</v>
      </c>
      <c r="C1405" s="14" t="s">
        <v>2225</v>
      </c>
      <c r="D1405" s="15" t="s">
        <v>240</v>
      </c>
      <c r="E1405" s="16" t="s">
        <v>24</v>
      </c>
      <c r="F1405" s="10" t="s">
        <v>241</v>
      </c>
      <c r="G1405" s="10" t="b">
        <v>0</v>
      </c>
      <c r="H1405" s="10" t="s">
        <v>2227</v>
      </c>
      <c r="I1405" s="10">
        <v>1.0</v>
      </c>
      <c r="J1405" s="10">
        <v>0.0</v>
      </c>
      <c r="K1405" s="10">
        <v>1.0</v>
      </c>
    </row>
    <row r="1406">
      <c r="A1406" s="7" t="s">
        <v>4494</v>
      </c>
      <c r="B1406" s="12" t="s">
        <v>4495</v>
      </c>
      <c r="C1406" s="12" t="s">
        <v>2229</v>
      </c>
      <c r="D1406" s="15" t="s">
        <v>196</v>
      </c>
      <c r="E1406" s="16" t="s">
        <v>24</v>
      </c>
      <c r="F1406" s="10" t="s">
        <v>198</v>
      </c>
      <c r="G1406" s="10" t="b">
        <v>0</v>
      </c>
      <c r="I1406" s="10">
        <v>1.0</v>
      </c>
      <c r="J1406" s="10">
        <v>0.0</v>
      </c>
      <c r="K1406" s="10">
        <v>0.0</v>
      </c>
    </row>
    <row r="1407">
      <c r="A1407" s="7" t="s">
        <v>4496</v>
      </c>
      <c r="B1407" s="12" t="s">
        <v>4497</v>
      </c>
      <c r="C1407" s="14" t="s">
        <v>2231</v>
      </c>
      <c r="D1407" s="15" t="s">
        <v>51</v>
      </c>
      <c r="E1407" s="16" t="s">
        <v>24</v>
      </c>
      <c r="F1407" s="10" t="s">
        <v>52</v>
      </c>
      <c r="G1407" s="10" t="b">
        <v>0</v>
      </c>
      <c r="I1407" s="10">
        <v>1.0</v>
      </c>
      <c r="J1407" s="10">
        <v>0.0</v>
      </c>
      <c r="K1407" s="10">
        <v>0.0</v>
      </c>
    </row>
    <row r="1408">
      <c r="A1408" s="7" t="s">
        <v>4498</v>
      </c>
      <c r="B1408" s="12" t="s">
        <v>4499</v>
      </c>
      <c r="C1408" s="14" t="s">
        <v>2233</v>
      </c>
      <c r="D1408" s="15" t="s">
        <v>34</v>
      </c>
      <c r="E1408" s="16" t="s">
        <v>24</v>
      </c>
      <c r="F1408" s="10" t="s">
        <v>35</v>
      </c>
      <c r="G1408" s="10" t="b">
        <v>0</v>
      </c>
      <c r="I1408" s="10">
        <v>1.0</v>
      </c>
      <c r="J1408" s="10">
        <v>0.0</v>
      </c>
      <c r="K1408" s="10">
        <v>0.0</v>
      </c>
    </row>
    <row r="1409">
      <c r="A1409" s="7" t="s">
        <v>4500</v>
      </c>
      <c r="B1409" s="12" t="s">
        <v>4501</v>
      </c>
      <c r="C1409" s="12" t="s">
        <v>502</v>
      </c>
      <c r="D1409" s="15" t="s">
        <v>51</v>
      </c>
      <c r="E1409" s="16" t="s">
        <v>107</v>
      </c>
      <c r="F1409" s="10" t="s">
        <v>52</v>
      </c>
      <c r="G1409" s="10" t="b">
        <v>0</v>
      </c>
      <c r="H1409" s="10" t="s">
        <v>2561</v>
      </c>
      <c r="I1409" s="10">
        <v>1.0</v>
      </c>
      <c r="J1409" s="10">
        <v>0.0</v>
      </c>
      <c r="K1409" s="10">
        <v>1.0</v>
      </c>
    </row>
    <row r="1410">
      <c r="A1410" s="7" t="s">
        <v>4502</v>
      </c>
      <c r="B1410" s="12" t="s">
        <v>4503</v>
      </c>
      <c r="C1410" s="14" t="s">
        <v>2237</v>
      </c>
      <c r="D1410" s="15" t="s">
        <v>34</v>
      </c>
      <c r="E1410" s="16" t="s">
        <v>24</v>
      </c>
      <c r="F1410" s="10" t="s">
        <v>35</v>
      </c>
      <c r="G1410" s="10" t="b">
        <v>0</v>
      </c>
      <c r="H1410" s="10" t="s">
        <v>4504</v>
      </c>
      <c r="I1410" s="10">
        <v>1.0</v>
      </c>
      <c r="J1410" s="10">
        <v>0.0</v>
      </c>
      <c r="K1410" s="10">
        <v>1.0</v>
      </c>
    </row>
    <row r="1411">
      <c r="A1411" s="7" t="s">
        <v>4505</v>
      </c>
      <c r="B1411" s="12" t="s">
        <v>4506</v>
      </c>
      <c r="C1411" s="14" t="s">
        <v>373</v>
      </c>
      <c r="D1411" s="15" t="s">
        <v>176</v>
      </c>
      <c r="E1411" s="16" t="s">
        <v>107</v>
      </c>
      <c r="F1411" s="10" t="s">
        <v>91</v>
      </c>
      <c r="G1411" s="10" t="b">
        <v>0</v>
      </c>
      <c r="H1411" s="10" t="s">
        <v>376</v>
      </c>
      <c r="I1411" s="10">
        <v>1.0</v>
      </c>
      <c r="J1411" s="10">
        <v>0.0</v>
      </c>
      <c r="K1411" s="10">
        <v>1.0</v>
      </c>
    </row>
    <row r="1412">
      <c r="A1412" s="7" t="s">
        <v>4507</v>
      </c>
      <c r="B1412" s="12" t="s">
        <v>4508</v>
      </c>
      <c r="C1412" s="14" t="s">
        <v>373</v>
      </c>
      <c r="D1412" s="15" t="s">
        <v>749</v>
      </c>
      <c r="E1412" s="16" t="s">
        <v>107</v>
      </c>
      <c r="F1412" s="10" t="s">
        <v>750</v>
      </c>
      <c r="G1412" s="10" t="b">
        <v>0</v>
      </c>
      <c r="H1412" s="10" t="s">
        <v>2601</v>
      </c>
      <c r="I1412" s="10">
        <v>1.0</v>
      </c>
      <c r="J1412" s="10">
        <v>0.0</v>
      </c>
      <c r="K1412" s="10">
        <v>1.0</v>
      </c>
    </row>
    <row r="1413">
      <c r="A1413" s="7" t="s">
        <v>4509</v>
      </c>
      <c r="B1413" s="12" t="s">
        <v>4510</v>
      </c>
      <c r="C1413" s="14" t="s">
        <v>2241</v>
      </c>
      <c r="D1413" s="15" t="s">
        <v>34</v>
      </c>
      <c r="E1413" s="16" t="s">
        <v>24</v>
      </c>
      <c r="F1413" s="10" t="s">
        <v>35</v>
      </c>
      <c r="G1413" s="10" t="b">
        <v>0</v>
      </c>
      <c r="H1413" s="10" t="s">
        <v>384</v>
      </c>
      <c r="I1413" s="10">
        <v>1.0</v>
      </c>
      <c r="J1413" s="10">
        <v>0.0</v>
      </c>
      <c r="K1413" s="10">
        <v>0.0</v>
      </c>
    </row>
    <row r="1414">
      <c r="A1414" s="7" t="s">
        <v>4511</v>
      </c>
      <c r="B1414" s="12" t="s">
        <v>4512</v>
      </c>
      <c r="C1414" s="14" t="s">
        <v>2245</v>
      </c>
      <c r="D1414" s="15" t="s">
        <v>51</v>
      </c>
      <c r="E1414" s="16" t="s">
        <v>24</v>
      </c>
      <c r="F1414" s="10" t="s">
        <v>52</v>
      </c>
      <c r="G1414" s="10" t="b">
        <v>0</v>
      </c>
      <c r="H1414" s="10" t="s">
        <v>4513</v>
      </c>
      <c r="I1414" s="10">
        <v>1.0</v>
      </c>
      <c r="J1414" s="10">
        <v>0.0</v>
      </c>
      <c r="K1414" s="10">
        <v>2.0</v>
      </c>
    </row>
    <row r="1415">
      <c r="A1415" s="7" t="s">
        <v>4514</v>
      </c>
      <c r="B1415" s="12" t="s">
        <v>4515</v>
      </c>
      <c r="C1415" s="12" t="s">
        <v>2252</v>
      </c>
      <c r="D1415" s="15" t="s">
        <v>196</v>
      </c>
      <c r="E1415" s="16" t="s">
        <v>24</v>
      </c>
      <c r="F1415" s="10" t="s">
        <v>198</v>
      </c>
      <c r="G1415" s="10" t="b">
        <v>0</v>
      </c>
      <c r="H1415" s="10" t="s">
        <v>1714</v>
      </c>
      <c r="I1415" s="10">
        <v>1.0</v>
      </c>
      <c r="J1415" s="10">
        <v>0.0</v>
      </c>
      <c r="K1415" s="10">
        <v>0.0</v>
      </c>
    </row>
    <row r="1416">
      <c r="A1416" s="7" t="s">
        <v>4516</v>
      </c>
      <c r="B1416" s="12" t="s">
        <v>4517</v>
      </c>
      <c r="C1416" s="14" t="s">
        <v>2255</v>
      </c>
      <c r="D1416" s="15" t="s">
        <v>34</v>
      </c>
      <c r="E1416" s="16" t="s">
        <v>24</v>
      </c>
      <c r="F1416" s="10" t="s">
        <v>35</v>
      </c>
      <c r="G1416" s="10" t="b">
        <v>0</v>
      </c>
      <c r="H1416" s="10" t="s">
        <v>4518</v>
      </c>
      <c r="I1416" s="10">
        <v>1.0</v>
      </c>
      <c r="J1416" s="10">
        <v>0.0</v>
      </c>
      <c r="K1416" s="10">
        <v>1.0</v>
      </c>
    </row>
    <row r="1417">
      <c r="A1417" s="7" t="s">
        <v>4519</v>
      </c>
      <c r="B1417" s="12" t="s">
        <v>4520</v>
      </c>
      <c r="C1417" s="14" t="s">
        <v>2261</v>
      </c>
      <c r="D1417" s="15" t="s">
        <v>240</v>
      </c>
      <c r="E1417" s="16" t="s">
        <v>24</v>
      </c>
      <c r="F1417" s="10" t="s">
        <v>241</v>
      </c>
      <c r="G1417" s="10" t="b">
        <v>0</v>
      </c>
      <c r="I1417" s="10">
        <v>1.0</v>
      </c>
      <c r="J1417" s="10">
        <v>0.0</v>
      </c>
      <c r="K1417" s="10">
        <v>1.0</v>
      </c>
    </row>
    <row r="1418">
      <c r="A1418" s="7" t="s">
        <v>4521</v>
      </c>
      <c r="B1418" s="12" t="s">
        <v>4522</v>
      </c>
      <c r="C1418" s="14" t="s">
        <v>2267</v>
      </c>
      <c r="D1418" s="15" t="s">
        <v>240</v>
      </c>
      <c r="E1418" s="16" t="s">
        <v>24</v>
      </c>
      <c r="F1418" s="10" t="s">
        <v>241</v>
      </c>
      <c r="G1418" s="10" t="b">
        <v>0</v>
      </c>
      <c r="I1418" s="10">
        <v>1.0</v>
      </c>
      <c r="J1418" s="10">
        <v>0.0</v>
      </c>
      <c r="K1418" s="10">
        <v>0.0</v>
      </c>
    </row>
    <row r="1419">
      <c r="A1419" s="7" t="s">
        <v>4523</v>
      </c>
      <c r="B1419" s="12" t="s">
        <v>4524</v>
      </c>
      <c r="C1419" s="14" t="s">
        <v>2268</v>
      </c>
      <c r="D1419" s="15" t="s">
        <v>240</v>
      </c>
      <c r="E1419" s="16" t="s">
        <v>24</v>
      </c>
      <c r="F1419" s="10" t="s">
        <v>241</v>
      </c>
      <c r="G1419" s="10" t="b">
        <v>0</v>
      </c>
      <c r="I1419" s="10">
        <v>1.0</v>
      </c>
      <c r="J1419" s="10">
        <v>0.0</v>
      </c>
      <c r="K1419" s="10">
        <v>0.0</v>
      </c>
    </row>
    <row r="1420">
      <c r="A1420" s="7" t="s">
        <v>4525</v>
      </c>
      <c r="B1420" s="12" t="s">
        <v>4526</v>
      </c>
      <c r="C1420" s="14" t="s">
        <v>363</v>
      </c>
      <c r="D1420" s="15" t="s">
        <v>196</v>
      </c>
      <c r="E1420" s="16" t="s">
        <v>24</v>
      </c>
      <c r="F1420" s="10" t="s">
        <v>198</v>
      </c>
      <c r="G1420" s="10" t="b">
        <v>0</v>
      </c>
      <c r="I1420" s="10">
        <v>1.0</v>
      </c>
      <c r="J1420" s="10">
        <v>0.0</v>
      </c>
      <c r="K1420" s="10">
        <v>0.0</v>
      </c>
    </row>
    <row r="1421">
      <c r="A1421" s="7" t="s">
        <v>4527</v>
      </c>
      <c r="B1421" s="12" t="s">
        <v>4528</v>
      </c>
      <c r="C1421" s="14" t="s">
        <v>2271</v>
      </c>
      <c r="D1421" s="15" t="s">
        <v>240</v>
      </c>
      <c r="E1421" s="16" t="s">
        <v>24</v>
      </c>
      <c r="F1421" s="10" t="s">
        <v>241</v>
      </c>
      <c r="G1421" s="10" t="b">
        <v>0</v>
      </c>
      <c r="I1421" s="10">
        <v>1.0</v>
      </c>
      <c r="J1421" s="10">
        <v>0.0</v>
      </c>
      <c r="K1421" s="10">
        <v>0.0</v>
      </c>
    </row>
    <row r="1422">
      <c r="A1422" s="7" t="s">
        <v>4529</v>
      </c>
      <c r="B1422" s="12" t="s">
        <v>4530</v>
      </c>
      <c r="C1422" s="14" t="s">
        <v>2275</v>
      </c>
      <c r="D1422" s="15" t="s">
        <v>34</v>
      </c>
      <c r="E1422" s="16" t="s">
        <v>24</v>
      </c>
      <c r="F1422" s="10" t="s">
        <v>35</v>
      </c>
      <c r="G1422" s="10" t="b">
        <v>0</v>
      </c>
      <c r="H1422" s="10" t="s">
        <v>1442</v>
      </c>
      <c r="I1422" s="10">
        <v>1.0</v>
      </c>
      <c r="J1422" s="10">
        <v>0.0</v>
      </c>
      <c r="K1422" s="10">
        <v>1.0</v>
      </c>
    </row>
    <row r="1423">
      <c r="A1423" s="7" t="s">
        <v>4531</v>
      </c>
      <c r="B1423" s="12" t="s">
        <v>4532</v>
      </c>
      <c r="C1423" s="14" t="s">
        <v>1272</v>
      </c>
      <c r="D1423" s="15" t="s">
        <v>749</v>
      </c>
      <c r="E1423" s="16" t="s">
        <v>24</v>
      </c>
      <c r="F1423" s="10" t="s">
        <v>750</v>
      </c>
      <c r="G1423" s="10" t="b">
        <v>0</v>
      </c>
      <c r="I1423" s="10">
        <v>1.0</v>
      </c>
      <c r="J1423" s="10">
        <v>0.0</v>
      </c>
      <c r="K1423" s="10">
        <v>2.0</v>
      </c>
    </row>
    <row r="1424">
      <c r="A1424" s="7" t="s">
        <v>4533</v>
      </c>
      <c r="B1424" s="12" t="s">
        <v>4534</v>
      </c>
      <c r="C1424" s="14" t="s">
        <v>1272</v>
      </c>
      <c r="D1424" s="15" t="s">
        <v>176</v>
      </c>
      <c r="E1424" s="16" t="s">
        <v>24</v>
      </c>
      <c r="F1424" s="10" t="s">
        <v>91</v>
      </c>
      <c r="G1424" s="10" t="b">
        <v>0</v>
      </c>
      <c r="I1424" s="10">
        <v>1.0</v>
      </c>
      <c r="J1424" s="10">
        <v>0.0</v>
      </c>
      <c r="K1424" s="10">
        <v>1.0</v>
      </c>
    </row>
    <row r="1425">
      <c r="A1425" s="7" t="s">
        <v>4535</v>
      </c>
      <c r="B1425" s="12" t="s">
        <v>4536</v>
      </c>
      <c r="C1425" s="14" t="s">
        <v>879</v>
      </c>
      <c r="D1425" s="15" t="s">
        <v>176</v>
      </c>
      <c r="E1425" s="16" t="s">
        <v>24</v>
      </c>
      <c r="F1425" s="10" t="s">
        <v>91</v>
      </c>
      <c r="G1425" s="10" t="b">
        <v>0</v>
      </c>
      <c r="H1425" s="10" t="s">
        <v>4537</v>
      </c>
      <c r="I1425" s="10">
        <v>1.0</v>
      </c>
      <c r="J1425" s="10">
        <v>0.0</v>
      </c>
      <c r="K1425" s="10">
        <v>0.0</v>
      </c>
    </row>
    <row r="1426">
      <c r="A1426" s="7" t="s">
        <v>4538</v>
      </c>
      <c r="B1426" s="12" t="s">
        <v>4539</v>
      </c>
      <c r="C1426" s="14" t="s">
        <v>879</v>
      </c>
      <c r="D1426" s="15" t="s">
        <v>34</v>
      </c>
      <c r="E1426" s="16" t="s">
        <v>24</v>
      </c>
      <c r="F1426" s="10" t="s">
        <v>35</v>
      </c>
      <c r="G1426" s="10" t="b">
        <v>0</v>
      </c>
      <c r="H1426" s="10" t="s">
        <v>157</v>
      </c>
      <c r="I1426" s="10">
        <v>1.0</v>
      </c>
      <c r="J1426" s="10">
        <v>0.0</v>
      </c>
      <c r="K1426" s="10">
        <v>0.0</v>
      </c>
    </row>
    <row r="1427">
      <c r="A1427" s="7" t="s">
        <v>4540</v>
      </c>
      <c r="B1427" s="12" t="s">
        <v>4541</v>
      </c>
      <c r="C1427" s="14" t="s">
        <v>2280</v>
      </c>
      <c r="D1427" s="15" t="s">
        <v>176</v>
      </c>
      <c r="E1427" s="16" t="s">
        <v>99</v>
      </c>
      <c r="F1427" s="10" t="s">
        <v>91</v>
      </c>
      <c r="G1427" s="10" t="b">
        <v>0</v>
      </c>
      <c r="H1427" s="10" t="s">
        <v>842</v>
      </c>
      <c r="I1427" s="10">
        <v>1.0</v>
      </c>
      <c r="J1427" s="10">
        <v>0.0</v>
      </c>
      <c r="K1427" s="10">
        <v>0.0</v>
      </c>
    </row>
    <row r="1428">
      <c r="A1428" s="7" t="s">
        <v>4542</v>
      </c>
      <c r="B1428" s="12" t="s">
        <v>4543</v>
      </c>
      <c r="C1428" s="12" t="s">
        <v>2283</v>
      </c>
      <c r="D1428" s="15" t="s">
        <v>240</v>
      </c>
      <c r="E1428" s="16" t="s">
        <v>24</v>
      </c>
      <c r="F1428" s="10" t="s">
        <v>241</v>
      </c>
      <c r="G1428" s="10" t="b">
        <v>0</v>
      </c>
      <c r="I1428" s="10">
        <v>1.0</v>
      </c>
      <c r="J1428" s="10">
        <v>0.0</v>
      </c>
      <c r="K1428" s="10">
        <v>0.0</v>
      </c>
    </row>
    <row r="1429">
      <c r="A1429" s="7" t="s">
        <v>4544</v>
      </c>
      <c r="B1429" s="12" t="s">
        <v>4545</v>
      </c>
      <c r="C1429" s="14" t="s">
        <v>2285</v>
      </c>
      <c r="D1429" s="15" t="s">
        <v>34</v>
      </c>
      <c r="E1429" s="16" t="s">
        <v>24</v>
      </c>
      <c r="F1429" s="10" t="s">
        <v>35</v>
      </c>
      <c r="G1429" s="10" t="b">
        <v>0</v>
      </c>
      <c r="H1429" s="10" t="s">
        <v>4546</v>
      </c>
      <c r="I1429" s="10">
        <v>1.0</v>
      </c>
      <c r="J1429" s="10">
        <v>0.0</v>
      </c>
      <c r="K1429" s="10">
        <v>4.0</v>
      </c>
    </row>
    <row r="1430">
      <c r="A1430" s="7" t="s">
        <v>4547</v>
      </c>
      <c r="B1430" s="12" t="s">
        <v>4548</v>
      </c>
      <c r="C1430" s="14" t="s">
        <v>2288</v>
      </c>
      <c r="D1430" s="15" t="s">
        <v>196</v>
      </c>
      <c r="E1430" s="16" t="s">
        <v>24</v>
      </c>
      <c r="F1430" s="10" t="s">
        <v>198</v>
      </c>
      <c r="G1430" s="10" t="b">
        <v>0</v>
      </c>
      <c r="I1430" s="10">
        <v>1.0</v>
      </c>
      <c r="J1430" s="10">
        <v>0.0</v>
      </c>
      <c r="K1430" s="10">
        <v>1.0</v>
      </c>
    </row>
    <row r="1431">
      <c r="A1431" s="7" t="s">
        <v>4549</v>
      </c>
      <c r="B1431" s="12" t="s">
        <v>4550</v>
      </c>
      <c r="C1431" s="12" t="s">
        <v>2290</v>
      </c>
      <c r="D1431" s="15" t="s">
        <v>34</v>
      </c>
      <c r="E1431" s="16" t="s">
        <v>24</v>
      </c>
      <c r="F1431" s="10" t="s">
        <v>35</v>
      </c>
      <c r="G1431" s="10" t="b">
        <v>0</v>
      </c>
      <c r="I1431" s="10">
        <v>1.0</v>
      </c>
      <c r="J1431" s="10">
        <v>0.0</v>
      </c>
      <c r="K1431" s="10">
        <v>1.0</v>
      </c>
    </row>
    <row r="1432">
      <c r="A1432" s="7" t="s">
        <v>4551</v>
      </c>
      <c r="B1432" s="12" t="s">
        <v>4552</v>
      </c>
      <c r="C1432" s="14" t="s">
        <v>167</v>
      </c>
      <c r="D1432" s="15" t="s">
        <v>34</v>
      </c>
      <c r="E1432" s="16" t="s">
        <v>107</v>
      </c>
      <c r="F1432" s="10" t="s">
        <v>35</v>
      </c>
      <c r="G1432" s="10" t="b">
        <v>0</v>
      </c>
      <c r="H1432" s="10" t="s">
        <v>4553</v>
      </c>
      <c r="I1432" s="10">
        <v>1.0</v>
      </c>
      <c r="J1432" s="10">
        <v>0.0</v>
      </c>
      <c r="K1432" s="10">
        <v>1.0</v>
      </c>
    </row>
    <row r="1433">
      <c r="A1433" s="7" t="s">
        <v>4554</v>
      </c>
      <c r="B1433" s="12" t="s">
        <v>4555</v>
      </c>
      <c r="C1433" s="14" t="s">
        <v>213</v>
      </c>
      <c r="D1433" s="15" t="s">
        <v>2154</v>
      </c>
      <c r="E1433" s="16" t="s">
        <v>107</v>
      </c>
      <c r="F1433" s="10" t="s">
        <v>2155</v>
      </c>
      <c r="G1433" s="10" t="b">
        <v>0</v>
      </c>
      <c r="H1433" s="10" t="s">
        <v>4556</v>
      </c>
      <c r="I1433" s="10">
        <v>1.0</v>
      </c>
      <c r="J1433" s="10">
        <v>0.0</v>
      </c>
      <c r="K1433" s="10">
        <v>1.0</v>
      </c>
    </row>
    <row r="1434">
      <c r="A1434" s="7" t="s">
        <v>4557</v>
      </c>
      <c r="B1434" s="12" t="s">
        <v>4558</v>
      </c>
      <c r="C1434" s="14" t="s">
        <v>2292</v>
      </c>
      <c r="D1434" s="15" t="s">
        <v>196</v>
      </c>
      <c r="E1434" s="16" t="s">
        <v>24</v>
      </c>
      <c r="F1434" s="10" t="s">
        <v>198</v>
      </c>
      <c r="G1434" s="10" t="b">
        <v>0</v>
      </c>
      <c r="H1434" s="10" t="s">
        <v>384</v>
      </c>
      <c r="I1434" s="10">
        <v>1.0</v>
      </c>
      <c r="J1434" s="10">
        <v>0.0</v>
      </c>
      <c r="K1434" s="10">
        <v>0.0</v>
      </c>
    </row>
    <row r="1435">
      <c r="A1435" s="7" t="s">
        <v>4559</v>
      </c>
      <c r="B1435" s="12" t="s">
        <v>4560</v>
      </c>
      <c r="C1435" s="14" t="s">
        <v>2295</v>
      </c>
      <c r="D1435" s="15" t="s">
        <v>51</v>
      </c>
      <c r="E1435" s="16" t="s">
        <v>24</v>
      </c>
      <c r="F1435" s="10" t="s">
        <v>52</v>
      </c>
      <c r="G1435" s="10" t="b">
        <v>0</v>
      </c>
      <c r="H1435" s="10" t="s">
        <v>1859</v>
      </c>
      <c r="I1435" s="10">
        <v>1.0</v>
      </c>
      <c r="J1435" s="10">
        <v>0.0</v>
      </c>
      <c r="K1435" s="10">
        <v>1.0</v>
      </c>
    </row>
    <row r="1436">
      <c r="A1436" s="7" t="s">
        <v>4561</v>
      </c>
      <c r="B1436" s="12" t="s">
        <v>4562</v>
      </c>
      <c r="C1436" s="14" t="s">
        <v>151</v>
      </c>
      <c r="D1436" s="15" t="s">
        <v>34</v>
      </c>
      <c r="E1436" s="16" t="s">
        <v>107</v>
      </c>
      <c r="F1436" s="10" t="s">
        <v>35</v>
      </c>
      <c r="G1436" s="10" t="b">
        <v>0</v>
      </c>
      <c r="H1436" s="10" t="s">
        <v>4563</v>
      </c>
      <c r="I1436" s="10">
        <v>1.0</v>
      </c>
      <c r="J1436" s="10">
        <v>0.0</v>
      </c>
      <c r="K1436" s="10">
        <v>1.0</v>
      </c>
    </row>
    <row r="1437">
      <c r="A1437" s="7" t="s">
        <v>4564</v>
      </c>
      <c r="B1437" s="12" t="s">
        <v>4565</v>
      </c>
      <c r="C1437" s="14" t="s">
        <v>151</v>
      </c>
      <c r="D1437" s="15" t="s">
        <v>34</v>
      </c>
      <c r="E1437" s="16" t="s">
        <v>107</v>
      </c>
      <c r="F1437" s="10" t="s">
        <v>35</v>
      </c>
      <c r="G1437" s="10" t="b">
        <v>0</v>
      </c>
      <c r="H1437" s="10" t="s">
        <v>4566</v>
      </c>
      <c r="I1437" s="10">
        <v>1.0</v>
      </c>
      <c r="J1437" s="10">
        <v>0.0</v>
      </c>
      <c r="K1437" s="10">
        <v>2.0</v>
      </c>
    </row>
    <row r="1438">
      <c r="A1438" s="7" t="s">
        <v>4567</v>
      </c>
      <c r="B1438" s="12" t="s">
        <v>4568</v>
      </c>
      <c r="C1438" s="14" t="s">
        <v>151</v>
      </c>
      <c r="D1438" s="15" t="s">
        <v>749</v>
      </c>
      <c r="E1438" s="16" t="s">
        <v>107</v>
      </c>
      <c r="F1438" s="10" t="s">
        <v>750</v>
      </c>
      <c r="G1438" s="10" t="b">
        <v>0</v>
      </c>
      <c r="H1438" s="10" t="s">
        <v>2604</v>
      </c>
      <c r="I1438" s="10">
        <v>1.0</v>
      </c>
      <c r="J1438" s="10">
        <v>0.0</v>
      </c>
      <c r="K1438" s="10">
        <v>1.0</v>
      </c>
    </row>
    <row r="1439">
      <c r="A1439" s="7" t="s">
        <v>4569</v>
      </c>
      <c r="B1439" s="12" t="s">
        <v>4570</v>
      </c>
      <c r="C1439" s="14" t="s">
        <v>151</v>
      </c>
      <c r="D1439" s="15" t="s">
        <v>196</v>
      </c>
      <c r="E1439" s="16" t="s">
        <v>107</v>
      </c>
      <c r="F1439" s="10" t="s">
        <v>198</v>
      </c>
      <c r="G1439" s="10" t="b">
        <v>0</v>
      </c>
      <c r="H1439" s="10" t="s">
        <v>4571</v>
      </c>
      <c r="I1439" s="10">
        <v>1.0</v>
      </c>
      <c r="J1439" s="10">
        <v>0.0</v>
      </c>
      <c r="K1439" s="10">
        <v>1.0</v>
      </c>
    </row>
    <row r="1440">
      <c r="A1440" s="7" t="s">
        <v>4572</v>
      </c>
      <c r="B1440" s="12" t="s">
        <v>4573</v>
      </c>
      <c r="C1440" s="14" t="s">
        <v>2298</v>
      </c>
      <c r="D1440" s="15" t="s">
        <v>34</v>
      </c>
      <c r="E1440" s="16" t="s">
        <v>176</v>
      </c>
      <c r="F1440" s="10" t="s">
        <v>35</v>
      </c>
      <c r="G1440" s="10" t="b">
        <v>0</v>
      </c>
      <c r="H1440" s="10" t="s">
        <v>4574</v>
      </c>
      <c r="I1440" s="10">
        <v>1.0</v>
      </c>
      <c r="J1440" s="10">
        <v>0.0</v>
      </c>
      <c r="K1440" s="10">
        <v>0.0</v>
      </c>
    </row>
    <row r="1441">
      <c r="A1441" s="7" t="s">
        <v>4575</v>
      </c>
      <c r="B1441" s="12" t="s">
        <v>4576</v>
      </c>
      <c r="C1441" s="12" t="s">
        <v>2302</v>
      </c>
      <c r="D1441" s="15" t="s">
        <v>196</v>
      </c>
      <c r="E1441" s="16" t="s">
        <v>24</v>
      </c>
      <c r="F1441" s="10" t="s">
        <v>198</v>
      </c>
      <c r="G1441" s="10" t="b">
        <v>0</v>
      </c>
      <c r="I1441" s="10">
        <v>1.0</v>
      </c>
      <c r="J1441" s="10">
        <v>0.0</v>
      </c>
      <c r="K1441" s="10">
        <v>1.0</v>
      </c>
    </row>
    <row r="1442">
      <c r="A1442" s="7" t="s">
        <v>4577</v>
      </c>
      <c r="B1442" s="12" t="s">
        <v>4578</v>
      </c>
      <c r="C1442" s="14" t="s">
        <v>2304</v>
      </c>
      <c r="D1442" s="15" t="s">
        <v>196</v>
      </c>
      <c r="E1442" s="16" t="s">
        <v>24</v>
      </c>
      <c r="F1442" s="10" t="s">
        <v>198</v>
      </c>
      <c r="G1442" s="10" t="b">
        <v>0</v>
      </c>
      <c r="I1442" s="10">
        <v>1.0</v>
      </c>
      <c r="J1442" s="10">
        <v>0.0</v>
      </c>
      <c r="K1442" s="10">
        <v>2.0</v>
      </c>
    </row>
    <row r="1443">
      <c r="A1443" s="7" t="s">
        <v>4579</v>
      </c>
      <c r="B1443" s="12" t="s">
        <v>4580</v>
      </c>
      <c r="C1443" s="14" t="s">
        <v>2308</v>
      </c>
      <c r="D1443" s="15" t="s">
        <v>196</v>
      </c>
      <c r="E1443" s="16" t="s">
        <v>24</v>
      </c>
      <c r="F1443" s="10" t="s">
        <v>198</v>
      </c>
      <c r="G1443" s="10" t="b">
        <v>0</v>
      </c>
      <c r="I1443" s="10">
        <v>1.0</v>
      </c>
      <c r="J1443" s="10">
        <v>0.0</v>
      </c>
      <c r="K1443" s="10">
        <v>1.0</v>
      </c>
    </row>
    <row r="1444">
      <c r="A1444" s="7" t="s">
        <v>4581</v>
      </c>
      <c r="B1444" s="12" t="s">
        <v>4582</v>
      </c>
      <c r="C1444" s="14" t="s">
        <v>2312</v>
      </c>
      <c r="D1444" s="15" t="s">
        <v>749</v>
      </c>
      <c r="E1444" s="16" t="s">
        <v>24</v>
      </c>
      <c r="F1444" s="10" t="s">
        <v>750</v>
      </c>
      <c r="G1444" s="10" t="b">
        <v>0</v>
      </c>
      <c r="I1444" s="10">
        <v>1.0</v>
      </c>
      <c r="J1444" s="10">
        <v>0.0</v>
      </c>
      <c r="K1444" s="10">
        <v>1.0</v>
      </c>
    </row>
    <row r="1445">
      <c r="A1445" s="7" t="s">
        <v>4583</v>
      </c>
      <c r="B1445" s="12" t="s">
        <v>4584</v>
      </c>
      <c r="C1445" s="14" t="s">
        <v>704</v>
      </c>
      <c r="D1445" s="15" t="s">
        <v>34</v>
      </c>
      <c r="E1445" s="16" t="s">
        <v>24</v>
      </c>
      <c r="F1445" s="10" t="s">
        <v>35</v>
      </c>
      <c r="G1445" s="10" t="b">
        <v>0</v>
      </c>
      <c r="H1445" s="10" t="s">
        <v>4585</v>
      </c>
      <c r="I1445" s="10">
        <v>1.0</v>
      </c>
      <c r="J1445" s="10">
        <v>0.0</v>
      </c>
      <c r="K1445" s="10">
        <v>0.0</v>
      </c>
    </row>
    <row r="1446">
      <c r="A1446" s="7" t="s">
        <v>4586</v>
      </c>
      <c r="B1446" s="12" t="s">
        <v>4587</v>
      </c>
      <c r="C1446" s="14" t="s">
        <v>761</v>
      </c>
      <c r="D1446" s="15" t="s">
        <v>34</v>
      </c>
      <c r="E1446" s="16" t="s">
        <v>24</v>
      </c>
      <c r="F1446" s="10" t="s">
        <v>35</v>
      </c>
      <c r="G1446" s="10" t="b">
        <v>0</v>
      </c>
      <c r="I1446" s="10">
        <v>1.0</v>
      </c>
      <c r="J1446" s="10">
        <v>0.0</v>
      </c>
      <c r="K1446" s="10">
        <v>0.0</v>
      </c>
    </row>
    <row r="1447">
      <c r="A1447" s="7" t="s">
        <v>4588</v>
      </c>
      <c r="B1447" s="12" t="s">
        <v>4589</v>
      </c>
      <c r="C1447" s="14" t="s">
        <v>2316</v>
      </c>
      <c r="D1447" s="15" t="s">
        <v>240</v>
      </c>
      <c r="E1447" s="16" t="s">
        <v>24</v>
      </c>
      <c r="F1447" s="10" t="s">
        <v>241</v>
      </c>
      <c r="G1447" s="10" t="b">
        <v>0</v>
      </c>
      <c r="I1447" s="10">
        <v>1.0</v>
      </c>
      <c r="J1447" s="10">
        <v>0.0</v>
      </c>
      <c r="K1447" s="10">
        <v>0.0</v>
      </c>
    </row>
    <row r="1448">
      <c r="A1448" s="7" t="s">
        <v>4590</v>
      </c>
      <c r="B1448" s="12" t="s">
        <v>4591</v>
      </c>
      <c r="C1448" s="14" t="s">
        <v>2318</v>
      </c>
      <c r="D1448" s="15" t="s">
        <v>196</v>
      </c>
      <c r="E1448" s="16" t="s">
        <v>24</v>
      </c>
      <c r="F1448" s="10" t="s">
        <v>198</v>
      </c>
      <c r="G1448" s="10" t="b">
        <v>0</v>
      </c>
      <c r="H1448" s="10" t="s">
        <v>403</v>
      </c>
      <c r="I1448" s="10">
        <v>1.0</v>
      </c>
      <c r="J1448" s="10">
        <v>0.0</v>
      </c>
      <c r="K1448" s="10">
        <v>0.0</v>
      </c>
    </row>
    <row r="1449">
      <c r="A1449" s="7" t="s">
        <v>4592</v>
      </c>
      <c r="B1449" s="12" t="s">
        <v>4593</v>
      </c>
      <c r="C1449" s="14" t="s">
        <v>2321</v>
      </c>
      <c r="D1449" s="15" t="s">
        <v>34</v>
      </c>
      <c r="E1449" s="16" t="s">
        <v>107</v>
      </c>
      <c r="F1449" s="10" t="s">
        <v>35</v>
      </c>
      <c r="G1449" s="10" t="b">
        <v>0</v>
      </c>
      <c r="H1449" s="10" t="s">
        <v>4594</v>
      </c>
      <c r="I1449" s="10">
        <v>1.0</v>
      </c>
      <c r="J1449" s="10">
        <v>0.0</v>
      </c>
      <c r="K1449" s="10">
        <v>0.0</v>
      </c>
    </row>
    <row r="1450">
      <c r="A1450" s="7" t="s">
        <v>4595</v>
      </c>
      <c r="B1450" s="12" t="s">
        <v>4596</v>
      </c>
      <c r="C1450" s="14" t="s">
        <v>2324</v>
      </c>
      <c r="D1450" s="15" t="s">
        <v>240</v>
      </c>
      <c r="E1450" s="16" t="s">
        <v>176</v>
      </c>
      <c r="F1450" s="10" t="s">
        <v>241</v>
      </c>
      <c r="G1450" s="10" t="b">
        <v>0</v>
      </c>
      <c r="H1450" s="10" t="s">
        <v>2327</v>
      </c>
      <c r="I1450" s="10">
        <v>1.0</v>
      </c>
      <c r="J1450" s="10">
        <v>0.0</v>
      </c>
      <c r="K1450" s="10">
        <v>2.0</v>
      </c>
    </row>
    <row r="1451">
      <c r="A1451" s="7" t="s">
        <v>4597</v>
      </c>
      <c r="B1451" s="12" t="s">
        <v>4598</v>
      </c>
      <c r="C1451" s="14" t="s">
        <v>2328</v>
      </c>
      <c r="D1451" s="15" t="s">
        <v>404</v>
      </c>
      <c r="E1451" s="16" t="s">
        <v>24</v>
      </c>
      <c r="F1451" s="10" t="s">
        <v>405</v>
      </c>
      <c r="G1451" s="10" t="b">
        <v>0</v>
      </c>
      <c r="H1451" s="10" t="s">
        <v>798</v>
      </c>
      <c r="I1451" s="10">
        <v>1.0</v>
      </c>
      <c r="J1451" s="10">
        <v>0.0</v>
      </c>
      <c r="K1451" s="10">
        <v>2.0</v>
      </c>
    </row>
    <row r="1452">
      <c r="A1452" s="7" t="s">
        <v>4599</v>
      </c>
      <c r="B1452" s="12" t="s">
        <v>4600</v>
      </c>
      <c r="C1452" s="14" t="s">
        <v>2330</v>
      </c>
      <c r="D1452" s="15" t="s">
        <v>34</v>
      </c>
      <c r="E1452" s="16" t="s">
        <v>107</v>
      </c>
      <c r="F1452" s="10" t="s">
        <v>35</v>
      </c>
      <c r="G1452" s="10" t="b">
        <v>0</v>
      </c>
      <c r="H1452" s="10" t="s">
        <v>4601</v>
      </c>
      <c r="I1452" s="10">
        <v>1.0</v>
      </c>
      <c r="J1452" s="10">
        <v>0.0</v>
      </c>
      <c r="K1452" s="10">
        <v>0.0</v>
      </c>
    </row>
    <row r="1453">
      <c r="A1453" s="7" t="s">
        <v>4602</v>
      </c>
      <c r="B1453" s="12" t="s">
        <v>4603</v>
      </c>
      <c r="C1453" s="14" t="s">
        <v>2333</v>
      </c>
      <c r="D1453" s="15" t="s">
        <v>34</v>
      </c>
      <c r="E1453" s="16" t="s">
        <v>24</v>
      </c>
      <c r="F1453" s="10" t="s">
        <v>35</v>
      </c>
      <c r="G1453" s="10" t="b">
        <v>0</v>
      </c>
      <c r="H1453" s="10" t="s">
        <v>384</v>
      </c>
      <c r="I1453" s="10">
        <v>1.0</v>
      </c>
      <c r="J1453" s="10">
        <v>0.0</v>
      </c>
      <c r="K1453" s="10">
        <v>0.0</v>
      </c>
    </row>
    <row r="1454">
      <c r="A1454" s="7" t="s">
        <v>4604</v>
      </c>
      <c r="B1454" s="12" t="s">
        <v>4605</v>
      </c>
      <c r="C1454" s="14" t="s">
        <v>2335</v>
      </c>
      <c r="D1454" s="15" t="s">
        <v>749</v>
      </c>
      <c r="E1454" s="16" t="s">
        <v>24</v>
      </c>
      <c r="F1454" s="10" t="s">
        <v>750</v>
      </c>
      <c r="G1454" s="10" t="b">
        <v>0</v>
      </c>
      <c r="I1454" s="10">
        <v>1.0</v>
      </c>
      <c r="J1454" s="10">
        <v>0.0</v>
      </c>
      <c r="K1454" s="10">
        <v>1.0</v>
      </c>
    </row>
    <row r="1455">
      <c r="A1455" s="7" t="s">
        <v>4606</v>
      </c>
      <c r="B1455" s="12" t="s">
        <v>4607</v>
      </c>
      <c r="C1455" s="14" t="s">
        <v>2339</v>
      </c>
      <c r="D1455" s="15" t="s">
        <v>749</v>
      </c>
      <c r="E1455" s="16" t="s">
        <v>24</v>
      </c>
      <c r="F1455" s="10" t="s">
        <v>750</v>
      </c>
      <c r="G1455" s="10" t="b">
        <v>0</v>
      </c>
      <c r="H1455" s="10" t="s">
        <v>623</v>
      </c>
      <c r="I1455" s="10">
        <v>1.0</v>
      </c>
      <c r="J1455" s="10">
        <v>0.0</v>
      </c>
      <c r="K1455" s="10">
        <v>0.0</v>
      </c>
    </row>
    <row r="1456">
      <c r="A1456" s="7" t="s">
        <v>4608</v>
      </c>
      <c r="B1456" s="12" t="s">
        <v>4609</v>
      </c>
      <c r="C1456" s="14" t="s">
        <v>2341</v>
      </c>
      <c r="D1456" s="15" t="s">
        <v>196</v>
      </c>
      <c r="E1456" s="16" t="s">
        <v>24</v>
      </c>
      <c r="F1456" s="10" t="s">
        <v>198</v>
      </c>
      <c r="G1456" s="10" t="b">
        <v>0</v>
      </c>
      <c r="H1456" s="10" t="s">
        <v>1412</v>
      </c>
      <c r="I1456" s="10">
        <v>1.0</v>
      </c>
      <c r="J1456" s="10">
        <v>0.0</v>
      </c>
      <c r="K1456" s="10">
        <v>1.0</v>
      </c>
    </row>
    <row r="1457">
      <c r="A1457" s="7" t="s">
        <v>4610</v>
      </c>
      <c r="B1457" s="12" t="s">
        <v>4611</v>
      </c>
      <c r="C1457" s="14" t="s">
        <v>2343</v>
      </c>
      <c r="D1457" s="15" t="s">
        <v>196</v>
      </c>
      <c r="E1457" s="16" t="s">
        <v>24</v>
      </c>
      <c r="F1457" s="10" t="s">
        <v>198</v>
      </c>
      <c r="G1457" s="10" t="b">
        <v>0</v>
      </c>
      <c r="H1457" s="10" t="s">
        <v>340</v>
      </c>
      <c r="I1457" s="10">
        <v>1.0</v>
      </c>
      <c r="J1457" s="10">
        <v>0.0</v>
      </c>
      <c r="K1457" s="10">
        <v>1.0</v>
      </c>
    </row>
    <row r="1458">
      <c r="A1458" s="7" t="s">
        <v>4612</v>
      </c>
      <c r="B1458" s="12" t="s">
        <v>4613</v>
      </c>
      <c r="C1458" s="14" t="s">
        <v>2345</v>
      </c>
      <c r="D1458" s="15" t="s">
        <v>196</v>
      </c>
      <c r="E1458" s="16" t="s">
        <v>24</v>
      </c>
      <c r="F1458" s="10" t="s">
        <v>198</v>
      </c>
      <c r="G1458" s="10" t="b">
        <v>0</v>
      </c>
      <c r="H1458" s="10" t="s">
        <v>119</v>
      </c>
      <c r="I1458" s="10">
        <v>1.0</v>
      </c>
      <c r="J1458" s="10">
        <v>0.0</v>
      </c>
      <c r="K1458" s="10">
        <v>1.0</v>
      </c>
    </row>
    <row r="1459">
      <c r="A1459" s="7" t="s">
        <v>4614</v>
      </c>
      <c r="B1459" s="12" t="s">
        <v>4615</v>
      </c>
      <c r="C1459" s="14" t="s">
        <v>2347</v>
      </c>
      <c r="D1459" s="15" t="s">
        <v>34</v>
      </c>
      <c r="E1459" s="16" t="s">
        <v>24</v>
      </c>
      <c r="F1459" s="10" t="s">
        <v>35</v>
      </c>
      <c r="G1459" s="10" t="b">
        <v>0</v>
      </c>
      <c r="H1459" s="10" t="s">
        <v>4616</v>
      </c>
      <c r="I1459" s="10">
        <v>1.0</v>
      </c>
      <c r="J1459" s="10">
        <v>0.0</v>
      </c>
      <c r="K1459" s="10">
        <v>0.0</v>
      </c>
    </row>
    <row r="1460">
      <c r="A1460" s="7" t="s">
        <v>4617</v>
      </c>
      <c r="B1460" s="12" t="s">
        <v>4618</v>
      </c>
      <c r="C1460" s="14" t="s">
        <v>2351</v>
      </c>
      <c r="D1460" s="15" t="s">
        <v>34</v>
      </c>
      <c r="E1460" s="16" t="s">
        <v>24</v>
      </c>
      <c r="F1460" s="10" t="s">
        <v>35</v>
      </c>
      <c r="G1460" s="10" t="b">
        <v>0</v>
      </c>
      <c r="H1460" s="10" t="s">
        <v>806</v>
      </c>
      <c r="I1460" s="10">
        <v>1.0</v>
      </c>
      <c r="J1460" s="10">
        <v>0.0</v>
      </c>
      <c r="K1460" s="10">
        <v>0.0</v>
      </c>
    </row>
    <row r="1461">
      <c r="A1461" s="7" t="s">
        <v>4619</v>
      </c>
      <c r="B1461" s="12" t="s">
        <v>4620</v>
      </c>
      <c r="C1461" s="14" t="s">
        <v>2354</v>
      </c>
      <c r="D1461" s="15" t="s">
        <v>176</v>
      </c>
      <c r="E1461" s="16" t="s">
        <v>43</v>
      </c>
      <c r="F1461" s="10" t="s">
        <v>91</v>
      </c>
      <c r="G1461" s="10" t="b">
        <v>0</v>
      </c>
      <c r="H1461" s="10" t="s">
        <v>4621</v>
      </c>
      <c r="I1461" s="10">
        <v>1.0</v>
      </c>
      <c r="J1461" s="10">
        <v>0.0</v>
      </c>
      <c r="K1461" s="10">
        <v>0.0</v>
      </c>
    </row>
    <row r="1462">
      <c r="A1462" s="7" t="s">
        <v>4622</v>
      </c>
      <c r="B1462" s="12" t="s">
        <v>4623</v>
      </c>
      <c r="C1462" s="14" t="s">
        <v>16</v>
      </c>
      <c r="D1462" s="15" t="s">
        <v>22</v>
      </c>
      <c r="E1462" s="16" t="s">
        <v>24</v>
      </c>
      <c r="F1462" s="10" t="s">
        <v>25</v>
      </c>
      <c r="G1462" s="10" t="b">
        <v>0</v>
      </c>
      <c r="H1462" s="10" t="s">
        <v>384</v>
      </c>
      <c r="I1462" s="10">
        <v>1.0</v>
      </c>
      <c r="J1462" s="10">
        <v>0.0</v>
      </c>
      <c r="K1462" s="10">
        <v>0.0</v>
      </c>
    </row>
    <row r="1463">
      <c r="A1463" s="7" t="s">
        <v>4624</v>
      </c>
      <c r="B1463" s="12" t="s">
        <v>4625</v>
      </c>
      <c r="C1463" s="14" t="s">
        <v>16</v>
      </c>
      <c r="D1463" s="15" t="s">
        <v>22</v>
      </c>
      <c r="E1463" s="16" t="s">
        <v>24</v>
      </c>
      <c r="F1463" s="10" t="s">
        <v>25</v>
      </c>
      <c r="G1463" s="10" t="b">
        <v>0</v>
      </c>
      <c r="H1463" s="10" t="s">
        <v>4626</v>
      </c>
      <c r="I1463" s="10">
        <v>1.0</v>
      </c>
      <c r="J1463" s="10">
        <v>0.0</v>
      </c>
      <c r="K1463" s="10">
        <v>0.0</v>
      </c>
    </row>
    <row r="1464">
      <c r="A1464" s="7" t="s">
        <v>4627</v>
      </c>
      <c r="B1464" s="12" t="s">
        <v>4628</v>
      </c>
      <c r="C1464" s="14" t="s">
        <v>16</v>
      </c>
      <c r="D1464" s="15" t="s">
        <v>22</v>
      </c>
      <c r="E1464" s="16" t="s">
        <v>24</v>
      </c>
      <c r="F1464" s="10" t="s">
        <v>25</v>
      </c>
      <c r="G1464" s="10" t="b">
        <v>0</v>
      </c>
      <c r="I1464" s="10">
        <v>1.0</v>
      </c>
      <c r="J1464" s="10">
        <v>0.0</v>
      </c>
      <c r="K1464" s="10">
        <v>1.0</v>
      </c>
    </row>
    <row r="1465">
      <c r="A1465" s="7" t="s">
        <v>4629</v>
      </c>
      <c r="B1465" s="12" t="s">
        <v>4630</v>
      </c>
      <c r="C1465" s="14" t="s">
        <v>16</v>
      </c>
      <c r="D1465" s="15" t="s">
        <v>22</v>
      </c>
      <c r="E1465" s="16" t="s">
        <v>24</v>
      </c>
      <c r="F1465" s="10" t="s">
        <v>25</v>
      </c>
      <c r="G1465" s="10" t="b">
        <v>0</v>
      </c>
      <c r="H1465" s="10" t="s">
        <v>4631</v>
      </c>
      <c r="I1465" s="10">
        <v>1.0</v>
      </c>
      <c r="J1465" s="10">
        <v>0.0</v>
      </c>
      <c r="K1465" s="10">
        <v>0.0</v>
      </c>
    </row>
    <row r="1466">
      <c r="A1466" s="7" t="s">
        <v>4632</v>
      </c>
      <c r="B1466" s="12" t="s">
        <v>4633</v>
      </c>
      <c r="C1466" s="14" t="s">
        <v>16</v>
      </c>
      <c r="D1466" s="15" t="s">
        <v>22</v>
      </c>
      <c r="E1466" s="16" t="s">
        <v>24</v>
      </c>
      <c r="F1466" s="10" t="s">
        <v>25</v>
      </c>
      <c r="G1466" s="10" t="b">
        <v>0</v>
      </c>
      <c r="H1466" s="10" t="s">
        <v>4634</v>
      </c>
      <c r="I1466" s="10">
        <v>1.0</v>
      </c>
      <c r="J1466" s="10">
        <v>0.0</v>
      </c>
      <c r="K1466" s="10">
        <v>1.0</v>
      </c>
    </row>
    <row r="1467">
      <c r="A1467" s="7" t="s">
        <v>4635</v>
      </c>
      <c r="B1467" s="12" t="s">
        <v>4636</v>
      </c>
      <c r="C1467" s="14" t="s">
        <v>16</v>
      </c>
      <c r="D1467" s="15" t="s">
        <v>22</v>
      </c>
      <c r="E1467" s="16" t="s">
        <v>24</v>
      </c>
      <c r="F1467" s="10" t="s">
        <v>25</v>
      </c>
      <c r="G1467" s="10" t="b">
        <v>0</v>
      </c>
      <c r="H1467" s="10" t="s">
        <v>4637</v>
      </c>
      <c r="I1467" s="10">
        <v>1.0</v>
      </c>
      <c r="J1467" s="10">
        <v>0.0</v>
      </c>
      <c r="K1467" s="10">
        <v>0.0</v>
      </c>
    </row>
    <row r="1468">
      <c r="A1468" s="7" t="s">
        <v>4638</v>
      </c>
      <c r="B1468" s="12" t="s">
        <v>4639</v>
      </c>
      <c r="C1468" s="14" t="s">
        <v>16</v>
      </c>
      <c r="D1468" s="15" t="s">
        <v>22</v>
      </c>
      <c r="E1468" s="16" t="s">
        <v>24</v>
      </c>
      <c r="F1468" s="10" t="s">
        <v>25</v>
      </c>
      <c r="G1468" s="10" t="b">
        <v>0</v>
      </c>
      <c r="H1468" s="10" t="s">
        <v>1267</v>
      </c>
      <c r="I1468" s="10">
        <v>1.0</v>
      </c>
      <c r="J1468" s="10">
        <v>0.0</v>
      </c>
      <c r="K1468" s="10">
        <v>1.0</v>
      </c>
    </row>
    <row r="1469">
      <c r="A1469" s="7" t="s">
        <v>4640</v>
      </c>
      <c r="B1469" s="12" t="s">
        <v>4641</v>
      </c>
      <c r="C1469" s="14" t="s">
        <v>16</v>
      </c>
      <c r="D1469" s="15" t="s">
        <v>22</v>
      </c>
      <c r="E1469" s="16" t="s">
        <v>24</v>
      </c>
      <c r="F1469" s="10" t="s">
        <v>25</v>
      </c>
      <c r="G1469" s="10" t="b">
        <v>0</v>
      </c>
      <c r="H1469" s="10" t="s">
        <v>1267</v>
      </c>
      <c r="I1469" s="10">
        <v>1.0</v>
      </c>
      <c r="J1469" s="10">
        <v>0.0</v>
      </c>
      <c r="K1469" s="10">
        <v>0.0</v>
      </c>
    </row>
    <row r="1470">
      <c r="A1470" s="7" t="s">
        <v>4642</v>
      </c>
      <c r="B1470" s="12" t="s">
        <v>4643</v>
      </c>
      <c r="C1470" s="14" t="s">
        <v>16</v>
      </c>
      <c r="D1470" s="15" t="s">
        <v>22</v>
      </c>
      <c r="E1470" s="16" t="s">
        <v>24</v>
      </c>
      <c r="F1470" s="10" t="s">
        <v>25</v>
      </c>
      <c r="G1470" s="10" t="b">
        <v>0</v>
      </c>
      <c r="H1470" s="10" t="s">
        <v>4644</v>
      </c>
      <c r="I1470" s="10">
        <v>1.0</v>
      </c>
      <c r="J1470" s="10">
        <v>0.0</v>
      </c>
      <c r="K1470" s="10">
        <v>5.0</v>
      </c>
    </row>
    <row r="1471">
      <c r="A1471" s="7" t="s">
        <v>4645</v>
      </c>
      <c r="B1471" s="12" t="s">
        <v>4646</v>
      </c>
      <c r="C1471" s="14" t="s">
        <v>16</v>
      </c>
      <c r="D1471" s="15" t="s">
        <v>22</v>
      </c>
      <c r="E1471" s="16" t="s">
        <v>24</v>
      </c>
      <c r="F1471" s="10" t="s">
        <v>25</v>
      </c>
      <c r="G1471" s="10" t="b">
        <v>0</v>
      </c>
      <c r="H1471" s="10" t="s">
        <v>4647</v>
      </c>
      <c r="I1471" s="10">
        <v>1.0</v>
      </c>
      <c r="J1471" s="10">
        <v>0.0</v>
      </c>
      <c r="K1471" s="10">
        <v>1.0</v>
      </c>
    </row>
    <row r="1472">
      <c r="A1472" s="7" t="s">
        <v>4648</v>
      </c>
      <c r="B1472" s="12" t="s">
        <v>4649</v>
      </c>
      <c r="C1472" s="14" t="s">
        <v>16</v>
      </c>
      <c r="D1472" s="15" t="s">
        <v>22</v>
      </c>
      <c r="E1472" s="16" t="s">
        <v>24</v>
      </c>
      <c r="F1472" s="10" t="s">
        <v>25</v>
      </c>
      <c r="G1472" s="10" t="b">
        <v>0</v>
      </c>
      <c r="H1472" s="10" t="s">
        <v>4650</v>
      </c>
      <c r="I1472" s="10">
        <v>1.0</v>
      </c>
      <c r="J1472" s="10">
        <v>0.0</v>
      </c>
      <c r="K1472" s="10">
        <v>0.0</v>
      </c>
    </row>
    <row r="1473">
      <c r="A1473" s="7" t="s">
        <v>4651</v>
      </c>
      <c r="B1473" s="12" t="s">
        <v>4652</v>
      </c>
      <c r="C1473" s="14" t="s">
        <v>16</v>
      </c>
      <c r="D1473" s="15" t="s">
        <v>22</v>
      </c>
      <c r="E1473" s="16" t="s">
        <v>24</v>
      </c>
      <c r="F1473" s="10" t="s">
        <v>25</v>
      </c>
      <c r="G1473" s="10" t="b">
        <v>0</v>
      </c>
      <c r="H1473" s="10" t="s">
        <v>4653</v>
      </c>
      <c r="I1473" s="10">
        <v>1.0</v>
      </c>
      <c r="J1473" s="10">
        <v>0.0</v>
      </c>
      <c r="K1473" s="10">
        <v>1.0</v>
      </c>
    </row>
    <row r="1474">
      <c r="A1474" s="7" t="s">
        <v>4654</v>
      </c>
      <c r="B1474" s="12" t="s">
        <v>4655</v>
      </c>
      <c r="C1474" s="14" t="s">
        <v>16</v>
      </c>
      <c r="D1474" s="15" t="s">
        <v>22</v>
      </c>
      <c r="E1474" s="16" t="s">
        <v>24</v>
      </c>
      <c r="F1474" s="10" t="s">
        <v>25</v>
      </c>
      <c r="G1474" s="10" t="b">
        <v>0</v>
      </c>
      <c r="H1474" s="10" t="s">
        <v>4656</v>
      </c>
      <c r="I1474" s="10">
        <v>1.0</v>
      </c>
      <c r="J1474" s="10">
        <v>0.0</v>
      </c>
      <c r="K1474" s="10">
        <v>0.0</v>
      </c>
    </row>
    <row r="1475">
      <c r="A1475" s="7" t="s">
        <v>4657</v>
      </c>
      <c r="B1475" s="12" t="s">
        <v>4658</v>
      </c>
      <c r="C1475" s="14" t="s">
        <v>16</v>
      </c>
      <c r="D1475" s="15" t="s">
        <v>22</v>
      </c>
      <c r="E1475" s="16" t="s">
        <v>24</v>
      </c>
      <c r="F1475" s="10" t="s">
        <v>25</v>
      </c>
      <c r="G1475" s="10" t="b">
        <v>0</v>
      </c>
      <c r="H1475" s="10" t="s">
        <v>4659</v>
      </c>
      <c r="I1475" s="10">
        <v>1.0</v>
      </c>
      <c r="J1475" s="10">
        <v>0.0</v>
      </c>
      <c r="K1475" s="10">
        <v>1.0</v>
      </c>
    </row>
    <row r="1476">
      <c r="A1476" s="7" t="s">
        <v>4660</v>
      </c>
      <c r="B1476" s="12" t="s">
        <v>4661</v>
      </c>
      <c r="C1476" s="14" t="s">
        <v>16</v>
      </c>
      <c r="D1476" s="15" t="s">
        <v>176</v>
      </c>
      <c r="E1476" s="16" t="s">
        <v>24</v>
      </c>
      <c r="F1476" s="10" t="s">
        <v>91</v>
      </c>
      <c r="G1476" s="10" t="b">
        <v>0</v>
      </c>
      <c r="H1476" s="10" t="s">
        <v>4662</v>
      </c>
      <c r="I1476" s="10">
        <v>1.0</v>
      </c>
      <c r="J1476" s="10">
        <v>0.0</v>
      </c>
      <c r="K1476" s="10">
        <v>1.0</v>
      </c>
    </row>
    <row r="1477">
      <c r="A1477" s="7" t="s">
        <v>4663</v>
      </c>
      <c r="B1477" s="12" t="s">
        <v>4664</v>
      </c>
      <c r="C1477" s="14" t="s">
        <v>16</v>
      </c>
      <c r="D1477" s="15" t="s">
        <v>22</v>
      </c>
      <c r="E1477" s="16" t="s">
        <v>24</v>
      </c>
      <c r="F1477" s="10" t="s">
        <v>25</v>
      </c>
      <c r="G1477" s="10" t="b">
        <v>0</v>
      </c>
      <c r="H1477" s="10" t="s">
        <v>4665</v>
      </c>
      <c r="I1477" s="10">
        <v>1.0</v>
      </c>
      <c r="J1477" s="10">
        <v>0.0</v>
      </c>
      <c r="K1477" s="10">
        <v>0.0</v>
      </c>
    </row>
    <row r="1478">
      <c r="A1478" s="7" t="s">
        <v>4666</v>
      </c>
      <c r="B1478" s="12" t="s">
        <v>4667</v>
      </c>
      <c r="C1478" s="14" t="s">
        <v>16</v>
      </c>
      <c r="D1478" s="15" t="s">
        <v>22</v>
      </c>
      <c r="E1478" s="16" t="s">
        <v>24</v>
      </c>
      <c r="F1478" s="10" t="s">
        <v>25</v>
      </c>
      <c r="G1478" s="10" t="b">
        <v>0</v>
      </c>
      <c r="I1478" s="10">
        <v>1.0</v>
      </c>
      <c r="J1478" s="10">
        <v>0.0</v>
      </c>
      <c r="K1478" s="10">
        <v>0.0</v>
      </c>
    </row>
    <row r="1479">
      <c r="A1479" s="7" t="s">
        <v>4668</v>
      </c>
      <c r="B1479" s="12" t="s">
        <v>4669</v>
      </c>
      <c r="C1479" s="14" t="s">
        <v>66</v>
      </c>
      <c r="D1479" s="15" t="s">
        <v>22</v>
      </c>
      <c r="E1479" s="16" t="s">
        <v>24</v>
      </c>
      <c r="F1479" s="10" t="s">
        <v>25</v>
      </c>
      <c r="G1479" s="10" t="b">
        <v>0</v>
      </c>
      <c r="H1479" s="10" t="s">
        <v>4670</v>
      </c>
      <c r="I1479" s="10">
        <v>1.0</v>
      </c>
      <c r="J1479" s="10">
        <v>0.0</v>
      </c>
      <c r="K1479" s="10">
        <v>0.0</v>
      </c>
    </row>
    <row r="1480">
      <c r="A1480" s="7" t="s">
        <v>4671</v>
      </c>
      <c r="B1480" s="12" t="s">
        <v>4672</v>
      </c>
      <c r="C1480" s="14" t="s">
        <v>66</v>
      </c>
      <c r="D1480" s="15" t="s">
        <v>176</v>
      </c>
      <c r="E1480" s="16" t="s">
        <v>24</v>
      </c>
      <c r="F1480" s="10" t="s">
        <v>91</v>
      </c>
      <c r="G1480" s="10" t="b">
        <v>0</v>
      </c>
      <c r="H1480" s="10" t="s">
        <v>4673</v>
      </c>
      <c r="I1480" s="10">
        <v>1.0</v>
      </c>
      <c r="J1480" s="10">
        <v>0.0</v>
      </c>
      <c r="K1480" s="10">
        <v>0.0</v>
      </c>
    </row>
    <row r="1481">
      <c r="A1481" s="7" t="s">
        <v>4674</v>
      </c>
      <c r="B1481" s="12" t="s">
        <v>4675</v>
      </c>
      <c r="C1481" s="14" t="s">
        <v>66</v>
      </c>
      <c r="D1481" s="15" t="s">
        <v>176</v>
      </c>
      <c r="E1481" s="16" t="s">
        <v>24</v>
      </c>
      <c r="F1481" s="10" t="s">
        <v>91</v>
      </c>
      <c r="G1481" s="10" t="b">
        <v>0</v>
      </c>
      <c r="H1481" s="10" t="s">
        <v>4673</v>
      </c>
      <c r="I1481" s="10">
        <v>1.0</v>
      </c>
      <c r="J1481" s="10">
        <v>0.0</v>
      </c>
      <c r="K1481" s="10">
        <v>0.0</v>
      </c>
    </row>
    <row r="1482">
      <c r="A1482" s="7" t="s">
        <v>4676</v>
      </c>
      <c r="B1482" s="12" t="s">
        <v>4677</v>
      </c>
      <c r="C1482" s="14" t="s">
        <v>66</v>
      </c>
      <c r="D1482" s="15" t="s">
        <v>22</v>
      </c>
      <c r="E1482" s="16" t="s">
        <v>24</v>
      </c>
      <c r="F1482" s="10" t="s">
        <v>25</v>
      </c>
      <c r="G1482" s="10" t="b">
        <v>0</v>
      </c>
      <c r="H1482" s="10" t="s">
        <v>4678</v>
      </c>
      <c r="I1482" s="10">
        <v>1.0</v>
      </c>
      <c r="J1482" s="10">
        <v>0.0</v>
      </c>
      <c r="K1482" s="10">
        <v>0.0</v>
      </c>
    </row>
    <row r="1483">
      <c r="A1483" s="7" t="s">
        <v>4679</v>
      </c>
      <c r="B1483" s="12" t="s">
        <v>4680</v>
      </c>
      <c r="C1483" s="14" t="s">
        <v>66</v>
      </c>
      <c r="D1483" s="15" t="s">
        <v>22</v>
      </c>
      <c r="E1483" s="16" t="s">
        <v>24</v>
      </c>
      <c r="F1483" s="10" t="s">
        <v>25</v>
      </c>
      <c r="G1483" s="10" t="b">
        <v>0</v>
      </c>
      <c r="H1483" s="10" t="s">
        <v>1131</v>
      </c>
      <c r="I1483" s="10">
        <v>1.0</v>
      </c>
      <c r="J1483" s="10">
        <v>0.0</v>
      </c>
      <c r="K1483" s="10">
        <v>0.0</v>
      </c>
    </row>
    <row r="1484">
      <c r="A1484" s="7" t="s">
        <v>4681</v>
      </c>
      <c r="B1484" s="12" t="s">
        <v>4682</v>
      </c>
      <c r="C1484" s="14" t="s">
        <v>66</v>
      </c>
      <c r="D1484" s="15" t="s">
        <v>22</v>
      </c>
      <c r="E1484" s="16" t="s">
        <v>24</v>
      </c>
      <c r="F1484" s="10" t="s">
        <v>25</v>
      </c>
      <c r="G1484" s="10" t="b">
        <v>0</v>
      </c>
      <c r="H1484" s="10" t="s">
        <v>4683</v>
      </c>
      <c r="I1484" s="10">
        <v>1.0</v>
      </c>
      <c r="J1484" s="10">
        <v>0.0</v>
      </c>
      <c r="K1484" s="10">
        <v>0.0</v>
      </c>
    </row>
    <row r="1485">
      <c r="A1485" s="7" t="s">
        <v>4684</v>
      </c>
      <c r="B1485" s="12" t="s">
        <v>4685</v>
      </c>
      <c r="C1485" s="14" t="s">
        <v>66</v>
      </c>
      <c r="D1485" s="15" t="s">
        <v>22</v>
      </c>
      <c r="E1485" s="16" t="s">
        <v>24</v>
      </c>
      <c r="F1485" s="10" t="s">
        <v>25</v>
      </c>
      <c r="G1485" s="10" t="b">
        <v>0</v>
      </c>
      <c r="H1485" s="10" t="s">
        <v>4634</v>
      </c>
      <c r="I1485" s="10">
        <v>1.0</v>
      </c>
      <c r="J1485" s="10">
        <v>0.0</v>
      </c>
      <c r="K1485" s="10">
        <v>4.0</v>
      </c>
    </row>
    <row r="1486">
      <c r="A1486" s="7" t="s">
        <v>4686</v>
      </c>
      <c r="B1486" s="12" t="s">
        <v>4687</v>
      </c>
      <c r="C1486" s="14" t="s">
        <v>66</v>
      </c>
      <c r="D1486" s="15" t="s">
        <v>176</v>
      </c>
      <c r="E1486" s="16" t="s">
        <v>24</v>
      </c>
      <c r="F1486" s="10" t="s">
        <v>91</v>
      </c>
      <c r="G1486" s="10" t="b">
        <v>0</v>
      </c>
      <c r="H1486" s="10" t="s">
        <v>4688</v>
      </c>
      <c r="I1486" s="10">
        <v>1.0</v>
      </c>
      <c r="J1486" s="10">
        <v>0.0</v>
      </c>
      <c r="K1486" s="10">
        <v>0.0</v>
      </c>
    </row>
    <row r="1487">
      <c r="A1487" s="7" t="s">
        <v>4689</v>
      </c>
      <c r="B1487" s="12" t="s">
        <v>4690</v>
      </c>
      <c r="C1487" s="14" t="s">
        <v>66</v>
      </c>
      <c r="D1487" s="15" t="s">
        <v>22</v>
      </c>
      <c r="E1487" s="16" t="s">
        <v>24</v>
      </c>
      <c r="F1487" s="10" t="s">
        <v>25</v>
      </c>
      <c r="G1487" s="10" t="b">
        <v>0</v>
      </c>
      <c r="H1487" s="10" t="s">
        <v>4691</v>
      </c>
      <c r="I1487" s="10">
        <v>1.0</v>
      </c>
      <c r="J1487" s="10">
        <v>0.0</v>
      </c>
      <c r="K1487" s="10">
        <v>0.0</v>
      </c>
    </row>
    <row r="1488">
      <c r="A1488" s="7" t="s">
        <v>4692</v>
      </c>
      <c r="B1488" s="12" t="s">
        <v>4693</v>
      </c>
      <c r="C1488" s="14" t="s">
        <v>66</v>
      </c>
      <c r="D1488" s="15" t="s">
        <v>22</v>
      </c>
      <c r="E1488" s="16" t="s">
        <v>24</v>
      </c>
      <c r="F1488" s="10" t="s">
        <v>25</v>
      </c>
      <c r="G1488" s="10" t="b">
        <v>0</v>
      </c>
      <c r="H1488" s="10" t="s">
        <v>4694</v>
      </c>
      <c r="I1488" s="10">
        <v>1.0</v>
      </c>
      <c r="J1488" s="10">
        <v>0.0</v>
      </c>
      <c r="K1488" s="10">
        <v>0.0</v>
      </c>
    </row>
    <row r="1489">
      <c r="A1489" s="7" t="s">
        <v>4695</v>
      </c>
      <c r="B1489" s="12" t="s">
        <v>4696</v>
      </c>
      <c r="C1489" s="14" t="s">
        <v>66</v>
      </c>
      <c r="D1489" s="15" t="s">
        <v>22</v>
      </c>
      <c r="E1489" s="16" t="s">
        <v>24</v>
      </c>
      <c r="F1489" s="10" t="s">
        <v>25</v>
      </c>
      <c r="G1489" s="10" t="b">
        <v>0</v>
      </c>
      <c r="H1489" s="10" t="s">
        <v>4697</v>
      </c>
      <c r="I1489" s="10">
        <v>1.0</v>
      </c>
      <c r="J1489" s="10">
        <v>0.0</v>
      </c>
      <c r="K1489" s="10">
        <v>0.0</v>
      </c>
    </row>
    <row r="1490">
      <c r="A1490" s="7" t="s">
        <v>4698</v>
      </c>
      <c r="B1490" s="12" t="s">
        <v>4699</v>
      </c>
      <c r="C1490" s="14" t="s">
        <v>98</v>
      </c>
      <c r="D1490" s="15" t="s">
        <v>34</v>
      </c>
      <c r="E1490" s="16" t="s">
        <v>176</v>
      </c>
      <c r="F1490" s="10" t="s">
        <v>35</v>
      </c>
      <c r="G1490" s="10" t="b">
        <v>0</v>
      </c>
      <c r="H1490" s="10" t="s">
        <v>323</v>
      </c>
      <c r="I1490" s="10">
        <v>1.0</v>
      </c>
      <c r="J1490" s="10">
        <v>0.0</v>
      </c>
      <c r="K1490" s="10">
        <v>0.0</v>
      </c>
    </row>
    <row r="1491">
      <c r="A1491" s="7" t="s">
        <v>4700</v>
      </c>
      <c r="B1491" s="12" t="s">
        <v>4701</v>
      </c>
      <c r="C1491" s="14" t="s">
        <v>2358</v>
      </c>
      <c r="D1491" s="15" t="s">
        <v>240</v>
      </c>
      <c r="E1491" s="16" t="s">
        <v>24</v>
      </c>
      <c r="F1491" s="10" t="s">
        <v>241</v>
      </c>
      <c r="G1491" s="10" t="b">
        <v>0</v>
      </c>
      <c r="I1491" s="10">
        <v>1.0</v>
      </c>
      <c r="J1491" s="10">
        <v>0.0</v>
      </c>
      <c r="K1491" s="10">
        <v>0.0</v>
      </c>
    </row>
    <row r="1492">
      <c r="A1492" s="7" t="s">
        <v>4702</v>
      </c>
      <c r="B1492" s="12" t="s">
        <v>4703</v>
      </c>
      <c r="C1492" s="14" t="s">
        <v>2361</v>
      </c>
      <c r="D1492" s="15" t="s">
        <v>196</v>
      </c>
      <c r="E1492" s="16" t="s">
        <v>24</v>
      </c>
      <c r="F1492" s="10" t="s">
        <v>198</v>
      </c>
      <c r="G1492" s="10" t="b">
        <v>0</v>
      </c>
      <c r="I1492" s="10">
        <v>1.0</v>
      </c>
      <c r="J1492" s="10">
        <v>0.0</v>
      </c>
      <c r="K1492" s="10">
        <v>1.0</v>
      </c>
    </row>
    <row r="1493">
      <c r="A1493" s="7" t="s">
        <v>4704</v>
      </c>
      <c r="B1493" s="12" t="s">
        <v>4705</v>
      </c>
      <c r="C1493" s="14" t="s">
        <v>2365</v>
      </c>
      <c r="D1493" s="15" t="s">
        <v>196</v>
      </c>
      <c r="E1493" s="16" t="s">
        <v>24</v>
      </c>
      <c r="F1493" s="10" t="s">
        <v>198</v>
      </c>
      <c r="G1493" s="10" t="b">
        <v>0</v>
      </c>
      <c r="H1493" s="10" t="s">
        <v>403</v>
      </c>
      <c r="I1493" s="10">
        <v>1.0</v>
      </c>
      <c r="J1493" s="10">
        <v>0.0</v>
      </c>
      <c r="K1493" s="10">
        <v>0.0</v>
      </c>
    </row>
    <row r="1494">
      <c r="A1494" s="7" t="s">
        <v>4706</v>
      </c>
      <c r="B1494" s="12" t="s">
        <v>4707</v>
      </c>
      <c r="C1494" s="14" t="s">
        <v>2368</v>
      </c>
      <c r="D1494" s="15" t="s">
        <v>404</v>
      </c>
      <c r="E1494" s="16" t="s">
        <v>24</v>
      </c>
      <c r="F1494" s="10" t="s">
        <v>405</v>
      </c>
      <c r="G1494" s="10" t="b">
        <v>0</v>
      </c>
      <c r="H1494" s="10" t="s">
        <v>2732</v>
      </c>
      <c r="I1494" s="10">
        <v>1.0</v>
      </c>
      <c r="J1494" s="10">
        <v>0.0</v>
      </c>
      <c r="K1494" s="10">
        <v>1.0</v>
      </c>
    </row>
    <row r="1495">
      <c r="A1495" s="7" t="s">
        <v>4708</v>
      </c>
      <c r="B1495" s="12" t="s">
        <v>4709</v>
      </c>
      <c r="C1495" s="12" t="s">
        <v>2371</v>
      </c>
      <c r="D1495" s="15" t="s">
        <v>240</v>
      </c>
      <c r="E1495" s="16" t="s">
        <v>24</v>
      </c>
      <c r="F1495" s="10" t="s">
        <v>241</v>
      </c>
      <c r="G1495" s="10" t="b">
        <v>0</v>
      </c>
      <c r="I1495" s="10">
        <v>1.0</v>
      </c>
      <c r="J1495" s="10">
        <v>0.0</v>
      </c>
      <c r="K1495" s="10">
        <v>2.0</v>
      </c>
    </row>
    <row r="1496">
      <c r="A1496" s="7" t="s">
        <v>4710</v>
      </c>
      <c r="B1496" s="12" t="s">
        <v>4711</v>
      </c>
      <c r="C1496" s="14" t="s">
        <v>2372</v>
      </c>
      <c r="D1496" s="15" t="s">
        <v>749</v>
      </c>
      <c r="E1496" s="16" t="s">
        <v>24</v>
      </c>
      <c r="F1496" s="10" t="s">
        <v>750</v>
      </c>
      <c r="G1496" s="10" t="b">
        <v>0</v>
      </c>
      <c r="I1496" s="10">
        <v>1.0</v>
      </c>
      <c r="J1496" s="10">
        <v>0.0</v>
      </c>
      <c r="K1496" s="10">
        <v>1.0</v>
      </c>
    </row>
    <row r="1497">
      <c r="A1497" s="7" t="s">
        <v>4712</v>
      </c>
      <c r="B1497" s="12" t="s">
        <v>4713</v>
      </c>
      <c r="C1497" s="14" t="s">
        <v>764</v>
      </c>
      <c r="D1497" s="15" t="s">
        <v>22</v>
      </c>
      <c r="E1497" s="16" t="s">
        <v>43</v>
      </c>
      <c r="F1497" s="10" t="s">
        <v>25</v>
      </c>
      <c r="G1497" s="10" t="b">
        <v>0</v>
      </c>
      <c r="H1497" s="10" t="s">
        <v>4714</v>
      </c>
      <c r="I1497" s="10">
        <v>1.0</v>
      </c>
      <c r="J1497" s="10">
        <v>0.0</v>
      </c>
      <c r="K1497" s="10">
        <v>1.0</v>
      </c>
    </row>
    <row r="1498">
      <c r="A1498" s="7" t="s">
        <v>4715</v>
      </c>
      <c r="B1498" s="12" t="s">
        <v>4716</v>
      </c>
      <c r="C1498" s="14" t="s">
        <v>335</v>
      </c>
      <c r="D1498" s="15" t="s">
        <v>22</v>
      </c>
      <c r="E1498" s="16" t="s">
        <v>107</v>
      </c>
      <c r="F1498" s="10" t="s">
        <v>25</v>
      </c>
      <c r="G1498" s="10" t="b">
        <v>0</v>
      </c>
      <c r="H1498" s="10" t="s">
        <v>574</v>
      </c>
      <c r="I1498" s="10">
        <v>1.0</v>
      </c>
      <c r="J1498" s="10">
        <v>0.0</v>
      </c>
      <c r="K1498" s="10">
        <v>1.0</v>
      </c>
    </row>
    <row r="1499">
      <c r="A1499" s="7" t="s">
        <v>4717</v>
      </c>
      <c r="B1499" s="12" t="s">
        <v>4718</v>
      </c>
      <c r="C1499" s="14" t="s">
        <v>335</v>
      </c>
      <c r="D1499" s="15" t="s">
        <v>22</v>
      </c>
      <c r="E1499" s="16" t="s">
        <v>107</v>
      </c>
      <c r="F1499" s="10" t="s">
        <v>25</v>
      </c>
      <c r="G1499" s="10" t="b">
        <v>0</v>
      </c>
      <c r="H1499" s="10" t="s">
        <v>574</v>
      </c>
      <c r="I1499" s="10">
        <v>1.0</v>
      </c>
      <c r="J1499" s="10">
        <v>0.0</v>
      </c>
      <c r="K1499" s="10">
        <v>1.0</v>
      </c>
    </row>
    <row r="1500">
      <c r="A1500" s="7" t="s">
        <v>4719</v>
      </c>
      <c r="B1500" s="12" t="s">
        <v>4720</v>
      </c>
      <c r="C1500" s="14" t="s">
        <v>2373</v>
      </c>
      <c r="D1500" s="15" t="s">
        <v>196</v>
      </c>
      <c r="E1500" s="16" t="s">
        <v>1000</v>
      </c>
      <c r="F1500" s="10" t="s">
        <v>198</v>
      </c>
      <c r="G1500" s="10" t="b">
        <v>0</v>
      </c>
      <c r="I1500" s="10">
        <v>1.0</v>
      </c>
      <c r="J1500" s="10">
        <v>0.0</v>
      </c>
      <c r="K1500" s="10">
        <v>0.0</v>
      </c>
    </row>
    <row r="1501">
      <c r="A1501" s="7" t="s">
        <v>4721</v>
      </c>
      <c r="B1501" s="12" t="s">
        <v>4722</v>
      </c>
      <c r="C1501" s="14" t="s">
        <v>2375</v>
      </c>
      <c r="D1501" s="15" t="s">
        <v>34</v>
      </c>
      <c r="E1501" s="16" t="s">
        <v>24</v>
      </c>
      <c r="F1501" s="10" t="s">
        <v>35</v>
      </c>
      <c r="G1501" s="10" t="b">
        <v>0</v>
      </c>
      <c r="H1501" s="10" t="s">
        <v>2376</v>
      </c>
      <c r="I1501" s="10">
        <v>1.0</v>
      </c>
      <c r="J1501" s="10">
        <v>0.0</v>
      </c>
      <c r="K1501" s="10">
        <v>2.0</v>
      </c>
    </row>
    <row r="1502">
      <c r="A1502" s="7" t="s">
        <v>4723</v>
      </c>
      <c r="B1502" s="12" t="s">
        <v>4724</v>
      </c>
      <c r="C1502" s="14" t="s">
        <v>2378</v>
      </c>
      <c r="D1502" s="15" t="s">
        <v>196</v>
      </c>
      <c r="E1502" s="16" t="s">
        <v>24</v>
      </c>
      <c r="F1502" s="10" t="s">
        <v>198</v>
      </c>
      <c r="G1502" s="10" t="b">
        <v>0</v>
      </c>
      <c r="H1502" s="10" t="s">
        <v>340</v>
      </c>
      <c r="I1502" s="10">
        <v>1.0</v>
      </c>
      <c r="J1502" s="10">
        <v>0.0</v>
      </c>
      <c r="K1502" s="10">
        <v>0.0</v>
      </c>
    </row>
    <row r="1503">
      <c r="A1503" s="7" t="s">
        <v>4725</v>
      </c>
      <c r="B1503" s="12" t="s">
        <v>4726</v>
      </c>
      <c r="C1503" s="14" t="s">
        <v>2380</v>
      </c>
      <c r="D1503" s="15" t="s">
        <v>51</v>
      </c>
      <c r="E1503" s="16" t="s">
        <v>24</v>
      </c>
      <c r="F1503" s="10" t="s">
        <v>52</v>
      </c>
      <c r="G1503" s="10" t="b">
        <v>0</v>
      </c>
      <c r="I1503" s="10">
        <v>1.0</v>
      </c>
      <c r="J1503" s="10">
        <v>0.0</v>
      </c>
      <c r="K1503" s="10">
        <v>0.0</v>
      </c>
    </row>
    <row r="1504">
      <c r="A1504" s="7" t="s">
        <v>4727</v>
      </c>
      <c r="B1504" s="12" t="s">
        <v>4728</v>
      </c>
      <c r="C1504" s="14" t="s">
        <v>2383</v>
      </c>
      <c r="D1504" s="15" t="s">
        <v>196</v>
      </c>
      <c r="E1504" s="16" t="s">
        <v>24</v>
      </c>
      <c r="F1504" s="10" t="s">
        <v>198</v>
      </c>
      <c r="G1504" s="10" t="b">
        <v>0</v>
      </c>
      <c r="I1504" s="10">
        <v>1.0</v>
      </c>
      <c r="J1504" s="10">
        <v>0.0</v>
      </c>
      <c r="K1504" s="10">
        <v>1.0</v>
      </c>
    </row>
    <row r="1505">
      <c r="A1505" s="7" t="s">
        <v>4729</v>
      </c>
      <c r="B1505" s="12" t="s">
        <v>4730</v>
      </c>
      <c r="C1505" s="12" t="s">
        <v>2385</v>
      </c>
      <c r="D1505" s="15" t="s">
        <v>196</v>
      </c>
      <c r="E1505" s="16" t="s">
        <v>24</v>
      </c>
      <c r="F1505" s="10" t="s">
        <v>198</v>
      </c>
      <c r="G1505" s="10" t="b">
        <v>0</v>
      </c>
      <c r="H1505" s="10" t="s">
        <v>157</v>
      </c>
      <c r="I1505" s="10">
        <v>1.0</v>
      </c>
      <c r="J1505" s="10">
        <v>0.0</v>
      </c>
      <c r="K1505" s="10">
        <v>1.0</v>
      </c>
    </row>
    <row r="1506">
      <c r="A1506" s="7" t="s">
        <v>4731</v>
      </c>
      <c r="B1506" s="12" t="s">
        <v>4732</v>
      </c>
      <c r="C1506" s="14" t="s">
        <v>884</v>
      </c>
      <c r="D1506" s="15" t="s">
        <v>34</v>
      </c>
      <c r="E1506" s="16" t="s">
        <v>107</v>
      </c>
      <c r="F1506" s="10" t="s">
        <v>35</v>
      </c>
      <c r="G1506" s="10" t="b">
        <v>0</v>
      </c>
      <c r="H1506" s="10" t="s">
        <v>4733</v>
      </c>
      <c r="I1506" s="10">
        <v>1.0</v>
      </c>
      <c r="J1506" s="10">
        <v>0.0</v>
      </c>
      <c r="K1506" s="10">
        <v>2.0</v>
      </c>
    </row>
    <row r="1507">
      <c r="A1507" s="7" t="s">
        <v>4734</v>
      </c>
      <c r="B1507" s="12" t="s">
        <v>4735</v>
      </c>
      <c r="C1507" s="14" t="s">
        <v>884</v>
      </c>
      <c r="D1507" s="15" t="s">
        <v>196</v>
      </c>
      <c r="E1507" s="16" t="s">
        <v>107</v>
      </c>
      <c r="F1507" s="10" t="s">
        <v>198</v>
      </c>
      <c r="G1507" s="10" t="b">
        <v>0</v>
      </c>
      <c r="H1507" s="10" t="s">
        <v>1847</v>
      </c>
      <c r="I1507" s="10">
        <v>1.0</v>
      </c>
      <c r="J1507" s="10">
        <v>0.0</v>
      </c>
      <c r="K1507" s="10">
        <v>2.0</v>
      </c>
    </row>
    <row r="1508">
      <c r="A1508" s="7" t="s">
        <v>4736</v>
      </c>
      <c r="B1508" s="12" t="s">
        <v>4737</v>
      </c>
      <c r="C1508" s="14" t="s">
        <v>325</v>
      </c>
      <c r="D1508" s="15" t="s">
        <v>34</v>
      </c>
      <c r="E1508" s="16" t="s">
        <v>43</v>
      </c>
      <c r="F1508" s="10" t="s">
        <v>35</v>
      </c>
      <c r="G1508" s="10" t="b">
        <v>0</v>
      </c>
      <c r="H1508" s="10" t="s">
        <v>4738</v>
      </c>
      <c r="I1508" s="10">
        <v>1.0</v>
      </c>
      <c r="J1508" s="10">
        <v>0.0</v>
      </c>
      <c r="K1508" s="10">
        <v>1.0</v>
      </c>
    </row>
    <row r="1509">
      <c r="A1509" s="7" t="s">
        <v>4739</v>
      </c>
      <c r="B1509" s="12" t="s">
        <v>4740</v>
      </c>
      <c r="C1509" s="14" t="s">
        <v>325</v>
      </c>
      <c r="D1509" s="15" t="s">
        <v>22</v>
      </c>
      <c r="E1509" s="16" t="s">
        <v>43</v>
      </c>
      <c r="F1509" s="10" t="s">
        <v>25</v>
      </c>
      <c r="G1509" s="10" t="b">
        <v>0</v>
      </c>
      <c r="H1509" s="10" t="s">
        <v>4741</v>
      </c>
      <c r="I1509" s="10">
        <v>1.0</v>
      </c>
      <c r="J1509" s="10">
        <v>0.0</v>
      </c>
      <c r="K1509" s="10">
        <v>0.0</v>
      </c>
    </row>
    <row r="1510">
      <c r="A1510" s="7" t="s">
        <v>4742</v>
      </c>
      <c r="B1510" s="12" t="s">
        <v>4743</v>
      </c>
      <c r="C1510" s="14" t="s">
        <v>777</v>
      </c>
      <c r="D1510" s="15" t="s">
        <v>34</v>
      </c>
      <c r="E1510" s="16" t="s">
        <v>107</v>
      </c>
      <c r="F1510" s="10" t="s">
        <v>35</v>
      </c>
      <c r="G1510" s="10" t="b">
        <v>0</v>
      </c>
      <c r="H1510" s="10" t="s">
        <v>4744</v>
      </c>
      <c r="I1510" s="10">
        <v>1.0</v>
      </c>
      <c r="J1510" s="10">
        <v>0.0</v>
      </c>
      <c r="K1510" s="10">
        <v>1.0</v>
      </c>
    </row>
    <row r="1511">
      <c r="A1511" s="7" t="s">
        <v>4745</v>
      </c>
      <c r="B1511" s="12" t="s">
        <v>4746</v>
      </c>
      <c r="C1511" s="14" t="s">
        <v>777</v>
      </c>
      <c r="D1511" s="15" t="s">
        <v>34</v>
      </c>
      <c r="E1511" s="16" t="s">
        <v>107</v>
      </c>
      <c r="F1511" s="10" t="s">
        <v>35</v>
      </c>
      <c r="G1511" s="10" t="b">
        <v>0</v>
      </c>
      <c r="H1511" s="10" t="s">
        <v>4747</v>
      </c>
      <c r="I1511" s="10">
        <v>1.0</v>
      </c>
      <c r="J1511" s="10">
        <v>0.0</v>
      </c>
      <c r="K1511" s="10">
        <v>0.0</v>
      </c>
    </row>
    <row r="1512">
      <c r="A1512" s="7" t="s">
        <v>4748</v>
      </c>
      <c r="B1512" s="12" t="s">
        <v>4749</v>
      </c>
      <c r="C1512" s="14" t="s">
        <v>777</v>
      </c>
      <c r="D1512" s="15" t="s">
        <v>749</v>
      </c>
      <c r="E1512" s="16" t="s">
        <v>107</v>
      </c>
      <c r="F1512" s="10" t="s">
        <v>750</v>
      </c>
      <c r="G1512" s="10" t="b">
        <v>0</v>
      </c>
      <c r="H1512" s="10" t="s">
        <v>4750</v>
      </c>
      <c r="I1512" s="10">
        <v>1.0</v>
      </c>
      <c r="J1512" s="10">
        <v>0.0</v>
      </c>
      <c r="K1512" s="10">
        <v>1.0</v>
      </c>
    </row>
    <row r="1513">
      <c r="A1513" s="7" t="s">
        <v>4751</v>
      </c>
      <c r="B1513" s="12" t="s">
        <v>4752</v>
      </c>
      <c r="C1513" s="14" t="s">
        <v>777</v>
      </c>
      <c r="D1513" s="15" t="s">
        <v>34</v>
      </c>
      <c r="E1513" s="16" t="s">
        <v>107</v>
      </c>
      <c r="F1513" s="10" t="s">
        <v>35</v>
      </c>
      <c r="G1513" s="10" t="b">
        <v>0</v>
      </c>
      <c r="H1513" s="10" t="s">
        <v>4753</v>
      </c>
      <c r="I1513" s="10">
        <v>1.0</v>
      </c>
      <c r="J1513" s="10">
        <v>0.0</v>
      </c>
      <c r="K1513" s="10">
        <v>1.0</v>
      </c>
    </row>
    <row r="1514">
      <c r="A1514" s="7" t="s">
        <v>4754</v>
      </c>
      <c r="B1514" s="12" t="s">
        <v>4755</v>
      </c>
      <c r="C1514" s="14" t="s">
        <v>138</v>
      </c>
      <c r="D1514" s="15" t="s">
        <v>404</v>
      </c>
      <c r="E1514" s="16" t="s">
        <v>176</v>
      </c>
      <c r="F1514" s="10" t="s">
        <v>405</v>
      </c>
      <c r="G1514" s="10" t="b">
        <v>0</v>
      </c>
      <c r="I1514" s="10">
        <v>1.0</v>
      </c>
      <c r="J1514" s="10">
        <v>0.0</v>
      </c>
      <c r="K1514" s="10">
        <v>0.0</v>
      </c>
    </row>
    <row r="1515">
      <c r="A1515" s="7" t="s">
        <v>4756</v>
      </c>
      <c r="B1515" s="12" t="s">
        <v>4757</v>
      </c>
      <c r="C1515" s="14" t="s">
        <v>138</v>
      </c>
      <c r="D1515" s="15" t="s">
        <v>749</v>
      </c>
      <c r="E1515" s="16" t="s">
        <v>176</v>
      </c>
      <c r="F1515" s="10" t="s">
        <v>750</v>
      </c>
      <c r="G1515" s="10" t="b">
        <v>0</v>
      </c>
      <c r="I1515" s="10">
        <v>1.0</v>
      </c>
      <c r="J1515" s="10">
        <v>0.0</v>
      </c>
      <c r="K1515" s="10">
        <v>1.0</v>
      </c>
    </row>
    <row r="1516">
      <c r="A1516" s="7" t="s">
        <v>4758</v>
      </c>
      <c r="B1516" s="12" t="s">
        <v>4759</v>
      </c>
      <c r="C1516" s="14" t="s">
        <v>138</v>
      </c>
      <c r="D1516" s="15" t="s">
        <v>404</v>
      </c>
      <c r="E1516" s="16" t="s">
        <v>176</v>
      </c>
      <c r="F1516" s="10" t="s">
        <v>405</v>
      </c>
      <c r="G1516" s="10" t="b">
        <v>0</v>
      </c>
      <c r="I1516" s="10">
        <v>1.0</v>
      </c>
      <c r="J1516" s="10">
        <v>0.0</v>
      </c>
      <c r="K1516" s="10">
        <v>1.0</v>
      </c>
    </row>
    <row r="1517">
      <c r="A1517" s="7" t="s">
        <v>4760</v>
      </c>
      <c r="B1517" s="12" t="s">
        <v>2205</v>
      </c>
      <c r="C1517" s="14" t="s">
        <v>138</v>
      </c>
      <c r="D1517" s="15" t="s">
        <v>176</v>
      </c>
      <c r="E1517" s="16" t="s">
        <v>176</v>
      </c>
      <c r="F1517" s="10" t="s">
        <v>91</v>
      </c>
      <c r="G1517" s="10" t="b">
        <v>0</v>
      </c>
      <c r="I1517" s="10">
        <v>1.0</v>
      </c>
      <c r="J1517" s="10">
        <v>0.0</v>
      </c>
      <c r="K1517" s="10">
        <v>0.0</v>
      </c>
    </row>
    <row r="1518">
      <c r="A1518" s="7" t="s">
        <v>4761</v>
      </c>
      <c r="B1518" s="12" t="s">
        <v>4762</v>
      </c>
      <c r="C1518" s="14" t="s">
        <v>891</v>
      </c>
      <c r="D1518" s="15" t="s">
        <v>196</v>
      </c>
      <c r="E1518" s="16" t="s">
        <v>24</v>
      </c>
      <c r="F1518" s="10" t="s">
        <v>198</v>
      </c>
      <c r="G1518" s="10" t="b">
        <v>0</v>
      </c>
      <c r="I1518" s="10">
        <v>1.0</v>
      </c>
      <c r="J1518" s="10">
        <v>0.0</v>
      </c>
      <c r="K1518" s="10">
        <v>1.0</v>
      </c>
    </row>
    <row r="1519">
      <c r="A1519" s="7" t="s">
        <v>4763</v>
      </c>
      <c r="B1519" s="12" t="s">
        <v>4764</v>
      </c>
      <c r="C1519" s="14" t="s">
        <v>2388</v>
      </c>
      <c r="D1519" s="15" t="s">
        <v>196</v>
      </c>
      <c r="E1519" s="16" t="s">
        <v>24</v>
      </c>
      <c r="F1519" s="10" t="s">
        <v>198</v>
      </c>
      <c r="G1519" s="10" t="b">
        <v>0</v>
      </c>
      <c r="I1519" s="10">
        <v>1.0</v>
      </c>
      <c r="J1519" s="10">
        <v>0.0</v>
      </c>
      <c r="K1519" s="10">
        <v>0.0</v>
      </c>
    </row>
    <row r="1520">
      <c r="A1520" s="7" t="s">
        <v>4765</v>
      </c>
      <c r="B1520" s="12" t="s">
        <v>4766</v>
      </c>
      <c r="C1520" s="14" t="s">
        <v>2389</v>
      </c>
      <c r="D1520" s="15" t="s">
        <v>34</v>
      </c>
      <c r="E1520" s="16" t="s">
        <v>24</v>
      </c>
      <c r="F1520" s="10" t="s">
        <v>35</v>
      </c>
      <c r="G1520" s="10" t="b">
        <v>0</v>
      </c>
      <c r="H1520" s="10" t="s">
        <v>180</v>
      </c>
      <c r="I1520" s="10">
        <v>1.0</v>
      </c>
      <c r="J1520" s="10">
        <v>0.0</v>
      </c>
      <c r="K1520" s="10">
        <v>0.0</v>
      </c>
    </row>
    <row r="1521">
      <c r="A1521" s="7" t="s">
        <v>4767</v>
      </c>
      <c r="B1521" s="12" t="s">
        <v>4768</v>
      </c>
      <c r="C1521" s="14" t="s">
        <v>2391</v>
      </c>
      <c r="D1521" s="15" t="s">
        <v>196</v>
      </c>
      <c r="E1521" s="16" t="s">
        <v>24</v>
      </c>
      <c r="F1521" s="10" t="s">
        <v>198</v>
      </c>
      <c r="G1521" s="10" t="b">
        <v>0</v>
      </c>
      <c r="I1521" s="10">
        <v>1.0</v>
      </c>
      <c r="J1521" s="10">
        <v>0.0</v>
      </c>
      <c r="K1521" s="10">
        <v>1.0</v>
      </c>
    </row>
    <row r="1522">
      <c r="A1522" s="7" t="s">
        <v>4769</v>
      </c>
      <c r="B1522" s="12" t="s">
        <v>4770</v>
      </c>
      <c r="C1522" s="14" t="s">
        <v>2392</v>
      </c>
      <c r="D1522" s="15" t="s">
        <v>22</v>
      </c>
      <c r="E1522" s="16" t="s">
        <v>24</v>
      </c>
      <c r="F1522" s="10" t="s">
        <v>25</v>
      </c>
      <c r="G1522" s="10" t="b">
        <v>0</v>
      </c>
      <c r="H1522" s="10" t="s">
        <v>4771</v>
      </c>
      <c r="I1522" s="10">
        <v>1.0</v>
      </c>
      <c r="J1522" s="10">
        <v>0.0</v>
      </c>
      <c r="K1522" s="10">
        <v>1.0</v>
      </c>
    </row>
    <row r="1523">
      <c r="A1523" s="7" t="s">
        <v>4772</v>
      </c>
      <c r="B1523" s="12" t="s">
        <v>4773</v>
      </c>
      <c r="C1523" s="14" t="s">
        <v>2395</v>
      </c>
      <c r="D1523" s="15" t="s">
        <v>34</v>
      </c>
      <c r="E1523" s="16" t="s">
        <v>24</v>
      </c>
      <c r="F1523" s="10" t="s">
        <v>35</v>
      </c>
      <c r="G1523" s="10" t="b">
        <v>0</v>
      </c>
      <c r="H1523" s="10" t="s">
        <v>2109</v>
      </c>
      <c r="I1523" s="10">
        <v>1.0</v>
      </c>
      <c r="J1523" s="10">
        <v>0.0</v>
      </c>
      <c r="K1523" s="10">
        <v>0.0</v>
      </c>
    </row>
    <row r="1524">
      <c r="A1524" s="7" t="s">
        <v>4774</v>
      </c>
      <c r="B1524" s="12" t="s">
        <v>4775</v>
      </c>
      <c r="C1524" s="14" t="s">
        <v>347</v>
      </c>
      <c r="D1524" s="15" t="s">
        <v>34</v>
      </c>
      <c r="E1524" s="16" t="s">
        <v>99</v>
      </c>
      <c r="F1524" s="10" t="s">
        <v>35</v>
      </c>
      <c r="G1524" s="10" t="b">
        <v>0</v>
      </c>
      <c r="I1524" s="10">
        <v>1.0</v>
      </c>
      <c r="J1524" s="10">
        <v>0.0</v>
      </c>
      <c r="K1524" s="10">
        <v>0.0</v>
      </c>
    </row>
    <row r="1525">
      <c r="A1525" s="7" t="s">
        <v>4776</v>
      </c>
      <c r="B1525" s="12" t="s">
        <v>4777</v>
      </c>
      <c r="C1525" s="14" t="s">
        <v>347</v>
      </c>
      <c r="D1525" s="15" t="s">
        <v>34</v>
      </c>
      <c r="E1525" s="16" t="s">
        <v>99</v>
      </c>
      <c r="F1525" s="10" t="s">
        <v>35</v>
      </c>
      <c r="G1525" s="10" t="b">
        <v>0</v>
      </c>
      <c r="H1525" s="10" t="s">
        <v>2114</v>
      </c>
      <c r="I1525" s="10">
        <v>1.0</v>
      </c>
      <c r="J1525" s="10">
        <v>0.0</v>
      </c>
      <c r="K1525" s="10">
        <v>0.0</v>
      </c>
    </row>
    <row r="1526">
      <c r="A1526" s="7" t="s">
        <v>4778</v>
      </c>
      <c r="B1526" s="12" t="s">
        <v>4779</v>
      </c>
      <c r="C1526" s="14" t="s">
        <v>2396</v>
      </c>
      <c r="D1526" s="15" t="s">
        <v>34</v>
      </c>
      <c r="E1526" s="16" t="s">
        <v>24</v>
      </c>
      <c r="F1526" s="10" t="s">
        <v>35</v>
      </c>
      <c r="G1526" s="10" t="b">
        <v>0</v>
      </c>
      <c r="I1526" s="10">
        <v>1.0</v>
      </c>
      <c r="J1526" s="10">
        <v>0.0</v>
      </c>
      <c r="K1526" s="10">
        <v>1.0</v>
      </c>
    </row>
    <row r="1527">
      <c r="A1527" s="7" t="s">
        <v>4780</v>
      </c>
      <c r="B1527" s="12" t="s">
        <v>4781</v>
      </c>
      <c r="C1527" s="14" t="s">
        <v>2398</v>
      </c>
      <c r="D1527" s="15" t="s">
        <v>196</v>
      </c>
      <c r="E1527" s="16" t="s">
        <v>24</v>
      </c>
      <c r="F1527" s="10" t="s">
        <v>198</v>
      </c>
      <c r="G1527" s="10" t="b">
        <v>0</v>
      </c>
      <c r="H1527" s="10" t="s">
        <v>3468</v>
      </c>
      <c r="I1527" s="10">
        <v>1.0</v>
      </c>
      <c r="J1527" s="10">
        <v>0.0</v>
      </c>
      <c r="K1527" s="10">
        <v>1.0</v>
      </c>
    </row>
    <row r="1528">
      <c r="A1528" s="7" t="s">
        <v>4782</v>
      </c>
      <c r="B1528" s="12" t="s">
        <v>4783</v>
      </c>
      <c r="C1528" s="14" t="s">
        <v>54</v>
      </c>
      <c r="D1528" s="15" t="s">
        <v>51</v>
      </c>
      <c r="E1528" s="16" t="s">
        <v>43</v>
      </c>
      <c r="F1528" s="10" t="s">
        <v>52</v>
      </c>
      <c r="G1528" s="10" t="b">
        <v>0</v>
      </c>
      <c r="H1528" s="10" t="s">
        <v>340</v>
      </c>
      <c r="I1528" s="10">
        <v>1.0</v>
      </c>
      <c r="J1528" s="10">
        <v>0.0</v>
      </c>
      <c r="K1528" s="10">
        <v>1.0</v>
      </c>
    </row>
    <row r="1529">
      <c r="A1529" s="7" t="s">
        <v>4784</v>
      </c>
      <c r="B1529" s="12" t="s">
        <v>4785</v>
      </c>
      <c r="C1529" s="14" t="s">
        <v>2400</v>
      </c>
      <c r="D1529" s="15" t="s">
        <v>196</v>
      </c>
      <c r="E1529" s="16" t="s">
        <v>24</v>
      </c>
      <c r="F1529" s="10" t="s">
        <v>198</v>
      </c>
      <c r="G1529" s="10" t="b">
        <v>0</v>
      </c>
      <c r="I1529" s="10">
        <v>1.0</v>
      </c>
      <c r="J1529" s="10">
        <v>0.0</v>
      </c>
      <c r="K1529" s="10">
        <v>0.0</v>
      </c>
    </row>
    <row r="1530">
      <c r="A1530" s="7" t="s">
        <v>4786</v>
      </c>
      <c r="B1530" s="12" t="s">
        <v>4787</v>
      </c>
      <c r="C1530" s="14" t="s">
        <v>339</v>
      </c>
      <c r="D1530" s="15" t="s">
        <v>749</v>
      </c>
      <c r="E1530" s="16" t="s">
        <v>99</v>
      </c>
      <c r="F1530" s="10" t="s">
        <v>750</v>
      </c>
      <c r="G1530" s="10" t="b">
        <v>0</v>
      </c>
      <c r="I1530" s="10">
        <v>1.0</v>
      </c>
      <c r="J1530" s="10">
        <v>0.0</v>
      </c>
      <c r="K1530" s="10">
        <v>1.0</v>
      </c>
    </row>
    <row r="1531">
      <c r="A1531" s="7" t="s">
        <v>4788</v>
      </c>
      <c r="B1531" s="12" t="s">
        <v>4789</v>
      </c>
      <c r="C1531" s="14" t="s">
        <v>339</v>
      </c>
      <c r="D1531" s="15" t="s">
        <v>749</v>
      </c>
      <c r="E1531" s="16" t="s">
        <v>99</v>
      </c>
      <c r="F1531" s="10" t="s">
        <v>750</v>
      </c>
      <c r="G1531" s="10" t="b">
        <v>0</v>
      </c>
      <c r="I1531" s="10">
        <v>1.0</v>
      </c>
      <c r="J1531" s="10">
        <v>0.0</v>
      </c>
      <c r="K1531" s="10">
        <v>1.0</v>
      </c>
    </row>
    <row r="1532">
      <c r="A1532" s="7" t="s">
        <v>4790</v>
      </c>
      <c r="B1532" s="12" t="s">
        <v>4791</v>
      </c>
      <c r="C1532" s="14" t="s">
        <v>2403</v>
      </c>
      <c r="D1532" s="15" t="s">
        <v>22</v>
      </c>
      <c r="E1532" s="16" t="s">
        <v>43</v>
      </c>
      <c r="F1532" s="10" t="s">
        <v>25</v>
      </c>
      <c r="G1532" s="10" t="b">
        <v>0</v>
      </c>
      <c r="H1532" s="10" t="s">
        <v>2405</v>
      </c>
      <c r="I1532" s="10">
        <v>1.0</v>
      </c>
      <c r="J1532" s="10">
        <v>0.0</v>
      </c>
      <c r="K1532" s="10">
        <v>0.0</v>
      </c>
    </row>
    <row r="1533">
      <c r="A1533" s="7" t="s">
        <v>4792</v>
      </c>
      <c r="B1533" s="12" t="s">
        <v>4793</v>
      </c>
      <c r="C1533" s="14" t="s">
        <v>2406</v>
      </c>
      <c r="D1533" s="15" t="s">
        <v>34</v>
      </c>
      <c r="E1533" s="16" t="s">
        <v>24</v>
      </c>
      <c r="F1533" s="10" t="s">
        <v>35</v>
      </c>
      <c r="G1533" s="10" t="b">
        <v>0</v>
      </c>
      <c r="I1533" s="10">
        <v>1.0</v>
      </c>
      <c r="J1533" s="10">
        <v>0.0</v>
      </c>
      <c r="K1533" s="10">
        <v>1.0</v>
      </c>
    </row>
    <row r="1534">
      <c r="A1534" s="7" t="s">
        <v>4794</v>
      </c>
      <c r="B1534" s="12" t="s">
        <v>4795</v>
      </c>
      <c r="C1534" s="14" t="s">
        <v>316</v>
      </c>
      <c r="D1534" s="15" t="s">
        <v>176</v>
      </c>
      <c r="E1534" s="16" t="s">
        <v>24</v>
      </c>
      <c r="F1534" s="10" t="s">
        <v>91</v>
      </c>
      <c r="G1534" s="10" t="b">
        <v>0</v>
      </c>
      <c r="I1534" s="10">
        <v>1.0</v>
      </c>
      <c r="J1534" s="10">
        <v>0.0</v>
      </c>
      <c r="K1534" s="10">
        <v>0.0</v>
      </c>
    </row>
    <row r="1535">
      <c r="A1535" s="7" t="s">
        <v>4796</v>
      </c>
      <c r="B1535" s="12" t="s">
        <v>4797</v>
      </c>
      <c r="C1535" s="14" t="s">
        <v>160</v>
      </c>
      <c r="D1535" s="15" t="s">
        <v>240</v>
      </c>
      <c r="E1535" s="16" t="s">
        <v>107</v>
      </c>
      <c r="F1535" s="10" t="s">
        <v>241</v>
      </c>
      <c r="G1535" s="10" t="b">
        <v>0</v>
      </c>
      <c r="H1535" s="10" t="s">
        <v>2216</v>
      </c>
      <c r="I1535" s="10">
        <v>1.0</v>
      </c>
      <c r="J1535" s="10">
        <v>0.0</v>
      </c>
      <c r="K1535" s="10">
        <v>1.0</v>
      </c>
    </row>
    <row r="1536">
      <c r="A1536" s="7" t="s">
        <v>4798</v>
      </c>
      <c r="B1536" s="12" t="s">
        <v>4799</v>
      </c>
      <c r="C1536" s="14" t="s">
        <v>2408</v>
      </c>
      <c r="D1536" s="15" t="s">
        <v>240</v>
      </c>
      <c r="E1536" s="16" t="s">
        <v>176</v>
      </c>
      <c r="F1536" s="10" t="s">
        <v>241</v>
      </c>
      <c r="G1536" s="10" t="b">
        <v>0</v>
      </c>
      <c r="H1536" s="10" t="s">
        <v>1913</v>
      </c>
      <c r="I1536" s="10">
        <v>1.0</v>
      </c>
      <c r="J1536" s="10">
        <v>0.0</v>
      </c>
      <c r="K1536" s="10">
        <v>1.0</v>
      </c>
    </row>
    <row r="1537">
      <c r="A1537" s="7" t="s">
        <v>4800</v>
      </c>
      <c r="B1537" s="12" t="s">
        <v>4801</v>
      </c>
      <c r="C1537" s="14" t="s">
        <v>1299</v>
      </c>
      <c r="D1537" s="15" t="s">
        <v>34</v>
      </c>
      <c r="E1537" s="16" t="s">
        <v>24</v>
      </c>
      <c r="F1537" s="10" t="s">
        <v>35</v>
      </c>
      <c r="G1537" s="10" t="b">
        <v>0</v>
      </c>
      <c r="H1537" s="10" t="s">
        <v>4802</v>
      </c>
      <c r="I1537" s="10">
        <v>1.0</v>
      </c>
      <c r="J1537" s="10">
        <v>0.0</v>
      </c>
      <c r="K1537" s="10">
        <v>0.0</v>
      </c>
    </row>
    <row r="1538">
      <c r="A1538" s="7" t="s">
        <v>4803</v>
      </c>
      <c r="B1538" s="12" t="s">
        <v>4804</v>
      </c>
      <c r="C1538" s="14" t="s">
        <v>1299</v>
      </c>
      <c r="D1538" s="15" t="s">
        <v>34</v>
      </c>
      <c r="E1538" s="16" t="s">
        <v>24</v>
      </c>
      <c r="F1538" s="10" t="s">
        <v>35</v>
      </c>
      <c r="G1538" s="10" t="b">
        <v>0</v>
      </c>
      <c r="H1538" s="10" t="s">
        <v>4805</v>
      </c>
      <c r="I1538" s="10">
        <v>1.0</v>
      </c>
      <c r="J1538" s="10">
        <v>0.0</v>
      </c>
      <c r="K1538" s="10">
        <v>1.0</v>
      </c>
    </row>
    <row r="1539">
      <c r="A1539" s="7" t="s">
        <v>4806</v>
      </c>
      <c r="B1539" s="12" t="s">
        <v>4807</v>
      </c>
      <c r="C1539" s="14" t="s">
        <v>2410</v>
      </c>
      <c r="D1539" s="15" t="s">
        <v>196</v>
      </c>
      <c r="E1539" s="16" t="s">
        <v>176</v>
      </c>
      <c r="F1539" s="10" t="s">
        <v>198</v>
      </c>
      <c r="G1539" s="10" t="b">
        <v>0</v>
      </c>
      <c r="H1539" s="10" t="s">
        <v>4808</v>
      </c>
      <c r="I1539" s="10">
        <v>1.0</v>
      </c>
      <c r="J1539" s="10">
        <v>0.0</v>
      </c>
      <c r="K1539" s="10">
        <v>0.0</v>
      </c>
    </row>
    <row r="1540">
      <c r="A1540" s="7" t="s">
        <v>4809</v>
      </c>
      <c r="B1540" s="12" t="s">
        <v>4810</v>
      </c>
      <c r="C1540" s="14" t="s">
        <v>2412</v>
      </c>
      <c r="D1540" s="15" t="s">
        <v>240</v>
      </c>
      <c r="E1540" s="16" t="s">
        <v>24</v>
      </c>
      <c r="F1540" s="10" t="s">
        <v>241</v>
      </c>
      <c r="G1540" s="10" t="b">
        <v>0</v>
      </c>
      <c r="I1540" s="10">
        <v>1.0</v>
      </c>
      <c r="J1540" s="10">
        <v>0.0</v>
      </c>
      <c r="K1540" s="10">
        <v>0.0</v>
      </c>
    </row>
    <row r="1541">
      <c r="A1541" s="7" t="s">
        <v>4811</v>
      </c>
      <c r="B1541" s="12" t="s">
        <v>4812</v>
      </c>
      <c r="C1541" s="14" t="s">
        <v>390</v>
      </c>
      <c r="D1541" s="15" t="s">
        <v>34</v>
      </c>
      <c r="E1541" s="16" t="s">
        <v>99</v>
      </c>
      <c r="F1541" s="10" t="s">
        <v>35</v>
      </c>
      <c r="G1541" s="10" t="b">
        <v>0</v>
      </c>
      <c r="H1541" s="10" t="s">
        <v>2435</v>
      </c>
      <c r="I1541" s="10">
        <v>1.0</v>
      </c>
      <c r="J1541" s="10">
        <v>0.0</v>
      </c>
      <c r="K1541" s="10">
        <v>1.0</v>
      </c>
    </row>
    <row r="1542">
      <c r="A1542" s="7" t="s">
        <v>4813</v>
      </c>
      <c r="B1542" s="12" t="s">
        <v>4814</v>
      </c>
      <c r="C1542" s="14" t="s">
        <v>1302</v>
      </c>
      <c r="D1542" s="15" t="s">
        <v>240</v>
      </c>
      <c r="E1542" s="16" t="s">
        <v>99</v>
      </c>
      <c r="F1542" s="10" t="s">
        <v>241</v>
      </c>
      <c r="G1542" s="10" t="b">
        <v>0</v>
      </c>
      <c r="H1542" s="10" t="s">
        <v>461</v>
      </c>
      <c r="I1542" s="10">
        <v>1.0</v>
      </c>
      <c r="J1542" s="10">
        <v>0.0</v>
      </c>
      <c r="K1542" s="10">
        <v>1.0</v>
      </c>
    </row>
    <row r="1543">
      <c r="A1543" s="7" t="s">
        <v>4815</v>
      </c>
      <c r="B1543" s="12" t="s">
        <v>4816</v>
      </c>
      <c r="C1543" s="14" t="s">
        <v>1302</v>
      </c>
      <c r="D1543" s="15" t="s">
        <v>34</v>
      </c>
      <c r="E1543" s="16" t="s">
        <v>99</v>
      </c>
      <c r="F1543" s="10" t="s">
        <v>35</v>
      </c>
      <c r="G1543" s="10" t="b">
        <v>0</v>
      </c>
      <c r="H1543" s="10" t="s">
        <v>4817</v>
      </c>
      <c r="I1543" s="10">
        <v>1.0</v>
      </c>
      <c r="J1543" s="10">
        <v>0.0</v>
      </c>
      <c r="K1543" s="10">
        <v>0.0</v>
      </c>
    </row>
    <row r="1544">
      <c r="A1544" s="7" t="s">
        <v>4818</v>
      </c>
      <c r="B1544" s="12" t="s">
        <v>4819</v>
      </c>
      <c r="C1544" s="14" t="s">
        <v>2414</v>
      </c>
      <c r="D1544" s="15" t="s">
        <v>34</v>
      </c>
      <c r="E1544" s="16" t="s">
        <v>24</v>
      </c>
      <c r="F1544" s="10" t="s">
        <v>35</v>
      </c>
      <c r="G1544" s="10" t="b">
        <v>0</v>
      </c>
      <c r="H1544" s="10" t="s">
        <v>4820</v>
      </c>
      <c r="I1544" s="10">
        <v>1.0</v>
      </c>
      <c r="J1544" s="10">
        <v>0.0</v>
      </c>
      <c r="K1544" s="10">
        <v>2.0</v>
      </c>
    </row>
    <row r="1545">
      <c r="A1545" s="7" t="s">
        <v>4821</v>
      </c>
      <c r="B1545" s="12" t="s">
        <v>4822</v>
      </c>
      <c r="C1545" s="14" t="s">
        <v>106</v>
      </c>
      <c r="D1545" s="15" t="s">
        <v>176</v>
      </c>
      <c r="E1545" s="16" t="s">
        <v>43</v>
      </c>
      <c r="F1545" s="10" t="s">
        <v>91</v>
      </c>
      <c r="G1545" s="10" t="b">
        <v>0</v>
      </c>
      <c r="H1545" s="10" t="s">
        <v>1456</v>
      </c>
      <c r="I1545" s="10">
        <v>1.0</v>
      </c>
      <c r="J1545" s="10">
        <v>0.0</v>
      </c>
      <c r="K1545" s="10">
        <v>0.0</v>
      </c>
    </row>
    <row r="1546">
      <c r="A1546" s="7" t="s">
        <v>4823</v>
      </c>
      <c r="B1546" s="16"/>
      <c r="C1546" s="14" t="s">
        <v>106</v>
      </c>
      <c r="D1546" s="15" t="s">
        <v>176</v>
      </c>
      <c r="E1546" s="16" t="s">
        <v>176</v>
      </c>
      <c r="F1546" s="10" t="s">
        <v>91</v>
      </c>
      <c r="H1546" s="10" t="s">
        <v>948</v>
      </c>
      <c r="I1546" s="10">
        <v>1.0</v>
      </c>
      <c r="J1546" s="10">
        <v>0.0</v>
      </c>
      <c r="K1546" s="10">
        <v>1.0</v>
      </c>
    </row>
    <row r="1547">
      <c r="A1547" s="7" t="s">
        <v>4824</v>
      </c>
      <c r="B1547" s="12" t="s">
        <v>4825</v>
      </c>
      <c r="C1547" s="14" t="s">
        <v>106</v>
      </c>
      <c r="D1547" s="15" t="s">
        <v>22</v>
      </c>
      <c r="E1547" s="16" t="s">
        <v>43</v>
      </c>
      <c r="F1547" s="10" t="s">
        <v>25</v>
      </c>
      <c r="G1547" s="10" t="b">
        <v>0</v>
      </c>
      <c r="H1547" s="10" t="s">
        <v>4826</v>
      </c>
      <c r="I1547" s="10">
        <v>1.0</v>
      </c>
      <c r="J1547" s="10">
        <v>0.0</v>
      </c>
      <c r="K1547" s="10">
        <v>0.0</v>
      </c>
    </row>
    <row r="1548">
      <c r="A1548" s="7" t="s">
        <v>4827</v>
      </c>
      <c r="B1548" s="12" t="s">
        <v>4828</v>
      </c>
      <c r="C1548" s="14" t="s">
        <v>106</v>
      </c>
      <c r="D1548" s="15" t="s">
        <v>34</v>
      </c>
      <c r="E1548" s="16" t="s">
        <v>43</v>
      </c>
      <c r="F1548" s="10" t="s">
        <v>35</v>
      </c>
      <c r="G1548" s="10" t="b">
        <v>0</v>
      </c>
      <c r="H1548" s="10" t="s">
        <v>2745</v>
      </c>
      <c r="I1548" s="10">
        <v>1.0</v>
      </c>
      <c r="J1548" s="10">
        <v>0.0</v>
      </c>
      <c r="K1548" s="10">
        <v>0.0</v>
      </c>
    </row>
    <row r="1549">
      <c r="A1549" s="7" t="s">
        <v>4829</v>
      </c>
      <c r="B1549" s="12" t="s">
        <v>4830</v>
      </c>
      <c r="C1549" s="14" t="s">
        <v>2416</v>
      </c>
      <c r="D1549" s="15" t="s">
        <v>196</v>
      </c>
      <c r="E1549" s="16" t="s">
        <v>24</v>
      </c>
      <c r="F1549" s="10" t="s">
        <v>198</v>
      </c>
      <c r="G1549" s="10" t="b">
        <v>0</v>
      </c>
      <c r="I1549" s="10">
        <v>1.0</v>
      </c>
      <c r="J1549" s="10">
        <v>0.0</v>
      </c>
      <c r="K1549" s="10">
        <v>1.0</v>
      </c>
    </row>
    <row r="1550">
      <c r="A1550" s="7" t="s">
        <v>4831</v>
      </c>
      <c r="B1550" s="12" t="s">
        <v>4832</v>
      </c>
      <c r="C1550" s="14" t="s">
        <v>2418</v>
      </c>
      <c r="D1550" s="15" t="s">
        <v>34</v>
      </c>
      <c r="E1550" s="16" t="s">
        <v>24</v>
      </c>
      <c r="F1550" s="10" t="s">
        <v>35</v>
      </c>
      <c r="G1550" s="10" t="b">
        <v>0</v>
      </c>
      <c r="H1550" s="10" t="s">
        <v>2924</v>
      </c>
      <c r="I1550" s="10">
        <v>1.0</v>
      </c>
      <c r="J1550" s="10">
        <v>0.0</v>
      </c>
      <c r="K1550" s="10">
        <v>0.0</v>
      </c>
    </row>
    <row r="1551">
      <c r="A1551" s="7" t="s">
        <v>4833</v>
      </c>
      <c r="B1551" s="12" t="s">
        <v>4834</v>
      </c>
      <c r="C1551" s="14" t="s">
        <v>2422</v>
      </c>
      <c r="D1551" s="15" t="s">
        <v>34</v>
      </c>
      <c r="E1551" s="16" t="s">
        <v>24</v>
      </c>
      <c r="F1551" s="10" t="s">
        <v>35</v>
      </c>
      <c r="G1551" s="10" t="b">
        <v>0</v>
      </c>
      <c r="H1551" s="10" t="s">
        <v>4835</v>
      </c>
      <c r="I1551" s="10">
        <v>1.0</v>
      </c>
      <c r="J1551" s="10">
        <v>0.0</v>
      </c>
      <c r="K1551" s="10">
        <v>2.0</v>
      </c>
    </row>
    <row r="1552">
      <c r="A1552" s="7" t="s">
        <v>4836</v>
      </c>
      <c r="B1552" s="12" t="s">
        <v>4837</v>
      </c>
      <c r="C1552" s="14" t="s">
        <v>2426</v>
      </c>
      <c r="D1552" s="15" t="s">
        <v>34</v>
      </c>
      <c r="E1552" s="16" t="s">
        <v>44</v>
      </c>
      <c r="F1552" s="10" t="s">
        <v>35</v>
      </c>
      <c r="G1552" s="10" t="b">
        <v>0</v>
      </c>
      <c r="I1552" s="10">
        <v>1.0</v>
      </c>
      <c r="J1552" s="10">
        <v>0.0</v>
      </c>
      <c r="K1552" s="10">
        <v>1.0</v>
      </c>
    </row>
    <row r="1553">
      <c r="A1553" s="7" t="s">
        <v>4838</v>
      </c>
      <c r="B1553" s="12" t="s">
        <v>4839</v>
      </c>
      <c r="C1553" s="14" t="s">
        <v>2430</v>
      </c>
      <c r="D1553" s="15" t="s">
        <v>34</v>
      </c>
      <c r="E1553" s="16" t="s">
        <v>99</v>
      </c>
      <c r="F1553" s="10" t="s">
        <v>35</v>
      </c>
      <c r="G1553" s="10" t="b">
        <v>0</v>
      </c>
      <c r="I1553" s="10">
        <v>1.0</v>
      </c>
      <c r="J1553" s="10">
        <v>0.0</v>
      </c>
      <c r="K1553" s="10">
        <v>0.0</v>
      </c>
    </row>
    <row r="1554">
      <c r="A1554" s="7" t="s">
        <v>4840</v>
      </c>
      <c r="B1554" s="12" t="s">
        <v>4841</v>
      </c>
      <c r="C1554" s="14" t="s">
        <v>2432</v>
      </c>
      <c r="D1554" s="15" t="s">
        <v>22</v>
      </c>
      <c r="E1554" s="16" t="s">
        <v>99</v>
      </c>
      <c r="F1554" s="10" t="s">
        <v>25</v>
      </c>
      <c r="G1554" s="10" t="b">
        <v>0</v>
      </c>
      <c r="I1554" s="10">
        <v>1.0</v>
      </c>
      <c r="J1554" s="10">
        <v>0.0</v>
      </c>
      <c r="K1554" s="10">
        <v>0.0</v>
      </c>
    </row>
    <row r="1555">
      <c r="A1555" s="7" t="s">
        <v>4842</v>
      </c>
      <c r="B1555" s="12" t="s">
        <v>4843</v>
      </c>
      <c r="C1555" s="14" t="s">
        <v>2433</v>
      </c>
      <c r="D1555" s="15" t="s">
        <v>749</v>
      </c>
      <c r="E1555" s="16" t="s">
        <v>24</v>
      </c>
      <c r="F1555" s="10" t="s">
        <v>750</v>
      </c>
      <c r="G1555" s="10" t="b">
        <v>0</v>
      </c>
      <c r="H1555" s="10" t="s">
        <v>2435</v>
      </c>
      <c r="I1555" s="10">
        <v>1.0</v>
      </c>
      <c r="J1555" s="10">
        <v>0.0</v>
      </c>
      <c r="K1555" s="10">
        <v>1.0</v>
      </c>
    </row>
    <row r="1556">
      <c r="A1556" s="7" t="s">
        <v>4844</v>
      </c>
      <c r="B1556" s="12" t="s">
        <v>4845</v>
      </c>
      <c r="C1556" s="14" t="s">
        <v>2436</v>
      </c>
      <c r="D1556" s="15" t="s">
        <v>196</v>
      </c>
      <c r="E1556" s="16" t="s">
        <v>24</v>
      </c>
      <c r="F1556" s="10" t="s">
        <v>198</v>
      </c>
      <c r="G1556" s="10" t="b">
        <v>0</v>
      </c>
      <c r="I1556" s="10">
        <v>1.0</v>
      </c>
      <c r="J1556" s="10">
        <v>0.0</v>
      </c>
      <c r="K1556" s="10">
        <v>2.0</v>
      </c>
    </row>
    <row r="1557">
      <c r="A1557" s="7" t="s">
        <v>4846</v>
      </c>
      <c r="B1557" s="12" t="s">
        <v>4847</v>
      </c>
      <c r="C1557" s="14" t="s">
        <v>767</v>
      </c>
      <c r="D1557" s="15" t="s">
        <v>51</v>
      </c>
      <c r="E1557" s="16" t="s">
        <v>43</v>
      </c>
      <c r="F1557" s="10" t="s">
        <v>52</v>
      </c>
      <c r="G1557" s="10" t="b">
        <v>0</v>
      </c>
      <c r="H1557" s="10" t="s">
        <v>1374</v>
      </c>
      <c r="I1557" s="10">
        <v>1.0</v>
      </c>
      <c r="J1557" s="10">
        <v>0.0</v>
      </c>
      <c r="K1557" s="10">
        <v>1.0</v>
      </c>
    </row>
    <row r="1558">
      <c r="A1558" s="7" t="s">
        <v>4848</v>
      </c>
      <c r="B1558" s="12" t="s">
        <v>4849</v>
      </c>
      <c r="C1558" s="14" t="s">
        <v>938</v>
      </c>
      <c r="D1558" s="15" t="s">
        <v>196</v>
      </c>
      <c r="E1558" s="16" t="s">
        <v>176</v>
      </c>
      <c r="F1558" s="10" t="s">
        <v>198</v>
      </c>
      <c r="G1558" s="10" t="b">
        <v>0</v>
      </c>
      <c r="H1558" s="10" t="s">
        <v>561</v>
      </c>
      <c r="I1558" s="10">
        <v>1.0</v>
      </c>
      <c r="J1558" s="10">
        <v>0.0</v>
      </c>
      <c r="K1558" s="10">
        <v>0.0</v>
      </c>
    </row>
    <row r="1559">
      <c r="A1559" s="7" t="s">
        <v>4850</v>
      </c>
      <c r="B1559" s="12" t="s">
        <v>4851</v>
      </c>
      <c r="C1559" s="14" t="s">
        <v>938</v>
      </c>
      <c r="D1559" s="15" t="s">
        <v>196</v>
      </c>
      <c r="E1559" s="16" t="s">
        <v>176</v>
      </c>
      <c r="F1559" s="10" t="s">
        <v>198</v>
      </c>
      <c r="G1559" s="10" t="b">
        <v>0</v>
      </c>
      <c r="H1559" s="10" t="s">
        <v>561</v>
      </c>
      <c r="I1559" s="10">
        <v>1.0</v>
      </c>
      <c r="J1559" s="10">
        <v>0.0</v>
      </c>
      <c r="K1559" s="10">
        <v>1.0</v>
      </c>
    </row>
    <row r="1560">
      <c r="A1560" s="7" t="s">
        <v>4852</v>
      </c>
      <c r="B1560" s="12" t="s">
        <v>4853</v>
      </c>
      <c r="C1560" s="14" t="s">
        <v>2437</v>
      </c>
      <c r="D1560" s="15" t="s">
        <v>34</v>
      </c>
      <c r="E1560" s="16" t="s">
        <v>24</v>
      </c>
      <c r="F1560" s="10" t="s">
        <v>35</v>
      </c>
      <c r="G1560" s="10" t="b">
        <v>0</v>
      </c>
      <c r="I1560" s="10">
        <v>1.0</v>
      </c>
      <c r="J1560" s="10">
        <v>0.0</v>
      </c>
      <c r="K1560" s="10">
        <v>1.0</v>
      </c>
    </row>
    <row r="1561">
      <c r="A1561" s="7" t="s">
        <v>4854</v>
      </c>
      <c r="B1561" s="12" t="s">
        <v>4855</v>
      </c>
      <c r="C1561" s="14" t="s">
        <v>2439</v>
      </c>
      <c r="D1561" s="15" t="s">
        <v>34</v>
      </c>
      <c r="E1561" s="16" t="s">
        <v>24</v>
      </c>
      <c r="F1561" s="10" t="s">
        <v>35</v>
      </c>
      <c r="G1561" s="10" t="b">
        <v>0</v>
      </c>
      <c r="H1561" s="10" t="s">
        <v>4856</v>
      </c>
      <c r="I1561" s="10">
        <v>1.0</v>
      </c>
      <c r="J1561" s="10">
        <v>0.0</v>
      </c>
      <c r="K1561" s="10">
        <v>1.0</v>
      </c>
    </row>
    <row r="1562">
      <c r="A1562" s="7" t="s">
        <v>4857</v>
      </c>
      <c r="B1562" s="12" t="s">
        <v>4858</v>
      </c>
      <c r="C1562" s="14" t="s">
        <v>2443</v>
      </c>
      <c r="D1562" s="15" t="s">
        <v>34</v>
      </c>
      <c r="E1562" s="16" t="s">
        <v>24</v>
      </c>
      <c r="F1562" s="10" t="s">
        <v>35</v>
      </c>
      <c r="G1562" s="10" t="b">
        <v>0</v>
      </c>
      <c r="H1562" s="10" t="s">
        <v>4859</v>
      </c>
      <c r="I1562" s="10">
        <v>1.0</v>
      </c>
      <c r="J1562" s="10">
        <v>0.0</v>
      </c>
      <c r="K1562" s="10">
        <v>0.0</v>
      </c>
    </row>
    <row r="1563">
      <c r="A1563" s="7" t="s">
        <v>4860</v>
      </c>
      <c r="B1563" s="12" t="s">
        <v>4861</v>
      </c>
      <c r="C1563" s="14" t="s">
        <v>2445</v>
      </c>
      <c r="D1563" s="15" t="s">
        <v>51</v>
      </c>
      <c r="E1563" s="16" t="s">
        <v>43</v>
      </c>
      <c r="F1563" s="10" t="s">
        <v>52</v>
      </c>
      <c r="G1563" s="10" t="b">
        <v>0</v>
      </c>
      <c r="H1563" s="10" t="s">
        <v>4862</v>
      </c>
      <c r="I1563" s="10">
        <v>1.0</v>
      </c>
      <c r="J1563" s="10">
        <v>0.0</v>
      </c>
      <c r="K1563" s="10">
        <v>1.0</v>
      </c>
    </row>
    <row r="1564">
      <c r="A1564" s="7" t="s">
        <v>4863</v>
      </c>
      <c r="B1564" s="12" t="s">
        <v>4864</v>
      </c>
      <c r="C1564" s="14" t="s">
        <v>2448</v>
      </c>
      <c r="D1564" s="15" t="s">
        <v>34</v>
      </c>
      <c r="E1564" s="16" t="s">
        <v>24</v>
      </c>
      <c r="F1564" s="10" t="s">
        <v>35</v>
      </c>
      <c r="G1564" s="10" t="b">
        <v>0</v>
      </c>
      <c r="H1564" s="10" t="s">
        <v>1013</v>
      </c>
      <c r="I1564" s="10">
        <v>1.0</v>
      </c>
      <c r="J1564" s="10">
        <v>0.0</v>
      </c>
      <c r="K1564" s="10">
        <v>1.0</v>
      </c>
    </row>
    <row r="1565">
      <c r="A1565" s="7" t="s">
        <v>4865</v>
      </c>
      <c r="B1565" s="12" t="s">
        <v>4866</v>
      </c>
      <c r="C1565" s="14" t="s">
        <v>2451</v>
      </c>
      <c r="D1565" s="15" t="s">
        <v>196</v>
      </c>
      <c r="E1565" s="16" t="s">
        <v>24</v>
      </c>
      <c r="F1565" s="10" t="s">
        <v>198</v>
      </c>
      <c r="G1565" s="10" t="b">
        <v>0</v>
      </c>
      <c r="I1565" s="10">
        <v>1.0</v>
      </c>
      <c r="J1565" s="10">
        <v>0.0</v>
      </c>
      <c r="K1565" s="10">
        <v>1.0</v>
      </c>
    </row>
    <row r="1566">
      <c r="A1566" s="7" t="s">
        <v>4867</v>
      </c>
      <c r="B1566" s="16"/>
      <c r="C1566" s="12" t="s">
        <v>2453</v>
      </c>
      <c r="D1566" s="15" t="s">
        <v>240</v>
      </c>
      <c r="E1566" s="16" t="s">
        <v>24</v>
      </c>
      <c r="F1566" s="10" t="s">
        <v>241</v>
      </c>
      <c r="H1566" s="10" t="s">
        <v>948</v>
      </c>
      <c r="I1566" s="10">
        <v>1.0</v>
      </c>
      <c r="J1566" s="10">
        <v>0.0</v>
      </c>
      <c r="K1566" s="10">
        <v>3.0</v>
      </c>
    </row>
    <row r="1567">
      <c r="A1567" s="7" t="s">
        <v>4868</v>
      </c>
      <c r="B1567" s="12" t="s">
        <v>4869</v>
      </c>
      <c r="C1567" s="14" t="s">
        <v>2454</v>
      </c>
      <c r="D1567" s="15" t="s">
        <v>240</v>
      </c>
      <c r="E1567" s="16" t="s">
        <v>24</v>
      </c>
      <c r="F1567" s="10" t="s">
        <v>241</v>
      </c>
      <c r="G1567" s="10" t="b">
        <v>0</v>
      </c>
      <c r="H1567" s="10" t="s">
        <v>2022</v>
      </c>
      <c r="I1567" s="10">
        <v>1.0</v>
      </c>
      <c r="J1567" s="10">
        <v>0.0</v>
      </c>
      <c r="K1567" s="10">
        <v>2.0</v>
      </c>
    </row>
    <row r="1568">
      <c r="A1568" s="7" t="s">
        <v>4870</v>
      </c>
      <c r="B1568" s="12" t="s">
        <v>4871</v>
      </c>
      <c r="C1568" s="14" t="s">
        <v>2456</v>
      </c>
      <c r="D1568" s="15" t="s">
        <v>51</v>
      </c>
      <c r="E1568" s="16" t="s">
        <v>44</v>
      </c>
      <c r="F1568" s="10" t="s">
        <v>52</v>
      </c>
      <c r="G1568" s="10" t="b">
        <v>0</v>
      </c>
      <c r="I1568" s="10">
        <v>1.0</v>
      </c>
      <c r="J1568" s="10">
        <v>0.0</v>
      </c>
      <c r="K1568" s="10">
        <v>1.0</v>
      </c>
    </row>
    <row r="1569">
      <c r="A1569" s="7" t="s">
        <v>4872</v>
      </c>
      <c r="B1569" s="12" t="s">
        <v>4873</v>
      </c>
      <c r="C1569" s="14" t="s">
        <v>2457</v>
      </c>
      <c r="D1569" s="15" t="s">
        <v>176</v>
      </c>
      <c r="E1569" s="16" t="s">
        <v>24</v>
      </c>
      <c r="F1569" s="10" t="s">
        <v>91</v>
      </c>
      <c r="G1569" s="10" t="b">
        <v>0</v>
      </c>
      <c r="H1569" s="10" t="s">
        <v>157</v>
      </c>
      <c r="I1569" s="10">
        <v>1.0</v>
      </c>
      <c r="J1569" s="10">
        <v>0.0</v>
      </c>
      <c r="K1569" s="10">
        <v>1.0</v>
      </c>
    </row>
    <row r="1570">
      <c r="A1570" s="7" t="s">
        <v>4874</v>
      </c>
      <c r="B1570" s="12" t="s">
        <v>4875</v>
      </c>
      <c r="C1570" s="14" t="s">
        <v>2459</v>
      </c>
      <c r="D1570" s="15" t="s">
        <v>176</v>
      </c>
      <c r="E1570" s="16" t="s">
        <v>24</v>
      </c>
      <c r="F1570" s="10" t="s">
        <v>91</v>
      </c>
      <c r="G1570" s="10" t="b">
        <v>0</v>
      </c>
      <c r="I1570" s="10">
        <v>1.0</v>
      </c>
      <c r="J1570" s="10">
        <v>0.0</v>
      </c>
      <c r="K1570" s="10">
        <v>1.0</v>
      </c>
    </row>
    <row r="1571">
      <c r="A1571" s="7" t="s">
        <v>4876</v>
      </c>
      <c r="B1571" s="12" t="s">
        <v>4877</v>
      </c>
      <c r="C1571" s="14" t="s">
        <v>2460</v>
      </c>
      <c r="D1571" s="15" t="s">
        <v>51</v>
      </c>
      <c r="E1571" s="16" t="s">
        <v>24</v>
      </c>
      <c r="F1571" s="10" t="s">
        <v>52</v>
      </c>
      <c r="G1571" s="10" t="b">
        <v>0</v>
      </c>
      <c r="H1571" s="10" t="s">
        <v>2216</v>
      </c>
      <c r="I1571" s="10">
        <v>1.0</v>
      </c>
      <c r="J1571" s="10">
        <v>0.0</v>
      </c>
      <c r="K1571" s="10">
        <v>2.0</v>
      </c>
    </row>
    <row r="1572">
      <c r="A1572" s="7" t="s">
        <v>4878</v>
      </c>
      <c r="B1572" s="12" t="s">
        <v>4879</v>
      </c>
      <c r="C1572" s="14" t="s">
        <v>2461</v>
      </c>
      <c r="D1572" s="15" t="s">
        <v>196</v>
      </c>
      <c r="E1572" s="16" t="s">
        <v>24</v>
      </c>
      <c r="F1572" s="10" t="s">
        <v>198</v>
      </c>
      <c r="G1572" s="10" t="b">
        <v>0</v>
      </c>
      <c r="I1572" s="10">
        <v>1.0</v>
      </c>
      <c r="J1572" s="10">
        <v>0.0</v>
      </c>
      <c r="K1572" s="10">
        <v>0.0</v>
      </c>
    </row>
    <row r="1573">
      <c r="A1573" s="7" t="s">
        <v>4880</v>
      </c>
      <c r="B1573" s="12" t="s">
        <v>4881</v>
      </c>
      <c r="C1573" s="14" t="s">
        <v>1009</v>
      </c>
      <c r="D1573" s="15" t="s">
        <v>34</v>
      </c>
      <c r="E1573" s="16" t="s">
        <v>176</v>
      </c>
      <c r="F1573" s="10" t="s">
        <v>35</v>
      </c>
      <c r="G1573" s="10" t="b">
        <v>0</v>
      </c>
      <c r="I1573" s="10">
        <v>1.0</v>
      </c>
      <c r="J1573" s="10">
        <v>0.0</v>
      </c>
      <c r="K1573" s="10">
        <v>0.0</v>
      </c>
    </row>
    <row r="1574">
      <c r="A1574" s="7" t="s">
        <v>4882</v>
      </c>
      <c r="B1574" s="12" t="s">
        <v>4883</v>
      </c>
      <c r="C1574" s="14" t="s">
        <v>1009</v>
      </c>
      <c r="D1574" s="15" t="s">
        <v>34</v>
      </c>
      <c r="E1574" s="16" t="s">
        <v>176</v>
      </c>
      <c r="F1574" s="10" t="s">
        <v>35</v>
      </c>
      <c r="G1574" s="10" t="b">
        <v>0</v>
      </c>
      <c r="H1574" s="10" t="s">
        <v>4884</v>
      </c>
      <c r="I1574" s="10">
        <v>1.0</v>
      </c>
      <c r="J1574" s="10">
        <v>0.0</v>
      </c>
      <c r="K1574" s="10">
        <v>1.0</v>
      </c>
    </row>
    <row r="1575">
      <c r="A1575" s="7" t="s">
        <v>4885</v>
      </c>
      <c r="B1575" s="12" t="s">
        <v>4881</v>
      </c>
      <c r="C1575" s="14" t="s">
        <v>1009</v>
      </c>
      <c r="D1575" s="15" t="s">
        <v>176</v>
      </c>
      <c r="E1575" s="16" t="s">
        <v>176</v>
      </c>
      <c r="F1575" s="10" t="s">
        <v>91</v>
      </c>
      <c r="G1575" s="10" t="b">
        <v>0</v>
      </c>
      <c r="I1575" s="10">
        <v>1.0</v>
      </c>
      <c r="J1575" s="10">
        <v>0.0</v>
      </c>
      <c r="K1575" s="10">
        <v>0.0</v>
      </c>
    </row>
    <row r="1576">
      <c r="A1576" s="7" t="s">
        <v>4886</v>
      </c>
      <c r="B1576" s="12" t="s">
        <v>4887</v>
      </c>
      <c r="C1576" s="14" t="s">
        <v>299</v>
      </c>
      <c r="D1576" s="15" t="s">
        <v>404</v>
      </c>
      <c r="E1576" s="16" t="s">
        <v>107</v>
      </c>
      <c r="F1576" s="10" t="s">
        <v>405</v>
      </c>
      <c r="G1576" s="10" t="b">
        <v>0</v>
      </c>
      <c r="H1576" s="10" t="s">
        <v>2022</v>
      </c>
      <c r="I1576" s="10">
        <v>1.0</v>
      </c>
      <c r="J1576" s="10">
        <v>0.0</v>
      </c>
      <c r="K1576" s="10">
        <v>0.0</v>
      </c>
    </row>
    <row r="1577">
      <c r="A1577" s="7" t="s">
        <v>4888</v>
      </c>
      <c r="B1577" s="12" t="s">
        <v>4889</v>
      </c>
      <c r="C1577" s="14" t="s">
        <v>2463</v>
      </c>
      <c r="D1577" s="15" t="s">
        <v>577</v>
      </c>
      <c r="E1577" s="16" t="s">
        <v>176</v>
      </c>
      <c r="F1577" s="10" t="s">
        <v>578</v>
      </c>
      <c r="G1577" s="10" t="b">
        <v>0</v>
      </c>
      <c r="I1577" s="10">
        <v>1.0</v>
      </c>
      <c r="J1577" s="10">
        <v>0.0</v>
      </c>
      <c r="K1577" s="10">
        <v>1.0</v>
      </c>
    </row>
    <row r="1578">
      <c r="A1578" s="7" t="s">
        <v>4890</v>
      </c>
      <c r="B1578" s="16"/>
      <c r="C1578" s="14" t="s">
        <v>2464</v>
      </c>
      <c r="D1578" s="15" t="s">
        <v>176</v>
      </c>
      <c r="E1578" s="16" t="s">
        <v>176</v>
      </c>
      <c r="F1578" s="10" t="s">
        <v>91</v>
      </c>
      <c r="H1578" s="10" t="s">
        <v>948</v>
      </c>
      <c r="I1578" s="10">
        <v>1.0</v>
      </c>
      <c r="J1578" s="10">
        <v>0.0</v>
      </c>
      <c r="K1578" s="10">
        <v>1.0</v>
      </c>
    </row>
    <row r="1579">
      <c r="A1579" s="7" t="s">
        <v>4891</v>
      </c>
      <c r="B1579" s="12" t="s">
        <v>4892</v>
      </c>
      <c r="C1579" s="14" t="s">
        <v>2465</v>
      </c>
      <c r="D1579" s="15" t="s">
        <v>34</v>
      </c>
      <c r="E1579" s="16" t="s">
        <v>107</v>
      </c>
      <c r="F1579" s="10" t="s">
        <v>35</v>
      </c>
      <c r="G1579" s="10" t="b">
        <v>0</v>
      </c>
      <c r="H1579" s="10" t="s">
        <v>4893</v>
      </c>
      <c r="I1579" s="10">
        <v>1.0</v>
      </c>
      <c r="J1579" s="10">
        <v>0.0</v>
      </c>
      <c r="K1579" s="10">
        <v>1.0</v>
      </c>
    </row>
    <row r="1580">
      <c r="A1580" s="7" t="s">
        <v>4894</v>
      </c>
      <c r="B1580" s="12" t="s">
        <v>4895</v>
      </c>
      <c r="C1580" s="14" t="s">
        <v>2468</v>
      </c>
      <c r="D1580" s="15" t="s">
        <v>34</v>
      </c>
      <c r="E1580" s="16" t="s">
        <v>24</v>
      </c>
      <c r="F1580" s="10" t="s">
        <v>35</v>
      </c>
      <c r="G1580" s="10" t="b">
        <v>0</v>
      </c>
      <c r="I1580" s="10">
        <v>1.0</v>
      </c>
      <c r="J1580" s="10">
        <v>0.0</v>
      </c>
      <c r="K1580" s="10">
        <v>1.0</v>
      </c>
    </row>
    <row r="1581">
      <c r="A1581" s="7" t="s">
        <v>4896</v>
      </c>
      <c r="B1581" s="12" t="s">
        <v>4897</v>
      </c>
      <c r="C1581" s="14" t="s">
        <v>2470</v>
      </c>
      <c r="D1581" s="15" t="s">
        <v>196</v>
      </c>
      <c r="E1581" s="16" t="s">
        <v>24</v>
      </c>
      <c r="F1581" s="10" t="s">
        <v>198</v>
      </c>
      <c r="G1581" s="10" t="b">
        <v>0</v>
      </c>
      <c r="I1581" s="10">
        <v>1.0</v>
      </c>
      <c r="J1581" s="10">
        <v>0.0</v>
      </c>
      <c r="K1581" s="10">
        <v>0.0</v>
      </c>
    </row>
    <row r="1582">
      <c r="A1582" s="7" t="s">
        <v>4898</v>
      </c>
      <c r="B1582" s="12" t="s">
        <v>4899</v>
      </c>
      <c r="C1582" s="14" t="s">
        <v>2471</v>
      </c>
      <c r="D1582" s="15" t="s">
        <v>34</v>
      </c>
      <c r="E1582" s="16" t="s">
        <v>24</v>
      </c>
      <c r="F1582" s="10" t="s">
        <v>35</v>
      </c>
      <c r="G1582" s="10" t="b">
        <v>0</v>
      </c>
      <c r="H1582" s="10" t="s">
        <v>2474</v>
      </c>
      <c r="I1582" s="10">
        <v>1.0</v>
      </c>
      <c r="J1582" s="10">
        <v>0.0</v>
      </c>
      <c r="K1582" s="10">
        <v>3.0</v>
      </c>
    </row>
    <row r="1583">
      <c r="A1583" s="7" t="s">
        <v>4900</v>
      </c>
      <c r="B1583" s="12" t="s">
        <v>4901</v>
      </c>
      <c r="C1583" s="14" t="s">
        <v>772</v>
      </c>
      <c r="D1583" s="15" t="s">
        <v>240</v>
      </c>
      <c r="E1583" s="16" t="s">
        <v>24</v>
      </c>
      <c r="F1583" s="10" t="s">
        <v>241</v>
      </c>
      <c r="G1583" s="10" t="b">
        <v>0</v>
      </c>
      <c r="H1583" s="10" t="s">
        <v>384</v>
      </c>
      <c r="I1583" s="10">
        <v>1.0</v>
      </c>
      <c r="J1583" s="10">
        <v>0.0</v>
      </c>
      <c r="K1583" s="10">
        <v>0.0</v>
      </c>
    </row>
    <row r="1584">
      <c r="A1584" s="7" t="s">
        <v>4902</v>
      </c>
      <c r="B1584" s="12" t="s">
        <v>4903</v>
      </c>
      <c r="C1584" s="14" t="s">
        <v>2475</v>
      </c>
      <c r="D1584" s="15" t="s">
        <v>196</v>
      </c>
      <c r="E1584" s="16" t="s">
        <v>24</v>
      </c>
      <c r="F1584" s="10" t="s">
        <v>198</v>
      </c>
      <c r="G1584" s="10" t="b">
        <v>0</v>
      </c>
      <c r="I1584" s="10">
        <v>1.0</v>
      </c>
      <c r="J1584" s="10">
        <v>0.0</v>
      </c>
      <c r="K1584" s="10">
        <v>1.0</v>
      </c>
    </row>
    <row r="1585">
      <c r="A1585" s="7" t="s">
        <v>4904</v>
      </c>
      <c r="B1585" s="12" t="s">
        <v>4905</v>
      </c>
      <c r="C1585" s="12" t="s">
        <v>2477</v>
      </c>
      <c r="D1585" s="15" t="s">
        <v>34</v>
      </c>
      <c r="E1585" s="16" t="s">
        <v>24</v>
      </c>
      <c r="F1585" s="10" t="s">
        <v>35</v>
      </c>
      <c r="G1585" s="10" t="b">
        <v>0</v>
      </c>
      <c r="I1585" s="10">
        <v>1.0</v>
      </c>
      <c r="J1585" s="10">
        <v>0.0</v>
      </c>
      <c r="K1585" s="10">
        <v>1.0</v>
      </c>
    </row>
    <row r="1586">
      <c r="A1586" s="7" t="s">
        <v>4906</v>
      </c>
      <c r="B1586" s="12" t="s">
        <v>4907</v>
      </c>
      <c r="C1586" s="14" t="s">
        <v>2479</v>
      </c>
      <c r="D1586" s="15" t="s">
        <v>34</v>
      </c>
      <c r="E1586" s="16" t="s">
        <v>24</v>
      </c>
      <c r="F1586" s="10" t="s">
        <v>35</v>
      </c>
      <c r="G1586" s="10" t="b">
        <v>0</v>
      </c>
      <c r="I1586" s="10">
        <v>1.0</v>
      </c>
      <c r="J1586" s="10">
        <v>0.0</v>
      </c>
      <c r="K1586" s="10">
        <v>1.0</v>
      </c>
    </row>
    <row r="1587">
      <c r="A1587" s="7" t="s">
        <v>4908</v>
      </c>
      <c r="B1587" s="12" t="s">
        <v>4909</v>
      </c>
      <c r="C1587" s="14" t="s">
        <v>940</v>
      </c>
      <c r="D1587" s="15" t="s">
        <v>22</v>
      </c>
      <c r="E1587" s="16" t="s">
        <v>24</v>
      </c>
      <c r="F1587" s="10" t="s">
        <v>25</v>
      </c>
      <c r="G1587" s="10" t="b">
        <v>0</v>
      </c>
      <c r="H1587" s="10" t="s">
        <v>4910</v>
      </c>
      <c r="I1587" s="10">
        <v>1.0</v>
      </c>
      <c r="J1587" s="10">
        <v>0.0</v>
      </c>
      <c r="K1587" s="10">
        <v>1.0</v>
      </c>
    </row>
    <row r="1588">
      <c r="A1588" s="7" t="s">
        <v>4911</v>
      </c>
      <c r="B1588" s="12" t="s">
        <v>4912</v>
      </c>
      <c r="C1588" s="14" t="s">
        <v>940</v>
      </c>
      <c r="D1588" s="15" t="s">
        <v>404</v>
      </c>
      <c r="E1588" s="16" t="s">
        <v>24</v>
      </c>
      <c r="F1588" s="10" t="s">
        <v>405</v>
      </c>
      <c r="G1588" s="10" t="b">
        <v>0</v>
      </c>
      <c r="I1588" s="10">
        <v>1.0</v>
      </c>
      <c r="J1588" s="10">
        <v>0.0</v>
      </c>
      <c r="K1588" s="10">
        <v>0.0</v>
      </c>
    </row>
    <row r="1589">
      <c r="A1589" s="7" t="s">
        <v>4913</v>
      </c>
      <c r="B1589" s="12" t="s">
        <v>4914</v>
      </c>
      <c r="C1589" s="14" t="s">
        <v>940</v>
      </c>
      <c r="D1589" s="15" t="s">
        <v>22</v>
      </c>
      <c r="E1589" s="16" t="s">
        <v>24</v>
      </c>
      <c r="F1589" s="10" t="s">
        <v>25</v>
      </c>
      <c r="G1589" s="10" t="b">
        <v>0</v>
      </c>
      <c r="H1589" s="10" t="s">
        <v>4915</v>
      </c>
      <c r="I1589" s="10">
        <v>1.0</v>
      </c>
      <c r="J1589" s="10">
        <v>0.0</v>
      </c>
      <c r="K1589" s="10">
        <v>1.0</v>
      </c>
    </row>
    <row r="1590">
      <c r="A1590" s="7" t="s">
        <v>4916</v>
      </c>
      <c r="B1590" s="12" t="s">
        <v>4917</v>
      </c>
      <c r="C1590" s="14" t="s">
        <v>940</v>
      </c>
      <c r="D1590" s="15" t="s">
        <v>51</v>
      </c>
      <c r="E1590" s="16" t="s">
        <v>24</v>
      </c>
      <c r="F1590" s="10" t="s">
        <v>52</v>
      </c>
      <c r="G1590" s="10" t="b">
        <v>0</v>
      </c>
      <c r="H1590" s="10" t="s">
        <v>1402</v>
      </c>
      <c r="I1590" s="10">
        <v>1.0</v>
      </c>
      <c r="J1590" s="10">
        <v>0.0</v>
      </c>
      <c r="K1590" s="10">
        <v>3.0</v>
      </c>
    </row>
    <row r="1591">
      <c r="A1591" s="7" t="s">
        <v>4918</v>
      </c>
      <c r="B1591" s="12" t="s">
        <v>4919</v>
      </c>
      <c r="C1591" s="14" t="s">
        <v>2482</v>
      </c>
      <c r="D1591" s="15" t="s">
        <v>749</v>
      </c>
      <c r="E1591" s="16" t="s">
        <v>24</v>
      </c>
      <c r="F1591" s="10" t="s">
        <v>750</v>
      </c>
      <c r="G1591" s="10" t="b">
        <v>0</v>
      </c>
      <c r="H1591" s="10" t="s">
        <v>119</v>
      </c>
      <c r="I1591" s="10">
        <v>1.0</v>
      </c>
      <c r="J1591" s="10">
        <v>0.0</v>
      </c>
      <c r="K1591" s="10">
        <v>1.0</v>
      </c>
    </row>
    <row r="1592">
      <c r="A1592" s="7" t="s">
        <v>4920</v>
      </c>
      <c r="B1592" s="12" t="s">
        <v>4921</v>
      </c>
      <c r="C1592" s="14" t="s">
        <v>1314</v>
      </c>
      <c r="D1592" s="15" t="s">
        <v>34</v>
      </c>
      <c r="E1592" s="16" t="s">
        <v>24</v>
      </c>
      <c r="F1592" s="10" t="s">
        <v>35</v>
      </c>
      <c r="G1592" s="10" t="b">
        <v>0</v>
      </c>
      <c r="H1592" s="10" t="s">
        <v>623</v>
      </c>
      <c r="I1592" s="10">
        <v>1.0</v>
      </c>
      <c r="J1592" s="10">
        <v>0.0</v>
      </c>
      <c r="K1592" s="10">
        <v>0.0</v>
      </c>
    </row>
    <row r="1593">
      <c r="A1593" s="7" t="s">
        <v>4922</v>
      </c>
      <c r="B1593" s="12" t="s">
        <v>4923</v>
      </c>
      <c r="C1593" s="14" t="s">
        <v>2484</v>
      </c>
      <c r="D1593" s="15" t="s">
        <v>34</v>
      </c>
      <c r="E1593" s="16" t="s">
        <v>24</v>
      </c>
      <c r="F1593" s="10" t="s">
        <v>35</v>
      </c>
      <c r="G1593" s="10" t="b">
        <v>0</v>
      </c>
      <c r="H1593" s="10" t="s">
        <v>340</v>
      </c>
      <c r="I1593" s="10">
        <v>1.0</v>
      </c>
      <c r="J1593" s="10">
        <v>0.0</v>
      </c>
      <c r="K1593" s="10">
        <v>1.0</v>
      </c>
    </row>
    <row r="1594">
      <c r="A1594" s="7" t="s">
        <v>4924</v>
      </c>
      <c r="B1594" s="12" t="s">
        <v>4925</v>
      </c>
      <c r="C1594" s="14" t="s">
        <v>2486</v>
      </c>
      <c r="D1594" s="15" t="s">
        <v>196</v>
      </c>
      <c r="E1594" s="16" t="s">
        <v>24</v>
      </c>
      <c r="F1594" s="10" t="s">
        <v>198</v>
      </c>
      <c r="G1594" s="10" t="b">
        <v>0</v>
      </c>
      <c r="H1594" s="10" t="s">
        <v>384</v>
      </c>
      <c r="I1594" s="10">
        <v>1.0</v>
      </c>
      <c r="J1594" s="10">
        <v>0.0</v>
      </c>
      <c r="K1594" s="10">
        <v>2.0</v>
      </c>
    </row>
    <row r="1595">
      <c r="A1595" s="7" t="s">
        <v>4926</v>
      </c>
      <c r="B1595" s="12" t="s">
        <v>4927</v>
      </c>
      <c r="C1595" s="14" t="s">
        <v>2488</v>
      </c>
      <c r="D1595" s="15" t="s">
        <v>196</v>
      </c>
      <c r="E1595" s="16" t="s">
        <v>24</v>
      </c>
      <c r="F1595" s="10" t="s">
        <v>198</v>
      </c>
      <c r="G1595" s="10" t="b">
        <v>0</v>
      </c>
      <c r="I1595" s="10">
        <v>1.0</v>
      </c>
      <c r="J1595" s="10">
        <v>0.0</v>
      </c>
      <c r="K1595" s="10">
        <v>0.0</v>
      </c>
    </row>
    <row r="1596">
      <c r="A1596" s="7" t="s">
        <v>4928</v>
      </c>
      <c r="B1596" s="12" t="s">
        <v>4929</v>
      </c>
      <c r="C1596" s="14" t="s">
        <v>1351</v>
      </c>
      <c r="D1596" s="15" t="s">
        <v>577</v>
      </c>
      <c r="E1596" s="16" t="s">
        <v>24</v>
      </c>
      <c r="F1596" s="10" t="s">
        <v>578</v>
      </c>
      <c r="G1596" s="10" t="b">
        <v>0</v>
      </c>
      <c r="H1596" s="10" t="s">
        <v>1177</v>
      </c>
      <c r="I1596" s="10">
        <v>1.0</v>
      </c>
      <c r="J1596" s="10">
        <v>0.0</v>
      </c>
      <c r="K1596" s="10">
        <v>3.0</v>
      </c>
    </row>
    <row r="1597">
      <c r="A1597" s="7" t="s">
        <v>4930</v>
      </c>
      <c r="B1597" s="12" t="s">
        <v>4931</v>
      </c>
      <c r="C1597" s="14" t="s">
        <v>2490</v>
      </c>
      <c r="D1597" s="15" t="s">
        <v>34</v>
      </c>
      <c r="E1597" s="16" t="s">
        <v>24</v>
      </c>
      <c r="F1597" s="10" t="s">
        <v>35</v>
      </c>
      <c r="G1597" s="10" t="b">
        <v>0</v>
      </c>
      <c r="H1597" s="10" t="s">
        <v>119</v>
      </c>
      <c r="I1597" s="10">
        <v>1.0</v>
      </c>
      <c r="J1597" s="10">
        <v>0.0</v>
      </c>
      <c r="K1597" s="10">
        <v>0.0</v>
      </c>
    </row>
    <row r="1598">
      <c r="A1598" s="7" t="s">
        <v>4932</v>
      </c>
      <c r="B1598" s="12" t="s">
        <v>4933</v>
      </c>
      <c r="C1598" s="12" t="s">
        <v>2491</v>
      </c>
      <c r="D1598" s="15" t="s">
        <v>240</v>
      </c>
      <c r="E1598" s="16" t="s">
        <v>24</v>
      </c>
      <c r="F1598" s="10" t="s">
        <v>241</v>
      </c>
      <c r="G1598" s="10" t="b">
        <v>0</v>
      </c>
      <c r="I1598" s="10">
        <v>1.0</v>
      </c>
      <c r="J1598" s="10">
        <v>0.0</v>
      </c>
      <c r="K1598" s="10">
        <v>0.0</v>
      </c>
    </row>
    <row r="1599">
      <c r="A1599" s="7" t="s">
        <v>4934</v>
      </c>
      <c r="B1599" s="12" t="s">
        <v>4935</v>
      </c>
      <c r="C1599" s="12" t="s">
        <v>2493</v>
      </c>
      <c r="D1599" s="15" t="s">
        <v>34</v>
      </c>
      <c r="E1599" s="16" t="s">
        <v>24</v>
      </c>
      <c r="F1599" s="10" t="s">
        <v>35</v>
      </c>
      <c r="G1599" s="10" t="b">
        <v>0</v>
      </c>
      <c r="H1599" s="10" t="s">
        <v>2494</v>
      </c>
      <c r="I1599" s="10">
        <v>1.0</v>
      </c>
      <c r="J1599" s="10">
        <v>0.0</v>
      </c>
      <c r="K1599" s="10">
        <v>1.0</v>
      </c>
    </row>
    <row r="1600">
      <c r="A1600" s="7" t="s">
        <v>4936</v>
      </c>
      <c r="B1600" s="12" t="s">
        <v>4937</v>
      </c>
      <c r="C1600" s="14" t="s">
        <v>42</v>
      </c>
      <c r="D1600" s="15" t="s">
        <v>176</v>
      </c>
      <c r="E1600" s="16" t="s">
        <v>43</v>
      </c>
      <c r="F1600" s="10" t="s">
        <v>91</v>
      </c>
      <c r="G1600" s="10" t="b">
        <v>0</v>
      </c>
      <c r="H1600" s="10" t="s">
        <v>4938</v>
      </c>
      <c r="I1600" s="10">
        <v>1.0</v>
      </c>
      <c r="J1600" s="10">
        <v>0.0</v>
      </c>
      <c r="K1600" s="10">
        <v>0.0</v>
      </c>
    </row>
    <row r="1601">
      <c r="A1601" s="7" t="s">
        <v>4939</v>
      </c>
      <c r="B1601" s="12" t="s">
        <v>4937</v>
      </c>
      <c r="C1601" s="14" t="s">
        <v>42</v>
      </c>
      <c r="D1601" s="15" t="s">
        <v>34</v>
      </c>
      <c r="E1601" s="16" t="s">
        <v>43</v>
      </c>
      <c r="F1601" s="10" t="s">
        <v>35</v>
      </c>
      <c r="G1601" s="10" t="b">
        <v>0</v>
      </c>
      <c r="H1601" s="10" t="s">
        <v>4940</v>
      </c>
      <c r="I1601" s="10">
        <v>1.0</v>
      </c>
      <c r="J1601" s="10">
        <v>0.0</v>
      </c>
      <c r="K1601" s="10">
        <v>4.0</v>
      </c>
    </row>
    <row r="1602">
      <c r="A1602" s="7" t="s">
        <v>4941</v>
      </c>
      <c r="B1602" s="12" t="s">
        <v>4942</v>
      </c>
      <c r="C1602" s="14" t="s">
        <v>2495</v>
      </c>
      <c r="D1602" s="15" t="s">
        <v>196</v>
      </c>
      <c r="E1602" s="16" t="s">
        <v>24</v>
      </c>
      <c r="F1602" s="10" t="s">
        <v>198</v>
      </c>
      <c r="G1602" s="10" t="b">
        <v>0</v>
      </c>
      <c r="I1602" s="10">
        <v>1.0</v>
      </c>
      <c r="J1602" s="10">
        <v>0.0</v>
      </c>
      <c r="K1602" s="10">
        <v>1.0</v>
      </c>
    </row>
    <row r="1603">
      <c r="A1603" s="7" t="s">
        <v>4943</v>
      </c>
      <c r="B1603" s="12" t="s">
        <v>4944</v>
      </c>
      <c r="C1603" s="14" t="s">
        <v>2497</v>
      </c>
      <c r="D1603" s="15" t="s">
        <v>240</v>
      </c>
      <c r="E1603" s="16" t="s">
        <v>24</v>
      </c>
      <c r="F1603" s="10" t="s">
        <v>241</v>
      </c>
      <c r="G1603" s="10" t="b">
        <v>0</v>
      </c>
      <c r="I1603" s="10">
        <v>1.0</v>
      </c>
      <c r="J1603" s="10">
        <v>0.0</v>
      </c>
      <c r="K1603" s="10">
        <v>1.0</v>
      </c>
    </row>
    <row r="1604">
      <c r="A1604" s="7" t="s">
        <v>4945</v>
      </c>
      <c r="B1604" s="12" t="s">
        <v>4946</v>
      </c>
      <c r="C1604" s="14" t="s">
        <v>2499</v>
      </c>
      <c r="D1604" s="15" t="s">
        <v>196</v>
      </c>
      <c r="E1604" s="16" t="s">
        <v>24</v>
      </c>
      <c r="F1604" s="10" t="s">
        <v>198</v>
      </c>
      <c r="G1604" s="10" t="b">
        <v>0</v>
      </c>
      <c r="I1604" s="10">
        <v>1.0</v>
      </c>
      <c r="J1604" s="10">
        <v>0.0</v>
      </c>
      <c r="K1604" s="10">
        <v>1.0</v>
      </c>
    </row>
    <row r="1605">
      <c r="A1605" s="7" t="s">
        <v>4947</v>
      </c>
      <c r="B1605" s="12" t="s">
        <v>4948</v>
      </c>
      <c r="C1605" s="14" t="s">
        <v>1320</v>
      </c>
      <c r="D1605" s="15" t="s">
        <v>34</v>
      </c>
      <c r="E1605" s="16" t="s">
        <v>24</v>
      </c>
      <c r="F1605" s="10" t="s">
        <v>35</v>
      </c>
      <c r="G1605" s="10" t="b">
        <v>0</v>
      </c>
      <c r="H1605" s="10" t="s">
        <v>4949</v>
      </c>
      <c r="I1605" s="10">
        <v>1.0</v>
      </c>
      <c r="J1605" s="10">
        <v>0.0</v>
      </c>
      <c r="K1605" s="10">
        <v>4.0</v>
      </c>
    </row>
    <row r="1606">
      <c r="A1606" s="7" t="s">
        <v>4950</v>
      </c>
      <c r="B1606" s="12" t="s">
        <v>4951</v>
      </c>
      <c r="C1606" s="14" t="s">
        <v>1320</v>
      </c>
      <c r="D1606" s="15" t="s">
        <v>34</v>
      </c>
      <c r="E1606" s="16" t="s">
        <v>24</v>
      </c>
      <c r="F1606" s="10" t="s">
        <v>35</v>
      </c>
      <c r="G1606" s="10" t="b">
        <v>0</v>
      </c>
      <c r="H1606" s="10" t="s">
        <v>4952</v>
      </c>
      <c r="I1606" s="10">
        <v>1.0</v>
      </c>
      <c r="J1606" s="10">
        <v>0.0</v>
      </c>
      <c r="K1606" s="10">
        <v>0.0</v>
      </c>
    </row>
    <row r="1607">
      <c r="A1607" s="7" t="s">
        <v>4953</v>
      </c>
      <c r="B1607" s="12" t="s">
        <v>4954</v>
      </c>
      <c r="C1607" s="14" t="s">
        <v>2502</v>
      </c>
      <c r="D1607" s="15" t="s">
        <v>34</v>
      </c>
      <c r="E1607" s="16" t="s">
        <v>24</v>
      </c>
      <c r="F1607" s="10" t="s">
        <v>35</v>
      </c>
      <c r="G1607" s="10" t="b">
        <v>0</v>
      </c>
      <c r="I1607" s="10">
        <v>1.0</v>
      </c>
      <c r="J1607" s="10">
        <v>0.0</v>
      </c>
      <c r="K1607" s="10">
        <v>1.0</v>
      </c>
    </row>
    <row r="1608">
      <c r="A1608" s="7" t="s">
        <v>4955</v>
      </c>
      <c r="B1608" s="12" t="s">
        <v>4956</v>
      </c>
      <c r="C1608" s="14" t="s">
        <v>2504</v>
      </c>
      <c r="D1608" s="15" t="s">
        <v>34</v>
      </c>
      <c r="E1608" s="16" t="s">
        <v>107</v>
      </c>
      <c r="F1608" s="10" t="s">
        <v>35</v>
      </c>
      <c r="G1608" s="10" t="b">
        <v>0</v>
      </c>
      <c r="H1608" s="10" t="s">
        <v>2376</v>
      </c>
      <c r="I1608" s="10">
        <v>1.0</v>
      </c>
      <c r="J1608" s="10">
        <v>0.0</v>
      </c>
      <c r="K1608" s="10">
        <v>1.0</v>
      </c>
    </row>
    <row r="1609">
      <c r="A1609" s="7" t="s">
        <v>4957</v>
      </c>
      <c r="B1609" s="12" t="s">
        <v>4958</v>
      </c>
      <c r="C1609" s="14" t="s">
        <v>2506</v>
      </c>
      <c r="D1609" s="15" t="s">
        <v>34</v>
      </c>
      <c r="E1609" s="16" t="s">
        <v>24</v>
      </c>
      <c r="F1609" s="10" t="s">
        <v>35</v>
      </c>
      <c r="G1609" s="10" t="b">
        <v>0</v>
      </c>
      <c r="H1609" s="10" t="s">
        <v>4959</v>
      </c>
      <c r="I1609" s="10">
        <v>1.0</v>
      </c>
      <c r="J1609" s="10">
        <v>0.0</v>
      </c>
      <c r="K1609" s="10">
        <v>0.0</v>
      </c>
    </row>
    <row r="1610">
      <c r="A1610" s="7" t="s">
        <v>4960</v>
      </c>
      <c r="B1610" s="16"/>
      <c r="C1610" s="14" t="s">
        <v>2508</v>
      </c>
      <c r="D1610" s="15" t="s">
        <v>176</v>
      </c>
      <c r="E1610" s="16" t="s">
        <v>176</v>
      </c>
      <c r="F1610" s="10" t="s">
        <v>91</v>
      </c>
      <c r="H1610" s="10" t="s">
        <v>948</v>
      </c>
      <c r="I1610" s="10">
        <v>1.0</v>
      </c>
      <c r="J1610" s="10">
        <v>0.0</v>
      </c>
      <c r="K1610" s="10">
        <v>1.0</v>
      </c>
    </row>
    <row r="1611">
      <c r="A1611" s="7" t="s">
        <v>4961</v>
      </c>
      <c r="B1611" s="12" t="s">
        <v>4962</v>
      </c>
      <c r="C1611" s="14" t="s">
        <v>707</v>
      </c>
      <c r="D1611" s="15" t="s">
        <v>34</v>
      </c>
      <c r="E1611" s="16" t="s">
        <v>24</v>
      </c>
      <c r="F1611" s="10" t="s">
        <v>35</v>
      </c>
      <c r="G1611" s="10" t="b">
        <v>0</v>
      </c>
      <c r="H1611" s="10" t="s">
        <v>4963</v>
      </c>
      <c r="I1611" s="10">
        <v>1.0</v>
      </c>
      <c r="J1611" s="10">
        <v>0.0</v>
      </c>
      <c r="K1611" s="10">
        <v>0.0</v>
      </c>
    </row>
    <row r="1612">
      <c r="A1612" s="7" t="s">
        <v>4964</v>
      </c>
      <c r="B1612" s="12" t="s">
        <v>4965</v>
      </c>
      <c r="C1612" s="14" t="s">
        <v>2511</v>
      </c>
      <c r="D1612" s="15" t="s">
        <v>34</v>
      </c>
      <c r="E1612" s="16" t="s">
        <v>24</v>
      </c>
      <c r="F1612" s="10" t="s">
        <v>35</v>
      </c>
      <c r="G1612" s="10" t="b">
        <v>0</v>
      </c>
      <c r="H1612" s="10" t="s">
        <v>584</v>
      </c>
      <c r="I1612" s="10">
        <v>1.0</v>
      </c>
      <c r="J1612" s="10">
        <v>0.0</v>
      </c>
      <c r="K1612" s="10">
        <v>0.0</v>
      </c>
    </row>
    <row r="1613">
      <c r="A1613" s="7" t="s">
        <v>4966</v>
      </c>
      <c r="B1613" s="12" t="s">
        <v>4967</v>
      </c>
      <c r="C1613" s="14" t="s">
        <v>2513</v>
      </c>
      <c r="D1613" s="15" t="s">
        <v>34</v>
      </c>
      <c r="E1613" s="16" t="s">
        <v>24</v>
      </c>
      <c r="F1613" s="10" t="s">
        <v>35</v>
      </c>
      <c r="G1613" s="10" t="b">
        <v>0</v>
      </c>
      <c r="H1613" s="10" t="s">
        <v>4968</v>
      </c>
      <c r="I1613" s="10">
        <v>1.0</v>
      </c>
      <c r="J1613" s="10">
        <v>0.0</v>
      </c>
      <c r="K1613" s="10">
        <v>1.0</v>
      </c>
    </row>
    <row r="1614">
      <c r="A1614" s="7" t="s">
        <v>4969</v>
      </c>
      <c r="B1614" s="12" t="s">
        <v>4970</v>
      </c>
      <c r="C1614" s="14" t="s">
        <v>396</v>
      </c>
      <c r="D1614" s="15" t="s">
        <v>51</v>
      </c>
      <c r="E1614" s="16" t="s">
        <v>43</v>
      </c>
      <c r="F1614" s="10" t="s">
        <v>52</v>
      </c>
      <c r="G1614" s="10" t="b">
        <v>0</v>
      </c>
      <c r="H1614" s="10" t="s">
        <v>285</v>
      </c>
      <c r="I1614" s="10">
        <v>1.0</v>
      </c>
      <c r="J1614" s="10">
        <v>0.0</v>
      </c>
      <c r="K1614" s="10">
        <v>1.0</v>
      </c>
    </row>
    <row r="1615">
      <c r="A1615" s="7" t="s">
        <v>4971</v>
      </c>
      <c r="B1615" s="12" t="s">
        <v>2248</v>
      </c>
      <c r="C1615" s="14" t="s">
        <v>396</v>
      </c>
      <c r="D1615" s="15" t="s">
        <v>51</v>
      </c>
      <c r="E1615" s="16" t="s">
        <v>43</v>
      </c>
      <c r="F1615" s="10" t="s">
        <v>52</v>
      </c>
      <c r="G1615" s="10" t="b">
        <v>0</v>
      </c>
      <c r="H1615" s="10" t="s">
        <v>2250</v>
      </c>
      <c r="I1615" s="10">
        <v>1.0</v>
      </c>
      <c r="J1615" s="10">
        <v>0.0</v>
      </c>
      <c r="K1615" s="10">
        <v>0.0</v>
      </c>
    </row>
    <row r="1616">
      <c r="A1616" s="7" t="s">
        <v>4972</v>
      </c>
      <c r="B1616" s="12" t="s">
        <v>4973</v>
      </c>
      <c r="C1616" s="14" t="s">
        <v>396</v>
      </c>
      <c r="D1616" s="15" t="s">
        <v>34</v>
      </c>
      <c r="E1616" s="16" t="s">
        <v>43</v>
      </c>
      <c r="F1616" s="10" t="s">
        <v>35</v>
      </c>
      <c r="G1616" s="10" t="b">
        <v>0</v>
      </c>
      <c r="H1616" s="10" t="s">
        <v>4974</v>
      </c>
      <c r="I1616" s="10">
        <v>1.0</v>
      </c>
      <c r="J1616" s="10">
        <v>0.0</v>
      </c>
      <c r="K1616" s="10">
        <v>1.0</v>
      </c>
    </row>
    <row r="1617">
      <c r="A1617" s="7" t="s">
        <v>4975</v>
      </c>
      <c r="B1617" s="12" t="s">
        <v>4976</v>
      </c>
      <c r="C1617" s="14" t="s">
        <v>2516</v>
      </c>
      <c r="D1617" s="15" t="s">
        <v>176</v>
      </c>
      <c r="E1617" s="16" t="s">
        <v>1000</v>
      </c>
      <c r="F1617" s="10" t="s">
        <v>91</v>
      </c>
      <c r="G1617" s="10" t="b">
        <v>0</v>
      </c>
      <c r="I1617" s="10">
        <v>1.0</v>
      </c>
      <c r="J1617" s="10">
        <v>0.0</v>
      </c>
      <c r="K1617" s="10">
        <v>2.0</v>
      </c>
    </row>
    <row r="1618">
      <c r="A1618" s="7" t="s">
        <v>4977</v>
      </c>
      <c r="B1618" s="16"/>
      <c r="C1618" s="14" t="s">
        <v>2518</v>
      </c>
      <c r="D1618" s="15" t="s">
        <v>240</v>
      </c>
      <c r="E1618" s="16" t="s">
        <v>24</v>
      </c>
      <c r="F1618" s="10" t="s">
        <v>241</v>
      </c>
      <c r="H1618" s="10" t="s">
        <v>948</v>
      </c>
      <c r="I1618" s="10">
        <v>1.0</v>
      </c>
      <c r="J1618" s="10">
        <v>0.0</v>
      </c>
      <c r="K1618" s="10">
        <v>0.0</v>
      </c>
    </row>
    <row r="1619">
      <c r="A1619" s="7" t="s">
        <v>4978</v>
      </c>
      <c r="B1619" s="12" t="s">
        <v>4979</v>
      </c>
      <c r="C1619" s="14" t="s">
        <v>2519</v>
      </c>
      <c r="D1619" s="15" t="s">
        <v>34</v>
      </c>
      <c r="E1619" s="16" t="s">
        <v>24</v>
      </c>
      <c r="F1619" s="10" t="s">
        <v>35</v>
      </c>
      <c r="G1619" s="10" t="b">
        <v>0</v>
      </c>
      <c r="H1619" s="10" t="s">
        <v>4980</v>
      </c>
      <c r="I1619" s="10">
        <v>1.0</v>
      </c>
      <c r="J1619" s="10">
        <v>0.0</v>
      </c>
      <c r="K1619" s="10">
        <v>0.0</v>
      </c>
    </row>
    <row r="1620">
      <c r="A1620" s="7" t="s">
        <v>4981</v>
      </c>
      <c r="B1620" s="12" t="s">
        <v>4982</v>
      </c>
      <c r="C1620" s="14" t="s">
        <v>2522</v>
      </c>
      <c r="D1620" s="15" t="s">
        <v>34</v>
      </c>
      <c r="E1620" s="16" t="s">
        <v>24</v>
      </c>
      <c r="F1620" s="10" t="s">
        <v>35</v>
      </c>
      <c r="G1620" s="10" t="b">
        <v>0</v>
      </c>
      <c r="H1620" s="10" t="s">
        <v>4983</v>
      </c>
      <c r="I1620" s="10">
        <v>1.0</v>
      </c>
      <c r="J1620" s="10">
        <v>0.0</v>
      </c>
      <c r="K1620" s="10">
        <v>0.0</v>
      </c>
    </row>
    <row r="1621">
      <c r="A1621" s="7" t="s">
        <v>4984</v>
      </c>
      <c r="B1621" s="12" t="s">
        <v>4985</v>
      </c>
      <c r="C1621" s="14" t="s">
        <v>2524</v>
      </c>
      <c r="D1621" s="15" t="s">
        <v>196</v>
      </c>
      <c r="E1621" s="16" t="s">
        <v>24</v>
      </c>
      <c r="F1621" s="10" t="s">
        <v>198</v>
      </c>
      <c r="G1621" s="10" t="b">
        <v>0</v>
      </c>
      <c r="I1621" s="10">
        <v>1.0</v>
      </c>
      <c r="J1621" s="10">
        <v>0.0</v>
      </c>
      <c r="K1621" s="10">
        <v>1.0</v>
      </c>
    </row>
    <row r="1622">
      <c r="A1622" s="7" t="s">
        <v>4986</v>
      </c>
      <c r="B1622" s="12" t="s">
        <v>4987</v>
      </c>
      <c r="C1622" s="14" t="s">
        <v>4988</v>
      </c>
      <c r="D1622" s="15" t="s">
        <v>240</v>
      </c>
      <c r="E1622" s="16" t="s">
        <v>99</v>
      </c>
      <c r="F1622" s="10" t="s">
        <v>241</v>
      </c>
      <c r="G1622" s="10" t="b">
        <v>0</v>
      </c>
      <c r="I1622" s="10">
        <v>1.0</v>
      </c>
      <c r="J1622" s="10">
        <v>0.0</v>
      </c>
      <c r="K1622" s="10">
        <v>0.0</v>
      </c>
    </row>
    <row r="1623">
      <c r="A1623" s="7" t="s">
        <v>4989</v>
      </c>
      <c r="B1623" s="12" t="s">
        <v>4990</v>
      </c>
      <c r="C1623" s="14" t="s">
        <v>2525</v>
      </c>
      <c r="D1623" s="15" t="s">
        <v>34</v>
      </c>
      <c r="E1623" s="16" t="s">
        <v>43</v>
      </c>
      <c r="F1623" s="10" t="s">
        <v>35</v>
      </c>
      <c r="G1623" s="10" t="b">
        <v>0</v>
      </c>
      <c r="H1623" s="10" t="s">
        <v>4991</v>
      </c>
      <c r="I1623" s="10">
        <v>1.0</v>
      </c>
      <c r="J1623" s="10">
        <v>0.0</v>
      </c>
      <c r="K1623" s="10">
        <v>2.0</v>
      </c>
    </row>
    <row r="1624">
      <c r="A1624" s="7" t="s">
        <v>4992</v>
      </c>
      <c r="B1624" s="12" t="s">
        <v>4993</v>
      </c>
      <c r="C1624" s="14" t="s">
        <v>364</v>
      </c>
      <c r="D1624" s="15" t="s">
        <v>22</v>
      </c>
      <c r="E1624" s="16" t="s">
        <v>43</v>
      </c>
      <c r="F1624" s="10" t="s">
        <v>25</v>
      </c>
      <c r="G1624" s="10" t="b">
        <v>0</v>
      </c>
      <c r="I1624" s="10">
        <v>1.0</v>
      </c>
      <c r="J1624" s="10">
        <v>0.0</v>
      </c>
      <c r="K1624" s="10">
        <v>0.0</v>
      </c>
    </row>
    <row r="1625">
      <c r="A1625" s="7" t="s">
        <v>4994</v>
      </c>
      <c r="B1625" s="12" t="s">
        <v>4995</v>
      </c>
      <c r="C1625" s="14" t="s">
        <v>2528</v>
      </c>
      <c r="D1625" s="15" t="s">
        <v>196</v>
      </c>
      <c r="E1625" s="16" t="s">
        <v>24</v>
      </c>
      <c r="F1625" s="10" t="s">
        <v>198</v>
      </c>
      <c r="G1625" s="10" t="b">
        <v>0</v>
      </c>
      <c r="H1625" s="10" t="s">
        <v>384</v>
      </c>
      <c r="I1625" s="10">
        <v>1.0</v>
      </c>
      <c r="J1625" s="10">
        <v>0.0</v>
      </c>
      <c r="K1625" s="10">
        <v>1.0</v>
      </c>
    </row>
    <row r="1626">
      <c r="A1626" s="7" t="s">
        <v>4996</v>
      </c>
      <c r="B1626" s="12" t="s">
        <v>4997</v>
      </c>
      <c r="C1626" s="14" t="s">
        <v>2530</v>
      </c>
      <c r="D1626" s="15" t="s">
        <v>240</v>
      </c>
      <c r="E1626" s="16" t="s">
        <v>24</v>
      </c>
      <c r="F1626" s="10" t="s">
        <v>241</v>
      </c>
      <c r="G1626" s="10" t="b">
        <v>0</v>
      </c>
      <c r="H1626" s="10" t="s">
        <v>157</v>
      </c>
      <c r="I1626" s="10">
        <v>1.0</v>
      </c>
      <c r="J1626" s="10">
        <v>0.0</v>
      </c>
      <c r="K1626" s="10">
        <v>0.0</v>
      </c>
    </row>
    <row r="1627">
      <c r="A1627" s="7" t="s">
        <v>4998</v>
      </c>
      <c r="B1627" s="12" t="s">
        <v>4999</v>
      </c>
      <c r="C1627" s="14" t="s">
        <v>1329</v>
      </c>
      <c r="D1627" s="15" t="s">
        <v>34</v>
      </c>
      <c r="E1627" s="16" t="s">
        <v>43</v>
      </c>
      <c r="F1627" s="10" t="s">
        <v>35</v>
      </c>
      <c r="G1627" s="10" t="b">
        <v>0</v>
      </c>
      <c r="H1627" s="10" t="s">
        <v>5000</v>
      </c>
      <c r="I1627" s="10">
        <v>1.0</v>
      </c>
      <c r="J1627" s="10">
        <v>0.0</v>
      </c>
      <c r="K1627" s="10">
        <v>0.0</v>
      </c>
    </row>
    <row r="1628">
      <c r="A1628" s="7" t="s">
        <v>5001</v>
      </c>
      <c r="B1628" s="12" t="s">
        <v>5002</v>
      </c>
      <c r="C1628" s="14" t="s">
        <v>1329</v>
      </c>
      <c r="D1628" s="15" t="s">
        <v>34</v>
      </c>
      <c r="E1628" s="16" t="s">
        <v>43</v>
      </c>
      <c r="F1628" s="10" t="s">
        <v>35</v>
      </c>
      <c r="G1628" s="10" t="b">
        <v>0</v>
      </c>
      <c r="H1628" s="10" t="s">
        <v>5003</v>
      </c>
      <c r="I1628" s="10">
        <v>1.0</v>
      </c>
      <c r="J1628" s="10">
        <v>0.0</v>
      </c>
      <c r="K1628" s="10">
        <v>0.0</v>
      </c>
    </row>
    <row r="1629">
      <c r="A1629" s="7" t="s">
        <v>5004</v>
      </c>
      <c r="B1629" s="12" t="s">
        <v>5005</v>
      </c>
      <c r="C1629" s="14" t="s">
        <v>1033</v>
      </c>
      <c r="D1629" s="15" t="s">
        <v>51</v>
      </c>
      <c r="E1629" s="16" t="s">
        <v>107</v>
      </c>
      <c r="F1629" s="10" t="s">
        <v>52</v>
      </c>
      <c r="G1629" s="10" t="b">
        <v>0</v>
      </c>
      <c r="H1629" s="10" t="s">
        <v>5006</v>
      </c>
      <c r="I1629" s="10">
        <v>1.0</v>
      </c>
      <c r="J1629" s="10">
        <v>0.0</v>
      </c>
      <c r="K1629" s="10">
        <v>0.0</v>
      </c>
    </row>
    <row r="1630">
      <c r="A1630" s="7" t="s">
        <v>5007</v>
      </c>
      <c r="B1630" s="12" t="s">
        <v>5008</v>
      </c>
      <c r="C1630" s="14" t="s">
        <v>1033</v>
      </c>
      <c r="D1630" s="15" t="s">
        <v>51</v>
      </c>
      <c r="E1630" s="16" t="s">
        <v>107</v>
      </c>
      <c r="F1630" s="10" t="s">
        <v>52</v>
      </c>
      <c r="G1630" s="10" t="b">
        <v>0</v>
      </c>
      <c r="H1630" s="10" t="s">
        <v>5009</v>
      </c>
      <c r="I1630" s="10">
        <v>1.0</v>
      </c>
      <c r="J1630" s="10">
        <v>0.0</v>
      </c>
      <c r="K1630" s="10">
        <v>0.0</v>
      </c>
    </row>
    <row r="1631">
      <c r="A1631" s="7" t="s">
        <v>5010</v>
      </c>
      <c r="B1631" s="12" t="s">
        <v>5011</v>
      </c>
      <c r="C1631" s="14" t="s">
        <v>1033</v>
      </c>
      <c r="D1631" s="15" t="s">
        <v>51</v>
      </c>
      <c r="E1631" s="16" t="s">
        <v>107</v>
      </c>
      <c r="F1631" s="10" t="s">
        <v>52</v>
      </c>
      <c r="G1631" s="10" t="b">
        <v>0</v>
      </c>
      <c r="H1631" s="10" t="s">
        <v>1631</v>
      </c>
      <c r="I1631" s="10">
        <v>1.0</v>
      </c>
      <c r="J1631" s="10">
        <v>0.0</v>
      </c>
      <c r="K1631" s="10">
        <v>2.0</v>
      </c>
    </row>
    <row r="1632">
      <c r="A1632" s="7" t="s">
        <v>5012</v>
      </c>
      <c r="B1632" s="12" t="s">
        <v>5013</v>
      </c>
      <c r="C1632" s="14" t="s">
        <v>1336</v>
      </c>
      <c r="D1632" s="15" t="s">
        <v>749</v>
      </c>
      <c r="E1632" s="16" t="s">
        <v>99</v>
      </c>
      <c r="F1632" s="10" t="s">
        <v>750</v>
      </c>
      <c r="G1632" s="10" t="b">
        <v>0</v>
      </c>
      <c r="H1632" s="10" t="s">
        <v>5014</v>
      </c>
      <c r="I1632" s="10">
        <v>1.0</v>
      </c>
      <c r="J1632" s="10">
        <v>0.0</v>
      </c>
      <c r="K1632" s="10">
        <v>2.0</v>
      </c>
    </row>
    <row r="1633">
      <c r="A1633" s="7" t="s">
        <v>5015</v>
      </c>
      <c r="B1633" s="12" t="s">
        <v>5016</v>
      </c>
      <c r="C1633" s="14" t="s">
        <v>1336</v>
      </c>
      <c r="D1633" s="15" t="s">
        <v>749</v>
      </c>
      <c r="E1633" s="16" t="s">
        <v>99</v>
      </c>
      <c r="F1633" s="10" t="s">
        <v>750</v>
      </c>
      <c r="G1633" s="10" t="b">
        <v>0</v>
      </c>
      <c r="I1633" s="10">
        <v>1.0</v>
      </c>
      <c r="J1633" s="10">
        <v>0.0</v>
      </c>
      <c r="K1633" s="10">
        <v>2.0</v>
      </c>
    </row>
    <row r="1634">
      <c r="A1634" s="7" t="s">
        <v>5017</v>
      </c>
      <c r="B1634" s="12" t="s">
        <v>5018</v>
      </c>
      <c r="C1634" s="14" t="s">
        <v>638</v>
      </c>
      <c r="D1634" s="15" t="s">
        <v>749</v>
      </c>
      <c r="E1634" s="16" t="s">
        <v>99</v>
      </c>
      <c r="F1634" s="10" t="s">
        <v>750</v>
      </c>
      <c r="G1634" s="10" t="b">
        <v>0</v>
      </c>
      <c r="H1634" s="10" t="s">
        <v>5019</v>
      </c>
      <c r="I1634" s="10">
        <v>1.0</v>
      </c>
      <c r="J1634" s="10">
        <v>0.0</v>
      </c>
      <c r="K1634" s="10">
        <v>1.0</v>
      </c>
    </row>
    <row r="1635">
      <c r="A1635" s="7" t="s">
        <v>5020</v>
      </c>
      <c r="B1635" s="12" t="s">
        <v>5021</v>
      </c>
      <c r="C1635" s="14" t="s">
        <v>638</v>
      </c>
      <c r="D1635" s="15" t="s">
        <v>34</v>
      </c>
      <c r="E1635" s="16" t="s">
        <v>99</v>
      </c>
      <c r="F1635" s="10" t="s">
        <v>35</v>
      </c>
      <c r="G1635" s="10" t="b">
        <v>0</v>
      </c>
      <c r="H1635" s="10" t="s">
        <v>2435</v>
      </c>
      <c r="I1635" s="10">
        <v>1.0</v>
      </c>
      <c r="J1635" s="10">
        <v>0.0</v>
      </c>
      <c r="K1635" s="10">
        <v>1.0</v>
      </c>
    </row>
    <row r="1636">
      <c r="A1636" s="7" t="s">
        <v>5022</v>
      </c>
      <c r="B1636" s="12" t="s">
        <v>5023</v>
      </c>
      <c r="C1636" s="14" t="s">
        <v>638</v>
      </c>
      <c r="D1636" s="15" t="s">
        <v>34</v>
      </c>
      <c r="E1636" s="16" t="s">
        <v>99</v>
      </c>
      <c r="F1636" s="10" t="s">
        <v>35</v>
      </c>
      <c r="G1636" s="10" t="b">
        <v>0</v>
      </c>
      <c r="H1636" s="10" t="s">
        <v>5024</v>
      </c>
      <c r="I1636" s="10">
        <v>1.0</v>
      </c>
      <c r="J1636" s="10">
        <v>0.0</v>
      </c>
      <c r="K1636" s="10">
        <v>1.0</v>
      </c>
    </row>
    <row r="1637">
      <c r="A1637" s="7" t="s">
        <v>5025</v>
      </c>
      <c r="B1637" s="12" t="s">
        <v>3137</v>
      </c>
      <c r="C1637" s="14" t="s">
        <v>638</v>
      </c>
      <c r="D1637" s="15" t="s">
        <v>34</v>
      </c>
      <c r="E1637" s="16" t="s">
        <v>99</v>
      </c>
      <c r="F1637" s="10" t="s">
        <v>35</v>
      </c>
      <c r="G1637" s="10" t="b">
        <v>0</v>
      </c>
      <c r="H1637" s="10" t="s">
        <v>3138</v>
      </c>
      <c r="I1637" s="10">
        <v>1.0</v>
      </c>
      <c r="J1637" s="10">
        <v>0.0</v>
      </c>
      <c r="K1637" s="10">
        <v>0.0</v>
      </c>
    </row>
    <row r="1638">
      <c r="A1638" s="7" t="s">
        <v>5026</v>
      </c>
      <c r="B1638" s="12" t="s">
        <v>4921</v>
      </c>
      <c r="C1638" s="14" t="s">
        <v>1314</v>
      </c>
      <c r="D1638" s="15" t="s">
        <v>34</v>
      </c>
      <c r="E1638" s="16" t="s">
        <v>24</v>
      </c>
      <c r="F1638" s="10" t="s">
        <v>35</v>
      </c>
      <c r="G1638" s="10" t="b">
        <v>0</v>
      </c>
      <c r="H1638" s="10" t="s">
        <v>623</v>
      </c>
      <c r="I1638" s="10">
        <v>1.0</v>
      </c>
      <c r="J1638" s="10">
        <v>0.0</v>
      </c>
      <c r="K1638" s="10">
        <v>0.0</v>
      </c>
    </row>
    <row r="1639">
      <c r="A1639" s="7" t="s">
        <v>5027</v>
      </c>
      <c r="B1639" s="12" t="s">
        <v>5028</v>
      </c>
      <c r="C1639" s="14" t="s">
        <v>2533</v>
      </c>
      <c r="D1639" s="15" t="s">
        <v>34</v>
      </c>
      <c r="E1639" s="16" t="s">
        <v>24</v>
      </c>
      <c r="F1639" s="10" t="s">
        <v>35</v>
      </c>
      <c r="G1639" s="10" t="b">
        <v>0</v>
      </c>
      <c r="H1639" s="10" t="s">
        <v>5029</v>
      </c>
      <c r="I1639" s="10">
        <v>1.0</v>
      </c>
      <c r="J1639" s="10">
        <v>0.0</v>
      </c>
      <c r="K1639" s="10">
        <v>2.0</v>
      </c>
    </row>
    <row r="1640">
      <c r="A1640" s="7" t="s">
        <v>5030</v>
      </c>
      <c r="B1640" s="12" t="s">
        <v>5031</v>
      </c>
      <c r="C1640" s="14" t="s">
        <v>2535</v>
      </c>
      <c r="D1640" s="15" t="s">
        <v>240</v>
      </c>
      <c r="E1640" s="16" t="s">
        <v>24</v>
      </c>
      <c r="F1640" s="10" t="s">
        <v>241</v>
      </c>
      <c r="G1640" s="10" t="b">
        <v>0</v>
      </c>
      <c r="I1640" s="10">
        <v>1.0</v>
      </c>
      <c r="J1640" s="10">
        <v>0.0</v>
      </c>
      <c r="K1640" s="10">
        <v>0.0</v>
      </c>
    </row>
    <row r="1641">
      <c r="A1641" s="7" t="s">
        <v>5032</v>
      </c>
      <c r="B1641" s="12" t="s">
        <v>5033</v>
      </c>
      <c r="C1641" s="14" t="s">
        <v>128</v>
      </c>
      <c r="D1641" s="15" t="s">
        <v>34</v>
      </c>
      <c r="E1641" s="16" t="s">
        <v>107</v>
      </c>
      <c r="F1641" s="10" t="s">
        <v>35</v>
      </c>
      <c r="G1641" s="10" t="b">
        <v>0</v>
      </c>
      <c r="H1641" s="10" t="s">
        <v>5034</v>
      </c>
      <c r="I1641" s="10">
        <v>1.0</v>
      </c>
      <c r="J1641" s="10">
        <v>0.0</v>
      </c>
      <c r="K1641" s="10">
        <v>2.0</v>
      </c>
    </row>
    <row r="1642">
      <c r="A1642" s="7" t="s">
        <v>5035</v>
      </c>
      <c r="B1642" s="12" t="s">
        <v>5036</v>
      </c>
      <c r="C1642" s="14" t="s">
        <v>128</v>
      </c>
      <c r="D1642" s="15" t="s">
        <v>34</v>
      </c>
      <c r="E1642" s="16" t="s">
        <v>107</v>
      </c>
      <c r="F1642" s="10" t="s">
        <v>35</v>
      </c>
      <c r="G1642" s="10" t="b">
        <v>0</v>
      </c>
      <c r="H1642" s="10" t="s">
        <v>5037</v>
      </c>
      <c r="I1642" s="10">
        <v>1.0</v>
      </c>
      <c r="J1642" s="10">
        <v>0.0</v>
      </c>
      <c r="K1642" s="10">
        <v>2.0</v>
      </c>
    </row>
    <row r="1643">
      <c r="A1643" s="7" t="s">
        <v>5038</v>
      </c>
      <c r="B1643" s="12" t="s">
        <v>5039</v>
      </c>
      <c r="C1643" s="14" t="s">
        <v>2538</v>
      </c>
      <c r="D1643" s="15" t="s">
        <v>34</v>
      </c>
      <c r="E1643" s="16" t="s">
        <v>99</v>
      </c>
      <c r="F1643" s="10" t="s">
        <v>35</v>
      </c>
      <c r="G1643" s="10" t="b">
        <v>0</v>
      </c>
      <c r="H1643" s="10" t="s">
        <v>5040</v>
      </c>
      <c r="I1643" s="10">
        <v>1.0</v>
      </c>
      <c r="J1643" s="10">
        <v>0.0</v>
      </c>
      <c r="K1643" s="10">
        <v>1.0</v>
      </c>
    </row>
    <row r="1644">
      <c r="A1644" s="7" t="s">
        <v>5041</v>
      </c>
      <c r="B1644" s="12" t="s">
        <v>5042</v>
      </c>
      <c r="C1644" s="14" t="s">
        <v>2541</v>
      </c>
      <c r="D1644" s="15" t="s">
        <v>404</v>
      </c>
      <c r="E1644" s="16" t="s">
        <v>24</v>
      </c>
      <c r="F1644" s="10" t="s">
        <v>405</v>
      </c>
      <c r="G1644" s="10" t="b">
        <v>0</v>
      </c>
      <c r="H1644" s="10" t="s">
        <v>157</v>
      </c>
      <c r="I1644" s="10">
        <v>1.0</v>
      </c>
      <c r="J1644" s="10">
        <v>0.0</v>
      </c>
      <c r="K1644" s="10">
        <v>1.0</v>
      </c>
    </row>
    <row r="1645">
      <c r="A1645" s="7" t="s">
        <v>5043</v>
      </c>
      <c r="B1645" s="12" t="s">
        <v>5044</v>
      </c>
      <c r="C1645" s="14" t="s">
        <v>2543</v>
      </c>
      <c r="D1645" s="15" t="s">
        <v>34</v>
      </c>
      <c r="E1645" s="16" t="s">
        <v>24</v>
      </c>
      <c r="F1645" s="10" t="s">
        <v>35</v>
      </c>
      <c r="G1645" s="10" t="b">
        <v>0</v>
      </c>
      <c r="H1645" s="10" t="s">
        <v>5045</v>
      </c>
      <c r="I1645" s="10">
        <v>1.0</v>
      </c>
      <c r="J1645" s="10">
        <v>0.0</v>
      </c>
      <c r="K1645" s="10">
        <v>0.0</v>
      </c>
    </row>
    <row r="1646">
      <c r="A1646" s="7" t="s">
        <v>5046</v>
      </c>
      <c r="B1646" s="12" t="s">
        <v>5047</v>
      </c>
      <c r="C1646" s="14" t="s">
        <v>133</v>
      </c>
      <c r="D1646" s="15" t="s">
        <v>34</v>
      </c>
      <c r="E1646" s="16" t="s">
        <v>44</v>
      </c>
      <c r="F1646" s="10" t="s">
        <v>35</v>
      </c>
      <c r="G1646" s="10" t="b">
        <v>0</v>
      </c>
      <c r="H1646" s="10" t="s">
        <v>1507</v>
      </c>
      <c r="I1646" s="10">
        <v>1.0</v>
      </c>
      <c r="J1646" s="10">
        <v>0.0</v>
      </c>
      <c r="K1646" s="10">
        <v>1.0</v>
      </c>
    </row>
    <row r="1647">
      <c r="A1647" s="7" t="s">
        <v>5048</v>
      </c>
      <c r="B1647" s="12" t="s">
        <v>5049</v>
      </c>
      <c r="C1647" s="14" t="s">
        <v>133</v>
      </c>
      <c r="D1647" s="15" t="s">
        <v>34</v>
      </c>
      <c r="E1647" s="16" t="s">
        <v>44</v>
      </c>
      <c r="F1647" s="10" t="s">
        <v>35</v>
      </c>
      <c r="G1647" s="10" t="b">
        <v>0</v>
      </c>
      <c r="I1647" s="10">
        <v>1.0</v>
      </c>
      <c r="J1647" s="10">
        <v>0.0</v>
      </c>
      <c r="K1647" s="10">
        <v>1.0</v>
      </c>
    </row>
    <row r="1648">
      <c r="A1648" s="7" t="s">
        <v>5050</v>
      </c>
      <c r="B1648" s="12" t="s">
        <v>5051</v>
      </c>
      <c r="C1648" s="14" t="s">
        <v>133</v>
      </c>
      <c r="D1648" s="15" t="s">
        <v>176</v>
      </c>
      <c r="E1648" s="16" t="s">
        <v>44</v>
      </c>
      <c r="F1648" s="10" t="s">
        <v>91</v>
      </c>
      <c r="G1648" s="10" t="b">
        <v>0</v>
      </c>
      <c r="H1648" s="10" t="s">
        <v>5052</v>
      </c>
      <c r="I1648" s="10">
        <v>1.0</v>
      </c>
      <c r="J1648" s="10">
        <v>0.0</v>
      </c>
      <c r="K1648" s="10">
        <v>1.0</v>
      </c>
    </row>
    <row r="1649">
      <c r="A1649" s="7" t="s">
        <v>5053</v>
      </c>
      <c r="B1649" s="12" t="s">
        <v>5054</v>
      </c>
      <c r="C1649" s="14" t="s">
        <v>133</v>
      </c>
      <c r="D1649" s="15" t="s">
        <v>749</v>
      </c>
      <c r="E1649" s="16" t="s">
        <v>44</v>
      </c>
      <c r="F1649" s="10" t="s">
        <v>750</v>
      </c>
      <c r="G1649" s="10" t="b">
        <v>0</v>
      </c>
      <c r="H1649" s="10" t="s">
        <v>340</v>
      </c>
      <c r="I1649" s="10">
        <v>1.0</v>
      </c>
      <c r="J1649" s="10">
        <v>0.0</v>
      </c>
      <c r="K1649" s="10">
        <v>1.0</v>
      </c>
    </row>
    <row r="1650">
      <c r="A1650" s="7" t="s">
        <v>5055</v>
      </c>
      <c r="B1650" s="12" t="s">
        <v>5056</v>
      </c>
      <c r="C1650" s="14" t="s">
        <v>133</v>
      </c>
      <c r="D1650" s="15" t="s">
        <v>34</v>
      </c>
      <c r="E1650" s="16" t="s">
        <v>44</v>
      </c>
      <c r="F1650" s="10" t="s">
        <v>35</v>
      </c>
      <c r="G1650" s="10" t="b">
        <v>0</v>
      </c>
      <c r="I1650" s="10">
        <v>1.0</v>
      </c>
      <c r="J1650" s="10">
        <v>0.0</v>
      </c>
      <c r="K1650" s="10">
        <v>1.0</v>
      </c>
    </row>
    <row r="1651">
      <c r="A1651" s="7" t="s">
        <v>5057</v>
      </c>
      <c r="B1651" s="12" t="s">
        <v>5058</v>
      </c>
      <c r="C1651" s="14" t="s">
        <v>133</v>
      </c>
      <c r="D1651" s="15" t="s">
        <v>404</v>
      </c>
      <c r="E1651" s="16" t="s">
        <v>44</v>
      </c>
      <c r="F1651" s="10" t="s">
        <v>405</v>
      </c>
      <c r="G1651" s="10" t="b">
        <v>0</v>
      </c>
      <c r="I1651" s="10">
        <v>1.0</v>
      </c>
      <c r="J1651" s="10">
        <v>0.0</v>
      </c>
      <c r="K1651" s="10">
        <v>1.0</v>
      </c>
    </row>
    <row r="1652">
      <c r="A1652" s="7" t="s">
        <v>5059</v>
      </c>
      <c r="B1652" s="12" t="s">
        <v>5060</v>
      </c>
      <c r="C1652" s="14" t="s">
        <v>133</v>
      </c>
      <c r="D1652" s="15" t="s">
        <v>749</v>
      </c>
      <c r="E1652" s="16" t="s">
        <v>44</v>
      </c>
      <c r="F1652" s="10" t="s">
        <v>750</v>
      </c>
      <c r="G1652" s="10" t="b">
        <v>0</v>
      </c>
      <c r="H1652" s="10" t="s">
        <v>448</v>
      </c>
      <c r="I1652" s="10">
        <v>1.0</v>
      </c>
      <c r="J1652" s="10">
        <v>0.0</v>
      </c>
      <c r="K1652" s="10">
        <v>1.0</v>
      </c>
    </row>
    <row r="1653">
      <c r="A1653" s="7" t="s">
        <v>5061</v>
      </c>
      <c r="B1653" s="12" t="s">
        <v>5062</v>
      </c>
      <c r="C1653" s="14" t="s">
        <v>133</v>
      </c>
      <c r="D1653" s="15" t="s">
        <v>404</v>
      </c>
      <c r="E1653" s="16" t="s">
        <v>44</v>
      </c>
      <c r="F1653" s="10" t="s">
        <v>405</v>
      </c>
      <c r="G1653" s="10" t="b">
        <v>0</v>
      </c>
      <c r="H1653" s="10" t="s">
        <v>340</v>
      </c>
      <c r="I1653" s="10">
        <v>1.0</v>
      </c>
      <c r="J1653" s="10">
        <v>0.0</v>
      </c>
      <c r="K1653" s="10">
        <v>2.0</v>
      </c>
    </row>
    <row r="1654">
      <c r="A1654" s="7" t="s">
        <v>5063</v>
      </c>
      <c r="B1654" s="12" t="s">
        <v>5064</v>
      </c>
      <c r="C1654" s="14" t="s">
        <v>133</v>
      </c>
      <c r="D1654" s="15" t="s">
        <v>749</v>
      </c>
      <c r="E1654" s="16" t="s">
        <v>44</v>
      </c>
      <c r="F1654" s="10" t="s">
        <v>750</v>
      </c>
      <c r="G1654" s="10" t="b">
        <v>0</v>
      </c>
      <c r="H1654" s="10" t="s">
        <v>5065</v>
      </c>
      <c r="I1654" s="10">
        <v>1.0</v>
      </c>
      <c r="J1654" s="10">
        <v>0.0</v>
      </c>
      <c r="K1654" s="10">
        <v>1.0</v>
      </c>
    </row>
    <row r="1655">
      <c r="A1655" s="7" t="s">
        <v>5066</v>
      </c>
      <c r="B1655" s="12" t="s">
        <v>5067</v>
      </c>
      <c r="C1655" s="14" t="s">
        <v>2546</v>
      </c>
      <c r="D1655" s="15" t="s">
        <v>196</v>
      </c>
      <c r="E1655" s="16" t="s">
        <v>24</v>
      </c>
      <c r="F1655" s="10" t="s">
        <v>198</v>
      </c>
      <c r="G1655" s="10" t="b">
        <v>0</v>
      </c>
      <c r="H1655" s="10" t="s">
        <v>2548</v>
      </c>
      <c r="I1655" s="10">
        <v>1.0</v>
      </c>
      <c r="J1655" s="10">
        <v>0.0</v>
      </c>
      <c r="K1655" s="10">
        <v>1.0</v>
      </c>
    </row>
    <row r="1656">
      <c r="A1656" s="7" t="s">
        <v>5068</v>
      </c>
      <c r="B1656" s="12" t="s">
        <v>5069</v>
      </c>
      <c r="C1656" s="14" t="s">
        <v>224</v>
      </c>
      <c r="D1656" s="15" t="s">
        <v>34</v>
      </c>
      <c r="E1656" s="16" t="s">
        <v>24</v>
      </c>
      <c r="F1656" s="10" t="s">
        <v>35</v>
      </c>
      <c r="G1656" s="10" t="b">
        <v>0</v>
      </c>
      <c r="H1656" s="10" t="s">
        <v>5070</v>
      </c>
      <c r="I1656" s="10">
        <v>1.0</v>
      </c>
      <c r="J1656" s="10">
        <v>0.0</v>
      </c>
      <c r="K1656" s="10">
        <v>0.0</v>
      </c>
    </row>
    <row r="1657">
      <c r="A1657" s="7" t="s">
        <v>5071</v>
      </c>
      <c r="B1657" s="12" t="s">
        <v>5072</v>
      </c>
      <c r="C1657" s="14" t="s">
        <v>1339</v>
      </c>
      <c r="D1657" s="15" t="s">
        <v>749</v>
      </c>
      <c r="E1657" s="16" t="s">
        <v>24</v>
      </c>
      <c r="F1657" s="10" t="s">
        <v>750</v>
      </c>
      <c r="G1657" s="10" t="b">
        <v>0</v>
      </c>
      <c r="H1657" s="10" t="s">
        <v>1647</v>
      </c>
      <c r="I1657" s="10">
        <v>1.0</v>
      </c>
      <c r="J1657" s="10">
        <v>0.0</v>
      </c>
      <c r="K1657" s="10">
        <v>0.0</v>
      </c>
    </row>
    <row r="1658">
      <c r="A1658" s="7" t="s">
        <v>5073</v>
      </c>
      <c r="B1658" s="12" t="s">
        <v>5074</v>
      </c>
      <c r="C1658" s="14" t="s">
        <v>1339</v>
      </c>
      <c r="D1658" s="15" t="s">
        <v>51</v>
      </c>
      <c r="E1658" s="16" t="s">
        <v>24</v>
      </c>
      <c r="F1658" s="10" t="s">
        <v>52</v>
      </c>
      <c r="G1658" s="10" t="b">
        <v>0</v>
      </c>
      <c r="H1658" s="10" t="s">
        <v>5075</v>
      </c>
      <c r="I1658" s="10">
        <v>1.0</v>
      </c>
      <c r="J1658" s="10">
        <v>0.0</v>
      </c>
      <c r="K1658" s="10">
        <v>1.0</v>
      </c>
    </row>
    <row r="1659">
      <c r="A1659" s="7" t="s">
        <v>5076</v>
      </c>
      <c r="B1659" s="12" t="s">
        <v>5077</v>
      </c>
      <c r="C1659" s="14" t="s">
        <v>2550</v>
      </c>
      <c r="D1659" s="15" t="s">
        <v>749</v>
      </c>
      <c r="E1659" s="16" t="s">
        <v>24</v>
      </c>
      <c r="F1659" s="10" t="s">
        <v>750</v>
      </c>
      <c r="G1659" s="10" t="b">
        <v>0</v>
      </c>
      <c r="H1659" s="10" t="s">
        <v>157</v>
      </c>
      <c r="I1659" s="10">
        <v>1.0</v>
      </c>
      <c r="J1659" s="10">
        <v>0.0</v>
      </c>
      <c r="K1659" s="10">
        <v>3.0</v>
      </c>
    </row>
    <row r="1660">
      <c r="A1660" s="7" t="s">
        <v>5078</v>
      </c>
      <c r="B1660" s="12" t="s">
        <v>5079</v>
      </c>
      <c r="C1660" s="14" t="s">
        <v>641</v>
      </c>
      <c r="D1660" s="15" t="s">
        <v>34</v>
      </c>
      <c r="E1660" s="16" t="s">
        <v>43</v>
      </c>
      <c r="F1660" s="10" t="s">
        <v>35</v>
      </c>
      <c r="G1660" s="10" t="b">
        <v>0</v>
      </c>
      <c r="H1660" s="10" t="s">
        <v>5080</v>
      </c>
      <c r="I1660" s="10">
        <v>1.0</v>
      </c>
      <c r="J1660" s="10">
        <v>0.0</v>
      </c>
      <c r="K1660" s="10">
        <v>2.0</v>
      </c>
    </row>
    <row r="1661">
      <c r="A1661" s="7" t="s">
        <v>5081</v>
      </c>
      <c r="B1661" s="12" t="s">
        <v>5082</v>
      </c>
      <c r="C1661" s="14" t="s">
        <v>641</v>
      </c>
      <c r="D1661" s="15" t="s">
        <v>34</v>
      </c>
      <c r="E1661" s="16" t="s">
        <v>43</v>
      </c>
      <c r="F1661" s="10" t="s">
        <v>35</v>
      </c>
      <c r="G1661" s="10" t="b">
        <v>0</v>
      </c>
      <c r="H1661" s="10" t="s">
        <v>5083</v>
      </c>
      <c r="I1661" s="10">
        <v>1.0</v>
      </c>
      <c r="J1661" s="10">
        <v>0.0</v>
      </c>
      <c r="K1661" s="10">
        <v>3.0</v>
      </c>
    </row>
    <row r="1662">
      <c r="A1662" s="7" t="s">
        <v>5084</v>
      </c>
      <c r="B1662" s="12" t="s">
        <v>5085</v>
      </c>
      <c r="C1662" s="14" t="s">
        <v>641</v>
      </c>
      <c r="D1662" s="15" t="s">
        <v>34</v>
      </c>
      <c r="E1662" s="16" t="s">
        <v>43</v>
      </c>
      <c r="F1662" s="10" t="s">
        <v>35</v>
      </c>
      <c r="G1662" s="10" t="b">
        <v>0</v>
      </c>
      <c r="H1662" s="10" t="s">
        <v>5086</v>
      </c>
      <c r="I1662" s="10">
        <v>1.0</v>
      </c>
      <c r="J1662" s="10">
        <v>0.0</v>
      </c>
      <c r="K1662" s="10">
        <v>0.0</v>
      </c>
    </row>
    <row r="1663">
      <c r="A1663" s="7" t="s">
        <v>5087</v>
      </c>
      <c r="B1663" s="12" t="s">
        <v>5088</v>
      </c>
      <c r="C1663" s="14" t="s">
        <v>1371</v>
      </c>
      <c r="D1663" s="15" t="s">
        <v>240</v>
      </c>
      <c r="E1663" s="16" t="s">
        <v>107</v>
      </c>
      <c r="F1663" s="10" t="s">
        <v>241</v>
      </c>
      <c r="G1663" s="10" t="b">
        <v>0</v>
      </c>
      <c r="I1663" s="10">
        <v>1.0</v>
      </c>
      <c r="J1663" s="10">
        <v>0.0</v>
      </c>
      <c r="K1663" s="10">
        <v>0.0</v>
      </c>
    </row>
    <row r="1664">
      <c r="A1664" s="7" t="s">
        <v>5089</v>
      </c>
      <c r="B1664" s="12" t="s">
        <v>5090</v>
      </c>
      <c r="C1664" s="14" t="s">
        <v>1371</v>
      </c>
      <c r="D1664" s="15" t="s">
        <v>196</v>
      </c>
      <c r="E1664" s="16" t="s">
        <v>107</v>
      </c>
      <c r="F1664" s="10" t="s">
        <v>198</v>
      </c>
      <c r="G1664" s="10" t="b">
        <v>0</v>
      </c>
      <c r="H1664" s="10" t="s">
        <v>1374</v>
      </c>
      <c r="I1664" s="10">
        <v>1.0</v>
      </c>
      <c r="J1664" s="10">
        <v>0.0</v>
      </c>
      <c r="K1664" s="10">
        <v>0.0</v>
      </c>
    </row>
    <row r="1665">
      <c r="B1665" s="16"/>
      <c r="C1665" s="16"/>
      <c r="D1665" s="15"/>
      <c r="E1665" s="16"/>
    </row>
    <row r="1666">
      <c r="B1666" s="16"/>
      <c r="C1666" s="16"/>
      <c r="D1666" s="15"/>
      <c r="E1666" s="16"/>
    </row>
    <row r="1667">
      <c r="B1667" s="16"/>
      <c r="C1667" s="16"/>
      <c r="D1667" s="15"/>
      <c r="E1667" s="16"/>
    </row>
    <row r="1668">
      <c r="B1668" s="16"/>
      <c r="C1668" s="16"/>
      <c r="D1668" s="15"/>
      <c r="E1668" s="16"/>
    </row>
    <row r="1669">
      <c r="B1669" s="16"/>
      <c r="C1669" s="16"/>
      <c r="D1669" s="15"/>
      <c r="E1669" s="16"/>
    </row>
    <row r="1670">
      <c r="B1670" s="16"/>
      <c r="C1670" s="16"/>
      <c r="D1670" s="15"/>
      <c r="E1670" s="16"/>
    </row>
    <row r="1671">
      <c r="B1671" s="16"/>
      <c r="C1671" s="16"/>
      <c r="D1671" s="15"/>
      <c r="E1671" s="16"/>
    </row>
    <row r="1672">
      <c r="B1672" s="16"/>
      <c r="C1672" s="16"/>
      <c r="D1672" s="15"/>
      <c r="E1672" s="16"/>
    </row>
    <row r="1673">
      <c r="B1673" s="16"/>
      <c r="C1673" s="16"/>
      <c r="D1673" s="15"/>
      <c r="E1673" s="16"/>
    </row>
    <row r="1674">
      <c r="B1674" s="16"/>
      <c r="C1674" s="16"/>
      <c r="D1674" s="15"/>
      <c r="E1674" s="16"/>
    </row>
    <row r="1675">
      <c r="B1675" s="16"/>
      <c r="C1675" s="16"/>
      <c r="D1675" s="15"/>
      <c r="E1675" s="16"/>
    </row>
    <row r="1676">
      <c r="B1676" s="16"/>
      <c r="C1676" s="16"/>
      <c r="D1676" s="15"/>
      <c r="E1676" s="16"/>
    </row>
    <row r="1677">
      <c r="B1677" s="16"/>
      <c r="C1677" s="16"/>
      <c r="D1677" s="15"/>
      <c r="E1677" s="16"/>
    </row>
    <row r="1678">
      <c r="B1678" s="16"/>
      <c r="C1678" s="16"/>
      <c r="D1678" s="15"/>
      <c r="E1678" s="16"/>
    </row>
    <row r="1679">
      <c r="B1679" s="16"/>
      <c r="C1679" s="16"/>
      <c r="D1679" s="15"/>
      <c r="E1679" s="16"/>
    </row>
    <row r="1680">
      <c r="B1680" s="16"/>
      <c r="C1680" s="16"/>
      <c r="D1680" s="15"/>
      <c r="E1680" s="16"/>
    </row>
    <row r="1681">
      <c r="B1681" s="16"/>
      <c r="C1681" s="16"/>
      <c r="D1681" s="15"/>
      <c r="E1681" s="16"/>
    </row>
    <row r="1682">
      <c r="B1682" s="16"/>
      <c r="C1682" s="16"/>
      <c r="D1682" s="15"/>
      <c r="E1682" s="16"/>
    </row>
    <row r="1683">
      <c r="B1683" s="16"/>
      <c r="C1683" s="16"/>
      <c r="D1683" s="15"/>
      <c r="E1683" s="16"/>
    </row>
    <row r="1684">
      <c r="B1684" s="16"/>
      <c r="C1684" s="16"/>
      <c r="D1684" s="15"/>
      <c r="E1684" s="16"/>
    </row>
    <row r="1685">
      <c r="B1685" s="16"/>
      <c r="C1685" s="16"/>
      <c r="D1685" s="15"/>
      <c r="E1685" s="16"/>
    </row>
    <row r="1686">
      <c r="B1686" s="16"/>
      <c r="C1686" s="16"/>
      <c r="D1686" s="15"/>
      <c r="E1686" s="16"/>
    </row>
    <row r="1687">
      <c r="B1687" s="16"/>
      <c r="C1687" s="16"/>
      <c r="D1687" s="15"/>
      <c r="E1687" s="16"/>
    </row>
    <row r="1688">
      <c r="B1688" s="16"/>
      <c r="C1688" s="16"/>
      <c r="D1688" s="15"/>
      <c r="E1688" s="16"/>
    </row>
    <row r="1689">
      <c r="B1689" s="16"/>
      <c r="C1689" s="16"/>
      <c r="D1689" s="15"/>
      <c r="E1689" s="16"/>
    </row>
    <row r="1690">
      <c r="B1690" s="16"/>
      <c r="C1690" s="16"/>
      <c r="D1690" s="15"/>
      <c r="E1690" s="16"/>
    </row>
    <row r="1691">
      <c r="B1691" s="16"/>
      <c r="C1691" s="16"/>
      <c r="D1691" s="15"/>
      <c r="E1691" s="16"/>
    </row>
    <row r="1692">
      <c r="B1692" s="16"/>
      <c r="C1692" s="16"/>
      <c r="D1692" s="15"/>
      <c r="E1692" s="16"/>
    </row>
    <row r="1693">
      <c r="B1693" s="16"/>
      <c r="C1693" s="16"/>
      <c r="D1693" s="15"/>
      <c r="E1693" s="16"/>
    </row>
    <row r="1694">
      <c r="B1694" s="16"/>
      <c r="C1694" s="16"/>
      <c r="D1694" s="15"/>
      <c r="E1694" s="16"/>
    </row>
    <row r="1695">
      <c r="B1695" s="16"/>
      <c r="C1695" s="16"/>
      <c r="D1695" s="15"/>
      <c r="E1695" s="16"/>
    </row>
    <row r="1696">
      <c r="B1696" s="16"/>
      <c r="C1696" s="16"/>
      <c r="D1696" s="15"/>
      <c r="E1696" s="16"/>
    </row>
    <row r="1697">
      <c r="B1697" s="16"/>
      <c r="C1697" s="16"/>
      <c r="D1697" s="15"/>
      <c r="E1697" s="16"/>
    </row>
    <row r="1698">
      <c r="B1698" s="16"/>
      <c r="C1698" s="16"/>
      <c r="D1698" s="15"/>
      <c r="E1698" s="16"/>
    </row>
    <row r="1699">
      <c r="B1699" s="16"/>
      <c r="C1699" s="16"/>
      <c r="D1699" s="15"/>
      <c r="E1699" s="16"/>
    </row>
    <row r="1700">
      <c r="B1700" s="16"/>
      <c r="C1700" s="16"/>
      <c r="D1700" s="15"/>
      <c r="E1700" s="16"/>
    </row>
    <row r="1701">
      <c r="B1701" s="16"/>
      <c r="C1701" s="16"/>
      <c r="D1701" s="15"/>
      <c r="E1701" s="16"/>
    </row>
    <row r="1702">
      <c r="B1702" s="16"/>
      <c r="C1702" s="16"/>
      <c r="D1702" s="15"/>
      <c r="E1702" s="16"/>
    </row>
    <row r="1703">
      <c r="B1703" s="16"/>
      <c r="C1703" s="16"/>
      <c r="D1703" s="15"/>
      <c r="E1703" s="16"/>
    </row>
    <row r="1704">
      <c r="B1704" s="16"/>
      <c r="C1704" s="16"/>
      <c r="D1704" s="15"/>
      <c r="E1704" s="16"/>
    </row>
    <row r="1705">
      <c r="B1705" s="16"/>
      <c r="C1705" s="16"/>
      <c r="D1705" s="15"/>
      <c r="E1705" s="16"/>
    </row>
    <row r="1706">
      <c r="B1706" s="16"/>
      <c r="C1706" s="16"/>
      <c r="D1706" s="15"/>
      <c r="E1706" s="16"/>
    </row>
    <row r="1707">
      <c r="B1707" s="16"/>
      <c r="C1707" s="16"/>
      <c r="D1707" s="15"/>
      <c r="E1707" s="16"/>
    </row>
    <row r="1708">
      <c r="B1708" s="16"/>
      <c r="C1708" s="16"/>
      <c r="D1708" s="15"/>
      <c r="E1708" s="16"/>
    </row>
    <row r="1709">
      <c r="B1709" s="16"/>
      <c r="C1709" s="16"/>
      <c r="D1709" s="15"/>
      <c r="E1709" s="16"/>
    </row>
    <row r="1710">
      <c r="B1710" s="16"/>
      <c r="C1710" s="16"/>
      <c r="D1710" s="15"/>
      <c r="E1710" s="16"/>
    </row>
    <row r="1711">
      <c r="B1711" s="16"/>
      <c r="C1711" s="16"/>
      <c r="D1711" s="15"/>
      <c r="E1711" s="16"/>
    </row>
    <row r="1712">
      <c r="B1712" s="16"/>
      <c r="C1712" s="16"/>
      <c r="D1712" s="15"/>
      <c r="E1712" s="16"/>
    </row>
    <row r="1713">
      <c r="B1713" s="16"/>
      <c r="C1713" s="16"/>
      <c r="D1713" s="15"/>
      <c r="E1713" s="16"/>
    </row>
    <row r="1714">
      <c r="B1714" s="16"/>
      <c r="C1714" s="16"/>
      <c r="D1714" s="15"/>
      <c r="E1714" s="16"/>
    </row>
    <row r="1715">
      <c r="B1715" s="16"/>
      <c r="C1715" s="16"/>
      <c r="D1715" s="15"/>
      <c r="E1715" s="16"/>
    </row>
    <row r="1716">
      <c r="B1716" s="16"/>
      <c r="C1716" s="16"/>
      <c r="D1716" s="15"/>
      <c r="E1716" s="16"/>
    </row>
    <row r="1717">
      <c r="B1717" s="16"/>
      <c r="C1717" s="16"/>
      <c r="D1717" s="15"/>
      <c r="E1717" s="16"/>
    </row>
    <row r="1718">
      <c r="B1718" s="16"/>
      <c r="C1718" s="16"/>
      <c r="D1718" s="15"/>
      <c r="E1718" s="16"/>
    </row>
    <row r="1719">
      <c r="B1719" s="16"/>
      <c r="C1719" s="16"/>
      <c r="D1719" s="15"/>
      <c r="E1719" s="16"/>
    </row>
    <row r="1720">
      <c r="B1720" s="16"/>
      <c r="C1720" s="16"/>
      <c r="D1720" s="15"/>
      <c r="E1720" s="16"/>
    </row>
    <row r="1721">
      <c r="B1721" s="16"/>
      <c r="C1721" s="16"/>
      <c r="D1721" s="15"/>
      <c r="E1721" s="16"/>
    </row>
    <row r="1722">
      <c r="B1722" s="16"/>
      <c r="C1722" s="16"/>
      <c r="D1722" s="15"/>
      <c r="E1722" s="16"/>
    </row>
    <row r="1723">
      <c r="B1723" s="16"/>
      <c r="C1723" s="16"/>
      <c r="D1723" s="15"/>
      <c r="E1723" s="16"/>
    </row>
    <row r="1724">
      <c r="B1724" s="16"/>
      <c r="C1724" s="16"/>
      <c r="D1724" s="15"/>
      <c r="E1724" s="16"/>
    </row>
    <row r="1725">
      <c r="B1725" s="16"/>
      <c r="C1725" s="16"/>
      <c r="D1725" s="15"/>
      <c r="E1725" s="16"/>
    </row>
    <row r="1726">
      <c r="B1726" s="16"/>
      <c r="C1726" s="16"/>
      <c r="D1726" s="15"/>
      <c r="E1726" s="16"/>
    </row>
    <row r="1727">
      <c r="B1727" s="16"/>
      <c r="C1727" s="16"/>
      <c r="D1727" s="15"/>
      <c r="E1727" s="16"/>
    </row>
    <row r="1728">
      <c r="B1728" s="16"/>
      <c r="C1728" s="16"/>
      <c r="D1728" s="15"/>
      <c r="E1728" s="16"/>
    </row>
    <row r="1729">
      <c r="B1729" s="16"/>
      <c r="C1729" s="16"/>
      <c r="D1729" s="15"/>
      <c r="E1729" s="16"/>
    </row>
    <row r="1730">
      <c r="B1730" s="16"/>
      <c r="C1730" s="16"/>
      <c r="D1730" s="15"/>
      <c r="E1730" s="16"/>
    </row>
    <row r="1731">
      <c r="B1731" s="16"/>
      <c r="C1731" s="16"/>
      <c r="D1731" s="15"/>
      <c r="E1731" s="16"/>
    </row>
    <row r="1732">
      <c r="B1732" s="16"/>
      <c r="C1732" s="16"/>
      <c r="D1732" s="15"/>
      <c r="E1732" s="16"/>
    </row>
    <row r="1733">
      <c r="B1733" s="16"/>
      <c r="C1733" s="16"/>
      <c r="D1733" s="15"/>
      <c r="E1733" s="16"/>
    </row>
    <row r="1734">
      <c r="B1734" s="16"/>
      <c r="C1734" s="16"/>
      <c r="D1734" s="15"/>
      <c r="E1734" s="16"/>
    </row>
    <row r="1735">
      <c r="B1735" s="16"/>
      <c r="C1735" s="16"/>
      <c r="D1735" s="15"/>
      <c r="E1735" s="16"/>
    </row>
    <row r="1736">
      <c r="B1736" s="16"/>
      <c r="C1736" s="16"/>
      <c r="D1736" s="15"/>
      <c r="E1736" s="16"/>
    </row>
    <row r="1737">
      <c r="B1737" s="16"/>
      <c r="C1737" s="16"/>
      <c r="D1737" s="15"/>
      <c r="E1737" s="16"/>
    </row>
    <row r="1738">
      <c r="B1738" s="16"/>
      <c r="C1738" s="16"/>
      <c r="D1738" s="15"/>
      <c r="E1738" s="16"/>
    </row>
    <row r="1739">
      <c r="B1739" s="16"/>
      <c r="C1739" s="16"/>
      <c r="D1739" s="15"/>
      <c r="E1739" s="16"/>
    </row>
    <row r="1740">
      <c r="B1740" s="16"/>
      <c r="C1740" s="16"/>
      <c r="D1740" s="15"/>
      <c r="E1740" s="16"/>
    </row>
    <row r="1741">
      <c r="B1741" s="16"/>
      <c r="C1741" s="16"/>
      <c r="D1741" s="15"/>
      <c r="E1741" s="16"/>
    </row>
    <row r="1742">
      <c r="B1742" s="16"/>
      <c r="C1742" s="16"/>
      <c r="D1742" s="15"/>
      <c r="E1742" s="16"/>
    </row>
    <row r="1743">
      <c r="B1743" s="16"/>
      <c r="C1743" s="16"/>
      <c r="D1743" s="15"/>
      <c r="E1743" s="16"/>
    </row>
    <row r="1744">
      <c r="B1744" s="16"/>
      <c r="C1744" s="16"/>
      <c r="D1744" s="15"/>
      <c r="E1744" s="16"/>
    </row>
    <row r="1745">
      <c r="B1745" s="16"/>
      <c r="C1745" s="16"/>
      <c r="D1745" s="15"/>
      <c r="E1745" s="16"/>
    </row>
    <row r="1746">
      <c r="B1746" s="16"/>
      <c r="C1746" s="16"/>
      <c r="D1746" s="15"/>
      <c r="E1746" s="16"/>
    </row>
    <row r="1747">
      <c r="B1747" s="16"/>
      <c r="C1747" s="16"/>
      <c r="D1747" s="15"/>
      <c r="E1747" s="16"/>
    </row>
    <row r="1748">
      <c r="B1748" s="16"/>
      <c r="C1748" s="16"/>
      <c r="D1748" s="15"/>
      <c r="E1748" s="16"/>
    </row>
    <row r="1749">
      <c r="B1749" s="16"/>
      <c r="C1749" s="16"/>
      <c r="D1749" s="15"/>
      <c r="E1749" s="16"/>
    </row>
    <row r="1750">
      <c r="B1750" s="16"/>
      <c r="C1750" s="16"/>
      <c r="D1750" s="15"/>
      <c r="E1750" s="16"/>
    </row>
    <row r="1751">
      <c r="B1751" s="16"/>
      <c r="C1751" s="16"/>
      <c r="D1751" s="15"/>
      <c r="E1751" s="16"/>
    </row>
    <row r="1752">
      <c r="B1752" s="16"/>
      <c r="C1752" s="16"/>
      <c r="D1752" s="15"/>
      <c r="E1752" s="16"/>
    </row>
    <row r="1753">
      <c r="B1753" s="16"/>
      <c r="C1753" s="16"/>
      <c r="D1753" s="15"/>
      <c r="E1753" s="16"/>
    </row>
    <row r="1754">
      <c r="B1754" s="16"/>
      <c r="C1754" s="16"/>
      <c r="D1754" s="15"/>
      <c r="E1754" s="16"/>
    </row>
    <row r="1755">
      <c r="B1755" s="16"/>
      <c r="C1755" s="16"/>
      <c r="D1755" s="15"/>
      <c r="E1755" s="16"/>
    </row>
    <row r="1756">
      <c r="B1756" s="16"/>
      <c r="C1756" s="16"/>
      <c r="D1756" s="15"/>
      <c r="E1756" s="16"/>
    </row>
    <row r="1757">
      <c r="B1757" s="16"/>
      <c r="C1757" s="16"/>
      <c r="D1757" s="15"/>
      <c r="E1757" s="16"/>
    </row>
    <row r="1758">
      <c r="B1758" s="16"/>
      <c r="C1758" s="16"/>
      <c r="D1758" s="15"/>
      <c r="E1758" s="16"/>
    </row>
    <row r="1759">
      <c r="B1759" s="16"/>
      <c r="C1759" s="16"/>
      <c r="D1759" s="15"/>
      <c r="E1759" s="16"/>
    </row>
    <row r="1760">
      <c r="B1760" s="16"/>
      <c r="C1760" s="16"/>
      <c r="D1760" s="15"/>
      <c r="E1760" s="16"/>
    </row>
    <row r="1761">
      <c r="B1761" s="16"/>
      <c r="C1761" s="16"/>
      <c r="D1761" s="15"/>
      <c r="E1761" s="16"/>
    </row>
    <row r="1762">
      <c r="B1762" s="16"/>
      <c r="C1762" s="16"/>
      <c r="D1762" s="15"/>
      <c r="E1762" s="16"/>
    </row>
    <row r="1763">
      <c r="B1763" s="16"/>
      <c r="C1763" s="16"/>
      <c r="D1763" s="15"/>
      <c r="E1763" s="16"/>
    </row>
    <row r="1764">
      <c r="B1764" s="16"/>
      <c r="C1764" s="16"/>
      <c r="D1764" s="15"/>
      <c r="E1764" s="16"/>
    </row>
    <row r="1765">
      <c r="B1765" s="16"/>
      <c r="C1765" s="16"/>
      <c r="D1765" s="15"/>
      <c r="E1765" s="16"/>
    </row>
    <row r="1766">
      <c r="B1766" s="16"/>
      <c r="C1766" s="16"/>
      <c r="D1766" s="15"/>
      <c r="E1766" s="16"/>
    </row>
    <row r="1767">
      <c r="B1767" s="16"/>
      <c r="C1767" s="16"/>
      <c r="D1767" s="15"/>
      <c r="E1767" s="16"/>
    </row>
    <row r="1768">
      <c r="B1768" s="16"/>
      <c r="C1768" s="16"/>
      <c r="D1768" s="15"/>
      <c r="E1768" s="16"/>
    </row>
    <row r="1769">
      <c r="B1769" s="16"/>
      <c r="C1769" s="16"/>
      <c r="D1769" s="15"/>
      <c r="E1769" s="16"/>
    </row>
    <row r="1770">
      <c r="B1770" s="16"/>
      <c r="C1770" s="16"/>
      <c r="D1770" s="15"/>
      <c r="E1770" s="16"/>
    </row>
    <row r="1771">
      <c r="B1771" s="16"/>
      <c r="C1771" s="16"/>
      <c r="D1771" s="15"/>
      <c r="E1771" s="16"/>
    </row>
    <row r="1772">
      <c r="B1772" s="16"/>
      <c r="C1772" s="16"/>
      <c r="D1772" s="15"/>
      <c r="E1772" s="16"/>
    </row>
    <row r="1773">
      <c r="B1773" s="16"/>
      <c r="C1773" s="16"/>
      <c r="D1773" s="15"/>
      <c r="E1773" s="16"/>
    </row>
    <row r="1774">
      <c r="B1774" s="16"/>
      <c r="C1774" s="16"/>
      <c r="D1774" s="15"/>
      <c r="E1774" s="16"/>
    </row>
    <row r="1775">
      <c r="B1775" s="16"/>
      <c r="C1775" s="16"/>
      <c r="D1775" s="15"/>
      <c r="E1775" s="16"/>
    </row>
    <row r="1776">
      <c r="B1776" s="16"/>
      <c r="C1776" s="16"/>
      <c r="D1776" s="15"/>
      <c r="E1776" s="16"/>
    </row>
    <row r="1777">
      <c r="B1777" s="16"/>
      <c r="C1777" s="16"/>
      <c r="D1777" s="15"/>
      <c r="E1777" s="16"/>
    </row>
    <row r="1778">
      <c r="B1778" s="16"/>
      <c r="C1778" s="16"/>
      <c r="D1778" s="15"/>
      <c r="E1778" s="16"/>
    </row>
    <row r="1779">
      <c r="B1779" s="16"/>
      <c r="C1779" s="16"/>
      <c r="D1779" s="15"/>
      <c r="E1779" s="16"/>
    </row>
    <row r="1780">
      <c r="B1780" s="16"/>
      <c r="C1780" s="16"/>
      <c r="D1780" s="15"/>
      <c r="E1780" s="16"/>
    </row>
    <row r="1781">
      <c r="B1781" s="16"/>
      <c r="C1781" s="16"/>
      <c r="D1781" s="15"/>
      <c r="E1781" s="16"/>
    </row>
    <row r="1782">
      <c r="B1782" s="16"/>
      <c r="C1782" s="16"/>
      <c r="D1782" s="15"/>
      <c r="E1782" s="16"/>
    </row>
    <row r="1783">
      <c r="B1783" s="16"/>
      <c r="C1783" s="16"/>
      <c r="D1783" s="15"/>
      <c r="E1783" s="16"/>
    </row>
    <row r="1784">
      <c r="B1784" s="16"/>
      <c r="C1784" s="16"/>
      <c r="D1784" s="15"/>
      <c r="E1784" s="16"/>
    </row>
    <row r="1785">
      <c r="B1785" s="16"/>
      <c r="C1785" s="16"/>
      <c r="D1785" s="15"/>
      <c r="E1785" s="16"/>
    </row>
    <row r="1786">
      <c r="B1786" s="16"/>
      <c r="C1786" s="16"/>
      <c r="D1786" s="15"/>
      <c r="E1786" s="16"/>
    </row>
    <row r="1787">
      <c r="B1787" s="16"/>
      <c r="C1787" s="16"/>
      <c r="D1787" s="15"/>
      <c r="E1787" s="16"/>
    </row>
    <row r="1788">
      <c r="B1788" s="16"/>
      <c r="C1788" s="16"/>
      <c r="D1788" s="15"/>
      <c r="E1788" s="16"/>
    </row>
    <row r="1789">
      <c r="B1789" s="16"/>
      <c r="C1789" s="16"/>
      <c r="D1789" s="15"/>
      <c r="E1789" s="16"/>
    </row>
    <row r="1790">
      <c r="B1790" s="16"/>
      <c r="C1790" s="16"/>
      <c r="D1790" s="15"/>
      <c r="E1790" s="16"/>
    </row>
    <row r="1791">
      <c r="B1791" s="16"/>
      <c r="C1791" s="16"/>
      <c r="D1791" s="15"/>
      <c r="E1791" s="16"/>
    </row>
    <row r="1792">
      <c r="B1792" s="16"/>
      <c r="C1792" s="16"/>
      <c r="D1792" s="15"/>
      <c r="E1792" s="16"/>
    </row>
    <row r="1793">
      <c r="B1793" s="16"/>
      <c r="C1793" s="16"/>
      <c r="D1793" s="15"/>
      <c r="E1793" s="16"/>
    </row>
    <row r="1794">
      <c r="B1794" s="16"/>
      <c r="C1794" s="16"/>
      <c r="D1794" s="15"/>
      <c r="E1794" s="16"/>
    </row>
    <row r="1795">
      <c r="B1795" s="16"/>
      <c r="C1795" s="16"/>
      <c r="D1795" s="15"/>
      <c r="E1795" s="16"/>
    </row>
    <row r="1796">
      <c r="B1796" s="16"/>
      <c r="C1796" s="16"/>
      <c r="D1796" s="15"/>
      <c r="E1796" s="16"/>
    </row>
    <row r="1797">
      <c r="B1797" s="16"/>
      <c r="C1797" s="16"/>
      <c r="D1797" s="15"/>
      <c r="E1797" s="16"/>
    </row>
    <row r="1798">
      <c r="B1798" s="16"/>
      <c r="C1798" s="16"/>
      <c r="D1798" s="15"/>
      <c r="E1798" s="16"/>
    </row>
    <row r="1799">
      <c r="B1799" s="16"/>
      <c r="C1799" s="16"/>
      <c r="D1799" s="15"/>
      <c r="E1799" s="16"/>
    </row>
    <row r="1800">
      <c r="B1800" s="16"/>
      <c r="C1800" s="16"/>
      <c r="D1800" s="15"/>
      <c r="E1800" s="16"/>
    </row>
    <row r="1801">
      <c r="B1801" s="16"/>
      <c r="C1801" s="16"/>
      <c r="D1801" s="15"/>
      <c r="E1801" s="16"/>
    </row>
    <row r="1802">
      <c r="B1802" s="16"/>
      <c r="C1802" s="16"/>
      <c r="D1802" s="15"/>
      <c r="E1802" s="16"/>
    </row>
    <row r="1803">
      <c r="B1803" s="16"/>
      <c r="C1803" s="16"/>
      <c r="D1803" s="15"/>
      <c r="E1803" s="16"/>
    </row>
    <row r="1804">
      <c r="B1804" s="16"/>
      <c r="C1804" s="16"/>
      <c r="D1804" s="15"/>
      <c r="E1804" s="16"/>
    </row>
    <row r="1805">
      <c r="B1805" s="16"/>
      <c r="C1805" s="16"/>
      <c r="D1805" s="15"/>
      <c r="E1805" s="16"/>
    </row>
    <row r="1806">
      <c r="B1806" s="16"/>
      <c r="C1806" s="16"/>
      <c r="D1806" s="15"/>
      <c r="E1806" s="16"/>
    </row>
    <row r="1807">
      <c r="B1807" s="16"/>
      <c r="C1807" s="16"/>
      <c r="D1807" s="15"/>
      <c r="E1807" s="16"/>
    </row>
    <row r="1808">
      <c r="B1808" s="16"/>
      <c r="C1808" s="16"/>
      <c r="D1808" s="15"/>
      <c r="E1808" s="16"/>
    </row>
    <row r="1809">
      <c r="B1809" s="16"/>
      <c r="C1809" s="16"/>
      <c r="D1809" s="15"/>
      <c r="E1809" s="16"/>
    </row>
    <row r="1810">
      <c r="B1810" s="16"/>
      <c r="C1810" s="16"/>
      <c r="D1810" s="15"/>
      <c r="E1810" s="16"/>
    </row>
    <row r="1811">
      <c r="B1811" s="16"/>
      <c r="C1811" s="16"/>
      <c r="D1811" s="15"/>
      <c r="E1811" s="16"/>
    </row>
    <row r="1812">
      <c r="B1812" s="16"/>
      <c r="C1812" s="16"/>
      <c r="D1812" s="15"/>
      <c r="E1812" s="16"/>
    </row>
    <row r="1813">
      <c r="B1813" s="16"/>
      <c r="C1813" s="16"/>
      <c r="D1813" s="15"/>
      <c r="E1813" s="16"/>
    </row>
    <row r="1814">
      <c r="B1814" s="16"/>
      <c r="C1814" s="16"/>
      <c r="D1814" s="15"/>
      <c r="E1814" s="16"/>
    </row>
    <row r="1815">
      <c r="B1815" s="16"/>
      <c r="C1815" s="16"/>
      <c r="D1815" s="15"/>
      <c r="E1815" s="16"/>
    </row>
    <row r="1816">
      <c r="B1816" s="16"/>
      <c r="C1816" s="16"/>
      <c r="D1816" s="15"/>
      <c r="E1816" s="16"/>
    </row>
    <row r="1817">
      <c r="B1817" s="16"/>
      <c r="C1817" s="16"/>
      <c r="D1817" s="15"/>
      <c r="E1817" s="16"/>
    </row>
    <row r="1818">
      <c r="B1818" s="16"/>
      <c r="C1818" s="16"/>
      <c r="D1818" s="15"/>
      <c r="E1818" s="16"/>
    </row>
    <row r="1819">
      <c r="B1819" s="16"/>
      <c r="C1819" s="16"/>
      <c r="D1819" s="15"/>
      <c r="E1819" s="16"/>
    </row>
    <row r="1820">
      <c r="B1820" s="16"/>
      <c r="C1820" s="16"/>
      <c r="D1820" s="15"/>
      <c r="E1820" s="16"/>
    </row>
    <row r="1821">
      <c r="B1821" s="16"/>
      <c r="C1821" s="16"/>
      <c r="D1821" s="15"/>
      <c r="E1821" s="16"/>
    </row>
    <row r="1822">
      <c r="B1822" s="16"/>
      <c r="C1822" s="16"/>
      <c r="D1822" s="15"/>
      <c r="E1822" s="16"/>
    </row>
    <row r="1823">
      <c r="B1823" s="16"/>
      <c r="C1823" s="16"/>
      <c r="D1823" s="15"/>
      <c r="E1823" s="16"/>
    </row>
    <row r="1824">
      <c r="B1824" s="16"/>
      <c r="C1824" s="16"/>
      <c r="D1824" s="15"/>
      <c r="E1824" s="16"/>
    </row>
    <row r="1825">
      <c r="B1825" s="16"/>
      <c r="C1825" s="16"/>
      <c r="D1825" s="15"/>
      <c r="E1825" s="16"/>
    </row>
    <row r="1826">
      <c r="B1826" s="16"/>
      <c r="C1826" s="16"/>
      <c r="D1826" s="15"/>
      <c r="E1826" s="16"/>
    </row>
    <row r="1827">
      <c r="B1827" s="16"/>
      <c r="C1827" s="16"/>
      <c r="D1827" s="15"/>
      <c r="E1827" s="16"/>
    </row>
    <row r="1828">
      <c r="B1828" s="16"/>
      <c r="C1828" s="16"/>
      <c r="D1828" s="15"/>
      <c r="E1828" s="16"/>
    </row>
    <row r="1829">
      <c r="B1829" s="16"/>
      <c r="C1829" s="16"/>
      <c r="D1829" s="15"/>
      <c r="E1829" s="16"/>
    </row>
    <row r="1830">
      <c r="B1830" s="16"/>
      <c r="C1830" s="16"/>
      <c r="D1830" s="15"/>
      <c r="E1830" s="16"/>
    </row>
    <row r="1831">
      <c r="B1831" s="16"/>
      <c r="C1831" s="16"/>
      <c r="D1831" s="15"/>
      <c r="E1831" s="16"/>
    </row>
    <row r="1832">
      <c r="B1832" s="16"/>
      <c r="C1832" s="16"/>
      <c r="D1832" s="15"/>
      <c r="E1832" s="16"/>
    </row>
    <row r="1833">
      <c r="B1833" s="16"/>
      <c r="C1833" s="16"/>
      <c r="D1833" s="15"/>
      <c r="E1833" s="16"/>
    </row>
    <row r="1834">
      <c r="B1834" s="16"/>
      <c r="C1834" s="16"/>
      <c r="D1834" s="15"/>
      <c r="E1834" s="16"/>
    </row>
    <row r="1835">
      <c r="B1835" s="16"/>
      <c r="C1835" s="16"/>
      <c r="D1835" s="15"/>
      <c r="E1835" s="16"/>
    </row>
    <row r="1836">
      <c r="B1836" s="16"/>
      <c r="C1836" s="16"/>
      <c r="D1836" s="15"/>
      <c r="E1836" s="16"/>
    </row>
    <row r="1837">
      <c r="B1837" s="16"/>
      <c r="C1837" s="16"/>
      <c r="D1837" s="15"/>
      <c r="E1837" s="16"/>
    </row>
    <row r="1838">
      <c r="B1838" s="16"/>
      <c r="C1838" s="16"/>
      <c r="D1838" s="15"/>
      <c r="E1838" s="16"/>
    </row>
    <row r="1839">
      <c r="B1839" s="16"/>
      <c r="C1839" s="16"/>
      <c r="D1839" s="15"/>
      <c r="E1839" s="16"/>
    </row>
    <row r="1840">
      <c r="B1840" s="16"/>
      <c r="C1840" s="16"/>
      <c r="D1840" s="15"/>
      <c r="E1840" s="16"/>
    </row>
    <row r="1841">
      <c r="B1841" s="16"/>
      <c r="C1841" s="16"/>
      <c r="D1841" s="15"/>
      <c r="E1841" s="16"/>
    </row>
    <row r="1842">
      <c r="B1842" s="16"/>
      <c r="C1842" s="16"/>
      <c r="D1842" s="15"/>
      <c r="E1842" s="16"/>
    </row>
    <row r="1843">
      <c r="B1843" s="16"/>
      <c r="C1843" s="16"/>
      <c r="D1843" s="15"/>
      <c r="E1843" s="16"/>
    </row>
    <row r="1844">
      <c r="B1844" s="16"/>
      <c r="C1844" s="16"/>
      <c r="D1844" s="15"/>
      <c r="E1844" s="16"/>
    </row>
    <row r="1845">
      <c r="B1845" s="16"/>
      <c r="C1845" s="16"/>
      <c r="D1845" s="15"/>
      <c r="E1845" s="16"/>
    </row>
    <row r="1846">
      <c r="B1846" s="16"/>
      <c r="C1846" s="16"/>
      <c r="D1846" s="15"/>
      <c r="E1846" s="16"/>
    </row>
    <row r="1847">
      <c r="B1847" s="16"/>
      <c r="C1847" s="16"/>
      <c r="D1847" s="15"/>
      <c r="E1847" s="16"/>
    </row>
    <row r="1848">
      <c r="B1848" s="16"/>
      <c r="C1848" s="16"/>
      <c r="D1848" s="15"/>
      <c r="E1848" s="16"/>
    </row>
    <row r="1849">
      <c r="B1849" s="16"/>
      <c r="C1849" s="16"/>
      <c r="D1849" s="15"/>
      <c r="E1849" s="16"/>
    </row>
    <row r="1850">
      <c r="B1850" s="16"/>
      <c r="C1850" s="16"/>
      <c r="D1850" s="15"/>
      <c r="E1850" s="16"/>
    </row>
    <row r="1851">
      <c r="B1851" s="16"/>
      <c r="C1851" s="16"/>
      <c r="D1851" s="15"/>
      <c r="E1851" s="16"/>
    </row>
    <row r="1852">
      <c r="B1852" s="16"/>
      <c r="C1852" s="16"/>
      <c r="D1852" s="15"/>
      <c r="E1852" s="16"/>
    </row>
    <row r="1853">
      <c r="B1853" s="16"/>
      <c r="C1853" s="16"/>
      <c r="D1853" s="15"/>
      <c r="E1853" s="16"/>
    </row>
    <row r="1854">
      <c r="B1854" s="16"/>
      <c r="C1854" s="16"/>
      <c r="D1854" s="16"/>
      <c r="E1854" s="16"/>
    </row>
    <row r="1855">
      <c r="B1855" s="16"/>
      <c r="C1855" s="16"/>
      <c r="D1855" s="16"/>
      <c r="E1855" s="16"/>
    </row>
    <row r="1856">
      <c r="B1856" s="16"/>
      <c r="C1856" s="16"/>
      <c r="D1856" s="16"/>
      <c r="E1856" s="16"/>
    </row>
    <row r="1857">
      <c r="B1857" s="16"/>
      <c r="C1857" s="16"/>
      <c r="D1857" s="16"/>
      <c r="E1857" s="16"/>
    </row>
    <row r="1858">
      <c r="B1858" s="16"/>
      <c r="C1858" s="16"/>
      <c r="D1858" s="16"/>
      <c r="E1858" s="16"/>
    </row>
    <row r="1859">
      <c r="B1859" s="16"/>
      <c r="C1859" s="16"/>
      <c r="D1859" s="16"/>
      <c r="E1859" s="16"/>
    </row>
    <row r="1860">
      <c r="B1860" s="16"/>
      <c r="C1860" s="16"/>
      <c r="D1860" s="16"/>
      <c r="E1860" s="16"/>
    </row>
    <row r="1861">
      <c r="B1861" s="16"/>
      <c r="C1861" s="16"/>
      <c r="D1861" s="16"/>
      <c r="E1861" s="16"/>
    </row>
    <row r="1862">
      <c r="B1862" s="16"/>
      <c r="C1862" s="16"/>
      <c r="D1862" s="16"/>
      <c r="E1862" s="16"/>
    </row>
    <row r="1863">
      <c r="B1863" s="16"/>
      <c r="C1863" s="16"/>
      <c r="D1863" s="16"/>
      <c r="E1863" s="16"/>
    </row>
    <row r="1864">
      <c r="B1864" s="16"/>
      <c r="C1864" s="16"/>
      <c r="D1864" s="16"/>
      <c r="E1864" s="16"/>
    </row>
    <row r="1865">
      <c r="B1865" s="16"/>
      <c r="C1865" s="16"/>
      <c r="D1865" s="16"/>
      <c r="E1865" s="16"/>
    </row>
    <row r="1866">
      <c r="B1866" s="16"/>
      <c r="C1866" s="16"/>
      <c r="D1866" s="16"/>
      <c r="E1866" s="16"/>
    </row>
    <row r="1867">
      <c r="B1867" s="16"/>
      <c r="C1867" s="16"/>
      <c r="D1867" s="16"/>
      <c r="E1867" s="16"/>
    </row>
    <row r="1868">
      <c r="B1868" s="16"/>
      <c r="C1868" s="16"/>
      <c r="D1868" s="16"/>
      <c r="E1868" s="16"/>
    </row>
    <row r="1869">
      <c r="B1869" s="16"/>
      <c r="C1869" s="16"/>
      <c r="D1869" s="16"/>
      <c r="E1869" s="16"/>
    </row>
    <row r="1870">
      <c r="B1870" s="16"/>
      <c r="C1870" s="16"/>
      <c r="D1870" s="16"/>
      <c r="E1870" s="16"/>
    </row>
    <row r="1871">
      <c r="B1871" s="16"/>
      <c r="C1871" s="16"/>
      <c r="D1871" s="16"/>
      <c r="E1871" s="16"/>
    </row>
    <row r="1872">
      <c r="B1872" s="16"/>
      <c r="C1872" s="16"/>
      <c r="D1872" s="16"/>
      <c r="E1872" s="16"/>
    </row>
    <row r="1873">
      <c r="B1873" s="16"/>
      <c r="C1873" s="16"/>
      <c r="D1873" s="16"/>
      <c r="E1873" s="16"/>
    </row>
    <row r="1874">
      <c r="B1874" s="16"/>
      <c r="C1874" s="16"/>
      <c r="D1874" s="16"/>
      <c r="E1874" s="16"/>
    </row>
    <row r="1875">
      <c r="B1875" s="16"/>
      <c r="C1875" s="16"/>
      <c r="D1875" s="16"/>
      <c r="E1875" s="16"/>
    </row>
    <row r="1876">
      <c r="B1876" s="16"/>
      <c r="C1876" s="16"/>
      <c r="D1876" s="16"/>
      <c r="E1876" s="16"/>
    </row>
    <row r="1877">
      <c r="B1877" s="16"/>
      <c r="C1877" s="16"/>
      <c r="D1877" s="16"/>
      <c r="E1877" s="16"/>
    </row>
    <row r="1878">
      <c r="B1878" s="16"/>
      <c r="C1878" s="16"/>
      <c r="D1878" s="16"/>
      <c r="E1878" s="16"/>
    </row>
    <row r="1879">
      <c r="B1879" s="16"/>
      <c r="C1879" s="16"/>
      <c r="D1879" s="16"/>
      <c r="E1879" s="16"/>
    </row>
    <row r="1880">
      <c r="B1880" s="16"/>
      <c r="C1880" s="16"/>
      <c r="D1880" s="16"/>
      <c r="E1880" s="16"/>
    </row>
    <row r="1881">
      <c r="B1881" s="16"/>
      <c r="C1881" s="16"/>
      <c r="D1881" s="16"/>
      <c r="E1881" s="16"/>
    </row>
    <row r="1882">
      <c r="B1882" s="16"/>
      <c r="C1882" s="16"/>
      <c r="D1882" s="16"/>
      <c r="E1882" s="16"/>
    </row>
    <row r="1883">
      <c r="B1883" s="16"/>
      <c r="C1883" s="16"/>
      <c r="D1883" s="16"/>
      <c r="E1883" s="16"/>
    </row>
    <row r="1884">
      <c r="B1884" s="16"/>
      <c r="C1884" s="16"/>
      <c r="D1884" s="16"/>
      <c r="E1884" s="16"/>
    </row>
    <row r="1885">
      <c r="B1885" s="16"/>
      <c r="C1885" s="16"/>
      <c r="D1885" s="16"/>
      <c r="E1885" s="16"/>
    </row>
    <row r="1886">
      <c r="B1886" s="16"/>
      <c r="C1886" s="16"/>
      <c r="D1886" s="16"/>
      <c r="E1886" s="16"/>
    </row>
    <row r="1887">
      <c r="B1887" s="16"/>
      <c r="C1887" s="16"/>
      <c r="D1887" s="16"/>
      <c r="E1887" s="16"/>
    </row>
    <row r="1888">
      <c r="B1888" s="16"/>
      <c r="C1888" s="16"/>
      <c r="D1888" s="16"/>
      <c r="E1888" s="16"/>
    </row>
    <row r="1889">
      <c r="B1889" s="16"/>
      <c r="C1889" s="16"/>
      <c r="D1889" s="16"/>
      <c r="E1889" s="16"/>
    </row>
    <row r="1890">
      <c r="B1890" s="16"/>
      <c r="C1890" s="16"/>
      <c r="D1890" s="16"/>
      <c r="E1890" s="16"/>
    </row>
    <row r="1891">
      <c r="B1891" s="16"/>
      <c r="C1891" s="16"/>
      <c r="D1891" s="16"/>
      <c r="E1891" s="16"/>
    </row>
    <row r="1892">
      <c r="B1892" s="16"/>
      <c r="C1892" s="16"/>
      <c r="D1892" s="16"/>
      <c r="E1892" s="16"/>
    </row>
    <row r="1893">
      <c r="B1893" s="16"/>
      <c r="C1893" s="16"/>
      <c r="D1893" s="16"/>
      <c r="E1893" s="16"/>
    </row>
    <row r="1894">
      <c r="B1894" s="16"/>
      <c r="C1894" s="16"/>
      <c r="D1894" s="16"/>
      <c r="E1894" s="16"/>
    </row>
    <row r="1895">
      <c r="B1895" s="16"/>
      <c r="C1895" s="16"/>
      <c r="D1895" s="16"/>
      <c r="E1895" s="16"/>
    </row>
    <row r="1896">
      <c r="B1896" s="16"/>
      <c r="C1896" s="16"/>
      <c r="D1896" s="16"/>
      <c r="E1896" s="16"/>
    </row>
    <row r="1897">
      <c r="B1897" s="16"/>
      <c r="C1897" s="16"/>
      <c r="D1897" s="16"/>
      <c r="E1897" s="16"/>
    </row>
    <row r="1898">
      <c r="B1898" s="16"/>
      <c r="C1898" s="16"/>
      <c r="D1898" s="16"/>
      <c r="E1898" s="16"/>
    </row>
    <row r="1899">
      <c r="B1899" s="16"/>
      <c r="C1899" s="16"/>
      <c r="D1899" s="16"/>
      <c r="E1899" s="16"/>
    </row>
    <row r="1900">
      <c r="B1900" s="16"/>
      <c r="C1900" s="16"/>
      <c r="D1900" s="16"/>
      <c r="E1900" s="16"/>
    </row>
    <row r="1901">
      <c r="B1901" s="16"/>
      <c r="C1901" s="16"/>
      <c r="D1901" s="16"/>
      <c r="E1901" s="16"/>
    </row>
    <row r="1902">
      <c r="B1902" s="16"/>
      <c r="C1902" s="16"/>
      <c r="D1902" s="16"/>
      <c r="E1902" s="16"/>
    </row>
    <row r="1903">
      <c r="B1903" s="16"/>
      <c r="C1903" s="16"/>
      <c r="D1903" s="16"/>
      <c r="E1903" s="16"/>
    </row>
    <row r="1904">
      <c r="B1904" s="16"/>
      <c r="C1904" s="16"/>
      <c r="D1904" s="16"/>
      <c r="E1904" s="16"/>
    </row>
    <row r="1905">
      <c r="B1905" s="16"/>
      <c r="C1905" s="16"/>
      <c r="D1905" s="16"/>
      <c r="E1905" s="16"/>
    </row>
    <row r="1906">
      <c r="B1906" s="16"/>
      <c r="C1906" s="16"/>
      <c r="D1906" s="16"/>
      <c r="E1906" s="16"/>
    </row>
    <row r="1907">
      <c r="B1907" s="16"/>
      <c r="C1907" s="16"/>
      <c r="D1907" s="16"/>
      <c r="E1907" s="16"/>
    </row>
    <row r="1908">
      <c r="B1908" s="16"/>
      <c r="C1908" s="16"/>
      <c r="D1908" s="16"/>
      <c r="E1908" s="16"/>
    </row>
    <row r="1909">
      <c r="B1909" s="16"/>
      <c r="C1909" s="16"/>
      <c r="D1909" s="16"/>
      <c r="E1909" s="16"/>
    </row>
    <row r="1910">
      <c r="B1910" s="16"/>
      <c r="C1910" s="16"/>
      <c r="D1910" s="16"/>
      <c r="E1910" s="16"/>
    </row>
    <row r="1911">
      <c r="B1911" s="16"/>
      <c r="C1911" s="16"/>
      <c r="D1911" s="16"/>
      <c r="E1911" s="16"/>
    </row>
    <row r="1912">
      <c r="B1912" s="16"/>
      <c r="C1912" s="16"/>
      <c r="D1912" s="16"/>
      <c r="E1912" s="16"/>
    </row>
    <row r="1913">
      <c r="B1913" s="16"/>
      <c r="C1913" s="16"/>
      <c r="D1913" s="16"/>
      <c r="E1913" s="16"/>
    </row>
    <row r="1914">
      <c r="B1914" s="16"/>
      <c r="C1914" s="16"/>
      <c r="D1914" s="16"/>
      <c r="E1914" s="16"/>
    </row>
    <row r="1915">
      <c r="B1915" s="16"/>
      <c r="C1915" s="16"/>
      <c r="D1915" s="16"/>
      <c r="E1915" s="16"/>
    </row>
    <row r="1916">
      <c r="B1916" s="16"/>
      <c r="C1916" s="16"/>
      <c r="D1916" s="16"/>
      <c r="E1916" s="16"/>
    </row>
    <row r="1917">
      <c r="B1917" s="16"/>
      <c r="C1917" s="16"/>
      <c r="D1917" s="16"/>
      <c r="E1917" s="16"/>
    </row>
    <row r="1918">
      <c r="B1918" s="16"/>
      <c r="C1918" s="16"/>
      <c r="D1918" s="16"/>
      <c r="E1918" s="16"/>
    </row>
    <row r="1919">
      <c r="B1919" s="16"/>
      <c r="C1919" s="16"/>
      <c r="D1919" s="16"/>
      <c r="E1919" s="16"/>
    </row>
    <row r="1920">
      <c r="B1920" s="16"/>
      <c r="C1920" s="16"/>
      <c r="D1920" s="16"/>
      <c r="E1920" s="16"/>
    </row>
    <row r="1921">
      <c r="B1921" s="16"/>
      <c r="C1921" s="16"/>
      <c r="D1921" s="16"/>
      <c r="E1921" s="16"/>
    </row>
    <row r="1922">
      <c r="B1922" s="16"/>
      <c r="C1922" s="16"/>
      <c r="D1922" s="16"/>
      <c r="E1922" s="16"/>
    </row>
    <row r="1923">
      <c r="B1923" s="16"/>
      <c r="C1923" s="16"/>
      <c r="D1923" s="16"/>
      <c r="E1923" s="16"/>
    </row>
    <row r="1924">
      <c r="B1924" s="16"/>
      <c r="C1924" s="16"/>
      <c r="D1924" s="16"/>
      <c r="E1924" s="16"/>
    </row>
    <row r="1925">
      <c r="B1925" s="16"/>
      <c r="C1925" s="16"/>
      <c r="D1925" s="16"/>
      <c r="E1925" s="16"/>
    </row>
    <row r="1926">
      <c r="B1926" s="16"/>
      <c r="C1926" s="16"/>
      <c r="D1926" s="16"/>
      <c r="E1926" s="16"/>
    </row>
    <row r="1927">
      <c r="B1927" s="16"/>
      <c r="C1927" s="16"/>
      <c r="D1927" s="16"/>
      <c r="E1927" s="16"/>
    </row>
    <row r="1928">
      <c r="B1928" s="16"/>
      <c r="C1928" s="16"/>
      <c r="D1928" s="16"/>
      <c r="E1928" s="16"/>
    </row>
    <row r="1929">
      <c r="B1929" s="16"/>
      <c r="C1929" s="16"/>
      <c r="D1929" s="16"/>
      <c r="E1929" s="16"/>
    </row>
    <row r="1930">
      <c r="B1930" s="16"/>
      <c r="C1930" s="16"/>
      <c r="D1930" s="16"/>
      <c r="E1930" s="16"/>
    </row>
    <row r="1931">
      <c r="B1931" s="16"/>
      <c r="C1931" s="16"/>
      <c r="D1931" s="16"/>
      <c r="E1931" s="16"/>
    </row>
    <row r="1932">
      <c r="B1932" s="16"/>
      <c r="C1932" s="16"/>
      <c r="D1932" s="16"/>
      <c r="E1932" s="16"/>
    </row>
    <row r="1933">
      <c r="B1933" s="16"/>
      <c r="C1933" s="16"/>
      <c r="D1933" s="16"/>
      <c r="E1933" s="16"/>
    </row>
    <row r="1934">
      <c r="B1934" s="16"/>
      <c r="C1934" s="16"/>
      <c r="D1934" s="16"/>
      <c r="E1934" s="16"/>
    </row>
    <row r="1935">
      <c r="B1935" s="16"/>
      <c r="C1935" s="16"/>
      <c r="D1935" s="16"/>
      <c r="E1935" s="16"/>
    </row>
    <row r="1936">
      <c r="B1936" s="16"/>
      <c r="C1936" s="16"/>
      <c r="D1936" s="16"/>
      <c r="E1936" s="16"/>
    </row>
    <row r="1937">
      <c r="B1937" s="16"/>
      <c r="C1937" s="16"/>
      <c r="D1937" s="16"/>
      <c r="E1937" s="16"/>
    </row>
    <row r="1938">
      <c r="B1938" s="16"/>
      <c r="C1938" s="16"/>
      <c r="D1938" s="16"/>
      <c r="E1938" s="16"/>
    </row>
    <row r="1939">
      <c r="B1939" s="16"/>
      <c r="C1939" s="16"/>
      <c r="D1939" s="16"/>
      <c r="E1939" s="16"/>
    </row>
    <row r="1940">
      <c r="B1940" s="16"/>
      <c r="C1940" s="16"/>
      <c r="D1940" s="16"/>
      <c r="E1940" s="16"/>
    </row>
    <row r="1941">
      <c r="B1941" s="16"/>
      <c r="C1941" s="16"/>
      <c r="D1941" s="16"/>
      <c r="E1941" s="16"/>
    </row>
    <row r="1942">
      <c r="B1942" s="16"/>
      <c r="C1942" s="16"/>
      <c r="D1942" s="16"/>
      <c r="E1942" s="16"/>
    </row>
    <row r="1943">
      <c r="B1943" s="16"/>
      <c r="C1943" s="16"/>
      <c r="D1943" s="16"/>
      <c r="E1943" s="16"/>
    </row>
    <row r="1944">
      <c r="B1944" s="16"/>
      <c r="C1944" s="16"/>
      <c r="D1944" s="16"/>
      <c r="E1944" s="16"/>
    </row>
    <row r="1945">
      <c r="B1945" s="16"/>
      <c r="C1945" s="16"/>
      <c r="D1945" s="16"/>
      <c r="E1945" s="16"/>
    </row>
    <row r="1946">
      <c r="B1946" s="16"/>
      <c r="C1946" s="16"/>
      <c r="D1946" s="16"/>
      <c r="E1946" s="16"/>
    </row>
    <row r="1947">
      <c r="B1947" s="16"/>
      <c r="C1947" s="16"/>
      <c r="D1947" s="16"/>
      <c r="E1947" s="16"/>
    </row>
    <row r="1948">
      <c r="B1948" s="16"/>
      <c r="C1948" s="16"/>
      <c r="D1948" s="16"/>
      <c r="E1948" s="16"/>
    </row>
    <row r="1949">
      <c r="B1949" s="16"/>
      <c r="C1949" s="16"/>
      <c r="D1949" s="16"/>
      <c r="E1949" s="16"/>
    </row>
    <row r="1950">
      <c r="B1950" s="16"/>
      <c r="C1950" s="16"/>
      <c r="D1950" s="16"/>
      <c r="E1950" s="16"/>
    </row>
    <row r="1951">
      <c r="B1951" s="16"/>
      <c r="C1951" s="16"/>
      <c r="D1951" s="16"/>
      <c r="E1951" s="16"/>
    </row>
    <row r="1952">
      <c r="B1952" s="16"/>
      <c r="C1952" s="16"/>
      <c r="D1952" s="16"/>
      <c r="E1952" s="16"/>
    </row>
    <row r="1953">
      <c r="B1953" s="16"/>
      <c r="C1953" s="16"/>
      <c r="D1953" s="16"/>
      <c r="E1953" s="16"/>
    </row>
    <row r="1954">
      <c r="B1954" s="16"/>
      <c r="C1954" s="16"/>
      <c r="D1954" s="16"/>
      <c r="E1954" s="16"/>
    </row>
    <row r="1955">
      <c r="B1955" s="16"/>
      <c r="C1955" s="16"/>
      <c r="D1955" s="16"/>
      <c r="E1955" s="16"/>
    </row>
    <row r="1956">
      <c r="B1956" s="16"/>
      <c r="C1956" s="16"/>
      <c r="D1956" s="16"/>
      <c r="E1956" s="16"/>
    </row>
    <row r="1957">
      <c r="B1957" s="16"/>
      <c r="C1957" s="16"/>
      <c r="D1957" s="16"/>
      <c r="E1957" s="16"/>
    </row>
    <row r="1958">
      <c r="B1958" s="16"/>
      <c r="C1958" s="16"/>
      <c r="D1958" s="16"/>
      <c r="E1958" s="16"/>
    </row>
    <row r="1959">
      <c r="B1959" s="16"/>
      <c r="C1959" s="16"/>
      <c r="D1959" s="16"/>
      <c r="E1959" s="16"/>
    </row>
    <row r="1960">
      <c r="B1960" s="16"/>
      <c r="C1960" s="16"/>
      <c r="D1960" s="16"/>
      <c r="E1960" s="16"/>
    </row>
    <row r="1961">
      <c r="B1961" s="16"/>
      <c r="C1961" s="16"/>
      <c r="D1961" s="16"/>
      <c r="E1961" s="16"/>
    </row>
    <row r="1962">
      <c r="B1962" s="16"/>
      <c r="C1962" s="16"/>
      <c r="D1962" s="16"/>
      <c r="E1962" s="16"/>
    </row>
    <row r="1963">
      <c r="B1963" s="16"/>
      <c r="C1963" s="16"/>
      <c r="D1963" s="16"/>
      <c r="E1963" s="16"/>
    </row>
    <row r="1964">
      <c r="B1964" s="16"/>
      <c r="C1964" s="16"/>
      <c r="D1964" s="16"/>
      <c r="E1964" s="16"/>
    </row>
    <row r="1965">
      <c r="B1965" s="16"/>
      <c r="C1965" s="16"/>
      <c r="D1965" s="16"/>
      <c r="E1965" s="16"/>
    </row>
    <row r="1966">
      <c r="B1966" s="16"/>
      <c r="C1966" s="16"/>
      <c r="D1966" s="16"/>
      <c r="E1966" s="16"/>
    </row>
    <row r="1967">
      <c r="B1967" s="16"/>
      <c r="C1967" s="16"/>
      <c r="D1967" s="16"/>
      <c r="E1967" s="16"/>
    </row>
    <row r="1968">
      <c r="B1968" s="16"/>
      <c r="C1968" s="16"/>
      <c r="D1968" s="16"/>
      <c r="E1968" s="16"/>
    </row>
    <row r="1969">
      <c r="B1969" s="16"/>
      <c r="C1969" s="16"/>
      <c r="D1969" s="16"/>
      <c r="E1969" s="16"/>
    </row>
    <row r="1970">
      <c r="B1970" s="16"/>
      <c r="C1970" s="16"/>
      <c r="D1970" s="16"/>
      <c r="E1970" s="16"/>
    </row>
    <row r="1971">
      <c r="B1971" s="16"/>
      <c r="C1971" s="16"/>
      <c r="D1971" s="16"/>
      <c r="E1971" s="16"/>
    </row>
    <row r="1972">
      <c r="B1972" s="16"/>
      <c r="C1972" s="16"/>
      <c r="D1972" s="16"/>
      <c r="E1972" s="16"/>
    </row>
    <row r="1973">
      <c r="B1973" s="16"/>
      <c r="C1973" s="16"/>
      <c r="D1973" s="16"/>
      <c r="E1973" s="16"/>
    </row>
    <row r="1974">
      <c r="B1974" s="16"/>
      <c r="C1974" s="16"/>
      <c r="D1974" s="16"/>
      <c r="E1974" s="16"/>
    </row>
    <row r="1975">
      <c r="B1975" s="16"/>
      <c r="C1975" s="16"/>
      <c r="D1975" s="16"/>
      <c r="E1975" s="16"/>
    </row>
    <row r="1976">
      <c r="B1976" s="16"/>
      <c r="C1976" s="16"/>
      <c r="D1976" s="16"/>
      <c r="E1976" s="16"/>
    </row>
    <row r="1977">
      <c r="B1977" s="16"/>
      <c r="C1977" s="16"/>
      <c r="D1977" s="16"/>
      <c r="E1977" s="16"/>
    </row>
    <row r="1978">
      <c r="B1978" s="16"/>
      <c r="C1978" s="16"/>
      <c r="D1978" s="16"/>
      <c r="E1978" s="16"/>
    </row>
    <row r="1979">
      <c r="B1979" s="16"/>
      <c r="C1979" s="16"/>
      <c r="D1979" s="16"/>
      <c r="E1979" s="16"/>
    </row>
    <row r="1980">
      <c r="B1980" s="16"/>
      <c r="C1980" s="16"/>
      <c r="D1980" s="16"/>
      <c r="E1980" s="16"/>
    </row>
    <row r="1981">
      <c r="B1981" s="16"/>
      <c r="C1981" s="16"/>
      <c r="D1981" s="16"/>
      <c r="E1981" s="16"/>
    </row>
    <row r="1982">
      <c r="B1982" s="16"/>
      <c r="C1982" s="16"/>
      <c r="D1982" s="16"/>
      <c r="E1982" s="16"/>
    </row>
    <row r="1983">
      <c r="B1983" s="16"/>
      <c r="C1983" s="16"/>
      <c r="D1983" s="16"/>
      <c r="E1983" s="16"/>
    </row>
    <row r="1984">
      <c r="B1984" s="16"/>
      <c r="C1984" s="16"/>
      <c r="D1984" s="16"/>
      <c r="E1984" s="16"/>
    </row>
    <row r="1985">
      <c r="B1985" s="16"/>
      <c r="C1985" s="16"/>
      <c r="D1985" s="16"/>
      <c r="E1985" s="16"/>
    </row>
    <row r="1986">
      <c r="B1986" s="16"/>
      <c r="C1986" s="16"/>
      <c r="D1986" s="16"/>
      <c r="E1986" s="16"/>
    </row>
    <row r="1987">
      <c r="B1987" s="16"/>
      <c r="C1987" s="16"/>
      <c r="D1987" s="16"/>
      <c r="E1987" s="16"/>
    </row>
    <row r="1988">
      <c r="B1988" s="16"/>
      <c r="C1988" s="16"/>
      <c r="D1988" s="16"/>
      <c r="E1988" s="16"/>
    </row>
    <row r="1989">
      <c r="B1989" s="16"/>
      <c r="C1989" s="16"/>
      <c r="D1989" s="16"/>
      <c r="E1989" s="16"/>
    </row>
    <row r="1990">
      <c r="B1990" s="16"/>
      <c r="C1990" s="16"/>
      <c r="D1990" s="16"/>
      <c r="E1990" s="16"/>
    </row>
    <row r="1991">
      <c r="B1991" s="16"/>
      <c r="C1991" s="16"/>
      <c r="D1991" s="16"/>
      <c r="E1991" s="16"/>
    </row>
    <row r="1992">
      <c r="B1992" s="16"/>
      <c r="C1992" s="16"/>
      <c r="D1992" s="16"/>
      <c r="E1992" s="16"/>
    </row>
    <row r="1993">
      <c r="B1993" s="16"/>
      <c r="C1993" s="16"/>
      <c r="D1993" s="16"/>
      <c r="E1993" s="16"/>
    </row>
    <row r="1994">
      <c r="B1994" s="16"/>
      <c r="C1994" s="16"/>
      <c r="D1994" s="16"/>
      <c r="E1994" s="16"/>
    </row>
    <row r="1995">
      <c r="B1995" s="16"/>
      <c r="C1995" s="16"/>
      <c r="D1995" s="16"/>
      <c r="E1995" s="16"/>
    </row>
    <row r="1996">
      <c r="B1996" s="16"/>
      <c r="C1996" s="16"/>
      <c r="D1996" s="16"/>
      <c r="E1996" s="16"/>
    </row>
    <row r="1997">
      <c r="B1997" s="16"/>
      <c r="C1997" s="16"/>
      <c r="D1997" s="16"/>
      <c r="E1997" s="16"/>
    </row>
    <row r="1998">
      <c r="B1998" s="16"/>
      <c r="C1998" s="16"/>
      <c r="D1998" s="16"/>
      <c r="E1998" s="16"/>
    </row>
    <row r="1999">
      <c r="B1999" s="16"/>
      <c r="C1999" s="16"/>
      <c r="D1999" s="16"/>
      <c r="E1999" s="16"/>
    </row>
    <row r="2000">
      <c r="B2000" s="16"/>
      <c r="C2000" s="16"/>
      <c r="D2000" s="16"/>
      <c r="E2000" s="16"/>
    </row>
    <row r="2001">
      <c r="B2001" s="16"/>
      <c r="C2001" s="16"/>
      <c r="D2001" s="16"/>
      <c r="E2001" s="16"/>
    </row>
    <row r="2002">
      <c r="B2002" s="16"/>
      <c r="C2002" s="16"/>
      <c r="D2002" s="16"/>
      <c r="E2002" s="16"/>
    </row>
    <row r="2003">
      <c r="B2003" s="16"/>
      <c r="C2003" s="16"/>
      <c r="D2003" s="16"/>
      <c r="E2003" s="16"/>
    </row>
    <row r="2004">
      <c r="B2004" s="16"/>
      <c r="C2004" s="16"/>
      <c r="D2004" s="16"/>
      <c r="E2004" s="16"/>
    </row>
    <row r="2005">
      <c r="B2005" s="16"/>
      <c r="C2005" s="16"/>
      <c r="D2005" s="16"/>
      <c r="E2005" s="16"/>
    </row>
    <row r="2006">
      <c r="B2006" s="16"/>
      <c r="C2006" s="16"/>
      <c r="D2006" s="16"/>
      <c r="E2006" s="16"/>
    </row>
    <row r="2007">
      <c r="B2007" s="16"/>
      <c r="C2007" s="16"/>
      <c r="D2007" s="16"/>
      <c r="E2007" s="16"/>
    </row>
    <row r="2008">
      <c r="B2008" s="16"/>
      <c r="C2008" s="16"/>
      <c r="D2008" s="16"/>
      <c r="E2008" s="16"/>
    </row>
    <row r="2009">
      <c r="B2009" s="16"/>
      <c r="C2009" s="16"/>
      <c r="D2009" s="16"/>
      <c r="E2009" s="16"/>
    </row>
    <row r="2010">
      <c r="B2010" s="16"/>
      <c r="C2010" s="16"/>
      <c r="D2010" s="16"/>
      <c r="E2010" s="16"/>
    </row>
    <row r="2011">
      <c r="B2011" s="16"/>
      <c r="C2011" s="16"/>
      <c r="D2011" s="16"/>
      <c r="E2011" s="16"/>
    </row>
    <row r="2012">
      <c r="B2012" s="16"/>
      <c r="C2012" s="16"/>
      <c r="D2012" s="16"/>
      <c r="E2012" s="16"/>
    </row>
    <row r="2013">
      <c r="B2013" s="16"/>
      <c r="C2013" s="16"/>
      <c r="D2013" s="16"/>
      <c r="E2013" s="16"/>
    </row>
    <row r="2014">
      <c r="B2014" s="16"/>
      <c r="C2014" s="16"/>
      <c r="D2014" s="16"/>
      <c r="E2014" s="16"/>
    </row>
    <row r="2015">
      <c r="B2015" s="16"/>
      <c r="C2015" s="16"/>
      <c r="D2015" s="16"/>
      <c r="E2015" s="16"/>
    </row>
    <row r="2016">
      <c r="B2016" s="16"/>
      <c r="C2016" s="16"/>
      <c r="D2016" s="16"/>
      <c r="E2016" s="16"/>
    </row>
    <row r="2017">
      <c r="B2017" s="16"/>
      <c r="C2017" s="16"/>
      <c r="D2017" s="16"/>
      <c r="E2017" s="16"/>
    </row>
    <row r="2018">
      <c r="B2018" s="16"/>
      <c r="C2018" s="16"/>
      <c r="D2018" s="16"/>
      <c r="E2018" s="16"/>
    </row>
    <row r="2019">
      <c r="B2019" s="16"/>
      <c r="C2019" s="16"/>
      <c r="D2019" s="16"/>
      <c r="E2019" s="16"/>
    </row>
    <row r="2020">
      <c r="B2020" s="16"/>
      <c r="C2020" s="16"/>
      <c r="D2020" s="16"/>
      <c r="E2020" s="16"/>
    </row>
    <row r="2021">
      <c r="B2021" s="16"/>
      <c r="C2021" s="16"/>
      <c r="D2021" s="16"/>
      <c r="E2021" s="16"/>
    </row>
    <row r="2022">
      <c r="B2022" s="16"/>
      <c r="C2022" s="16"/>
      <c r="D2022" s="16"/>
      <c r="E2022" s="16"/>
    </row>
    <row r="2023">
      <c r="B2023" s="16"/>
      <c r="C2023" s="16"/>
      <c r="D2023" s="16"/>
      <c r="E2023" s="16"/>
    </row>
    <row r="2024">
      <c r="B2024" s="16"/>
      <c r="C2024" s="16"/>
      <c r="D2024" s="16"/>
      <c r="E2024" s="16"/>
    </row>
    <row r="2025">
      <c r="B2025" s="16"/>
      <c r="C2025" s="16"/>
      <c r="D2025" s="16"/>
      <c r="E2025" s="16"/>
    </row>
    <row r="2026">
      <c r="B2026" s="16"/>
      <c r="C2026" s="16"/>
      <c r="D2026" s="16"/>
      <c r="E2026" s="16"/>
    </row>
    <row r="2027">
      <c r="B2027" s="16"/>
      <c r="C2027" s="16"/>
      <c r="D2027" s="16"/>
      <c r="E2027" s="16"/>
    </row>
    <row r="2028">
      <c r="B2028" s="16"/>
      <c r="C2028" s="16"/>
      <c r="D2028" s="16"/>
      <c r="E2028" s="16"/>
    </row>
    <row r="2029">
      <c r="B2029" s="16"/>
      <c r="C2029" s="16"/>
      <c r="D2029" s="16"/>
      <c r="E2029" s="16"/>
    </row>
    <row r="2030">
      <c r="B2030" s="16"/>
      <c r="C2030" s="16"/>
      <c r="D2030" s="16"/>
      <c r="E2030" s="16"/>
    </row>
    <row r="2031">
      <c r="B2031" s="16"/>
      <c r="C2031" s="16"/>
      <c r="D2031" s="16"/>
      <c r="E2031" s="16"/>
    </row>
    <row r="2032">
      <c r="B2032" s="16"/>
      <c r="C2032" s="16"/>
      <c r="D2032" s="16"/>
      <c r="E2032" s="16"/>
    </row>
    <row r="2033">
      <c r="B2033" s="16"/>
      <c r="C2033" s="16"/>
      <c r="D2033" s="16"/>
      <c r="E2033" s="16"/>
    </row>
    <row r="2034">
      <c r="B2034" s="16"/>
      <c r="C2034" s="16"/>
      <c r="D2034" s="16"/>
      <c r="E2034" s="16"/>
    </row>
    <row r="2035">
      <c r="B2035" s="16"/>
      <c r="C2035" s="16"/>
      <c r="D2035" s="16"/>
      <c r="E2035" s="16"/>
    </row>
    <row r="2036">
      <c r="B2036" s="16"/>
      <c r="C2036" s="16"/>
      <c r="D2036" s="16"/>
      <c r="E2036" s="16"/>
    </row>
    <row r="2037">
      <c r="B2037" s="16"/>
      <c r="C2037" s="16"/>
      <c r="D2037" s="16"/>
      <c r="E2037" s="16"/>
    </row>
    <row r="2038">
      <c r="B2038" s="16"/>
      <c r="C2038" s="16"/>
      <c r="D2038" s="16"/>
      <c r="E2038" s="16"/>
    </row>
    <row r="2039">
      <c r="B2039" s="16"/>
      <c r="C2039" s="16"/>
      <c r="D2039" s="16"/>
      <c r="E2039" s="16"/>
    </row>
    <row r="2040">
      <c r="B2040" s="16"/>
      <c r="C2040" s="16"/>
      <c r="D2040" s="16"/>
      <c r="E2040" s="16"/>
    </row>
    <row r="2041">
      <c r="B2041" s="16"/>
      <c r="C2041" s="16"/>
      <c r="D2041" s="16"/>
      <c r="E2041" s="16"/>
    </row>
    <row r="2042">
      <c r="B2042" s="16"/>
      <c r="C2042" s="16"/>
      <c r="D2042" s="16"/>
      <c r="E2042" s="16"/>
    </row>
    <row r="2043">
      <c r="B2043" s="16"/>
      <c r="C2043" s="16"/>
      <c r="D2043" s="16"/>
      <c r="E2043" s="16"/>
    </row>
    <row r="2044">
      <c r="B2044" s="16"/>
      <c r="C2044" s="16"/>
      <c r="D2044" s="16"/>
      <c r="E2044" s="16"/>
    </row>
    <row r="2045">
      <c r="B2045" s="16"/>
      <c r="C2045" s="16"/>
      <c r="D2045" s="16"/>
      <c r="E2045" s="16"/>
    </row>
    <row r="2046">
      <c r="B2046" s="16"/>
      <c r="C2046" s="16"/>
      <c r="D2046" s="16"/>
      <c r="E2046" s="16"/>
    </row>
    <row r="2047">
      <c r="B2047" s="16"/>
      <c r="C2047" s="16"/>
      <c r="D2047" s="16"/>
      <c r="E2047" s="16"/>
    </row>
    <row r="2048">
      <c r="B2048" s="16"/>
      <c r="C2048" s="16"/>
      <c r="D2048" s="16"/>
      <c r="E2048" s="16"/>
    </row>
    <row r="2049">
      <c r="B2049" s="16"/>
      <c r="C2049" s="16"/>
      <c r="D2049" s="16"/>
      <c r="E2049" s="16"/>
    </row>
    <row r="2050">
      <c r="B2050" s="16"/>
      <c r="C2050" s="16"/>
      <c r="D2050" s="16"/>
      <c r="E2050" s="16"/>
    </row>
    <row r="2051">
      <c r="B2051" s="16"/>
      <c r="C2051" s="16"/>
      <c r="D2051" s="16"/>
      <c r="E2051" s="16"/>
    </row>
    <row r="2052">
      <c r="B2052" s="16"/>
      <c r="C2052" s="16"/>
      <c r="D2052" s="16"/>
      <c r="E2052" s="16"/>
    </row>
    <row r="2053">
      <c r="B2053" s="16"/>
      <c r="C2053" s="16"/>
      <c r="D2053" s="16"/>
      <c r="E2053" s="16"/>
    </row>
    <row r="2054">
      <c r="B2054" s="16"/>
      <c r="C2054" s="16"/>
      <c r="D2054" s="16"/>
      <c r="E2054" s="16"/>
    </row>
    <row r="2055">
      <c r="B2055" s="16"/>
      <c r="C2055" s="16"/>
      <c r="D2055" s="16"/>
      <c r="E2055" s="16"/>
    </row>
    <row r="2056">
      <c r="B2056" s="16"/>
      <c r="C2056" s="16"/>
      <c r="D2056" s="16"/>
      <c r="E2056" s="16"/>
    </row>
    <row r="2057">
      <c r="B2057" s="16"/>
      <c r="C2057" s="16"/>
      <c r="D2057" s="16"/>
      <c r="E2057" s="16"/>
    </row>
    <row r="2058">
      <c r="B2058" s="16"/>
      <c r="C2058" s="16"/>
      <c r="D2058" s="16"/>
      <c r="E2058" s="16"/>
    </row>
    <row r="2059">
      <c r="B2059" s="16"/>
      <c r="C2059" s="16"/>
      <c r="D2059" s="16"/>
      <c r="E2059" s="16"/>
    </row>
    <row r="2060">
      <c r="B2060" s="16"/>
      <c r="C2060" s="16"/>
      <c r="D2060" s="16"/>
      <c r="E2060" s="16"/>
    </row>
    <row r="2061">
      <c r="B2061" s="16"/>
      <c r="C2061" s="16"/>
      <c r="D2061" s="16"/>
      <c r="E2061" s="16"/>
    </row>
    <row r="2062">
      <c r="B2062" s="16"/>
      <c r="C2062" s="16"/>
      <c r="D2062" s="16"/>
      <c r="E2062" s="16"/>
    </row>
    <row r="2063">
      <c r="B2063" s="16"/>
      <c r="C2063" s="16"/>
      <c r="D2063" s="16"/>
      <c r="E2063" s="16"/>
    </row>
    <row r="2064">
      <c r="B2064" s="16"/>
      <c r="C2064" s="16"/>
      <c r="D2064" s="16"/>
      <c r="E2064" s="16"/>
    </row>
    <row r="2065">
      <c r="B2065" s="16"/>
      <c r="C2065" s="16"/>
      <c r="D2065" s="16"/>
      <c r="E2065" s="16"/>
    </row>
    <row r="2066">
      <c r="B2066" s="16"/>
      <c r="C2066" s="16"/>
      <c r="D2066" s="16"/>
      <c r="E2066" s="16"/>
    </row>
    <row r="2067">
      <c r="B2067" s="16"/>
      <c r="C2067" s="16"/>
      <c r="D2067" s="16"/>
      <c r="E2067" s="16"/>
    </row>
    <row r="2068">
      <c r="B2068" s="16"/>
      <c r="C2068" s="16"/>
      <c r="D2068" s="16"/>
      <c r="E2068" s="16"/>
    </row>
    <row r="2069">
      <c r="B2069" s="16"/>
      <c r="C2069" s="16"/>
      <c r="D2069" s="16"/>
      <c r="E2069" s="16"/>
    </row>
    <row r="2070">
      <c r="B2070" s="16"/>
      <c r="C2070" s="16"/>
      <c r="D2070" s="16"/>
      <c r="E2070" s="16"/>
    </row>
    <row r="2071">
      <c r="B2071" s="16"/>
      <c r="C2071" s="16"/>
      <c r="D2071" s="16"/>
      <c r="E2071" s="16"/>
    </row>
    <row r="2072">
      <c r="B2072" s="16"/>
      <c r="C2072" s="16"/>
      <c r="D2072" s="16"/>
      <c r="E2072" s="16"/>
    </row>
    <row r="2073">
      <c r="B2073" s="16"/>
      <c r="C2073" s="16"/>
      <c r="D2073" s="16"/>
      <c r="E2073" s="16"/>
    </row>
  </sheetData>
  <autoFilter ref="$A$1:$Z$2073"/>
  <hyperlinks>
    <hyperlink r:id="rId1" ref="A2"/>
    <hyperlink r:id="rId2" ref="C2"/>
    <hyperlink r:id="rId3" ref="A3"/>
    <hyperlink r:id="rId4" ref="C3"/>
    <hyperlink r:id="rId5" ref="A4"/>
    <hyperlink r:id="rId6" ref="C4"/>
    <hyperlink r:id="rId7" ref="A5"/>
    <hyperlink r:id="rId8" ref="C5"/>
    <hyperlink r:id="rId9" ref="A6"/>
    <hyperlink r:id="rId10" ref="C6"/>
    <hyperlink r:id="rId11" ref="A7"/>
    <hyperlink r:id="rId12" ref="C7"/>
    <hyperlink r:id="rId13" ref="A8"/>
    <hyperlink r:id="rId14" ref="C8"/>
    <hyperlink r:id="rId15" ref="A9"/>
    <hyperlink r:id="rId16" ref="C9"/>
    <hyperlink r:id="rId17" ref="A10"/>
    <hyperlink r:id="rId18" ref="C10"/>
    <hyperlink r:id="rId19" ref="A11"/>
    <hyperlink r:id="rId20" ref="C11"/>
    <hyperlink r:id="rId21" ref="A12"/>
    <hyperlink r:id="rId22" ref="C12"/>
    <hyperlink r:id="rId23" ref="A13"/>
    <hyperlink r:id="rId24" ref="C13"/>
    <hyperlink r:id="rId25" ref="A14"/>
    <hyperlink r:id="rId26" ref="C14"/>
    <hyperlink r:id="rId27" location=":~:text=The%20agency%20has%20been%20recognised,KG%20(M%C3%BCnster)" ref="A15"/>
    <hyperlink r:id="rId28" ref="C15"/>
    <hyperlink r:id="rId29" location=":~:text=Adastra%20achieved%20Elite%20Partner%20Status,Worked%20in%20Retail%20(%2B10)" ref="A16"/>
    <hyperlink r:id="rId30" ref="C16"/>
    <hyperlink r:id="rId31" ref="A17"/>
    <hyperlink r:id="rId32" ref="C17"/>
    <hyperlink r:id="rId33" ref="A18"/>
    <hyperlink r:id="rId34" ref="C18"/>
    <hyperlink r:id="rId35" ref="A19"/>
    <hyperlink r:id="rId36" ref="C19"/>
    <hyperlink r:id="rId37" ref="A20"/>
    <hyperlink r:id="rId38" ref="C20"/>
    <hyperlink r:id="rId39" ref="A21"/>
    <hyperlink r:id="rId40" ref="C21"/>
    <hyperlink r:id="rId41" ref="A22"/>
    <hyperlink r:id="rId42" ref="C22"/>
    <hyperlink r:id="rId43" location=":~:text=Another%20standout%20agency%20based%20in,Deutsche%20Post%20reinvent%20their%20identities." ref="A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C114"/>
    <hyperlink r:id="rId225" location=":~:text=from%20on...-,Read%20More,100%25%20relevance%20%E2%9C%93%20Inform%20now" ref="A115"/>
    <hyperlink r:id="rId226" ref="C115"/>
    <hyperlink r:id="rId227" ref="A116"/>
    <hyperlink r:id="rId228" ref="C116"/>
    <hyperlink r:id="rId229" ref="A117"/>
    <hyperlink r:id="rId230" ref="C117"/>
    <hyperlink r:id="rId231" ref="A118"/>
    <hyperlink r:id="rId232" ref="C118"/>
    <hyperlink r:id="rId233" ref="A119"/>
    <hyperlink r:id="rId234" ref="C119"/>
    <hyperlink r:id="rId235" ref="A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ref="A130"/>
    <hyperlink r:id="rId255" ref="C130"/>
    <hyperlink r:id="rId256" ref="A131"/>
    <hyperlink r:id="rId257" ref="C131"/>
    <hyperlink r:id="rId258" ref="A132"/>
    <hyperlink r:id="rId259" ref="C132"/>
    <hyperlink r:id="rId260" ref="A133"/>
    <hyperlink r:id="rId261" ref="C133"/>
    <hyperlink r:id="rId262" ref="A134"/>
    <hyperlink r:id="rId263" ref="C134"/>
    <hyperlink r:id="rId264" ref="A135"/>
    <hyperlink r:id="rId265" ref="C135"/>
    <hyperlink r:id="rId266" ref="A136"/>
    <hyperlink r:id="rId267" ref="C136"/>
    <hyperlink r:id="rId268" ref="A137"/>
    <hyperlink r:id="rId269" ref="C137"/>
    <hyperlink r:id="rId270" ref="A138"/>
    <hyperlink r:id="rId271" ref="C138"/>
    <hyperlink r:id="rId272" ref="A139"/>
    <hyperlink r:id="rId273" ref="C139"/>
    <hyperlink r:id="rId274" ref="A140"/>
    <hyperlink r:id="rId275" ref="A141"/>
    <hyperlink r:id="rId276" ref="C141"/>
    <hyperlink r:id="rId277" ref="A142"/>
    <hyperlink r:id="rId278" ref="C142"/>
    <hyperlink r:id="rId279" ref="A143"/>
    <hyperlink r:id="rId280" ref="C143"/>
    <hyperlink r:id="rId281" ref="A144"/>
    <hyperlink r:id="rId282" ref="C144"/>
    <hyperlink r:id="rId283" ref="A145"/>
    <hyperlink r:id="rId284" ref="C145"/>
    <hyperlink r:id="rId285" ref="A146"/>
    <hyperlink r:id="rId286" ref="C146"/>
    <hyperlink r:id="rId287" ref="A147"/>
    <hyperlink r:id="rId288" ref="C147"/>
    <hyperlink r:id="rId289" ref="A148"/>
    <hyperlink r:id="rId290" ref="C148"/>
    <hyperlink r:id="rId291" ref="A149"/>
    <hyperlink r:id="rId292" ref="C149"/>
    <hyperlink r:id="rId293" ref="A150"/>
    <hyperlink r:id="rId294" ref="C150"/>
    <hyperlink r:id="rId295" ref="A151"/>
    <hyperlink r:id="rId296" ref="C151"/>
    <hyperlink r:id="rId297" ref="A152"/>
    <hyperlink r:id="rId298" ref="C152"/>
    <hyperlink r:id="rId299" ref="A153"/>
    <hyperlink r:id="rId300" ref="C153"/>
    <hyperlink r:id="rId301" ref="A154"/>
    <hyperlink r:id="rId302" ref="C154"/>
    <hyperlink r:id="rId303" ref="A155"/>
    <hyperlink r:id="rId304" ref="C155"/>
    <hyperlink r:id="rId305" ref="A156"/>
    <hyperlink r:id="rId306" ref="C156"/>
    <hyperlink r:id="rId307" ref="A157"/>
    <hyperlink r:id="rId308" ref="C157"/>
    <hyperlink r:id="rId309" ref="A158"/>
    <hyperlink r:id="rId310" ref="C158"/>
    <hyperlink r:id="rId311" ref="A159"/>
    <hyperlink r:id="rId312" ref="C159"/>
    <hyperlink r:id="rId313" ref="A160"/>
    <hyperlink r:id="rId314" ref="C160"/>
    <hyperlink r:id="rId315" ref="A161"/>
    <hyperlink r:id="rId316" ref="C161"/>
    <hyperlink r:id="rId317" ref="A162"/>
    <hyperlink r:id="rId318" ref="C162"/>
    <hyperlink r:id="rId319" ref="A163"/>
    <hyperlink r:id="rId320" ref="C163"/>
    <hyperlink r:id="rId321" ref="A164"/>
    <hyperlink r:id="rId322" ref="C164"/>
    <hyperlink r:id="rId323" ref="A165"/>
    <hyperlink r:id="rId324" ref="C165"/>
    <hyperlink r:id="rId325" ref="A166"/>
    <hyperlink r:id="rId326" ref="C166"/>
    <hyperlink r:id="rId327" ref="A167"/>
    <hyperlink r:id="rId328" ref="C167"/>
    <hyperlink r:id="rId329" ref="A168"/>
    <hyperlink r:id="rId330" ref="C168"/>
    <hyperlink r:id="rId331" ref="A169"/>
    <hyperlink r:id="rId332" ref="C169"/>
    <hyperlink r:id="rId333" ref="A170"/>
    <hyperlink r:id="rId334" ref="C170"/>
    <hyperlink r:id="rId335" ref="A171"/>
    <hyperlink r:id="rId336" ref="C171"/>
    <hyperlink r:id="rId337" ref="A172"/>
    <hyperlink r:id="rId338" ref="C172"/>
    <hyperlink r:id="rId339" ref="A173"/>
    <hyperlink r:id="rId340" ref="C173"/>
    <hyperlink r:id="rId341" ref="A174"/>
    <hyperlink r:id="rId342" ref="C174"/>
    <hyperlink r:id="rId343" ref="A175"/>
    <hyperlink r:id="rId344" ref="C175"/>
    <hyperlink r:id="rId345" ref="A176"/>
    <hyperlink r:id="rId346" ref="C176"/>
    <hyperlink r:id="rId347" ref="A177"/>
    <hyperlink r:id="rId348" ref="C177"/>
    <hyperlink r:id="rId349" ref="A178"/>
    <hyperlink r:id="rId350" ref="C178"/>
    <hyperlink r:id="rId351" ref="A179"/>
    <hyperlink r:id="rId352" ref="C179"/>
    <hyperlink r:id="rId353" ref="A180"/>
    <hyperlink r:id="rId354" ref="C180"/>
    <hyperlink r:id="rId355" ref="A181"/>
    <hyperlink r:id="rId356" ref="C181"/>
    <hyperlink r:id="rId357" ref="A182"/>
    <hyperlink r:id="rId358" ref="C182"/>
    <hyperlink r:id="rId359" ref="A183"/>
    <hyperlink r:id="rId360" ref="C183"/>
    <hyperlink r:id="rId361" ref="A184"/>
    <hyperlink r:id="rId362" ref="C184"/>
    <hyperlink r:id="rId363" ref="A185"/>
    <hyperlink r:id="rId364" ref="C185"/>
    <hyperlink r:id="rId365" ref="A186"/>
    <hyperlink r:id="rId366" ref="C186"/>
    <hyperlink r:id="rId367" ref="A187"/>
    <hyperlink r:id="rId368" ref="C187"/>
    <hyperlink r:id="rId369" ref="A188"/>
    <hyperlink r:id="rId370" ref="C188"/>
    <hyperlink r:id="rId371" ref="A189"/>
    <hyperlink r:id="rId372" ref="C189"/>
    <hyperlink r:id="rId373" ref="A190"/>
    <hyperlink r:id="rId374" ref="C190"/>
    <hyperlink r:id="rId375" ref="A191"/>
    <hyperlink r:id="rId376" ref="C191"/>
    <hyperlink r:id="rId377" ref="A192"/>
    <hyperlink r:id="rId378" ref="C192"/>
    <hyperlink r:id="rId379" ref="A193"/>
    <hyperlink r:id="rId380" ref="C193"/>
    <hyperlink r:id="rId381" ref="A194"/>
    <hyperlink r:id="rId382" ref="C194"/>
    <hyperlink r:id="rId383" ref="A195"/>
    <hyperlink r:id="rId384" ref="C195"/>
    <hyperlink r:id="rId385" ref="A196"/>
    <hyperlink r:id="rId386" ref="C196"/>
    <hyperlink r:id="rId387" ref="A197"/>
    <hyperlink r:id="rId388" ref="A198"/>
    <hyperlink r:id="rId389" ref="C198"/>
    <hyperlink r:id="rId390" ref="A199"/>
    <hyperlink r:id="rId391" ref="C199"/>
    <hyperlink r:id="rId392" ref="A200"/>
    <hyperlink r:id="rId393" ref="C200"/>
    <hyperlink r:id="rId394" ref="A201"/>
    <hyperlink r:id="rId395" ref="C201"/>
    <hyperlink r:id="rId396"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ref="A210"/>
    <hyperlink r:id="rId413" ref="C210"/>
    <hyperlink r:id="rId414" ref="A211"/>
    <hyperlink r:id="rId415" ref="C211"/>
    <hyperlink r:id="rId416" ref="A212"/>
    <hyperlink r:id="rId417" ref="C212"/>
    <hyperlink r:id="rId418" ref="A213"/>
    <hyperlink r:id="rId419" ref="C213"/>
    <hyperlink r:id="rId420" ref="A214"/>
    <hyperlink r:id="rId421" ref="C214"/>
    <hyperlink r:id="rId422" ref="A215"/>
    <hyperlink r:id="rId423" ref="C215"/>
    <hyperlink r:id="rId424" ref="A216"/>
    <hyperlink r:id="rId425" ref="C216"/>
    <hyperlink r:id="rId426" ref="A217"/>
    <hyperlink r:id="rId427" ref="C217"/>
    <hyperlink r:id="rId428" ref="A218"/>
    <hyperlink r:id="rId429" ref="C218"/>
    <hyperlink r:id="rId430" ref="A219"/>
    <hyperlink r:id="rId431" ref="C219"/>
    <hyperlink r:id="rId432" ref="A220"/>
    <hyperlink r:id="rId433" ref="C220"/>
    <hyperlink r:id="rId434" ref="A221"/>
    <hyperlink r:id="rId435" ref="C221"/>
    <hyperlink r:id="rId436" ref="A222"/>
    <hyperlink r:id="rId437" ref="C222"/>
    <hyperlink r:id="rId438" ref="A223"/>
    <hyperlink r:id="rId439" ref="C223"/>
    <hyperlink r:id="rId440" ref="A224"/>
    <hyperlink r:id="rId441" ref="C224"/>
    <hyperlink r:id="rId442" ref="A225"/>
    <hyperlink r:id="rId443" ref="C225"/>
    <hyperlink r:id="rId444" ref="A226"/>
    <hyperlink r:id="rId445" ref="C226"/>
    <hyperlink r:id="rId446" ref="A227"/>
    <hyperlink r:id="rId447" ref="C227"/>
    <hyperlink r:id="rId448" ref="A228"/>
    <hyperlink r:id="rId449" ref="C228"/>
    <hyperlink r:id="rId450" ref="A229"/>
    <hyperlink r:id="rId451" ref="C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A236"/>
    <hyperlink r:id="rId464" ref="C236"/>
    <hyperlink r:id="rId465" ref="A237"/>
    <hyperlink r:id="rId466" ref="A238"/>
    <hyperlink r:id="rId467" ref="C238"/>
    <hyperlink r:id="rId468" ref="A239"/>
    <hyperlink r:id="rId469" ref="C239"/>
    <hyperlink r:id="rId470" ref="A240"/>
    <hyperlink r:id="rId471" ref="C240"/>
    <hyperlink r:id="rId472" ref="A241"/>
    <hyperlink r:id="rId473" ref="C241"/>
    <hyperlink r:id="rId474" ref="A242"/>
    <hyperlink r:id="rId475" ref="C242"/>
    <hyperlink r:id="rId476" ref="A243"/>
    <hyperlink r:id="rId477" ref="C243"/>
    <hyperlink r:id="rId478" ref="A244"/>
    <hyperlink r:id="rId479" ref="C244"/>
    <hyperlink r:id="rId480" ref="A245"/>
    <hyperlink r:id="rId481" ref="C245"/>
    <hyperlink r:id="rId482" ref="A246"/>
    <hyperlink r:id="rId483" ref="C246"/>
    <hyperlink r:id="rId484" ref="A247"/>
    <hyperlink r:id="rId485" ref="C247"/>
    <hyperlink r:id="rId486" ref="A248"/>
    <hyperlink r:id="rId487" ref="C248"/>
    <hyperlink r:id="rId488" ref="A249"/>
    <hyperlink r:id="rId489" ref="C249"/>
    <hyperlink r:id="rId490" ref="A250"/>
    <hyperlink r:id="rId491" ref="C250"/>
    <hyperlink r:id="rId492" ref="A251"/>
    <hyperlink r:id="rId493" ref="C251"/>
    <hyperlink r:id="rId494" ref="A252"/>
    <hyperlink r:id="rId495" ref="C252"/>
    <hyperlink r:id="rId496" ref="A253"/>
    <hyperlink r:id="rId497" ref="C253"/>
    <hyperlink r:id="rId498" ref="A254"/>
    <hyperlink r:id="rId499" ref="C254"/>
    <hyperlink r:id="rId500" ref="A255"/>
    <hyperlink r:id="rId501" ref="C255"/>
    <hyperlink r:id="rId502" ref="A256"/>
    <hyperlink r:id="rId503" ref="C256"/>
    <hyperlink r:id="rId504" ref="A257"/>
    <hyperlink r:id="rId505" ref="C257"/>
    <hyperlink r:id="rId506" ref="A258"/>
    <hyperlink r:id="rId507" ref="C258"/>
    <hyperlink r:id="rId508" ref="A259"/>
    <hyperlink r:id="rId509" ref="C259"/>
    <hyperlink r:id="rId510" ref="A260"/>
    <hyperlink r:id="rId511" ref="C260"/>
    <hyperlink r:id="rId512" ref="A261"/>
    <hyperlink r:id="rId513" ref="C261"/>
    <hyperlink r:id="rId514" ref="A262"/>
    <hyperlink r:id="rId515" ref="C262"/>
    <hyperlink r:id="rId516" ref="A263"/>
    <hyperlink r:id="rId517" ref="C263"/>
    <hyperlink r:id="rId518" ref="A264"/>
    <hyperlink r:id="rId519" ref="A265"/>
    <hyperlink r:id="rId520" ref="C265"/>
    <hyperlink r:id="rId521" ref="A266"/>
    <hyperlink r:id="rId522" ref="C266"/>
    <hyperlink r:id="rId523" ref="A267"/>
    <hyperlink r:id="rId524" ref="C267"/>
    <hyperlink r:id="rId525" ref="A268"/>
    <hyperlink r:id="rId526" ref="C268"/>
    <hyperlink r:id="rId527" ref="A269"/>
    <hyperlink r:id="rId528" ref="C269"/>
    <hyperlink r:id="rId529" ref="A270"/>
    <hyperlink r:id="rId530" ref="C270"/>
    <hyperlink r:id="rId531" ref="A271"/>
    <hyperlink r:id="rId532" ref="C271"/>
    <hyperlink r:id="rId533" ref="A272"/>
    <hyperlink r:id="rId534" ref="C272"/>
    <hyperlink r:id="rId535" ref="A273"/>
    <hyperlink r:id="rId536" ref="C273"/>
    <hyperlink r:id="rId537" ref="A274"/>
    <hyperlink r:id="rId538" ref="A275"/>
    <hyperlink r:id="rId539" ref="C275"/>
    <hyperlink r:id="rId540" ref="A276"/>
    <hyperlink r:id="rId541" ref="C276"/>
    <hyperlink r:id="rId542" ref="A277"/>
    <hyperlink r:id="rId543" ref="C277"/>
    <hyperlink r:id="rId544" ref="A278"/>
    <hyperlink r:id="rId545" ref="C278"/>
    <hyperlink r:id="rId546" ref="A279"/>
    <hyperlink r:id="rId547" ref="C279"/>
    <hyperlink r:id="rId548" ref="A280"/>
    <hyperlink r:id="rId549" ref="C280"/>
    <hyperlink r:id="rId550" ref="A281"/>
    <hyperlink r:id="rId551" ref="C281"/>
    <hyperlink r:id="rId552" ref="A282"/>
    <hyperlink r:id="rId553" ref="C282"/>
    <hyperlink r:id="rId554" ref="A283"/>
    <hyperlink r:id="rId555" ref="C283"/>
    <hyperlink r:id="rId556" ref="A284"/>
    <hyperlink r:id="rId557" ref="C284"/>
    <hyperlink r:id="rId558" ref="A285"/>
    <hyperlink r:id="rId559" ref="C285"/>
    <hyperlink r:id="rId560" ref="A286"/>
    <hyperlink r:id="rId561" ref="C286"/>
    <hyperlink r:id="rId562" ref="A287"/>
    <hyperlink r:id="rId563" ref="C287"/>
    <hyperlink r:id="rId564" ref="A288"/>
    <hyperlink r:id="rId565" ref="C288"/>
    <hyperlink r:id="rId566" ref="A289"/>
    <hyperlink r:id="rId567" ref="C289"/>
    <hyperlink r:id="rId568" ref="A290"/>
    <hyperlink r:id="rId569" ref="C290"/>
    <hyperlink r:id="rId570" ref="A291"/>
    <hyperlink r:id="rId571" ref="C291"/>
    <hyperlink r:id="rId572" ref="A292"/>
    <hyperlink r:id="rId573" ref="C292"/>
    <hyperlink r:id="rId574" ref="A293"/>
    <hyperlink r:id="rId575" ref="C293"/>
    <hyperlink r:id="rId576" ref="A294"/>
    <hyperlink r:id="rId577" ref="C294"/>
    <hyperlink r:id="rId578" ref="A295"/>
    <hyperlink r:id="rId579" ref="C295"/>
    <hyperlink r:id="rId580" ref="A296"/>
    <hyperlink r:id="rId581" ref="C296"/>
    <hyperlink r:id="rId582" ref="A297"/>
    <hyperlink r:id="rId583" ref="C297"/>
    <hyperlink r:id="rId584" ref="A298"/>
    <hyperlink r:id="rId585" ref="C298"/>
    <hyperlink r:id="rId586" ref="A299"/>
    <hyperlink r:id="rId587" ref="C299"/>
    <hyperlink r:id="rId588" ref="A300"/>
    <hyperlink r:id="rId589" ref="C300"/>
    <hyperlink r:id="rId590" ref="A301"/>
    <hyperlink r:id="rId591" ref="C301"/>
    <hyperlink r:id="rId592" ref="A302"/>
    <hyperlink r:id="rId593" ref="C302"/>
    <hyperlink r:id="rId594" ref="A303"/>
    <hyperlink r:id="rId595" ref="C303"/>
    <hyperlink r:id="rId596" ref="A304"/>
    <hyperlink r:id="rId597" ref="C304"/>
    <hyperlink r:id="rId598" ref="A305"/>
    <hyperlink r:id="rId599" ref="C305"/>
    <hyperlink r:id="rId600" ref="A306"/>
    <hyperlink r:id="rId601" ref="C306"/>
    <hyperlink r:id="rId602" ref="A307"/>
    <hyperlink r:id="rId603" ref="C307"/>
    <hyperlink r:id="rId604" ref="A308"/>
    <hyperlink r:id="rId605" ref="C308"/>
    <hyperlink r:id="rId606" ref="A309"/>
    <hyperlink r:id="rId607" ref="C309"/>
    <hyperlink r:id="rId608" ref="A310"/>
    <hyperlink r:id="rId609" ref="C310"/>
    <hyperlink r:id="rId610" ref="A311"/>
    <hyperlink r:id="rId611" ref="C311"/>
    <hyperlink r:id="rId612" ref="A312"/>
    <hyperlink r:id="rId613" ref="C312"/>
    <hyperlink r:id="rId614" ref="A313"/>
    <hyperlink r:id="rId615" ref="C313"/>
    <hyperlink r:id="rId616" ref="A314"/>
    <hyperlink r:id="rId617" ref="C314"/>
    <hyperlink r:id="rId618" ref="A315"/>
    <hyperlink r:id="rId619" ref="C315"/>
    <hyperlink r:id="rId620" ref="A316"/>
    <hyperlink r:id="rId621" ref="C316"/>
    <hyperlink r:id="rId622" ref="A317"/>
    <hyperlink r:id="rId623" ref="A318"/>
    <hyperlink r:id="rId624" ref="C318"/>
    <hyperlink r:id="rId625" ref="A319"/>
    <hyperlink r:id="rId626" ref="C319"/>
    <hyperlink r:id="rId627" ref="A320"/>
    <hyperlink r:id="rId628" ref="C320"/>
    <hyperlink r:id="rId629" ref="A321"/>
    <hyperlink r:id="rId630" ref="C321"/>
    <hyperlink r:id="rId631" ref="A322"/>
    <hyperlink r:id="rId632" ref="C322"/>
    <hyperlink r:id="rId633" ref="A323"/>
    <hyperlink r:id="rId634" ref="C323"/>
    <hyperlink r:id="rId635" ref="A324"/>
    <hyperlink r:id="rId636" ref="C324"/>
    <hyperlink r:id="rId637" location=":~:text=Predictive%20Modeling%20%26%20Data%20Science%20%E2%80%93%20Utilize,development%20and%20ongoing%20strategic%20insights." ref="A325"/>
    <hyperlink r:id="rId638" ref="C325"/>
    <hyperlink r:id="rId639" ref="A326"/>
    <hyperlink r:id="rId640" ref="C326"/>
    <hyperlink r:id="rId641" ref="A327"/>
    <hyperlink r:id="rId642" ref="C327"/>
    <hyperlink r:id="rId643" ref="A328"/>
    <hyperlink r:id="rId644" ref="C328"/>
    <hyperlink r:id="rId645" ref="A329"/>
    <hyperlink r:id="rId646" ref="C329"/>
    <hyperlink r:id="rId647" location=":~:text=Licenses%20for%20the%20Google%20Marketing,Start" ref="A330"/>
    <hyperlink r:id="rId648" ref="A331"/>
    <hyperlink r:id="rId649" ref="C331"/>
    <hyperlink r:id="rId650" location=":~:text=Market%20Logic's%20Insights%20Engagement%20platform,Core%20business" ref="A332"/>
    <hyperlink r:id="rId651" ref="C332"/>
    <hyperlink r:id="rId652" ref="A333"/>
    <hyperlink r:id="rId653" ref="C333"/>
    <hyperlink r:id="rId654" ref="A334"/>
    <hyperlink r:id="rId655" ref="C334"/>
    <hyperlink r:id="rId656" ref="A335"/>
    <hyperlink r:id="rId657" ref="A336"/>
    <hyperlink r:id="rId658" ref="C336"/>
    <hyperlink r:id="rId659" ref="A337"/>
    <hyperlink r:id="rId660" ref="C337"/>
    <hyperlink r:id="rId661" ref="A338"/>
    <hyperlink r:id="rId662" ref="C338"/>
    <hyperlink r:id="rId663" ref="A339"/>
    <hyperlink r:id="rId664" ref="A340"/>
    <hyperlink r:id="rId665" ref="C340"/>
    <hyperlink r:id="rId666" ref="A341"/>
    <hyperlink r:id="rId667" ref="C341"/>
    <hyperlink r:id="rId668" ref="A342"/>
    <hyperlink r:id="rId669" ref="C342"/>
    <hyperlink r:id="rId670" ref="A343"/>
    <hyperlink r:id="rId671" ref="C343"/>
    <hyperlink r:id="rId672" ref="A344"/>
    <hyperlink r:id="rId673" ref="C344"/>
    <hyperlink r:id="rId674" ref="A345"/>
    <hyperlink r:id="rId675" ref="C345"/>
    <hyperlink r:id="rId676" ref="A346"/>
    <hyperlink r:id="rId677" ref="C346"/>
    <hyperlink r:id="rId678" ref="A347"/>
    <hyperlink r:id="rId679" ref="C347"/>
    <hyperlink r:id="rId680" ref="A348"/>
    <hyperlink r:id="rId681" ref="C348"/>
    <hyperlink r:id="rId682" ref="A349"/>
    <hyperlink r:id="rId683" ref="C349"/>
    <hyperlink r:id="rId684" ref="A350"/>
    <hyperlink r:id="rId685" ref="C350"/>
    <hyperlink r:id="rId686" location=":~:text=They%20offer%20Advertising%2C%20Branding%2C%20Event,is%20based%20in%20K%C3%B6ln%2C%20Germany." ref="A351"/>
    <hyperlink r:id="rId687" ref="C351"/>
    <hyperlink r:id="rId688" ref="A352"/>
    <hyperlink r:id="rId689" ref="C352"/>
    <hyperlink r:id="rId690" ref="A353"/>
    <hyperlink r:id="rId691" ref="C353"/>
    <hyperlink r:id="rId692" location=":~:text=AI%20Agency%20Berlin%20%7C%20ACID21,from%20the%20idea%20to%20implementation." ref="A354"/>
    <hyperlink r:id="rId693" ref="C354"/>
    <hyperlink r:id="rId694" ref="A355"/>
    <hyperlink r:id="rId695" ref="C355"/>
    <hyperlink r:id="rId696" ref="A356"/>
    <hyperlink r:id="rId697" ref="C356"/>
    <hyperlink r:id="rId698" ref="A357"/>
    <hyperlink r:id="rId699" ref="C357"/>
    <hyperlink r:id="rId700" ref="A358"/>
    <hyperlink r:id="rId701" ref="C358"/>
    <hyperlink r:id="rId702" ref="A359"/>
    <hyperlink r:id="rId703" ref="C359"/>
    <hyperlink r:id="rId704" ref="A360"/>
    <hyperlink r:id="rId705" ref="C360"/>
    <hyperlink r:id="rId706" ref="A361"/>
    <hyperlink r:id="rId707" ref="C361"/>
    <hyperlink r:id="rId708" ref="A362"/>
    <hyperlink r:id="rId709" ref="C362"/>
    <hyperlink r:id="rId710" ref="A363"/>
    <hyperlink r:id="rId711" ref="C363"/>
    <hyperlink r:id="rId712" ref="A364"/>
    <hyperlink r:id="rId713" ref="C364"/>
    <hyperlink r:id="rId714" ref="A365"/>
    <hyperlink r:id="rId715" ref="C365"/>
    <hyperlink r:id="rId716" ref="A366"/>
    <hyperlink r:id="rId717" ref="C366"/>
    <hyperlink r:id="rId718" ref="A367"/>
    <hyperlink r:id="rId719" ref="C367"/>
    <hyperlink r:id="rId720" ref="A368"/>
    <hyperlink r:id="rId721" ref="C368"/>
    <hyperlink r:id="rId722" ref="A369"/>
    <hyperlink r:id="rId723" ref="A370"/>
    <hyperlink r:id="rId724" ref="A371"/>
    <hyperlink r:id="rId725" ref="C371"/>
    <hyperlink r:id="rId726" ref="A372"/>
    <hyperlink r:id="rId727" ref="C372"/>
    <hyperlink r:id="rId728" ref="A373"/>
    <hyperlink r:id="rId729" ref="C373"/>
    <hyperlink r:id="rId730" ref="A374"/>
    <hyperlink r:id="rId731" ref="A375"/>
    <hyperlink r:id="rId732" ref="C375"/>
    <hyperlink r:id="rId733" location=":~:text=As%20a%20Berlin%2Dbased%20branding,lifestyle%2C%20technology%20and%20art%20sectors." ref="A376"/>
    <hyperlink r:id="rId734" ref="C376"/>
    <hyperlink r:id="rId735" ref="A377"/>
    <hyperlink r:id="rId736" ref="C377"/>
    <hyperlink r:id="rId737" ref="A378"/>
    <hyperlink r:id="rId738" ref="C378"/>
    <hyperlink r:id="rId739" ref="A379"/>
    <hyperlink r:id="rId740" ref="C379"/>
    <hyperlink r:id="rId741" ref="A380"/>
    <hyperlink r:id="rId742" ref="C380"/>
    <hyperlink r:id="rId743" ref="A381"/>
    <hyperlink r:id="rId744" ref="C381"/>
    <hyperlink r:id="rId745" ref="A382"/>
    <hyperlink r:id="rId746" ref="C382"/>
    <hyperlink r:id="rId747" ref="A383"/>
    <hyperlink r:id="rId748" ref="C383"/>
    <hyperlink r:id="rId749" ref="A384"/>
    <hyperlink r:id="rId750" ref="C384"/>
    <hyperlink r:id="rId751" ref="A385"/>
    <hyperlink r:id="rId752" ref="C385"/>
    <hyperlink r:id="rId753" ref="A386"/>
    <hyperlink r:id="rId754" ref="C386"/>
    <hyperlink r:id="rId755" ref="A387"/>
    <hyperlink r:id="rId756" ref="C387"/>
    <hyperlink r:id="rId757" ref="A388"/>
    <hyperlink r:id="rId758" ref="C388"/>
    <hyperlink r:id="rId759" ref="A389"/>
    <hyperlink r:id="rId760" ref="C389"/>
    <hyperlink r:id="rId761" ref="A390"/>
    <hyperlink r:id="rId762" ref="C390"/>
    <hyperlink r:id="rId763" ref="A391"/>
    <hyperlink r:id="rId764" ref="C391"/>
    <hyperlink r:id="rId765" ref="A392"/>
    <hyperlink r:id="rId766" ref="C392"/>
    <hyperlink r:id="rId767" ref="A393"/>
    <hyperlink r:id="rId768" ref="C393"/>
    <hyperlink r:id="rId769" ref="A394"/>
    <hyperlink r:id="rId770" ref="C394"/>
    <hyperlink r:id="rId771" ref="A395"/>
    <hyperlink r:id="rId772" ref="C395"/>
    <hyperlink r:id="rId773" ref="A396"/>
    <hyperlink r:id="rId774" ref="C396"/>
    <hyperlink r:id="rId775" ref="A397"/>
    <hyperlink r:id="rId776" ref="C397"/>
    <hyperlink r:id="rId777" ref="A398"/>
    <hyperlink r:id="rId778" ref="C398"/>
    <hyperlink r:id="rId779" ref="A399"/>
    <hyperlink r:id="rId780" ref="C399"/>
    <hyperlink r:id="rId781" ref="A400"/>
    <hyperlink r:id="rId782" ref="C400"/>
    <hyperlink r:id="rId783" ref="A401"/>
    <hyperlink r:id="rId784" ref="C401"/>
    <hyperlink r:id="rId785" ref="A402"/>
    <hyperlink r:id="rId786" ref="C402"/>
    <hyperlink r:id="rId787" ref="A403"/>
    <hyperlink r:id="rId788" ref="C403"/>
    <hyperlink r:id="rId789" ref="A404"/>
    <hyperlink r:id="rId790" ref="C404"/>
    <hyperlink r:id="rId791" ref="A405"/>
    <hyperlink r:id="rId792" ref="C405"/>
    <hyperlink r:id="rId793" ref="A406"/>
    <hyperlink r:id="rId794" ref="C406"/>
    <hyperlink r:id="rId795" ref="A407"/>
    <hyperlink r:id="rId796" ref="C407"/>
    <hyperlink r:id="rId797" ref="A408"/>
    <hyperlink r:id="rId798" ref="C408"/>
    <hyperlink r:id="rId799" ref="A409"/>
    <hyperlink r:id="rId800" ref="C409"/>
    <hyperlink r:id="rId801" ref="A410"/>
    <hyperlink r:id="rId802" ref="A411"/>
    <hyperlink r:id="rId803" ref="C411"/>
    <hyperlink r:id="rId804" ref="A412"/>
    <hyperlink r:id="rId805" ref="C412"/>
    <hyperlink r:id="rId806" ref="A413"/>
    <hyperlink r:id="rId807" ref="C413"/>
    <hyperlink r:id="rId808" ref="A414"/>
    <hyperlink r:id="rId809" ref="C414"/>
    <hyperlink r:id="rId810" ref="A415"/>
    <hyperlink r:id="rId811" ref="C415"/>
    <hyperlink r:id="rId812" ref="A416"/>
    <hyperlink r:id="rId813" ref="C416"/>
    <hyperlink r:id="rId814" ref="A417"/>
    <hyperlink r:id="rId815" ref="C417"/>
    <hyperlink r:id="rId816" ref="A418"/>
    <hyperlink r:id="rId817" ref="C418"/>
    <hyperlink r:id="rId818" ref="A419"/>
    <hyperlink r:id="rId819" ref="C419"/>
    <hyperlink r:id="rId820" ref="A420"/>
    <hyperlink r:id="rId821" ref="C420"/>
    <hyperlink r:id="rId822" ref="A421"/>
    <hyperlink r:id="rId823" ref="C421"/>
    <hyperlink r:id="rId824" ref="A422"/>
    <hyperlink r:id="rId825" ref="C422"/>
    <hyperlink r:id="rId826" ref="A423"/>
    <hyperlink r:id="rId827" ref="C423"/>
    <hyperlink r:id="rId828" ref="A424"/>
    <hyperlink r:id="rId829" ref="C424"/>
    <hyperlink r:id="rId830" ref="A425"/>
    <hyperlink r:id="rId831" ref="C425"/>
    <hyperlink r:id="rId832" ref="A426"/>
    <hyperlink r:id="rId833" ref="C426"/>
    <hyperlink r:id="rId834" ref="A427"/>
    <hyperlink r:id="rId835" ref="C427"/>
    <hyperlink r:id="rId836" ref="A428"/>
    <hyperlink r:id="rId837" ref="C428"/>
    <hyperlink r:id="rId838" ref="A429"/>
    <hyperlink r:id="rId839" ref="C429"/>
    <hyperlink r:id="rId840" ref="A430"/>
    <hyperlink r:id="rId841" ref="C430"/>
    <hyperlink r:id="rId842" ref="A431"/>
    <hyperlink r:id="rId843" ref="C431"/>
    <hyperlink r:id="rId844" ref="A432"/>
    <hyperlink r:id="rId845" ref="C432"/>
    <hyperlink r:id="rId846" ref="A433"/>
    <hyperlink r:id="rId847" ref="C433"/>
    <hyperlink r:id="rId848" ref="A434"/>
    <hyperlink r:id="rId849" ref="C434"/>
    <hyperlink r:id="rId850" ref="A435"/>
    <hyperlink r:id="rId851" ref="C435"/>
    <hyperlink r:id="rId852" ref="A436"/>
    <hyperlink r:id="rId853" ref="C436"/>
    <hyperlink r:id="rId854" ref="A437"/>
    <hyperlink r:id="rId855" ref="C437"/>
    <hyperlink r:id="rId856" location=":~:text=Our%20holistically%20minded%20team%20not,most%20sustainable%20long%2Dterm%20success." ref="A438"/>
    <hyperlink r:id="rId857" ref="C438"/>
    <hyperlink r:id="rId858" ref="A439"/>
    <hyperlink r:id="rId859" ref="C439"/>
    <hyperlink r:id="rId860" ref="A440"/>
    <hyperlink r:id="rId861" ref="C440"/>
    <hyperlink r:id="rId862" ref="A441"/>
    <hyperlink r:id="rId863" ref="C441"/>
    <hyperlink r:id="rId864" location=":~:text=Our%20partnership%20with%20Google%20extends,in%20media%20and%20data%20analysis." ref="A442"/>
    <hyperlink r:id="rId865" ref="C442"/>
    <hyperlink r:id="rId866" ref="A443"/>
    <hyperlink r:id="rId867" ref="C443"/>
    <hyperlink r:id="rId868" ref="A444"/>
    <hyperlink r:id="rId869" ref="C444"/>
    <hyperlink r:id="rId870" ref="A445"/>
    <hyperlink r:id="rId871" ref="C445"/>
    <hyperlink r:id="rId872" ref="A446"/>
    <hyperlink r:id="rId873" ref="C446"/>
    <hyperlink r:id="rId874" ref="A447"/>
    <hyperlink r:id="rId875" ref="C447"/>
    <hyperlink r:id="rId876" ref="A448"/>
    <hyperlink r:id="rId877" ref="C448"/>
    <hyperlink r:id="rId878" ref="A449"/>
    <hyperlink r:id="rId879" ref="C449"/>
    <hyperlink r:id="rId880" ref="A450"/>
    <hyperlink r:id="rId881" ref="C450"/>
    <hyperlink r:id="rId882" ref="A451"/>
    <hyperlink r:id="rId883" ref="C451"/>
    <hyperlink r:id="rId884" ref="A452"/>
    <hyperlink r:id="rId885" ref="C452"/>
    <hyperlink r:id="rId886" ref="A453"/>
    <hyperlink r:id="rId887" ref="C453"/>
    <hyperlink r:id="rId888" ref="A454"/>
    <hyperlink r:id="rId889" ref="C454"/>
    <hyperlink r:id="rId890" ref="A455"/>
    <hyperlink r:id="rId891" ref="C455"/>
    <hyperlink r:id="rId892" ref="A456"/>
    <hyperlink r:id="rId893" ref="C456"/>
    <hyperlink r:id="rId894" ref="A457"/>
    <hyperlink r:id="rId895" ref="C457"/>
    <hyperlink r:id="rId896" ref="A458"/>
    <hyperlink r:id="rId897" ref="C458"/>
    <hyperlink r:id="rId898" ref="A459"/>
    <hyperlink r:id="rId899" ref="C459"/>
    <hyperlink r:id="rId900" ref="A460"/>
    <hyperlink r:id="rId901" ref="C460"/>
    <hyperlink r:id="rId902" ref="A461"/>
    <hyperlink r:id="rId903" ref="C461"/>
    <hyperlink r:id="rId904" location=":~:text=Search%20Ads%20360%20agency%20in%20Munich%2C%20Germany%20%E2%80%A2%20The%20Boutique%20Agency" ref="A462"/>
    <hyperlink r:id="rId905" ref="C462"/>
    <hyperlink r:id="rId906" ref="A463"/>
    <hyperlink r:id="rId907" ref="C463"/>
    <hyperlink r:id="rId908" ref="A464"/>
    <hyperlink r:id="rId909" ref="C464"/>
    <hyperlink r:id="rId910" ref="A465"/>
    <hyperlink r:id="rId911" ref="C465"/>
    <hyperlink r:id="rId912" ref="A466"/>
    <hyperlink r:id="rId913" ref="C466"/>
    <hyperlink r:id="rId914" ref="A467"/>
    <hyperlink r:id="rId915" ref="C467"/>
    <hyperlink r:id="rId916" ref="A468"/>
    <hyperlink r:id="rId917" ref="C468"/>
    <hyperlink r:id="rId918" ref="A469"/>
    <hyperlink r:id="rId919" ref="C469"/>
    <hyperlink r:id="rId920" ref="A470"/>
    <hyperlink r:id="rId921" ref="C470"/>
    <hyperlink r:id="rId922" ref="A471"/>
    <hyperlink r:id="rId923" ref="C471"/>
    <hyperlink r:id="rId924" ref="A472"/>
    <hyperlink r:id="rId925" ref="C472"/>
    <hyperlink r:id="rId926" ref="A473"/>
    <hyperlink r:id="rId927" ref="C473"/>
    <hyperlink r:id="rId928" ref="A474"/>
    <hyperlink r:id="rId929" ref="C474"/>
    <hyperlink r:id="rId930" ref="A475"/>
    <hyperlink r:id="rId931" ref="C475"/>
    <hyperlink r:id="rId932" ref="A476"/>
    <hyperlink r:id="rId933" ref="C476"/>
    <hyperlink r:id="rId934" ref="A477"/>
    <hyperlink r:id="rId935" ref="C477"/>
    <hyperlink r:id="rId936" ref="A478"/>
    <hyperlink r:id="rId937" ref="C478"/>
    <hyperlink r:id="rId938" ref="A479"/>
    <hyperlink r:id="rId939" ref="C479"/>
    <hyperlink r:id="rId940" ref="A480"/>
    <hyperlink r:id="rId941" ref="C480"/>
    <hyperlink r:id="rId942" ref="A481"/>
    <hyperlink r:id="rId943" ref="C481"/>
    <hyperlink r:id="rId944" ref="A482"/>
    <hyperlink r:id="rId945" ref="C482"/>
    <hyperlink r:id="rId946" ref="A483"/>
    <hyperlink r:id="rId947" ref="C483"/>
    <hyperlink r:id="rId948" ref="A484"/>
    <hyperlink r:id="rId949" ref="C484"/>
    <hyperlink r:id="rId950" ref="A485"/>
    <hyperlink r:id="rId951" ref="C485"/>
    <hyperlink r:id="rId952" ref="A486"/>
    <hyperlink r:id="rId953" ref="C486"/>
    <hyperlink r:id="rId954" ref="A487"/>
    <hyperlink r:id="rId955" ref="C487"/>
    <hyperlink r:id="rId956" ref="A488"/>
    <hyperlink r:id="rId957" ref="C488"/>
    <hyperlink r:id="rId958" location=":~:text=Our%20comprehensive%20GMP%20Playbook%20is,experts%20are%20all%20GMP%20certified." ref="A489"/>
    <hyperlink r:id="rId959" ref="C489"/>
    <hyperlink r:id="rId960" ref="A490"/>
    <hyperlink r:id="rId961" ref="C490"/>
    <hyperlink r:id="rId962" ref="A491"/>
    <hyperlink r:id="rId963" ref="C491"/>
    <hyperlink r:id="rId964" ref="A492"/>
    <hyperlink r:id="rId965" ref="C492"/>
    <hyperlink r:id="rId966" ref="A493"/>
    <hyperlink r:id="rId967" ref="C493"/>
    <hyperlink r:id="rId968" ref="A494"/>
    <hyperlink r:id="rId969" ref="C494"/>
    <hyperlink r:id="rId970" ref="A495"/>
    <hyperlink r:id="rId971" ref="C495"/>
    <hyperlink r:id="rId972" ref="A496"/>
    <hyperlink r:id="rId973" ref="C496"/>
    <hyperlink r:id="rId974" ref="A497"/>
    <hyperlink r:id="rId975" ref="C497"/>
    <hyperlink r:id="rId976" ref="A498"/>
    <hyperlink r:id="rId977" ref="C498"/>
    <hyperlink r:id="rId978" ref="A499"/>
    <hyperlink r:id="rId979" ref="C499"/>
    <hyperlink r:id="rId980" ref="A500"/>
    <hyperlink r:id="rId981" ref="C500"/>
    <hyperlink r:id="rId982" ref="A501"/>
    <hyperlink r:id="rId983" ref="C501"/>
    <hyperlink r:id="rId984" location=":~:text=MONSOON%20is%20a%20performance%2Ddriven,KPIs%20and%20transparent%20reporting%20systems." ref="A502"/>
    <hyperlink r:id="rId985" ref="C502"/>
    <hyperlink r:id="rId986" ref="A503"/>
    <hyperlink r:id="rId987" ref="C503"/>
    <hyperlink r:id="rId988" ref="A504"/>
    <hyperlink r:id="rId989" ref="C504"/>
    <hyperlink r:id="rId990" ref="A505"/>
    <hyperlink r:id="rId991" ref="C505"/>
    <hyperlink r:id="rId992" ref="A506"/>
    <hyperlink r:id="rId993" ref="C506"/>
    <hyperlink r:id="rId994" ref="A507"/>
    <hyperlink r:id="rId995" ref="C507"/>
    <hyperlink r:id="rId996" ref="A508"/>
    <hyperlink r:id="rId997" ref="C508"/>
    <hyperlink r:id="rId998" ref="A509"/>
    <hyperlink r:id="rId999" ref="C509"/>
    <hyperlink r:id="rId1000" ref="A510"/>
    <hyperlink r:id="rId1001" ref="C510"/>
    <hyperlink r:id="rId1002" ref="A511"/>
    <hyperlink r:id="rId1003" ref="C511"/>
    <hyperlink r:id="rId1004" ref="A512"/>
    <hyperlink r:id="rId1005" ref="A513"/>
    <hyperlink r:id="rId1006" ref="C513"/>
    <hyperlink r:id="rId1007" ref="A514"/>
    <hyperlink r:id="rId1008" ref="C514"/>
    <hyperlink r:id="rId1009" ref="A515"/>
    <hyperlink r:id="rId1010" ref="C515"/>
    <hyperlink r:id="rId1011" ref="A516"/>
    <hyperlink r:id="rId1012" ref="C516"/>
    <hyperlink r:id="rId1013" ref="A517"/>
    <hyperlink r:id="rId1014" ref="C517"/>
    <hyperlink r:id="rId1015" ref="A518"/>
    <hyperlink r:id="rId1016" ref="C518"/>
    <hyperlink r:id="rId1017" ref="A519"/>
    <hyperlink r:id="rId1018" ref="C519"/>
    <hyperlink r:id="rId1019" ref="A520"/>
    <hyperlink r:id="rId1020" ref="C520"/>
    <hyperlink r:id="rId1021" ref="A521"/>
    <hyperlink r:id="rId1022" ref="C521"/>
    <hyperlink r:id="rId1023" ref="A522"/>
    <hyperlink r:id="rId1024" ref="C522"/>
    <hyperlink r:id="rId1025" ref="A523"/>
    <hyperlink r:id="rId1026" ref="C523"/>
    <hyperlink r:id="rId1027" ref="A524"/>
    <hyperlink r:id="rId1028" ref="C524"/>
    <hyperlink r:id="rId1029" ref="A525"/>
    <hyperlink r:id="rId1030" ref="C525"/>
    <hyperlink r:id="rId1031" ref="A526"/>
    <hyperlink r:id="rId1032" ref="C526"/>
    <hyperlink r:id="rId1033" ref="A527"/>
    <hyperlink r:id="rId1034" ref="C527"/>
    <hyperlink r:id="rId1035" ref="A528"/>
    <hyperlink r:id="rId1036" ref="C528"/>
    <hyperlink r:id="rId1037" ref="A529"/>
    <hyperlink r:id="rId1038" ref="C529"/>
    <hyperlink r:id="rId1039" ref="A530"/>
    <hyperlink r:id="rId1040" ref="C530"/>
    <hyperlink r:id="rId1041" ref="A531"/>
    <hyperlink r:id="rId1042" ref="C531"/>
    <hyperlink r:id="rId1043" ref="A532"/>
    <hyperlink r:id="rId1044" ref="C532"/>
    <hyperlink r:id="rId1045" ref="A533"/>
    <hyperlink r:id="rId1046" ref="C533"/>
    <hyperlink r:id="rId1047" ref="A534"/>
    <hyperlink r:id="rId1048" ref="C534"/>
    <hyperlink r:id="rId1049" ref="A535"/>
    <hyperlink r:id="rId1050" ref="C535"/>
    <hyperlink r:id="rId1051" ref="A536"/>
    <hyperlink r:id="rId1052" ref="C536"/>
    <hyperlink r:id="rId1053" ref="A537"/>
    <hyperlink r:id="rId1054" ref="C537"/>
    <hyperlink r:id="rId1055" ref="A538"/>
    <hyperlink r:id="rId1056" ref="C538"/>
    <hyperlink r:id="rId1057" ref="A539"/>
    <hyperlink r:id="rId1058" ref="C539"/>
    <hyperlink r:id="rId1059" ref="A540"/>
    <hyperlink r:id="rId1060" ref="C540"/>
    <hyperlink r:id="rId1061" location=":~:text=TRKKN%20ist%20einer%20der%20f%C3%BChrenden,und%20Data%20%26%20Tech%20Strategy%20hinweg." ref="A541"/>
    <hyperlink r:id="rId1062" ref="C541"/>
    <hyperlink r:id="rId1063" ref="A542"/>
    <hyperlink r:id="rId1064" ref="C542"/>
    <hyperlink r:id="rId1065" ref="A543"/>
    <hyperlink r:id="rId1066" ref="C543"/>
    <hyperlink r:id="rId1067" ref="A544"/>
    <hyperlink r:id="rId1068" ref="C544"/>
    <hyperlink r:id="rId1069" ref="A545"/>
    <hyperlink r:id="rId1070" ref="C545"/>
    <hyperlink r:id="rId1071" ref="A546"/>
    <hyperlink r:id="rId1072" ref="C546"/>
    <hyperlink r:id="rId1073" ref="A547"/>
    <hyperlink r:id="rId1074" ref="C547"/>
    <hyperlink r:id="rId1075" ref="A548"/>
    <hyperlink r:id="rId1076" ref="C548"/>
    <hyperlink r:id="rId1077" ref="A549"/>
    <hyperlink r:id="rId1078" ref="C549"/>
    <hyperlink r:id="rId1079" ref="A550"/>
    <hyperlink r:id="rId1080" ref="C550"/>
    <hyperlink r:id="rId1081" ref="A551"/>
    <hyperlink r:id="rId1082" ref="C551"/>
    <hyperlink r:id="rId1083" ref="A552"/>
    <hyperlink r:id="rId1084" ref="C552"/>
    <hyperlink r:id="rId1085" ref="A553"/>
    <hyperlink r:id="rId1086" ref="C553"/>
    <hyperlink r:id="rId1087" ref="A554"/>
    <hyperlink r:id="rId1088" ref="C554"/>
    <hyperlink r:id="rId1089" ref="A555"/>
    <hyperlink r:id="rId1090" ref="C555"/>
    <hyperlink r:id="rId1091" ref="A556"/>
    <hyperlink r:id="rId1092" ref="C556"/>
    <hyperlink r:id="rId1093" ref="A557"/>
    <hyperlink r:id="rId1094" ref="C557"/>
    <hyperlink r:id="rId1095" ref="A558"/>
    <hyperlink r:id="rId1096" ref="C558"/>
    <hyperlink r:id="rId1097" ref="A559"/>
    <hyperlink r:id="rId1098" ref="C559"/>
    <hyperlink r:id="rId1099" ref="A560"/>
    <hyperlink r:id="rId1100" ref="C560"/>
    <hyperlink r:id="rId1101" ref="A561"/>
    <hyperlink r:id="rId1102" ref="C561"/>
    <hyperlink r:id="rId1103" ref="A562"/>
    <hyperlink r:id="rId1104" ref="C562"/>
    <hyperlink r:id="rId1105" ref="A563"/>
    <hyperlink r:id="rId1106" ref="C563"/>
    <hyperlink r:id="rId1107" ref="A564"/>
    <hyperlink r:id="rId1108" ref="C564"/>
    <hyperlink r:id="rId1109" ref="A565"/>
    <hyperlink r:id="rId1110" ref="C565"/>
    <hyperlink r:id="rId1111" ref="A566"/>
    <hyperlink r:id="rId1112" ref="C566"/>
    <hyperlink r:id="rId1113" ref="A567"/>
    <hyperlink r:id="rId1114" ref="C567"/>
    <hyperlink r:id="rId1115" ref="A568"/>
    <hyperlink r:id="rId1116" ref="C568"/>
    <hyperlink r:id="rId1117" ref="A569"/>
    <hyperlink r:id="rId1118" ref="C569"/>
    <hyperlink r:id="rId1119" ref="A570"/>
    <hyperlink r:id="rId1120" ref="C570"/>
    <hyperlink r:id="rId1121" ref="A571"/>
    <hyperlink r:id="rId1122" ref="C571"/>
    <hyperlink r:id="rId1123" ref="A572"/>
    <hyperlink r:id="rId1124" ref="C572"/>
    <hyperlink r:id="rId1125" ref="A573"/>
    <hyperlink r:id="rId1126" ref="C573"/>
    <hyperlink r:id="rId1127" ref="A574"/>
    <hyperlink r:id="rId1128" ref="C574"/>
    <hyperlink r:id="rId1129" ref="A575"/>
    <hyperlink r:id="rId1130" ref="C575"/>
    <hyperlink r:id="rId1131" location=":~:text=2020,local%20supermarket%20chain%20%C2%ABteGut%C2%BB." ref="A576"/>
    <hyperlink r:id="rId1132" ref="C576"/>
    <hyperlink r:id="rId1133" ref="A577"/>
    <hyperlink r:id="rId1134" ref="C577"/>
    <hyperlink r:id="rId1135" ref="A578"/>
    <hyperlink r:id="rId1136" ref="C578"/>
    <hyperlink r:id="rId1137" ref="A579"/>
    <hyperlink r:id="rId1138" ref="C579"/>
    <hyperlink r:id="rId1139" ref="A580"/>
    <hyperlink r:id="rId1140" ref="C580"/>
    <hyperlink r:id="rId1141" ref="A581"/>
    <hyperlink r:id="rId1142" ref="C581"/>
    <hyperlink r:id="rId1143" ref="A582"/>
    <hyperlink r:id="rId1144" ref="C582"/>
    <hyperlink r:id="rId1145" ref="A583"/>
    <hyperlink r:id="rId1146" ref="C583"/>
    <hyperlink r:id="rId1147" ref="A584"/>
    <hyperlink r:id="rId1148" ref="C584"/>
    <hyperlink r:id="rId1149" ref="A585"/>
    <hyperlink r:id="rId1150" ref="C585"/>
    <hyperlink r:id="rId1151" ref="A586"/>
    <hyperlink r:id="rId1152" ref="C586"/>
    <hyperlink r:id="rId1153" ref="A587"/>
    <hyperlink r:id="rId1154" ref="C587"/>
    <hyperlink r:id="rId1155" ref="A588"/>
    <hyperlink r:id="rId1156" ref="C588"/>
    <hyperlink r:id="rId1157" location=":~:text=morefire,Healthcare%20%26%20Hospital%2C%20Ecommerce%20%2B3" ref="A589"/>
    <hyperlink r:id="rId1158" ref="C589"/>
    <hyperlink r:id="rId1159" ref="A590"/>
    <hyperlink r:id="rId1160" ref="C590"/>
    <hyperlink r:id="rId1161" location=":~:text=Mediaplus%20Performance%20GmbH%20%26%20Co%20KG,%2C%20programmatic%2C%20and%20conversion%20optimization." ref="A591"/>
    <hyperlink r:id="rId1162" ref="C591"/>
    <hyperlink r:id="rId1163" ref="A592"/>
    <hyperlink r:id="rId1164" ref="C592"/>
    <hyperlink r:id="rId1165" ref="A593"/>
    <hyperlink r:id="rId1166" ref="C593"/>
    <hyperlink r:id="rId1167" ref="A594"/>
    <hyperlink r:id="rId1168" ref="C594"/>
    <hyperlink r:id="rId1169" ref="A595"/>
    <hyperlink r:id="rId1170" ref="C595"/>
    <hyperlink r:id="rId1171" ref="A596"/>
    <hyperlink r:id="rId1172" ref="C596"/>
    <hyperlink r:id="rId1173" ref="A597"/>
    <hyperlink r:id="rId1174" ref="C597"/>
    <hyperlink r:id="rId1175" ref="A598"/>
    <hyperlink r:id="rId1176" ref="C598"/>
    <hyperlink r:id="rId1177" ref="A599"/>
    <hyperlink r:id="rId1178" ref="C599"/>
    <hyperlink r:id="rId1179" ref="A600"/>
    <hyperlink r:id="rId1180" ref="C600"/>
    <hyperlink r:id="rId1181" ref="A601"/>
    <hyperlink r:id="rId1182" ref="C601"/>
    <hyperlink r:id="rId1183" ref="A602"/>
    <hyperlink r:id="rId1184" ref="C602"/>
    <hyperlink r:id="rId1185" ref="A603"/>
    <hyperlink r:id="rId1186" ref="C603"/>
    <hyperlink r:id="rId1187" ref="A604"/>
    <hyperlink r:id="rId1188" ref="C604"/>
    <hyperlink r:id="rId1189" ref="A605"/>
    <hyperlink r:id="rId1190" ref="C605"/>
    <hyperlink r:id="rId1191" ref="A606"/>
    <hyperlink r:id="rId1192" ref="C606"/>
    <hyperlink r:id="rId1193" ref="A607"/>
    <hyperlink r:id="rId1194" ref="C607"/>
    <hyperlink r:id="rId1195" ref="A608"/>
    <hyperlink r:id="rId1196" ref="C608"/>
    <hyperlink r:id="rId1197" ref="A609"/>
    <hyperlink r:id="rId1198" ref="C609"/>
    <hyperlink r:id="rId1199" ref="A610"/>
    <hyperlink r:id="rId1200" ref="C610"/>
    <hyperlink r:id="rId1201" ref="A611"/>
    <hyperlink r:id="rId1202" ref="C611"/>
    <hyperlink r:id="rId1203" ref="A612"/>
    <hyperlink r:id="rId1204" ref="C612"/>
    <hyperlink r:id="rId1205" ref="A613"/>
    <hyperlink r:id="rId1206" ref="C613"/>
    <hyperlink r:id="rId1207" ref="A614"/>
    <hyperlink r:id="rId1208" ref="A615"/>
    <hyperlink r:id="rId1209" ref="C615"/>
    <hyperlink r:id="rId1210" ref="A616"/>
    <hyperlink r:id="rId1211" ref="C616"/>
    <hyperlink r:id="rId1212" ref="A617"/>
    <hyperlink r:id="rId1213" ref="C617"/>
    <hyperlink r:id="rId1214" ref="A618"/>
    <hyperlink r:id="rId1215" ref="C618"/>
    <hyperlink r:id="rId1216" ref="A619"/>
    <hyperlink r:id="rId1217" ref="C619"/>
    <hyperlink r:id="rId1218" ref="A620"/>
    <hyperlink r:id="rId1219" ref="C620"/>
    <hyperlink r:id="rId1220" ref="A621"/>
    <hyperlink r:id="rId1221" ref="C621"/>
    <hyperlink r:id="rId1222" ref="A622"/>
    <hyperlink r:id="rId1223" ref="C622"/>
    <hyperlink r:id="rId1224" ref="A623"/>
    <hyperlink r:id="rId1225" ref="C623"/>
    <hyperlink r:id="rId1226" ref="A624"/>
    <hyperlink r:id="rId1227" ref="C624"/>
    <hyperlink r:id="rId1228" ref="A625"/>
    <hyperlink r:id="rId1229" ref="C625"/>
    <hyperlink r:id="rId1230" location=":~:text=We%20deliver%20data%2Ddriven%2C%20full,agency%20headquartered%20in%20Berlin%2C%20Germany." ref="A626"/>
    <hyperlink r:id="rId1231" ref="C626"/>
    <hyperlink r:id="rId1232" ref="A627"/>
    <hyperlink r:id="rId1233" ref="C627"/>
    <hyperlink r:id="rId1234" ref="A628"/>
    <hyperlink r:id="rId1235" ref="C628"/>
    <hyperlink r:id="rId1236" ref="A629"/>
    <hyperlink r:id="rId1237" ref="C629"/>
    <hyperlink r:id="rId1238" ref="A630"/>
    <hyperlink r:id="rId1239" ref="C630"/>
    <hyperlink r:id="rId1240" ref="A631"/>
    <hyperlink r:id="rId1241" ref="C631"/>
    <hyperlink r:id="rId1242" ref="A632"/>
    <hyperlink r:id="rId1243" ref="C632"/>
    <hyperlink r:id="rId1244" ref="A633"/>
    <hyperlink r:id="rId1245" ref="C633"/>
    <hyperlink r:id="rId1246" ref="A634"/>
    <hyperlink r:id="rId1247" ref="C634"/>
    <hyperlink r:id="rId1248" ref="A635"/>
    <hyperlink r:id="rId1249" ref="C635"/>
    <hyperlink r:id="rId1250" ref="A636"/>
    <hyperlink r:id="rId1251" ref="C636"/>
    <hyperlink r:id="rId1252" ref="A637"/>
    <hyperlink r:id="rId1253" ref="C637"/>
    <hyperlink r:id="rId1254" ref="A638"/>
    <hyperlink r:id="rId1255" ref="C638"/>
    <hyperlink r:id="rId1256" ref="A639"/>
    <hyperlink r:id="rId1257" ref="A640"/>
    <hyperlink r:id="rId1258" ref="A641"/>
    <hyperlink r:id="rId1259" ref="C641"/>
    <hyperlink r:id="rId1260" ref="A642"/>
    <hyperlink r:id="rId1261" ref="C642"/>
    <hyperlink r:id="rId1262" ref="A643"/>
    <hyperlink r:id="rId1263" ref="C643"/>
    <hyperlink r:id="rId1264" ref="A644"/>
    <hyperlink r:id="rId1265" ref="C644"/>
    <hyperlink r:id="rId1266" ref="A645"/>
    <hyperlink r:id="rId1267" ref="C645"/>
    <hyperlink r:id="rId1268" ref="A646"/>
    <hyperlink r:id="rId1269" ref="C646"/>
    <hyperlink r:id="rId1270" ref="A647"/>
    <hyperlink r:id="rId1271" ref="C647"/>
    <hyperlink r:id="rId1272" ref="A648"/>
    <hyperlink r:id="rId1273" ref="A649"/>
    <hyperlink r:id="rId1274" ref="C649"/>
    <hyperlink r:id="rId1275" ref="A650"/>
    <hyperlink r:id="rId1276" ref="C650"/>
    <hyperlink r:id="rId1277" ref="A651"/>
    <hyperlink r:id="rId1278" ref="C651"/>
    <hyperlink r:id="rId1279" ref="A652"/>
    <hyperlink r:id="rId1280" ref="C652"/>
    <hyperlink r:id="rId1281" ref="A653"/>
    <hyperlink r:id="rId1282" ref="C653"/>
    <hyperlink r:id="rId1283" ref="A654"/>
    <hyperlink r:id="rId1284" ref="A655"/>
    <hyperlink r:id="rId1285" ref="C655"/>
    <hyperlink r:id="rId1286" ref="A656"/>
    <hyperlink r:id="rId1287" ref="C656"/>
    <hyperlink r:id="rId1288" ref="A657"/>
    <hyperlink r:id="rId1289" ref="C657"/>
    <hyperlink r:id="rId1290" ref="A658"/>
    <hyperlink r:id="rId1291" ref="C658"/>
    <hyperlink r:id="rId1292" ref="A659"/>
    <hyperlink r:id="rId1293" ref="C659"/>
    <hyperlink r:id="rId1294" ref="A660"/>
    <hyperlink r:id="rId1295" ref="C660"/>
    <hyperlink r:id="rId1296" ref="A661"/>
    <hyperlink r:id="rId1297" ref="C661"/>
    <hyperlink r:id="rId1298" ref="A662"/>
    <hyperlink r:id="rId1299" ref="C662"/>
    <hyperlink r:id="rId1300" ref="A663"/>
    <hyperlink r:id="rId1301" ref="C663"/>
    <hyperlink r:id="rId1302" ref="A664"/>
    <hyperlink r:id="rId1303" ref="C664"/>
    <hyperlink r:id="rId1304" ref="A665"/>
    <hyperlink r:id="rId1305" ref="C665"/>
    <hyperlink r:id="rId1306" ref="A666"/>
    <hyperlink r:id="rId1307" ref="C666"/>
    <hyperlink r:id="rId1308" ref="A667"/>
    <hyperlink r:id="rId1309" ref="C667"/>
    <hyperlink r:id="rId1310" ref="A668"/>
    <hyperlink r:id="rId1311" ref="C668"/>
    <hyperlink r:id="rId1312" ref="A669"/>
    <hyperlink r:id="rId1313" ref="C669"/>
    <hyperlink r:id="rId1314" ref="A670"/>
    <hyperlink r:id="rId1315" ref="C670"/>
    <hyperlink r:id="rId1316" ref="A671"/>
    <hyperlink r:id="rId1317" ref="C671"/>
    <hyperlink r:id="rId1318" location=":~:text=Artefact%3A%20Artefact%20blends%20AI%20and,streams%20into%20a%20unified%20dashboard." ref="A672"/>
    <hyperlink r:id="rId1319" ref="A673"/>
    <hyperlink r:id="rId1320" ref="A674"/>
    <hyperlink r:id="rId1321" ref="C674"/>
    <hyperlink r:id="rId1322" ref="A675"/>
    <hyperlink r:id="rId1323" ref="C675"/>
    <hyperlink r:id="rId1324" ref="A676"/>
    <hyperlink r:id="rId1325" ref="C676"/>
    <hyperlink r:id="rId1326" ref="A677"/>
    <hyperlink r:id="rId1327" ref="C677"/>
    <hyperlink r:id="rId1328" ref="A678"/>
    <hyperlink r:id="rId1329" ref="C678"/>
    <hyperlink r:id="rId1330" ref="A679"/>
    <hyperlink r:id="rId1331" ref="C679"/>
    <hyperlink r:id="rId1332" ref="A680"/>
    <hyperlink r:id="rId1333" ref="C680"/>
    <hyperlink r:id="rId1334" ref="A681"/>
    <hyperlink r:id="rId1335" ref="C681"/>
    <hyperlink r:id="rId1336" ref="A682"/>
    <hyperlink r:id="rId1337" ref="C682"/>
    <hyperlink r:id="rId1338" location=":~:text=Specialisation%3A%20Integrated%20brand%20strategy%2C%20creative,communications%20for%20German%20market%20leaders." ref="A683"/>
    <hyperlink r:id="rId1339" ref="C683"/>
    <hyperlink r:id="rId1340" ref="A684"/>
    <hyperlink r:id="rId1341" ref="C684"/>
    <hyperlink r:id="rId1342" ref="A685"/>
    <hyperlink r:id="rId1343" ref="C685"/>
    <hyperlink r:id="rId1344" ref="A686"/>
    <hyperlink r:id="rId1345" ref="C686"/>
    <hyperlink r:id="rId1346" ref="A687"/>
    <hyperlink r:id="rId1347" ref="C687"/>
    <hyperlink r:id="rId1348" ref="A688"/>
    <hyperlink r:id="rId1349" ref="C688"/>
    <hyperlink r:id="rId1350" ref="A689"/>
    <hyperlink r:id="rId1351" ref="C689"/>
    <hyperlink r:id="rId1352" ref="A690"/>
    <hyperlink r:id="rId1353" ref="C690"/>
    <hyperlink r:id="rId1354" ref="A691"/>
    <hyperlink r:id="rId1355" ref="C691"/>
    <hyperlink r:id="rId1356" ref="A692"/>
    <hyperlink r:id="rId1357" ref="C692"/>
    <hyperlink r:id="rId1358" ref="A693"/>
    <hyperlink r:id="rId1359" ref="C693"/>
    <hyperlink r:id="rId1360" ref="A694"/>
    <hyperlink r:id="rId1361" ref="A695"/>
    <hyperlink r:id="rId1362" ref="C695"/>
    <hyperlink r:id="rId1363" ref="A696"/>
    <hyperlink r:id="rId1364" ref="C696"/>
    <hyperlink r:id="rId1365" ref="A697"/>
    <hyperlink r:id="rId1366" ref="C697"/>
    <hyperlink r:id="rId1367" ref="A698"/>
    <hyperlink r:id="rId1368" ref="C698"/>
    <hyperlink r:id="rId1369" ref="A699"/>
    <hyperlink r:id="rId1370" ref="C699"/>
    <hyperlink r:id="rId1371" ref="A700"/>
    <hyperlink r:id="rId1372" ref="C700"/>
    <hyperlink r:id="rId1373" ref="A701"/>
    <hyperlink r:id="rId1374" ref="C701"/>
    <hyperlink r:id="rId1375" ref="A702"/>
    <hyperlink r:id="rId1376" ref="C702"/>
    <hyperlink r:id="rId1377" ref="A703"/>
    <hyperlink r:id="rId1378" ref="C703"/>
    <hyperlink r:id="rId1379" ref="A704"/>
    <hyperlink r:id="rId1380" ref="C704"/>
    <hyperlink r:id="rId1381" ref="A705"/>
    <hyperlink r:id="rId1382" ref="C705"/>
    <hyperlink r:id="rId1383" ref="A706"/>
    <hyperlink r:id="rId1384" ref="C706"/>
    <hyperlink r:id="rId1385" ref="A707"/>
    <hyperlink r:id="rId1386" ref="C707"/>
    <hyperlink r:id="rId1387" ref="A708"/>
    <hyperlink r:id="rId1388" ref="C708"/>
    <hyperlink r:id="rId1389" ref="A709"/>
    <hyperlink r:id="rId1390" ref="C709"/>
    <hyperlink r:id="rId1391" ref="A710"/>
    <hyperlink r:id="rId1392" ref="C710"/>
    <hyperlink r:id="rId1393" ref="A711"/>
    <hyperlink r:id="rId1394" ref="C711"/>
    <hyperlink r:id="rId1395" location=":~:text=Shelby,German%20market%20starts%20with%20us.%E2%80%9D" ref="A712"/>
    <hyperlink r:id="rId1396" ref="A713"/>
    <hyperlink r:id="rId1397" ref="C713"/>
    <hyperlink r:id="rId1398" ref="A714"/>
    <hyperlink r:id="rId1399" ref="C714"/>
    <hyperlink r:id="rId1400" ref="A715"/>
    <hyperlink r:id="rId1401" ref="A716"/>
    <hyperlink r:id="rId1402" ref="C716"/>
    <hyperlink r:id="rId1403" ref="A717"/>
    <hyperlink r:id="rId1404" ref="A718"/>
    <hyperlink r:id="rId1405" ref="C718"/>
    <hyperlink r:id="rId1406" ref="A719"/>
    <hyperlink r:id="rId1407" ref="C719"/>
    <hyperlink r:id="rId1408" ref="A720"/>
    <hyperlink r:id="rId1409" ref="C720"/>
    <hyperlink r:id="rId1410" ref="A721"/>
    <hyperlink r:id="rId1411" ref="C721"/>
    <hyperlink r:id="rId1412" ref="A722"/>
    <hyperlink r:id="rId1413" ref="C722"/>
    <hyperlink r:id="rId1414" ref="A723"/>
    <hyperlink r:id="rId1415" ref="C723"/>
    <hyperlink r:id="rId1416" ref="A724"/>
    <hyperlink r:id="rId1417" ref="C724"/>
    <hyperlink r:id="rId1418" ref="A725"/>
    <hyperlink r:id="rId1419" ref="C725"/>
    <hyperlink r:id="rId1420" location=":~:text=Data%20%26%20AI%20Consulting%20%7C%20PwC,Leader%20in%20AI%20Consulting%20Services" ref="A726"/>
    <hyperlink r:id="rId1421" ref="C726"/>
    <hyperlink r:id="rId1422" ref="A727"/>
    <hyperlink r:id="rId1423" ref="C727"/>
    <hyperlink r:id="rId1424" ref="A728"/>
    <hyperlink r:id="rId1425" ref="C728"/>
    <hyperlink r:id="rId1426" ref="A729"/>
    <hyperlink r:id="rId1427" ref="C729"/>
    <hyperlink r:id="rId1428" ref="A730"/>
    <hyperlink r:id="rId1429" ref="C730"/>
    <hyperlink r:id="rId1430" ref="A731"/>
    <hyperlink r:id="rId1431" ref="C731"/>
    <hyperlink r:id="rId1432" ref="A732"/>
    <hyperlink r:id="rId1433" ref="C732"/>
    <hyperlink r:id="rId1434" ref="A733"/>
    <hyperlink r:id="rId1435" ref="C733"/>
    <hyperlink r:id="rId1436" ref="A734"/>
    <hyperlink r:id="rId1437" ref="C734"/>
    <hyperlink r:id="rId1438" ref="A735"/>
    <hyperlink r:id="rId1439" ref="C735"/>
    <hyperlink r:id="rId1440" ref="A736"/>
    <hyperlink r:id="rId1441" location=":~:text=revenue%20growth%22%20claims.-,The%2015%20Best%20Performance%20Marketing%20Agencies%20for%202026,performance%20marketing%20for%20a%20reason." ref="A737"/>
    <hyperlink r:id="rId1442" ref="C737"/>
    <hyperlink r:id="rId1443" ref="A738"/>
    <hyperlink r:id="rId1444" ref="C738"/>
    <hyperlink r:id="rId1445" ref="A739"/>
    <hyperlink r:id="rId1446" ref="C739"/>
    <hyperlink r:id="rId1447" ref="A740"/>
    <hyperlink r:id="rId1448" ref="C740"/>
    <hyperlink r:id="rId1449" ref="A741"/>
    <hyperlink r:id="rId1450" ref="C741"/>
    <hyperlink r:id="rId1451" ref="A742"/>
    <hyperlink r:id="rId1452" ref="C742"/>
    <hyperlink r:id="rId1453" ref="A743"/>
    <hyperlink r:id="rId1454" ref="C743"/>
    <hyperlink r:id="rId1455" ref="A744"/>
    <hyperlink r:id="rId1456" ref="C744"/>
    <hyperlink r:id="rId1457" ref="A745"/>
    <hyperlink r:id="rId1458" ref="C745"/>
    <hyperlink r:id="rId1459" ref="A746"/>
    <hyperlink r:id="rId1460" ref="C746"/>
    <hyperlink r:id="rId1461" ref="A747"/>
    <hyperlink r:id="rId1462" ref="C747"/>
    <hyperlink r:id="rId1463" ref="A748"/>
    <hyperlink r:id="rId1464" ref="C748"/>
    <hyperlink r:id="rId1465" ref="A749"/>
    <hyperlink r:id="rId1466" ref="C749"/>
    <hyperlink r:id="rId1467" ref="A750"/>
    <hyperlink r:id="rId1468" ref="C750"/>
    <hyperlink r:id="rId1469" ref="A751"/>
    <hyperlink r:id="rId1470" ref="C751"/>
    <hyperlink r:id="rId1471" ref="A752"/>
    <hyperlink r:id="rId1472" ref="C752"/>
    <hyperlink r:id="rId1473" ref="A753"/>
    <hyperlink r:id="rId1474" ref="C753"/>
    <hyperlink r:id="rId1475" ref="A754"/>
    <hyperlink r:id="rId1476" ref="C754"/>
    <hyperlink r:id="rId1477" ref="A755"/>
    <hyperlink r:id="rId1478" ref="C755"/>
    <hyperlink r:id="rId1479" ref="A756"/>
    <hyperlink r:id="rId1480" ref="C756"/>
    <hyperlink r:id="rId1481" ref="A757"/>
    <hyperlink r:id="rId1482" ref="C757"/>
    <hyperlink r:id="rId1483" ref="A758"/>
    <hyperlink r:id="rId1484" ref="C758"/>
    <hyperlink r:id="rId1485" ref="A759"/>
    <hyperlink r:id="rId1486" ref="C759"/>
    <hyperlink r:id="rId1487" ref="A760"/>
    <hyperlink r:id="rId1488" ref="C760"/>
    <hyperlink r:id="rId1489" ref="A761"/>
    <hyperlink r:id="rId1490" ref="C761"/>
    <hyperlink r:id="rId1491" ref="A762"/>
    <hyperlink r:id="rId1492" ref="C762"/>
    <hyperlink r:id="rId1493" ref="A763"/>
    <hyperlink r:id="rId1494" ref="C763"/>
    <hyperlink r:id="rId1495" ref="A764"/>
    <hyperlink r:id="rId1496" ref="C764"/>
    <hyperlink r:id="rId1497" ref="A765"/>
    <hyperlink r:id="rId1498" ref="C765"/>
    <hyperlink r:id="rId1499" ref="A766"/>
    <hyperlink r:id="rId1500" ref="C766"/>
    <hyperlink r:id="rId1501" ref="A767"/>
    <hyperlink r:id="rId1502" ref="C767"/>
    <hyperlink r:id="rId1503" ref="A768"/>
    <hyperlink r:id="rId1504" ref="C768"/>
    <hyperlink r:id="rId1505" ref="A769"/>
    <hyperlink r:id="rId1506" ref="C769"/>
    <hyperlink r:id="rId1507" ref="A770"/>
    <hyperlink r:id="rId1508" ref="C770"/>
    <hyperlink r:id="rId1509" location=":~:text=e%2Ddynamics%20GmbH" ref="A771"/>
    <hyperlink r:id="rId1510" ref="C771"/>
    <hyperlink r:id="rId1511" ref="A772"/>
    <hyperlink r:id="rId1512" ref="C772"/>
    <hyperlink r:id="rId1513" ref="A773"/>
    <hyperlink r:id="rId1514" ref="C773"/>
    <hyperlink r:id="rId1515" ref="A774"/>
    <hyperlink r:id="rId1516" ref="C774"/>
    <hyperlink r:id="rId1517" ref="A775"/>
    <hyperlink r:id="rId1518" ref="C775"/>
    <hyperlink r:id="rId1519" ref="A776"/>
    <hyperlink r:id="rId1520" ref="C776"/>
    <hyperlink r:id="rId1521" ref="A777"/>
    <hyperlink r:id="rId1522" ref="C777"/>
    <hyperlink r:id="rId1523" ref="A778"/>
    <hyperlink r:id="rId1524" ref="C778"/>
    <hyperlink r:id="rId1525" ref="A779"/>
    <hyperlink r:id="rId1526" ref="C779"/>
    <hyperlink r:id="rId1527" location=":~:text=Superside%20is%20known%20for%20its,wide%20range%20of%20creative%20assets." ref="A780"/>
    <hyperlink r:id="rId1528" ref="C780"/>
    <hyperlink r:id="rId1529" ref="A781"/>
    <hyperlink r:id="rId1530" ref="C781"/>
    <hyperlink r:id="rId1531" ref="A782"/>
    <hyperlink r:id="rId1532" ref="C782"/>
    <hyperlink r:id="rId1533" location=":~:text=About%3A%20Hawke%20Media%20pioneered%20the,email%20marketing%2C%20and%20conversion%20optimization." ref="A783"/>
    <hyperlink r:id="rId1534" ref="C783"/>
    <hyperlink r:id="rId1535" ref="A784"/>
    <hyperlink r:id="rId1536" ref="C784"/>
    <hyperlink r:id="rId1537" ref="A785"/>
    <hyperlink r:id="rId1538" ref="C785"/>
    <hyperlink r:id="rId1539" ref="A786"/>
    <hyperlink r:id="rId1540" ref="C786"/>
    <hyperlink r:id="rId1541" ref="A787"/>
    <hyperlink r:id="rId1542" ref="C787"/>
    <hyperlink r:id="rId1543" ref="A788"/>
    <hyperlink r:id="rId1544" ref="C788"/>
    <hyperlink r:id="rId1545" ref="A789"/>
    <hyperlink r:id="rId1546" ref="C789"/>
    <hyperlink r:id="rId1547" ref="A790"/>
    <hyperlink r:id="rId1548" ref="C790"/>
    <hyperlink r:id="rId1549" ref="A791"/>
    <hyperlink r:id="rId1550" ref="C791"/>
    <hyperlink r:id="rId1551" ref="A792"/>
    <hyperlink r:id="rId1552" ref="C792"/>
    <hyperlink r:id="rId1553" ref="A793"/>
    <hyperlink r:id="rId1554" ref="C793"/>
    <hyperlink r:id="rId1555" ref="A794"/>
    <hyperlink r:id="rId1556" ref="C794"/>
    <hyperlink r:id="rId1557" ref="A795"/>
    <hyperlink r:id="rId1558" ref="C795"/>
    <hyperlink r:id="rId1559" ref="A796"/>
    <hyperlink r:id="rId1560" ref="C796"/>
    <hyperlink r:id="rId1561" ref="A797"/>
    <hyperlink r:id="rId1562" ref="C797"/>
    <hyperlink r:id="rId1563" ref="A798"/>
    <hyperlink r:id="rId1564" ref="C798"/>
    <hyperlink r:id="rId1565" ref="A799"/>
    <hyperlink r:id="rId1566" ref="C799"/>
    <hyperlink r:id="rId1567" location=":~:text=Strategieberatung-,Kontakt,Google%20Ads%20Premier%20Partner%20Agentur" ref="A800"/>
    <hyperlink r:id="rId1568" ref="C800"/>
    <hyperlink r:id="rId1569" ref="A801"/>
    <hyperlink r:id="rId1570" ref="C801"/>
    <hyperlink r:id="rId1571" ref="A802"/>
    <hyperlink r:id="rId1572" ref="C802"/>
    <hyperlink r:id="rId1573" ref="A803"/>
    <hyperlink r:id="rId1574" ref="C803"/>
    <hyperlink r:id="rId1575" ref="A804"/>
    <hyperlink r:id="rId1576" ref="C804"/>
    <hyperlink r:id="rId1577" ref="A805"/>
    <hyperlink r:id="rId1578" ref="C805"/>
    <hyperlink r:id="rId1579" ref="A806"/>
    <hyperlink r:id="rId1580" ref="C806"/>
    <hyperlink r:id="rId1581" ref="A807"/>
    <hyperlink r:id="rId1582" ref="C807"/>
    <hyperlink r:id="rId1583" ref="A808"/>
    <hyperlink r:id="rId1584" ref="C808"/>
    <hyperlink r:id="rId1585" ref="A809"/>
    <hyperlink r:id="rId1586" ref="C809"/>
    <hyperlink r:id="rId1587" ref="A810"/>
    <hyperlink r:id="rId1588" ref="C810"/>
    <hyperlink r:id="rId1589" ref="A811"/>
    <hyperlink r:id="rId1590" ref="C811"/>
    <hyperlink r:id="rId1591" ref="A812"/>
    <hyperlink r:id="rId1592" ref="C812"/>
    <hyperlink r:id="rId1593" ref="A813"/>
    <hyperlink r:id="rId1594" ref="C813"/>
    <hyperlink r:id="rId1595" ref="A814"/>
    <hyperlink r:id="rId1596" ref="C814"/>
    <hyperlink r:id="rId1597" ref="A815"/>
    <hyperlink r:id="rId1598" ref="C815"/>
    <hyperlink r:id="rId1599" ref="A816"/>
    <hyperlink r:id="rId1600" ref="C816"/>
    <hyperlink r:id="rId1601" ref="A817"/>
    <hyperlink r:id="rId1602" ref="C817"/>
    <hyperlink r:id="rId1603" ref="A818"/>
    <hyperlink r:id="rId1604" ref="C818"/>
    <hyperlink r:id="rId1605" ref="A819"/>
    <hyperlink r:id="rId1606" ref="C819"/>
    <hyperlink r:id="rId1607" ref="A820"/>
    <hyperlink r:id="rId1608" ref="C820"/>
    <hyperlink r:id="rId1609" ref="A821"/>
    <hyperlink r:id="rId1610" ref="C821"/>
    <hyperlink r:id="rId1611" ref="A822"/>
    <hyperlink r:id="rId1612" ref="C822"/>
    <hyperlink r:id="rId1613" ref="A823"/>
    <hyperlink r:id="rId1614" ref="C823"/>
    <hyperlink r:id="rId1615" ref="A824"/>
    <hyperlink r:id="rId1616" ref="C824"/>
    <hyperlink r:id="rId1617" ref="A825"/>
    <hyperlink r:id="rId1618" ref="C825"/>
    <hyperlink r:id="rId1619" ref="A826"/>
    <hyperlink r:id="rId1620" ref="C826"/>
    <hyperlink r:id="rId1621" ref="A827"/>
    <hyperlink r:id="rId1622" ref="C827"/>
    <hyperlink r:id="rId1623" ref="A828"/>
    <hyperlink r:id="rId1624" ref="C828"/>
    <hyperlink r:id="rId1625" ref="A829"/>
    <hyperlink r:id="rId1626" ref="C829"/>
    <hyperlink r:id="rId1627" ref="A830"/>
    <hyperlink r:id="rId1628" ref="C830"/>
    <hyperlink r:id="rId1629" ref="A831"/>
    <hyperlink r:id="rId1630" ref="C831"/>
    <hyperlink r:id="rId1631" ref="A832"/>
    <hyperlink r:id="rId1632" ref="C832"/>
    <hyperlink r:id="rId1633" ref="A833"/>
    <hyperlink r:id="rId1634" ref="C833"/>
    <hyperlink r:id="rId1635" ref="A834"/>
    <hyperlink r:id="rId1636" ref="C834"/>
    <hyperlink r:id="rId1637" ref="A835"/>
    <hyperlink r:id="rId1638" ref="C835"/>
    <hyperlink r:id="rId1639" ref="A836"/>
    <hyperlink r:id="rId1640" ref="C836"/>
    <hyperlink r:id="rId1641" ref="A837"/>
    <hyperlink r:id="rId1642" ref="C837"/>
    <hyperlink r:id="rId1643" ref="A838"/>
    <hyperlink r:id="rId1644" ref="C838"/>
    <hyperlink r:id="rId1645" ref="A839"/>
    <hyperlink r:id="rId1646" ref="C839"/>
    <hyperlink r:id="rId1647" ref="A840"/>
    <hyperlink r:id="rId1648" ref="C840"/>
    <hyperlink r:id="rId1649" ref="A841"/>
    <hyperlink r:id="rId1650" ref="C841"/>
    <hyperlink r:id="rId1651" ref="A842"/>
    <hyperlink r:id="rId1652" ref="C842"/>
    <hyperlink r:id="rId1653" ref="A843"/>
    <hyperlink r:id="rId1654" ref="C843"/>
    <hyperlink r:id="rId1655" ref="A844"/>
    <hyperlink r:id="rId1656" ref="C844"/>
    <hyperlink r:id="rId1657" ref="A845"/>
    <hyperlink r:id="rId1658" ref="C845"/>
    <hyperlink r:id="rId1659" ref="A846"/>
    <hyperlink r:id="rId1660" ref="C846"/>
    <hyperlink r:id="rId1661" ref="A847"/>
    <hyperlink r:id="rId1662" ref="C847"/>
    <hyperlink r:id="rId1663" ref="A848"/>
    <hyperlink r:id="rId1664" ref="C848"/>
    <hyperlink r:id="rId1665" ref="A849"/>
    <hyperlink r:id="rId1666" ref="C849"/>
    <hyperlink r:id="rId1667" ref="A850"/>
    <hyperlink r:id="rId1668" ref="C850"/>
    <hyperlink r:id="rId1669" ref="A851"/>
    <hyperlink r:id="rId1670" ref="C851"/>
    <hyperlink r:id="rId1671" ref="A852"/>
    <hyperlink r:id="rId1672" ref="C852"/>
    <hyperlink r:id="rId1673" ref="A853"/>
    <hyperlink r:id="rId1674" ref="C853"/>
    <hyperlink r:id="rId1675" ref="A854"/>
    <hyperlink r:id="rId1676" ref="C854"/>
    <hyperlink r:id="rId1677" ref="A855"/>
    <hyperlink r:id="rId1678" ref="C855"/>
    <hyperlink r:id="rId1679" ref="A856"/>
    <hyperlink r:id="rId1680" ref="C856"/>
    <hyperlink r:id="rId1681" ref="A857"/>
    <hyperlink r:id="rId1682" ref="C857"/>
    <hyperlink r:id="rId1683" ref="A858"/>
    <hyperlink r:id="rId1684" ref="C858"/>
    <hyperlink r:id="rId1685" ref="A859"/>
    <hyperlink r:id="rId1686" ref="C859"/>
    <hyperlink r:id="rId1687" ref="A860"/>
    <hyperlink r:id="rId1688" ref="C860"/>
    <hyperlink r:id="rId1689" ref="A861"/>
    <hyperlink r:id="rId1690" ref="C861"/>
    <hyperlink r:id="rId1691" ref="A862"/>
    <hyperlink r:id="rId1692" ref="C862"/>
    <hyperlink r:id="rId1693" ref="A863"/>
    <hyperlink r:id="rId1694" ref="C863"/>
    <hyperlink r:id="rId1695" ref="A864"/>
    <hyperlink r:id="rId1696" ref="C864"/>
    <hyperlink r:id="rId1697" ref="A865"/>
    <hyperlink r:id="rId1698" ref="C865"/>
    <hyperlink r:id="rId1699" ref="A866"/>
    <hyperlink r:id="rId1700" ref="C866"/>
    <hyperlink r:id="rId1701" ref="A867"/>
    <hyperlink r:id="rId1702" ref="C867"/>
    <hyperlink r:id="rId1703" ref="A868"/>
    <hyperlink r:id="rId1704" ref="C868"/>
    <hyperlink r:id="rId1705" ref="A869"/>
    <hyperlink r:id="rId1706" ref="C869"/>
    <hyperlink r:id="rId1707" ref="A870"/>
    <hyperlink r:id="rId1708" ref="C870"/>
    <hyperlink r:id="rId1709" ref="A871"/>
    <hyperlink r:id="rId1710" ref="C871"/>
    <hyperlink r:id="rId1711" ref="A872"/>
    <hyperlink r:id="rId1712" ref="C872"/>
    <hyperlink r:id="rId1713" ref="A873"/>
    <hyperlink r:id="rId1714" ref="C873"/>
    <hyperlink r:id="rId1715" ref="A874"/>
    <hyperlink r:id="rId1716" ref="C874"/>
    <hyperlink r:id="rId1717" ref="A875"/>
    <hyperlink r:id="rId1718" ref="C875"/>
    <hyperlink r:id="rId1719" ref="A876"/>
    <hyperlink r:id="rId1720" ref="C876"/>
    <hyperlink r:id="rId1721" ref="A877"/>
    <hyperlink r:id="rId1722" ref="C877"/>
    <hyperlink r:id="rId1723" ref="A878"/>
    <hyperlink r:id="rId1724" ref="C878"/>
    <hyperlink r:id="rId1725" ref="A879"/>
    <hyperlink r:id="rId1726" ref="C879"/>
    <hyperlink r:id="rId1727" ref="A880"/>
    <hyperlink r:id="rId1728" ref="C880"/>
    <hyperlink r:id="rId1729" ref="A881"/>
    <hyperlink r:id="rId1730" ref="C881"/>
    <hyperlink r:id="rId1731" ref="A882"/>
    <hyperlink r:id="rId1732" ref="C882"/>
    <hyperlink r:id="rId1733" ref="A883"/>
    <hyperlink r:id="rId1734" ref="C883"/>
    <hyperlink r:id="rId1735" ref="A884"/>
    <hyperlink r:id="rId1736" ref="C884"/>
    <hyperlink r:id="rId1737" ref="A885"/>
    <hyperlink r:id="rId1738" ref="C885"/>
    <hyperlink r:id="rId1739" ref="A886"/>
    <hyperlink r:id="rId1740" ref="C886"/>
    <hyperlink r:id="rId1741" ref="A887"/>
    <hyperlink r:id="rId1742" ref="C887"/>
    <hyperlink r:id="rId1743" ref="A888"/>
    <hyperlink r:id="rId1744" ref="C888"/>
    <hyperlink r:id="rId1745" ref="A889"/>
    <hyperlink r:id="rId1746" ref="C889"/>
    <hyperlink r:id="rId1747" ref="A890"/>
    <hyperlink r:id="rId1748" ref="C890"/>
    <hyperlink r:id="rId1749" ref="A891"/>
    <hyperlink r:id="rId1750" ref="C891"/>
    <hyperlink r:id="rId1751" ref="A892"/>
    <hyperlink r:id="rId1752" ref="C892"/>
    <hyperlink r:id="rId1753" ref="A893"/>
    <hyperlink r:id="rId1754" ref="C893"/>
    <hyperlink r:id="rId1755" ref="A894"/>
    <hyperlink r:id="rId1756" ref="C894"/>
    <hyperlink r:id="rId1757" ref="A895"/>
    <hyperlink r:id="rId1758" ref="C895"/>
    <hyperlink r:id="rId1759" ref="A896"/>
    <hyperlink r:id="rId1760" ref="C896"/>
    <hyperlink r:id="rId1761" ref="A897"/>
    <hyperlink r:id="rId1762" ref="C897"/>
    <hyperlink r:id="rId1763" ref="A898"/>
    <hyperlink r:id="rId1764" ref="C898"/>
    <hyperlink r:id="rId1765" ref="A899"/>
    <hyperlink r:id="rId1766" ref="C899"/>
    <hyperlink r:id="rId1767" ref="A900"/>
    <hyperlink r:id="rId1768" ref="C900"/>
    <hyperlink r:id="rId1769" ref="A901"/>
    <hyperlink r:id="rId1770" ref="C901"/>
    <hyperlink r:id="rId1771" ref="A902"/>
    <hyperlink r:id="rId1772" ref="C902"/>
    <hyperlink r:id="rId1773" ref="A903"/>
    <hyperlink r:id="rId1774" ref="C903"/>
    <hyperlink r:id="rId1775" ref="A904"/>
    <hyperlink r:id="rId1776" ref="C904"/>
    <hyperlink r:id="rId1777" ref="A905"/>
    <hyperlink r:id="rId1778" ref="C905"/>
    <hyperlink r:id="rId1779" ref="A906"/>
    <hyperlink r:id="rId1780" ref="C906"/>
    <hyperlink r:id="rId1781" ref="A907"/>
    <hyperlink r:id="rId1782" ref="C907"/>
    <hyperlink r:id="rId1783" ref="A908"/>
    <hyperlink r:id="rId1784" ref="C908"/>
    <hyperlink r:id="rId1785" ref="A909"/>
    <hyperlink r:id="rId1786" ref="C909"/>
    <hyperlink r:id="rId1787" ref="A910"/>
    <hyperlink r:id="rId1788" ref="C910"/>
    <hyperlink r:id="rId1789" ref="A911"/>
    <hyperlink r:id="rId1790" ref="C911"/>
    <hyperlink r:id="rId1791" ref="A912"/>
    <hyperlink r:id="rId1792" ref="C912"/>
    <hyperlink r:id="rId1793" ref="A913"/>
    <hyperlink r:id="rId1794" ref="C913"/>
    <hyperlink r:id="rId1795" ref="A914"/>
    <hyperlink r:id="rId1796" ref="C914"/>
    <hyperlink r:id="rId1797" ref="A915"/>
    <hyperlink r:id="rId1798" ref="C915"/>
    <hyperlink r:id="rId1799" ref="A916"/>
    <hyperlink r:id="rId1800" ref="C916"/>
    <hyperlink r:id="rId1801" ref="A917"/>
    <hyperlink r:id="rId1802" ref="C917"/>
    <hyperlink r:id="rId1803" ref="A918"/>
    <hyperlink r:id="rId1804" ref="C918"/>
    <hyperlink r:id="rId1805" ref="A919"/>
    <hyperlink r:id="rId1806" ref="C919"/>
    <hyperlink r:id="rId1807" ref="A920"/>
    <hyperlink r:id="rId1808" ref="C920"/>
    <hyperlink r:id="rId1809" ref="A921"/>
    <hyperlink r:id="rId1810" ref="C921"/>
    <hyperlink r:id="rId1811" ref="A922"/>
    <hyperlink r:id="rId1812" ref="C922"/>
    <hyperlink r:id="rId1813" ref="A923"/>
    <hyperlink r:id="rId1814" ref="C923"/>
    <hyperlink r:id="rId1815" ref="A924"/>
    <hyperlink r:id="rId1816" ref="C924"/>
    <hyperlink r:id="rId1817" ref="A925"/>
    <hyperlink r:id="rId1818" ref="C925"/>
    <hyperlink r:id="rId1819" ref="A926"/>
    <hyperlink r:id="rId1820" ref="C926"/>
    <hyperlink r:id="rId1821" ref="A927"/>
    <hyperlink r:id="rId1822" ref="C927"/>
    <hyperlink r:id="rId1823" ref="A928"/>
    <hyperlink r:id="rId1824" ref="C928"/>
    <hyperlink r:id="rId1825" ref="A929"/>
    <hyperlink r:id="rId1826" ref="C929"/>
    <hyperlink r:id="rId1827" ref="A930"/>
    <hyperlink r:id="rId1828" ref="C930"/>
    <hyperlink r:id="rId1829" ref="A931"/>
    <hyperlink r:id="rId1830" ref="C931"/>
    <hyperlink r:id="rId1831" ref="A932"/>
    <hyperlink r:id="rId1832" ref="C932"/>
    <hyperlink r:id="rId1833" ref="A933"/>
    <hyperlink r:id="rId1834" ref="C933"/>
    <hyperlink r:id="rId1835" ref="A934"/>
    <hyperlink r:id="rId1836" ref="C934"/>
    <hyperlink r:id="rId1837" ref="A935"/>
    <hyperlink r:id="rId1838" ref="C935"/>
    <hyperlink r:id="rId1839" ref="A936"/>
    <hyperlink r:id="rId1840" ref="C936"/>
    <hyperlink r:id="rId1841" ref="A937"/>
    <hyperlink r:id="rId1842" ref="C937"/>
    <hyperlink r:id="rId1843" ref="A938"/>
    <hyperlink r:id="rId1844" ref="C938"/>
    <hyperlink r:id="rId1845" ref="A939"/>
    <hyperlink r:id="rId1846" ref="C939"/>
    <hyperlink r:id="rId1847" ref="A940"/>
    <hyperlink r:id="rId1848" ref="C940"/>
    <hyperlink r:id="rId1849" ref="A941"/>
    <hyperlink r:id="rId1850" ref="C941"/>
    <hyperlink r:id="rId1851" ref="A942"/>
    <hyperlink r:id="rId1852" ref="C942"/>
    <hyperlink r:id="rId1853" ref="A943"/>
    <hyperlink r:id="rId1854" ref="C943"/>
    <hyperlink r:id="rId1855" ref="A944"/>
    <hyperlink r:id="rId1856" ref="C944"/>
    <hyperlink r:id="rId1857" ref="A945"/>
    <hyperlink r:id="rId1858" ref="C945"/>
    <hyperlink r:id="rId1859" ref="A946"/>
    <hyperlink r:id="rId1860" ref="C946"/>
    <hyperlink r:id="rId1861" ref="A947"/>
    <hyperlink r:id="rId1862" ref="C947"/>
    <hyperlink r:id="rId1863" ref="A948"/>
    <hyperlink r:id="rId1864" ref="C948"/>
    <hyperlink r:id="rId1865" ref="A949"/>
    <hyperlink r:id="rId1866" ref="C949"/>
    <hyperlink r:id="rId1867" ref="A950"/>
    <hyperlink r:id="rId1868" ref="C950"/>
    <hyperlink r:id="rId1869" ref="A951"/>
    <hyperlink r:id="rId1870" ref="C951"/>
    <hyperlink r:id="rId1871" ref="A952"/>
    <hyperlink r:id="rId1872" ref="C952"/>
    <hyperlink r:id="rId1873" ref="A953"/>
    <hyperlink r:id="rId1874" ref="C953"/>
    <hyperlink r:id="rId1875" ref="A954"/>
    <hyperlink r:id="rId1876" ref="A955"/>
    <hyperlink r:id="rId1877" ref="C955"/>
    <hyperlink r:id="rId1878" ref="A956"/>
    <hyperlink r:id="rId1879" ref="C956"/>
    <hyperlink r:id="rId1880" ref="A957"/>
    <hyperlink r:id="rId1881" ref="C957"/>
    <hyperlink r:id="rId1882" ref="A958"/>
    <hyperlink r:id="rId1883" ref="C958"/>
    <hyperlink r:id="rId1884" ref="A959"/>
    <hyperlink r:id="rId1885" ref="A960"/>
    <hyperlink r:id="rId1886" ref="C960"/>
    <hyperlink r:id="rId1887" ref="A961"/>
    <hyperlink r:id="rId1888" ref="C961"/>
    <hyperlink r:id="rId1889" ref="A962"/>
    <hyperlink r:id="rId1890" ref="C962"/>
    <hyperlink r:id="rId1891" ref="A963"/>
    <hyperlink r:id="rId1892" ref="A964"/>
    <hyperlink r:id="rId1893" ref="A965"/>
    <hyperlink r:id="rId1894" ref="C965"/>
    <hyperlink r:id="rId1895" ref="A966"/>
    <hyperlink r:id="rId1896" ref="C966"/>
    <hyperlink r:id="rId1897" ref="A967"/>
    <hyperlink r:id="rId1898" ref="C967"/>
    <hyperlink r:id="rId1899" ref="A968"/>
    <hyperlink r:id="rId1900" ref="C968"/>
    <hyperlink r:id="rId1901" ref="A969"/>
    <hyperlink r:id="rId1902" ref="C969"/>
    <hyperlink r:id="rId1903" ref="A970"/>
    <hyperlink r:id="rId1904" ref="C970"/>
    <hyperlink r:id="rId1905" ref="A971"/>
    <hyperlink r:id="rId1906" ref="C971"/>
    <hyperlink r:id="rId1907" ref="A972"/>
    <hyperlink r:id="rId1908" ref="C972"/>
    <hyperlink r:id="rId1909" ref="A973"/>
    <hyperlink r:id="rId1910" ref="C973"/>
    <hyperlink r:id="rId1911" ref="A974"/>
    <hyperlink r:id="rId1912" ref="C974"/>
    <hyperlink r:id="rId1913" ref="A975"/>
    <hyperlink r:id="rId1914" ref="C975"/>
    <hyperlink r:id="rId1915" ref="A976"/>
    <hyperlink r:id="rId1916" ref="C976"/>
    <hyperlink r:id="rId1917" ref="A977"/>
    <hyperlink r:id="rId1918" ref="C977"/>
    <hyperlink r:id="rId1919" ref="A978"/>
    <hyperlink r:id="rId1920" ref="C978"/>
    <hyperlink r:id="rId1921" ref="A979"/>
    <hyperlink r:id="rId1922" ref="C979"/>
    <hyperlink r:id="rId1923" ref="A980"/>
    <hyperlink r:id="rId1924" ref="C980"/>
    <hyperlink r:id="rId1925" ref="A981"/>
    <hyperlink r:id="rId1926" ref="C981"/>
    <hyperlink r:id="rId1927" ref="A982"/>
    <hyperlink r:id="rId1928" ref="C982"/>
    <hyperlink r:id="rId1929" ref="A983"/>
    <hyperlink r:id="rId1930" ref="C983"/>
    <hyperlink r:id="rId1931" ref="A984"/>
    <hyperlink r:id="rId1932" ref="C984"/>
    <hyperlink r:id="rId1933" ref="A985"/>
    <hyperlink r:id="rId1934" ref="C985"/>
    <hyperlink r:id="rId1935" ref="A986"/>
    <hyperlink r:id="rId1936" ref="C986"/>
    <hyperlink r:id="rId1937" ref="A987"/>
    <hyperlink r:id="rId1938" ref="C987"/>
    <hyperlink r:id="rId1939" ref="A988"/>
    <hyperlink r:id="rId1940" ref="C988"/>
    <hyperlink r:id="rId1941" ref="A989"/>
    <hyperlink r:id="rId1942" ref="C989"/>
    <hyperlink r:id="rId1943" ref="A990"/>
    <hyperlink r:id="rId1944" ref="C990"/>
    <hyperlink r:id="rId1945" ref="A991"/>
    <hyperlink r:id="rId1946" ref="C991"/>
    <hyperlink r:id="rId1947" ref="A992"/>
    <hyperlink r:id="rId1948" ref="C992"/>
    <hyperlink r:id="rId1949" ref="A993"/>
    <hyperlink r:id="rId1950" ref="C993"/>
    <hyperlink r:id="rId1951" ref="A994"/>
    <hyperlink r:id="rId1952" ref="C994"/>
    <hyperlink r:id="rId1953" ref="A995"/>
    <hyperlink r:id="rId1954" ref="C995"/>
    <hyperlink r:id="rId1955" ref="A996"/>
    <hyperlink r:id="rId1956" ref="C996"/>
    <hyperlink r:id="rId1957" ref="A997"/>
    <hyperlink r:id="rId1958" ref="C997"/>
    <hyperlink r:id="rId1959" ref="A998"/>
    <hyperlink r:id="rId1960" ref="C998"/>
    <hyperlink r:id="rId1961" ref="A999"/>
    <hyperlink r:id="rId1962" ref="C999"/>
    <hyperlink r:id="rId1963" ref="A1000"/>
    <hyperlink r:id="rId1964" ref="C1000"/>
    <hyperlink r:id="rId1965" ref="A1001"/>
    <hyperlink r:id="rId1966" ref="C1001"/>
    <hyperlink r:id="rId1967" ref="A1002"/>
    <hyperlink r:id="rId1968" ref="C1002"/>
    <hyperlink r:id="rId1969" ref="A1003"/>
    <hyperlink r:id="rId1970" ref="C1003"/>
    <hyperlink r:id="rId1971" ref="A1004"/>
    <hyperlink r:id="rId1972" ref="C1004"/>
    <hyperlink r:id="rId1973" ref="A1005"/>
    <hyperlink r:id="rId1974" ref="C1005"/>
    <hyperlink r:id="rId1975" ref="A1006"/>
    <hyperlink r:id="rId1976" ref="C1006"/>
    <hyperlink r:id="rId1977" ref="A1007"/>
    <hyperlink r:id="rId1978" ref="C1007"/>
    <hyperlink r:id="rId1979" ref="A1008"/>
    <hyperlink r:id="rId1980" ref="C1008"/>
    <hyperlink r:id="rId1981" ref="A1009"/>
    <hyperlink r:id="rId1982" ref="C1009"/>
    <hyperlink r:id="rId1983" ref="A1010"/>
    <hyperlink r:id="rId1984" ref="C1010"/>
    <hyperlink r:id="rId1985" ref="A1011"/>
    <hyperlink r:id="rId1986" ref="C1011"/>
    <hyperlink r:id="rId1987" ref="A1012"/>
    <hyperlink r:id="rId1988" ref="C1012"/>
    <hyperlink r:id="rId1989" ref="A1013"/>
    <hyperlink r:id="rId1990" ref="C1013"/>
    <hyperlink r:id="rId1991" ref="A1014"/>
    <hyperlink r:id="rId1992" ref="C1014"/>
    <hyperlink r:id="rId1993" ref="A1015"/>
    <hyperlink r:id="rId1994" ref="C1015"/>
    <hyperlink r:id="rId1995" location=":~:text=Measurable%20Success-,in%20Marketing,for%20real%20Agentic%20performance%20marketing." ref="A1016"/>
    <hyperlink r:id="rId1996" ref="A1017"/>
    <hyperlink r:id="rId1997" ref="A1018"/>
    <hyperlink r:id="rId1998" ref="A1019"/>
    <hyperlink r:id="rId1999" ref="A1020"/>
    <hyperlink r:id="rId2000" ref="A1021"/>
    <hyperlink r:id="rId2001" ref="A1022"/>
    <hyperlink r:id="rId2002" ref="A1023"/>
    <hyperlink r:id="rId2003" ref="C1023"/>
    <hyperlink r:id="rId2004" ref="A1024"/>
    <hyperlink r:id="rId2005" ref="C1024"/>
    <hyperlink r:id="rId2006" ref="A1025"/>
    <hyperlink r:id="rId2007" ref="C1025"/>
    <hyperlink r:id="rId2008" ref="A1026"/>
    <hyperlink r:id="rId2009" ref="C1026"/>
    <hyperlink r:id="rId2010" ref="A1027"/>
    <hyperlink r:id="rId2011" ref="C1027"/>
    <hyperlink r:id="rId2012" ref="A1028"/>
    <hyperlink r:id="rId2013" ref="C1028"/>
    <hyperlink r:id="rId2014" ref="A1029"/>
    <hyperlink r:id="rId2015" ref="C1029"/>
    <hyperlink r:id="rId2016" ref="A1030"/>
    <hyperlink r:id="rId2017" ref="C1030"/>
    <hyperlink r:id="rId2018" ref="A1031"/>
    <hyperlink r:id="rId2019" ref="C1031"/>
    <hyperlink r:id="rId2020" ref="A1032"/>
    <hyperlink r:id="rId2021" ref="C1032"/>
    <hyperlink r:id="rId2022" ref="A1033"/>
    <hyperlink r:id="rId2023" ref="C1033"/>
    <hyperlink r:id="rId2024" ref="A1034"/>
    <hyperlink r:id="rId2025" ref="C1034"/>
    <hyperlink r:id="rId2026" location=":~:text=Agencies%20like%20Majdra%2C%20which%20provide,for%20all%20future%20search%20success." ref="A1035"/>
    <hyperlink r:id="rId2027" ref="C1035"/>
    <hyperlink r:id="rId2028" ref="A1036"/>
    <hyperlink r:id="rId2029" ref="C1036"/>
    <hyperlink r:id="rId2030" ref="A1037"/>
    <hyperlink r:id="rId2031" ref="C1037"/>
    <hyperlink r:id="rId2032" ref="A1038"/>
    <hyperlink r:id="rId2033" ref="C1038"/>
    <hyperlink r:id="rId2034" ref="A1039"/>
    <hyperlink r:id="rId2035" ref="C1039"/>
    <hyperlink r:id="rId2036" ref="A1040"/>
    <hyperlink r:id="rId2037" ref="C1040"/>
    <hyperlink r:id="rId2038" ref="A1041"/>
    <hyperlink r:id="rId2039" ref="C1041"/>
    <hyperlink r:id="rId2040" ref="A1042"/>
    <hyperlink r:id="rId2041" ref="C1042"/>
    <hyperlink r:id="rId2042" ref="A1043"/>
    <hyperlink r:id="rId2043" ref="C1043"/>
    <hyperlink r:id="rId2044" ref="A1044"/>
    <hyperlink r:id="rId2045" ref="A1045"/>
    <hyperlink r:id="rId2046" ref="C1045"/>
    <hyperlink r:id="rId2047" ref="A1046"/>
    <hyperlink r:id="rId2048" ref="C1046"/>
    <hyperlink r:id="rId2049" ref="A1047"/>
    <hyperlink r:id="rId2050" ref="C1047"/>
    <hyperlink r:id="rId2051" ref="A1048"/>
    <hyperlink r:id="rId2052" ref="C1048"/>
    <hyperlink r:id="rId2053" ref="A1049"/>
    <hyperlink r:id="rId2054" ref="A1050"/>
    <hyperlink r:id="rId2055" ref="A1051"/>
    <hyperlink r:id="rId2056" ref="A1052"/>
    <hyperlink r:id="rId2057" ref="C1052"/>
    <hyperlink r:id="rId2058" ref="A1053"/>
    <hyperlink r:id="rId2059" ref="C1053"/>
    <hyperlink r:id="rId2060" ref="A1054"/>
    <hyperlink r:id="rId2061" ref="C1054"/>
    <hyperlink r:id="rId2062" ref="A1055"/>
    <hyperlink r:id="rId2063" ref="C1055"/>
    <hyperlink r:id="rId2064" ref="A1056"/>
    <hyperlink r:id="rId2065" ref="C1056"/>
    <hyperlink r:id="rId2066" ref="A1057"/>
    <hyperlink r:id="rId2067" ref="C1057"/>
    <hyperlink r:id="rId2068" ref="A1058"/>
    <hyperlink r:id="rId2069" ref="C1058"/>
    <hyperlink r:id="rId2070" ref="A1059"/>
    <hyperlink r:id="rId2071" ref="C1059"/>
    <hyperlink r:id="rId2072" ref="A1060"/>
    <hyperlink r:id="rId2073" ref="C1060"/>
    <hyperlink r:id="rId2074" ref="A1061"/>
    <hyperlink r:id="rId2075" ref="C1061"/>
    <hyperlink r:id="rId2076" ref="A1062"/>
    <hyperlink r:id="rId2077" ref="C1062"/>
    <hyperlink r:id="rId2078" ref="A1063"/>
    <hyperlink r:id="rId2079" ref="C1063"/>
    <hyperlink r:id="rId2080" ref="A1064"/>
    <hyperlink r:id="rId2081" ref="C1064"/>
    <hyperlink r:id="rId2082" ref="A1065"/>
    <hyperlink r:id="rId2083" ref="C1065"/>
    <hyperlink r:id="rId2084" ref="A1066"/>
    <hyperlink r:id="rId2085" ref="C1066"/>
    <hyperlink r:id="rId2086" ref="A1067"/>
    <hyperlink r:id="rId2087" ref="C1067"/>
    <hyperlink r:id="rId2088" ref="A1068"/>
    <hyperlink r:id="rId2089" ref="C1068"/>
    <hyperlink r:id="rId2090" ref="A1069"/>
    <hyperlink r:id="rId2091" ref="C1069"/>
    <hyperlink r:id="rId2092" ref="A1070"/>
    <hyperlink r:id="rId2093" ref="A1071"/>
    <hyperlink r:id="rId2094" ref="A1072"/>
    <hyperlink r:id="rId2095" ref="C1072"/>
    <hyperlink r:id="rId2096" ref="A1073"/>
    <hyperlink r:id="rId2097" ref="C1073"/>
    <hyperlink r:id="rId2098" ref="A1074"/>
    <hyperlink r:id="rId2099" ref="C1074"/>
    <hyperlink r:id="rId2100" ref="A1075"/>
    <hyperlink r:id="rId2101" ref="C1075"/>
    <hyperlink r:id="rId2102" ref="A1076"/>
    <hyperlink r:id="rId2103" ref="C1076"/>
    <hyperlink r:id="rId2104" ref="A1077"/>
    <hyperlink r:id="rId2105" ref="C1077"/>
    <hyperlink r:id="rId2106" ref="A1078"/>
    <hyperlink r:id="rId2107" ref="C1078"/>
    <hyperlink r:id="rId2108" ref="A1079"/>
    <hyperlink r:id="rId2109" ref="C1079"/>
    <hyperlink r:id="rId2110" ref="A1080"/>
    <hyperlink r:id="rId2111" ref="C1080"/>
    <hyperlink r:id="rId2112" ref="A1081"/>
    <hyperlink r:id="rId2113" ref="C1081"/>
    <hyperlink r:id="rId2114" ref="A1082"/>
    <hyperlink r:id="rId2115" ref="C1082"/>
    <hyperlink r:id="rId2116" ref="A1083"/>
    <hyperlink r:id="rId2117" ref="C1083"/>
    <hyperlink r:id="rId2118" ref="A1084"/>
    <hyperlink r:id="rId2119" ref="C1084"/>
    <hyperlink r:id="rId2120" ref="A1085"/>
    <hyperlink r:id="rId2121" ref="C1085"/>
    <hyperlink r:id="rId2122" ref="A1086"/>
    <hyperlink r:id="rId2123" ref="C1086"/>
    <hyperlink r:id="rId2124" ref="A1087"/>
    <hyperlink r:id="rId2125" ref="C1087"/>
    <hyperlink r:id="rId2126" ref="A1088"/>
    <hyperlink r:id="rId2127" ref="C1088"/>
    <hyperlink r:id="rId2128" ref="A1089"/>
    <hyperlink r:id="rId2129" ref="C1089"/>
    <hyperlink r:id="rId2130" ref="A1090"/>
    <hyperlink r:id="rId2131" ref="C1090"/>
    <hyperlink r:id="rId2132" ref="A1091"/>
    <hyperlink r:id="rId2133" ref="C1091"/>
    <hyperlink r:id="rId2134" ref="A1092"/>
    <hyperlink r:id="rId2135" ref="C1092"/>
    <hyperlink r:id="rId2136" ref="A1093"/>
    <hyperlink r:id="rId2137" ref="C1093"/>
    <hyperlink r:id="rId2138" ref="A1094"/>
    <hyperlink r:id="rId2139" ref="C1094"/>
    <hyperlink r:id="rId2140" ref="A1095"/>
    <hyperlink r:id="rId2141" ref="C1095"/>
    <hyperlink r:id="rId2142" ref="A1096"/>
    <hyperlink r:id="rId2143" ref="C1096"/>
    <hyperlink r:id="rId2144" ref="A1097"/>
    <hyperlink r:id="rId2145" ref="C1097"/>
    <hyperlink r:id="rId2146" ref="A1098"/>
    <hyperlink r:id="rId2147" ref="C1098"/>
    <hyperlink r:id="rId2148" ref="A1099"/>
    <hyperlink r:id="rId2149" ref="C1099"/>
    <hyperlink r:id="rId2150" ref="A1100"/>
    <hyperlink r:id="rId2151" ref="C1100"/>
    <hyperlink r:id="rId2152" ref="A1101"/>
    <hyperlink r:id="rId2153" ref="C1101"/>
    <hyperlink r:id="rId2154" ref="A1102"/>
    <hyperlink r:id="rId2155" ref="C1102"/>
    <hyperlink r:id="rId2156" ref="A1103"/>
    <hyperlink r:id="rId2157" ref="C1103"/>
    <hyperlink r:id="rId2158" ref="A1104"/>
    <hyperlink r:id="rId2159" ref="C1104"/>
    <hyperlink r:id="rId2160" ref="A1105"/>
    <hyperlink r:id="rId2161" ref="A1106"/>
    <hyperlink r:id="rId2162" ref="A1107"/>
    <hyperlink r:id="rId2163" ref="C1107"/>
    <hyperlink r:id="rId2164" ref="A1108"/>
    <hyperlink r:id="rId2165" ref="C1108"/>
    <hyperlink r:id="rId2166" ref="A1109"/>
    <hyperlink r:id="rId2167" ref="C1109"/>
    <hyperlink r:id="rId2168" ref="A1110"/>
    <hyperlink r:id="rId2169" ref="C1110"/>
    <hyperlink r:id="rId2170" ref="A1111"/>
    <hyperlink r:id="rId2171" ref="C1111"/>
    <hyperlink r:id="rId2172" ref="A1112"/>
    <hyperlink r:id="rId2173" ref="C1112"/>
    <hyperlink r:id="rId2174" ref="A1113"/>
    <hyperlink r:id="rId2175" ref="C1113"/>
    <hyperlink r:id="rId2176" ref="A1114"/>
    <hyperlink r:id="rId2177" ref="C1114"/>
    <hyperlink r:id="rId2178" ref="A1115"/>
    <hyperlink r:id="rId2179" ref="C1115"/>
    <hyperlink r:id="rId2180" ref="A1116"/>
    <hyperlink r:id="rId2181" ref="C1116"/>
    <hyperlink r:id="rId2182" ref="A1117"/>
    <hyperlink r:id="rId2183" ref="C1117"/>
    <hyperlink r:id="rId2184" ref="A1118"/>
    <hyperlink r:id="rId2185" ref="C1118"/>
    <hyperlink r:id="rId2186" location=":~:text=Siege%20Media%20is%20a%20well,likely%20to%20trust%20and%20reference." ref="A1119"/>
    <hyperlink r:id="rId2187" ref="C1119"/>
    <hyperlink r:id="rId2188" ref="A1120"/>
    <hyperlink r:id="rId2189" ref="C1120"/>
    <hyperlink r:id="rId2190" ref="A1121"/>
    <hyperlink r:id="rId2191" ref="C1121"/>
    <hyperlink r:id="rId2192" ref="A1122"/>
    <hyperlink r:id="rId2193" ref="C1122"/>
    <hyperlink r:id="rId2194" ref="A1123"/>
    <hyperlink r:id="rId2195" ref="C1123"/>
    <hyperlink r:id="rId2196" ref="A1124"/>
    <hyperlink r:id="rId2197" ref="C1124"/>
    <hyperlink r:id="rId2198" ref="A1125"/>
    <hyperlink r:id="rId2199" ref="C1125"/>
    <hyperlink r:id="rId2200" ref="A1126"/>
    <hyperlink r:id="rId2201" ref="C1126"/>
    <hyperlink r:id="rId2202" ref="A1127"/>
    <hyperlink r:id="rId2203" ref="C1127"/>
    <hyperlink r:id="rId2204" ref="A1128"/>
    <hyperlink r:id="rId2205" ref="C1128"/>
    <hyperlink r:id="rId2206" ref="A1129"/>
    <hyperlink r:id="rId2207" ref="C1129"/>
    <hyperlink r:id="rId2208" ref="A1130"/>
    <hyperlink r:id="rId2209" ref="C1130"/>
    <hyperlink r:id="rId2210" ref="A1131"/>
    <hyperlink r:id="rId2211" ref="C1131"/>
    <hyperlink r:id="rId2212" ref="A1132"/>
    <hyperlink r:id="rId2213" ref="C1132"/>
    <hyperlink r:id="rId2214" ref="A1133"/>
    <hyperlink r:id="rId2215" ref="C1133"/>
    <hyperlink r:id="rId2216" ref="A1134"/>
    <hyperlink r:id="rId2217" ref="C1134"/>
    <hyperlink r:id="rId2218" ref="A1135"/>
    <hyperlink r:id="rId2219" ref="A1136"/>
    <hyperlink r:id="rId2220" ref="C1136"/>
    <hyperlink r:id="rId2221" ref="A1137"/>
    <hyperlink r:id="rId2222" ref="C1137"/>
    <hyperlink r:id="rId2223" ref="A1138"/>
    <hyperlink r:id="rId2224" ref="C1138"/>
    <hyperlink r:id="rId2225" ref="A1139"/>
    <hyperlink r:id="rId2226" ref="C1139"/>
    <hyperlink r:id="rId2227" ref="A1140"/>
    <hyperlink r:id="rId2228" ref="C1140"/>
    <hyperlink r:id="rId2229" location=":~:text=Peak%20Ace%20AG%20is%20an,25%20languages%20for%20global%20brands." ref="A1141"/>
    <hyperlink r:id="rId2230" ref="A1142"/>
    <hyperlink r:id="rId2231" ref="C1142"/>
    <hyperlink r:id="rId2232" ref="A1143"/>
    <hyperlink r:id="rId2233" ref="C1143"/>
    <hyperlink r:id="rId2234" ref="A1144"/>
    <hyperlink r:id="rId2235" ref="C1144"/>
    <hyperlink r:id="rId2236" ref="A1145"/>
    <hyperlink r:id="rId2237" ref="C1145"/>
    <hyperlink r:id="rId2238" ref="A1146"/>
    <hyperlink r:id="rId2239" ref="C1146"/>
    <hyperlink r:id="rId2240" ref="A1147"/>
    <hyperlink r:id="rId2241" ref="C1147"/>
    <hyperlink r:id="rId2242" ref="A1148"/>
    <hyperlink r:id="rId2243" ref="C1148"/>
    <hyperlink r:id="rId2244" ref="A1149"/>
    <hyperlink r:id="rId2245" ref="C1149"/>
    <hyperlink r:id="rId2246" ref="A1150"/>
    <hyperlink r:id="rId2247" ref="C1150"/>
    <hyperlink r:id="rId2248" ref="A1151"/>
    <hyperlink r:id="rId2249" ref="C1151"/>
    <hyperlink r:id="rId2250" ref="A1152"/>
    <hyperlink r:id="rId2251" ref="C1152"/>
    <hyperlink r:id="rId2252" location=":~:text=Serviceplan%20Group%20was%20named%20Independent,experts%20at%2025%20locations%20worldwide." ref="A1153"/>
    <hyperlink r:id="rId2253" ref="C1153"/>
    <hyperlink r:id="rId2254" ref="A1154"/>
    <hyperlink r:id="rId2255" ref="C1154"/>
    <hyperlink r:id="rId2256" ref="A1155"/>
    <hyperlink r:id="rId2257" ref="C1155"/>
    <hyperlink r:id="rId2258" ref="A1156"/>
    <hyperlink r:id="rId2259" ref="C1156"/>
    <hyperlink r:id="rId2260" ref="A1157"/>
    <hyperlink r:id="rId2261" ref="C1157"/>
    <hyperlink r:id="rId2262" ref="A1158"/>
    <hyperlink r:id="rId2263" ref="C1158"/>
    <hyperlink r:id="rId2264" ref="A1159"/>
    <hyperlink r:id="rId2265" ref="C1159"/>
    <hyperlink r:id="rId2266" ref="A1160"/>
    <hyperlink r:id="rId2267" ref="C1160"/>
    <hyperlink r:id="rId2268" ref="A1161"/>
    <hyperlink r:id="rId2269" ref="A1162"/>
    <hyperlink r:id="rId2270" ref="C1162"/>
    <hyperlink r:id="rId2271" ref="A1163"/>
    <hyperlink r:id="rId2272" ref="C1163"/>
    <hyperlink r:id="rId2273" ref="A1164"/>
    <hyperlink r:id="rId2274" ref="C1164"/>
    <hyperlink r:id="rId2275" ref="A1165"/>
    <hyperlink r:id="rId2276" ref="C1165"/>
    <hyperlink r:id="rId2277" ref="A1166"/>
    <hyperlink r:id="rId2278" ref="C1166"/>
    <hyperlink r:id="rId2279" ref="A1167"/>
    <hyperlink r:id="rId2280" ref="C1167"/>
    <hyperlink r:id="rId2281" ref="A1168"/>
    <hyperlink r:id="rId2282" ref="C1168"/>
    <hyperlink r:id="rId2283" ref="A1169"/>
    <hyperlink r:id="rId2284" ref="C1169"/>
    <hyperlink r:id="rId2285" ref="A1170"/>
    <hyperlink r:id="rId2286" ref="C1170"/>
    <hyperlink r:id="rId2287" ref="A1171"/>
    <hyperlink r:id="rId2288" ref="C1171"/>
    <hyperlink r:id="rId2289" ref="A1172"/>
    <hyperlink r:id="rId2290" ref="C1172"/>
    <hyperlink r:id="rId2291" ref="A1173"/>
    <hyperlink r:id="rId2292" ref="C1173"/>
    <hyperlink r:id="rId2293" ref="A1174"/>
    <hyperlink r:id="rId2294" ref="C1174"/>
    <hyperlink r:id="rId2295" ref="A1175"/>
    <hyperlink r:id="rId2296" ref="C1175"/>
    <hyperlink r:id="rId2297" ref="A1176"/>
    <hyperlink r:id="rId2298" ref="C1176"/>
    <hyperlink r:id="rId2299" ref="A1177"/>
    <hyperlink r:id="rId2300" ref="C1177"/>
    <hyperlink r:id="rId2301" ref="A1178"/>
    <hyperlink r:id="rId2302" ref="C1178"/>
    <hyperlink r:id="rId2303" ref="A1179"/>
    <hyperlink r:id="rId2304" ref="C1179"/>
    <hyperlink r:id="rId2305" ref="A1180"/>
    <hyperlink r:id="rId2306" ref="A1181"/>
    <hyperlink r:id="rId2307" ref="A1182"/>
    <hyperlink r:id="rId2308" ref="C1182"/>
    <hyperlink r:id="rId2309" ref="A1183"/>
    <hyperlink r:id="rId2310" ref="C1183"/>
    <hyperlink r:id="rId2311" ref="A1184"/>
    <hyperlink r:id="rId2312" ref="C1184"/>
    <hyperlink r:id="rId2313" ref="A1185"/>
    <hyperlink r:id="rId2314" ref="C1185"/>
    <hyperlink r:id="rId2315" ref="A1186"/>
    <hyperlink r:id="rId2316" ref="C1186"/>
    <hyperlink r:id="rId2317" ref="A1187"/>
    <hyperlink r:id="rId2318" ref="C1187"/>
    <hyperlink r:id="rId2319" ref="A1188"/>
    <hyperlink r:id="rId2320" ref="C1188"/>
    <hyperlink r:id="rId2321" ref="A1189"/>
    <hyperlink r:id="rId2322" ref="C1189"/>
    <hyperlink r:id="rId2323" ref="A1190"/>
    <hyperlink r:id="rId2324" ref="C1190"/>
    <hyperlink r:id="rId2325" ref="A1191"/>
    <hyperlink r:id="rId2326" ref="C1191"/>
    <hyperlink r:id="rId2327" ref="A1192"/>
    <hyperlink r:id="rId2328" ref="C1192"/>
    <hyperlink r:id="rId2329" ref="A1193"/>
    <hyperlink r:id="rId2330" ref="C1193"/>
    <hyperlink r:id="rId2331" ref="A1194"/>
    <hyperlink r:id="rId2332" ref="C1194"/>
    <hyperlink r:id="rId2333" ref="A1195"/>
    <hyperlink r:id="rId2334" ref="C1195"/>
    <hyperlink r:id="rId2335" ref="A1196"/>
    <hyperlink r:id="rId2336" ref="C1196"/>
    <hyperlink r:id="rId2337" ref="A1197"/>
    <hyperlink r:id="rId2338" ref="C1197"/>
    <hyperlink r:id="rId2339" ref="A1198"/>
    <hyperlink r:id="rId2340" ref="C1198"/>
    <hyperlink r:id="rId2341" ref="A1199"/>
    <hyperlink r:id="rId2342" ref="C1199"/>
    <hyperlink r:id="rId2343" ref="A1200"/>
    <hyperlink r:id="rId2344" ref="C1200"/>
    <hyperlink r:id="rId2345" ref="A1201"/>
    <hyperlink r:id="rId2346" ref="C1201"/>
    <hyperlink r:id="rId2347" ref="A1202"/>
    <hyperlink r:id="rId2348" ref="C1202"/>
    <hyperlink r:id="rId2349" ref="A1203"/>
    <hyperlink r:id="rId2350" ref="C1203"/>
    <hyperlink r:id="rId2351" ref="A1204"/>
    <hyperlink r:id="rId2352" ref="C1204"/>
    <hyperlink r:id="rId2353" ref="A1205"/>
    <hyperlink r:id="rId2354" ref="C1205"/>
    <hyperlink r:id="rId2355" ref="A1206"/>
    <hyperlink r:id="rId2356" ref="C1206"/>
    <hyperlink r:id="rId2357" ref="A1207"/>
    <hyperlink r:id="rId2358" ref="C1207"/>
    <hyperlink r:id="rId2359" ref="A1208"/>
    <hyperlink r:id="rId2360" ref="C1208"/>
    <hyperlink r:id="rId2361" ref="A1209"/>
    <hyperlink r:id="rId2362" ref="C1209"/>
    <hyperlink r:id="rId2363" ref="A1210"/>
    <hyperlink r:id="rId2364" ref="C1210"/>
    <hyperlink r:id="rId2365" ref="A1211"/>
    <hyperlink r:id="rId2366" ref="C1211"/>
    <hyperlink r:id="rId2367" ref="A1212"/>
    <hyperlink r:id="rId2368" ref="C1212"/>
    <hyperlink r:id="rId2369" ref="A1213"/>
    <hyperlink r:id="rId2370" ref="C1213"/>
    <hyperlink r:id="rId2371" ref="A1214"/>
    <hyperlink r:id="rId2372" ref="C1214"/>
    <hyperlink r:id="rId2373" ref="A1215"/>
    <hyperlink r:id="rId2374" ref="C1215"/>
    <hyperlink r:id="rId2375" ref="A1216"/>
    <hyperlink r:id="rId2376" ref="C1216"/>
    <hyperlink r:id="rId2377" ref="A1217"/>
    <hyperlink r:id="rId2378" ref="C1217"/>
    <hyperlink r:id="rId2379" ref="A1218"/>
    <hyperlink r:id="rId2380" ref="C1218"/>
    <hyperlink r:id="rId2381" ref="A1219"/>
    <hyperlink r:id="rId2382" ref="C1219"/>
    <hyperlink r:id="rId2383" ref="A1220"/>
    <hyperlink r:id="rId2384" ref="C1220"/>
    <hyperlink r:id="rId2385" ref="A1221"/>
    <hyperlink r:id="rId2386" ref="C1221"/>
    <hyperlink r:id="rId2387" ref="A1222"/>
    <hyperlink r:id="rId2388" ref="C1222"/>
    <hyperlink r:id="rId2389" ref="A1223"/>
    <hyperlink r:id="rId2390" ref="C1223"/>
    <hyperlink r:id="rId2391" ref="A1224"/>
    <hyperlink r:id="rId2392" ref="C1224"/>
    <hyperlink r:id="rId2393" ref="A1225"/>
    <hyperlink r:id="rId2394" ref="A1226"/>
    <hyperlink r:id="rId2395" ref="C1226"/>
    <hyperlink r:id="rId2396" ref="A1227"/>
    <hyperlink r:id="rId2397" ref="C1227"/>
    <hyperlink r:id="rId2398" ref="A1228"/>
    <hyperlink r:id="rId2399" ref="C1228"/>
    <hyperlink r:id="rId2400" ref="A1229"/>
    <hyperlink r:id="rId2401" ref="C1229"/>
    <hyperlink r:id="rId2402" ref="A1230"/>
    <hyperlink r:id="rId2403" ref="C1230"/>
    <hyperlink r:id="rId2404" ref="A1231"/>
    <hyperlink r:id="rId2405" ref="C1231"/>
    <hyperlink r:id="rId2406" ref="A1232"/>
    <hyperlink r:id="rId2407" ref="C1232"/>
    <hyperlink r:id="rId2408" ref="A1233"/>
    <hyperlink r:id="rId2409" ref="C1233"/>
    <hyperlink r:id="rId2410" ref="A1234"/>
    <hyperlink r:id="rId2411" ref="C1234"/>
    <hyperlink r:id="rId2412" ref="A1235"/>
    <hyperlink r:id="rId2413" ref="C1235"/>
    <hyperlink r:id="rId2414" ref="A1236"/>
    <hyperlink r:id="rId2415" ref="C1236"/>
    <hyperlink r:id="rId2416" ref="A1237"/>
    <hyperlink r:id="rId2417" ref="C1237"/>
    <hyperlink r:id="rId2418" ref="A1238"/>
    <hyperlink r:id="rId2419" ref="A1239"/>
    <hyperlink r:id="rId2420" ref="C1239"/>
    <hyperlink r:id="rId2421" ref="A1240"/>
    <hyperlink r:id="rId2422" ref="C1240"/>
    <hyperlink r:id="rId2423" ref="A1241"/>
    <hyperlink r:id="rId2424" ref="C1241"/>
    <hyperlink r:id="rId2425" ref="A1242"/>
    <hyperlink r:id="rId2426" ref="C1242"/>
    <hyperlink r:id="rId2427" ref="A1243"/>
    <hyperlink r:id="rId2428" ref="C1243"/>
    <hyperlink r:id="rId2429" ref="A1244"/>
    <hyperlink r:id="rId2430" ref="C1244"/>
    <hyperlink r:id="rId2431" ref="A1245"/>
    <hyperlink r:id="rId2432" ref="C1245"/>
    <hyperlink r:id="rId2433" ref="A1246"/>
    <hyperlink r:id="rId2434" ref="C1246"/>
    <hyperlink r:id="rId2435" ref="A1247"/>
    <hyperlink r:id="rId2436" ref="C1247"/>
    <hyperlink r:id="rId2437" ref="A1248"/>
    <hyperlink r:id="rId2438" ref="C1248"/>
    <hyperlink r:id="rId2439" ref="A1249"/>
    <hyperlink r:id="rId2440" ref="C1249"/>
    <hyperlink r:id="rId2441" ref="A1250"/>
    <hyperlink r:id="rId2442" ref="C1250"/>
    <hyperlink r:id="rId2443" ref="A1251"/>
    <hyperlink r:id="rId2444" ref="C1251"/>
    <hyperlink r:id="rId2445" ref="A1252"/>
    <hyperlink r:id="rId2446" ref="C1252"/>
    <hyperlink r:id="rId2447" ref="A1253"/>
    <hyperlink r:id="rId2448" ref="C1253"/>
    <hyperlink r:id="rId2449" ref="A1254"/>
    <hyperlink r:id="rId2450" ref="C1254"/>
    <hyperlink r:id="rId2451" ref="A1255"/>
    <hyperlink r:id="rId2452" ref="C1255"/>
    <hyperlink r:id="rId2453" location=":~:text=Jung%20von%20Matt%20is%20one,for%20major%20German%20consumer%20brands." ref="A1256"/>
    <hyperlink r:id="rId2454" ref="C1256"/>
    <hyperlink r:id="rId2455" ref="A1257"/>
    <hyperlink r:id="rId2456" ref="C1257"/>
    <hyperlink r:id="rId2457" location=":~:text=The%2015%20best%20creative%20agencies%20(2026),for%20a%20fixed%20monthly%20fee." ref="A1258"/>
    <hyperlink r:id="rId2458" ref="C1258"/>
    <hyperlink r:id="rId2459" ref="A1259"/>
    <hyperlink r:id="rId2460" ref="C1259"/>
    <hyperlink r:id="rId2461" ref="A1260"/>
    <hyperlink r:id="rId2462" ref="C1260"/>
    <hyperlink r:id="rId2463" ref="A1261"/>
    <hyperlink r:id="rId2464" ref="C1261"/>
    <hyperlink r:id="rId2465" ref="A1262"/>
    <hyperlink r:id="rId2466" ref="C1262"/>
    <hyperlink r:id="rId2467" ref="A1263"/>
    <hyperlink r:id="rId2468" ref="C1263"/>
    <hyperlink r:id="rId2469" ref="A1264"/>
    <hyperlink r:id="rId2470" ref="C1264"/>
    <hyperlink r:id="rId2471" ref="A1265"/>
    <hyperlink r:id="rId2472" ref="C1265"/>
    <hyperlink r:id="rId2473" ref="A1266"/>
    <hyperlink r:id="rId2474" ref="C1266"/>
    <hyperlink r:id="rId2475" ref="A1267"/>
    <hyperlink r:id="rId2476" ref="C1267"/>
    <hyperlink r:id="rId2477" ref="A1268"/>
    <hyperlink r:id="rId2478" ref="C1268"/>
    <hyperlink r:id="rId2479" ref="A1269"/>
    <hyperlink r:id="rId2480" ref="C1269"/>
    <hyperlink r:id="rId2481" ref="A1270"/>
    <hyperlink r:id="rId2482" ref="C1270"/>
    <hyperlink r:id="rId2483" ref="A1271"/>
    <hyperlink r:id="rId2484" ref="C1271"/>
    <hyperlink r:id="rId2485" ref="A1272"/>
    <hyperlink r:id="rId2486" ref="C1272"/>
    <hyperlink r:id="rId2487" ref="A1273"/>
    <hyperlink r:id="rId2488" ref="C1273"/>
    <hyperlink r:id="rId2489" ref="A1274"/>
    <hyperlink r:id="rId2490" ref="C1274"/>
    <hyperlink r:id="rId2491" ref="A1275"/>
    <hyperlink r:id="rId2492" ref="C1275"/>
    <hyperlink r:id="rId2493" ref="A1276"/>
    <hyperlink r:id="rId2494" ref="C1276"/>
    <hyperlink r:id="rId2495" ref="A1277"/>
    <hyperlink r:id="rId2496" ref="C1277"/>
    <hyperlink r:id="rId2497" ref="A1278"/>
    <hyperlink r:id="rId2498" ref="C1278"/>
    <hyperlink r:id="rId2499" ref="A1279"/>
    <hyperlink r:id="rId2500" ref="C1279"/>
    <hyperlink r:id="rId2501" ref="A1280"/>
    <hyperlink r:id="rId2502" ref="C1280"/>
    <hyperlink r:id="rId2503" ref="A1281"/>
    <hyperlink r:id="rId2504" ref="C1281"/>
    <hyperlink r:id="rId2505" ref="A1282"/>
    <hyperlink r:id="rId2506" ref="C1282"/>
    <hyperlink r:id="rId2507" ref="A1283"/>
    <hyperlink r:id="rId2508" ref="C1283"/>
    <hyperlink r:id="rId2509" ref="A1284"/>
    <hyperlink r:id="rId2510" ref="C1284"/>
    <hyperlink r:id="rId2511" ref="A1285"/>
    <hyperlink r:id="rId2512" ref="C1285"/>
    <hyperlink r:id="rId2513" ref="A1286"/>
    <hyperlink r:id="rId2514" ref="C1286"/>
    <hyperlink r:id="rId2515" ref="A1287"/>
    <hyperlink r:id="rId2516" ref="C1287"/>
    <hyperlink r:id="rId2517" ref="A1288"/>
    <hyperlink r:id="rId2518" ref="C1288"/>
    <hyperlink r:id="rId2519" ref="A1289"/>
    <hyperlink r:id="rId2520" ref="C1289"/>
    <hyperlink r:id="rId2521" ref="A1290"/>
    <hyperlink r:id="rId2522" ref="C1290"/>
    <hyperlink r:id="rId2523" ref="A1291"/>
    <hyperlink r:id="rId2524" ref="C1291"/>
    <hyperlink r:id="rId2525" ref="A1292"/>
    <hyperlink r:id="rId2526" ref="C1292"/>
    <hyperlink r:id="rId2527" ref="A1293"/>
    <hyperlink r:id="rId2528" ref="C1293"/>
    <hyperlink r:id="rId2529" ref="A1294"/>
    <hyperlink r:id="rId2530" ref="C1294"/>
    <hyperlink r:id="rId2531" ref="A1295"/>
    <hyperlink r:id="rId2532" ref="C1295"/>
    <hyperlink r:id="rId2533" ref="A1296"/>
    <hyperlink r:id="rId2534" ref="C1296"/>
    <hyperlink r:id="rId2535" ref="A1297"/>
    <hyperlink r:id="rId2536" ref="C1297"/>
    <hyperlink r:id="rId2537" ref="A1298"/>
    <hyperlink r:id="rId2538" ref="C1298"/>
    <hyperlink r:id="rId2539" ref="A1299"/>
    <hyperlink r:id="rId2540" ref="A1300"/>
    <hyperlink r:id="rId2541" ref="A1301"/>
    <hyperlink r:id="rId2542" ref="A1302"/>
    <hyperlink r:id="rId2543" ref="C1302"/>
    <hyperlink r:id="rId2544" ref="A1303"/>
    <hyperlink r:id="rId2545" ref="C1303"/>
    <hyperlink r:id="rId2546" ref="A1304"/>
    <hyperlink r:id="rId2547" ref="C1304"/>
    <hyperlink r:id="rId2548" ref="A1305"/>
    <hyperlink r:id="rId2549" ref="C1305"/>
    <hyperlink r:id="rId2550" ref="A1306"/>
    <hyperlink r:id="rId2551" ref="C1306"/>
    <hyperlink r:id="rId2552" ref="A1307"/>
    <hyperlink r:id="rId2553" ref="C1307"/>
    <hyperlink r:id="rId2554" ref="A1308"/>
    <hyperlink r:id="rId2555" ref="C1308"/>
    <hyperlink r:id="rId2556" ref="A1309"/>
    <hyperlink r:id="rId2557" ref="C1309"/>
    <hyperlink r:id="rId2558" ref="A1310"/>
    <hyperlink r:id="rId2559" ref="C1310"/>
    <hyperlink r:id="rId2560" ref="A1311"/>
    <hyperlink r:id="rId2561" ref="A1312"/>
    <hyperlink r:id="rId2562" ref="C1312"/>
    <hyperlink r:id="rId2563" ref="A1313"/>
    <hyperlink r:id="rId2564" ref="C1313"/>
    <hyperlink r:id="rId2565" ref="A1314"/>
    <hyperlink r:id="rId2566" ref="C1314"/>
    <hyperlink r:id="rId2567" ref="A1315"/>
    <hyperlink r:id="rId2568" ref="C1315"/>
    <hyperlink r:id="rId2569" ref="A1316"/>
    <hyperlink r:id="rId2570" ref="C1316"/>
    <hyperlink r:id="rId2571" ref="A1317"/>
    <hyperlink r:id="rId2572" ref="C1317"/>
    <hyperlink r:id="rId2573" ref="A1318"/>
    <hyperlink r:id="rId2574" ref="C1318"/>
    <hyperlink r:id="rId2575" ref="A1319"/>
    <hyperlink r:id="rId2576" ref="C1319"/>
    <hyperlink r:id="rId2577" ref="A1320"/>
    <hyperlink r:id="rId2578" ref="C1320"/>
    <hyperlink r:id="rId2579" ref="A1321"/>
    <hyperlink r:id="rId2580" ref="C1321"/>
    <hyperlink r:id="rId2581" ref="A1322"/>
    <hyperlink r:id="rId2582" ref="C1322"/>
    <hyperlink r:id="rId2583" ref="A1323"/>
    <hyperlink r:id="rId2584" ref="C1323"/>
    <hyperlink r:id="rId2585" ref="A1324"/>
    <hyperlink r:id="rId2586" ref="C1324"/>
    <hyperlink r:id="rId2587" ref="A1325"/>
    <hyperlink r:id="rId2588" ref="C1325"/>
    <hyperlink r:id="rId2589" ref="A1326"/>
    <hyperlink r:id="rId2590" ref="C1326"/>
    <hyperlink r:id="rId2591" ref="A1327"/>
    <hyperlink r:id="rId2592" ref="C1327"/>
    <hyperlink r:id="rId2593" ref="A1328"/>
    <hyperlink r:id="rId2594" ref="C1328"/>
    <hyperlink r:id="rId2595" ref="A1329"/>
    <hyperlink r:id="rId2596" ref="C1329"/>
    <hyperlink r:id="rId2597" ref="A1330"/>
    <hyperlink r:id="rId2598" ref="C1330"/>
    <hyperlink r:id="rId2599" ref="A1331"/>
    <hyperlink r:id="rId2600" ref="C1331"/>
    <hyperlink r:id="rId2601" ref="A1332"/>
    <hyperlink r:id="rId2602" ref="C1332"/>
    <hyperlink r:id="rId2603" ref="A1333"/>
    <hyperlink r:id="rId2604" ref="C1333"/>
    <hyperlink r:id="rId2605" ref="A1334"/>
    <hyperlink r:id="rId2606" ref="C1334"/>
    <hyperlink r:id="rId2607" ref="A1335"/>
    <hyperlink r:id="rId2608" ref="A1336"/>
    <hyperlink r:id="rId2609" ref="C1336"/>
    <hyperlink r:id="rId2610" ref="A1337"/>
    <hyperlink r:id="rId2611" ref="C1337"/>
    <hyperlink r:id="rId2612" ref="A1338"/>
    <hyperlink r:id="rId2613" ref="C1338"/>
    <hyperlink r:id="rId2614" ref="A1339"/>
    <hyperlink r:id="rId2615" ref="C1339"/>
    <hyperlink r:id="rId2616" ref="A1340"/>
    <hyperlink r:id="rId2617" ref="C1340"/>
    <hyperlink r:id="rId2618" ref="A1341"/>
    <hyperlink r:id="rId2619" ref="C1341"/>
    <hyperlink r:id="rId2620" ref="A1342"/>
    <hyperlink r:id="rId2621" ref="C1342"/>
    <hyperlink r:id="rId2622" ref="A1343"/>
    <hyperlink r:id="rId2623" ref="C1343"/>
    <hyperlink r:id="rId2624" ref="A1344"/>
    <hyperlink r:id="rId2625" ref="C1344"/>
    <hyperlink r:id="rId2626" ref="A1345"/>
    <hyperlink r:id="rId2627" ref="A1346"/>
    <hyperlink r:id="rId2628" location=":~:text=Get%20Expert%20Consultation,more%20structured%20data%2Ddriven%20operations." ref="A1347"/>
    <hyperlink r:id="rId2629" ref="A1348"/>
    <hyperlink r:id="rId2630" ref="C1348"/>
    <hyperlink r:id="rId2631" ref="A1349"/>
    <hyperlink r:id="rId2632" ref="C1349"/>
    <hyperlink r:id="rId2633" ref="A1350"/>
    <hyperlink r:id="rId2634" ref="C1350"/>
    <hyperlink r:id="rId2635" ref="A1351"/>
    <hyperlink r:id="rId2636" ref="C1351"/>
    <hyperlink r:id="rId2637" ref="A1352"/>
    <hyperlink r:id="rId2638" ref="C1352"/>
    <hyperlink r:id="rId2639" ref="A1353"/>
    <hyperlink r:id="rId2640" ref="C1353"/>
    <hyperlink r:id="rId2641" ref="A1354"/>
    <hyperlink r:id="rId2642" ref="C1354"/>
    <hyperlink r:id="rId2643" ref="A1355"/>
    <hyperlink r:id="rId2644" ref="C1355"/>
    <hyperlink r:id="rId2645" ref="A1356"/>
    <hyperlink r:id="rId2646" ref="A1357"/>
    <hyperlink r:id="rId2647" ref="C1357"/>
    <hyperlink r:id="rId2648" ref="A1358"/>
    <hyperlink r:id="rId2649" ref="C1358"/>
    <hyperlink r:id="rId2650" ref="A1359"/>
    <hyperlink r:id="rId2651" ref="C1359"/>
    <hyperlink r:id="rId2652" ref="A1360"/>
    <hyperlink r:id="rId2653" ref="C1360"/>
    <hyperlink r:id="rId2654" ref="A1361"/>
    <hyperlink r:id="rId2655" ref="C1361"/>
    <hyperlink r:id="rId2656" ref="A1362"/>
    <hyperlink r:id="rId2657" ref="C1362"/>
    <hyperlink r:id="rId2658" ref="A1363"/>
    <hyperlink r:id="rId2659" ref="C1363"/>
    <hyperlink r:id="rId2660" location=":~:text=Why%20Pixelmojo%20is%20different,systems%20(Vector%2C%20Hive)." ref="A1364"/>
    <hyperlink r:id="rId2661" ref="C1364"/>
    <hyperlink r:id="rId2662" ref="A1365"/>
    <hyperlink r:id="rId2663" ref="C1365"/>
    <hyperlink r:id="rId2664" ref="A1366"/>
    <hyperlink r:id="rId2665" ref="C1366"/>
    <hyperlink r:id="rId2666" ref="A1367"/>
    <hyperlink r:id="rId2667" ref="C1367"/>
    <hyperlink r:id="rId2668" ref="A1368"/>
    <hyperlink r:id="rId2669" ref="C1368"/>
    <hyperlink r:id="rId2670" ref="A1369"/>
    <hyperlink r:id="rId2671" ref="C1369"/>
    <hyperlink r:id="rId2672" ref="A1370"/>
    <hyperlink r:id="rId2673" ref="C1370"/>
    <hyperlink r:id="rId2674" ref="A1371"/>
    <hyperlink r:id="rId2675" ref="C1371"/>
    <hyperlink r:id="rId2676" ref="A1372"/>
    <hyperlink r:id="rId2677" ref="C1372"/>
    <hyperlink r:id="rId2678" ref="A1373"/>
    <hyperlink r:id="rId2679" ref="C1373"/>
    <hyperlink r:id="rId2680" ref="A1374"/>
    <hyperlink r:id="rId2681" ref="C1374"/>
    <hyperlink r:id="rId2682" ref="A1375"/>
    <hyperlink r:id="rId2683" ref="C1375"/>
    <hyperlink r:id="rId2684" ref="A1376"/>
    <hyperlink r:id="rId2685" ref="C1376"/>
    <hyperlink r:id="rId2686" ref="A1377"/>
    <hyperlink r:id="rId2687" ref="C1377"/>
    <hyperlink r:id="rId2688" ref="A1378"/>
    <hyperlink r:id="rId2689" ref="C1378"/>
    <hyperlink r:id="rId2690" ref="A1379"/>
    <hyperlink r:id="rId2691" ref="A1380"/>
    <hyperlink r:id="rId2692" ref="C1380"/>
    <hyperlink r:id="rId2693" ref="A1381"/>
    <hyperlink r:id="rId2694" ref="C1381"/>
    <hyperlink r:id="rId2695" ref="A1382"/>
    <hyperlink r:id="rId2696" ref="C1382"/>
    <hyperlink r:id="rId2697" ref="A1383"/>
    <hyperlink r:id="rId2698" ref="C1383"/>
    <hyperlink r:id="rId2699" ref="A1384"/>
    <hyperlink r:id="rId2700" ref="C1384"/>
    <hyperlink r:id="rId2701" ref="A1385"/>
    <hyperlink r:id="rId2702" ref="C1385"/>
    <hyperlink r:id="rId2703" ref="A1386"/>
    <hyperlink r:id="rId2704" ref="C1386"/>
    <hyperlink r:id="rId2705" ref="A1387"/>
    <hyperlink r:id="rId2706" ref="C1387"/>
    <hyperlink r:id="rId2707" ref="A1388"/>
    <hyperlink r:id="rId2708" ref="C1388"/>
    <hyperlink r:id="rId2709" ref="A1389"/>
    <hyperlink r:id="rId2710" ref="C1389"/>
    <hyperlink r:id="rId2711" ref="A1390"/>
    <hyperlink r:id="rId2712" ref="C1390"/>
    <hyperlink r:id="rId2713" ref="A1391"/>
    <hyperlink r:id="rId2714" ref="C1391"/>
    <hyperlink r:id="rId2715" ref="A1392"/>
    <hyperlink r:id="rId2716" ref="C1392"/>
    <hyperlink r:id="rId2717" ref="A1393"/>
    <hyperlink r:id="rId2718" ref="C1393"/>
    <hyperlink r:id="rId2719" ref="A1394"/>
    <hyperlink r:id="rId2720" ref="C1394"/>
    <hyperlink r:id="rId2721" ref="A1395"/>
    <hyperlink r:id="rId2722" ref="C1395"/>
    <hyperlink r:id="rId2723" ref="A1396"/>
    <hyperlink r:id="rId2724" ref="C1396"/>
    <hyperlink r:id="rId2725" ref="A1397"/>
    <hyperlink r:id="rId2726" ref="C1397"/>
    <hyperlink r:id="rId2727" ref="A1398"/>
    <hyperlink r:id="rId2728" ref="C1398"/>
    <hyperlink r:id="rId2729" ref="A1399"/>
    <hyperlink r:id="rId2730" ref="C1399"/>
    <hyperlink r:id="rId2731" ref="A1400"/>
    <hyperlink r:id="rId2732" ref="C1400"/>
    <hyperlink r:id="rId2733" ref="A1401"/>
    <hyperlink r:id="rId2734" ref="C1401"/>
    <hyperlink r:id="rId2735" ref="A1402"/>
    <hyperlink r:id="rId2736" ref="C1402"/>
    <hyperlink r:id="rId2737" ref="A1403"/>
    <hyperlink r:id="rId2738" ref="C1403"/>
    <hyperlink r:id="rId2739" ref="A1404"/>
    <hyperlink r:id="rId2740" ref="C1404"/>
    <hyperlink r:id="rId2741" ref="A1405"/>
    <hyperlink r:id="rId2742" ref="C1405"/>
    <hyperlink r:id="rId2743" ref="A1406"/>
    <hyperlink r:id="rId2744" ref="A1407"/>
    <hyperlink r:id="rId2745" ref="C1407"/>
    <hyperlink r:id="rId2746" ref="A1408"/>
    <hyperlink r:id="rId2747" ref="C1408"/>
    <hyperlink r:id="rId2748" ref="A1409"/>
    <hyperlink r:id="rId2749" ref="A1410"/>
    <hyperlink r:id="rId2750" ref="C1410"/>
    <hyperlink r:id="rId2751" ref="A1411"/>
    <hyperlink r:id="rId2752" ref="C1411"/>
    <hyperlink r:id="rId2753" ref="A1412"/>
    <hyperlink r:id="rId2754" ref="C1412"/>
    <hyperlink r:id="rId2755" ref="A1413"/>
    <hyperlink r:id="rId2756" ref="C1413"/>
    <hyperlink r:id="rId2757" ref="A1414"/>
    <hyperlink r:id="rId2758" ref="C1414"/>
    <hyperlink r:id="rId2759" ref="A1415"/>
    <hyperlink r:id="rId2760" ref="A1416"/>
    <hyperlink r:id="rId2761" ref="C1416"/>
    <hyperlink r:id="rId2762" ref="A1417"/>
    <hyperlink r:id="rId2763" ref="C1417"/>
    <hyperlink r:id="rId2764" ref="A1418"/>
    <hyperlink r:id="rId2765" ref="C1418"/>
    <hyperlink r:id="rId2766" ref="A1419"/>
    <hyperlink r:id="rId2767" ref="C1419"/>
    <hyperlink r:id="rId2768" ref="A1420"/>
    <hyperlink r:id="rId2769" ref="C1420"/>
    <hyperlink r:id="rId2770" ref="A1421"/>
    <hyperlink r:id="rId2771" ref="C1421"/>
    <hyperlink r:id="rId2772" ref="A1422"/>
    <hyperlink r:id="rId2773" ref="C1422"/>
    <hyperlink r:id="rId2774" ref="A1423"/>
    <hyperlink r:id="rId2775" ref="C1423"/>
    <hyperlink r:id="rId2776" location=":~:text=Web%20Analytics%20%26%20Tracking%20Agency%20%7C%20schalk%26friends" ref="A1424"/>
    <hyperlink r:id="rId2777" ref="C1424"/>
    <hyperlink r:id="rId2778" ref="A1425"/>
    <hyperlink r:id="rId2779" ref="C1425"/>
    <hyperlink r:id="rId2780" ref="A1426"/>
    <hyperlink r:id="rId2781" ref="C1426"/>
    <hyperlink r:id="rId2782" ref="A1427"/>
    <hyperlink r:id="rId2783" ref="C1427"/>
    <hyperlink r:id="rId2784" ref="A1428"/>
    <hyperlink r:id="rId2785" ref="A1429"/>
    <hyperlink r:id="rId2786" ref="C1429"/>
    <hyperlink r:id="rId2787" ref="A1430"/>
    <hyperlink r:id="rId2788" ref="C1430"/>
    <hyperlink r:id="rId2789" ref="A1431"/>
    <hyperlink r:id="rId2790" ref="A1432"/>
    <hyperlink r:id="rId2791" ref="C1432"/>
    <hyperlink r:id="rId2792" ref="A1433"/>
    <hyperlink r:id="rId2793" ref="C1433"/>
    <hyperlink r:id="rId2794" ref="A1434"/>
    <hyperlink r:id="rId2795" ref="C1434"/>
    <hyperlink r:id="rId2796" ref="A1435"/>
    <hyperlink r:id="rId2797" ref="C1435"/>
    <hyperlink r:id="rId2798" ref="A1436"/>
    <hyperlink r:id="rId2799" ref="C1436"/>
    <hyperlink r:id="rId2800" ref="A1437"/>
    <hyperlink r:id="rId2801" ref="C1437"/>
    <hyperlink r:id="rId2802" ref="A1438"/>
    <hyperlink r:id="rId2803" ref="C1438"/>
    <hyperlink r:id="rId2804" ref="A1439"/>
    <hyperlink r:id="rId2805" ref="C1439"/>
    <hyperlink r:id="rId2806" ref="A1440"/>
    <hyperlink r:id="rId2807" ref="C1440"/>
    <hyperlink r:id="rId2808" ref="A1441"/>
    <hyperlink r:id="rId2809" ref="A1442"/>
    <hyperlink r:id="rId2810" ref="C1442"/>
    <hyperlink r:id="rId2811" ref="A1443"/>
    <hyperlink r:id="rId2812" ref="C1443"/>
    <hyperlink r:id="rId2813" ref="A1444"/>
    <hyperlink r:id="rId2814" ref="C1444"/>
    <hyperlink r:id="rId2815" ref="A1445"/>
    <hyperlink r:id="rId2816" ref="C1445"/>
    <hyperlink r:id="rId2817" ref="A1446"/>
    <hyperlink r:id="rId2818" ref="C1446"/>
    <hyperlink r:id="rId2819" ref="A1447"/>
    <hyperlink r:id="rId2820" ref="C1447"/>
    <hyperlink r:id="rId2821" ref="A1448"/>
    <hyperlink r:id="rId2822" ref="C1448"/>
    <hyperlink r:id="rId2823" ref="A1449"/>
    <hyperlink r:id="rId2824" ref="C1449"/>
    <hyperlink r:id="rId2825" ref="A1450"/>
    <hyperlink r:id="rId2826" ref="C1450"/>
    <hyperlink r:id="rId2827" ref="A1451"/>
    <hyperlink r:id="rId2828" ref="C1451"/>
    <hyperlink r:id="rId2829" ref="A1452"/>
    <hyperlink r:id="rId2830" ref="C1452"/>
    <hyperlink r:id="rId2831" ref="A1453"/>
    <hyperlink r:id="rId2832" ref="C1453"/>
    <hyperlink r:id="rId2833" ref="A1454"/>
    <hyperlink r:id="rId2834" ref="C1454"/>
    <hyperlink r:id="rId2835" ref="A1455"/>
    <hyperlink r:id="rId2836" ref="C1455"/>
    <hyperlink r:id="rId2837" ref="A1456"/>
    <hyperlink r:id="rId2838" ref="C1456"/>
    <hyperlink r:id="rId2839" ref="A1457"/>
    <hyperlink r:id="rId2840" ref="C1457"/>
    <hyperlink r:id="rId2841" ref="A1458"/>
    <hyperlink r:id="rId2842" ref="C1458"/>
    <hyperlink r:id="rId2843" ref="A1459"/>
    <hyperlink r:id="rId2844" ref="C1459"/>
    <hyperlink r:id="rId2845" ref="A1460"/>
    <hyperlink r:id="rId2846" ref="C1460"/>
    <hyperlink r:id="rId2847" ref="A1461"/>
    <hyperlink r:id="rId2848" ref="C1461"/>
    <hyperlink r:id="rId2849" ref="A1462"/>
    <hyperlink r:id="rId2850" ref="C1462"/>
    <hyperlink r:id="rId2851" ref="A1463"/>
    <hyperlink r:id="rId2852" ref="C1463"/>
    <hyperlink r:id="rId2853" ref="A1464"/>
    <hyperlink r:id="rId2854" ref="C1464"/>
    <hyperlink r:id="rId2855" ref="A1465"/>
    <hyperlink r:id="rId2856" ref="C1465"/>
    <hyperlink r:id="rId2857" ref="A1466"/>
    <hyperlink r:id="rId2858" ref="C1466"/>
    <hyperlink r:id="rId2859" ref="A1467"/>
    <hyperlink r:id="rId2860" ref="C1467"/>
    <hyperlink r:id="rId2861" ref="A1468"/>
    <hyperlink r:id="rId2862" ref="C1468"/>
    <hyperlink r:id="rId2863" ref="A1469"/>
    <hyperlink r:id="rId2864" ref="C1469"/>
    <hyperlink r:id="rId2865" ref="A1470"/>
    <hyperlink r:id="rId2866" ref="C1470"/>
    <hyperlink r:id="rId2867" ref="A1471"/>
    <hyperlink r:id="rId2868" ref="C1471"/>
    <hyperlink r:id="rId2869" ref="A1472"/>
    <hyperlink r:id="rId2870" ref="C1472"/>
    <hyperlink r:id="rId2871" ref="A1473"/>
    <hyperlink r:id="rId2872" ref="C1473"/>
    <hyperlink r:id="rId2873" ref="A1474"/>
    <hyperlink r:id="rId2874" ref="C1474"/>
    <hyperlink r:id="rId2875" ref="A1475"/>
    <hyperlink r:id="rId2876" ref="C1475"/>
    <hyperlink r:id="rId2877" location=":~:text=%F0%9F%87%AC%F0%9F%87%A7%20below%20%F0%9F%87%AC%F0%9F%87%A7%20Say%20hi%20to%20Digital,we%20support%20you%20in%20digitizing%20your%20business." ref="A1476"/>
    <hyperlink r:id="rId2878" ref="C1476"/>
    <hyperlink r:id="rId2879" ref="A1477"/>
    <hyperlink r:id="rId2880" ref="C1477"/>
    <hyperlink r:id="rId2881" ref="A1478"/>
    <hyperlink r:id="rId2882" ref="C1478"/>
    <hyperlink r:id="rId2883" ref="A1479"/>
    <hyperlink r:id="rId2884" ref="C1479"/>
    <hyperlink r:id="rId2885" ref="A1480"/>
    <hyperlink r:id="rId2886" ref="C1480"/>
    <hyperlink r:id="rId2887" ref="A1481"/>
    <hyperlink r:id="rId2888" ref="C1481"/>
    <hyperlink r:id="rId2889" ref="A1482"/>
    <hyperlink r:id="rId2890" ref="C1482"/>
    <hyperlink r:id="rId2891" ref="A1483"/>
    <hyperlink r:id="rId2892" ref="C1483"/>
    <hyperlink r:id="rId2893" ref="A1484"/>
    <hyperlink r:id="rId2894" ref="C1484"/>
    <hyperlink r:id="rId2895" ref="A1485"/>
    <hyperlink r:id="rId2896" ref="C1485"/>
    <hyperlink r:id="rId2897" ref="A1486"/>
    <hyperlink r:id="rId2898" ref="C1486"/>
    <hyperlink r:id="rId2899" ref="A1487"/>
    <hyperlink r:id="rId2900" ref="C1487"/>
    <hyperlink r:id="rId2901" ref="A1488"/>
    <hyperlink r:id="rId2902" ref="C1488"/>
    <hyperlink r:id="rId2903" ref="A1489"/>
    <hyperlink r:id="rId2904" ref="C1489"/>
    <hyperlink r:id="rId2905" ref="A1490"/>
    <hyperlink r:id="rId2906" ref="C1490"/>
    <hyperlink r:id="rId2907" ref="A1491"/>
    <hyperlink r:id="rId2908" ref="C1491"/>
    <hyperlink r:id="rId2909" ref="A1492"/>
    <hyperlink r:id="rId2910" ref="C1492"/>
    <hyperlink r:id="rId2911" ref="A1493"/>
    <hyperlink r:id="rId2912" ref="C1493"/>
    <hyperlink r:id="rId2913" ref="A1494"/>
    <hyperlink r:id="rId2914" ref="C1494"/>
    <hyperlink r:id="rId2915" ref="A1495"/>
    <hyperlink r:id="rId2916" ref="A1496"/>
    <hyperlink r:id="rId2917" ref="C1496"/>
    <hyperlink r:id="rId2918" ref="A1497"/>
    <hyperlink r:id="rId2919" ref="C1497"/>
    <hyperlink r:id="rId2920" ref="A1498"/>
    <hyperlink r:id="rId2921" ref="C1498"/>
    <hyperlink r:id="rId2922" ref="A1499"/>
    <hyperlink r:id="rId2923" ref="C1499"/>
    <hyperlink r:id="rId2924" ref="A1500"/>
    <hyperlink r:id="rId2925" ref="C1500"/>
    <hyperlink r:id="rId2926" ref="A1501"/>
    <hyperlink r:id="rId2927" ref="C1501"/>
    <hyperlink r:id="rId2928" ref="A1502"/>
    <hyperlink r:id="rId2929" ref="C1502"/>
    <hyperlink r:id="rId2930" ref="A1503"/>
    <hyperlink r:id="rId2931" ref="C1503"/>
    <hyperlink r:id="rId2932" ref="A1504"/>
    <hyperlink r:id="rId2933" ref="C1504"/>
    <hyperlink r:id="rId2934" location=":~:text=We%20work%20across%20GA4%2C%20campaign,channel%20contribution%20and%20commercial%20value." ref="A1505"/>
    <hyperlink r:id="rId2935" ref="A1506"/>
    <hyperlink r:id="rId2936" ref="C1506"/>
    <hyperlink r:id="rId2937" ref="A1507"/>
    <hyperlink r:id="rId2938" ref="C1507"/>
    <hyperlink r:id="rId2939" ref="A1508"/>
    <hyperlink r:id="rId2940" ref="C1508"/>
    <hyperlink r:id="rId2941" ref="A1509"/>
    <hyperlink r:id="rId2942" ref="C1509"/>
    <hyperlink r:id="rId2943" ref="A1510"/>
    <hyperlink r:id="rId2944" ref="C1510"/>
    <hyperlink r:id="rId2945" ref="A1511"/>
    <hyperlink r:id="rId2946" ref="C1511"/>
    <hyperlink r:id="rId2947" ref="A1512"/>
    <hyperlink r:id="rId2948" ref="C1512"/>
    <hyperlink r:id="rId2949" ref="A1513"/>
    <hyperlink r:id="rId2950" ref="C1513"/>
    <hyperlink r:id="rId2951" ref="A1514"/>
    <hyperlink r:id="rId2952" ref="C1514"/>
    <hyperlink r:id="rId2953" ref="A1515"/>
    <hyperlink r:id="rId2954" ref="C1515"/>
    <hyperlink r:id="rId2955" ref="A1516"/>
    <hyperlink r:id="rId2956" ref="C1516"/>
    <hyperlink r:id="rId2957" ref="A1517"/>
    <hyperlink r:id="rId2958" ref="C1517"/>
    <hyperlink r:id="rId2959" ref="A1518"/>
    <hyperlink r:id="rId2960" ref="C1518"/>
    <hyperlink r:id="rId2961" ref="A1519"/>
    <hyperlink r:id="rId2962" ref="C1519"/>
    <hyperlink r:id="rId2963" ref="A1520"/>
    <hyperlink r:id="rId2964" ref="C1520"/>
    <hyperlink r:id="rId2965" ref="A1521"/>
    <hyperlink r:id="rId2966" ref="C1521"/>
    <hyperlink r:id="rId2967" ref="A1522"/>
    <hyperlink r:id="rId2968" ref="C1522"/>
    <hyperlink r:id="rId2969" ref="A1523"/>
    <hyperlink r:id="rId2970" ref="C1523"/>
    <hyperlink r:id="rId2971" ref="A1524"/>
    <hyperlink r:id="rId2972" ref="C1524"/>
    <hyperlink r:id="rId2973" ref="A1525"/>
    <hyperlink r:id="rId2974" ref="C1525"/>
    <hyperlink r:id="rId2975" ref="A1526"/>
    <hyperlink r:id="rId2976" ref="C1526"/>
    <hyperlink r:id="rId2977" ref="A1527"/>
    <hyperlink r:id="rId2978" ref="C1527"/>
    <hyperlink r:id="rId2979" ref="A1528"/>
    <hyperlink r:id="rId2980" ref="C1528"/>
    <hyperlink r:id="rId2981" ref="A1529"/>
    <hyperlink r:id="rId2982" ref="C1529"/>
    <hyperlink r:id="rId2983" ref="A1530"/>
    <hyperlink r:id="rId2984" ref="C1530"/>
    <hyperlink r:id="rId2985" ref="A1531"/>
    <hyperlink r:id="rId2986" ref="C1531"/>
    <hyperlink r:id="rId2987" ref="A1532"/>
    <hyperlink r:id="rId2988" ref="C1532"/>
    <hyperlink r:id="rId2989" ref="A1533"/>
    <hyperlink r:id="rId2990" ref="C1533"/>
    <hyperlink r:id="rId2991" ref="A1534"/>
    <hyperlink r:id="rId2992" ref="C1534"/>
    <hyperlink r:id="rId2993" ref="A1535"/>
    <hyperlink r:id="rId2994" ref="C1535"/>
    <hyperlink r:id="rId2995" ref="A1536"/>
    <hyperlink r:id="rId2996" ref="C1536"/>
    <hyperlink r:id="rId2997" ref="A1537"/>
    <hyperlink r:id="rId2998" ref="C1537"/>
    <hyperlink r:id="rId2999" ref="A1538"/>
    <hyperlink r:id="rId3000" ref="C1538"/>
    <hyperlink r:id="rId3001" ref="A1539"/>
    <hyperlink r:id="rId3002" ref="C1539"/>
    <hyperlink r:id="rId3003" ref="A1540"/>
    <hyperlink r:id="rId3004" ref="C1540"/>
    <hyperlink r:id="rId3005" ref="A1541"/>
    <hyperlink r:id="rId3006" ref="C1541"/>
    <hyperlink r:id="rId3007" ref="A1542"/>
    <hyperlink r:id="rId3008" ref="C1542"/>
    <hyperlink r:id="rId3009" ref="A1543"/>
    <hyperlink r:id="rId3010" ref="C1543"/>
    <hyperlink r:id="rId3011" ref="A1544"/>
    <hyperlink r:id="rId3012" ref="C1544"/>
    <hyperlink r:id="rId3013" ref="A1545"/>
    <hyperlink r:id="rId3014" ref="C1545"/>
    <hyperlink r:id="rId3015" location=":~:text=List%20of%20the%20Best%20Germany,business%20consulting%2C%20and%20digital%20strategy." ref="A1546"/>
    <hyperlink r:id="rId3016" ref="C1546"/>
    <hyperlink r:id="rId3017" ref="A1547"/>
    <hyperlink r:id="rId3018" ref="C1547"/>
    <hyperlink r:id="rId3019" ref="A1548"/>
    <hyperlink r:id="rId3020" ref="C1548"/>
    <hyperlink r:id="rId3021" ref="A1549"/>
    <hyperlink r:id="rId3022" ref="C1549"/>
    <hyperlink r:id="rId3023" ref="A1550"/>
    <hyperlink r:id="rId3024" ref="C1550"/>
    <hyperlink r:id="rId3025" ref="A1551"/>
    <hyperlink r:id="rId3026" ref="C1551"/>
    <hyperlink r:id="rId3027" ref="A1552"/>
    <hyperlink r:id="rId3028" ref="C1552"/>
    <hyperlink r:id="rId3029" ref="A1553"/>
    <hyperlink r:id="rId3030" ref="C1553"/>
    <hyperlink r:id="rId3031" ref="A1554"/>
    <hyperlink r:id="rId3032" ref="C1554"/>
    <hyperlink r:id="rId3033" ref="A1555"/>
    <hyperlink r:id="rId3034" ref="C1555"/>
    <hyperlink r:id="rId3035" ref="A1556"/>
    <hyperlink r:id="rId3036" ref="C1556"/>
    <hyperlink r:id="rId3037" location=":~:text=1,and%20Creatives%20%E2%9C%93%20Tracking%20Integration" ref="A1557"/>
    <hyperlink r:id="rId3038" ref="C1557"/>
    <hyperlink r:id="rId3039" ref="A1558"/>
    <hyperlink r:id="rId3040" ref="C1558"/>
    <hyperlink r:id="rId3041" ref="A1559"/>
    <hyperlink r:id="rId3042" ref="C1559"/>
    <hyperlink r:id="rId3043" ref="A1560"/>
    <hyperlink r:id="rId3044" ref="C1560"/>
    <hyperlink r:id="rId3045" ref="A1561"/>
    <hyperlink r:id="rId3046" ref="C1561"/>
    <hyperlink r:id="rId3047" ref="A1562"/>
    <hyperlink r:id="rId3048" ref="C1562"/>
    <hyperlink r:id="rId3049" ref="A1563"/>
    <hyperlink r:id="rId3050" ref="C1563"/>
    <hyperlink r:id="rId3051" ref="A1564"/>
    <hyperlink r:id="rId3052" ref="C1564"/>
    <hyperlink r:id="rId3053" ref="A1565"/>
    <hyperlink r:id="rId3054" ref="C1565"/>
    <hyperlink r:id="rId3055" ref="A1566"/>
    <hyperlink r:id="rId3056" ref="A1567"/>
    <hyperlink r:id="rId3057" ref="C1567"/>
    <hyperlink r:id="rId3058" ref="A1568"/>
    <hyperlink r:id="rId3059" ref="C1568"/>
    <hyperlink r:id="rId3060" ref="A1569"/>
    <hyperlink r:id="rId3061" ref="C1569"/>
    <hyperlink r:id="rId3062" ref="A1570"/>
    <hyperlink r:id="rId3063" ref="C1570"/>
    <hyperlink r:id="rId3064" ref="A1571"/>
    <hyperlink r:id="rId3065" ref="C1571"/>
    <hyperlink r:id="rId3066" ref="A1572"/>
    <hyperlink r:id="rId3067" ref="C1572"/>
    <hyperlink r:id="rId3068" ref="A1573"/>
    <hyperlink r:id="rId3069" ref="C1573"/>
    <hyperlink r:id="rId3070" ref="A1574"/>
    <hyperlink r:id="rId3071" ref="C1574"/>
    <hyperlink r:id="rId3072" ref="A1575"/>
    <hyperlink r:id="rId3073" ref="C1575"/>
    <hyperlink r:id="rId3074" ref="A1576"/>
    <hyperlink r:id="rId3075" ref="C1576"/>
    <hyperlink r:id="rId3076" ref="A1577"/>
    <hyperlink r:id="rId3077" ref="C1577"/>
    <hyperlink r:id="rId3078" ref="A1578"/>
    <hyperlink r:id="rId3079" ref="C1578"/>
    <hyperlink r:id="rId3080" ref="A1579"/>
    <hyperlink r:id="rId3081" ref="C1579"/>
    <hyperlink r:id="rId3082" ref="A1580"/>
    <hyperlink r:id="rId3083" ref="C1580"/>
    <hyperlink r:id="rId3084" ref="A1581"/>
    <hyperlink r:id="rId3085" ref="C1581"/>
    <hyperlink r:id="rId3086" ref="A1582"/>
    <hyperlink r:id="rId3087" ref="C1582"/>
    <hyperlink r:id="rId3088" ref="A1583"/>
    <hyperlink r:id="rId3089" ref="C1583"/>
    <hyperlink r:id="rId3090" ref="A1584"/>
    <hyperlink r:id="rId3091" ref="C1584"/>
    <hyperlink r:id="rId3092" ref="A1585"/>
    <hyperlink r:id="rId3093" ref="A1586"/>
    <hyperlink r:id="rId3094" ref="C1586"/>
    <hyperlink r:id="rId3095" ref="A1587"/>
    <hyperlink r:id="rId3096" ref="C1587"/>
    <hyperlink r:id="rId3097" ref="A1588"/>
    <hyperlink r:id="rId3098" ref="C1588"/>
    <hyperlink r:id="rId3099" ref="A1589"/>
    <hyperlink r:id="rId3100" ref="C1589"/>
    <hyperlink r:id="rId3101" ref="A1590"/>
    <hyperlink r:id="rId3102" ref="C1590"/>
    <hyperlink r:id="rId3103" ref="A1591"/>
    <hyperlink r:id="rId3104" ref="C1591"/>
    <hyperlink r:id="rId3105" ref="A1592"/>
    <hyperlink r:id="rId3106" ref="C1592"/>
    <hyperlink r:id="rId3107" ref="A1593"/>
    <hyperlink r:id="rId3108" ref="C1593"/>
    <hyperlink r:id="rId3109" ref="A1594"/>
    <hyperlink r:id="rId3110" ref="C1594"/>
    <hyperlink r:id="rId3111" ref="A1595"/>
    <hyperlink r:id="rId3112" ref="C1595"/>
    <hyperlink r:id="rId3113" location=":~:text=CET%20overlaps%20with%20both%20US,callbacks%20%2B%20WhatsApp%20qualification%20%2B%20calendar%20booking" ref="A1596"/>
    <hyperlink r:id="rId3114" ref="C1596"/>
    <hyperlink r:id="rId3115" ref="A1597"/>
    <hyperlink r:id="rId3116" ref="C1597"/>
    <hyperlink r:id="rId3117" ref="A1598"/>
    <hyperlink r:id="rId3118" ref="A1599"/>
    <hyperlink r:id="rId3119" ref="A1600"/>
    <hyperlink r:id="rId3120" ref="C1600"/>
    <hyperlink r:id="rId3121" ref="A1601"/>
    <hyperlink r:id="rId3122" ref="C1601"/>
    <hyperlink r:id="rId3123" ref="A1602"/>
    <hyperlink r:id="rId3124" ref="C1602"/>
    <hyperlink r:id="rId3125" ref="A1603"/>
    <hyperlink r:id="rId3126" ref="C1603"/>
    <hyperlink r:id="rId3127" ref="A1604"/>
    <hyperlink r:id="rId3128" ref="C1604"/>
    <hyperlink r:id="rId3129" ref="A1605"/>
    <hyperlink r:id="rId3130" ref="C1605"/>
    <hyperlink r:id="rId3131" ref="A1606"/>
    <hyperlink r:id="rId3132" ref="C1606"/>
    <hyperlink r:id="rId3133" ref="A1607"/>
    <hyperlink r:id="rId3134" ref="C1607"/>
    <hyperlink r:id="rId3135" ref="A1608"/>
    <hyperlink r:id="rId3136" ref="C1608"/>
    <hyperlink r:id="rId3137" ref="A1609"/>
    <hyperlink r:id="rId3138" ref="C1609"/>
    <hyperlink r:id="rId3139" ref="A1610"/>
    <hyperlink r:id="rId3140" ref="C1610"/>
    <hyperlink r:id="rId3141" ref="A1611"/>
    <hyperlink r:id="rId3142" ref="C1611"/>
    <hyperlink r:id="rId3143" ref="A1612"/>
    <hyperlink r:id="rId3144" ref="C1612"/>
    <hyperlink r:id="rId3145" ref="A1613"/>
    <hyperlink r:id="rId3146" ref="C1613"/>
    <hyperlink r:id="rId3147" ref="A1614"/>
    <hyperlink r:id="rId3148" ref="C1614"/>
    <hyperlink r:id="rId3149" ref="A1615"/>
    <hyperlink r:id="rId3150" ref="C1615"/>
    <hyperlink r:id="rId3151" ref="A1616"/>
    <hyperlink r:id="rId3152" ref="C1616"/>
    <hyperlink r:id="rId3153" ref="A1617"/>
    <hyperlink r:id="rId3154" ref="C1617"/>
    <hyperlink r:id="rId3155" ref="A1618"/>
    <hyperlink r:id="rId3156" ref="C1618"/>
    <hyperlink r:id="rId3157" ref="A1619"/>
    <hyperlink r:id="rId3158" ref="C1619"/>
    <hyperlink r:id="rId3159" ref="A1620"/>
    <hyperlink r:id="rId3160" ref="C1620"/>
    <hyperlink r:id="rId3161" ref="A1621"/>
    <hyperlink r:id="rId3162" ref="C1621"/>
    <hyperlink r:id="rId3163" ref="A1622"/>
    <hyperlink r:id="rId3164" ref="C1622"/>
    <hyperlink r:id="rId3165" ref="A1623"/>
    <hyperlink r:id="rId3166" ref="C1623"/>
    <hyperlink r:id="rId3167" ref="A1624"/>
    <hyperlink r:id="rId3168" ref="C1624"/>
    <hyperlink r:id="rId3169" location=":~:text=The%20best%20trust%20in%20Woodmark,them%20into%20products%20and%20services." ref="A1625"/>
    <hyperlink r:id="rId3170" ref="C1625"/>
    <hyperlink r:id="rId3171" ref="A1626"/>
    <hyperlink r:id="rId3172" ref="C1626"/>
    <hyperlink r:id="rId3173" ref="A1627"/>
    <hyperlink r:id="rId3174" ref="C1627"/>
    <hyperlink r:id="rId3175" ref="A1628"/>
    <hyperlink r:id="rId3176" ref="C1628"/>
    <hyperlink r:id="rId3177" ref="A1629"/>
    <hyperlink r:id="rId3178" ref="C1629"/>
    <hyperlink r:id="rId3179" ref="A1630"/>
    <hyperlink r:id="rId3180" ref="C1630"/>
    <hyperlink r:id="rId3181" ref="A1631"/>
    <hyperlink r:id="rId3182" ref="C1631"/>
    <hyperlink r:id="rId3183" ref="A1632"/>
    <hyperlink r:id="rId3184" ref="C1632"/>
    <hyperlink r:id="rId3185" ref="A1633"/>
    <hyperlink r:id="rId3186" ref="C1633"/>
    <hyperlink r:id="rId3187" ref="A1634"/>
    <hyperlink r:id="rId3188" ref="C1634"/>
    <hyperlink r:id="rId3189" ref="A1635"/>
    <hyperlink r:id="rId3190" ref="C1635"/>
    <hyperlink r:id="rId3191" ref="A1636"/>
    <hyperlink r:id="rId3192" ref="C1636"/>
    <hyperlink r:id="rId3193" ref="A1637"/>
    <hyperlink r:id="rId3194" ref="C1637"/>
    <hyperlink r:id="rId3195" ref="A1638"/>
    <hyperlink r:id="rId3196" ref="C1638"/>
    <hyperlink r:id="rId3197" ref="A1639"/>
    <hyperlink r:id="rId3198" ref="C1639"/>
    <hyperlink r:id="rId3199" ref="A1640"/>
    <hyperlink r:id="rId3200" ref="C1640"/>
    <hyperlink r:id="rId3201" ref="A1641"/>
    <hyperlink r:id="rId3202" ref="C1641"/>
    <hyperlink r:id="rId3203" ref="A1642"/>
    <hyperlink r:id="rId3204" ref="C1642"/>
    <hyperlink r:id="rId3205" ref="A1643"/>
    <hyperlink r:id="rId3206" ref="C1643"/>
    <hyperlink r:id="rId3207" ref="A1644"/>
    <hyperlink r:id="rId3208" ref="C1644"/>
    <hyperlink r:id="rId3209" ref="A1645"/>
    <hyperlink r:id="rId3210" ref="C1645"/>
    <hyperlink r:id="rId3211" ref="A1646"/>
    <hyperlink r:id="rId3212" ref="C1646"/>
    <hyperlink r:id="rId3213" ref="A1647"/>
    <hyperlink r:id="rId3214" ref="C1647"/>
    <hyperlink r:id="rId3215" ref="A1648"/>
    <hyperlink r:id="rId3216" ref="C1648"/>
    <hyperlink r:id="rId3217" ref="A1649"/>
    <hyperlink r:id="rId3218" ref="C1649"/>
    <hyperlink r:id="rId3219" ref="A1650"/>
    <hyperlink r:id="rId3220" ref="C1650"/>
    <hyperlink r:id="rId3221" ref="A1651"/>
    <hyperlink r:id="rId3222" ref="C1651"/>
    <hyperlink r:id="rId3223" ref="A1652"/>
    <hyperlink r:id="rId3224" ref="C1652"/>
    <hyperlink r:id="rId3225" ref="A1653"/>
    <hyperlink r:id="rId3226" ref="C1653"/>
    <hyperlink r:id="rId3227" ref="A1654"/>
    <hyperlink r:id="rId3228" ref="C1654"/>
    <hyperlink r:id="rId3229" ref="A1655"/>
    <hyperlink r:id="rId3230" ref="C1655"/>
    <hyperlink r:id="rId3231" ref="A1656"/>
    <hyperlink r:id="rId3232" ref="C1656"/>
    <hyperlink r:id="rId3233" ref="A1657"/>
    <hyperlink r:id="rId3234" ref="C1657"/>
    <hyperlink r:id="rId3235" ref="A1658"/>
    <hyperlink r:id="rId3236" ref="C1658"/>
    <hyperlink r:id="rId3237" ref="A1659"/>
    <hyperlink r:id="rId3238" ref="C1659"/>
    <hyperlink r:id="rId3239" ref="A1660"/>
    <hyperlink r:id="rId3240" ref="C1660"/>
    <hyperlink r:id="rId3241" ref="A1661"/>
    <hyperlink r:id="rId3242" ref="C1661"/>
    <hyperlink r:id="rId3243" ref="A1662"/>
    <hyperlink r:id="rId3244" ref="C1662"/>
    <hyperlink r:id="rId3245" ref="A1663"/>
    <hyperlink r:id="rId3246" ref="C1663"/>
    <hyperlink r:id="rId3247" ref="A1664"/>
    <hyperlink r:id="rId3248" ref="C1664"/>
  </hyperlinks>
  <drawing r:id="rId324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4" width="12.63"/>
    <col customWidth="1" min="5" max="5" width="31.5"/>
    <col customWidth="1" min="6"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All'!A2:L1670,
    REGEXMATCH(LOWER(TRIM(TO_TEXT('PEEC - URLs - All'!B2:B1670))),""\bbest\b|\btop\b"")
  ),
  """"
)"),"https://clutch.co/de/agencies/digital-marketing")</f>
        <v>https://clutch.co/de/agencies/digital-marketing</v>
      </c>
      <c r="B2" s="11" t="str">
        <f>IFERROR(__xludf.DUMMYFUNCTION("""COMPUTED_VALUE"""),"Top Digital Marketing Agencies in Germany - Jul 2026 Rankings | Clutch.co")</f>
        <v>Top Digital Marketing Agencies in Germany - Jul 2026 Rankings | Clutch.co</v>
      </c>
      <c r="C2" s="8" t="str">
        <f>IFERROR(__xludf.DUMMYFUNCTION("""COMPUTED_VALUE"""),"clutch.co")</f>
        <v>clutch.co</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Mediacharge, REPLUG, Claneo, Huge, Phiture, PANORAMA3000, Seeders, Admiral Media, HECHT INS GEFECHT")</f>
        <v>MONSOON, Mediacharge, REPLUG, Claneo, Huge, Phiture, PANORAMA3000, Seeders, Admiral Media, HECHT INS GEFECHT</v>
      </c>
      <c r="I2" s="11">
        <f>IFERROR(__xludf.DUMMYFUNCTION("""COMPUTED_VALUE"""),111.0)</f>
        <v>111</v>
      </c>
      <c r="J2" s="11">
        <f>IFERROR(__xludf.DUMMYFUNCTION("""COMPUTED_VALUE"""),0.12)</f>
        <v>0.12</v>
      </c>
      <c r="K2" s="11">
        <f>IFERROR(__xludf.DUMMYFUNCTION("""COMPUTED_VALUE"""),0.92)</f>
        <v>0.92</v>
      </c>
      <c r="L2" s="11"/>
    </row>
    <row r="3" ht="15.75" customHeight="1">
      <c r="A3" s="8" t="str">
        <f>IFERROR(__xludf.DUMMYFUNCTION("""COMPUTED_VALUE"""),"https://www.bakedwith.com/en/blog/the-best-geo-agencies-in-germany-an-overview")</f>
        <v>https://www.bakedwith.com/en/blog/the-best-geo-agencies-in-germany-an-overview</v>
      </c>
      <c r="B3" s="11" t="str">
        <f>IFERROR(__xludf.DUMMYFUNCTION("""COMPUTED_VALUE"""),"The best GEO agencies in Germany: an overview")</f>
        <v>The best GEO agencies in Germany: an overview</v>
      </c>
      <c r="C3" s="8" t="str">
        <f>IFERROR(__xludf.DUMMYFUNCTION("""COMPUTED_VALUE"""),"bakedwith.com")</f>
        <v>bakedwith.com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IFERROR(__xludf.DUMMYFUNCTION("""COMPUTED_VALUE"""),"Radyant, Claneo, HECHT INS GEFECHT, Suchhelden, Aufgesang, DREIKON, Löwenstark, TRYSEO")</f>
        <v>Radyant, Claneo, HECHT INS GEFECHT, Suchhelden, Aufgesang, DREIKON, Löwenstark, TRYSEO</v>
      </c>
      <c r="I3" s="11">
        <f>IFERROR(__xludf.DUMMYFUNCTION("""COMPUTED_VALUE"""),97.0)</f>
        <v>97</v>
      </c>
      <c r="J3" s="11">
        <f>IFERROR(__xludf.DUMMYFUNCTION("""COMPUTED_VALUE"""),0.1)</f>
        <v>0.1</v>
      </c>
      <c r="K3" s="11">
        <f>IFERROR(__xludf.DUMMYFUNCTION("""COMPUTED_VALUE"""),2.69)</f>
        <v>2.69</v>
      </c>
      <c r="L3" s="11"/>
    </row>
    <row r="4" ht="15.75" customHeight="1">
      <c r="A4" s="8" t="str">
        <f>IFERROR(__xludf.DUMMYFUNCTION("""COMPUTED_VALUE"""),"https://vitasoft.co/best/geo-agency-germany/")</f>
        <v>https://vitasoft.co/best/geo-agency-germany/</v>
      </c>
      <c r="B4" s="11" t="str">
        <f>IFERROR(__xludf.DUMMYFUNCTION("""COMPUTED_VALUE"""),"Best GEO &amp;amp; AEO Agencies in Germany (2026) — Ranked")</f>
        <v>Best GEO &amp;amp; AEO Agencies in Germany (2026) — Ranked</v>
      </c>
      <c r="C4" s="8" t="str">
        <f>IFERROR(__xludf.DUMMYFUNCTION("""COMPUTED_VALUE"""),"vitasoft.co")</f>
        <v>vitasoft.co</v>
      </c>
      <c r="D4" s="11" t="str">
        <f>IFERROR(__xludf.DUMMYFUNCTION("""COMPUTED_VALUE"""),"LISTICLE")</f>
        <v>LISTICLE</v>
      </c>
      <c r="E4" s="11" t="str">
        <f>IFERROR(__xludf.DUMMYFUNCTION("""COMPUTED_VALUE"""),"REFERENCE")</f>
        <v>REFERENCE</v>
      </c>
      <c r="F4" s="11" t="str">
        <f>IFERROR(__xludf.DUMMYFUNCTION("""COMPUTED_VALUE"""),"Listicle")</f>
        <v>Listicle</v>
      </c>
      <c r="G4" s="11" t="b">
        <f>IFERROR(__xludf.DUMMYFUNCTION("""COMPUTED_VALUE"""),FALSE)</f>
        <v>0</v>
      </c>
      <c r="H4" s="11" t="str">
        <f>IFERROR(__xludf.DUMMYFUNCTION("""COMPUTED_VALUE"""),"Peak Ace, Digital Delight, Claneo")</f>
        <v>Peak Ace, Digital Delight, Claneo</v>
      </c>
      <c r="I4" s="11">
        <f>IFERROR(__xludf.DUMMYFUNCTION("""COMPUTED_VALUE"""),95.0)</f>
        <v>95</v>
      </c>
      <c r="J4" s="11">
        <f>IFERROR(__xludf.DUMMYFUNCTION("""COMPUTED_VALUE"""),0.1)</f>
        <v>0.1</v>
      </c>
      <c r="K4" s="11">
        <f>IFERROR(__xludf.DUMMYFUNCTION("""COMPUTED_VALUE"""),1.22)</f>
        <v>1.22</v>
      </c>
      <c r="L4" s="11"/>
    </row>
    <row r="5" ht="15.75" customHeight="1">
      <c r="A5" s="8" t="str">
        <f>IFERROR(__xludf.DUMMYFUNCTION("""COMPUTED_VALUE"""),"https://agencies.semrush.com/list/germany/")</f>
        <v>https://agencies.semrush.com/list/germany/</v>
      </c>
      <c r="B5" s="11" t="str">
        <f>IFERROR(__xludf.DUMMYFUNCTION("""COMPUTED_VALUE"""),"Best Digital Marketing Agencies in Germany 2026 | Semrush")</f>
        <v>Best Digital Marketing Agencies in Germany 2026 | Semrush</v>
      </c>
      <c r="C5" s="8" t="str">
        <f>IFERROR(__xludf.DUMMYFUNCTION("""COMPUTED_VALUE"""),"semrush.com")</f>
        <v>semrush.com</v>
      </c>
      <c r="D5" s="11" t="str">
        <f>IFERROR(__xludf.DUMMYFUNCTION("""COMPUTED_VALUE"""),"PROFILE")</f>
        <v>PROFILE</v>
      </c>
      <c r="E5" s="11" t="str">
        <f>IFERROR(__xludf.DUMMYFUNCTION("""COMPUTED_VALUE"""),"CORPORATE")</f>
        <v>CORPORATE</v>
      </c>
      <c r="F5" s="11" t="str">
        <f>IFERROR(__xludf.DUMMYFUNCTION("""COMPUTED_VALUE"""),"Profile")</f>
        <v>Profile</v>
      </c>
      <c r="G5" s="11" t="b">
        <f>IFERROR(__xludf.DUMMYFUNCTION("""COMPUTED_VALUE"""),FALSE)</f>
        <v>0</v>
      </c>
      <c r="H5"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5" s="11">
        <f>IFERROR(__xludf.DUMMYFUNCTION("""COMPUTED_VALUE"""),92.0)</f>
        <v>92</v>
      </c>
      <c r="J5" s="11">
        <f>IFERROR(__xludf.DUMMYFUNCTION("""COMPUTED_VALUE"""),0.1)</f>
        <v>0.1</v>
      </c>
      <c r="K5" s="11">
        <f>IFERROR(__xludf.DUMMYFUNCTION("""COMPUTED_VALUE"""),0.55)</f>
        <v>0.55</v>
      </c>
      <c r="L5" s="11"/>
    </row>
    <row r="6" ht="15.75" customHeight="1">
      <c r="A6" s="8" t="str">
        <f>IFERROR(__xludf.DUMMYFUNCTION("""COMPUTED_VALUE"""),"https://clutch.co/de/agencies")</f>
        <v>https://clutch.co/de/agencies</v>
      </c>
      <c r="B6" s="11" t="str">
        <f>IFERROR(__xludf.DUMMYFUNCTION("""COMPUTED_VALUE"""),"Top Advertising Agencies in Germany - Jul 2026 Rankings \| Clutch.co")</f>
        <v>Top Advertising Agencies in Germany - Jul 2026 Rankings \| Clutch.co</v>
      </c>
      <c r="C6" s="8" t="str">
        <f>IFERROR(__xludf.DUMMYFUNCTION("""COMPUTED_VALUE"""),"clutch.co")</f>
        <v>clutch.co</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IFERROR(__xludf.DUMMYFUNCTION("""COMPUTED_VALUE"""),"MONSOON, Phiture, PANORAMA3000, Seeders, Mediacharge, Digitalyze, morefire, Scholz &amp; Friends, Haus")</f>
        <v>MONSOON, Phiture, PANORAMA3000, Seeders, Mediacharge, Digitalyze, morefire, Scholz &amp; Friends, Haus</v>
      </c>
      <c r="I6" s="11">
        <f>IFERROR(__xludf.DUMMYFUNCTION("""COMPUTED_VALUE"""),87.0)</f>
        <v>87</v>
      </c>
      <c r="J6" s="11">
        <f>IFERROR(__xludf.DUMMYFUNCTION("""COMPUTED_VALUE"""),0.09)</f>
        <v>0.09</v>
      </c>
      <c r="K6" s="11">
        <f>IFERROR(__xludf.DUMMYFUNCTION("""COMPUTED_VALUE"""),1.1)</f>
        <v>1.1</v>
      </c>
      <c r="L6" s="11"/>
    </row>
    <row r="7" ht="15.75" customHeight="1">
      <c r="A7" s="8" t="str">
        <f>IFERROR(__xludf.DUMMYFUNCTION("""COMPUTED_VALUE"""),"https://www.influencer-hero.com/blogs/top-digital-advertising-agencies-in-germany")</f>
        <v>https://www.influencer-hero.com/blogs/top-digital-advertising-agencies-in-germany</v>
      </c>
      <c r="B7" s="11" t="str">
        <f>IFERROR(__xludf.DUMMYFUNCTION("""COMPUTED_VALUE"""),"Top 10 Digital Advertising Agencies in Germany")</f>
        <v>Top 10 Digital Advertising Agencies in Germany</v>
      </c>
      <c r="C7" s="8" t="str">
        <f>IFERROR(__xludf.DUMMYFUNCTION("""COMPUTED_VALUE"""),"influencer-hero.com")</f>
        <v>influencer-hero.com</v>
      </c>
      <c r="D7" s="11" t="str">
        <f>IFERROR(__xludf.DUMMYFUNCTION("""COMPUTED_VALUE"""),"LISTICLE")</f>
        <v>LISTICLE</v>
      </c>
      <c r="E7" s="11" t="str">
        <f>IFERROR(__xludf.DUMMYFUNCTION("""COMPUTED_VALUE"""),"CORPORATE")</f>
        <v>CORPORATE</v>
      </c>
      <c r="F7" s="11" t="str">
        <f>IFERROR(__xludf.DUMMYFUNCTION("""COMPUTED_VALUE"""),"Listicle")</f>
        <v>Listicle</v>
      </c>
      <c r="G7" s="11" t="b">
        <f>IFERROR(__xludf.DUMMYFUNCTION("""COMPUTED_VALUE"""),FALSE)</f>
        <v>0</v>
      </c>
      <c r="H7" s="11" t="str">
        <f>IFERROR(__xludf.DUMMYFUNCTION("""COMPUTED_VALUE"""),"Serviceplan Group, Medialabel, Scholz &amp; Friends, Globalist, Jung von Matt, Mawave, Momentum")</f>
        <v>Serviceplan Group, Medialabel, Scholz &amp; Friends, Globalist, Jung von Matt, Mawave, Momentum</v>
      </c>
      <c r="I7" s="11">
        <f>IFERROR(__xludf.DUMMYFUNCTION("""COMPUTED_VALUE"""),81.0)</f>
        <v>81</v>
      </c>
      <c r="J7" s="11">
        <f>IFERROR(__xludf.DUMMYFUNCTION("""COMPUTED_VALUE"""),0.08)</f>
        <v>0.08</v>
      </c>
      <c r="K7" s="11">
        <f>IFERROR(__xludf.DUMMYFUNCTION("""COMPUTED_VALUE"""),1.41)</f>
        <v>1.41</v>
      </c>
      <c r="L7" s="11"/>
    </row>
    <row r="8" ht="15.75" customHeight="1">
      <c r="A8" s="8" t="str">
        <f>IFERROR(__xludf.DUMMYFUNCTION("""COMPUTED_VALUE"""),"https://www.sortlist.com/s/marketing/germany-de")</f>
        <v>https://www.sortlist.com/s/marketing/germany-de</v>
      </c>
      <c r="B8" s="11" t="str">
        <f>IFERROR(__xludf.DUMMYFUNCTION("""COMPUTED_VALUE"""),"The 10 Best Marketing Agencies in Germany - 2026 Reviews")</f>
        <v>The 10 Best Marketing Agencies in Germany - 2026 Reviews</v>
      </c>
      <c r="C8" s="8"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IFERROR(__xludf.DUMMYFUNCTION("""COMPUTED_VALUE"""),"MONSOON, lehof")</f>
        <v>MONSOON, lehof</v>
      </c>
      <c r="I8" s="11">
        <f>IFERROR(__xludf.DUMMYFUNCTION("""COMPUTED_VALUE"""),75.0)</f>
        <v>75</v>
      </c>
      <c r="J8" s="11">
        <f>IFERROR(__xludf.DUMMYFUNCTION("""COMPUTED_VALUE"""),0.08)</f>
        <v>0.08</v>
      </c>
      <c r="K8" s="11">
        <f>IFERROR(__xludf.DUMMYFUNCTION("""COMPUTED_VALUE"""),0.96)</f>
        <v>0.96</v>
      </c>
      <c r="L8" s="11"/>
    </row>
    <row r="9" ht="15.75" customHeight="1">
      <c r="A9" s="8" t="str">
        <f>IFERROR(__xludf.DUMMYFUNCTION("""COMPUTED_VALUE"""),"https://www.designrush.com/agency/digital-marketing/de")</f>
        <v>https://www.designrush.com/agency/digital-marketing/de</v>
      </c>
      <c r="B9" s="11" t="str">
        <f>IFERROR(__xludf.DUMMYFUNCTION("""COMPUTED_VALUE"""),"Top Digital Marketing Agencies in Germany | 2026")</f>
        <v>Top Digital Marketing Agencies in Germany | 2026</v>
      </c>
      <c r="C9" s="8" t="str">
        <f>IFERROR(__xludf.DUMMYFUNCTION("""COMPUTED_VALUE"""),"designrush.com")</f>
        <v>designrush.com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IFERROR(__xludf.DUMMYFUNCTION("""COMPUTED_VALUE"""),"MONSOON, REPLUG, Admiral Media, Phiture")</f>
        <v>MONSOON, REPLUG, Admiral Media, Phiture</v>
      </c>
      <c r="I9" s="11">
        <f>IFERROR(__xludf.DUMMYFUNCTION("""COMPUTED_VALUE"""),66.0)</f>
        <v>66</v>
      </c>
      <c r="J9" s="11">
        <f>IFERROR(__xludf.DUMMYFUNCTION("""COMPUTED_VALUE"""),0.07)</f>
        <v>0.07</v>
      </c>
      <c r="K9" s="11">
        <f>IFERROR(__xludf.DUMMYFUNCTION("""COMPUTED_VALUE"""),0.68)</f>
        <v>0.68</v>
      </c>
      <c r="L9" s="11"/>
    </row>
    <row r="10" ht="15.75" customHeight="1">
      <c r="A10" s="8" t="str">
        <f>IFERROR(__xludf.DUMMYFUNCTION("""COMPUTED_VALUE"""),"https://www.influencer-hero.com/blogs/top-digital-marketing-agencies-in-germany")</f>
        <v>https://www.influencer-hero.com/blogs/top-digital-marketing-agencies-in-germany</v>
      </c>
      <c r="B10" s="11" t="str">
        <f>IFERROR(__xludf.DUMMYFUNCTION("""COMPUTED_VALUE"""),"Top 10 Digital Marketing Agencies in Germany")</f>
        <v>Top 10 Digital Marketing Agencies in Germany</v>
      </c>
      <c r="C10" s="8" t="str">
        <f>IFERROR(__xludf.DUMMYFUNCTION("""COMPUTED_VALUE"""),"influencer-hero.com")</f>
        <v>influencer-hero.com</v>
      </c>
      <c r="D10" s="11" t="str">
        <f>IFERROR(__xludf.DUMMYFUNCTION("""COMPUTED_VALUE"""),"LISTICLE")</f>
        <v>LISTICLE</v>
      </c>
      <c r="E10" s="11" t="str">
        <f>IFERROR(__xludf.DUMMYFUNCTION("""COMPUTED_VALUE"""),"CORPORATE")</f>
        <v>CORPORATE</v>
      </c>
      <c r="F10" s="11" t="str">
        <f>IFERROR(__xludf.DUMMYFUNCTION("""COMPUTED_VALUE"""),"Listicle")</f>
        <v>Listicle</v>
      </c>
      <c r="G10" s="11" t="b">
        <f>IFERROR(__xludf.DUMMYFUNCTION("""COMPUTED_VALUE"""),FALSE)</f>
        <v>0</v>
      </c>
      <c r="H10" s="11" t="str">
        <f>IFERROR(__xludf.DUMMYFUNCTION("""COMPUTED_VALUE"""),"Serviceplan Group, Mawave, Globalist, Brandtech, McKinsey &amp; Company, Medialabel")</f>
        <v>Serviceplan Group, Mawave, Globalist, Brandtech, McKinsey &amp; Company, Medialabel</v>
      </c>
      <c r="I10" s="11">
        <f>IFERROR(__xludf.DUMMYFUNCTION("""COMPUTED_VALUE"""),62.0)</f>
        <v>62</v>
      </c>
      <c r="J10" s="11">
        <f>IFERROR(__xludf.DUMMYFUNCTION("""COMPUTED_VALUE"""),0.06)</f>
        <v>0.06</v>
      </c>
      <c r="K10" s="11">
        <f>IFERROR(__xludf.DUMMYFUNCTION("""COMPUTED_VALUE"""),1.1)</f>
        <v>1.1</v>
      </c>
      <c r="L10" s="11"/>
    </row>
    <row r="11" ht="15.75" customHeight="1">
      <c r="A11" s="8" t="str">
        <f>IFERROR(__xludf.DUMMYFUNCTION("""COMPUTED_VALUE"""),"https://www.sortlist.com/s/performance-marketing/germany-de")</f>
        <v>https://www.sortlist.com/s/performance-marketing/germany-de</v>
      </c>
      <c r="B11" s="11" t="str">
        <f>IFERROR(__xludf.DUMMYFUNCTION("""COMPUTED_VALUE"""),"The 10 Best Performance Marketing Agencies in Germany - 2026 Reviews")</f>
        <v>The 10 Best Performance Marketing Agencies in Germany - 2026 Reviews</v>
      </c>
      <c r="C11" s="8" t="str">
        <f>IFERROR(__xludf.DUMMYFUNCTION("""COMPUTED_VALUE"""),"sortlist.com")</f>
        <v>sortlist.com</v>
      </c>
      <c r="D11" s="11" t="str">
        <f>IFERROR(__xludf.DUMMYFUNCTION("""COMPUTED_VALUE"""),"LISTICLE")</f>
        <v>LISTICLE</v>
      </c>
      <c r="E11" s="11" t="str">
        <f>IFERROR(__xludf.DUMMYFUNCTION("""COMPUTED_VALUE"""),"CORPORATE")</f>
        <v>CORPORATE</v>
      </c>
      <c r="F11" s="11" t="str">
        <f>IFERROR(__xludf.DUMMYFUNCTION("""COMPUTED_VALUE"""),"Listicle")</f>
        <v>Listicle</v>
      </c>
      <c r="G11" s="11" t="b">
        <f>IFERROR(__xludf.DUMMYFUNCTION("""COMPUTED_VALUE"""),FALSE)</f>
        <v>0</v>
      </c>
      <c r="H11" s="11" t="str">
        <f>IFERROR(__xludf.DUMMYFUNCTION("""COMPUTED_VALUE"""),"MONSOON, lehof, Triple Whale, Northbeam, Dreamdata, Mediacharge")</f>
        <v>MONSOON, lehof, Triple Whale, Northbeam, Dreamdata, Mediacharge</v>
      </c>
      <c r="I11" s="11">
        <f>IFERROR(__xludf.DUMMYFUNCTION("""COMPUTED_VALUE"""),62.0)</f>
        <v>62</v>
      </c>
      <c r="J11" s="11">
        <f>IFERROR(__xludf.DUMMYFUNCTION("""COMPUTED_VALUE"""),0.06)</f>
        <v>0.06</v>
      </c>
      <c r="K11" s="11">
        <f>IFERROR(__xludf.DUMMYFUNCTION("""COMPUTED_VALUE"""),1.35)</f>
        <v>1.35</v>
      </c>
      <c r="L11" s="11"/>
    </row>
    <row r="12" ht="15.75" customHeight="1">
      <c r="A12" s="8" t="str">
        <f>IFERROR(__xludf.DUMMYFUNCTION("""COMPUTED_VALUE"""),"https://www.influencer-hero.com/blogs/top-10-creative-agencies-in-germany")</f>
        <v>https://www.influencer-hero.com/blogs/top-10-creative-agencies-in-germany</v>
      </c>
      <c r="B12" s="11" t="str">
        <f>IFERROR(__xludf.DUMMYFUNCTION("""COMPUTED_VALUE"""),"Top 10 Creative Agencies in Germany")</f>
        <v>Top 10 Creative Agencies in Germany</v>
      </c>
      <c r="C12" s="8" t="str">
        <f>IFERROR(__xludf.DUMMYFUNCTION("""COMPUTED_VALUE"""),"influencer-hero.com")</f>
        <v>influencer-hero.com</v>
      </c>
      <c r="D12" s="11" t="str">
        <f>IFERROR(__xludf.DUMMYFUNCTION("""COMPUTED_VALUE"""),"LISTICLE")</f>
        <v>LISTICLE</v>
      </c>
      <c r="E12" s="11" t="str">
        <f>IFERROR(__xludf.DUMMYFUNCTION("""COMPUTED_VALUE"""),"CORPORATE")</f>
        <v>CORPORATE</v>
      </c>
      <c r="F12" s="11" t="str">
        <f>IFERROR(__xludf.DUMMYFUNCTION("""COMPUTED_VALUE"""),"Listicle")</f>
        <v>Listicle</v>
      </c>
      <c r="G12" s="11" t="b">
        <f>IFERROR(__xludf.DUMMYFUNCTION("""COMPUTED_VALUE"""),FALSE)</f>
        <v>0</v>
      </c>
      <c r="H12" s="11" t="str">
        <f>IFERROR(__xludf.DUMMYFUNCTION("""COMPUTED_VALUE"""),"Jung von Matt, DDB Germany, Admiral Media, Mawave, Momentum, WPP")</f>
        <v>Jung von Matt, DDB Germany, Admiral Media, Mawave, Momentum, WPP</v>
      </c>
      <c r="I12" s="11">
        <f>IFERROR(__xludf.DUMMYFUNCTION("""COMPUTED_VALUE"""),61.0)</f>
        <v>61</v>
      </c>
      <c r="J12" s="11">
        <f>IFERROR(__xludf.DUMMYFUNCTION("""COMPUTED_VALUE"""),0.06)</f>
        <v>0.06</v>
      </c>
      <c r="K12" s="11">
        <f>IFERROR(__xludf.DUMMYFUNCTION("""COMPUTED_VALUE"""),1.93)</f>
        <v>1.93</v>
      </c>
      <c r="L12" s="11"/>
    </row>
    <row r="13" ht="15.75" customHeight="1">
      <c r="A13" s="8" t="str">
        <f>IFERROR(__xludf.DUMMYFUNCTION("""COMPUTED_VALUE"""),"https://www.radyant.io/comparison/6-best-geo-agencies-in-germany")</f>
        <v>https://www.radyant.io/comparison/6-best-geo-agencies-in-germany</v>
      </c>
      <c r="B13" s="11" t="str">
        <f>IFERROR(__xludf.DUMMYFUNCTION("""COMPUTED_VALUE"""),"6 best GEO agencies in Germany · Radyant")</f>
        <v>6 best GEO agencies in Germany · Radyant</v>
      </c>
      <c r="C13" s="8" t="str">
        <f>IFERROR(__xludf.DUMMYFUNCTION("""COMPUTED_VALUE"""),"radyant.io")</f>
        <v>radyant.io</v>
      </c>
      <c r="D13" s="11" t="str">
        <f>IFERROR(__xludf.DUMMYFUNCTION("""COMPUTED_VALUE"""),"LISTICLE")</f>
        <v>LISTICLE</v>
      </c>
      <c r="E13" s="11" t="str">
        <f>IFERROR(__xludf.DUMMYFUNCTION("""COMPUTED_VALUE"""),"COMPETITOR")</f>
        <v>COMPETITOR</v>
      </c>
      <c r="F13" s="11" t="str">
        <f>IFERROR(__xludf.DUMMYFUNCTION("""COMPUTED_VALUE"""),"Listicle")</f>
        <v>Listicle</v>
      </c>
      <c r="G13" s="11" t="b">
        <f>IFERROR(__xludf.DUMMYFUNCTION("""COMPUTED_VALUE"""),FALSE)</f>
        <v>0</v>
      </c>
      <c r="H13" s="11" t="str">
        <f>IFERROR(__xludf.DUMMYFUNCTION("""COMPUTED_VALUE"""),"Radyant, Claneo, Kosch Klink Performance, Suchhelden, DREIKON")</f>
        <v>Radyant, Claneo, Kosch Klink Performance, Suchhelden, DREIKON</v>
      </c>
      <c r="I13" s="11">
        <f>IFERROR(__xludf.DUMMYFUNCTION("""COMPUTED_VALUE"""),53.0)</f>
        <v>53</v>
      </c>
      <c r="J13" s="11">
        <f>IFERROR(__xludf.DUMMYFUNCTION("""COMPUTED_VALUE"""),0.06)</f>
        <v>0.06</v>
      </c>
      <c r="K13" s="11">
        <f>IFERROR(__xludf.DUMMYFUNCTION("""COMPUTED_VALUE"""),3.11)</f>
        <v>3.11</v>
      </c>
      <c r="L13" s="11"/>
    </row>
    <row r="14" ht="15.75" customHeight="1">
      <c r="A14" s="8" t="str">
        <f>IFERROR(__xludf.DUMMYFUNCTION("""COMPUTED_VALUE"""),"https://www.dreikon.de/en/news/online-marketing-knowledge/10-best-seo-and-geo-agencies-2026/#:~:text=The%20agency%20has%20been%20recognised,KG%20(M%C3%BCnster)")</f>
        <v>https://www.dreikon.de/en/news/online-marketing-knowledge/10-best-seo-and-geo-agencies-2026/#:~:text=The%20agency%20has%20been%20recognised,KG%20(M%C3%BCnster)</v>
      </c>
      <c r="B14" s="11" t="str">
        <f>IFERROR(__xludf.DUMMYFUNCTION("""COMPUTED_VALUE"""),"The 15 best SEO and GEO agencies in 2026")</f>
        <v>The 15 best SEO and GEO agencies in 2026</v>
      </c>
      <c r="C14" s="8" t="str">
        <f>IFERROR(__xludf.DUMMYFUNCTION("""COMPUTED_VALUE"""),"dreikon.de")</f>
        <v>dreikon.de</v>
      </c>
      <c r="D14" s="11" t="str">
        <f>IFERROR(__xludf.DUMMYFUNCTION("""COMPUTED_VALUE"""),"LISTICLE")</f>
        <v>LISTICLE</v>
      </c>
      <c r="E14" s="11" t="str">
        <f>IFERROR(__xludf.DUMMYFUNCTION("""COMPUTED_VALUE"""),"COMPETITOR")</f>
        <v>COMPETITOR</v>
      </c>
      <c r="F14" s="11" t="str">
        <f>IFERROR(__xludf.DUMMYFUNCTION("""COMPUTED_VALUE"""),"Listicle")</f>
        <v>Listicle</v>
      </c>
      <c r="G14" s="11" t="b">
        <f>IFERROR(__xludf.DUMMYFUNCTION("""COMPUTED_VALUE"""),FALSE)</f>
        <v>0</v>
      </c>
      <c r="H14" s="11" t="str">
        <f>IFERROR(__xludf.DUMMYFUNCTION("""COMPUTED_VALUE"""),"DREIKON, TRYSEO, morefire, eMinded GmbH, Measured")</f>
        <v>DREIKON, TRYSEO, morefire, eMinded GmbH, Measured</v>
      </c>
      <c r="I14" s="11">
        <f>IFERROR(__xludf.DUMMYFUNCTION("""COMPUTED_VALUE"""),51.0)</f>
        <v>51</v>
      </c>
      <c r="J14" s="11">
        <f>IFERROR(__xludf.DUMMYFUNCTION("""COMPUTED_VALUE"""),0.05)</f>
        <v>0.05</v>
      </c>
      <c r="K14" s="11">
        <f>IFERROR(__xludf.DUMMYFUNCTION("""COMPUTED_VALUE"""),0.96)</f>
        <v>0.96</v>
      </c>
      <c r="L14" s="11"/>
    </row>
    <row r="15" ht="15.75" customHeight="1">
      <c r="A15" s="8" t="str">
        <f>IFERROR(__xludf.DUMMYFUNCTION("""COMPUTED_VALUE"""),"https://www.sortlist.com/s/artificial-intelligence/germany-de#:~:text=Adastra%20achieved%20Elite%20Partner%20Status,Worked%20in%20Retail%20(%2B10)")</f>
        <v>https://www.sortlist.com/s/artificial-intelligence/germany-de#:~:text=Adastra%20achieved%20Elite%20Partner%20Status,Worked%20in%20Retail%20(%2B10)</v>
      </c>
      <c r="B15" s="11" t="str">
        <f>IFERROR(__xludf.DUMMYFUNCTION("""COMPUTED_VALUE"""),"The 10 Best Artificial Intelligence Agencies in Germany - 2026 Reviews")</f>
        <v>The 10 Best Artificial Intelligence Agencies in Germany - 2026 Reviews</v>
      </c>
      <c r="C15" s="8" t="str">
        <f>IFERROR(__xludf.DUMMYFUNCTION("""COMPUTED_VALUE"""),"sortlist.com")</f>
        <v>sortlist.com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IFERROR(__xludf.DUMMYFUNCTION("""COMPUTED_VALUE"""),"Momentum")</f>
        <v>Momentum</v>
      </c>
      <c r="I15" s="11">
        <f>IFERROR(__xludf.DUMMYFUNCTION("""COMPUTED_VALUE"""),50.0)</f>
        <v>50</v>
      </c>
      <c r="J15" s="11">
        <f>IFERROR(__xludf.DUMMYFUNCTION("""COMPUTED_VALUE"""),0.05)</f>
        <v>0.05</v>
      </c>
      <c r="K15" s="11">
        <f>IFERROR(__xludf.DUMMYFUNCTION("""COMPUTED_VALUE"""),0.62)</f>
        <v>0.62</v>
      </c>
      <c r="L15" s="11"/>
    </row>
    <row r="16" ht="15.75" customHeight="1">
      <c r="A16" s="8" t="str">
        <f>IFERROR(__xludf.DUMMYFUNCTION("""COMPUTED_VALUE"""),"https://agencies.semrush.com/list/ai-optimization/germany/")</f>
        <v>https://agencies.semrush.com/list/ai-optimization/germany/</v>
      </c>
      <c r="B16" s="11" t="str">
        <f>IFERROR(__xludf.DUMMYFUNCTION("""COMPUTED_VALUE"""),"Best AI Search Optimization Agencies in Germany 2026 | Semrush")</f>
        <v>Best AI Search Optimization Agencies in Germany 2026 | Semrush</v>
      </c>
      <c r="C16" s="8" t="str">
        <f>IFERROR(__xludf.DUMMYFUNCTION("""COMPUTED_VALUE"""),"semrush.com")</f>
        <v>semrush.com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IFERROR(__xludf.DUMMYFUNCTION("""COMPUTED_VALUE"""),"HECHT INS GEFECHT, morefire, Mediaplus Performance")</f>
        <v>HECHT INS GEFECHT, morefire, Mediaplus Performance</v>
      </c>
      <c r="I16" s="11">
        <f>IFERROR(__xludf.DUMMYFUNCTION("""COMPUTED_VALUE"""),48.0)</f>
        <v>48</v>
      </c>
      <c r="J16" s="11">
        <f>IFERROR(__xludf.DUMMYFUNCTION("""COMPUTED_VALUE"""),0.05)</f>
        <v>0.05</v>
      </c>
      <c r="K16" s="11">
        <f>IFERROR(__xludf.DUMMYFUNCTION("""COMPUTED_VALUE"""),0.98)</f>
        <v>0.98</v>
      </c>
      <c r="L16" s="11"/>
    </row>
    <row r="17" ht="15.75" customHeight="1">
      <c r="A17" s="8" t="str">
        <f>IFERROR(__xludf.DUMMYFUNCTION("""COMPUTED_VALUE"""),"https://www.sortlist.com/s/display-advertising/germany-de")</f>
        <v>https://www.sortlist.com/s/display-advertising/germany-de</v>
      </c>
      <c r="B17" s="11" t="str">
        <f>IFERROR(__xludf.DUMMYFUNCTION("""COMPUTED_VALUE"""),"The 10 Best Display Advertising Agencies in Germany - 2026 Reviews")</f>
        <v>The 10 Best Display Advertising Agencies in Germany - 2026 Reviews</v>
      </c>
      <c r="C17" s="8" t="str">
        <f>IFERROR(__xludf.DUMMYFUNCTION("""COMPUTED_VALUE"""),"sortlist.com")</f>
        <v>sortlist.com</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IFERROR(__xludf.DUMMYFUNCTION("""COMPUTED_VALUE"""),"MONSOON, Triple Whale, Northbeam, Dreamdata, Mediacharge, PANORAMA3000")</f>
        <v>MONSOON, Triple Whale, Northbeam, Dreamdata, Mediacharge, PANORAMA3000</v>
      </c>
      <c r="I17" s="11">
        <f>IFERROR(__xludf.DUMMYFUNCTION("""COMPUTED_VALUE"""),47.0)</f>
        <v>47</v>
      </c>
      <c r="J17" s="11">
        <f>IFERROR(__xludf.DUMMYFUNCTION("""COMPUTED_VALUE"""),0.05)</f>
        <v>0.05</v>
      </c>
      <c r="K17" s="11">
        <f>IFERROR(__xludf.DUMMYFUNCTION("""COMPUTED_VALUE"""),1.49)</f>
        <v>1.49</v>
      </c>
      <c r="L17" s="11"/>
    </row>
    <row r="18" ht="15.75" customHeight="1">
      <c r="A18" s="8" t="str">
        <f>IFERROR(__xludf.DUMMYFUNCTION("""COMPUTED_VALUE"""),"https://www.influencer-hero.com/blogs/top-advertising-agencies-in-germany")</f>
        <v>https://www.influencer-hero.com/blogs/top-advertising-agencies-in-germany</v>
      </c>
      <c r="B18" s="11" t="str">
        <f>IFERROR(__xludf.DUMMYFUNCTION("""COMPUTED_VALUE"""),"Top 10 Advertising Agencies in Germany")</f>
        <v>Top 10 Advertising Agencies in Germany</v>
      </c>
      <c r="C18" s="8" t="str">
        <f>IFERROR(__xludf.DUMMYFUNCTION("""COMPUTED_VALUE"""),"influencer-hero.com")</f>
        <v>influencer-hero.com</v>
      </c>
      <c r="D18" s="11" t="str">
        <f>IFERROR(__xludf.DUMMYFUNCTION("""COMPUTED_VALUE"""),"LISTICLE")</f>
        <v>LISTICLE</v>
      </c>
      <c r="E18" s="11" t="str">
        <f>IFERROR(__xludf.DUMMYFUNCTION("""COMPUTED_VALUE"""),"CORPORATE")</f>
        <v>CORPORATE</v>
      </c>
      <c r="F18" s="11" t="str">
        <f>IFERROR(__xludf.DUMMYFUNCTION("""COMPUTED_VALUE"""),"Listicle")</f>
        <v>Listicle</v>
      </c>
      <c r="G18" s="11" t="b">
        <f>IFERROR(__xludf.DUMMYFUNCTION("""COMPUTED_VALUE"""),FALSE)</f>
        <v>0</v>
      </c>
      <c r="H18" s="11" t="str">
        <f>IFERROR(__xludf.DUMMYFUNCTION("""COMPUTED_VALUE"""),"Pilot, Mawave, MONSOON, Globalist, Social Media Pirates, Medialabel")</f>
        <v>Pilot, Mawave, MONSOON, Globalist, Social Media Pirates, Medialabel</v>
      </c>
      <c r="I18" s="11">
        <f>IFERROR(__xludf.DUMMYFUNCTION("""COMPUTED_VALUE"""),45.0)</f>
        <v>45</v>
      </c>
      <c r="J18" s="11">
        <f>IFERROR(__xludf.DUMMYFUNCTION("""COMPUTED_VALUE"""),0.05)</f>
        <v>0.05</v>
      </c>
      <c r="K18" s="11">
        <f>IFERROR(__xludf.DUMMYFUNCTION("""COMPUTED_VALUE"""),1.0)</f>
        <v>1</v>
      </c>
      <c r="L18" s="11"/>
    </row>
    <row r="19" ht="15.75" customHeight="1">
      <c r="A19" s="8" t="str">
        <f>IFERROR(__xludf.DUMMYFUNCTION("""COMPUTED_VALUE"""),"https://www.goodfirms.co/directory/country/top-digital-marketing-companies/de")</f>
        <v>https://www.goodfirms.co/directory/country/top-digital-marketing-companies/de</v>
      </c>
      <c r="B19" s="11" t="str">
        <f>IFERROR(__xludf.DUMMYFUNCTION("""COMPUTED_VALUE"""),"Top 10+ Digital Marketing Agencies in Germany - 2026 Reviews | Goodfirms")</f>
        <v>Top 10+ Digital Marketing Agencies in Germany - 2026 Reviews | Goodfirms</v>
      </c>
      <c r="C19" s="8" t="str">
        <f>IFERROR(__xludf.DUMMYFUNCTION("""COMPUTED_VALUE"""),"goodfirms.co")</f>
        <v>goodfirms.co</v>
      </c>
      <c r="D19" s="11" t="str">
        <f>IFERROR(__xludf.DUMMYFUNCTION("""COMPUTED_VALUE"""),"CATEGORY_PAGE")</f>
        <v>CATEGORY_PAGE</v>
      </c>
      <c r="E19" s="11" t="str">
        <f>IFERROR(__xludf.DUMMYFUNCTION("""COMPUTED_VALUE"""),"UGC")</f>
        <v>UGC</v>
      </c>
      <c r="F19" s="11" t="str">
        <f>IFERROR(__xludf.DUMMYFUNCTION("""COMPUTED_VALUE"""),"Category Page")</f>
        <v>Category Page</v>
      </c>
      <c r="G19" s="11" t="b">
        <f>IFERROR(__xludf.DUMMYFUNCTION("""COMPUTED_VALUE"""),FALSE)</f>
        <v>0</v>
      </c>
      <c r="H19" s="11" t="str">
        <f>IFERROR(__xludf.DUMMYFUNCTION("""COMPUTED_VALUE"""),"WebFX, Mediacharge, HECHT INS GEFECHT, Momentum")</f>
        <v>WebFX, Mediacharge, HECHT INS GEFECHT, Momentum</v>
      </c>
      <c r="I19" s="11">
        <f>IFERROR(__xludf.DUMMYFUNCTION("""COMPUTED_VALUE"""),43.0)</f>
        <v>43</v>
      </c>
      <c r="J19" s="11">
        <f>IFERROR(__xludf.DUMMYFUNCTION("""COMPUTED_VALUE"""),0.04)</f>
        <v>0.04</v>
      </c>
      <c r="K19" s="11">
        <f>IFERROR(__xludf.DUMMYFUNCTION("""COMPUTED_VALUE"""),0.09)</f>
        <v>0.09</v>
      </c>
      <c r="L19" s="11"/>
    </row>
    <row r="20" ht="15.75" customHeight="1">
      <c r="A20" s="8" t="str">
        <f>IFERROR(__xludf.DUMMYFUNCTION("""COMPUTED_VALUE"""),"https://techbehemoths.com/companies/marketing-analytics/germany")</f>
        <v>https://techbehemoths.com/companies/marketing-analytics/germany</v>
      </c>
      <c r="B20" s="11" t="str">
        <f>IFERROR(__xludf.DUMMYFUNCTION("""COMPUTED_VALUE"""),"Top 20+ Marketing analytics Companies in Germany (2026) - TechBehemoths")</f>
        <v>Top 20+ Marketing analytics Companies in Germany (2026) - TechBehemoths</v>
      </c>
      <c r="C20" s="8" t="str">
        <f>IFERROR(__xludf.DUMMYFUNCTION("""COMPUTED_VALUE"""),"techbehemoths.com")</f>
        <v>techbehemoths.com</v>
      </c>
      <c r="D20" s="11" t="str">
        <f>IFERROR(__xludf.DUMMYFUNCTION("""COMPUTED_VALUE"""),"CATEGORY_PAGE")</f>
        <v>CATEGORY_PAGE</v>
      </c>
      <c r="E20" s="11" t="str">
        <f>IFERROR(__xludf.DUMMYFUNCTION("""COMPUTED_VALUE"""),"REFERENCE")</f>
        <v>REFERENCE</v>
      </c>
      <c r="F20" s="11" t="str">
        <f>IFERROR(__xludf.DUMMYFUNCTION("""COMPUTED_VALUE"""),"Category Page")</f>
        <v>Category Page</v>
      </c>
      <c r="G20" s="11" t="b">
        <f>IFERROR(__xludf.DUMMYFUNCTION("""COMPUTED_VALUE"""),FALSE)</f>
        <v>0</v>
      </c>
      <c r="H20" s="11" t="str">
        <f>IFERROR(__xludf.DUMMYFUNCTION("""COMPUTED_VALUE"""),"KlickPiloten, Huge")</f>
        <v>KlickPiloten, Huge</v>
      </c>
      <c r="I20" s="11">
        <f>IFERROR(__xludf.DUMMYFUNCTION("""COMPUTED_VALUE"""),39.0)</f>
        <v>39</v>
      </c>
      <c r="J20" s="11">
        <f>IFERROR(__xludf.DUMMYFUNCTION("""COMPUTED_VALUE"""),0.04)</f>
        <v>0.04</v>
      </c>
      <c r="K20" s="11">
        <f>IFERROR(__xludf.DUMMYFUNCTION("""COMPUTED_VALUE"""),1.33)</f>
        <v>1.33</v>
      </c>
      <c r="L20" s="11"/>
    </row>
    <row r="21" ht="15.75" customHeight="1">
      <c r="A21" s="8" t="str">
        <f>IFERROR(__xludf.DUMMYFUNCTION("""COMPUTED_VALUE"""),"https://creatif.agency/the-best-branding-agencies-in-germany/#:~:text=Another%20standout%20agency%20based%20in,Deutsche%20Post%20reinvent%20their%20identities.")</f>
        <v>https://creatif.agency/the-best-branding-agencies-in-germany/#:~:text=Another%20standout%20agency%20based%20in,Deutsche%20Post%20reinvent%20their%20identities.</v>
      </c>
      <c r="B21" s="11" t="str">
        <f>IFERROR(__xludf.DUMMYFUNCTION("""COMPUTED_VALUE"""),"The best branding agencies in Germany ranked")</f>
        <v>The best branding agencies in Germany ranked</v>
      </c>
      <c r="C21" s="11" t="str">
        <f>IFERROR(__xludf.DUMMYFUNCTION("""COMPUTED_VALUE"""),"creatif.agency")</f>
        <v>creatif.agency</v>
      </c>
      <c r="D21" s="11" t="str">
        <f>IFERROR(__xludf.DUMMYFUNCTION("""COMPUTED_VALUE"""),"LISTICLE")</f>
        <v>LISTICLE</v>
      </c>
      <c r="E21" s="11" t="str">
        <f>IFERROR(__xludf.DUMMYFUNCTION("""COMPUTED_VALUE"""),"CORPORATE")</f>
        <v>CORPORATE</v>
      </c>
      <c r="F21" s="11" t="str">
        <f>IFERROR(__xludf.DUMMYFUNCTION("""COMPUTED_VALUE"""),"Listicle")</f>
        <v>Listicle</v>
      </c>
      <c r="G21" s="11" t="b">
        <f>IFERROR(__xludf.DUMMYFUNCTION("""COMPUTED_VALUE"""),FALSE)</f>
        <v>0</v>
      </c>
      <c r="H21" s="11" t="str">
        <f>IFERROR(__xludf.DUMMYFUNCTION("""COMPUTED_VALUE"""),"MetaDesign")</f>
        <v>MetaDesign</v>
      </c>
      <c r="I21" s="11">
        <f>IFERROR(__xludf.DUMMYFUNCTION("""COMPUTED_VALUE"""),37.0)</f>
        <v>37</v>
      </c>
      <c r="J21" s="11">
        <f>IFERROR(__xludf.DUMMYFUNCTION("""COMPUTED_VALUE"""),0.04)</f>
        <v>0.04</v>
      </c>
      <c r="K21" s="11">
        <f>IFERROR(__xludf.DUMMYFUNCTION("""COMPUTED_VALUE"""),1.73)</f>
        <v>1.73</v>
      </c>
      <c r="L21" s="11"/>
    </row>
    <row r="22" ht="15.75" customHeight="1">
      <c r="A22" s="8" t="str">
        <f>IFERROR(__xludf.DUMMYFUNCTION("""COMPUTED_VALUE"""),"https://www.sortlist.com/i/digital-marketing/germany-de")</f>
        <v>https://www.sortlist.com/i/digital-marketing/germany-de</v>
      </c>
      <c r="B22" s="11" t="str">
        <f>IFERROR(__xludf.DUMMYFUNCTION("""COMPUTED_VALUE"""),"The 10 Best Digital Marketing Agencies in Germany - 2026 Reviews")</f>
        <v>The 10 Best Digital Marketing Agencies in Germany - 2026 Reviews</v>
      </c>
      <c r="C22" s="8" t="str">
        <f>IFERROR(__xludf.DUMMYFUNCTION("""COMPUTED_VALUE"""),"sortlist.com")</f>
        <v>sortlist.com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IFERROR(__xludf.DUMMYFUNCTION("""COMPUTED_VALUE"""),"PANORAMA3000, MONSOON")</f>
        <v>PANORAMA3000, MONSOON</v>
      </c>
      <c r="I22" s="11">
        <f>IFERROR(__xludf.DUMMYFUNCTION("""COMPUTED_VALUE"""),37.0)</f>
        <v>37</v>
      </c>
      <c r="J22" s="11">
        <f>IFERROR(__xludf.DUMMYFUNCTION("""COMPUTED_VALUE"""),0.04)</f>
        <v>0.04</v>
      </c>
      <c r="K22" s="11">
        <f>IFERROR(__xludf.DUMMYFUNCTION("""COMPUTED_VALUE"""),0.57)</f>
        <v>0.57</v>
      </c>
      <c r="L22" s="11"/>
    </row>
    <row r="23" ht="15.75" customHeight="1">
      <c r="A23" s="8" t="str">
        <f>IFERROR(__xludf.DUMMYFUNCTION("""COMPUTED_VALUE"""),"https://www.sortlist.com/s/marketing-analytics/germany-de")</f>
        <v>https://www.sortlist.com/s/marketing-analytics/germany-de</v>
      </c>
      <c r="B23" s="11" t="str">
        <f>IFERROR(__xludf.DUMMYFUNCTION("""COMPUTED_VALUE"""),"The 10 Best Marketing Analytics Companies in Germany - 2026 Reviews")</f>
        <v>The 10 Best Marketing Analytics Companies in Germany - 2026 Reviews</v>
      </c>
      <c r="C23" s="8" t="str">
        <f>IFERROR(__xludf.DUMMYFUNCTION("""COMPUTED_VALUE"""),"sortlist.com")</f>
        <v>sortlist.com</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IFERROR(__xludf.DUMMYFUNCTION("""COMPUTED_VALUE"""),"lehof, MONSOON, Measured")</f>
        <v>lehof, MONSOON, Measured</v>
      </c>
      <c r="I23" s="11">
        <f>IFERROR(__xludf.DUMMYFUNCTION("""COMPUTED_VALUE"""),36.0)</f>
        <v>36</v>
      </c>
      <c r="J23" s="11">
        <f>IFERROR(__xludf.DUMMYFUNCTION("""COMPUTED_VALUE"""),0.04)</f>
        <v>0.04</v>
      </c>
      <c r="K23" s="11">
        <f>IFERROR(__xludf.DUMMYFUNCTION("""COMPUTED_VALUE"""),1.14)</f>
        <v>1.14</v>
      </c>
      <c r="L23" s="11"/>
    </row>
    <row r="24" ht="15.75" customHeight="1">
      <c r="A24" s="8" t="str">
        <f>IFERROR(__xludf.DUMMYFUNCTION("""COMPUTED_VALUE"""),"https://www.influencer-hero.com/blogs/top-social-media-agencies-in-germany")</f>
        <v>https://www.influencer-hero.com/blogs/top-social-media-agencies-in-germany</v>
      </c>
      <c r="B24" s="11" t="str">
        <f>IFERROR(__xludf.DUMMYFUNCTION("""COMPUTED_VALUE"""),"Top 10 Social Media Agencies in Germany")</f>
        <v>Top 10 Social Media Agencies in Germany</v>
      </c>
      <c r="C24" s="8" t="str">
        <f>IFERROR(__xludf.DUMMYFUNCTION("""COMPUTED_VALUE"""),"influencer-hero.com")</f>
        <v>influencer-hero.com</v>
      </c>
      <c r="D24" s="11" t="str">
        <f>IFERROR(__xludf.DUMMYFUNCTION("""COMPUTED_VALUE"""),"LISTICLE")</f>
        <v>LISTICLE</v>
      </c>
      <c r="E24" s="11" t="str">
        <f>IFERROR(__xludf.DUMMYFUNCTION("""COMPUTED_VALUE"""),"CORPORATE")</f>
        <v>CORPORATE</v>
      </c>
      <c r="F24" s="11" t="str">
        <f>IFERROR(__xludf.DUMMYFUNCTION("""COMPUTED_VALUE"""),"Listicle")</f>
        <v>Listicle</v>
      </c>
      <c r="G24" s="11" t="b">
        <f>IFERROR(__xludf.DUMMYFUNCTION("""COMPUTED_VALUE"""),FALSE)</f>
        <v>0</v>
      </c>
      <c r="H24" s="11" t="str">
        <f>IFERROR(__xludf.DUMMYFUNCTION("""COMPUTED_VALUE"""),"Medialabel, Social Media One, Mawave, PANORAMA3000, Social Media Pirates, WPP")</f>
        <v>Medialabel, Social Media One, Mawave, PANORAMA3000, Social Media Pirates, WPP</v>
      </c>
      <c r="I24" s="11">
        <f>IFERROR(__xludf.DUMMYFUNCTION("""COMPUTED_VALUE"""),35.0)</f>
        <v>35</v>
      </c>
      <c r="J24" s="11">
        <f>IFERROR(__xludf.DUMMYFUNCTION("""COMPUTED_VALUE"""),0.04)</f>
        <v>0.04</v>
      </c>
      <c r="K24" s="11">
        <f>IFERROR(__xludf.DUMMYFUNCTION("""COMPUTED_VALUE"""),1.06)</f>
        <v>1.06</v>
      </c>
      <c r="L24" s="11"/>
    </row>
    <row r="25" ht="15.75" customHeight="1">
      <c r="A25" s="8" t="str">
        <f>IFERROR(__xludf.DUMMYFUNCTION("""COMPUTED_VALUE"""),"https://clutch.co/de/agencies/social-media-marketing")</f>
        <v>https://clutch.co/de/agencies/social-media-marketing</v>
      </c>
      <c r="B25" s="11" t="str">
        <f>IFERROR(__xludf.DUMMYFUNCTION("""COMPUTED_VALUE"""),"Top Social Media Marketing Companies in Germany - Jul 2026 Rankings \| Clutch.co")</f>
        <v>Top Social Media Marketing Companies in Germany - Jul 2026 Rankings \| Clutch.co</v>
      </c>
      <c r="C25" s="8" t="str">
        <f>IFERROR(__xludf.DUMMYFUNCTION("""COMPUTED_VALUE"""),"clutch.co")</f>
        <v>clutch.co</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IFERROR(__xludf.DUMMYFUNCTION("""COMPUTED_VALUE"""),"MONSOON, Mediacharge, PwC, PANORAMA3000, HY.AM STUDIOS, Digitalyze, KlickPiloten, Pulse Advertising, DREIKON")</f>
        <v>MONSOON, Mediacharge, PwC, PANORAMA3000, HY.AM STUDIOS, Digitalyze, KlickPiloten, Pulse Advertising, DREIKON</v>
      </c>
      <c r="I25" s="11">
        <f>IFERROR(__xludf.DUMMYFUNCTION("""COMPUTED_VALUE"""),34.0)</f>
        <v>34</v>
      </c>
      <c r="J25" s="11">
        <f>IFERROR(__xludf.DUMMYFUNCTION("""COMPUTED_VALUE"""),0.04)</f>
        <v>0.04</v>
      </c>
      <c r="K25" s="11">
        <f>IFERROR(__xludf.DUMMYFUNCTION("""COMPUTED_VALUE"""),0.79)</f>
        <v>0.79</v>
      </c>
      <c r="L25" s="11"/>
    </row>
    <row r="26" ht="15.75" customHeight="1">
      <c r="A26" s="8" t="str">
        <f>IFERROR(__xludf.DUMMYFUNCTION("""COMPUTED_VALUE"""),"https://www.measured.com/faq/best-incrementality-testing-companies-software-for-marketing-2026/")</f>
        <v>https://www.measured.com/faq/best-incrementality-testing-companies-software-for-marketing-2026/</v>
      </c>
      <c r="B26" s="11" t="str">
        <f>IFERROR(__xludf.DUMMYFUNCTION("""COMPUTED_VALUE"""),"Best Incrementality Testing Companies &amp;amp; Software for Marketing (2026)")</f>
        <v>Best Incrementality Testing Companies &amp;amp; Software for Marketing (2026)</v>
      </c>
      <c r="C26" s="8" t="str">
        <f>IFERROR(__xludf.DUMMYFUNCTION("""COMPUTED_VALUE"""),"measured.com")</f>
        <v>measured.com</v>
      </c>
      <c r="D26" s="11" t="str">
        <f>IFERROR(__xludf.DUMMYFUNCTION("""COMPUTED_VALUE"""),"LISTICLE")</f>
        <v>LISTICLE</v>
      </c>
      <c r="E26" s="11" t="str">
        <f>IFERROR(__xludf.DUMMYFUNCTION("""COMPUTED_VALUE"""),"COMPETITOR")</f>
        <v>COMPETITOR</v>
      </c>
      <c r="F26" s="11" t="str">
        <f>IFERROR(__xludf.DUMMYFUNCTION("""COMPUTED_VALUE"""),"Listicle")</f>
        <v>Listicle</v>
      </c>
      <c r="G26" s="11" t="b">
        <f>IFERROR(__xludf.DUMMYFUNCTION("""COMPUTED_VALUE"""),FALSE)</f>
        <v>0</v>
      </c>
      <c r="H26" s="11" t="str">
        <f>IFERROR(__xludf.DUMMYFUNCTION("""COMPUTED_VALUE"""),"Measured, Neustar, Rockerbox, Haus, Recast, Analytic Partners")</f>
        <v>Measured, Neustar, Rockerbox, Haus, Recast, Analytic Partners</v>
      </c>
      <c r="I26" s="11">
        <f>IFERROR(__xludf.DUMMYFUNCTION("""COMPUTED_VALUE"""),34.0)</f>
        <v>34</v>
      </c>
      <c r="J26" s="11">
        <f>IFERROR(__xludf.DUMMYFUNCTION("""COMPUTED_VALUE"""),0.04)</f>
        <v>0.04</v>
      </c>
      <c r="K26" s="11">
        <f>IFERROR(__xludf.DUMMYFUNCTION("""COMPUTED_VALUE"""),1.62)</f>
        <v>1.62</v>
      </c>
      <c r="L26" s="11"/>
    </row>
    <row r="27" ht="15.75" customHeight="1">
      <c r="A27" s="8" t="str">
        <f>IFERROR(__xludf.DUMMYFUNCTION("""COMPUTED_VALUE"""),"https://www.radigitalworld.com/2026/03/best-performance-marketing-companies-in.html")</f>
        <v>https://www.radigitalworld.com/2026/03/best-performance-marketing-companies-in.html</v>
      </c>
      <c r="B27" s="11" t="str">
        <f>IFERROR(__xludf.DUMMYFUNCTION("""COMPUTED_VALUE"""),"Best Performance Marketing Companies in Germany")</f>
        <v>Best Performance Marketing Companies in Germany</v>
      </c>
      <c r="C27" s="8" t="str">
        <f>IFERROR(__xludf.DUMMYFUNCTION("""COMPUTED_VALUE"""),"radigitalworld.com")</f>
        <v>radigitalworld.com</v>
      </c>
      <c r="D27" s="11" t="str">
        <f>IFERROR(__xludf.DUMMYFUNCTION("""COMPUTED_VALUE"""),"LISTICLE")</f>
        <v>LISTICLE</v>
      </c>
      <c r="E27" s="11" t="str">
        <f>IFERROR(__xludf.DUMMYFUNCTION("""COMPUTED_VALUE"""),"OTHER")</f>
        <v>OTHER</v>
      </c>
      <c r="F27" s="11" t="str">
        <f>IFERROR(__xludf.DUMMYFUNCTION("""COMPUTED_VALUE"""),"Listicle")</f>
        <v>Listicle</v>
      </c>
      <c r="G27" s="11" t="b">
        <f>IFERROR(__xludf.DUMMYFUNCTION("""COMPUTED_VALUE"""),FALSE)</f>
        <v>0</v>
      </c>
      <c r="H27" s="11" t="str">
        <f>IFERROR(__xludf.DUMMYFUNCTION("""COMPUTED_VALUE"""),"MONSOON, eMinded GmbH, morefire, Think11, Serviceplan Group, Claneo")</f>
        <v>MONSOON, eMinded GmbH, morefire, Think11, Serviceplan Group, Claneo</v>
      </c>
      <c r="I27" s="11">
        <f>IFERROR(__xludf.DUMMYFUNCTION("""COMPUTED_VALUE"""),34.0)</f>
        <v>34</v>
      </c>
      <c r="J27" s="11">
        <f>IFERROR(__xludf.DUMMYFUNCTION("""COMPUTED_VALUE"""),0.04)</f>
        <v>0.04</v>
      </c>
      <c r="K27" s="11">
        <f>IFERROR(__xludf.DUMMYFUNCTION("""COMPUTED_VALUE"""),2.85)</f>
        <v>2.85</v>
      </c>
      <c r="L27" s="11"/>
    </row>
    <row r="28" ht="15.75" customHeight="1">
      <c r="A28" s="8" t="str">
        <f>IFERROR(__xludf.DUMMYFUNCTION("""COMPUTED_VALUE"""),"https://www.reddit.com/r/branding/comments/1s5trnk/top_10_best_international_seo_agency_in_germany/")</f>
        <v>https://www.reddit.com/r/branding/comments/1s5trnk/top_10_best_international_seo_agency_in_germany/</v>
      </c>
      <c r="B28" s="11" t="str">
        <f>IFERROR(__xludf.DUMMYFUNCTION("""COMPUTED_VALUE"""),"Top 10 Best International SEO Agency in Germany (2026 Guide)")</f>
        <v>Top 10 Best International SEO Agency in Germany (2026 Guide)</v>
      </c>
      <c r="C28" s="8" t="str">
        <f>IFERROR(__xludf.DUMMYFUNCTION("""COMPUTED_VALUE"""),"reddit.com")</f>
        <v>reddit.com</v>
      </c>
      <c r="D28" s="11" t="str">
        <f>IFERROR(__xludf.DUMMYFUNCTION("""COMPUTED_VALUE"""),"DISCUSSION")</f>
        <v>DISCUSSION</v>
      </c>
      <c r="E28" s="11" t="str">
        <f>IFERROR(__xludf.DUMMYFUNCTION("""COMPUTED_VALUE"""),"UGC")</f>
        <v>UGC</v>
      </c>
      <c r="F28" s="11" t="str">
        <f>IFERROR(__xludf.DUMMYFUNCTION("""COMPUTED_VALUE"""),"Discussion")</f>
        <v>Discussion</v>
      </c>
      <c r="G28" s="11" t="b">
        <f>IFERROR(__xludf.DUMMYFUNCTION("""COMPUTED_VALUE"""),FALSE)</f>
        <v>0</v>
      </c>
      <c r="H28" s="11" t="str">
        <f>IFERROR(__xludf.DUMMYFUNCTION("""COMPUTED_VALUE"""),"Claneo, Radyant, KlickPiloten, morefire")</f>
        <v>Claneo, Radyant, KlickPiloten, morefire</v>
      </c>
      <c r="I28" s="11">
        <f>IFERROR(__xludf.DUMMYFUNCTION("""COMPUTED_VALUE"""),34.0)</f>
        <v>34</v>
      </c>
      <c r="J28" s="11">
        <f>IFERROR(__xludf.DUMMYFUNCTION("""COMPUTED_VALUE"""),0.04)</f>
        <v>0.04</v>
      </c>
      <c r="K28" s="11">
        <f>IFERROR(__xludf.DUMMYFUNCTION("""COMPUTED_VALUE"""),1.97)</f>
        <v>1.97</v>
      </c>
      <c r="L28" s="11"/>
    </row>
    <row r="29" ht="15.75" customHeight="1">
      <c r="A29" s="8" t="str">
        <f>IFERROR(__xludf.DUMMYFUNCTION("""COMPUTED_VALUE"""),"https://www.sortlist.com/i/social-media/germany-de")</f>
        <v>https://www.sortlist.com/i/social-media/germany-de</v>
      </c>
      <c r="B29" s="11" t="str">
        <f>IFERROR(__xludf.DUMMYFUNCTION("""COMPUTED_VALUE"""),"The 10 Best Social Media Agencies in Germany - 2026 Reviews")</f>
        <v>The 10 Best Social Media Agencies in Germany - 2026 Reviews</v>
      </c>
      <c r="C29" s="8" t="str">
        <f>IFERROR(__xludf.DUMMYFUNCTION("""COMPUTED_VALUE"""),"sortlist.com")</f>
        <v>sortlist.com</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IFERROR(__xludf.DUMMYFUNCTION("""COMPUTED_VALUE"""),"lehof, Momentum, PANORAMA3000")</f>
        <v>lehof, Momentum, PANORAMA3000</v>
      </c>
      <c r="I29" s="11">
        <f>IFERROR(__xludf.DUMMYFUNCTION("""COMPUTED_VALUE"""),34.0)</f>
        <v>34</v>
      </c>
      <c r="J29" s="11">
        <f>IFERROR(__xludf.DUMMYFUNCTION("""COMPUTED_VALUE"""),0.04)</f>
        <v>0.04</v>
      </c>
      <c r="K29" s="11">
        <f>IFERROR(__xludf.DUMMYFUNCTION("""COMPUTED_VALUE"""),1.09)</f>
        <v>1.09</v>
      </c>
      <c r="L29" s="11"/>
    </row>
    <row r="30" ht="15.75" customHeight="1">
      <c r="A30" s="8" t="str">
        <f>IFERROR(__xludf.DUMMYFUNCTION("""COMPUTED_VALUE"""),"https://www.sortlist.com/s/paid-media/germany-de")</f>
        <v>https://www.sortlist.com/s/paid-media/germany-de</v>
      </c>
      <c r="B30" s="11" t="str">
        <f>IFERROR(__xludf.DUMMYFUNCTION("""COMPUTED_VALUE"""),"The 10 Best Paid Media Agencies in Germany - 2026 Reviews")</f>
        <v>The 10 Best Paid Media Agencies in Germany - 2026 Reviews</v>
      </c>
      <c r="C30" s="8" t="str">
        <f>IFERROR(__xludf.DUMMYFUNCTION("""COMPUTED_VALUE"""),"sortlist.com")</f>
        <v>sortlist.com</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IFERROR(__xludf.DUMMYFUNCTION("""COMPUTED_VALUE"""),"Triple Whale, Northbeam, Dreamdata, MONSOON, lehof, Mediacharge, PANORAMA3000")</f>
        <v>Triple Whale, Northbeam, Dreamdata, MONSOON, lehof, Mediacharge, PANORAMA3000</v>
      </c>
      <c r="I30" s="11">
        <f>IFERROR(__xludf.DUMMYFUNCTION("""COMPUTED_VALUE"""),34.0)</f>
        <v>34</v>
      </c>
      <c r="J30" s="11">
        <f>IFERROR(__xludf.DUMMYFUNCTION("""COMPUTED_VALUE"""),0.04)</f>
        <v>0.04</v>
      </c>
      <c r="K30" s="11">
        <f>IFERROR(__xludf.DUMMYFUNCTION("""COMPUTED_VALUE"""),2.32)</f>
        <v>2.32</v>
      </c>
      <c r="L30" s="11"/>
    </row>
    <row r="31" ht="15.75" customHeight="1">
      <c r="A31" s="8" t="str">
        <f>IFERROR(__xludf.DUMMYFUNCTION("""COMPUTED_VALUE"""),"https://www.xmethod.de/en/blog/best-ai-agencies")</f>
        <v>https://www.xmethod.de/en/blog/best-ai-agencies</v>
      </c>
      <c r="B31" s="11" t="str">
        <f>IFERROR(__xludf.DUMMYFUNCTION("""COMPUTED_VALUE"""),"Best AI Development &amp;amp; Automation Companies 2026 in Germany")</f>
        <v>Best AI Development &amp;amp; Automation Companies 2026 in Germany</v>
      </c>
      <c r="C31" s="8" t="str">
        <f>IFERROR(__xludf.DUMMYFUNCTION("""COMPUTED_VALUE"""),"xmethod.de")</f>
        <v>xmethod.de</v>
      </c>
      <c r="D31" s="11" t="str">
        <f>IFERROR(__xludf.DUMMYFUNCTION("""COMPUTED_VALUE"""),"LISTICLE")</f>
        <v>LISTICLE</v>
      </c>
      <c r="E31" s="11" t="str">
        <f>IFERROR(__xludf.DUMMYFUNCTION("""COMPUTED_VALUE"""),"COMPETITOR")</f>
        <v>COMPETITOR</v>
      </c>
      <c r="F31" s="11" t="str">
        <f>IFERROR(__xludf.DUMMYFUNCTION("""COMPUTED_VALUE"""),"Listicle")</f>
        <v>Listicle</v>
      </c>
      <c r="G31" s="11" t="b">
        <f>IFERROR(__xludf.DUMMYFUNCTION("""COMPUTED_VALUE"""),FALSE)</f>
        <v>0</v>
      </c>
      <c r="H31" s="11" t="str">
        <f>IFERROR(__xludf.DUMMYFUNCTION("""COMPUTED_VALUE"""),"Xmethod, Seiten-Werk, Pilot")</f>
        <v>Xmethod, Seiten-Werk, Pilot</v>
      </c>
      <c r="I31" s="11">
        <f>IFERROR(__xludf.DUMMYFUNCTION("""COMPUTED_VALUE"""),34.0)</f>
        <v>34</v>
      </c>
      <c r="J31" s="11">
        <f>IFERROR(__xludf.DUMMYFUNCTION("""COMPUTED_VALUE"""),0.04)</f>
        <v>0.04</v>
      </c>
      <c r="K31" s="11">
        <f>IFERROR(__xludf.DUMMYFUNCTION("""COMPUTED_VALUE"""),1.32)</f>
        <v>1.32</v>
      </c>
      <c r="L31" s="11"/>
    </row>
    <row r="32" ht="15.75" customHeight="1">
      <c r="A32" s="8" t="str">
        <f>IFERROR(__xludf.DUMMYFUNCTION("""COMPUTED_VALUE"""),"https://clutch.co/de/agencies/creative")</f>
        <v>https://clutch.co/de/agencies/creative</v>
      </c>
      <c r="B32" s="11" t="str">
        <f>IFERROR(__xludf.DUMMYFUNCTION("""COMPUTED_VALUE"""),"Top Creative Agencies in Germany - Jul 2026 Rankings \| Clutch.co")</f>
        <v>Top Creative Agencies in Germany - Jul 2026 Rankings \| Clutch.co</v>
      </c>
      <c r="C32" s="8" t="str">
        <f>IFERROR(__xludf.DUMMYFUNCTION("""COMPUTED_VALUE"""),"clutch.co")</f>
        <v>clutch.co</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IFERROR(__xludf.DUMMYFUNCTION("""COMPUTED_VALUE"""),"PANORAMA3000, Digitalyze, morefire, Haus")</f>
        <v>PANORAMA3000, Digitalyze, morefire, Haus</v>
      </c>
      <c r="I32" s="11">
        <f>IFERROR(__xludf.DUMMYFUNCTION("""COMPUTED_VALUE"""),33.0)</f>
        <v>33</v>
      </c>
      <c r="J32" s="11">
        <f>IFERROR(__xludf.DUMMYFUNCTION("""COMPUTED_VALUE"""),0.03)</f>
        <v>0.03</v>
      </c>
      <c r="K32" s="11">
        <f>IFERROR(__xludf.DUMMYFUNCTION("""COMPUTED_VALUE"""),0.36)</f>
        <v>0.36</v>
      </c>
      <c r="L32" s="11"/>
    </row>
    <row r="33" ht="15.75" customHeight="1">
      <c r="A33" s="8" t="str">
        <f>IFERROR(__xludf.DUMMYFUNCTION("""COMPUTED_VALUE"""),"https://www.dreikon.de/en/news/social-media/the-10-best-agencies-in-germany-2026/")</f>
        <v>https://www.dreikon.de/en/news/social-media/the-10-best-agencies-in-germany-2026/</v>
      </c>
      <c r="B33" s="11" t="str">
        <f>IFERROR(__xludf.DUMMYFUNCTION("""COMPUTED_VALUE"""),"Ranking of the 10 best social media agencies in Germany")</f>
        <v>Ranking of the 10 best social media agencies in Germany</v>
      </c>
      <c r="C33" s="8" t="str">
        <f>IFERROR(__xludf.DUMMYFUNCTION("""COMPUTED_VALUE"""),"dreikon.de")</f>
        <v>dreikon.de</v>
      </c>
      <c r="D33" s="11" t="str">
        <f>IFERROR(__xludf.DUMMYFUNCTION("""COMPUTED_VALUE"""),"LISTICLE")</f>
        <v>LISTICLE</v>
      </c>
      <c r="E33" s="11" t="str">
        <f>IFERROR(__xludf.DUMMYFUNCTION("""COMPUTED_VALUE"""),"COMPETITOR")</f>
        <v>COMPETITOR</v>
      </c>
      <c r="F33" s="11" t="str">
        <f>IFERROR(__xludf.DUMMYFUNCTION("""COMPUTED_VALUE"""),"Listicle")</f>
        <v>Listicle</v>
      </c>
      <c r="G33" s="11" t="b">
        <f>IFERROR(__xludf.DUMMYFUNCTION("""COMPUTED_VALUE"""),FALSE)</f>
        <v>0</v>
      </c>
      <c r="H33" s="11" t="str">
        <f>IFERROR(__xludf.DUMMYFUNCTION("""COMPUTED_VALUE"""),"DREIKON, Loyamo, Mawave")</f>
        <v>DREIKON, Loyamo, Mawave</v>
      </c>
      <c r="I33" s="11">
        <f>IFERROR(__xludf.DUMMYFUNCTION("""COMPUTED_VALUE"""),33.0)</f>
        <v>33</v>
      </c>
      <c r="J33" s="11">
        <f>IFERROR(__xludf.DUMMYFUNCTION("""COMPUTED_VALUE"""),0.03)</f>
        <v>0.03</v>
      </c>
      <c r="K33" s="11">
        <f>IFERROR(__xludf.DUMMYFUNCTION("""COMPUTED_VALUE"""),1.79)</f>
        <v>1.79</v>
      </c>
      <c r="L33" s="11"/>
    </row>
    <row r="34" ht="15.75" customHeight="1">
      <c r="A34" s="8" t="str">
        <f>IFERROR(__xludf.DUMMYFUNCTION("""COMPUTED_VALUE"""),"https://www.sortlist.com/i/s/creative/germany-de")</f>
        <v>https://www.sortlist.com/i/s/creative/germany-de</v>
      </c>
      <c r="B34" s="11" t="str">
        <f>IFERROR(__xludf.DUMMYFUNCTION("""COMPUTED_VALUE"""),"The 10 Best Creative Agencies in Germany - 2026 Reviews")</f>
        <v>The 10 Best Creative Agencies in Germany - 2026 Reviews</v>
      </c>
      <c r="C34" s="8" t="str">
        <f>IFERROR(__xludf.DUMMYFUNCTION("""COMPUTED_VALUE"""),"sortlist.com")</f>
        <v>sortlist.com</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t="str">
        <f>IFERROR(__xludf.DUMMYFUNCTION("""COMPUTED_VALUE"""),"PANORAMA3000, Measured")</f>
        <v>PANORAMA3000, Measured</v>
      </c>
      <c r="I34" s="11">
        <f>IFERROR(__xludf.DUMMYFUNCTION("""COMPUTED_VALUE"""),32.0)</f>
        <v>32</v>
      </c>
      <c r="J34" s="11">
        <f>IFERROR(__xludf.DUMMYFUNCTION("""COMPUTED_VALUE"""),0.03)</f>
        <v>0.03</v>
      </c>
      <c r="K34" s="11">
        <f>IFERROR(__xludf.DUMMYFUNCTION("""COMPUTED_VALUE"""),0.56)</f>
        <v>0.56</v>
      </c>
      <c r="L34" s="11"/>
    </row>
    <row r="35" ht="15.75" customHeight="1">
      <c r="A35" s="8" t="str">
        <f>IFERROR(__xludf.DUMMYFUNCTION("""COMPUTED_VALUE"""),"https://www.sortlist.com/s/ai-marketing/germany-de")</f>
        <v>https://www.sortlist.com/s/ai-marketing/germany-de</v>
      </c>
      <c r="B35" s="11" t="str">
        <f>IFERROR(__xludf.DUMMYFUNCTION("""COMPUTED_VALUE"""),"The 10 Best AI Marketing Companies in Germany - 2026 Reviews")</f>
        <v>The 10 Best AI Marketing Companies in Germany - 2026 Reviews</v>
      </c>
      <c r="C35" s="8" t="str">
        <f>IFERROR(__xludf.DUMMYFUNCTION("""COMPUTED_VALUE"""),"sortlist.com")</f>
        <v>sortlist.com</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c r="I35" s="11">
        <f>IFERROR(__xludf.DUMMYFUNCTION("""COMPUTED_VALUE"""),32.0)</f>
        <v>32</v>
      </c>
      <c r="J35" s="11">
        <f>IFERROR(__xludf.DUMMYFUNCTION("""COMPUTED_VALUE"""),0.03)</f>
        <v>0.03</v>
      </c>
      <c r="K35" s="11">
        <f>IFERROR(__xludf.DUMMYFUNCTION("""COMPUTED_VALUE"""),0.84)</f>
        <v>0.84</v>
      </c>
      <c r="L35" s="11"/>
    </row>
    <row r="36" ht="15.75" customHeight="1">
      <c r="A36" s="8" t="str">
        <f>IFERROR(__xludf.DUMMYFUNCTION("""COMPUTED_VALUE"""),"https://clutch.co/de/consulting/ai")</f>
        <v>https://clutch.co/de/consulting/ai</v>
      </c>
      <c r="B36" s="11" t="str">
        <f>IFERROR(__xludf.DUMMYFUNCTION("""COMPUTED_VALUE"""),"Top AI Consultants in Germany - Jul 2026 Rankings \| Clutch.co")</f>
        <v>Top AI Consultants in Germany - Jul 2026 Rankings \| Clutch.co</v>
      </c>
      <c r="C36" s="8" t="str">
        <f>IFERROR(__xludf.DUMMYFUNCTION("""COMPUTED_VALUE"""),"clutch.co")</f>
        <v>clutch.co</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c r="I36" s="11">
        <f>IFERROR(__xludf.DUMMYFUNCTION("""COMPUTED_VALUE"""),31.0)</f>
        <v>31</v>
      </c>
      <c r="J36" s="11">
        <f>IFERROR(__xludf.DUMMYFUNCTION("""COMPUTED_VALUE"""),0.03)</f>
        <v>0.03</v>
      </c>
      <c r="K36" s="11">
        <f>IFERROR(__xludf.DUMMYFUNCTION("""COMPUTED_VALUE"""),0.19)</f>
        <v>0.19</v>
      </c>
      <c r="L36" s="11"/>
    </row>
    <row r="37" ht="15.75" customHeight="1">
      <c r="A37" s="8" t="str">
        <f>IFERROR(__xludf.DUMMYFUNCTION("""COMPUTED_VALUE"""),"https://hikemytraffic.com/ai-digital-marketing-agencies-in-germany/")</f>
        <v>https://hikemytraffic.com/ai-digital-marketing-agencies-in-germany/</v>
      </c>
      <c r="B37" s="11" t="str">
        <f>IFERROR(__xludf.DUMMYFUNCTION("""COMPUTED_VALUE"""),"15 Best AI Digital Marketing Agencies in Germany (2026)")</f>
        <v>15 Best AI Digital Marketing Agencies in Germany (2026)</v>
      </c>
      <c r="C37" s="8" t="str">
        <f>IFERROR(__xludf.DUMMYFUNCTION("""COMPUTED_VALUE"""),"hikemytraffic.com")</f>
        <v>hikemytraffic.com</v>
      </c>
      <c r="D37" s="11" t="str">
        <f>IFERROR(__xludf.DUMMYFUNCTION("""COMPUTED_VALUE"""),"LISTICLE")</f>
        <v>LISTICLE</v>
      </c>
      <c r="E37" s="11" t="str">
        <f>IFERROR(__xludf.DUMMYFUNCTION("""COMPUTED_VALUE"""),"COMPETITOR")</f>
        <v>COMPETITOR</v>
      </c>
      <c r="F37" s="11" t="str">
        <f>IFERROR(__xludf.DUMMYFUNCTION("""COMPUTED_VALUE"""),"Listicle")</f>
        <v>Listicle</v>
      </c>
      <c r="G37" s="11" t="b">
        <f>IFERROR(__xludf.DUMMYFUNCTION("""COMPUTED_VALUE"""),FALSE)</f>
        <v>0</v>
      </c>
      <c r="H37" s="11" t="str">
        <f>IFERROR(__xludf.DUMMYFUNCTION("""COMPUTED_VALUE"""),"HikeMyTraffic")</f>
        <v>HikeMyTraffic</v>
      </c>
      <c r="I37" s="11">
        <f>IFERROR(__xludf.DUMMYFUNCTION("""COMPUTED_VALUE"""),30.0)</f>
        <v>30</v>
      </c>
      <c r="J37" s="11">
        <f>IFERROR(__xludf.DUMMYFUNCTION("""COMPUTED_VALUE"""),0.03)</f>
        <v>0.03</v>
      </c>
      <c r="K37" s="11">
        <f>IFERROR(__xludf.DUMMYFUNCTION("""COMPUTED_VALUE"""),1.17)</f>
        <v>1.17</v>
      </c>
      <c r="L37" s="11"/>
    </row>
    <row r="38" ht="15.75" customHeight="1">
      <c r="A38" s="8" t="str">
        <f>IFERROR(__xludf.DUMMYFUNCTION("""COMPUTED_VALUE"""),"https://www.influencer-hero.com/blogs/top-pay-per-click-agencies-in-germany")</f>
        <v>https://www.influencer-hero.com/blogs/top-pay-per-click-agencies-in-germany</v>
      </c>
      <c r="B38" s="11" t="str">
        <f>IFERROR(__xludf.DUMMYFUNCTION("""COMPUTED_VALUE"""),"Top 10 Pay-Per-Click Agencies in Germany")</f>
        <v>Top 10 Pay-Per-Click Agencies in Germany</v>
      </c>
      <c r="C38" s="8" t="str">
        <f>IFERROR(__xludf.DUMMYFUNCTION("""COMPUTED_VALUE"""),"influencer-hero.com")</f>
        <v>influencer-hero.com</v>
      </c>
      <c r="D38" s="11" t="str">
        <f>IFERROR(__xludf.DUMMYFUNCTION("""COMPUTED_VALUE"""),"LISTICLE")</f>
        <v>LISTICLE</v>
      </c>
      <c r="E38" s="11" t="str">
        <f>IFERROR(__xludf.DUMMYFUNCTION("""COMPUTED_VALUE"""),"CORPORATE")</f>
        <v>CORPORATE</v>
      </c>
      <c r="F38" s="11" t="str">
        <f>IFERROR(__xludf.DUMMYFUNCTION("""COMPUTED_VALUE"""),"Listicle")</f>
        <v>Listicle</v>
      </c>
      <c r="G38" s="11" t="b">
        <f>IFERROR(__xludf.DUMMYFUNCTION("""COMPUTED_VALUE"""),FALSE)</f>
        <v>0</v>
      </c>
      <c r="H38" s="11" t="str">
        <f>IFERROR(__xludf.DUMMYFUNCTION("""COMPUTED_VALUE"""),"Globalist, Social Media One, MONSOON, Mediacharge, Smarketer, KlickPiloten, Loyamo")</f>
        <v>Globalist, Social Media One, MONSOON, Mediacharge, Smarketer, KlickPiloten, Loyamo</v>
      </c>
      <c r="I38" s="11">
        <f>IFERROR(__xludf.DUMMYFUNCTION("""COMPUTED_VALUE"""),30.0)</f>
        <v>30</v>
      </c>
      <c r="J38" s="11">
        <f>IFERROR(__xludf.DUMMYFUNCTION("""COMPUTED_VALUE"""),0.03)</f>
        <v>0.03</v>
      </c>
      <c r="K38" s="11">
        <f>IFERROR(__xludf.DUMMYFUNCTION("""COMPUTED_VALUE"""),1.03)</f>
        <v>1.03</v>
      </c>
      <c r="L38" s="11"/>
    </row>
    <row r="39" ht="15.75" customHeight="1">
      <c r="A39" s="8" t="str">
        <f>IFERROR(__xludf.DUMMYFUNCTION("""COMPUTED_VALUE"""),"https://agencies.semrush.com/list/smm/germany/")</f>
        <v>https://agencies.semrush.com/list/smm/germany/</v>
      </c>
      <c r="B39" s="11" t="str">
        <f>IFERROR(__xludf.DUMMYFUNCTION("""COMPUTED_VALUE"""),"Best Social Media Marketing Agencies in Germany 2026 | Semrush")</f>
        <v>Best Social Media Marketing Agencies in Germany 2026 | Semrush</v>
      </c>
      <c r="C39" s="8" t="str">
        <f>IFERROR(__xludf.DUMMYFUNCTION("""COMPUTED_VALUE"""),"semrush.com")</f>
        <v>semrush.com</v>
      </c>
      <c r="D39" s="11" t="str">
        <f>IFERROR(__xludf.DUMMYFUNCTION("""COMPUTED_VALUE"""),"CATEGORY_PAGE")</f>
        <v>CATEGORY_PAGE</v>
      </c>
      <c r="E39" s="11" t="str">
        <f>IFERROR(__xludf.DUMMYFUNCTION("""COMPUTED_VALUE"""),"CORPORATE")</f>
        <v>CORPORATE</v>
      </c>
      <c r="F39" s="11" t="str">
        <f>IFERROR(__xludf.DUMMYFUNCTION("""COMPUTED_VALUE"""),"Category Page")</f>
        <v>Category Page</v>
      </c>
      <c r="G39" s="11" t="b">
        <f>IFERROR(__xludf.DUMMYFUNCTION("""COMPUTED_VALUE"""),FALSE)</f>
        <v>0</v>
      </c>
      <c r="H39" s="11" t="str">
        <f>IFERROR(__xludf.DUMMYFUNCTION("""COMPUTED_VALUE"""),"Baseplus DIGITAL MEDIA GmbH, morefire, Mediaplus Performance, MONSOON, KlickPiloten")</f>
        <v>Baseplus DIGITAL MEDIA GmbH, morefire, Mediaplus Performance, MONSOON, KlickPiloten</v>
      </c>
      <c r="I39" s="11">
        <f>IFERROR(__xludf.DUMMYFUNCTION("""COMPUTED_VALUE"""),29.0)</f>
        <v>29</v>
      </c>
      <c r="J39" s="11">
        <f>IFERROR(__xludf.DUMMYFUNCTION("""COMPUTED_VALUE"""),0.03)</f>
        <v>0.03</v>
      </c>
      <c r="K39" s="11">
        <f>IFERROR(__xludf.DUMMYFUNCTION("""COMPUTED_VALUE"""),1.07)</f>
        <v>1.07</v>
      </c>
      <c r="L39" s="11"/>
    </row>
    <row r="40" ht="15.75" customHeight="1">
      <c r="A40" s="8" t="str">
        <f>IFERROR(__xludf.DUMMYFUNCTION("""COMPUTED_VALUE"""),"https://www.cometly.com/post/best-marketing-attribution-agencies-in-europe")</f>
        <v>https://www.cometly.com/post/best-marketing-attribution-agencies-in-europe</v>
      </c>
      <c r="B40" s="11" t="str">
        <f>IFERROR(__xludf.DUMMYFUNCTION("""COMPUTED_VALUE"""),"Best Marketing Attribution Agencies In Europe 2026")</f>
        <v>Best Marketing Attribution Agencies In Europe 2026</v>
      </c>
      <c r="C40" s="8" t="str">
        <f>IFERROR(__xludf.DUMMYFUNCTION("""COMPUTED_VALUE"""),"cometly.com")</f>
        <v>cometly.com</v>
      </c>
      <c r="D40" s="11" t="str">
        <f>IFERROR(__xludf.DUMMYFUNCTION("""COMPUTED_VALUE"""),"LISTICLE")</f>
        <v>LISTICLE</v>
      </c>
      <c r="E40" s="11" t="str">
        <f>IFERROR(__xludf.DUMMYFUNCTION("""COMPUTED_VALUE"""),"COMPETITOR")</f>
        <v>COMPETITOR</v>
      </c>
      <c r="F40" s="11" t="str">
        <f>IFERROR(__xludf.DUMMYFUNCTION("""COMPUTED_VALUE"""),"Listicle")</f>
        <v>Listicle</v>
      </c>
      <c r="G40" s="11" t="b">
        <f>IFERROR(__xludf.DUMMYFUNCTION("""COMPUTED_VALUE"""),TRUE)</f>
        <v>1</v>
      </c>
      <c r="H40" s="11" t="str">
        <f>IFERROR(__xludf.DUMMYFUNCTION("""COMPUTED_VALUE"""),"Cometly, Incubeta, Artefact, Convertiv, Jellyfish, Making Science")</f>
        <v>Cometly, Incubeta, Artefact, Convertiv, Jellyfish, Making Science</v>
      </c>
      <c r="I40" s="11">
        <f>IFERROR(__xludf.DUMMYFUNCTION("""COMPUTED_VALUE"""),28.0)</f>
        <v>28</v>
      </c>
      <c r="J40" s="11">
        <f>IFERROR(__xludf.DUMMYFUNCTION("""COMPUTED_VALUE"""),0.03)</f>
        <v>0.03</v>
      </c>
      <c r="K40" s="11">
        <f>IFERROR(__xludf.DUMMYFUNCTION("""COMPUTED_VALUE"""),1.71)</f>
        <v>1.71</v>
      </c>
      <c r="L40" s="11"/>
    </row>
    <row r="41" ht="15.75" customHeight="1">
      <c r="A41" s="8" t="str">
        <f>IFERROR(__xludf.DUMMYFUNCTION("""COMPUTED_VALUE"""),"https://www.designrush.com/agency/creative-agencies/de")</f>
        <v>https://www.designrush.com/agency/creative-agencies/de</v>
      </c>
      <c r="B41" s="11" t="str">
        <f>IFERROR(__xludf.DUMMYFUNCTION("""COMPUTED_VALUE"""),"Top Creative Agencies in Germany | 2026")</f>
        <v>Top Creative Agencies in Germany | 2026</v>
      </c>
      <c r="C41" s="8" t="str">
        <f>IFERROR(__xludf.DUMMYFUNCTION("""COMPUTED_VALUE"""),"designrush.com")</f>
        <v>designrush.com</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IFERROR(__xludf.DUMMYFUNCTION("""COMPUTED_VALUE"""),"REPLUG, EY")</f>
        <v>REPLUG, EY</v>
      </c>
      <c r="I41" s="11">
        <f>IFERROR(__xludf.DUMMYFUNCTION("""COMPUTED_VALUE"""),28.0)</f>
        <v>28</v>
      </c>
      <c r="J41" s="11">
        <f>IFERROR(__xludf.DUMMYFUNCTION("""COMPUTED_VALUE"""),0.03)</f>
        <v>0.03</v>
      </c>
      <c r="K41" s="11">
        <f>IFERROR(__xludf.DUMMYFUNCTION("""COMPUTED_VALUE"""),0.57)</f>
        <v>0.57</v>
      </c>
      <c r="L41" s="11"/>
    </row>
    <row r="42" ht="15.75" customHeight="1">
      <c r="A42" s="8" t="str">
        <f>IFERROR(__xludf.DUMMYFUNCTION("""COMPUTED_VALUE"""),"https://sourceforge.net/software/incrementality-testing/germany/")</f>
        <v>https://sourceforge.net/software/incrementality-testing/germany/</v>
      </c>
      <c r="B42" s="11" t="str">
        <f>IFERROR(__xludf.DUMMYFUNCTION("""COMPUTED_VALUE"""),"Best Incrementality Testing Tools in Germany of 2026 - Reviews &amp;amp; Comparison")</f>
        <v>Best Incrementality Testing Tools in Germany of 2026 - Reviews &amp;amp; Comparison</v>
      </c>
      <c r="C42" s="8" t="str">
        <f>IFERROR(__xludf.DUMMYFUNCTION("""COMPUTED_VALUE"""),"sourceforge.net")</f>
        <v>sourceforge.net</v>
      </c>
      <c r="D42" s="11" t="str">
        <f>IFERROR(__xludf.DUMMYFUNCTION("""COMPUTED_VALUE"""),"CATEGORY_PAGE")</f>
        <v>CATEGORY_PAGE</v>
      </c>
      <c r="E42" s="11" t="str">
        <f>IFERROR(__xludf.DUMMYFUNCTION("""COMPUTED_VALUE"""),"OTHER")</f>
        <v>OTHER</v>
      </c>
      <c r="F42" s="11" t="str">
        <f>IFERROR(__xludf.DUMMYFUNCTION("""COMPUTED_VALUE"""),"Category Page")</f>
        <v>Category Page</v>
      </c>
      <c r="G42" s="11" t="b">
        <f>IFERROR(__xludf.DUMMYFUNCTION("""COMPUTED_VALUE"""),FALSE)</f>
        <v>0</v>
      </c>
      <c r="H42" s="11" t="str">
        <f>IFERROR(__xludf.DUMMYFUNCTION("""COMPUTED_VALUE"""),"Measured, LifeSight, Sellforte, Rockerbox, Recast, Haus, Analytic Partners")</f>
        <v>Measured, LifeSight, Sellforte, Rockerbox, Recast, Haus, Analytic Partners</v>
      </c>
      <c r="I42" s="11">
        <f>IFERROR(__xludf.DUMMYFUNCTION("""COMPUTED_VALUE"""),28.0)</f>
        <v>28</v>
      </c>
      <c r="J42" s="11">
        <f>IFERROR(__xludf.DUMMYFUNCTION("""COMPUTED_VALUE"""),0.03)</f>
        <v>0.03</v>
      </c>
      <c r="K42" s="11">
        <f>IFERROR(__xludf.DUMMYFUNCTION("""COMPUTED_VALUE"""),0.89)</f>
        <v>0.89</v>
      </c>
      <c r="L42" s="11"/>
    </row>
    <row r="43" ht="15.75" customHeight="1">
      <c r="A43" s="8" t="str">
        <f>IFERROR(__xludf.DUMMYFUNCTION("""COMPUTED_VALUE"""),"https://agencies.semrush.com/list/advertising/germany/")</f>
        <v>https://agencies.semrush.com/list/advertising/germany/</v>
      </c>
      <c r="B43" s="11" t="str">
        <f>IFERROR(__xludf.DUMMYFUNCTION("""COMPUTED_VALUE"""),"Best Advertising Agencies in Germany 2026 | Semrush")</f>
        <v>Best Advertising Agencies in Germany 2026 | Semrush</v>
      </c>
      <c r="C43" s="8" t="str">
        <f>IFERROR(__xludf.DUMMYFUNCTION("""COMPUTED_VALUE"""),"semrush.com")</f>
        <v>semrush.com</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IFERROR(__xludf.DUMMYFUNCTION("""COMPUTED_VALUE"""),"Baseplus DIGITAL MEDIA GmbH, morefire, Mediaplus Performance, MONSOON, Mediacharge, KlickPiloten, Huge")</f>
        <v>Baseplus DIGITAL MEDIA GmbH, morefire, Mediaplus Performance, MONSOON, Mediacharge, KlickPiloten, Huge</v>
      </c>
      <c r="I43" s="11">
        <f>IFERROR(__xludf.DUMMYFUNCTION("""COMPUTED_VALUE"""),27.0)</f>
        <v>27</v>
      </c>
      <c r="J43" s="11">
        <f>IFERROR(__xludf.DUMMYFUNCTION("""COMPUTED_VALUE"""),0.03)</f>
        <v>0.03</v>
      </c>
      <c r="K43" s="11">
        <f>IFERROR(__xludf.DUMMYFUNCTION("""COMPUTED_VALUE"""),0.67)</f>
        <v>0.67</v>
      </c>
      <c r="L43" s="11"/>
    </row>
    <row r="44" ht="15.75" customHeight="1">
      <c r="A44" s="8" t="str">
        <f>IFERROR(__xludf.DUMMYFUNCTION("""COMPUTED_VALUE"""),"https://www.magiclibrary.co/blog/best-b2b-saas-marketing-agencies-in-germany")</f>
        <v>https://www.magiclibrary.co/blog/best-b2b-saas-marketing-agencies-in-germany</v>
      </c>
      <c r="B44" s="11" t="str">
        <f>IFERROR(__xludf.DUMMYFUNCTION("""COMPUTED_VALUE"""),"12 best B2B SaaS marketing agencies in Germany for 2026")</f>
        <v>12 best B2B SaaS marketing agencies in Germany for 2026</v>
      </c>
      <c r="C44" s="8" t="str">
        <f>IFERROR(__xludf.DUMMYFUNCTION("""COMPUTED_VALUE"""),"magiclibrary.co")</f>
        <v>magiclibrary.co</v>
      </c>
      <c r="D44" s="11" t="str">
        <f>IFERROR(__xludf.DUMMYFUNCTION("""COMPUTED_VALUE"""),"LISTICLE")</f>
        <v>LISTICLE</v>
      </c>
      <c r="E44" s="11" t="str">
        <f>IFERROR(__xludf.DUMMYFUNCTION("""COMPUTED_VALUE"""),"REFERENCE")</f>
        <v>REFERENCE</v>
      </c>
      <c r="F44" s="11" t="str">
        <f>IFERROR(__xludf.DUMMYFUNCTION("""COMPUTED_VALUE"""),"Listicle")</f>
        <v>Listicle</v>
      </c>
      <c r="G44" s="11" t="b">
        <f>IFERROR(__xludf.DUMMYFUNCTION("""COMPUTED_VALUE"""),FALSE)</f>
        <v>0</v>
      </c>
      <c r="H44" s="11" t="str">
        <f>IFERROR(__xludf.DUMMYFUNCTION("""COMPUTED_VALUE"""),"Radyant, Omnius")</f>
        <v>Radyant, Omnius</v>
      </c>
      <c r="I44" s="11">
        <f>IFERROR(__xludf.DUMMYFUNCTION("""COMPUTED_VALUE"""),27.0)</f>
        <v>27</v>
      </c>
      <c r="J44" s="11">
        <f>IFERROR(__xludf.DUMMYFUNCTION("""COMPUTED_VALUE"""),0.03)</f>
        <v>0.03</v>
      </c>
      <c r="K44" s="11">
        <f>IFERROR(__xludf.DUMMYFUNCTION("""COMPUTED_VALUE"""),1.15)</f>
        <v>1.15</v>
      </c>
      <c r="L44" s="11"/>
    </row>
    <row r="45" ht="15.75" customHeight="1">
      <c r="A45" s="8" t="str">
        <f>IFERROR(__xludf.DUMMYFUNCTION("""COMPUTED_VALUE"""),"https://aeovision.ai/articles/best-aeo-geo-agencies-2026/")</f>
        <v>https://aeovision.ai/articles/best-aeo-geo-agencies-2026/</v>
      </c>
      <c r="B45" s="11" t="str">
        <f>IFERROR(__xludf.DUMMYFUNCTION("""COMPUTED_VALUE"""),"Best 60+ AEO/GEO Agencies in 2026 (US, Europe &amp;amp; Asia Directory) | AEO Vision")</f>
        <v>Best 60+ AEO/GEO Agencies in 2026 (US, Europe &amp;amp; Asia Directory) | AEO Vision</v>
      </c>
      <c r="C45" s="8" t="str">
        <f>IFERROR(__xludf.DUMMYFUNCTION("""COMPUTED_VALUE"""),"aeovision.ai")</f>
        <v>aeovision.ai</v>
      </c>
      <c r="D45" s="11" t="str">
        <f>IFERROR(__xludf.DUMMYFUNCTION("""COMPUTED_VALUE"""),"LISTICLE")</f>
        <v>LISTICLE</v>
      </c>
      <c r="E45" s="11" t="str">
        <f>IFERROR(__xludf.DUMMYFUNCTION("""COMPUTED_VALUE"""),"CORPORATE")</f>
        <v>CORPORATE</v>
      </c>
      <c r="F45" s="11" t="str">
        <f>IFERROR(__xludf.DUMMYFUNCTION("""COMPUTED_VALUE"""),"Listicle")</f>
        <v>Listicle</v>
      </c>
      <c r="G45" s="11" t="b">
        <f>IFERROR(__xludf.DUMMYFUNCTION("""COMPUTED_VALUE"""),FALSE)</f>
        <v>0</v>
      </c>
      <c r="H45" s="11" t="str">
        <f>IFERROR(__xludf.DUMMYFUNCTION("""COMPUTED_VALUE"""),"iPullRank, Siege Media, Omniscient Digital, NoGood, Directive Consulting, Single Grain, Darkroom, Wpromote, Omnius, Seeders, Claneo, Radyant")</f>
        <v>iPullRank, Siege Media, Omniscient Digital, NoGood, Directive Consulting, Single Grain, Darkroom, Wpromote, Omnius, Seeders, Claneo, Radyant</v>
      </c>
      <c r="I45" s="11">
        <f>IFERROR(__xludf.DUMMYFUNCTION("""COMPUTED_VALUE"""),26.0)</f>
        <v>26</v>
      </c>
      <c r="J45" s="11">
        <f>IFERROR(__xludf.DUMMYFUNCTION("""COMPUTED_VALUE"""),0.03)</f>
        <v>0.03</v>
      </c>
      <c r="K45" s="11">
        <f>IFERROR(__xludf.DUMMYFUNCTION("""COMPUTED_VALUE"""),0.54)</f>
        <v>0.54</v>
      </c>
      <c r="L45" s="11"/>
    </row>
    <row r="46" ht="15.75" customHeight="1">
      <c r="A46" s="8" t="str">
        <f>IFERROR(__xludf.DUMMYFUNCTION("""COMPUTED_VALUE"""),"https://clutch.co/de/agencies/market-research")</f>
        <v>https://clutch.co/de/agencies/market-research</v>
      </c>
      <c r="B46" s="11" t="str">
        <f>IFERROR(__xludf.DUMMYFUNCTION("""COMPUTED_VALUE"""),"Top Market Research Companies in Germany - Jul 2026 Rankings | Clutch.co")</f>
        <v>Top Market Research Companies in Germany - Jul 2026 Rankings | Clutch.co</v>
      </c>
      <c r="C46" s="8" t="str">
        <f>IFERROR(__xludf.DUMMYFUNCTION("""COMPUTED_VALUE"""),"clutch.co")</f>
        <v>clutch.co</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IFERROR(__xludf.DUMMYFUNCTION("""COMPUTED_VALUE"""),"LNQP GmbH, Merkle")</f>
        <v>LNQP GmbH, Merkle</v>
      </c>
      <c r="I46" s="11">
        <f>IFERROR(__xludf.DUMMYFUNCTION("""COMPUTED_VALUE"""),26.0)</f>
        <v>26</v>
      </c>
      <c r="J46" s="11">
        <f>IFERROR(__xludf.DUMMYFUNCTION("""COMPUTED_VALUE"""),0.03)</f>
        <v>0.03</v>
      </c>
      <c r="K46" s="11">
        <f>IFERROR(__xludf.DUMMYFUNCTION("""COMPUTED_VALUE"""),2.23)</f>
        <v>2.23</v>
      </c>
      <c r="L46" s="11"/>
    </row>
    <row r="47" ht="15.75" customHeight="1">
      <c r="A47" s="8" t="str">
        <f>IFERROR(__xludf.DUMMYFUNCTION("""COMPUTED_VALUE"""),"https://www.goodfirms.co/advertising-companies/creative/germany")</f>
        <v>https://www.goodfirms.co/advertising-companies/creative/germany</v>
      </c>
      <c r="B47" s="11" t="str">
        <f>IFERROR(__xludf.DUMMYFUNCTION("""COMPUTED_VALUE"""),"Top Creative Agencies in Germany - 2026 Reviews | Goodfirms")</f>
        <v>Top Creative Agencies in Germany - 2026 Reviews | Goodfirms</v>
      </c>
      <c r="C47" s="8" t="str">
        <f>IFERROR(__xludf.DUMMYFUNCTION("""COMPUTED_VALUE"""),"goodfirms.co")</f>
        <v>goodfirms.co</v>
      </c>
      <c r="D47" s="11" t="str">
        <f>IFERROR(__xludf.DUMMYFUNCTION("""COMPUTED_VALUE"""),"CATEGORY_PAGE")</f>
        <v>CATEGORY_PAGE</v>
      </c>
      <c r="E47" s="11" t="str">
        <f>IFERROR(__xludf.DUMMYFUNCTION("""COMPUTED_VALUE"""),"UGC")</f>
        <v>UGC</v>
      </c>
      <c r="F47" s="11" t="str">
        <f>IFERROR(__xludf.DUMMYFUNCTION("""COMPUTED_VALUE"""),"Category Page")</f>
        <v>Category Page</v>
      </c>
      <c r="G47" s="11" t="b">
        <f>IFERROR(__xludf.DUMMYFUNCTION("""COMPUTED_VALUE"""),FALSE)</f>
        <v>0</v>
      </c>
      <c r="H47" s="11" t="str">
        <f>IFERROR(__xludf.DUMMYFUNCTION("""COMPUTED_VALUE"""),"Mediacharge, Scholz &amp; Friends, Publicis Groupe")</f>
        <v>Mediacharge, Scholz &amp; Friends, Publicis Groupe</v>
      </c>
      <c r="I47" s="11">
        <f>IFERROR(__xludf.DUMMYFUNCTION("""COMPUTED_VALUE"""),26.0)</f>
        <v>26</v>
      </c>
      <c r="J47" s="11">
        <f>IFERROR(__xludf.DUMMYFUNCTION("""COMPUTED_VALUE"""),0.03)</f>
        <v>0.03</v>
      </c>
      <c r="K47" s="11">
        <f>IFERROR(__xludf.DUMMYFUNCTION("""COMPUTED_VALUE"""),0.58)</f>
        <v>0.58</v>
      </c>
      <c r="L47" s="11"/>
    </row>
    <row r="48" ht="15.75" customHeight="1">
      <c r="A48" s="8" t="str">
        <f>IFERROR(__xludf.DUMMYFUNCTION("""COMPUTED_VALUE"""),"https://sourceforge.net/software/marketing-attribution/germany/")</f>
        <v>https://sourceforge.net/software/marketing-attribution/germany/</v>
      </c>
      <c r="B48" s="11" t="str">
        <f>IFERROR(__xludf.DUMMYFUNCTION("""COMPUTED_VALUE"""),"Best Marketing Attribution Software in Germany of 2026 - Reviews &amp;amp; Comparison")</f>
        <v>Best Marketing Attribution Software in Germany of 2026 - Reviews &amp;amp; Comparison</v>
      </c>
      <c r="C48" s="8" t="str">
        <f>IFERROR(__xludf.DUMMYFUNCTION("""COMPUTED_VALUE"""),"sourceforge.net")</f>
        <v>sourceforge.net</v>
      </c>
      <c r="D48" s="11" t="str">
        <f>IFERROR(__xludf.DUMMYFUNCTION("""COMPUTED_VALUE"""),"LISTICLE")</f>
        <v>LISTICLE</v>
      </c>
      <c r="E48" s="11" t="str">
        <f>IFERROR(__xludf.DUMMYFUNCTION("""COMPUTED_VALUE"""),"OTHER")</f>
        <v>OTHER</v>
      </c>
      <c r="F48" s="11" t="str">
        <f>IFERROR(__xludf.DUMMYFUNCTION("""COMPUTED_VALUE"""),"Listicle")</f>
        <v>Listicle</v>
      </c>
      <c r="G48" s="11" t="b">
        <f>IFERROR(__xludf.DUMMYFUNCTION("""COMPUTED_VALUE"""),FALSE)</f>
        <v>0</v>
      </c>
      <c r="H48" s="11" t="str">
        <f>IFERROR(__xludf.DUMMYFUNCTION("""COMPUTED_VALUE"""),"Triple Whale, Measured")</f>
        <v>Triple Whale, Measured</v>
      </c>
      <c r="I48" s="11">
        <f>IFERROR(__xludf.DUMMYFUNCTION("""COMPUTED_VALUE"""),26.0)</f>
        <v>26</v>
      </c>
      <c r="J48" s="11">
        <f>IFERROR(__xludf.DUMMYFUNCTION("""COMPUTED_VALUE"""),0.03)</f>
        <v>0.03</v>
      </c>
      <c r="K48" s="11">
        <f>IFERROR(__xludf.DUMMYFUNCTION("""COMPUTED_VALUE"""),0.15)</f>
        <v>0.15</v>
      </c>
      <c r="L48" s="11"/>
    </row>
    <row r="49" ht="15.75" customHeight="1">
      <c r="A49" s="8" t="str">
        <f>IFERROR(__xludf.DUMMYFUNCTION("""COMPUTED_VALUE"""),"https://digitalagencynetwork.com/agencies/berlin/")</f>
        <v>https://digitalagencynetwork.com/agencies/berlin/</v>
      </c>
      <c r="B49" s="11" t="str">
        <f>IFERROR(__xludf.DUMMYFUNCTION("""COMPUTED_VALUE"""),"Top Digital Marketing Agencies in Berlin, Germany (2026)")</f>
        <v>Top Digital Marketing Agencies in Berlin, Germany (2026)</v>
      </c>
      <c r="C49" s="8" t="str">
        <f>IFERROR(__xludf.DUMMYFUNCTION("""COMPUTED_VALUE"""),"digitalagencynetwork.com")</f>
        <v>digitalagencynetwork.com</v>
      </c>
      <c r="D49" s="11" t="str">
        <f>IFERROR(__xludf.DUMMYFUNCTION("""COMPUTED_VALUE"""),"PROFILE")</f>
        <v>PROFILE</v>
      </c>
      <c r="E49" s="11" t="str">
        <f>IFERROR(__xludf.DUMMYFUNCTION("""COMPUTED_VALUE"""),"REFERENCE")</f>
        <v>REFERENCE</v>
      </c>
      <c r="F49" s="11" t="str">
        <f>IFERROR(__xludf.DUMMYFUNCTION("""COMPUTED_VALUE"""),"Profile")</f>
        <v>Profile</v>
      </c>
      <c r="G49" s="11" t="b">
        <f>IFERROR(__xludf.DUMMYFUNCTION("""COMPUTED_VALUE"""),FALSE)</f>
        <v>0</v>
      </c>
      <c r="H49" s="11" t="str">
        <f>IFERROR(__xludf.DUMMYFUNCTION("""COMPUTED_VALUE"""),"MONSOON, PANORAMA3000, HY.AM STUDIOS")</f>
        <v>MONSOON, PANORAMA3000, HY.AM STUDIOS</v>
      </c>
      <c r="I49" s="11">
        <f>IFERROR(__xludf.DUMMYFUNCTION("""COMPUTED_VALUE"""),24.0)</f>
        <v>24</v>
      </c>
      <c r="J49" s="11">
        <f>IFERROR(__xludf.DUMMYFUNCTION("""COMPUTED_VALUE"""),0.02)</f>
        <v>0.02</v>
      </c>
      <c r="K49" s="11">
        <f>IFERROR(__xludf.DUMMYFUNCTION("""COMPUTED_VALUE"""),0.33)</f>
        <v>0.33</v>
      </c>
      <c r="L49" s="11"/>
    </row>
    <row r="50" ht="15.75" customHeight="1">
      <c r="A50" s="8" t="str">
        <f>IFERROR(__xludf.DUMMYFUNCTION("""COMPUTED_VALUE"""),"https://feedbax.ai/performance-marketing/germany")</f>
        <v>https://feedbax.ai/performance-marketing/germany</v>
      </c>
      <c r="B50" s="11" t="str">
        <f>IFERROR(__xludf.DUMMYFUNCTION("""COMPUTED_VALUE"""),"Top 20 Performance Marketing Agencies in Germany - 2026 Reviews")</f>
        <v>Top 20 Performance Marketing Agencies in Germany - 2026 Reviews</v>
      </c>
      <c r="C50" s="8" t="str">
        <f>IFERROR(__xludf.DUMMYFUNCTION("""COMPUTED_VALUE"""),"feedbax.ai")</f>
        <v>feedbax.ai</v>
      </c>
      <c r="D50" s="11" t="str">
        <f>IFERROR(__xludf.DUMMYFUNCTION("""COMPUTED_VALUE"""),"PROFILE")</f>
        <v>PROFILE</v>
      </c>
      <c r="E50" s="11" t="str">
        <f>IFERROR(__xludf.DUMMYFUNCTION("""COMPUTED_VALUE"""),"UGC")</f>
        <v>UGC</v>
      </c>
      <c r="F50" s="11" t="str">
        <f>IFERROR(__xludf.DUMMYFUNCTION("""COMPUTED_VALUE"""),"Profile")</f>
        <v>Profile</v>
      </c>
      <c r="G50" s="11" t="b">
        <f>IFERROR(__xludf.DUMMYFUNCTION("""COMPUTED_VALUE"""),FALSE)</f>
        <v>0</v>
      </c>
      <c r="H50" s="11" t="str">
        <f>IFERROR(__xludf.DUMMYFUNCTION("""COMPUTED_VALUE"""),"PANORAMA3000, KlickPiloten, Mediacharge, Smarketer, DREIKON, Suchhelden")</f>
        <v>PANORAMA3000, KlickPiloten, Mediacharge, Smarketer, DREIKON, Suchhelden</v>
      </c>
      <c r="I50" s="11">
        <f>IFERROR(__xludf.DUMMYFUNCTION("""COMPUTED_VALUE"""),24.0)</f>
        <v>24</v>
      </c>
      <c r="J50" s="11">
        <f>IFERROR(__xludf.DUMMYFUNCTION("""COMPUTED_VALUE"""),0.02)</f>
        <v>0.02</v>
      </c>
      <c r="K50" s="11">
        <f>IFERROR(__xludf.DUMMYFUNCTION("""COMPUTED_VALUE"""),0.54)</f>
        <v>0.54</v>
      </c>
      <c r="L50" s="11"/>
    </row>
    <row r="51" ht="15.75" customHeight="1">
      <c r="A51" s="8" t="str">
        <f>IFERROR(__xludf.DUMMYFUNCTION("""COMPUTED_VALUE"""),"https://hikemytraffic.com/ai-digital-marketing-services-in-germany/")</f>
        <v>https://hikemytraffic.com/ai-digital-marketing-services-in-germany/</v>
      </c>
      <c r="B51" s="11" t="str">
        <f>IFERROR(__xludf.DUMMYFUNCTION("""COMPUTED_VALUE"""),"Top 10 AI Digital Marketing Services in Germany (2026)")</f>
        <v>Top 10 AI Digital Marketing Services in Germany (2026)</v>
      </c>
      <c r="C51" s="8" t="str">
        <f>IFERROR(__xludf.DUMMYFUNCTION("""COMPUTED_VALUE"""),"hikemytraffic.com")</f>
        <v>hikemytraffic.com</v>
      </c>
      <c r="D51" s="11" t="str">
        <f>IFERROR(__xludf.DUMMYFUNCTION("""COMPUTED_VALUE"""),"LISTICLE")</f>
        <v>LISTICLE</v>
      </c>
      <c r="E51" s="11" t="str">
        <f>IFERROR(__xludf.DUMMYFUNCTION("""COMPUTED_VALUE"""),"COMPETITOR")</f>
        <v>COMPETITOR</v>
      </c>
      <c r="F51" s="11" t="str">
        <f>IFERROR(__xludf.DUMMYFUNCTION("""COMPUTED_VALUE"""),"Listicle")</f>
        <v>Listicle</v>
      </c>
      <c r="G51" s="11" t="b">
        <f>IFERROR(__xludf.DUMMYFUNCTION("""COMPUTED_VALUE"""),FALSE)</f>
        <v>0</v>
      </c>
      <c r="H51" s="11" t="str">
        <f>IFERROR(__xludf.DUMMYFUNCTION("""COMPUTED_VALUE"""),"HikeMyTraffic")</f>
        <v>HikeMyTraffic</v>
      </c>
      <c r="I51" s="11">
        <f>IFERROR(__xludf.DUMMYFUNCTION("""COMPUTED_VALUE"""),24.0)</f>
        <v>24</v>
      </c>
      <c r="J51" s="11">
        <f>IFERROR(__xludf.DUMMYFUNCTION("""COMPUTED_VALUE"""),0.02)</f>
        <v>0.02</v>
      </c>
      <c r="K51" s="11">
        <f>IFERROR(__xludf.DUMMYFUNCTION("""COMPUTED_VALUE"""),1.08)</f>
        <v>1.08</v>
      </c>
      <c r="L51" s="11"/>
    </row>
    <row r="52" ht="15.75" customHeight="1">
      <c r="A52" s="8" t="str">
        <f>IFERROR(__xludf.DUMMYFUNCTION("""COMPUTED_VALUE"""),"https://techbehemoths.com/companies/google-marketing-platform/germany")</f>
        <v>https://techbehemoths.com/companies/google-marketing-platform/germany</v>
      </c>
      <c r="B52" s="11" t="str">
        <f>IFERROR(__xludf.DUMMYFUNCTION("""COMPUTED_VALUE"""),"Top 20+ Google Marketing Platform Companies in Germany (2026) - TechBehemoths")</f>
        <v>Top 20+ Google Marketing Platform Companies in Germany (2026) - TechBehemoths</v>
      </c>
      <c r="C52" s="8" t="str">
        <f>IFERROR(__xludf.DUMMYFUNCTION("""COMPUTED_VALUE"""),"techbehemoths.com")</f>
        <v>techbehemoths.com</v>
      </c>
      <c r="D52" s="11" t="str">
        <f>IFERROR(__xludf.DUMMYFUNCTION("""COMPUTED_VALUE"""),"PROFILE")</f>
        <v>PROFILE</v>
      </c>
      <c r="E52" s="11" t="str">
        <f>IFERROR(__xludf.DUMMYFUNCTION("""COMPUTED_VALUE"""),"REFERENCE")</f>
        <v>REFERENCE</v>
      </c>
      <c r="F52" s="11" t="str">
        <f>IFERROR(__xludf.DUMMYFUNCTION("""COMPUTED_VALUE"""),"Profile")</f>
        <v>Profile</v>
      </c>
      <c r="G52" s="11" t="b">
        <f>IFERROR(__xludf.DUMMYFUNCTION("""COMPUTED_VALUE"""),FALSE)</f>
        <v>0</v>
      </c>
      <c r="H52" s="11" t="str">
        <f>IFERROR(__xludf.DUMMYFUNCTION("""COMPUTED_VALUE"""),"Peak Ace, Huge")</f>
        <v>Peak Ace, Huge</v>
      </c>
      <c r="I52" s="11">
        <f>IFERROR(__xludf.DUMMYFUNCTION("""COMPUTED_VALUE"""),24.0)</f>
        <v>24</v>
      </c>
      <c r="J52" s="11">
        <f>IFERROR(__xludf.DUMMYFUNCTION("""COMPUTED_VALUE"""),0.02)</f>
        <v>0.02</v>
      </c>
      <c r="K52" s="11">
        <f>IFERROR(__xludf.DUMMYFUNCTION("""COMPUTED_VALUE"""),0.29)</f>
        <v>0.29</v>
      </c>
      <c r="L52" s="11"/>
    </row>
    <row r="53" ht="15.75" customHeight="1">
      <c r="A53" s="8" t="str">
        <f>IFERROR(__xludf.DUMMYFUNCTION("""COMPUTED_VALUE"""),"https://www.xmethod.de/en/blog/besten-ki-agenturen")</f>
        <v>https://www.xmethod.de/en/blog/besten-ki-agenturen</v>
      </c>
      <c r="B53" s="11" t="str">
        <f>IFERROR(__xludf.DUMMYFUNCTION("""COMPUTED_VALUE"""),"Top AI Agencies 2026 in Germany – Services &amp;amp; Costs")</f>
        <v>Top AI Agencies 2026 in Germany – Services &amp;amp; Costs</v>
      </c>
      <c r="C53" s="8" t="str">
        <f>IFERROR(__xludf.DUMMYFUNCTION("""COMPUTED_VALUE"""),"xmethod.de")</f>
        <v>xmethod.de</v>
      </c>
      <c r="D53" s="11" t="str">
        <f>IFERROR(__xludf.DUMMYFUNCTION("""COMPUTED_VALUE"""),"LISTICLE")</f>
        <v>LISTICLE</v>
      </c>
      <c r="E53" s="11" t="str">
        <f>IFERROR(__xludf.DUMMYFUNCTION("""COMPUTED_VALUE"""),"COMPETITOR")</f>
        <v>COMPETITOR</v>
      </c>
      <c r="F53" s="11" t="str">
        <f>IFERROR(__xludf.DUMMYFUNCTION("""COMPUTED_VALUE"""),"Listicle")</f>
        <v>Listicle</v>
      </c>
      <c r="G53" s="11" t="b">
        <f>IFERROR(__xludf.DUMMYFUNCTION("""COMPUTED_VALUE"""),FALSE)</f>
        <v>0</v>
      </c>
      <c r="H53" s="11" t="str">
        <f>IFERROR(__xludf.DUMMYFUNCTION("""COMPUTED_VALUE"""),"Xmethod, Seiten-Werk, Pilot")</f>
        <v>Xmethod, Seiten-Werk, Pilot</v>
      </c>
      <c r="I53" s="11">
        <f>IFERROR(__xludf.DUMMYFUNCTION("""COMPUTED_VALUE"""),24.0)</f>
        <v>24</v>
      </c>
      <c r="J53" s="11">
        <f>IFERROR(__xludf.DUMMYFUNCTION("""COMPUTED_VALUE"""),0.02)</f>
        <v>0.02</v>
      </c>
      <c r="K53" s="11">
        <f>IFERROR(__xludf.DUMMYFUNCTION("""COMPUTED_VALUE"""),0.83)</f>
        <v>0.83</v>
      </c>
      <c r="L53" s="11"/>
    </row>
    <row r="54" ht="15.75" customHeight="1">
      <c r="A54" s="8" t="str">
        <f>IFERROR(__xludf.DUMMYFUNCTION("""COMPUTED_VALUE"""),"https://www.zendikt.com/top-10-marketing-analytics-software/germany")</f>
        <v>https://www.zendikt.com/top-10-marketing-analytics-software/germany</v>
      </c>
      <c r="B54" s="11" t="str">
        <f>IFERROR(__xludf.DUMMYFUNCTION("""COMPUTED_VALUE"""),"Top 10 Marketing Analytics Software in Germany for 2026")</f>
        <v>Top 10 Marketing Analytics Software in Germany for 2026</v>
      </c>
      <c r="C54" s="8" t="str">
        <f>IFERROR(__xludf.DUMMYFUNCTION("""COMPUTED_VALUE"""),"zendikt.com")</f>
        <v>zendikt.com</v>
      </c>
      <c r="D54" s="11" t="str">
        <f>IFERROR(__xludf.DUMMYFUNCTION("""COMPUTED_VALUE"""),"LISTICLE")</f>
        <v>LISTICLE</v>
      </c>
      <c r="E54" s="11" t="str">
        <f>IFERROR(__xludf.DUMMYFUNCTION("""COMPUTED_VALUE"""),"CORPORATE")</f>
        <v>CORPORATE</v>
      </c>
      <c r="F54" s="11" t="str">
        <f>IFERROR(__xludf.DUMMYFUNCTION("""COMPUTED_VALUE"""),"Listicle")</f>
        <v>Listicle</v>
      </c>
      <c r="G54" s="11" t="b">
        <f>IFERROR(__xludf.DUMMYFUNCTION("""COMPUTED_VALUE"""),FALSE)</f>
        <v>0</v>
      </c>
      <c r="H54" s="11" t="str">
        <f>IFERROR(__xludf.DUMMYFUNCTION("""COMPUTED_VALUE"""),"Ruler Analytics, Measured, Dreamdata")</f>
        <v>Ruler Analytics, Measured, Dreamdata</v>
      </c>
      <c r="I54" s="11">
        <f>IFERROR(__xludf.DUMMYFUNCTION("""COMPUTED_VALUE"""),24.0)</f>
        <v>24</v>
      </c>
      <c r="J54" s="11">
        <f>IFERROR(__xludf.DUMMYFUNCTION("""COMPUTED_VALUE"""),0.02)</f>
        <v>0.02</v>
      </c>
      <c r="K54" s="11">
        <f>IFERROR(__xludf.DUMMYFUNCTION("""COMPUTED_VALUE"""),1.17)</f>
        <v>1.17</v>
      </c>
      <c r="L54" s="11"/>
    </row>
    <row r="55" ht="15.75" customHeight="1">
      <c r="A55" s="8" t="str">
        <f>IFERROR(__xludf.DUMMYFUNCTION("""COMPUTED_VALUE"""),"https://www.dreikon.de/en/news/online-marketing-knowledge/best-online-marketing-agency-in-germany/")</f>
        <v>https://www.dreikon.de/en/news/online-marketing-knowledge/best-online-marketing-agency-in-germany/</v>
      </c>
      <c r="B55" s="11" t="str">
        <f>IFERROR(__xludf.DUMMYFUNCTION("""COMPUTED_VALUE"""),"Best online marketing agency in Germany")</f>
        <v>Best online marketing agency in Germany</v>
      </c>
      <c r="C55" s="8" t="str">
        <f>IFERROR(__xludf.DUMMYFUNCTION("""COMPUTED_VALUE"""),"dreikon.de")</f>
        <v>dreikon.de</v>
      </c>
      <c r="D55" s="11" t="str">
        <f>IFERROR(__xludf.DUMMYFUNCTION("""COMPUTED_VALUE"""),"LISTICLE")</f>
        <v>LISTICLE</v>
      </c>
      <c r="E55" s="11" t="str">
        <f>IFERROR(__xludf.DUMMYFUNCTION("""COMPUTED_VALUE"""),"COMPETITOR")</f>
        <v>COMPETITOR</v>
      </c>
      <c r="F55" s="11" t="str">
        <f>IFERROR(__xludf.DUMMYFUNCTION("""COMPUTED_VALUE"""),"Listicle")</f>
        <v>Listicle</v>
      </c>
      <c r="G55" s="11" t="b">
        <f>IFERROR(__xludf.DUMMYFUNCTION("""COMPUTED_VALUE"""),FALSE)</f>
        <v>0</v>
      </c>
      <c r="H55" s="11" t="str">
        <f>IFERROR(__xludf.DUMMYFUNCTION("""COMPUTED_VALUE"""),"DREIKON")</f>
        <v>DREIKON</v>
      </c>
      <c r="I55" s="11">
        <f>IFERROR(__xludf.DUMMYFUNCTION("""COMPUTED_VALUE"""),23.0)</f>
        <v>23</v>
      </c>
      <c r="J55" s="11">
        <f>IFERROR(__xludf.DUMMYFUNCTION("""COMPUTED_VALUE"""),0.02)</f>
        <v>0.02</v>
      </c>
      <c r="K55" s="11">
        <f>IFERROR(__xludf.DUMMYFUNCTION("""COMPUTED_VALUE"""),0.22)</f>
        <v>0.22</v>
      </c>
      <c r="L55" s="11"/>
    </row>
    <row r="56" ht="15.75" customHeight="1">
      <c r="A56" s="8" t="str">
        <f>IFERROR(__xludf.DUMMYFUNCTION("""COMPUTED_VALUE"""),"https://techbehemoths.com/companies/media-planning-buying/germany")</f>
        <v>https://techbehemoths.com/companies/media-planning-buying/germany</v>
      </c>
      <c r="B56" s="11" t="str">
        <f>IFERROR(__xludf.DUMMYFUNCTION("""COMPUTED_VALUE"""),"Top 20+ Media Planning &amp;amp; Buying Agencies in Germany (2026) - TechBehemoths")</f>
        <v>Top 20+ Media Planning &amp;amp; Buying Agencies in Germany (2026) - TechBehemoths</v>
      </c>
      <c r="C56" s="8" t="str">
        <f>IFERROR(__xludf.DUMMYFUNCTION("""COMPUTED_VALUE"""),"techbehemoths.com")</f>
        <v>techbehemoths.com</v>
      </c>
      <c r="D56" s="11" t="str">
        <f>IFERROR(__xludf.DUMMYFUNCTION("""COMPUTED_VALUE"""),"PROFILE")</f>
        <v>PROFILE</v>
      </c>
      <c r="E56" s="11" t="str">
        <f>IFERROR(__xludf.DUMMYFUNCTION("""COMPUTED_VALUE"""),"REFERENCE")</f>
        <v>REFERENCE</v>
      </c>
      <c r="F56" s="11" t="str">
        <f>IFERROR(__xludf.DUMMYFUNCTION("""COMPUTED_VALUE"""),"Profile")</f>
        <v>Profile</v>
      </c>
      <c r="G56" s="11" t="b">
        <f>IFERROR(__xludf.DUMMYFUNCTION("""COMPUTED_VALUE"""),FALSE)</f>
        <v>0</v>
      </c>
      <c r="H56" s="11" t="str">
        <f>IFERROR(__xludf.DUMMYFUNCTION("""COMPUTED_VALUE"""),"Admiral Media, Pilot, Huge")</f>
        <v>Admiral Media, Pilot, Huge</v>
      </c>
      <c r="I56" s="11">
        <f>IFERROR(__xludf.DUMMYFUNCTION("""COMPUTED_VALUE"""),23.0)</f>
        <v>23</v>
      </c>
      <c r="J56" s="11">
        <f>IFERROR(__xludf.DUMMYFUNCTION("""COMPUTED_VALUE"""),0.02)</f>
        <v>0.02</v>
      </c>
      <c r="K56" s="11">
        <f>IFERROR(__xludf.DUMMYFUNCTION("""COMPUTED_VALUE"""),0.48)</f>
        <v>0.48</v>
      </c>
      <c r="L56" s="11"/>
    </row>
    <row r="57" ht="15.75" customHeight="1">
      <c r="A57" s="8" t="str">
        <f>IFERROR(__xludf.DUMMYFUNCTION("""COMPUTED_VALUE"""),"https://agencies.semrush.com/list/display-advertising/germany/small-business/")</f>
        <v>https://agencies.semrush.com/list/display-advertising/germany/small-business/</v>
      </c>
      <c r="B57" s="11" t="str">
        <f>IFERROR(__xludf.DUMMYFUNCTION("""COMPUTED_VALUE"""),"Best Display Ads Agencies for Small Business in Germany 2026 | Semrush")</f>
        <v>Best Display Ads Agencies for Small Business in Germany 2026 | Semrush</v>
      </c>
      <c r="C57" s="8" t="str">
        <f>IFERROR(__xludf.DUMMYFUNCTION("""COMPUTED_VALUE"""),"semrush.com")</f>
        <v>semrush.com</v>
      </c>
      <c r="D57" s="11" t="str">
        <f>IFERROR(__xludf.DUMMYFUNCTION("""COMPUTED_VALUE"""),"OTHER")</f>
        <v>OTHER</v>
      </c>
      <c r="E57" s="11" t="str">
        <f>IFERROR(__xludf.DUMMYFUNCTION("""COMPUTED_VALUE"""),"CORPORATE")</f>
        <v>CORPORATE</v>
      </c>
      <c r="F57" s="11" t="str">
        <f>IFERROR(__xludf.DUMMYFUNCTION("""COMPUTED_VALUE"""),"Other")</f>
        <v>Other</v>
      </c>
      <c r="G57" s="11" t="b">
        <f>IFERROR(__xludf.DUMMYFUNCTION("""COMPUTED_VALUE"""),FALSE)</f>
        <v>0</v>
      </c>
      <c r="H57" s="11" t="str">
        <f>IFERROR(__xludf.DUMMYFUNCTION("""COMPUTED_VALUE"""),"Baseplus DIGITAL MEDIA GmbH, Mediaplus Performance, MONSOON, KlickPiloten")</f>
        <v>Baseplus DIGITAL MEDIA GmbH, Mediaplus Performance, MONSOON, KlickPiloten</v>
      </c>
      <c r="I57" s="11">
        <f>IFERROR(__xludf.DUMMYFUNCTION("""COMPUTED_VALUE"""),22.0)</f>
        <v>22</v>
      </c>
      <c r="J57" s="11">
        <f>IFERROR(__xludf.DUMMYFUNCTION("""COMPUTED_VALUE"""),0.02)</f>
        <v>0.02</v>
      </c>
      <c r="K57" s="11">
        <f>IFERROR(__xludf.DUMMYFUNCTION("""COMPUTED_VALUE"""),0.41)</f>
        <v>0.41</v>
      </c>
      <c r="L57" s="11"/>
    </row>
    <row r="58" ht="15.75" customHeight="1">
      <c r="A58" s="8" t="str">
        <f>IFERROR(__xludf.DUMMYFUNCTION("""COMPUTED_VALUE"""),"https://www.cometly.com/post/marketing-incrementality-testing-tools")</f>
        <v>https://www.cometly.com/post/marketing-incrementality-testing-tools</v>
      </c>
      <c r="B58" s="11" t="str">
        <f>IFERROR(__xludf.DUMMYFUNCTION("""COMPUTED_VALUE"""),"9 Best Marketing Incrementality Testing Tools 2026")</f>
        <v>9 Best Marketing Incrementality Testing Tools 2026</v>
      </c>
      <c r="C58" s="8" t="str">
        <f>IFERROR(__xludf.DUMMYFUNCTION("""COMPUTED_VALUE"""),"cometly.com")</f>
        <v>cometly.com</v>
      </c>
      <c r="D58" s="11" t="str">
        <f>IFERROR(__xludf.DUMMYFUNCTION("""COMPUTED_VALUE"""),"LISTICLE")</f>
        <v>LISTICLE</v>
      </c>
      <c r="E58" s="11" t="str">
        <f>IFERROR(__xludf.DUMMYFUNCTION("""COMPUTED_VALUE"""),"COMPETITOR")</f>
        <v>COMPETITOR</v>
      </c>
      <c r="F58" s="11" t="str">
        <f>IFERROR(__xludf.DUMMYFUNCTION("""COMPUTED_VALUE"""),"Listicle")</f>
        <v>Listicle</v>
      </c>
      <c r="G58" s="11" t="b">
        <f>IFERROR(__xludf.DUMMYFUNCTION("""COMPUTED_VALUE"""),FALSE)</f>
        <v>0</v>
      </c>
      <c r="H58" s="11" t="str">
        <f>IFERROR(__xludf.DUMMYFUNCTION("""COMPUTED_VALUE"""),"Cometly, Measured, Rockerbox, Northbeam, LifeSight, Haus, Recast")</f>
        <v>Cometly, Measured, Rockerbox, Northbeam, LifeSight, Haus, Recast</v>
      </c>
      <c r="I58" s="11">
        <f>IFERROR(__xludf.DUMMYFUNCTION("""COMPUTED_VALUE"""),22.0)</f>
        <v>22</v>
      </c>
      <c r="J58" s="11">
        <f>IFERROR(__xludf.DUMMYFUNCTION("""COMPUTED_VALUE"""),0.02)</f>
        <v>0.02</v>
      </c>
      <c r="K58" s="11">
        <f>IFERROR(__xludf.DUMMYFUNCTION("""COMPUTED_VALUE"""),0.5)</f>
        <v>0.5</v>
      </c>
      <c r="L58" s="11"/>
    </row>
    <row r="59" ht="15.75" customHeight="1">
      <c r="A59" s="8" t="str">
        <f>IFERROR(__xludf.DUMMYFUNCTION("""COMPUTED_VALUE"""),"https://hikemytraffic.com/ai-seo-agencies-in-germany/")</f>
        <v>https://hikemytraffic.com/ai-seo-agencies-in-germany/</v>
      </c>
      <c r="B59" s="11" t="str">
        <f>IFERROR(__xludf.DUMMYFUNCTION("""COMPUTED_VALUE"""),"Top 11 AI SEO Agencies in Germany")</f>
        <v>Top 11 AI SEO Agencies in Germany</v>
      </c>
      <c r="C59" s="8" t="str">
        <f>IFERROR(__xludf.DUMMYFUNCTION("""COMPUTED_VALUE"""),"hikemytraffic.com")</f>
        <v>hikemytraffic.com</v>
      </c>
      <c r="D59" s="11" t="str">
        <f>IFERROR(__xludf.DUMMYFUNCTION("""COMPUTED_VALUE"""),"LISTICLE")</f>
        <v>LISTICLE</v>
      </c>
      <c r="E59" s="11" t="str">
        <f>IFERROR(__xludf.DUMMYFUNCTION("""COMPUTED_VALUE"""),"COMPETITOR")</f>
        <v>COMPETITOR</v>
      </c>
      <c r="F59" s="11" t="str">
        <f>IFERROR(__xludf.DUMMYFUNCTION("""COMPUTED_VALUE"""),"Listicle")</f>
        <v>Listicle</v>
      </c>
      <c r="G59" s="11" t="b">
        <f>IFERROR(__xludf.DUMMYFUNCTION("""COMPUTED_VALUE"""),FALSE)</f>
        <v>0</v>
      </c>
      <c r="H59" s="11" t="str">
        <f>IFERROR(__xludf.DUMMYFUNCTION("""COMPUTED_VALUE"""),"HikeMyTraffic")</f>
        <v>HikeMyTraffic</v>
      </c>
      <c r="I59" s="11">
        <f>IFERROR(__xludf.DUMMYFUNCTION("""COMPUTED_VALUE"""),22.0)</f>
        <v>22</v>
      </c>
      <c r="J59" s="11">
        <f>IFERROR(__xludf.DUMMYFUNCTION("""COMPUTED_VALUE"""),0.02)</f>
        <v>0.02</v>
      </c>
      <c r="K59" s="11">
        <f>IFERROR(__xludf.DUMMYFUNCTION("""COMPUTED_VALUE"""),0.68)</f>
        <v>0.68</v>
      </c>
      <c r="L59" s="11"/>
    </row>
    <row r="60" ht="15.75" customHeight="1">
      <c r="A60" s="8" t="str">
        <f>IFERROR(__xludf.DUMMYFUNCTION("""COMPUTED_VALUE"""),"https://lengreo.com/best-llm-seo-agencies-in-germany/")</f>
        <v>https://lengreo.com/best-llm-seo-agencies-in-germany/</v>
      </c>
      <c r="B60" s="11" t="str">
        <f>IFERROR(__xludf.DUMMYFUNCTION("""COMPUTED_VALUE"""),"Top 9 German Companies for LLM SEO (2026)")</f>
        <v>Top 9 German Companies for LLM SEO (2026)</v>
      </c>
      <c r="C60" s="8" t="str">
        <f>IFERROR(__xludf.DUMMYFUNCTION("""COMPUTED_VALUE"""),"lengreo.com")</f>
        <v>lengreo.com</v>
      </c>
      <c r="D60" s="11" t="str">
        <f>IFERROR(__xludf.DUMMYFUNCTION("""COMPUTED_VALUE"""),"LISTICLE")</f>
        <v>LISTICLE</v>
      </c>
      <c r="E60" s="11" t="str">
        <f>IFERROR(__xludf.DUMMYFUNCTION("""COMPUTED_VALUE"""),"CORPORATE")</f>
        <v>CORPORATE</v>
      </c>
      <c r="F60" s="11" t="str">
        <f>IFERROR(__xludf.DUMMYFUNCTION("""COMPUTED_VALUE"""),"Listicle")</f>
        <v>Listicle</v>
      </c>
      <c r="G60" s="11" t="b">
        <f>IFERROR(__xludf.DUMMYFUNCTION("""COMPUTED_VALUE"""),FALSE)</f>
        <v>0</v>
      </c>
      <c r="H60" s="11" t="str">
        <f>IFERROR(__xludf.DUMMYFUNCTION("""COMPUTED_VALUE"""),"TRYSEO, Omnius, Löwenstark")</f>
        <v>TRYSEO, Omnius, Löwenstark</v>
      </c>
      <c r="I60" s="11">
        <f>IFERROR(__xludf.DUMMYFUNCTION("""COMPUTED_VALUE"""),22.0)</f>
        <v>22</v>
      </c>
      <c r="J60" s="11">
        <f>IFERROR(__xludf.DUMMYFUNCTION("""COMPUTED_VALUE"""),0.02)</f>
        <v>0.02</v>
      </c>
      <c r="K60" s="11">
        <f>IFERROR(__xludf.DUMMYFUNCTION("""COMPUTED_VALUE"""),1.77)</f>
        <v>1.77</v>
      </c>
      <c r="L60" s="11"/>
    </row>
    <row r="61" ht="15.75" customHeight="1">
      <c r="A61" s="8" t="str">
        <f>IFERROR(__xludf.DUMMYFUNCTION("""COMPUTED_VALUE"""),"https://northquery.com/best-aeo-agency/europe")</f>
        <v>https://northquery.com/best-aeo-agency/europe</v>
      </c>
      <c r="B61" s="11" t="str">
        <f>IFERROR(__xludf.DUMMYFUNCTION("""COMPUTED_VALUE"""),"Best AEO Agency in Europe 2026: I Ranked 8 That Actually Deliver | Northquery")</f>
        <v>Best AEO Agency in Europe 2026: I Ranked 8 That Actually Deliver | Northquery</v>
      </c>
      <c r="C61" s="8" t="str">
        <f>IFERROR(__xludf.DUMMYFUNCTION("""COMPUTED_VALUE"""),"northquery.com")</f>
        <v>northquery.com</v>
      </c>
      <c r="D61" s="11" t="str">
        <f>IFERROR(__xludf.DUMMYFUNCTION("""COMPUTED_VALUE"""),"LISTICLE")</f>
        <v>LISTICLE</v>
      </c>
      <c r="E61" s="11" t="str">
        <f>IFERROR(__xludf.DUMMYFUNCTION("""COMPUTED_VALUE"""),"CORPORATE")</f>
        <v>CORPORATE</v>
      </c>
      <c r="F61" s="11" t="str">
        <f>IFERROR(__xludf.DUMMYFUNCTION("""COMPUTED_VALUE"""),"Listicle")</f>
        <v>Listicle</v>
      </c>
      <c r="G61" s="11" t="b">
        <f>IFERROR(__xludf.DUMMYFUNCTION("""COMPUTED_VALUE"""),FALSE)</f>
        <v>0</v>
      </c>
      <c r="H61" s="11" t="str">
        <f>IFERROR(__xludf.DUMMYFUNCTION("""COMPUTED_VALUE"""),"Peak Ace, iProspect, Dentsu, Siege Media")</f>
        <v>Peak Ace, iProspect, Dentsu, Siege Media</v>
      </c>
      <c r="I61" s="11">
        <f>IFERROR(__xludf.DUMMYFUNCTION("""COMPUTED_VALUE"""),22.0)</f>
        <v>22</v>
      </c>
      <c r="J61" s="11">
        <f>IFERROR(__xludf.DUMMYFUNCTION("""COMPUTED_VALUE"""),0.02)</f>
        <v>0.02</v>
      </c>
      <c r="K61" s="11">
        <f>IFERROR(__xludf.DUMMYFUNCTION("""COMPUTED_VALUE"""),0.73)</f>
        <v>0.73</v>
      </c>
      <c r="L61" s="11"/>
    </row>
    <row r="62" ht="15.75" customHeight="1">
      <c r="A62" s="8" t="str">
        <f>IFERROR(__xludf.DUMMYFUNCTION("""COMPUTED_VALUE"""),"https://agencies.semrush.com/list/market-analysis/germany/")</f>
        <v>https://agencies.semrush.com/list/market-analysis/germany/</v>
      </c>
      <c r="B62" s="11" t="str">
        <f>IFERROR(__xludf.DUMMYFUNCTION("""COMPUTED_VALUE"""),"Best Market Research Companies in Germany 2026 | Semrush")</f>
        <v>Best Market Research Companies in Germany 2026 | Semrush</v>
      </c>
      <c r="C62" s="8" t="str">
        <f>IFERROR(__xludf.DUMMYFUNCTION("""COMPUTED_VALUE"""),"semrush.com")</f>
        <v>semrush.com</v>
      </c>
      <c r="D62" s="11" t="str">
        <f>IFERROR(__xludf.DUMMYFUNCTION("""COMPUTED_VALUE"""),"CATEGORY_PAGE")</f>
        <v>CATEGORY_PAGE</v>
      </c>
      <c r="E62" s="11" t="str">
        <f>IFERROR(__xludf.DUMMYFUNCTION("""COMPUTED_VALUE"""),"CORPORATE")</f>
        <v>CORPORATE</v>
      </c>
      <c r="F62" s="11" t="str">
        <f>IFERROR(__xludf.DUMMYFUNCTION("""COMPUTED_VALUE"""),"Category Page")</f>
        <v>Category Page</v>
      </c>
      <c r="G62" s="11" t="b">
        <f>IFERROR(__xludf.DUMMYFUNCTION("""COMPUTED_VALUE"""),FALSE)</f>
        <v>0</v>
      </c>
      <c r="H62" s="11" t="str">
        <f>IFERROR(__xludf.DUMMYFUNCTION("""COMPUTED_VALUE"""),"Baseplus DIGITAL MEDIA GmbH, Mediaplus Performance, KlickPiloten")</f>
        <v>Baseplus DIGITAL MEDIA GmbH, Mediaplus Performance, KlickPiloten</v>
      </c>
      <c r="I62" s="11">
        <f>IFERROR(__xludf.DUMMYFUNCTION("""COMPUTED_VALUE"""),21.0)</f>
        <v>21</v>
      </c>
      <c r="J62" s="11">
        <f>IFERROR(__xludf.DUMMYFUNCTION("""COMPUTED_VALUE"""),0.02)</f>
        <v>0.02</v>
      </c>
      <c r="K62" s="11">
        <f>IFERROR(__xludf.DUMMYFUNCTION("""COMPUTED_VALUE"""),0.76)</f>
        <v>0.76</v>
      </c>
      <c r="L62" s="11"/>
    </row>
    <row r="63" ht="15.75" customHeight="1">
      <c r="A63" s="8" t="str">
        <f>IFERROR(__xludf.DUMMYFUNCTION("""COMPUTED_VALUE"""),"https://www.agenturtipp.de/performance-marketing-agenturen/")</f>
        <v>https://www.agenturtipp.de/performance-marketing-agenturen/</v>
      </c>
      <c r="B63" s="11" t="str">
        <f>IFERROR(__xludf.DUMMYFUNCTION("""COMPUTED_VALUE"""),"Top Performance-Marketing-Agenturen (2026) im Vergleich ↗️")</f>
        <v>Top Performance-Marketing-Agenturen (2026) im Vergleich ↗️</v>
      </c>
      <c r="C63" s="8" t="str">
        <f>IFERROR(__xludf.DUMMYFUNCTION("""COMPUTED_VALUE"""),"agenturtipp.de")</f>
        <v>agenturtipp.de</v>
      </c>
      <c r="D63" s="11" t="str">
        <f>IFERROR(__xludf.DUMMYFUNCTION("""COMPUTED_VALUE"""),"LISTICLE")</f>
        <v>LISTICLE</v>
      </c>
      <c r="E63" s="11" t="str">
        <f>IFERROR(__xludf.DUMMYFUNCTION("""COMPUTED_VALUE"""),"REFERENCE")</f>
        <v>REFERENCE</v>
      </c>
      <c r="F63" s="11" t="str">
        <f>IFERROR(__xludf.DUMMYFUNCTION("""COMPUTED_VALUE"""),"Listicle")</f>
        <v>Listicle</v>
      </c>
      <c r="G63" s="11" t="b">
        <f>IFERROR(__xludf.DUMMYFUNCTION("""COMPUTED_VALUE"""),FALSE)</f>
        <v>0</v>
      </c>
      <c r="H63" s="11" t="str">
        <f>IFERROR(__xludf.DUMMYFUNCTION("""COMPUTED_VALUE"""),"ZweiDigital GmbH, Smarketer, Mediacharge, Jellyfish")</f>
        <v>ZweiDigital GmbH, Smarketer, Mediacharge, Jellyfish</v>
      </c>
      <c r="I63" s="11">
        <f>IFERROR(__xludf.DUMMYFUNCTION("""COMPUTED_VALUE"""),21.0)</f>
        <v>21</v>
      </c>
      <c r="J63" s="11">
        <f>IFERROR(__xludf.DUMMYFUNCTION("""COMPUTED_VALUE"""),0.02)</f>
        <v>0.02</v>
      </c>
      <c r="K63" s="11">
        <f>IFERROR(__xludf.DUMMYFUNCTION("""COMPUTED_VALUE"""),0.38)</f>
        <v>0.38</v>
      </c>
      <c r="L63" s="11"/>
    </row>
    <row r="64" ht="15.75" customHeight="1">
      <c r="A64" s="8" t="str">
        <f>IFERROR(__xludf.DUMMYFUNCTION("""COMPUTED_VALUE"""),"https://digitalagencynetwork.com/agencies/berlin/ai-marketing/")</f>
        <v>https://digitalagencynetwork.com/agencies/berlin/ai-marketing/</v>
      </c>
      <c r="B64" s="11" t="str">
        <f>IFERROR(__xludf.DUMMYFUNCTION("""COMPUTED_VALUE"""),"Top AI Marketing Agencies in Berlin (2026)")</f>
        <v>Top AI Marketing Agencies in Berlin (2026)</v>
      </c>
      <c r="C64" s="8" t="str">
        <f>IFERROR(__xludf.DUMMYFUNCTION("""COMPUTED_VALUE"""),"digitalagencynetwork.com")</f>
        <v>digitalagencynetwork.com</v>
      </c>
      <c r="D64" s="11" t="str">
        <f>IFERROR(__xludf.DUMMYFUNCTION("""COMPUTED_VALUE"""),"CATEGORY_PAGE")</f>
        <v>CATEGORY_PAGE</v>
      </c>
      <c r="E64" s="11" t="str">
        <f>IFERROR(__xludf.DUMMYFUNCTION("""COMPUTED_VALUE"""),"REFERENCE")</f>
        <v>REFERENCE</v>
      </c>
      <c r="F64" s="11" t="str">
        <f>IFERROR(__xludf.DUMMYFUNCTION("""COMPUTED_VALUE"""),"Category Page")</f>
        <v>Category Page</v>
      </c>
      <c r="G64" s="11" t="b">
        <f>IFERROR(__xludf.DUMMYFUNCTION("""COMPUTED_VALUE"""),FALSE)</f>
        <v>0</v>
      </c>
      <c r="H64" s="11"/>
      <c r="I64" s="11">
        <f>IFERROR(__xludf.DUMMYFUNCTION("""COMPUTED_VALUE"""),21.0)</f>
        <v>21</v>
      </c>
      <c r="J64" s="11">
        <f>IFERROR(__xludf.DUMMYFUNCTION("""COMPUTED_VALUE"""),0.02)</f>
        <v>0.02</v>
      </c>
      <c r="K64" s="11">
        <f>IFERROR(__xludf.DUMMYFUNCTION("""COMPUTED_VALUE"""),0.9)</f>
        <v>0.9</v>
      </c>
      <c r="L64" s="11"/>
    </row>
    <row r="65" ht="15.75" customHeight="1">
      <c r="A65" s="8" t="str">
        <f>IFERROR(__xludf.DUMMYFUNCTION("""COMPUTED_VALUE"""),"https://greenbook.org/market-research-companies/germany")</f>
        <v>https://greenbook.org/market-research-companies/germany</v>
      </c>
      <c r="B65" s="11" t="str">
        <f>IFERROR(__xludf.DUMMYFUNCTION("""COMPUTED_VALUE"""),"Top Marketing Research Firms in Germany — Greenbook")</f>
        <v>Top Marketing Research Firms in Germany — Greenbook</v>
      </c>
      <c r="C65" s="8" t="str">
        <f>IFERROR(__xludf.DUMMYFUNCTION("""COMPUTED_VALUE"""),"greenbook.org")</f>
        <v>greenbook.org</v>
      </c>
      <c r="D65" s="11" t="str">
        <f>IFERROR(__xludf.DUMMYFUNCTION("""COMPUTED_VALUE"""),"CATEGORY_PAGE")</f>
        <v>CATEGORY_PAGE</v>
      </c>
      <c r="E65" s="11" t="str">
        <f>IFERROR(__xludf.DUMMYFUNCTION("""COMPUTED_VALUE"""),"REFERENCE")</f>
        <v>REFERENCE</v>
      </c>
      <c r="F65" s="11" t="str">
        <f>IFERROR(__xludf.DUMMYFUNCTION("""COMPUTED_VALUE"""),"Category Page")</f>
        <v>Category Page</v>
      </c>
      <c r="G65" s="11" t="b">
        <f>IFERROR(__xludf.DUMMYFUNCTION("""COMPUTED_VALUE"""),FALSE)</f>
        <v>0</v>
      </c>
      <c r="H65" s="11" t="str">
        <f>IFERROR(__xludf.DUMMYFUNCTION("""COMPUTED_VALUE"""),"Mindshare, Accenture Song, Kantar")</f>
        <v>Mindshare, Accenture Song, Kantar</v>
      </c>
      <c r="I65" s="11">
        <f>IFERROR(__xludf.DUMMYFUNCTION("""COMPUTED_VALUE"""),21.0)</f>
        <v>21</v>
      </c>
      <c r="J65" s="11">
        <f>IFERROR(__xludf.DUMMYFUNCTION("""COMPUTED_VALUE"""),0.02)</f>
        <v>0.02</v>
      </c>
      <c r="K65" s="11">
        <f>IFERROR(__xludf.DUMMYFUNCTION("""COMPUTED_VALUE"""),0.43)</f>
        <v>0.43</v>
      </c>
      <c r="L65" s="11"/>
    </row>
    <row r="66" ht="15.75" customHeight="1">
      <c r="A66" s="8" t="str">
        <f>IFERROR(__xludf.DUMMYFUNCTION("""COMPUTED_VALUE"""),"https://seeders.com/blog/8-best-seo-agencies-in-germany-2026-ranked/")</f>
        <v>https://seeders.com/blog/8-best-seo-agencies-in-germany-2026-ranked/</v>
      </c>
      <c r="B66" s="11" t="str">
        <f>IFERROR(__xludf.DUMMYFUNCTION("""COMPUTED_VALUE"""),"8 best SEO agencies in Germany [2026 ranked] | Seeders")</f>
        <v>8 best SEO agencies in Germany [2026 ranked] | Seeders</v>
      </c>
      <c r="C66" s="8" t="str">
        <f>IFERROR(__xludf.DUMMYFUNCTION("""COMPUTED_VALUE"""),"seeders.com")</f>
        <v>seeders.com</v>
      </c>
      <c r="D66" s="11" t="str">
        <f>IFERROR(__xludf.DUMMYFUNCTION("""COMPUTED_VALUE"""),"LISTICLE")</f>
        <v>LISTICLE</v>
      </c>
      <c r="E66" s="11" t="str">
        <f>IFERROR(__xludf.DUMMYFUNCTION("""COMPUTED_VALUE"""),"COMPETITOR")</f>
        <v>COMPETITOR</v>
      </c>
      <c r="F66" s="11" t="str">
        <f>IFERROR(__xludf.DUMMYFUNCTION("""COMPUTED_VALUE"""),"Listicle")</f>
        <v>Listicle</v>
      </c>
      <c r="G66" s="11" t="b">
        <f>IFERROR(__xludf.DUMMYFUNCTION("""COMPUTED_VALUE"""),FALSE)</f>
        <v>0</v>
      </c>
      <c r="H66" s="11" t="str">
        <f>IFERROR(__xludf.DUMMYFUNCTION("""COMPUTED_VALUE"""),"Seeders, Claneo, Omnius, Suchhelden, morefire, Huge")</f>
        <v>Seeders, Claneo, Omnius, Suchhelden, morefire, Huge</v>
      </c>
      <c r="I66" s="11">
        <f>IFERROR(__xludf.DUMMYFUNCTION("""COMPUTED_VALUE"""),21.0)</f>
        <v>21</v>
      </c>
      <c r="J66" s="11">
        <f>IFERROR(__xludf.DUMMYFUNCTION("""COMPUTED_VALUE"""),0.02)</f>
        <v>0.02</v>
      </c>
      <c r="K66" s="11">
        <f>IFERROR(__xludf.DUMMYFUNCTION("""COMPUTED_VALUE"""),1.52)</f>
        <v>1.52</v>
      </c>
      <c r="L66" s="11"/>
    </row>
    <row r="67" ht="15.75" customHeight="1">
      <c r="A67" s="8" t="str">
        <f>IFERROR(__xludf.DUMMYFUNCTION("""COMPUTED_VALUE"""),"https://www.thegrowthsyndicate.com/agencies/best-b2b-performance-marketing-agencies-europe")</f>
        <v>https://www.thegrowthsyndicate.com/agencies/best-b2b-performance-marketing-agencies-europe</v>
      </c>
      <c r="B67" s="11" t="str">
        <f>IFERROR(__xludf.DUMMYFUNCTION("""COMPUTED_VALUE"""),"The 12 Best B2B Performance Marketing Agencies in Europe")</f>
        <v>The 12 Best B2B Performance Marketing Agencies in Europe</v>
      </c>
      <c r="C67" s="8" t="str">
        <f>IFERROR(__xludf.DUMMYFUNCTION("""COMPUTED_VALUE"""),"thegrowthsyndicate.com")</f>
        <v>thegrowthsyndicate.com</v>
      </c>
      <c r="D67" s="11" t="str">
        <f>IFERROR(__xludf.DUMMYFUNCTION("""COMPUTED_VALUE"""),"LISTICLE")</f>
        <v>LISTICLE</v>
      </c>
      <c r="E67" s="11" t="str">
        <f>IFERROR(__xludf.DUMMYFUNCTION("""COMPUTED_VALUE"""),"CORPORATE")</f>
        <v>CORPORATE</v>
      </c>
      <c r="F67" s="11" t="str">
        <f>IFERROR(__xludf.DUMMYFUNCTION("""COMPUTED_VALUE"""),"Listicle")</f>
        <v>Listicle</v>
      </c>
      <c r="G67" s="11" t="b">
        <f>IFERROR(__xludf.DUMMYFUNCTION("""COMPUTED_VALUE"""),TRUE)</f>
        <v>1</v>
      </c>
      <c r="H67" s="11" t="str">
        <f>IFERROR(__xludf.DUMMYFUNCTION("""COMPUTED_VALUE"""),"Brainlabs, WPP, GroupM, s360, Incubeta, Croud, iProspect, Measured, Huge, Mindshare, Publicis Groupe, Omnicom, Dentsu, Merkle")</f>
        <v>Brainlabs, WPP, GroupM, s360, Incubeta, Croud, iProspect, Measured, Huge, Mindshare, Publicis Groupe, Omnicom, Dentsu, Merkle</v>
      </c>
      <c r="I67" s="11">
        <f>IFERROR(__xludf.DUMMYFUNCTION("""COMPUTED_VALUE"""),21.0)</f>
        <v>21</v>
      </c>
      <c r="J67" s="11">
        <f>IFERROR(__xludf.DUMMYFUNCTION("""COMPUTED_VALUE"""),0.02)</f>
        <v>0.02</v>
      </c>
      <c r="K67" s="11">
        <f>IFERROR(__xludf.DUMMYFUNCTION("""COMPUTED_VALUE"""),1.0)</f>
        <v>1</v>
      </c>
      <c r="L67" s="11"/>
    </row>
    <row r="68" ht="15.75" customHeight="1">
      <c r="A68" s="8" t="str">
        <f>IFERROR(__xludf.DUMMYFUNCTION("""COMPUTED_VALUE"""),"https://clutch.co/de/agencies/business-services-industry")</f>
        <v>https://clutch.co/de/agencies/business-services-industry</v>
      </c>
      <c r="B68" s="11" t="str">
        <f>IFERROR(__xludf.DUMMYFUNCTION("""COMPUTED_VALUE"""),"Top Advertising Agencies for B2B in Germany - Jul 2026 Rankings | Clutch.co")</f>
        <v>Top Advertising Agencies for B2B in Germany - Jul 2026 Rankings | Clutch.co</v>
      </c>
      <c r="C68" s="8" t="str">
        <f>IFERROR(__xludf.DUMMYFUNCTION("""COMPUTED_VALUE"""),"clutch.co")</f>
        <v>clutch.co</v>
      </c>
      <c r="D68" s="11" t="str">
        <f>IFERROR(__xludf.DUMMYFUNCTION("""COMPUTED_VALUE"""),"CATEGORY_PAGE")</f>
        <v>CATEGORY_PAGE</v>
      </c>
      <c r="E68" s="11" t="str">
        <f>IFERROR(__xludf.DUMMYFUNCTION("""COMPUTED_VALUE"""),"CORPORATE")</f>
        <v>CORPORATE</v>
      </c>
      <c r="F68" s="11" t="str">
        <f>IFERROR(__xludf.DUMMYFUNCTION("""COMPUTED_VALUE"""),"Category Page")</f>
        <v>Category Page</v>
      </c>
      <c r="G68" s="11" t="b">
        <f>IFERROR(__xludf.DUMMYFUNCTION("""COMPUTED_VALUE"""),FALSE)</f>
        <v>0</v>
      </c>
      <c r="H68" s="11" t="str">
        <f>IFERROR(__xludf.DUMMYFUNCTION("""COMPUTED_VALUE"""),"MONSOON, Mediacharge, Digitalyze, morefire, WeLikeWeb GmbH")</f>
        <v>MONSOON, Mediacharge, Digitalyze, morefire, WeLikeWeb GmbH</v>
      </c>
      <c r="I68" s="11">
        <f>IFERROR(__xludf.DUMMYFUNCTION("""COMPUTED_VALUE"""),20.0)</f>
        <v>20</v>
      </c>
      <c r="J68" s="11">
        <f>IFERROR(__xludf.DUMMYFUNCTION("""COMPUTED_VALUE"""),0.02)</f>
        <v>0.02</v>
      </c>
      <c r="K68" s="11">
        <f>IFERROR(__xludf.DUMMYFUNCTION("""COMPUTED_VALUE"""),0.05)</f>
        <v>0.05</v>
      </c>
      <c r="L68" s="11"/>
    </row>
    <row r="69" ht="15.75" customHeight="1">
      <c r="A69" s="8" t="str">
        <f>IFERROR(__xludf.DUMMYFUNCTION("""COMPUTED_VALUE"""),"https://clutch.co/de/agencies/ppc/advertising-industry")</f>
        <v>https://clutch.co/de/agencies/ppc/advertising-industry</v>
      </c>
      <c r="B69" s="11" t="str">
        <f>IFERROR(__xludf.DUMMYFUNCTION("""COMPUTED_VALUE"""),"Top PPC Agencies for Ad Agencies in Germany - Jul 2026 Rankings \| Clutch.co")</f>
        <v>Top PPC Agencies for Ad Agencies in Germany - Jul 2026 Rankings \| Clutch.co</v>
      </c>
      <c r="C69" s="8" t="str">
        <f>IFERROR(__xludf.DUMMYFUNCTION("""COMPUTED_VALUE"""),"clutch.co")</f>
        <v>clutch.co</v>
      </c>
      <c r="D69" s="11" t="str">
        <f>IFERROR(__xludf.DUMMYFUNCTION("""COMPUTED_VALUE"""),"CATEGORY_PAGE")</f>
        <v>CATEGORY_PAGE</v>
      </c>
      <c r="E69" s="11" t="str">
        <f>IFERROR(__xludf.DUMMYFUNCTION("""COMPUTED_VALUE"""),"CORPORATE")</f>
        <v>CORPORATE</v>
      </c>
      <c r="F69" s="11" t="str">
        <f>IFERROR(__xludf.DUMMYFUNCTION("""COMPUTED_VALUE"""),"Category Page")</f>
        <v>Category Page</v>
      </c>
      <c r="G69" s="11" t="b">
        <f>IFERROR(__xludf.DUMMYFUNCTION("""COMPUTED_VALUE"""),FALSE)</f>
        <v>0</v>
      </c>
      <c r="H69" s="11" t="str">
        <f>IFERROR(__xludf.DUMMYFUNCTION("""COMPUTED_VALUE"""),"Mediacharge, Seeders, Medialabel")</f>
        <v>Mediacharge, Seeders, Medialabel</v>
      </c>
      <c r="I69" s="11">
        <f>IFERROR(__xludf.DUMMYFUNCTION("""COMPUTED_VALUE"""),20.0)</f>
        <v>20</v>
      </c>
      <c r="J69" s="11">
        <f>IFERROR(__xludf.DUMMYFUNCTION("""COMPUTED_VALUE"""),0.02)</f>
        <v>0.02</v>
      </c>
      <c r="K69" s="11">
        <f>IFERROR(__xludf.DUMMYFUNCTION("""COMPUTED_VALUE"""),1.35)</f>
        <v>1.35</v>
      </c>
      <c r="L69" s="11"/>
    </row>
    <row r="70" ht="15.75" customHeight="1">
      <c r="A70" s="8" t="str">
        <f>IFERROR(__xludf.DUMMYFUNCTION("""COMPUTED_VALUE"""),"https://nevolearn.com/blog/social-media-marketing-agencies-germany")</f>
        <v>https://nevolearn.com/blog/social-media-marketing-agencies-germany</v>
      </c>
      <c r="B70" s="11" t="str">
        <f>IFERROR(__xludf.DUMMYFUNCTION("""COMPUTED_VALUE"""),"Top 5 Social Media Marketing Agencies in Germany | Guide 2025 | NevoLearn")</f>
        <v>Top 5 Social Media Marketing Agencies in Germany | Guide 2025 | NevoLearn</v>
      </c>
      <c r="C70" s="8" t="str">
        <f>IFERROR(__xludf.DUMMYFUNCTION("""COMPUTED_VALUE"""),"nevolearn.com")</f>
        <v>nevolearn.com</v>
      </c>
      <c r="D70" s="11" t="str">
        <f>IFERROR(__xludf.DUMMYFUNCTION("""COMPUTED_VALUE"""),"LISTICLE")</f>
        <v>LISTICLE</v>
      </c>
      <c r="E70" s="11" t="str">
        <f>IFERROR(__xludf.DUMMYFUNCTION("""COMPUTED_VALUE"""),"CORPORATE")</f>
        <v>CORPORATE</v>
      </c>
      <c r="F70" s="11" t="str">
        <f>IFERROR(__xludf.DUMMYFUNCTION("""COMPUTED_VALUE"""),"Listicle")</f>
        <v>Listicle</v>
      </c>
      <c r="G70" s="11" t="b">
        <f>IFERROR(__xludf.DUMMYFUNCTION("""COMPUTED_VALUE"""),FALSE)</f>
        <v>0</v>
      </c>
      <c r="H70" s="11" t="str">
        <f>IFERROR(__xludf.DUMMYFUNCTION("""COMPUTED_VALUE"""),"Artefact, morefire, Haus, Scholz &amp; Friends")</f>
        <v>Artefact, morefire, Haus, Scholz &amp; Friends</v>
      </c>
      <c r="I70" s="11">
        <f>IFERROR(__xludf.DUMMYFUNCTION("""COMPUTED_VALUE"""),20.0)</f>
        <v>20</v>
      </c>
      <c r="J70" s="11">
        <f>IFERROR(__xludf.DUMMYFUNCTION("""COMPUTED_VALUE"""),0.02)</f>
        <v>0.02</v>
      </c>
      <c r="K70" s="11">
        <f>IFERROR(__xludf.DUMMYFUNCTION("""COMPUTED_VALUE"""),0.65)</f>
        <v>0.65</v>
      </c>
      <c r="L70" s="11"/>
    </row>
    <row r="71" ht="15.75" customHeight="1">
      <c r="A71" s="8" t="str">
        <f>IFERROR(__xludf.DUMMYFUNCTION("""COMPUTED_VALUE"""),"https://oski.site/blog/sales-and-marketing-analytics-companies-germany/")</f>
        <v>https://oski.site/blog/sales-and-marketing-analytics-companies-germany/</v>
      </c>
      <c r="B71" s="11" t="str">
        <f>IFERROR(__xludf.DUMMYFUNCTION("""COMPUTED_VALUE"""),"Best 14 Sales and Marketing Analytics Companies in Germany")</f>
        <v>Best 14 Sales and Marketing Analytics Companies in Germany</v>
      </c>
      <c r="C71" s="11" t="str">
        <f>IFERROR(__xludf.DUMMYFUNCTION("""COMPUTED_VALUE"""),"oski.site")</f>
        <v>oski.site</v>
      </c>
      <c r="D71" s="11" t="str">
        <f>IFERROR(__xludf.DUMMYFUNCTION("""COMPUTED_VALUE"""),"LISTICLE")</f>
        <v>LISTICLE</v>
      </c>
      <c r="E71" s="11" t="str">
        <f>IFERROR(__xludf.DUMMYFUNCTION("""COMPUTED_VALUE"""),"OTHER")</f>
        <v>OTHER</v>
      </c>
      <c r="F71" s="11" t="str">
        <f>IFERROR(__xludf.DUMMYFUNCTION("""COMPUTED_VALUE"""),"Listicle")</f>
        <v>Listicle</v>
      </c>
      <c r="G71" s="11" t="b">
        <f>IFERROR(__xludf.DUMMYFUNCTION("""COMPUTED_VALUE"""),FALSE)</f>
        <v>0</v>
      </c>
      <c r="H71" s="11" t="str">
        <f>IFERROR(__xludf.DUMMYFUNCTION("""COMPUTED_VALUE"""),"b.telligent, Kantar, Nielsen, MONSOON, Artefact")</f>
        <v>b.telligent, Kantar, Nielsen, MONSOON, Artefact</v>
      </c>
      <c r="I71" s="11">
        <f>IFERROR(__xludf.DUMMYFUNCTION("""COMPUTED_VALUE"""),20.0)</f>
        <v>20</v>
      </c>
      <c r="J71" s="11">
        <f>IFERROR(__xludf.DUMMYFUNCTION("""COMPUTED_VALUE"""),0.02)</f>
        <v>0.02</v>
      </c>
      <c r="K71" s="11">
        <f>IFERROR(__xludf.DUMMYFUNCTION("""COMPUTED_VALUE"""),1.0)</f>
        <v>1</v>
      </c>
      <c r="L71" s="11"/>
    </row>
    <row r="72" ht="15.75" customHeight="1">
      <c r="A72" s="8" t="str">
        <f>IFERROR(__xludf.DUMMYFUNCTION("""COMPUTED_VALUE"""),"https://clutch.co/de/agencies/media-buying")</f>
        <v>https://clutch.co/de/agencies/media-buying</v>
      </c>
      <c r="B72" s="11" t="str">
        <f>IFERROR(__xludf.DUMMYFUNCTION("""COMPUTED_VALUE"""),"Top Media Buying Agencies in Germany - Jul 2026 Rankings \| Clutch.co")</f>
        <v>Top Media Buying Agencies in Germany - Jul 2026 Rankings \| Clutch.co</v>
      </c>
      <c r="C72" s="8" t="str">
        <f>IFERROR(__xludf.DUMMYFUNCTION("""COMPUTED_VALUE"""),"clutch.co")</f>
        <v>clutch.co</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IFERROR(__xludf.DUMMYFUNCTION("""COMPUTED_VALUE"""),"REPLUG, Phiture, Measured, Haus, GroupM, Publicis Media, Mediaplus Group")</f>
        <v>REPLUG, Phiture, Measured, Haus, GroupM, Publicis Media, Mediaplus Group</v>
      </c>
      <c r="I72" s="11">
        <f>IFERROR(__xludf.DUMMYFUNCTION("""COMPUTED_VALUE"""),19.0)</f>
        <v>19</v>
      </c>
      <c r="J72" s="11">
        <f>IFERROR(__xludf.DUMMYFUNCTION("""COMPUTED_VALUE"""),0.02)</f>
        <v>0.02</v>
      </c>
      <c r="K72" s="11">
        <f>IFERROR(__xludf.DUMMYFUNCTION("""COMPUTED_VALUE"""),1.11)</f>
        <v>1.11</v>
      </c>
      <c r="L72" s="11"/>
    </row>
    <row r="73" ht="15.75" customHeight="1">
      <c r="A73" s="8" t="str">
        <f>IFERROR(__xludf.DUMMYFUNCTION("""COMPUTED_VALUE"""),"https://lengreo.com/germany-berlin-aeo-geo-llmo-companies/")</f>
        <v>https://lengreo.com/germany-berlin-aeo-geo-llmo-companies/</v>
      </c>
      <c r="B73" s="11" t="str">
        <f>IFERROR(__xludf.DUMMYFUNCTION("""COMPUTED_VALUE"""),"Top 10 Berlin’s Companies in AEO, GEO, and LLMO (2026)")</f>
        <v>Top 10 Berlin’s Companies in AEO, GEO, and LLMO (2026)</v>
      </c>
      <c r="C73" s="8" t="str">
        <f>IFERROR(__xludf.DUMMYFUNCTION("""COMPUTED_VALUE"""),"lengreo.com")</f>
        <v>lengreo.com</v>
      </c>
      <c r="D73" s="11" t="str">
        <f>IFERROR(__xludf.DUMMYFUNCTION("""COMPUTED_VALUE"""),"LISTICLE")</f>
        <v>LISTICLE</v>
      </c>
      <c r="E73" s="11" t="str">
        <f>IFERROR(__xludf.DUMMYFUNCTION("""COMPUTED_VALUE"""),"CORPORATE")</f>
        <v>CORPORATE</v>
      </c>
      <c r="F73" s="11" t="str">
        <f>IFERROR(__xludf.DUMMYFUNCTION("""COMPUTED_VALUE"""),"Listicle")</f>
        <v>Listicle</v>
      </c>
      <c r="G73" s="11" t="b">
        <f>IFERROR(__xludf.DUMMYFUNCTION("""COMPUTED_VALUE"""),FALSE)</f>
        <v>0</v>
      </c>
      <c r="H73" s="11" t="str">
        <f>IFERROR(__xludf.DUMMYFUNCTION("""COMPUTED_VALUE"""),"Claneo, KlickPiloten")</f>
        <v>Claneo, KlickPiloten</v>
      </c>
      <c r="I73" s="11">
        <f>IFERROR(__xludf.DUMMYFUNCTION("""COMPUTED_VALUE"""),19.0)</f>
        <v>19</v>
      </c>
      <c r="J73" s="11">
        <f>IFERROR(__xludf.DUMMYFUNCTION("""COMPUTED_VALUE"""),0.02)</f>
        <v>0.02</v>
      </c>
      <c r="K73" s="11">
        <f>IFERROR(__xludf.DUMMYFUNCTION("""COMPUTED_VALUE"""),0.32)</f>
        <v>0.32</v>
      </c>
      <c r="L73" s="11"/>
    </row>
    <row r="74" ht="15.75" customHeight="1">
      <c r="A74" s="8" t="str">
        <f>IFERROR(__xludf.DUMMYFUNCTION("""COMPUTED_VALUE"""),"https://sellforte.com/blog/best-incrementality-testing-tools")</f>
        <v>https://sellforte.com/blog/best-incrementality-testing-tools</v>
      </c>
      <c r="B74" s="11" t="str">
        <f>IFERROR(__xludf.DUMMYFUNCTION("""COMPUTED_VALUE"""),"Best Incrementality Testing Tools in 2026: In-depth Vendor Comparison")</f>
        <v>Best Incrementality Testing Tools in 2026: In-depth Vendor Comparison</v>
      </c>
      <c r="C74" s="8" t="str">
        <f>IFERROR(__xludf.DUMMYFUNCTION("""COMPUTED_VALUE"""),"sellforte.com")</f>
        <v>sellforte.com</v>
      </c>
      <c r="D74" s="11" t="str">
        <f>IFERROR(__xludf.DUMMYFUNCTION("""COMPUTED_VALUE"""),"COMPARISON")</f>
        <v>COMPARISON</v>
      </c>
      <c r="E74" s="11" t="str">
        <f>IFERROR(__xludf.DUMMYFUNCTION("""COMPUTED_VALUE"""),"COMPETITOR")</f>
        <v>COMPETITOR</v>
      </c>
      <c r="F74" s="11" t="str">
        <f>IFERROR(__xludf.DUMMYFUNCTION("""COMPUTED_VALUE"""),"Comparison")</f>
        <v>Comparison</v>
      </c>
      <c r="G74" s="11" t="b">
        <f>IFERROR(__xludf.DUMMYFUNCTION("""COMPUTED_VALUE"""),FALSE)</f>
        <v>0</v>
      </c>
      <c r="H74" s="11" t="str">
        <f>IFERROR(__xludf.DUMMYFUNCTION("""COMPUTED_VALUE"""),"Sellforte, Measured, Haus, Recast, Pilot, Boston Consulting Group")</f>
        <v>Sellforte, Measured, Haus, Recast, Pilot, Boston Consulting Group</v>
      </c>
      <c r="I74" s="11">
        <f>IFERROR(__xludf.DUMMYFUNCTION("""COMPUTED_VALUE"""),19.0)</f>
        <v>19</v>
      </c>
      <c r="J74" s="11">
        <f>IFERROR(__xludf.DUMMYFUNCTION("""COMPUTED_VALUE"""),0.02)</f>
        <v>0.02</v>
      </c>
      <c r="K74" s="11">
        <f>IFERROR(__xludf.DUMMYFUNCTION("""COMPUTED_VALUE"""),1.05)</f>
        <v>1.05</v>
      </c>
      <c r="L74" s="11"/>
    </row>
    <row r="75" ht="15.75" customHeight="1">
      <c r="A75" s="8" t="str">
        <f>IFERROR(__xludf.DUMMYFUNCTION("""COMPUTED_VALUE"""),"https://techbehemoths.com/companies/digital-marketing/germany")</f>
        <v>https://techbehemoths.com/companies/digital-marketing/germany</v>
      </c>
      <c r="B75" s="11" t="str">
        <f>IFERROR(__xludf.DUMMYFUNCTION("""COMPUTED_VALUE"""),"Top 20+ Digital Marketing Agencies in Germany (2026) - TechBehemoths")</f>
        <v>Top 20+ Digital Marketing Agencies in Germany (2026) - TechBehemoths</v>
      </c>
      <c r="C75" s="8" t="str">
        <f>IFERROR(__xludf.DUMMYFUNCTION("""COMPUTED_VALUE"""),"techbehemoths.com")</f>
        <v>techbehemoths.com</v>
      </c>
      <c r="D75" s="11" t="str">
        <f>IFERROR(__xludf.DUMMYFUNCTION("""COMPUTED_VALUE"""),"CATEGORY_PAGE")</f>
        <v>CATEGORY_PAGE</v>
      </c>
      <c r="E75" s="11" t="str">
        <f>IFERROR(__xludf.DUMMYFUNCTION("""COMPUTED_VALUE"""),"REFERENCE")</f>
        <v>REFERENCE</v>
      </c>
      <c r="F75" s="11" t="str">
        <f>IFERROR(__xludf.DUMMYFUNCTION("""COMPUTED_VALUE"""),"Category Page")</f>
        <v>Category Page</v>
      </c>
      <c r="G75" s="11" t="b">
        <f>IFERROR(__xludf.DUMMYFUNCTION("""COMPUTED_VALUE"""),FALSE)</f>
        <v>0</v>
      </c>
      <c r="H75" s="11" t="str">
        <f>IFERROR(__xludf.DUMMYFUNCTION("""COMPUTED_VALUE"""),"Huge")</f>
        <v>Huge</v>
      </c>
      <c r="I75" s="11">
        <f>IFERROR(__xludf.DUMMYFUNCTION("""COMPUTED_VALUE"""),19.0)</f>
        <v>19</v>
      </c>
      <c r="J75" s="11">
        <f>IFERROR(__xludf.DUMMYFUNCTION("""COMPUTED_VALUE"""),0.02)</f>
        <v>0.02</v>
      </c>
      <c r="K75" s="11">
        <f>IFERROR(__xludf.DUMMYFUNCTION("""COMPUTED_VALUE"""),0.05)</f>
        <v>0.05</v>
      </c>
      <c r="L75" s="11"/>
    </row>
    <row r="76" ht="15.75" customHeight="1">
      <c r="A76" s="8" t="str">
        <f>IFERROR(__xludf.DUMMYFUNCTION("""COMPUTED_VALUE"""),"https://aeo-copilot.com/partners/agencies/germany/munich")</f>
        <v>https://aeo-copilot.com/partners/agencies/germany/munich</v>
      </c>
      <c r="B76" s="11" t="str">
        <f>IFERROR(__xludf.DUMMYFUNCTION("""COMPUTED_VALUE"""),"Best AEO Agencies in Munich, Germany — AI Visibility Experts | AEO Copilot")</f>
        <v>Best AEO Agencies in Munich, Germany — AI Visibility Experts | AEO Copilot</v>
      </c>
      <c r="C76" s="8" t="str">
        <f>IFERROR(__xludf.DUMMYFUNCTION("""COMPUTED_VALUE"""),"aeo-copilot.com")</f>
        <v>aeo-copilot.com</v>
      </c>
      <c r="D76" s="11" t="str">
        <f>IFERROR(__xludf.DUMMYFUNCTION("""COMPUTED_VALUE"""),"CATEGORY_PAGE")</f>
        <v>CATEGORY_PAGE</v>
      </c>
      <c r="E76" s="11" t="str">
        <f>IFERROR(__xludf.DUMMYFUNCTION("""COMPUTED_VALUE"""),"CORPORATE")</f>
        <v>CORPORATE</v>
      </c>
      <c r="F76" s="11" t="str">
        <f>IFERROR(__xludf.DUMMYFUNCTION("""COMPUTED_VALUE"""),"Category Page")</f>
        <v>Category Page</v>
      </c>
      <c r="G76" s="11" t="b">
        <f>IFERROR(__xludf.DUMMYFUNCTION("""COMPUTED_VALUE"""),FALSE)</f>
        <v>0</v>
      </c>
      <c r="H76" s="11"/>
      <c r="I76" s="11">
        <f>IFERROR(__xludf.DUMMYFUNCTION("""COMPUTED_VALUE"""),18.0)</f>
        <v>18</v>
      </c>
      <c r="J76" s="11">
        <f>IFERROR(__xludf.DUMMYFUNCTION("""COMPUTED_VALUE"""),0.02)</f>
        <v>0.02</v>
      </c>
      <c r="K76" s="11">
        <f>IFERROR(__xludf.DUMMYFUNCTION("""COMPUTED_VALUE"""),0.33)</f>
        <v>0.33</v>
      </c>
      <c r="L76" s="11"/>
    </row>
    <row r="77" ht="15.75" customHeight="1">
      <c r="A77" s="8" t="str">
        <f>IFERROR(__xludf.DUMMYFUNCTION("""COMPUTED_VALUE"""),"https://awisee.com/blog/digital-marketing-agencies-germany/")</f>
        <v>https://awisee.com/blog/digital-marketing-agencies-germany/</v>
      </c>
      <c r="B77" s="11" t="str">
        <f>IFERROR(__xludf.DUMMYFUNCTION("""COMPUTED_VALUE"""),"Top 4 Digital Marketing Agencies Germany In 2025 (Reviews)")</f>
        <v>Top 4 Digital Marketing Agencies Germany In 2025 (Reviews)</v>
      </c>
      <c r="C77" s="8" t="str">
        <f>IFERROR(__xludf.DUMMYFUNCTION("""COMPUTED_VALUE"""),"awisee.com")</f>
        <v>awisee.com</v>
      </c>
      <c r="D77" s="11" t="str">
        <f>IFERROR(__xludf.DUMMYFUNCTION("""COMPUTED_VALUE"""),"LISTICLE")</f>
        <v>LISTICLE</v>
      </c>
      <c r="E77" s="11" t="str">
        <f>IFERROR(__xludf.DUMMYFUNCTION("""COMPUTED_VALUE"""),"OTHER")</f>
        <v>OTHER</v>
      </c>
      <c r="F77" s="11" t="str">
        <f>IFERROR(__xludf.DUMMYFUNCTION("""COMPUTED_VALUE"""),"Listicle")</f>
        <v>Listicle</v>
      </c>
      <c r="G77" s="11" t="b">
        <f>IFERROR(__xludf.DUMMYFUNCTION("""COMPUTED_VALUE"""),FALSE)</f>
        <v>0</v>
      </c>
      <c r="H77" s="11" t="str">
        <f>IFERROR(__xludf.DUMMYFUNCTION("""COMPUTED_VALUE"""),"KlickPiloten")</f>
        <v>KlickPiloten</v>
      </c>
      <c r="I77" s="11">
        <f>IFERROR(__xludf.DUMMYFUNCTION("""COMPUTED_VALUE"""),18.0)</f>
        <v>18</v>
      </c>
      <c r="J77" s="11">
        <f>IFERROR(__xludf.DUMMYFUNCTION("""COMPUTED_VALUE"""),0.02)</f>
        <v>0.02</v>
      </c>
      <c r="K77" s="11">
        <f>IFERROR(__xludf.DUMMYFUNCTION("""COMPUTED_VALUE"""),0.22)</f>
        <v>0.22</v>
      </c>
      <c r="L77" s="11"/>
    </row>
    <row r="78" ht="15.75" customHeight="1">
      <c r="A78" s="8" t="str">
        <f>IFERROR(__xludf.DUMMYFUNCTION("""COMPUTED_VALUE"""),"https://clutch.co/de/agencies/ppc/display")</f>
        <v>https://clutch.co/de/agencies/ppc/display</v>
      </c>
      <c r="B78" s="11" t="str">
        <f>IFERROR(__xludf.DUMMYFUNCTION("""COMPUTED_VALUE"""),"Top Display Advertising Services in Germany - Jul 2026 Rankings \| Clutch.co")</f>
        <v>Top Display Advertising Services in Germany - Jul 2026 Rankings \| Clutch.co</v>
      </c>
      <c r="C78" s="8" t="str">
        <f>IFERROR(__xludf.DUMMYFUNCTION("""COMPUTED_VALUE"""),"clutch.co")</f>
        <v>clutch.co</v>
      </c>
      <c r="D78" s="11" t="str">
        <f>IFERROR(__xludf.DUMMYFUNCTION("""COMPUTED_VALUE"""),"OTHER")</f>
        <v>OTHER</v>
      </c>
      <c r="E78" s="11" t="str">
        <f>IFERROR(__xludf.DUMMYFUNCTION("""COMPUTED_VALUE"""),"CORPORATE")</f>
        <v>CORPORATE</v>
      </c>
      <c r="F78" s="11" t="str">
        <f>IFERROR(__xludf.DUMMYFUNCTION("""COMPUTED_VALUE"""),"Other")</f>
        <v>Other</v>
      </c>
      <c r="G78" s="11" t="b">
        <f>IFERROR(__xludf.DUMMYFUNCTION("""COMPUTED_VALUE"""),FALSE)</f>
        <v>0</v>
      </c>
      <c r="H78" s="11" t="str">
        <f>IFERROR(__xludf.DUMMYFUNCTION("""COMPUTED_VALUE"""),"Seeders, GroupM, Aufgesang")</f>
        <v>Seeders, GroupM, Aufgesang</v>
      </c>
      <c r="I78" s="11">
        <f>IFERROR(__xludf.DUMMYFUNCTION("""COMPUTED_VALUE"""),18.0)</f>
        <v>18</v>
      </c>
      <c r="J78" s="11">
        <f>IFERROR(__xludf.DUMMYFUNCTION("""COMPUTED_VALUE"""),0.02)</f>
        <v>0.02</v>
      </c>
      <c r="K78" s="11">
        <f>IFERROR(__xludf.DUMMYFUNCTION("""COMPUTED_VALUE"""),0.67)</f>
        <v>0.67</v>
      </c>
      <c r="L78" s="11"/>
    </row>
    <row r="79" ht="15.75" customHeight="1">
      <c r="A79" s="8" t="str">
        <f>IFERROR(__xludf.DUMMYFUNCTION("""COMPUTED_VALUE"""),"https://www.radyant.io/comparison/the-7-best-ai-search-optimization-agencies-in-europe")</f>
        <v>https://www.radyant.io/comparison/the-7-best-ai-search-optimization-agencies-in-europe</v>
      </c>
      <c r="B79" s="11" t="str">
        <f>IFERROR(__xludf.DUMMYFUNCTION("""COMPUTED_VALUE"""),"The 7 best AI Search Optimization agencies in Europe · Radyant")</f>
        <v>The 7 best AI Search Optimization agencies in Europe · Radyant</v>
      </c>
      <c r="C79" s="8" t="str">
        <f>IFERROR(__xludf.DUMMYFUNCTION("""COMPUTED_VALUE"""),"radyant.io")</f>
        <v>radyant.io</v>
      </c>
      <c r="D79" s="11" t="str">
        <f>IFERROR(__xludf.DUMMYFUNCTION("""COMPUTED_VALUE"""),"LISTICLE")</f>
        <v>LISTICLE</v>
      </c>
      <c r="E79" s="11" t="str">
        <f>IFERROR(__xludf.DUMMYFUNCTION("""COMPUTED_VALUE"""),"COMPETITOR")</f>
        <v>COMPETITOR</v>
      </c>
      <c r="F79" s="11" t="str">
        <f>IFERROR(__xludf.DUMMYFUNCTION("""COMPUTED_VALUE"""),"Listicle")</f>
        <v>Listicle</v>
      </c>
      <c r="G79" s="11" t="b">
        <f>IFERROR(__xludf.DUMMYFUNCTION("""COMPUTED_VALUE"""),FALSE)</f>
        <v>0</v>
      </c>
      <c r="H79" s="11" t="str">
        <f>IFERROR(__xludf.DUMMYFUNCTION("""COMPUTED_VALUE"""),"Radyant, Omnius, Peak Ace")</f>
        <v>Radyant, Omnius, Peak Ace</v>
      </c>
      <c r="I79" s="11">
        <f>IFERROR(__xludf.DUMMYFUNCTION("""COMPUTED_VALUE"""),18.0)</f>
        <v>18</v>
      </c>
      <c r="J79" s="11">
        <f>IFERROR(__xludf.DUMMYFUNCTION("""COMPUTED_VALUE"""),0.02)</f>
        <v>0.02</v>
      </c>
      <c r="K79" s="11">
        <f>IFERROR(__xludf.DUMMYFUNCTION("""COMPUTED_VALUE"""),0.78)</f>
        <v>0.78</v>
      </c>
      <c r="L79" s="11"/>
    </row>
    <row r="80" ht="15.75" customHeight="1">
      <c r="A80" s="8" t="str">
        <f>IFERROR(__xludf.DUMMYFUNCTION("""COMPUTED_VALUE"""),"https://seeders.com/blog/top-10-generative-engine-optimization-geo-agencies-in-europe/")</f>
        <v>https://seeders.com/blog/top-10-generative-engine-optimization-geo-agencies-in-europe/</v>
      </c>
      <c r="B80" s="11" t="str">
        <f>IFERROR(__xludf.DUMMYFUNCTION("""COMPUTED_VALUE"""),"10 Best European GEO Agencies | Seeders")</f>
        <v>10 Best European GEO Agencies | Seeders</v>
      </c>
      <c r="C80" s="8" t="str">
        <f>IFERROR(__xludf.DUMMYFUNCTION("""COMPUTED_VALUE"""),"seeders.com")</f>
        <v>seeders.com</v>
      </c>
      <c r="D80" s="11" t="str">
        <f>IFERROR(__xludf.DUMMYFUNCTION("""COMPUTED_VALUE"""),"LISTICLE")</f>
        <v>LISTICLE</v>
      </c>
      <c r="E80" s="11" t="str">
        <f>IFERROR(__xludf.DUMMYFUNCTION("""COMPUTED_VALUE"""),"COMPETITOR")</f>
        <v>COMPETITOR</v>
      </c>
      <c r="F80" s="11" t="str">
        <f>IFERROR(__xludf.DUMMYFUNCTION("""COMPUTED_VALUE"""),"Listicle")</f>
        <v>Listicle</v>
      </c>
      <c r="G80" s="11" t="b">
        <f>IFERROR(__xludf.DUMMYFUNCTION("""COMPUTED_VALUE"""),FALSE)</f>
        <v>0</v>
      </c>
      <c r="H80" s="11" t="str">
        <f>IFERROR(__xludf.DUMMYFUNCTION("""COMPUTED_VALUE"""),"Seeders, iProspect, Dentsu, Brainlabs, DEPT, Croud, Peak Ace")</f>
        <v>Seeders, iProspect, Dentsu, Brainlabs, DEPT, Croud, Peak Ace</v>
      </c>
      <c r="I80" s="11">
        <f>IFERROR(__xludf.DUMMYFUNCTION("""COMPUTED_VALUE"""),18.0)</f>
        <v>18</v>
      </c>
      <c r="J80" s="11">
        <f>IFERROR(__xludf.DUMMYFUNCTION("""COMPUTED_VALUE"""),0.02)</f>
        <v>0.02</v>
      </c>
      <c r="K80" s="11">
        <f>IFERROR(__xludf.DUMMYFUNCTION("""COMPUTED_VALUE"""),1.22)</f>
        <v>1.22</v>
      </c>
      <c r="L80" s="11"/>
    </row>
    <row r="81" ht="15.75" customHeight="1">
      <c r="A81" s="8" t="str">
        <f>IFERROR(__xludf.DUMMYFUNCTION("""COMPUTED_VALUE"""),"https://zyppy.com/companies/c/generative-ai-seo/germany/")</f>
        <v>https://zyppy.com/companies/c/generative-ai-seo/germany/</v>
      </c>
      <c r="B81" s="11" t="str">
        <f>IFERROR(__xludf.DUMMYFUNCTION("""COMPUTED_VALUE"""),"Top Generative AI Search Companies in Germany - July 2026")</f>
        <v>Top Generative AI Search Companies in Germany - July 2026</v>
      </c>
      <c r="C81" s="8" t="str">
        <f>IFERROR(__xludf.DUMMYFUNCTION("""COMPUTED_VALUE"""),"zyppy.com")</f>
        <v>zyppy.com</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IFERROR(__xludf.DUMMYFUNCTION("""COMPUTED_VALUE"""),"HECHT INS GEFECHT")</f>
        <v>HECHT INS GEFECHT</v>
      </c>
      <c r="I81" s="11">
        <f>IFERROR(__xludf.DUMMYFUNCTION("""COMPUTED_VALUE"""),18.0)</f>
        <v>18</v>
      </c>
      <c r="J81" s="11">
        <f>IFERROR(__xludf.DUMMYFUNCTION("""COMPUTED_VALUE"""),0.02)</f>
        <v>0.02</v>
      </c>
      <c r="K81" s="11">
        <f>IFERROR(__xludf.DUMMYFUNCTION("""COMPUTED_VALUE"""),0.06)</f>
        <v>0.06</v>
      </c>
      <c r="L81" s="11"/>
    </row>
    <row r="82" ht="15.75" customHeight="1">
      <c r="A82" s="8" t="str">
        <f>IFERROR(__xludf.DUMMYFUNCTION("""COMPUTED_VALUE"""),"https://agencies.semrush.com/list/analytics-data-science/germany/")</f>
        <v>https://agencies.semrush.com/list/analytics-data-science/germany/</v>
      </c>
      <c r="B82" s="11" t="str">
        <f>IFERROR(__xludf.DUMMYFUNCTION("""COMPUTED_VALUE"""),"Best Data Analytics Services in Germany 2026 | Semrush")</f>
        <v>Best Data Analytics Services in Germany 2026 | Semrush</v>
      </c>
      <c r="C82" s="8" t="str">
        <f>IFERROR(__xludf.DUMMYFUNCTION("""COMPUTED_VALUE"""),"semrush.com")</f>
        <v>semrush.com</v>
      </c>
      <c r="D82" s="11" t="str">
        <f>IFERROR(__xludf.DUMMYFUNCTION("""COMPUTED_VALUE"""),"CATEGORY_PAGE")</f>
        <v>CATEGORY_PAGE</v>
      </c>
      <c r="E82" s="11" t="str">
        <f>IFERROR(__xludf.DUMMYFUNCTION("""COMPUTED_VALUE"""),"CORPORATE")</f>
        <v>CORPORATE</v>
      </c>
      <c r="F82" s="11" t="str">
        <f>IFERROR(__xludf.DUMMYFUNCTION("""COMPUTED_VALUE"""),"Category Page")</f>
        <v>Category Page</v>
      </c>
      <c r="G82" s="11" t="b">
        <f>IFERROR(__xludf.DUMMYFUNCTION("""COMPUTED_VALUE"""),FALSE)</f>
        <v>0</v>
      </c>
      <c r="H82" s="11" t="str">
        <f>IFERROR(__xludf.DUMMYFUNCTION("""COMPUTED_VALUE"""),"HECHT INS GEFECHT, Baseplus DIGITAL MEDIA GmbH, morefire, Mediaplus Performance, KlickPiloten")</f>
        <v>HECHT INS GEFECHT, Baseplus DIGITAL MEDIA GmbH, morefire, Mediaplus Performance, KlickPiloten</v>
      </c>
      <c r="I82" s="11">
        <f>IFERROR(__xludf.DUMMYFUNCTION("""COMPUTED_VALUE"""),17.0)</f>
        <v>17</v>
      </c>
      <c r="J82" s="11">
        <f>IFERROR(__xludf.DUMMYFUNCTION("""COMPUTED_VALUE"""),0.02)</f>
        <v>0.02</v>
      </c>
      <c r="K82" s="11">
        <f>IFERROR(__xludf.DUMMYFUNCTION("""COMPUTED_VALUE"""),0.0)</f>
        <v>0</v>
      </c>
      <c r="L82" s="11"/>
    </row>
    <row r="83" ht="15.75" customHeight="1">
      <c r="A83" s="8" t="str">
        <f>IFERROR(__xludf.DUMMYFUNCTION("""COMPUTED_VALUE"""),"https://clutch.co/de/consulting/ai/strategy")</f>
        <v>https://clutch.co/de/consulting/ai/strategy</v>
      </c>
      <c r="B83" s="11" t="str">
        <f>IFERROR(__xludf.DUMMYFUNCTION("""COMPUTED_VALUE"""),"Top AI Strategy Companies in Germany - Jul 2026 Rankings \| Clutch.co")</f>
        <v>Top AI Strategy Companies in Germany - Jul 2026 Rankings \| Clutch.co</v>
      </c>
      <c r="C83" s="8" t="str">
        <f>IFERROR(__xludf.DUMMYFUNCTION("""COMPUTED_VALUE"""),"clutch.co")</f>
        <v>clutch.co</v>
      </c>
      <c r="D83" s="11" t="str">
        <f>IFERROR(__xludf.DUMMYFUNCTION("""COMPUTED_VALUE"""),"CATEGORY_PAGE")</f>
        <v>CATEGORY_PAGE</v>
      </c>
      <c r="E83" s="11" t="str">
        <f>IFERROR(__xludf.DUMMYFUNCTION("""COMPUTED_VALUE"""),"CORPORATE")</f>
        <v>CORPORATE</v>
      </c>
      <c r="F83" s="11" t="str">
        <f>IFERROR(__xludf.DUMMYFUNCTION("""COMPUTED_VALUE"""),"Category Page")</f>
        <v>Category Page</v>
      </c>
      <c r="G83" s="11" t="b">
        <f>IFERROR(__xludf.DUMMYFUNCTION("""COMPUTED_VALUE"""),FALSE)</f>
        <v>0</v>
      </c>
      <c r="H83" s="11" t="str">
        <f>IFERROR(__xludf.DUMMYFUNCTION("""COMPUTED_VALUE"""),"HECHT INS GEFECHT")</f>
        <v>HECHT INS GEFECHT</v>
      </c>
      <c r="I83" s="11">
        <f>IFERROR(__xludf.DUMMYFUNCTION("""COMPUTED_VALUE"""),17.0)</f>
        <v>17</v>
      </c>
      <c r="J83" s="11">
        <f>IFERROR(__xludf.DUMMYFUNCTION("""COMPUTED_VALUE"""),0.02)</f>
        <v>0.02</v>
      </c>
      <c r="K83" s="11">
        <f>IFERROR(__xludf.DUMMYFUNCTION("""COMPUTED_VALUE"""),0.06)</f>
        <v>0.06</v>
      </c>
      <c r="L83" s="11"/>
    </row>
    <row r="84" ht="15.75" customHeight="1">
      <c r="A84" s="8" t="str">
        <f>IFERROR(__xludf.DUMMYFUNCTION("""COMPUTED_VALUE"""),"https://omr.com/de/reviews/service-category/performance-marketing-agenturen")</f>
        <v>https://omr.com/de/reviews/service-category/performance-marketing-agenturen</v>
      </c>
      <c r="B84" s="11" t="str">
        <f>IFERROR(__xludf.DUMMYFUNCTION("""COMPUTED_VALUE"""),"Top Performance Marketing Agenturen in Deutschland, Österreich und Schweiz")</f>
        <v>Top Performance Marketing Agenturen in Deutschland, Österreich und Schweiz</v>
      </c>
      <c r="C84" s="8" t="str">
        <f>IFERROR(__xludf.DUMMYFUNCTION("""COMPUTED_VALUE"""),"omr.com")</f>
        <v>omr.com</v>
      </c>
      <c r="D84" s="11" t="str">
        <f>IFERROR(__xludf.DUMMYFUNCTION("""COMPUTED_VALUE"""),"CATEGORY_PAGE")</f>
        <v>CATEGORY_PAGE</v>
      </c>
      <c r="E84" s="11" t="str">
        <f>IFERROR(__xludf.DUMMYFUNCTION("""COMPUTED_VALUE"""),"OTHER")</f>
        <v>OTHER</v>
      </c>
      <c r="F84" s="11" t="str">
        <f>IFERROR(__xludf.DUMMYFUNCTION("""COMPUTED_VALUE"""),"Category Page")</f>
        <v>Category Page</v>
      </c>
      <c r="G84" s="11" t="b">
        <f>IFERROR(__xludf.DUMMYFUNCTION("""COMPUTED_VALUE"""),FALSE)</f>
        <v>0</v>
      </c>
      <c r="H84" s="11" t="str">
        <f>IFERROR(__xludf.DUMMYFUNCTION("""COMPUTED_VALUE"""),"KlickPiloten, Löwenstark, Smarketer, Jung von Matt")</f>
        <v>KlickPiloten, Löwenstark, Smarketer, Jung von Matt</v>
      </c>
      <c r="I84" s="11">
        <f>IFERROR(__xludf.DUMMYFUNCTION("""COMPUTED_VALUE"""),17.0)</f>
        <v>17</v>
      </c>
      <c r="J84" s="11">
        <f>IFERROR(__xludf.DUMMYFUNCTION("""COMPUTED_VALUE"""),0.02)</f>
        <v>0.02</v>
      </c>
      <c r="K84" s="11">
        <f>IFERROR(__xludf.DUMMYFUNCTION("""COMPUTED_VALUE"""),0.59)</f>
        <v>0.59</v>
      </c>
      <c r="L84" s="11"/>
    </row>
    <row r="85" ht="15.75" customHeight="1">
      <c r="A85" s="8" t="str">
        <f>IFERROR(__xludf.DUMMYFUNCTION("""COMPUTED_VALUE"""),"https://performance-marketing-agency-berlin.com/marketing-analytics/berlin")</f>
        <v>https://performance-marketing-agency-berlin.com/marketing-analytics/berlin</v>
      </c>
      <c r="B85" s="11" t="str">
        <f>IFERROR(__xludf.DUMMYFUNCTION("""COMPUTED_VALUE"""),"The best Marketing Analytics Companies in Berlin")</f>
        <v>The best Marketing Analytics Companies in Berlin</v>
      </c>
      <c r="C85" s="8" t="str">
        <f>IFERROR(__xludf.DUMMYFUNCTION("""COMPUTED_VALUE"""),"performance-marketing-agency-berlin.com")</f>
        <v>performance-marketing-agency-berlin.com</v>
      </c>
      <c r="D85" s="11" t="str">
        <f>IFERROR(__xludf.DUMMYFUNCTION("""COMPUTED_VALUE"""),"PROFILE")</f>
        <v>PROFILE</v>
      </c>
      <c r="E85" s="11" t="str">
        <f>IFERROR(__xludf.DUMMYFUNCTION("""COMPUTED_VALUE"""),"CORPORATE")</f>
        <v>CORPORATE</v>
      </c>
      <c r="F85" s="11" t="str">
        <f>IFERROR(__xludf.DUMMYFUNCTION("""COMPUTED_VALUE"""),"Profile")</f>
        <v>Profile</v>
      </c>
      <c r="G85" s="11" t="b">
        <f>IFERROR(__xludf.DUMMYFUNCTION("""COMPUTED_VALUE"""),FALSE)</f>
        <v>0</v>
      </c>
      <c r="H85" s="11" t="str">
        <f>IFERROR(__xludf.DUMMYFUNCTION("""COMPUTED_VALUE"""),"MONSOON, KlickPiloten, lehof, Digital Masters GmbH")</f>
        <v>MONSOON, KlickPiloten, lehof, Digital Masters GmbH</v>
      </c>
      <c r="I85" s="11">
        <f>IFERROR(__xludf.DUMMYFUNCTION("""COMPUTED_VALUE"""),17.0)</f>
        <v>17</v>
      </c>
      <c r="J85" s="11">
        <f>IFERROR(__xludf.DUMMYFUNCTION("""COMPUTED_VALUE"""),0.02)</f>
        <v>0.02</v>
      </c>
      <c r="K85" s="11">
        <f>IFERROR(__xludf.DUMMYFUNCTION("""COMPUTED_VALUE"""),1.71)</f>
        <v>1.71</v>
      </c>
      <c r="L85" s="11"/>
    </row>
    <row r="86" ht="15.75" customHeight="1">
      <c r="A86" s="8" t="str">
        <f>IFERROR(__xludf.DUMMYFUNCTION("""COMPUTED_VALUE"""),"https://www.sortlist.com/s/digital-advertising/germany-de")</f>
        <v>https://www.sortlist.com/s/digital-advertising/germany-de</v>
      </c>
      <c r="B86" s="11" t="str">
        <f>IFERROR(__xludf.DUMMYFUNCTION("""COMPUTED_VALUE"""),"The 10 Best Digital Advertising Agencies in Germany - 2026 Reviews")</f>
        <v>The 10 Best Digital Advertising Agencies in Germany - 2026 Reviews</v>
      </c>
      <c r="C86" s="8" t="str">
        <f>IFERROR(__xludf.DUMMYFUNCTION("""COMPUTED_VALUE"""),"sortlist.com")</f>
        <v>sortlist.com</v>
      </c>
      <c r="D86" s="11" t="str">
        <f>IFERROR(__xludf.DUMMYFUNCTION("""COMPUTED_VALUE"""),"CATEGORY_PAGE")</f>
        <v>CATEGORY_PAGE</v>
      </c>
      <c r="E86" s="11" t="str">
        <f>IFERROR(__xludf.DUMMYFUNCTION("""COMPUTED_VALUE"""),"CORPORATE")</f>
        <v>CORPORATE</v>
      </c>
      <c r="F86" s="11" t="str">
        <f>IFERROR(__xludf.DUMMYFUNCTION("""COMPUTED_VALUE"""),"Category Page")</f>
        <v>Category Page</v>
      </c>
      <c r="G86" s="11" t="b">
        <f>IFERROR(__xludf.DUMMYFUNCTION("""COMPUTED_VALUE"""),FALSE)</f>
        <v>0</v>
      </c>
      <c r="H86" s="11" t="str">
        <f>IFERROR(__xludf.DUMMYFUNCTION("""COMPUTED_VALUE"""),"MONSOON, Triple Whale, Northbeam, Dreamdata, Momentum, Mediacharge")</f>
        <v>MONSOON, Triple Whale, Northbeam, Dreamdata, Momentum, Mediacharge</v>
      </c>
      <c r="I86" s="11">
        <f>IFERROR(__xludf.DUMMYFUNCTION("""COMPUTED_VALUE"""),17.0)</f>
        <v>17</v>
      </c>
      <c r="J86" s="11">
        <f>IFERROR(__xludf.DUMMYFUNCTION("""COMPUTED_VALUE"""),0.02)</f>
        <v>0.02</v>
      </c>
      <c r="K86" s="11">
        <f>IFERROR(__xludf.DUMMYFUNCTION("""COMPUTED_VALUE"""),1.0)</f>
        <v>1</v>
      </c>
      <c r="L86" s="11"/>
    </row>
    <row r="87" ht="15.75" customHeight="1">
      <c r="A87" s="8" t="str">
        <f>IFERROR(__xludf.DUMMYFUNCTION("""COMPUTED_VALUE"""),"https://www.sortlist.com/s/media-planning/germany-de")</f>
        <v>https://www.sortlist.com/s/media-planning/germany-de</v>
      </c>
      <c r="B87" s="11" t="str">
        <f>IFERROR(__xludf.DUMMYFUNCTION("""COMPUTED_VALUE"""),"The 10 Best Media Agencies in Germany - 2026 Reviews")</f>
        <v>The 10 Best Media Agencies in Germany - 2026 Reviews</v>
      </c>
      <c r="C87" s="8" t="str">
        <f>IFERROR(__xludf.DUMMYFUNCTION("""COMPUTED_VALUE"""),"sortlist.com")</f>
        <v>sortlist.com</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IFERROR(__xludf.DUMMYFUNCTION("""COMPUTED_VALUE"""),"lehof, Momentum, Triple Whale, Northbeam, Dreamdata, Kantar")</f>
        <v>lehof, Momentum, Triple Whale, Northbeam, Dreamdata, Kantar</v>
      </c>
      <c r="I87" s="11">
        <f>IFERROR(__xludf.DUMMYFUNCTION("""COMPUTED_VALUE"""),17.0)</f>
        <v>17</v>
      </c>
      <c r="J87" s="11">
        <f>IFERROR(__xludf.DUMMYFUNCTION("""COMPUTED_VALUE"""),0.02)</f>
        <v>0.02</v>
      </c>
      <c r="K87" s="11">
        <f>IFERROR(__xludf.DUMMYFUNCTION("""COMPUTED_VALUE"""),0.24)</f>
        <v>0.24</v>
      </c>
      <c r="L87" s="11"/>
    </row>
    <row r="88" ht="15.75" customHeight="1">
      <c r="A88" s="8" t="str">
        <f>IFERROR(__xludf.DUMMYFUNCTION("""COMPUTED_VALUE"""),"https://themanifest.com/de/social-media/agencies")</f>
        <v>https://themanifest.com/de/social-media/agencies</v>
      </c>
      <c r="B88" s="11" t="str">
        <f>IFERROR(__xludf.DUMMYFUNCTION("""COMPUTED_VALUE"""),"The Best Social Media Marketing Companies in Germany - Jun 2026 \| The Manifest")</f>
        <v>The Best Social Media Marketing Companies in Germany - Jun 2026 \| The Manifest</v>
      </c>
      <c r="C88" s="8" t="str">
        <f>IFERROR(__xludf.DUMMYFUNCTION("""COMPUTED_VALUE"""),"themanifest.com")</f>
        <v>themanifest.com</v>
      </c>
      <c r="D88" s="11" t="str">
        <f>IFERROR(__xludf.DUMMYFUNCTION("""COMPUTED_VALUE"""),"LISTICLE")</f>
        <v>LISTICLE</v>
      </c>
      <c r="E88" s="11" t="str">
        <f>IFERROR(__xludf.DUMMYFUNCTION("""COMPUTED_VALUE"""),"REFERENCE")</f>
        <v>REFERENCE</v>
      </c>
      <c r="F88" s="11" t="str">
        <f>IFERROR(__xludf.DUMMYFUNCTION("""COMPUTED_VALUE"""),"Listicle")</f>
        <v>Listicle</v>
      </c>
      <c r="G88" s="11" t="b">
        <f>IFERROR(__xludf.DUMMYFUNCTION("""COMPUTED_VALUE"""),FALSE)</f>
        <v>0</v>
      </c>
      <c r="H88" s="11" t="str">
        <f>IFERROR(__xludf.DUMMYFUNCTION("""COMPUTED_VALUE"""),"MONSOON, Mediacharge, HY.AM STUDIOS, PANORAMA3000, DREIKON")</f>
        <v>MONSOON, Mediacharge, HY.AM STUDIOS, PANORAMA3000, DREIKON</v>
      </c>
      <c r="I88" s="11">
        <f>IFERROR(__xludf.DUMMYFUNCTION("""COMPUTED_VALUE"""),17.0)</f>
        <v>17</v>
      </c>
      <c r="J88" s="11">
        <f>IFERROR(__xludf.DUMMYFUNCTION("""COMPUTED_VALUE"""),0.02)</f>
        <v>0.02</v>
      </c>
      <c r="K88" s="11">
        <f>IFERROR(__xludf.DUMMYFUNCTION("""COMPUTED_VALUE"""),0.41)</f>
        <v>0.41</v>
      </c>
      <c r="L88" s="11"/>
    </row>
    <row r="89" ht="15.75" customHeight="1">
      <c r="A89" s="8" t="str">
        <f>IFERROR(__xludf.DUMMYFUNCTION("""COMPUTED_VALUE"""),"https://www.triplewhale.com/blog/best-incrementality-testing-tools")</f>
        <v>https://www.triplewhale.com/blog/best-incrementality-testing-tools</v>
      </c>
      <c r="B89" s="11" t="str">
        <f>IFERROR(__xludf.DUMMYFUNCTION("""COMPUTED_VALUE"""),"The Best Incrementality Testing Tools for Marketers in 2026 | Triple Whale")</f>
        <v>The Best Incrementality Testing Tools for Marketers in 2026 | Triple Whale</v>
      </c>
      <c r="C89" s="8" t="str">
        <f>IFERROR(__xludf.DUMMYFUNCTION("""COMPUTED_VALUE"""),"triplewhale.com")</f>
        <v>triplewhale.com</v>
      </c>
      <c r="D89" s="11" t="str">
        <f>IFERROR(__xludf.DUMMYFUNCTION("""COMPUTED_VALUE"""),"COMPARISON")</f>
        <v>COMPARISON</v>
      </c>
      <c r="E89" s="11" t="str">
        <f>IFERROR(__xludf.DUMMYFUNCTION("""COMPUTED_VALUE"""),"COMPETITOR")</f>
        <v>COMPETITOR</v>
      </c>
      <c r="F89" s="11" t="str">
        <f>IFERROR(__xludf.DUMMYFUNCTION("""COMPUTED_VALUE"""),"Comparison")</f>
        <v>Comparison</v>
      </c>
      <c r="G89" s="11" t="b">
        <f>IFERROR(__xludf.DUMMYFUNCTION("""COMPUTED_VALUE"""),FALSE)</f>
        <v>0</v>
      </c>
      <c r="H89" s="11" t="str">
        <f>IFERROR(__xludf.DUMMYFUNCTION("""COMPUTED_VALUE"""),"Triple Whale, Haus, Measured, INCRMNTAL")</f>
        <v>Triple Whale, Haus, Measured, INCRMNTAL</v>
      </c>
      <c r="I89" s="11">
        <f>IFERROR(__xludf.DUMMYFUNCTION("""COMPUTED_VALUE"""),17.0)</f>
        <v>17</v>
      </c>
      <c r="J89" s="11">
        <f>IFERROR(__xludf.DUMMYFUNCTION("""COMPUTED_VALUE"""),0.02)</f>
        <v>0.02</v>
      </c>
      <c r="K89" s="11">
        <f>IFERROR(__xludf.DUMMYFUNCTION("""COMPUTED_VALUE"""),0.18)</f>
        <v>0.18</v>
      </c>
      <c r="L89" s="11"/>
    </row>
    <row r="90" ht="15.75" customHeight="1">
      <c r="A90" s="8" t="str">
        <f>IFERROR(__xludf.DUMMYFUNCTION("""COMPUTED_VALUE"""),"https://clutch.co/de/agencies/digital")</f>
        <v>https://clutch.co/de/agencies/digital</v>
      </c>
      <c r="B90" s="11" t="str">
        <f>IFERROR(__xludf.DUMMYFUNCTION("""COMPUTED_VALUE"""),"Top Full-Service Digital Agencies in Germany - Jul 2026 Rankings \| Clutch.co")</f>
        <v>Top Full-Service Digital Agencies in Germany - Jul 2026 Rankings \| Clutch.co</v>
      </c>
      <c r="C90" s="8" t="str">
        <f>IFERROR(__xludf.DUMMYFUNCTION("""COMPUTED_VALUE"""),"clutch.co")</f>
        <v>clutch.co</v>
      </c>
      <c r="D90" s="11" t="str">
        <f>IFERROR(__xludf.DUMMYFUNCTION("""COMPUTED_VALUE"""),"CATEGORY_PAGE")</f>
        <v>CATEGORY_PAGE</v>
      </c>
      <c r="E90" s="11" t="str">
        <f>IFERROR(__xludf.DUMMYFUNCTION("""COMPUTED_VALUE"""),"CORPORATE")</f>
        <v>CORPORATE</v>
      </c>
      <c r="F90" s="11" t="str">
        <f>IFERROR(__xludf.DUMMYFUNCTION("""COMPUTED_VALUE"""),"Category Page")</f>
        <v>Category Page</v>
      </c>
      <c r="G90" s="11" t="b">
        <f>IFERROR(__xludf.DUMMYFUNCTION("""COMPUTED_VALUE"""),FALSE)</f>
        <v>0</v>
      </c>
      <c r="H90" s="11" t="str">
        <f>IFERROR(__xludf.DUMMYFUNCTION("""COMPUTED_VALUE"""),"HY.AM STUDIOS, Huge, Digitalyze, DREIKON, morefire, Löwenstark")</f>
        <v>HY.AM STUDIOS, Huge, Digitalyze, DREIKON, morefire, Löwenstark</v>
      </c>
      <c r="I90" s="11">
        <f>IFERROR(__xludf.DUMMYFUNCTION("""COMPUTED_VALUE"""),16.0)</f>
        <v>16</v>
      </c>
      <c r="J90" s="11">
        <f>IFERROR(__xludf.DUMMYFUNCTION("""COMPUTED_VALUE"""),0.02)</f>
        <v>0.02</v>
      </c>
      <c r="K90" s="11">
        <f>IFERROR(__xludf.DUMMYFUNCTION("""COMPUTED_VALUE"""),0.25)</f>
        <v>0.25</v>
      </c>
      <c r="L90" s="11"/>
    </row>
    <row r="91" ht="15.75" customHeight="1">
      <c r="A91" s="8" t="str">
        <f>IFERROR(__xludf.DUMMYFUNCTION("""COMPUTED_VALUE"""),"https://ensun.io/search/multi-touch-attribution/germany")</f>
        <v>https://ensun.io/search/multi-touch-attribution/germany</v>
      </c>
      <c r="B91" s="11" t="str">
        <f>IFERROR(__xludf.DUMMYFUNCTION("""COMPUTED_VALUE"""),"Top 100 Multi-Touch Attribution Companies in Germany (2026) \| ensun")</f>
        <v>Top 100 Multi-Touch Attribution Companies in Germany (2026) \| ensun</v>
      </c>
      <c r="C91" s="8" t="str">
        <f>IFERROR(__xludf.DUMMYFUNCTION("""COMPUTED_VALUE"""),"ensun.io")</f>
        <v>ensun.io</v>
      </c>
      <c r="D91" s="11" t="str">
        <f>IFERROR(__xludf.DUMMYFUNCTION("""COMPUTED_VALUE"""),"CATEGORY_PAGE")</f>
        <v>CATEGORY_PAGE</v>
      </c>
      <c r="E91" s="11" t="str">
        <f>IFERROR(__xludf.DUMMYFUNCTION("""COMPUTED_VALUE"""),"OTHER")</f>
        <v>OTHER</v>
      </c>
      <c r="F91" s="11" t="str">
        <f>IFERROR(__xludf.DUMMYFUNCTION("""COMPUTED_VALUE"""),"Category Page")</f>
        <v>Category Page</v>
      </c>
      <c r="G91" s="11" t="b">
        <f>IFERROR(__xludf.DUMMYFUNCTION("""COMPUTED_VALUE"""),FALSE)</f>
        <v>0</v>
      </c>
      <c r="H91" s="11"/>
      <c r="I91" s="11">
        <f>IFERROR(__xludf.DUMMYFUNCTION("""COMPUTED_VALUE"""),16.0)</f>
        <v>16</v>
      </c>
      <c r="J91" s="11">
        <f>IFERROR(__xludf.DUMMYFUNCTION("""COMPUTED_VALUE"""),0.02)</f>
        <v>0.02</v>
      </c>
      <c r="K91" s="11">
        <f>IFERROR(__xludf.DUMMYFUNCTION("""COMPUTED_VALUE"""),1.25)</f>
        <v>1.25</v>
      </c>
      <c r="L91" s="11"/>
    </row>
    <row r="92" ht="15.75" customHeight="1">
      <c r="A92" s="8" t="str">
        <f>IFERROR(__xludf.DUMMYFUNCTION("""COMPUTED_VALUE"""),"https://feedbax.ai/digital-marketing/germany#:~:text=from%20on...-,Read%20More,100%25%20relevance%20%E2%9C%93%20Inform%20now")</f>
        <v>https://feedbax.ai/digital-marketing/germany#:~:text=from%20on...-,Read%20More,100%25%20relevance%20%E2%9C%93%20Inform%20now</v>
      </c>
      <c r="B92" s="11" t="str">
        <f>IFERROR(__xludf.DUMMYFUNCTION("""COMPUTED_VALUE"""),"Top 20 Digital Marketing Agencies in Germany - 2026 Reviews")</f>
        <v>Top 20 Digital Marketing Agencies in Germany - 2026 Reviews</v>
      </c>
      <c r="C92" s="8" t="str">
        <f>IFERROR(__xludf.DUMMYFUNCTION("""COMPUTED_VALUE"""),"feedbax.ai")</f>
        <v>feedbax.ai</v>
      </c>
      <c r="D92" s="11" t="str">
        <f>IFERROR(__xludf.DUMMYFUNCTION("""COMPUTED_VALUE"""),"OTHER")</f>
        <v>OTHER</v>
      </c>
      <c r="E92" s="11" t="str">
        <f>IFERROR(__xludf.DUMMYFUNCTION("""COMPUTED_VALUE"""),"UGC")</f>
        <v>UGC</v>
      </c>
      <c r="F92" s="11" t="str">
        <f>IFERROR(__xludf.DUMMYFUNCTION("""COMPUTED_VALUE"""),"Other")</f>
        <v>Other</v>
      </c>
      <c r="G92" s="11" t="b">
        <f>IFERROR(__xludf.DUMMYFUNCTION("""COMPUTED_VALUE"""),FALSE)</f>
        <v>0</v>
      </c>
      <c r="H92" s="11" t="str">
        <f>IFERROR(__xludf.DUMMYFUNCTION("""COMPUTED_VALUE"""),"PANORAMA3000, KlickPiloten, Mediacharge, Smarketer, DREIKON, Suchhelden")</f>
        <v>PANORAMA3000, KlickPiloten, Mediacharge, Smarketer, DREIKON, Suchhelden</v>
      </c>
      <c r="I92" s="11">
        <f>IFERROR(__xludf.DUMMYFUNCTION("""COMPUTED_VALUE"""),16.0)</f>
        <v>16</v>
      </c>
      <c r="J92" s="11">
        <f>IFERROR(__xludf.DUMMYFUNCTION("""COMPUTED_VALUE"""),0.02)</f>
        <v>0.02</v>
      </c>
      <c r="K92" s="11">
        <f>IFERROR(__xludf.DUMMYFUNCTION("""COMPUTED_VALUE"""),0.88)</f>
        <v>0.88</v>
      </c>
      <c r="L92" s="11"/>
    </row>
    <row r="93" ht="15.75" customHeight="1">
      <c r="A93" s="8" t="str">
        <f>IFERROR(__xludf.DUMMYFUNCTION("""COMPUTED_VALUE"""),"https://www.omnius.so/blog/best-answer-engine-optimization-agencies")</f>
        <v>https://www.omnius.so/blog/best-answer-engine-optimization-agencies</v>
      </c>
      <c r="B93" s="11" t="str">
        <f>IFERROR(__xludf.DUMMYFUNCTION("""COMPUTED_VALUE"""),"16 Best Answer Engine Optimization (AEO) Agencies in 2026")</f>
        <v>16 Best Answer Engine Optimization (AEO) Agencies in 2026</v>
      </c>
      <c r="C93" s="8" t="str">
        <f>IFERROR(__xludf.DUMMYFUNCTION("""COMPUTED_VALUE"""),"omnius.so")</f>
        <v>omnius.so</v>
      </c>
      <c r="D93" s="11" t="str">
        <f>IFERROR(__xludf.DUMMYFUNCTION("""COMPUTED_VALUE"""),"LISTICLE")</f>
        <v>LISTICLE</v>
      </c>
      <c r="E93" s="11" t="str">
        <f>IFERROR(__xludf.DUMMYFUNCTION("""COMPUTED_VALUE"""),"COMPETITOR")</f>
        <v>COMPETITOR</v>
      </c>
      <c r="F93" s="11" t="str">
        <f>IFERROR(__xludf.DUMMYFUNCTION("""COMPUTED_VALUE"""),"Listicle")</f>
        <v>Listicle</v>
      </c>
      <c r="G93" s="11" t="b">
        <f>IFERROR(__xludf.DUMMYFUNCTION("""COMPUTED_VALUE"""),FALSE)</f>
        <v>0</v>
      </c>
      <c r="H93" s="11" t="str">
        <f>IFERROR(__xludf.DUMMYFUNCTION("""COMPUTED_VALUE"""),"Omnius, Omniscient Digital, iPullRank, Single Grain")</f>
        <v>Omnius, Omniscient Digital, iPullRank, Single Grain</v>
      </c>
      <c r="I93" s="11">
        <f>IFERROR(__xludf.DUMMYFUNCTION("""COMPUTED_VALUE"""),16.0)</f>
        <v>16</v>
      </c>
      <c r="J93" s="11">
        <f>IFERROR(__xludf.DUMMYFUNCTION("""COMPUTED_VALUE"""),0.02)</f>
        <v>0.02</v>
      </c>
      <c r="K93" s="11">
        <f>IFERROR(__xludf.DUMMYFUNCTION("""COMPUTED_VALUE"""),1.13)</f>
        <v>1.13</v>
      </c>
      <c r="L93" s="11"/>
    </row>
    <row r="94" ht="15.75" customHeight="1">
      <c r="A94" s="8" t="str">
        <f>IFERROR(__xludf.DUMMYFUNCTION("""COMPUTED_VALUE"""),"https://slashdot.org/software/incrementality-testing/in-germany/")</f>
        <v>https://slashdot.org/software/incrementality-testing/in-germany/</v>
      </c>
      <c r="B94" s="11" t="str">
        <f>IFERROR(__xludf.DUMMYFUNCTION("""COMPUTED_VALUE"""),"Top Incrementality Testing Tools in Germany in 2026")</f>
        <v>Top Incrementality Testing Tools in Germany in 2026</v>
      </c>
      <c r="C94" s="8" t="str">
        <f>IFERROR(__xludf.DUMMYFUNCTION("""COMPUTED_VALUE"""),"slashdot.org")</f>
        <v>slashdot.org</v>
      </c>
      <c r="D94" s="11" t="str">
        <f>IFERROR(__xludf.DUMMYFUNCTION("""COMPUTED_VALUE"""),"CATEGORY_PAGE")</f>
        <v>CATEGORY_PAGE</v>
      </c>
      <c r="E94" s="11" t="str">
        <f>IFERROR(__xludf.DUMMYFUNCTION("""COMPUTED_VALUE"""),"EDITORIAL")</f>
        <v>EDITORIAL</v>
      </c>
      <c r="F94" s="11" t="str">
        <f>IFERROR(__xludf.DUMMYFUNCTION("""COMPUTED_VALUE"""),"Category Page")</f>
        <v>Category Page</v>
      </c>
      <c r="G94" s="11" t="b">
        <f>IFERROR(__xludf.DUMMYFUNCTION("""COMPUTED_VALUE"""),FALSE)</f>
        <v>0</v>
      </c>
      <c r="H94" s="11" t="str">
        <f>IFERROR(__xludf.DUMMYFUNCTION("""COMPUTED_VALUE"""),"Measured, LifeSight, Sellforte, Rockerbox, Recast, Haus, Analytic Partners")</f>
        <v>Measured, LifeSight, Sellforte, Rockerbox, Recast, Haus, Analytic Partners</v>
      </c>
      <c r="I94" s="11">
        <f>IFERROR(__xludf.DUMMYFUNCTION("""COMPUTED_VALUE"""),16.0)</f>
        <v>16</v>
      </c>
      <c r="J94" s="11">
        <f>IFERROR(__xludf.DUMMYFUNCTION("""COMPUTED_VALUE"""),0.02)</f>
        <v>0.02</v>
      </c>
      <c r="K94" s="11">
        <f>IFERROR(__xludf.DUMMYFUNCTION("""COMPUTED_VALUE"""),1.0)</f>
        <v>1</v>
      </c>
      <c r="L94" s="11"/>
    </row>
    <row r="95" ht="15.75" customHeight="1">
      <c r="A95" s="8" t="str">
        <f>IFERROR(__xludf.DUMMYFUNCTION("""COMPUTED_VALUE"""),"https://www.btelligent.com/en/news-posts/btelligent-brandeins-2026-best-consultancies-germany")</f>
        <v>https://www.btelligent.com/en/news-posts/btelligent-brandeins-2026-best-consultancies-germany</v>
      </c>
      <c r="B95" s="11" t="str">
        <f>IFERROR(__xludf.DUMMYFUNCTION("""COMPUTED_VALUE"""),"b.telligent among Germany’s top Data &amp;amp; AI consultancies 2026")</f>
        <v>b.telligent among Germany’s top Data &amp;amp; AI consultancies 2026</v>
      </c>
      <c r="C95" s="8" t="str">
        <f>IFERROR(__xludf.DUMMYFUNCTION("""COMPUTED_VALUE"""),"btelligent.com")</f>
        <v>btelligent.com</v>
      </c>
      <c r="D95" s="11" t="str">
        <f>IFERROR(__xludf.DUMMYFUNCTION("""COMPUTED_VALUE"""),"ARTICLE")</f>
        <v>ARTICLE</v>
      </c>
      <c r="E95" s="11" t="str">
        <f>IFERROR(__xludf.DUMMYFUNCTION("""COMPUTED_VALUE"""),"COMPETITOR")</f>
        <v>COMPETITOR</v>
      </c>
      <c r="F95" s="11" t="str">
        <f>IFERROR(__xludf.DUMMYFUNCTION("""COMPUTED_VALUE"""),"Article")</f>
        <v>Article</v>
      </c>
      <c r="G95" s="11" t="b">
        <f>IFERROR(__xludf.DUMMYFUNCTION("""COMPUTED_VALUE"""),FALSE)</f>
        <v>0</v>
      </c>
      <c r="H95" s="11" t="str">
        <f>IFERROR(__xludf.DUMMYFUNCTION("""COMPUTED_VALUE"""),"b.telligent, Pilot, EY")</f>
        <v>b.telligent, Pilot, EY</v>
      </c>
      <c r="I95" s="11">
        <f>IFERROR(__xludf.DUMMYFUNCTION("""COMPUTED_VALUE"""),15.0)</f>
        <v>15</v>
      </c>
      <c r="J95" s="11">
        <f>IFERROR(__xludf.DUMMYFUNCTION("""COMPUTED_VALUE"""),0.02)</f>
        <v>0.02</v>
      </c>
      <c r="K95" s="11">
        <f>IFERROR(__xludf.DUMMYFUNCTION("""COMPUTED_VALUE"""),1.73)</f>
        <v>1.73</v>
      </c>
      <c r="L95" s="11"/>
    </row>
    <row r="96" ht="15.75" customHeight="1">
      <c r="A96" s="8" t="str">
        <f>IFERROR(__xludf.DUMMYFUNCTION("""COMPUTED_VALUE"""),"https://feedbax.ai/advertising/germany")</f>
        <v>https://feedbax.ai/advertising/germany</v>
      </c>
      <c r="B96" s="11" t="str">
        <f>IFERROR(__xludf.DUMMYFUNCTION("""COMPUTED_VALUE"""),"Top 20 Advertising Agencies in Germany - 2026 Reviews")</f>
        <v>Top 20 Advertising Agencies in Germany - 2026 Reviews</v>
      </c>
      <c r="C96" s="8" t="str">
        <f>IFERROR(__xludf.DUMMYFUNCTION("""COMPUTED_VALUE"""),"feedbax.ai")</f>
        <v>feedbax.ai</v>
      </c>
      <c r="D96" s="11" t="str">
        <f>IFERROR(__xludf.DUMMYFUNCTION("""COMPUTED_VALUE"""),"PROFILE")</f>
        <v>PROFILE</v>
      </c>
      <c r="E96" s="11" t="str">
        <f>IFERROR(__xludf.DUMMYFUNCTION("""COMPUTED_VALUE"""),"UGC")</f>
        <v>UGC</v>
      </c>
      <c r="F96" s="11" t="str">
        <f>IFERROR(__xludf.DUMMYFUNCTION("""COMPUTED_VALUE"""),"Profile")</f>
        <v>Profile</v>
      </c>
      <c r="G96" s="11" t="b">
        <f>IFERROR(__xludf.DUMMYFUNCTION("""COMPUTED_VALUE"""),FALSE)</f>
        <v>0</v>
      </c>
      <c r="H96" s="11" t="str">
        <f>IFERROR(__xludf.DUMMYFUNCTION("""COMPUTED_VALUE"""),"Smarketer, DREIKON")</f>
        <v>Smarketer, DREIKON</v>
      </c>
      <c r="I96" s="11">
        <f>IFERROR(__xludf.DUMMYFUNCTION("""COMPUTED_VALUE"""),15.0)</f>
        <v>15</v>
      </c>
      <c r="J96" s="11">
        <f>IFERROR(__xludf.DUMMYFUNCTION("""COMPUTED_VALUE"""),0.02)</f>
        <v>0.02</v>
      </c>
      <c r="K96" s="11">
        <f>IFERROR(__xludf.DUMMYFUNCTION("""COMPUTED_VALUE"""),0.93)</f>
        <v>0.93</v>
      </c>
      <c r="L96" s="11"/>
    </row>
    <row r="97" ht="15.75" customHeight="1">
      <c r="A97" s="8" t="str">
        <f>IFERROR(__xludf.DUMMYFUNCTION("""COMPUTED_VALUE"""),"https://feedbax.ai/geo-agencies/germany")</f>
        <v>https://feedbax.ai/geo-agencies/germany</v>
      </c>
      <c r="B97" s="11" t="str">
        <f>IFERROR(__xludf.DUMMYFUNCTION("""COMPUTED_VALUE"""),"Top 20 GEO Agencies in Germany - 2026 Reviews")</f>
        <v>Top 20 GEO Agencies in Germany - 2026 Reviews</v>
      </c>
      <c r="C97" s="8" t="str">
        <f>IFERROR(__xludf.DUMMYFUNCTION("""COMPUTED_VALUE"""),"feedbax.ai")</f>
        <v>feedbax.ai</v>
      </c>
      <c r="D97" s="11" t="str">
        <f>IFERROR(__xludf.DUMMYFUNCTION("""COMPUTED_VALUE"""),"PROFILE")</f>
        <v>PROFILE</v>
      </c>
      <c r="E97" s="11" t="str">
        <f>IFERROR(__xludf.DUMMYFUNCTION("""COMPUTED_VALUE"""),"UGC")</f>
        <v>UGC</v>
      </c>
      <c r="F97" s="11" t="str">
        <f>IFERROR(__xludf.DUMMYFUNCTION("""COMPUTED_VALUE"""),"Profile")</f>
        <v>Profile</v>
      </c>
      <c r="G97" s="11" t="b">
        <f>IFERROR(__xludf.DUMMYFUNCTION("""COMPUTED_VALUE"""),FALSE)</f>
        <v>0</v>
      </c>
      <c r="H97" s="11" t="str">
        <f>IFERROR(__xludf.DUMMYFUNCTION("""COMPUTED_VALUE"""),"DREIKON, HECHT INS GEFECHT")</f>
        <v>DREIKON, HECHT INS GEFECHT</v>
      </c>
      <c r="I97" s="11">
        <f>IFERROR(__xludf.DUMMYFUNCTION("""COMPUTED_VALUE"""),15.0)</f>
        <v>15</v>
      </c>
      <c r="J97" s="11">
        <f>IFERROR(__xludf.DUMMYFUNCTION("""COMPUTED_VALUE"""),0.02)</f>
        <v>0.02</v>
      </c>
      <c r="K97" s="11">
        <f>IFERROR(__xludf.DUMMYFUNCTION("""COMPUTED_VALUE"""),0.33)</f>
        <v>0.33</v>
      </c>
      <c r="L97" s="11"/>
    </row>
    <row r="98" ht="15.75" customHeight="1">
      <c r="A98" s="8" t="str">
        <f>IFERROR(__xludf.DUMMYFUNCTION("""COMPUTED_VALUE"""),"https://www.gartner.com/reviews/market/incrementality-measurement-platforms")</f>
        <v>https://www.gartner.com/reviews/market/incrementality-measurement-platforms</v>
      </c>
      <c r="B98" s="11" t="str">
        <f>IFERROR(__xludf.DUMMYFUNCTION("""COMPUTED_VALUE"""),"Best Incrementality Measurement Platforms Reviews 2026 \| Gartner Peer Insights")</f>
        <v>Best Incrementality Measurement Platforms Reviews 2026 \| Gartner Peer Insights</v>
      </c>
      <c r="C98" s="8" t="str">
        <f>IFERROR(__xludf.DUMMYFUNCTION("""COMPUTED_VALUE"""),"gartner.com")</f>
        <v>gartner.com</v>
      </c>
      <c r="D98" s="11" t="str">
        <f>IFERROR(__xludf.DUMMYFUNCTION("""COMPUTED_VALUE"""),"CATEGORY_PAGE")</f>
        <v>CATEGORY_PAGE</v>
      </c>
      <c r="E98" s="11" t="str">
        <f>IFERROR(__xludf.DUMMYFUNCTION("""COMPUTED_VALUE"""),"CORPORATE")</f>
        <v>CORPORATE</v>
      </c>
      <c r="F98" s="11" t="str">
        <f>IFERROR(__xludf.DUMMYFUNCTION("""COMPUTED_VALUE"""),"Category Page")</f>
        <v>Category Page</v>
      </c>
      <c r="G98" s="11" t="b">
        <f>IFERROR(__xludf.DUMMYFUNCTION("""COMPUTED_VALUE"""),FALSE)</f>
        <v>0</v>
      </c>
      <c r="H98" s="11" t="str">
        <f>IFERROR(__xludf.DUMMYFUNCTION("""COMPUTED_VALUE"""),"Haus, SegmentStream, Measured, INCRMNTAL, LifeSight, Recast")</f>
        <v>Haus, SegmentStream, Measured, INCRMNTAL, LifeSight, Recast</v>
      </c>
      <c r="I98" s="11">
        <f>IFERROR(__xludf.DUMMYFUNCTION("""COMPUTED_VALUE"""),15.0)</f>
        <v>15</v>
      </c>
      <c r="J98" s="11">
        <f>IFERROR(__xludf.DUMMYFUNCTION("""COMPUTED_VALUE"""),0.02)</f>
        <v>0.02</v>
      </c>
      <c r="K98" s="11">
        <f>IFERROR(__xludf.DUMMYFUNCTION("""COMPUTED_VALUE"""),0.47)</f>
        <v>0.47</v>
      </c>
      <c r="L98" s="11"/>
    </row>
    <row r="99" ht="15.75" customHeight="1">
      <c r="A99" s="8" t="str">
        <f>IFERROR(__xludf.DUMMYFUNCTION("""COMPUTED_VALUE"""),"https://lengreo.com/germany-aeo-geo-llmo-companies/")</f>
        <v>https://lengreo.com/germany-aeo-geo-llmo-companies/</v>
      </c>
      <c r="B99" s="11" t="str">
        <f>IFERROR(__xludf.DUMMYFUNCTION("""COMPUTED_VALUE"""),"Top 13 Germany AEO GEO LLMO Companies (2026)")</f>
        <v>Top 13 Germany AEO GEO LLMO Companies (2026)</v>
      </c>
      <c r="C99" s="8" t="str">
        <f>IFERROR(__xludf.DUMMYFUNCTION("""COMPUTED_VALUE"""),"lengreo.com")</f>
        <v>lengreo.com</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IFERROR(__xludf.DUMMYFUNCTION("""COMPUTED_VALUE"""),"Aufgesang")</f>
        <v>Aufgesang</v>
      </c>
      <c r="I99" s="11">
        <f>IFERROR(__xludf.DUMMYFUNCTION("""COMPUTED_VALUE"""),15.0)</f>
        <v>15</v>
      </c>
      <c r="J99" s="11">
        <f>IFERROR(__xludf.DUMMYFUNCTION("""COMPUTED_VALUE"""),0.02)</f>
        <v>0.02</v>
      </c>
      <c r="K99" s="11">
        <f>IFERROR(__xludf.DUMMYFUNCTION("""COMPUTED_VALUE"""),1.33)</f>
        <v>1.33</v>
      </c>
      <c r="L99" s="11"/>
    </row>
    <row r="100" ht="15.75" customHeight="1">
      <c r="A100" s="8" t="str">
        <f>IFERROR(__xludf.DUMMYFUNCTION("""COMPUTED_VALUE"""),"https://lengreo.com/top-google-ads-agencies-in-germany/")</f>
        <v>https://lengreo.com/top-google-ads-agencies-in-germany/</v>
      </c>
      <c r="B100" s="11" t="str">
        <f>IFERROR(__xludf.DUMMYFUNCTION("""COMPUTED_VALUE"""),"10 Best Google Ads Experts Helping Businesses Thrive in Germany (2026)")</f>
        <v>10 Best Google Ads Experts Helping Businesses Thrive in Germany (2026)</v>
      </c>
      <c r="C100" s="8" t="str">
        <f>IFERROR(__xludf.DUMMYFUNCTION("""COMPUTED_VALUE"""),"lengreo.com")</f>
        <v>lengreo.com</v>
      </c>
      <c r="D100" s="11" t="str">
        <f>IFERROR(__xludf.DUMMYFUNCTION("""COMPUTED_VALUE"""),"LISTICLE")</f>
        <v>LISTICLE</v>
      </c>
      <c r="E100" s="11" t="str">
        <f>IFERROR(__xludf.DUMMYFUNCTION("""COMPUTED_VALUE"""),"CORPORATE")</f>
        <v>CORPORATE</v>
      </c>
      <c r="F100" s="11" t="str">
        <f>IFERROR(__xludf.DUMMYFUNCTION("""COMPUTED_VALUE"""),"Listicle")</f>
        <v>Listicle</v>
      </c>
      <c r="G100" s="11" t="b">
        <f>IFERROR(__xludf.DUMMYFUNCTION("""COMPUTED_VALUE"""),FALSE)</f>
        <v>0</v>
      </c>
      <c r="H100" s="11" t="str">
        <f>IFERROR(__xludf.DUMMYFUNCTION("""COMPUTED_VALUE"""),"SmartSites, Smarketer, morefire")</f>
        <v>SmartSites, Smarketer, morefire</v>
      </c>
      <c r="I100" s="11">
        <f>IFERROR(__xludf.DUMMYFUNCTION("""COMPUTED_VALUE"""),15.0)</f>
        <v>15</v>
      </c>
      <c r="J100" s="11">
        <f>IFERROR(__xludf.DUMMYFUNCTION("""COMPUTED_VALUE"""),0.02)</f>
        <v>0.02</v>
      </c>
      <c r="K100" s="11">
        <f>IFERROR(__xludf.DUMMYFUNCTION("""COMPUTED_VALUE"""),0.87)</f>
        <v>0.87</v>
      </c>
      <c r="L100" s="11"/>
    </row>
    <row r="101" ht="15.75" customHeight="1">
      <c r="A101" s="8" t="str">
        <f>IFERROR(__xludf.DUMMYFUNCTION("""COMPUTED_VALUE"""),"https://www.loudface.co/blog/best-aeo-agencies-2026")</f>
        <v>https://www.loudface.co/blog/best-aeo-agencies-2026</v>
      </c>
      <c r="B101" s="11" t="str">
        <f>IFERROR(__xludf.DUMMYFUNCTION("""COMPUTED_VALUE"""),"Best AEO &amp;amp; AI Search Agencies in 2026 (Ranked) | LoudFace")</f>
        <v>Best AEO &amp;amp; AI Search Agencies in 2026 (Ranked) | LoudFace</v>
      </c>
      <c r="C101" s="8" t="str">
        <f>IFERROR(__xludf.DUMMYFUNCTION("""COMPUTED_VALUE"""),"loudface.co")</f>
        <v>loudface.co</v>
      </c>
      <c r="D101" s="11" t="str">
        <f>IFERROR(__xludf.DUMMYFUNCTION("""COMPUTED_VALUE"""),"LISTICLE")</f>
        <v>LISTICLE</v>
      </c>
      <c r="E101" s="11" t="str">
        <f>IFERROR(__xludf.DUMMYFUNCTION("""COMPUTED_VALUE"""),"CORPORATE")</f>
        <v>CORPORATE</v>
      </c>
      <c r="F101" s="11" t="str">
        <f>IFERROR(__xludf.DUMMYFUNCTION("""COMPUTED_VALUE"""),"Listicle")</f>
        <v>Listicle</v>
      </c>
      <c r="G101" s="11" t="b">
        <f>IFERROR(__xludf.DUMMYFUNCTION("""COMPUTED_VALUE"""),FALSE)</f>
        <v>0</v>
      </c>
      <c r="H101" s="11" t="str">
        <f>IFERROR(__xludf.DUMMYFUNCTION("""COMPUTED_VALUE"""),"iPullRank, NoGood, Omniscient Digital, Siege Media, Omnius, Measured")</f>
        <v>iPullRank, NoGood, Omniscient Digital, Siege Media, Omnius, Measured</v>
      </c>
      <c r="I101" s="11">
        <f>IFERROR(__xludf.DUMMYFUNCTION("""COMPUTED_VALUE"""),15.0)</f>
        <v>15</v>
      </c>
      <c r="J101" s="11">
        <f>IFERROR(__xludf.DUMMYFUNCTION("""COMPUTED_VALUE"""),0.02)</f>
        <v>0.02</v>
      </c>
      <c r="K101" s="11">
        <f>IFERROR(__xludf.DUMMYFUNCTION("""COMPUTED_VALUE"""),0.47)</f>
        <v>0.47</v>
      </c>
      <c r="L101" s="11"/>
    </row>
    <row r="102" ht="15.75" customHeight="1">
      <c r="A102" s="8" t="str">
        <f>IFERROR(__xludf.DUMMYFUNCTION("""COMPUTED_VALUE"""),"https://www.adbeacon.com/19-best-marketing-attribution-software-solutions-in-2026/")</f>
        <v>https://www.adbeacon.com/19-best-marketing-attribution-software-solutions-in-2026/</v>
      </c>
      <c r="B102" s="11" t="str">
        <f>IFERROR(__xludf.DUMMYFUNCTION("""COMPUTED_VALUE"""),"19 Best Marketing Attribution Software Solutions in 2026 | AdBeacon")</f>
        <v>19 Best Marketing Attribution Software Solutions in 2026 | AdBeacon</v>
      </c>
      <c r="C102" s="8" t="str">
        <f>IFERROR(__xludf.DUMMYFUNCTION("""COMPUTED_VALUE"""),"adbeacon.com")</f>
        <v>adbeacon.com</v>
      </c>
      <c r="D102" s="11" t="str">
        <f>IFERROR(__xludf.DUMMYFUNCTION("""COMPUTED_VALUE"""),"LISTICLE")</f>
        <v>LISTICLE</v>
      </c>
      <c r="E102" s="11" t="str">
        <f>IFERROR(__xludf.DUMMYFUNCTION("""COMPUTED_VALUE"""),"CORPORATE")</f>
        <v>CORPORATE</v>
      </c>
      <c r="F102" s="11" t="str">
        <f>IFERROR(__xludf.DUMMYFUNCTION("""COMPUTED_VALUE"""),"Listicle")</f>
        <v>Listicle</v>
      </c>
      <c r="G102" s="11" t="b">
        <f>IFERROR(__xludf.DUMMYFUNCTION("""COMPUTED_VALUE"""),FALSE)</f>
        <v>0</v>
      </c>
      <c r="H102" s="11" t="str">
        <f>IFERROR(__xludf.DUMMYFUNCTION("""COMPUTED_VALUE"""),"Ruler Analytics, Dreamdata, Triple Whale, Rockerbox")</f>
        <v>Ruler Analytics, Dreamdata, Triple Whale, Rockerbox</v>
      </c>
      <c r="I102" s="11">
        <f>IFERROR(__xludf.DUMMYFUNCTION("""COMPUTED_VALUE"""),14.0)</f>
        <v>14</v>
      </c>
      <c r="J102" s="11">
        <f>IFERROR(__xludf.DUMMYFUNCTION("""COMPUTED_VALUE"""),0.01)</f>
        <v>0.01</v>
      </c>
      <c r="K102" s="11">
        <f>IFERROR(__xludf.DUMMYFUNCTION("""COMPUTED_VALUE"""),0.0)</f>
        <v>0</v>
      </c>
      <c r="L102" s="11"/>
    </row>
    <row r="103" ht="15.75" customHeight="1">
      <c r="A103" s="8" t="str">
        <f>IFERROR(__xludf.DUMMYFUNCTION("""COMPUTED_VALUE"""),"https://www.adbeacon.com/7-best-marketing-attribution-tools-compared-2026/")</f>
        <v>https://www.adbeacon.com/7-best-marketing-attribution-tools-compared-2026/</v>
      </c>
      <c r="B103" s="11" t="str">
        <f>IFERROR(__xludf.DUMMYFUNCTION("""COMPUTED_VALUE"""),"7 Best Marketing Attribution Tools Compared (2026) | AdBeacon")</f>
        <v>7 Best Marketing Attribution Tools Compared (2026) | AdBeacon</v>
      </c>
      <c r="C103" s="8" t="str">
        <f>IFERROR(__xludf.DUMMYFUNCTION("""COMPUTED_VALUE"""),"adbeacon.com")</f>
        <v>adbeacon.com</v>
      </c>
      <c r="D103" s="11" t="str">
        <f>IFERROR(__xludf.DUMMYFUNCTION("""COMPUTED_VALUE"""),"LISTICLE")</f>
        <v>LISTICLE</v>
      </c>
      <c r="E103" s="11" t="str">
        <f>IFERROR(__xludf.DUMMYFUNCTION("""COMPUTED_VALUE"""),"CORPORATE")</f>
        <v>CORPORATE</v>
      </c>
      <c r="F103" s="11" t="str">
        <f>IFERROR(__xludf.DUMMYFUNCTION("""COMPUTED_VALUE"""),"Listicle")</f>
        <v>Listicle</v>
      </c>
      <c r="G103" s="11" t="b">
        <f>IFERROR(__xludf.DUMMYFUNCTION("""COMPUTED_VALUE"""),FALSE)</f>
        <v>0</v>
      </c>
      <c r="H103" s="11" t="str">
        <f>IFERROR(__xludf.DUMMYFUNCTION("""COMPUTED_VALUE"""),"Cometly, Triple Whale, Northbeam, Rockerbox, Ruler Analytics")</f>
        <v>Cometly, Triple Whale, Northbeam, Rockerbox, Ruler Analytics</v>
      </c>
      <c r="I103" s="11">
        <f>IFERROR(__xludf.DUMMYFUNCTION("""COMPUTED_VALUE"""),14.0)</f>
        <v>14</v>
      </c>
      <c r="J103" s="11">
        <f>IFERROR(__xludf.DUMMYFUNCTION("""COMPUTED_VALUE"""),0.01)</f>
        <v>0.01</v>
      </c>
      <c r="K103" s="11">
        <f>IFERROR(__xludf.DUMMYFUNCTION("""COMPUTED_VALUE"""),0.07)</f>
        <v>0.07</v>
      </c>
      <c r="L103" s="11"/>
    </row>
    <row r="104" ht="15.75" customHeight="1">
      <c r="A104" s="8" t="str">
        <f>IFERROR(__xludf.DUMMYFUNCTION("""COMPUTED_VALUE"""),"https://agencies.semrush.com/list/display-advertising/germany/")</f>
        <v>https://agencies.semrush.com/list/display-advertising/germany/</v>
      </c>
      <c r="B104" s="11" t="str">
        <f>IFERROR(__xludf.DUMMYFUNCTION("""COMPUTED_VALUE"""),"Best Display Ads Agencies in Germany 2026 | Semrush")</f>
        <v>Best Display Ads Agencies in Germany 2026 | Semrush</v>
      </c>
      <c r="C104" s="8" t="str">
        <f>IFERROR(__xludf.DUMMYFUNCTION("""COMPUTED_VALUE"""),"semrush.com")</f>
        <v>semrush.com</v>
      </c>
      <c r="D104" s="11" t="str">
        <f>IFERROR(__xludf.DUMMYFUNCTION("""COMPUTED_VALUE"""),"OTHER")</f>
        <v>OTHER</v>
      </c>
      <c r="E104" s="11" t="str">
        <f>IFERROR(__xludf.DUMMYFUNCTION("""COMPUTED_VALUE"""),"CORPORATE")</f>
        <v>CORPORATE</v>
      </c>
      <c r="F104" s="11" t="str">
        <f>IFERROR(__xludf.DUMMYFUNCTION("""COMPUTED_VALUE"""),"Other")</f>
        <v>Other</v>
      </c>
      <c r="G104" s="11" t="b">
        <f>IFERROR(__xludf.DUMMYFUNCTION("""COMPUTED_VALUE"""),FALSE)</f>
        <v>0</v>
      </c>
      <c r="H104" s="11" t="str">
        <f>IFERROR(__xludf.DUMMYFUNCTION("""COMPUTED_VALUE"""),"Baseplus DIGITAL MEDIA GmbH, morefire, Mediaplus Performance, MONSOON, KlickPiloten")</f>
        <v>Baseplus DIGITAL MEDIA GmbH, morefire, Mediaplus Performance, MONSOON, KlickPiloten</v>
      </c>
      <c r="I104" s="11">
        <f>IFERROR(__xludf.DUMMYFUNCTION("""COMPUTED_VALUE"""),14.0)</f>
        <v>14</v>
      </c>
      <c r="J104" s="11">
        <f>IFERROR(__xludf.DUMMYFUNCTION("""COMPUTED_VALUE"""),0.01)</f>
        <v>0.01</v>
      </c>
      <c r="K104" s="11">
        <f>IFERROR(__xludf.DUMMYFUNCTION("""COMPUTED_VALUE"""),0.14)</f>
        <v>0.14</v>
      </c>
      <c r="L104" s="11"/>
    </row>
    <row r="105" ht="15.75" customHeight="1">
      <c r="A105" s="8" t="str">
        <f>IFERROR(__xludf.DUMMYFUNCTION("""COMPUTED_VALUE"""),"https://aisuperior.com/ai-consulting-companies-in-germany/")</f>
        <v>https://aisuperior.com/ai-consulting-companies-in-germany/</v>
      </c>
      <c r="B105" s="11" t="str">
        <f>IFERROR(__xludf.DUMMYFUNCTION("""COMPUTED_VALUE"""),"15 Best AI Consulting Companies in Germany (2026)")</f>
        <v>15 Best AI Consulting Companies in Germany (2026)</v>
      </c>
      <c r="C105" s="8" t="str">
        <f>IFERROR(__xludf.DUMMYFUNCTION("""COMPUTED_VALUE"""),"aisuperior.com")</f>
        <v>aisuperior.com</v>
      </c>
      <c r="D105" s="11" t="str">
        <f>IFERROR(__xludf.DUMMYFUNCTION("""COMPUTED_VALUE"""),"LISTICLE")</f>
        <v>LISTICLE</v>
      </c>
      <c r="E105" s="11" t="str">
        <f>IFERROR(__xludf.DUMMYFUNCTION("""COMPUTED_VALUE"""),"OTHER")</f>
        <v>OTHER</v>
      </c>
      <c r="F105" s="11" t="str">
        <f>IFERROR(__xludf.DUMMYFUNCTION("""COMPUTED_VALUE"""),"Listicle")</f>
        <v>Listicle</v>
      </c>
      <c r="G105" s="11" t="b">
        <f>IFERROR(__xludf.DUMMYFUNCTION("""COMPUTED_VALUE"""),FALSE)</f>
        <v>0</v>
      </c>
      <c r="H105" s="11" t="str">
        <f>IFERROR(__xludf.DUMMYFUNCTION("""COMPUTED_VALUE"""),"MaibornWolff")</f>
        <v>MaibornWolff</v>
      </c>
      <c r="I105" s="11">
        <f>IFERROR(__xludf.DUMMYFUNCTION("""COMPUTED_VALUE"""),14.0)</f>
        <v>14</v>
      </c>
      <c r="J105" s="11">
        <f>IFERROR(__xludf.DUMMYFUNCTION("""COMPUTED_VALUE"""),0.01)</f>
        <v>0.01</v>
      </c>
      <c r="K105" s="11">
        <f>IFERROR(__xludf.DUMMYFUNCTION("""COMPUTED_VALUE"""),0.14)</f>
        <v>0.14</v>
      </c>
      <c r="L105" s="11"/>
    </row>
    <row r="106" ht="15.75" customHeight="1">
      <c r="A106" s="8" t="str">
        <f>IFERROR(__xludf.DUMMYFUNCTION("""COMPUTED_VALUE"""),"https://oski.site/blog/ai-consulting-companies-germany/")</f>
        <v>https://oski.site/blog/ai-consulting-companies-germany/</v>
      </c>
      <c r="B106" s="11" t="str">
        <f>IFERROR(__xludf.DUMMYFUNCTION("""COMPUTED_VALUE"""),"Top AI Consulting Companies in Germany 2026")</f>
        <v>Top AI Consulting Companies in Germany 2026</v>
      </c>
      <c r="C106" s="11" t="str">
        <f>IFERROR(__xludf.DUMMYFUNCTION("""COMPUTED_VALUE"""),"oski.site")</f>
        <v>oski.site</v>
      </c>
      <c r="D106" s="11" t="str">
        <f>IFERROR(__xludf.DUMMYFUNCTION("""COMPUTED_VALUE"""),"LISTICLE")</f>
        <v>LISTICLE</v>
      </c>
      <c r="E106" s="11" t="str">
        <f>IFERROR(__xludf.DUMMYFUNCTION("""COMPUTED_VALUE"""),"OTHER")</f>
        <v>OTHER</v>
      </c>
      <c r="F106" s="11" t="str">
        <f>IFERROR(__xludf.DUMMYFUNCTION("""COMPUTED_VALUE"""),"Listicle")</f>
        <v>Listicle</v>
      </c>
      <c r="G106" s="11" t="b">
        <f>IFERROR(__xludf.DUMMYFUNCTION("""COMPUTED_VALUE"""),FALSE)</f>
        <v>0</v>
      </c>
      <c r="H106" s="11" t="str">
        <f>IFERROR(__xludf.DUMMYFUNCTION("""COMPUTED_VALUE"""),"Opinosis Analytics, MaibornWolff, statworx, Capgemini, PwC, Momentum")</f>
        <v>Opinosis Analytics, MaibornWolff, statworx, Capgemini, PwC, Momentum</v>
      </c>
      <c r="I106" s="11">
        <f>IFERROR(__xludf.DUMMYFUNCTION("""COMPUTED_VALUE"""),14.0)</f>
        <v>14</v>
      </c>
      <c r="J106" s="11">
        <f>IFERROR(__xludf.DUMMYFUNCTION("""COMPUTED_VALUE"""),0.01)</f>
        <v>0.01</v>
      </c>
      <c r="K106" s="11">
        <f>IFERROR(__xludf.DUMMYFUNCTION("""COMPUTED_VALUE"""),1.21)</f>
        <v>1.21</v>
      </c>
      <c r="L106" s="11"/>
    </row>
    <row r="107" ht="15.75" customHeight="1">
      <c r="A107" s="8" t="str">
        <f>IFERROR(__xludf.DUMMYFUNCTION("""COMPUTED_VALUE"""),"https://segmentstream.com/blog/articles/top-10-incrementality-testing-tools")</f>
        <v>https://segmentstream.com/blog/articles/top-10-incrementality-testing-tools</v>
      </c>
      <c r="B107" s="11" t="str">
        <f>IFERROR(__xludf.DUMMYFUNCTION("""COMPUTED_VALUE"""),"10 Best Incrementality Testing Tools (2026) — SegmentStream")</f>
        <v>10 Best Incrementality Testing Tools (2026) — SegmentStream</v>
      </c>
      <c r="C107" s="8" t="str">
        <f>IFERROR(__xludf.DUMMYFUNCTION("""COMPUTED_VALUE"""),"segmentstream.com")</f>
        <v>segmentstream.com</v>
      </c>
      <c r="D107" s="11" t="str">
        <f>IFERROR(__xludf.DUMMYFUNCTION("""COMPUTED_VALUE"""),"LISTICLE")</f>
        <v>LISTICLE</v>
      </c>
      <c r="E107" s="11" t="str">
        <f>IFERROR(__xludf.DUMMYFUNCTION("""COMPUTED_VALUE"""),"COMPETITOR")</f>
        <v>COMPETITOR</v>
      </c>
      <c r="F107" s="11" t="str">
        <f>IFERROR(__xludf.DUMMYFUNCTION("""COMPUTED_VALUE"""),"Listicle")</f>
        <v>Listicle</v>
      </c>
      <c r="G107" s="11" t="b">
        <f>IFERROR(__xludf.DUMMYFUNCTION("""COMPUTED_VALUE"""),FALSE)</f>
        <v>0</v>
      </c>
      <c r="H107" s="11" t="str">
        <f>IFERROR(__xludf.DUMMYFUNCTION("""COMPUTED_VALUE"""),"SegmentStream, Measured, Haus, LifeSight, Rockerbox, Recast, INCRMNTAL")</f>
        <v>SegmentStream, Measured, Haus, LifeSight, Rockerbox, Recast, INCRMNTAL</v>
      </c>
      <c r="I107" s="11">
        <f>IFERROR(__xludf.DUMMYFUNCTION("""COMPUTED_VALUE"""),14.0)</f>
        <v>14</v>
      </c>
      <c r="J107" s="11">
        <f>IFERROR(__xludf.DUMMYFUNCTION("""COMPUTED_VALUE"""),0.01)</f>
        <v>0.01</v>
      </c>
      <c r="K107" s="11">
        <f>IFERROR(__xludf.DUMMYFUNCTION("""COMPUTED_VALUE"""),1.71)</f>
        <v>1.71</v>
      </c>
      <c r="L107" s="11"/>
    </row>
    <row r="108" ht="15.75" customHeight="1">
      <c r="A108" s="8" t="str">
        <f>IFERROR(__xludf.DUMMYFUNCTION("""COMPUTED_VALUE"""),"https://www.silicon.de/41722409/geo-agentur-vergleich-empfehlungen-beste-15-geo-agenturen-2026")</f>
        <v>https://www.silicon.de/41722409/geo-agentur-vergleich-empfehlungen-beste-15-geo-agenturen-2026</v>
      </c>
      <c r="B108" s="11" t="str">
        <f>IFERROR(__xludf.DUMMYFUNCTION("""COMPUTED_VALUE"""),"GEO Agentur Vergleich: TOP 15 GEO-Agenturen 2026 - silicon.de")</f>
        <v>GEO Agentur Vergleich: TOP 15 GEO-Agenturen 2026 - silicon.de</v>
      </c>
      <c r="C108" s="8" t="str">
        <f>IFERROR(__xludf.DUMMYFUNCTION("""COMPUTED_VALUE"""),"silicon.de")</f>
        <v>silicon.de</v>
      </c>
      <c r="D108" s="11" t="str">
        <f>IFERROR(__xludf.DUMMYFUNCTION("""COMPUTED_VALUE"""),"COMPARISON")</f>
        <v>COMPARISON</v>
      </c>
      <c r="E108" s="11" t="str">
        <f>IFERROR(__xludf.DUMMYFUNCTION("""COMPUTED_VALUE"""),"EDITORIAL")</f>
        <v>EDITORIAL</v>
      </c>
      <c r="F108" s="11" t="str">
        <f>IFERROR(__xludf.DUMMYFUNCTION("""COMPUTED_VALUE"""),"Comparison")</f>
        <v>Comparison</v>
      </c>
      <c r="G108" s="11" t="b">
        <f>IFERROR(__xludf.DUMMYFUNCTION("""COMPUTED_VALUE"""),FALSE)</f>
        <v>0</v>
      </c>
      <c r="H108" s="11" t="str">
        <f>IFERROR(__xludf.DUMMYFUNCTION("""COMPUTED_VALUE"""),"Aufgesang, Claneo, Suchhelden, iPullRank, WebFX, Omnius, DREIKON")</f>
        <v>Aufgesang, Claneo, Suchhelden, iPullRank, WebFX, Omnius, DREIKON</v>
      </c>
      <c r="I108" s="11">
        <f>IFERROR(__xludf.DUMMYFUNCTION("""COMPUTED_VALUE"""),14.0)</f>
        <v>14</v>
      </c>
      <c r="J108" s="11">
        <f>IFERROR(__xludf.DUMMYFUNCTION("""COMPUTED_VALUE"""),0.01)</f>
        <v>0.01</v>
      </c>
      <c r="K108" s="11">
        <f>IFERROR(__xludf.DUMMYFUNCTION("""COMPUTED_VALUE"""),1.07)</f>
        <v>1.07</v>
      </c>
      <c r="L108" s="11"/>
    </row>
    <row r="109" ht="15.75" customHeight="1">
      <c r="A109" s="8" t="str">
        <f>IFERROR(__xludf.DUMMYFUNCTION("""COMPUTED_VALUE"""),"https://slashdot.org/software/marketing-attribution/in-germany/")</f>
        <v>https://slashdot.org/software/marketing-attribution/in-germany/</v>
      </c>
      <c r="B109" s="11" t="str">
        <f>IFERROR(__xludf.DUMMYFUNCTION("""COMPUTED_VALUE"""),"Top Marketing Attribution Software in Germany in 2026")</f>
        <v>Top Marketing Attribution Software in Germany in 2026</v>
      </c>
      <c r="C109" s="8" t="str">
        <f>IFERROR(__xludf.DUMMYFUNCTION("""COMPUTED_VALUE"""),"slashdot.org")</f>
        <v>slashdot.org</v>
      </c>
      <c r="D109" s="11" t="str">
        <f>IFERROR(__xludf.DUMMYFUNCTION("""COMPUTED_VALUE"""),"CATEGORY_PAGE")</f>
        <v>CATEGORY_PAGE</v>
      </c>
      <c r="E109" s="11" t="str">
        <f>IFERROR(__xludf.DUMMYFUNCTION("""COMPUTED_VALUE"""),"EDITORIAL")</f>
        <v>EDITORIAL</v>
      </c>
      <c r="F109" s="11" t="str">
        <f>IFERROR(__xludf.DUMMYFUNCTION("""COMPUTED_VALUE"""),"Category Page")</f>
        <v>Category Page</v>
      </c>
      <c r="G109" s="11" t="b">
        <f>IFERROR(__xludf.DUMMYFUNCTION("""COMPUTED_VALUE"""),FALSE)</f>
        <v>0</v>
      </c>
      <c r="H109" s="11" t="str">
        <f>IFERROR(__xludf.DUMMYFUNCTION("""COMPUTED_VALUE"""),"Triple Whale, Cometly, Measured")</f>
        <v>Triple Whale, Cometly, Measured</v>
      </c>
      <c r="I109" s="11">
        <f>IFERROR(__xludf.DUMMYFUNCTION("""COMPUTED_VALUE"""),14.0)</f>
        <v>14</v>
      </c>
      <c r="J109" s="11">
        <f>IFERROR(__xludf.DUMMYFUNCTION("""COMPUTED_VALUE"""),0.01)</f>
        <v>0.01</v>
      </c>
      <c r="K109" s="11">
        <f>IFERROR(__xludf.DUMMYFUNCTION("""COMPUTED_VALUE"""),0.0)</f>
        <v>0</v>
      </c>
      <c r="L109" s="11"/>
    </row>
    <row r="110" ht="15.75" customHeight="1">
      <c r="A110" s="8" t="str">
        <f>IFERROR(__xludf.DUMMYFUNCTION("""COMPUTED_VALUE"""),"https://superbcompanies.com/categories/creative-agencies-in-germany/")</f>
        <v>https://superbcompanies.com/categories/creative-agencies-in-germany/</v>
      </c>
      <c r="B110" s="11" t="str">
        <f>IFERROR(__xludf.DUMMYFUNCTION("""COMPUTED_VALUE"""),"Top 50 Creative Agencies in Germany - Jul 2026 | Ranking | SuperbCompanies")</f>
        <v>Top 50 Creative Agencies in Germany - Jul 2026 | Ranking | SuperbCompanies</v>
      </c>
      <c r="C110" s="8" t="str">
        <f>IFERROR(__xludf.DUMMYFUNCTION("""COMPUTED_VALUE"""),"superbcompanies.com")</f>
        <v>superbcompanies.com</v>
      </c>
      <c r="D110" s="11" t="str">
        <f>IFERROR(__xludf.DUMMYFUNCTION("""COMPUTED_VALUE"""),"LISTICLE")</f>
        <v>LISTICLE</v>
      </c>
      <c r="E110" s="11" t="str">
        <f>IFERROR(__xludf.DUMMYFUNCTION("""COMPUTED_VALUE"""),"REFERENCE")</f>
        <v>REFERENCE</v>
      </c>
      <c r="F110" s="11" t="str">
        <f>IFERROR(__xludf.DUMMYFUNCTION("""COMPUTED_VALUE"""),"Listicle")</f>
        <v>Listicle</v>
      </c>
      <c r="G110" s="11" t="b">
        <f>IFERROR(__xludf.DUMMYFUNCTION("""COMPUTED_VALUE"""),FALSE)</f>
        <v>0</v>
      </c>
      <c r="H110" s="11" t="str">
        <f>IFERROR(__xludf.DUMMYFUNCTION("""COMPUTED_VALUE"""),"DEPT, KlickPiloten")</f>
        <v>DEPT, KlickPiloten</v>
      </c>
      <c r="I110" s="11">
        <f>IFERROR(__xludf.DUMMYFUNCTION("""COMPUTED_VALUE"""),14.0)</f>
        <v>14</v>
      </c>
      <c r="J110" s="11">
        <f>IFERROR(__xludf.DUMMYFUNCTION("""COMPUTED_VALUE"""),0.01)</f>
        <v>0.01</v>
      </c>
      <c r="K110" s="11">
        <f>IFERROR(__xludf.DUMMYFUNCTION("""COMPUTED_VALUE"""),0.0)</f>
        <v>0</v>
      </c>
      <c r="L110" s="11"/>
    </row>
    <row r="111" ht="15.75" customHeight="1">
      <c r="A111" s="8" t="str">
        <f>IFERROR(__xludf.DUMMYFUNCTION("""COMPUTED_VALUE"""),"https://themanifest.com/de/creative/agencies")</f>
        <v>https://themanifest.com/de/creative/agencies</v>
      </c>
      <c r="B111" s="11" t="str">
        <f>IFERROR(__xludf.DUMMYFUNCTION("""COMPUTED_VALUE"""),"The Best Creative Companies in Germany - Jul 2026 | The Manifest")</f>
        <v>The Best Creative Companies in Germany - Jul 2026 | The Manifest</v>
      </c>
      <c r="C111" s="8" t="str">
        <f>IFERROR(__xludf.DUMMYFUNCTION("""COMPUTED_VALUE"""),"themanifest.com")</f>
        <v>themanifest.com</v>
      </c>
      <c r="D111" s="11" t="str">
        <f>IFERROR(__xludf.DUMMYFUNCTION("""COMPUTED_VALUE"""),"PROFILE")</f>
        <v>PROFILE</v>
      </c>
      <c r="E111" s="11" t="str">
        <f>IFERROR(__xludf.DUMMYFUNCTION("""COMPUTED_VALUE"""),"REFERENCE")</f>
        <v>REFERENCE</v>
      </c>
      <c r="F111" s="11" t="str">
        <f>IFERROR(__xludf.DUMMYFUNCTION("""COMPUTED_VALUE"""),"Profile")</f>
        <v>Profile</v>
      </c>
      <c r="G111" s="11" t="b">
        <f>IFERROR(__xludf.DUMMYFUNCTION("""COMPUTED_VALUE"""),FALSE)</f>
        <v>0</v>
      </c>
      <c r="H111" s="11" t="str">
        <f>IFERROR(__xludf.DUMMYFUNCTION("""COMPUTED_VALUE"""),"PANORAMA3000, Digitalyze, morefire")</f>
        <v>PANORAMA3000, Digitalyze, morefire</v>
      </c>
      <c r="I111" s="11">
        <f>IFERROR(__xludf.DUMMYFUNCTION("""COMPUTED_VALUE"""),14.0)</f>
        <v>14</v>
      </c>
      <c r="J111" s="11">
        <f>IFERROR(__xludf.DUMMYFUNCTION("""COMPUTED_VALUE"""),0.01)</f>
        <v>0.01</v>
      </c>
      <c r="K111" s="11">
        <f>IFERROR(__xludf.DUMMYFUNCTION("""COMPUTED_VALUE"""),0.0)</f>
        <v>0</v>
      </c>
      <c r="L111" s="11"/>
    </row>
    <row r="112" ht="15.75" customHeight="1">
      <c r="A112" s="8" t="str">
        <f>IFERROR(__xludf.DUMMYFUNCTION("""COMPUTED_VALUE"""),"https://agencies.semrush.com/list/display-advertising/ecommerce/germany/small-business/")</f>
        <v>https://agencies.semrush.com/list/display-advertising/ecommerce/germany/small-business/</v>
      </c>
      <c r="B112" s="11" t="str">
        <f>IFERROR(__xludf.DUMMYFUNCTION("""COMPUTED_VALUE"""),"Best Ecommerce Display Ads Agencies for Small Business in Germany 2026 | Semrush")</f>
        <v>Best Ecommerce Display Ads Agencies for Small Business in Germany 2026 | Semrush</v>
      </c>
      <c r="C112" s="8" t="str">
        <f>IFERROR(__xludf.DUMMYFUNCTION("""COMPUTED_VALUE"""),"semrush.com")</f>
        <v>semrush.com</v>
      </c>
      <c r="D112" s="11" t="str">
        <f>IFERROR(__xludf.DUMMYFUNCTION("""COMPUTED_VALUE"""),"OTHER")</f>
        <v>OTHER</v>
      </c>
      <c r="E112" s="11" t="str">
        <f>IFERROR(__xludf.DUMMYFUNCTION("""COMPUTED_VALUE"""),"CORPORATE")</f>
        <v>CORPORATE</v>
      </c>
      <c r="F112" s="11" t="str">
        <f>IFERROR(__xludf.DUMMYFUNCTION("""COMPUTED_VALUE"""),"Other")</f>
        <v>Other</v>
      </c>
      <c r="G112" s="11" t="b">
        <f>IFERROR(__xludf.DUMMYFUNCTION("""COMPUTED_VALUE"""),FALSE)</f>
        <v>0</v>
      </c>
      <c r="H112" s="11" t="str">
        <f>IFERROR(__xludf.DUMMYFUNCTION("""COMPUTED_VALUE"""),"Baseplus DIGITAL MEDIA GmbH, Mediaplus Performance, MONSOON")</f>
        <v>Baseplus DIGITAL MEDIA GmbH, Mediaplus Performance, MONSOON</v>
      </c>
      <c r="I112" s="11">
        <f>IFERROR(__xludf.DUMMYFUNCTION("""COMPUTED_VALUE"""),13.0)</f>
        <v>13</v>
      </c>
      <c r="J112" s="11">
        <f>IFERROR(__xludf.DUMMYFUNCTION("""COMPUTED_VALUE"""),0.01)</f>
        <v>0.01</v>
      </c>
      <c r="K112" s="11">
        <f>IFERROR(__xludf.DUMMYFUNCTION("""COMPUTED_VALUE"""),0.08)</f>
        <v>0.08</v>
      </c>
      <c r="L112" s="11"/>
    </row>
    <row r="113" ht="15.75" customHeight="1">
      <c r="A113" s="8" t="str">
        <f>IFERROR(__xludf.DUMMYFUNCTION("""COMPUTED_VALUE"""),"https://clutch.co/de/agencies/branding")</f>
        <v>https://clutch.co/de/agencies/branding</v>
      </c>
      <c r="B113" s="11" t="str">
        <f>IFERROR(__xludf.DUMMYFUNCTION("""COMPUTED_VALUE"""),"Top Branding Agencies in Germany - Jul 2026 Rankings \| Clutch.co")</f>
        <v>Top Branding Agencies in Germany - Jul 2026 Rankings \| Clutch.co</v>
      </c>
      <c r="C113" s="8" t="str">
        <f>IFERROR(__xludf.DUMMYFUNCTION("""COMPUTED_VALUE"""),"clutch.co")</f>
        <v>clutch.co</v>
      </c>
      <c r="D113" s="11" t="str">
        <f>IFERROR(__xludf.DUMMYFUNCTION("""COMPUTED_VALUE"""),"CATEGORY_PAGE")</f>
        <v>CATEGORY_PAGE</v>
      </c>
      <c r="E113" s="11" t="str">
        <f>IFERROR(__xludf.DUMMYFUNCTION("""COMPUTED_VALUE"""),"CORPORATE")</f>
        <v>CORPORATE</v>
      </c>
      <c r="F113" s="11" t="str">
        <f>IFERROR(__xludf.DUMMYFUNCTION("""COMPUTED_VALUE"""),"Category Page")</f>
        <v>Category Page</v>
      </c>
      <c r="G113" s="11" t="b">
        <f>IFERROR(__xludf.DUMMYFUNCTION("""COMPUTED_VALUE"""),FALSE)</f>
        <v>0</v>
      </c>
      <c r="H113" s="11" t="str">
        <f>IFERROR(__xludf.DUMMYFUNCTION("""COMPUTED_VALUE"""),"PANORAMA3000, HY.AM STUDIOS")</f>
        <v>PANORAMA3000, HY.AM STUDIOS</v>
      </c>
      <c r="I113" s="11">
        <f>IFERROR(__xludf.DUMMYFUNCTION("""COMPUTED_VALUE"""),13.0)</f>
        <v>13</v>
      </c>
      <c r="J113" s="11">
        <f>IFERROR(__xludf.DUMMYFUNCTION("""COMPUTED_VALUE"""),0.01)</f>
        <v>0.01</v>
      </c>
      <c r="K113" s="11">
        <f>IFERROR(__xludf.DUMMYFUNCTION("""COMPUTED_VALUE"""),0.0)</f>
        <v>0</v>
      </c>
      <c r="L113" s="11"/>
    </row>
    <row r="114" ht="15.75" customHeight="1">
      <c r="A114" s="8" t="str">
        <f>IFERROR(__xludf.DUMMYFUNCTION("""COMPUTED_VALUE"""),"https://clutch.co/de/agencies/ppc")</f>
        <v>https://clutch.co/de/agencies/ppc</v>
      </c>
      <c r="B114" s="11" t="str">
        <f>IFERROR(__xludf.DUMMYFUNCTION("""COMPUTED_VALUE"""),"Top PPC Agencies in Germany - Jul 2026 Rankings \| Clutch.co")</f>
        <v>Top PPC Agencies in Germany - Jul 2026 Rankings \| Clutch.co</v>
      </c>
      <c r="C114" s="8" t="str">
        <f>IFERROR(__xludf.DUMMYFUNCTION("""COMPUTED_VALUE"""),"clutch.co")</f>
        <v>clutch.co</v>
      </c>
      <c r="D114" s="11" t="str">
        <f>IFERROR(__xludf.DUMMYFUNCTION("""COMPUTED_VALUE"""),"CATEGORY_PAGE")</f>
        <v>CATEGORY_PAGE</v>
      </c>
      <c r="E114" s="11" t="str">
        <f>IFERROR(__xludf.DUMMYFUNCTION("""COMPUTED_VALUE"""),"CORPORATE")</f>
        <v>CORPORATE</v>
      </c>
      <c r="F114" s="11" t="str">
        <f>IFERROR(__xludf.DUMMYFUNCTION("""COMPUTED_VALUE"""),"Category Page")</f>
        <v>Category Page</v>
      </c>
      <c r="G114" s="11" t="b">
        <f>IFERROR(__xludf.DUMMYFUNCTION("""COMPUTED_VALUE"""),FALSE)</f>
        <v>0</v>
      </c>
      <c r="H114" s="11" t="str">
        <f>IFERROR(__xludf.DUMMYFUNCTION("""COMPUTED_VALUE"""),"Mediacharge, MONSOON, REPLUG, Seeders, KlickPiloten, Smarketer, eMinded GmbH, Peak Ace, Think11")</f>
        <v>Mediacharge, MONSOON, REPLUG, Seeders, KlickPiloten, Smarketer, eMinded GmbH, Peak Ace, Think11</v>
      </c>
      <c r="I114" s="11">
        <f>IFERROR(__xludf.DUMMYFUNCTION("""COMPUTED_VALUE"""),13.0)</f>
        <v>13</v>
      </c>
      <c r="J114" s="11">
        <f>IFERROR(__xludf.DUMMYFUNCTION("""COMPUTED_VALUE"""),0.01)</f>
        <v>0.01</v>
      </c>
      <c r="K114" s="11">
        <f>IFERROR(__xludf.DUMMYFUNCTION("""COMPUTED_VALUE"""),0.54)</f>
        <v>0.54</v>
      </c>
      <c r="L114" s="11"/>
    </row>
    <row r="115" ht="15.75" customHeight="1">
      <c r="A115" s="8" t="str">
        <f>IFERROR(__xludf.DUMMYFUNCTION("""COMPUTED_VALUE"""),"https://digiscorp.com/top-ai-consulting-companies-in-berlin/")</f>
        <v>https://digiscorp.com/top-ai-consulting-companies-in-berlin/</v>
      </c>
      <c r="B115" s="11" t="str">
        <f>IFERROR(__xludf.DUMMYFUNCTION("""COMPUTED_VALUE"""),"Top AI Consulting Companies in Berlin")</f>
        <v>Top AI Consulting Companies in Berlin</v>
      </c>
      <c r="C115" s="8" t="str">
        <f>IFERROR(__xludf.DUMMYFUNCTION("""COMPUTED_VALUE"""),"digiscorp.com")</f>
        <v>digiscorp.com</v>
      </c>
      <c r="D115" s="11" t="str">
        <f>IFERROR(__xludf.DUMMYFUNCTION("""COMPUTED_VALUE"""),"LISTICLE")</f>
        <v>LISTICLE</v>
      </c>
      <c r="E115" s="11" t="str">
        <f>IFERROR(__xludf.DUMMYFUNCTION("""COMPUTED_VALUE"""),"CORPORATE")</f>
        <v>CORPORATE</v>
      </c>
      <c r="F115" s="11" t="str">
        <f>IFERROR(__xludf.DUMMYFUNCTION("""COMPUTED_VALUE"""),"Listicle")</f>
        <v>Listicle</v>
      </c>
      <c r="G115" s="11" t="b">
        <f>IFERROR(__xludf.DUMMYFUNCTION("""COMPUTED_VALUE"""),FALSE)</f>
        <v>0</v>
      </c>
      <c r="H115" s="11" t="str">
        <f>IFERROR(__xludf.DUMMYFUNCTION("""COMPUTED_VALUE"""),"appliedAI, Measured, Pilot")</f>
        <v>appliedAI, Measured, Pilot</v>
      </c>
      <c r="I115" s="11">
        <f>IFERROR(__xludf.DUMMYFUNCTION("""COMPUTED_VALUE"""),13.0)</f>
        <v>13</v>
      </c>
      <c r="J115" s="11">
        <f>IFERROR(__xludf.DUMMYFUNCTION("""COMPUTED_VALUE"""),0.01)</f>
        <v>0.01</v>
      </c>
      <c r="K115" s="11">
        <f>IFERROR(__xludf.DUMMYFUNCTION("""COMPUTED_VALUE"""),0.08)</f>
        <v>0.08</v>
      </c>
      <c r="L115" s="11"/>
    </row>
    <row r="116" ht="15.75" customHeight="1">
      <c r="A116" s="8" t="str">
        <f>IFERROR(__xludf.DUMMYFUNCTION("""COMPUTED_VALUE"""),"https://ensun.io/search/ai-marketing/germany")</f>
        <v>https://ensun.io/search/ai-marketing/germany</v>
      </c>
      <c r="B116" s="11" t="str">
        <f>IFERROR(__xludf.DUMMYFUNCTION("""COMPUTED_VALUE"""),"Top 100 AI Marketing Companies in Germany (2026) \| ensun")</f>
        <v>Top 100 AI Marketing Companies in Germany (2026) \| ensun</v>
      </c>
      <c r="C116" s="8" t="str">
        <f>IFERROR(__xludf.DUMMYFUNCTION("""COMPUTED_VALUE"""),"ensun.io")</f>
        <v>ensun.io</v>
      </c>
      <c r="D116" s="11" t="str">
        <f>IFERROR(__xludf.DUMMYFUNCTION("""COMPUTED_VALUE"""),"CATEGORY_PAGE")</f>
        <v>CATEGORY_PAGE</v>
      </c>
      <c r="E116" s="11" t="str">
        <f>IFERROR(__xludf.DUMMYFUNCTION("""COMPUTED_VALUE"""),"OTHER")</f>
        <v>OTHER</v>
      </c>
      <c r="F116" s="11" t="str">
        <f>IFERROR(__xludf.DUMMYFUNCTION("""COMPUTED_VALUE"""),"Category Page")</f>
        <v>Category Page</v>
      </c>
      <c r="G116" s="11" t="b">
        <f>IFERROR(__xludf.DUMMYFUNCTION("""COMPUTED_VALUE"""),FALSE)</f>
        <v>0</v>
      </c>
      <c r="H116" s="11"/>
      <c r="I116" s="11">
        <f>IFERROR(__xludf.DUMMYFUNCTION("""COMPUTED_VALUE"""),13.0)</f>
        <v>13</v>
      </c>
      <c r="J116" s="11">
        <f>IFERROR(__xludf.DUMMYFUNCTION("""COMPUTED_VALUE"""),0.01)</f>
        <v>0.01</v>
      </c>
      <c r="K116" s="11">
        <f>IFERROR(__xludf.DUMMYFUNCTION("""COMPUTED_VALUE"""),0.46)</f>
        <v>0.46</v>
      </c>
      <c r="L116" s="11"/>
    </row>
    <row r="117" ht="15.75" customHeight="1">
      <c r="A117" s="8" t="str">
        <f>IFERROR(__xludf.DUMMYFUNCTION("""COMPUTED_VALUE"""),"https://hikemytraffic.com/ai-digital-marketing-companies-in-germany/")</f>
        <v>https://hikemytraffic.com/ai-digital-marketing-companies-in-germany/</v>
      </c>
      <c r="B117" s="11" t="str">
        <f>IFERROR(__xludf.DUMMYFUNCTION("""COMPUTED_VALUE"""),"Best AI Digital Marketing Companies in Germany (2026)")</f>
        <v>Best AI Digital Marketing Companies in Germany (2026)</v>
      </c>
      <c r="C117" s="8" t="str">
        <f>IFERROR(__xludf.DUMMYFUNCTION("""COMPUTED_VALUE"""),"hikemytraffic.com")</f>
        <v>hikemytraffic.com</v>
      </c>
      <c r="D117" s="11" t="str">
        <f>IFERROR(__xludf.DUMMYFUNCTION("""COMPUTED_VALUE"""),"LISTICLE")</f>
        <v>LISTICLE</v>
      </c>
      <c r="E117" s="11" t="str">
        <f>IFERROR(__xludf.DUMMYFUNCTION("""COMPUTED_VALUE"""),"COMPETITOR")</f>
        <v>COMPETITOR</v>
      </c>
      <c r="F117" s="11" t="str">
        <f>IFERROR(__xludf.DUMMYFUNCTION("""COMPUTED_VALUE"""),"Listicle")</f>
        <v>Listicle</v>
      </c>
      <c r="G117" s="11" t="b">
        <f>IFERROR(__xludf.DUMMYFUNCTION("""COMPUTED_VALUE"""),FALSE)</f>
        <v>0</v>
      </c>
      <c r="H117" s="11" t="str">
        <f>IFERROR(__xludf.DUMMYFUNCTION("""COMPUTED_VALUE"""),"HikeMyTraffic")</f>
        <v>HikeMyTraffic</v>
      </c>
      <c r="I117" s="11">
        <f>IFERROR(__xludf.DUMMYFUNCTION("""COMPUTED_VALUE"""),13.0)</f>
        <v>13</v>
      </c>
      <c r="J117" s="11">
        <f>IFERROR(__xludf.DUMMYFUNCTION("""COMPUTED_VALUE"""),0.01)</f>
        <v>0.01</v>
      </c>
      <c r="K117" s="11">
        <f>IFERROR(__xludf.DUMMYFUNCTION("""COMPUTED_VALUE"""),0.54)</f>
        <v>0.54</v>
      </c>
      <c r="L117" s="11"/>
    </row>
    <row r="118" ht="15.75" customHeight="1">
      <c r="A118" s="8" t="str">
        <f>IFERROR(__xludf.DUMMYFUNCTION("""COMPUTED_VALUE"""),"https://indeedseo.com/directories/ai-marketing-agencies-germany/")</f>
        <v>https://indeedseo.com/directories/ai-marketing-agencies-germany/</v>
      </c>
      <c r="B118" s="11" t="str">
        <f>IFERROR(__xludf.DUMMYFUNCTION("""COMPUTED_VALUE"""),"Top 10 AI Marketing Agencies in Germany for 2026")</f>
        <v>Top 10 AI Marketing Agencies in Germany for 2026</v>
      </c>
      <c r="C118" s="8" t="str">
        <f>IFERROR(__xludf.DUMMYFUNCTION("""COMPUTED_VALUE"""),"indeedseo.com")</f>
        <v>indeedseo.com</v>
      </c>
      <c r="D118" s="11" t="str">
        <f>IFERROR(__xludf.DUMMYFUNCTION("""COMPUTED_VALUE"""),"LISTICLE")</f>
        <v>LISTICLE</v>
      </c>
      <c r="E118" s="11" t="str">
        <f>IFERROR(__xludf.DUMMYFUNCTION("""COMPUTED_VALUE"""),"CORPORATE")</f>
        <v>CORPORATE</v>
      </c>
      <c r="F118" s="11" t="str">
        <f>IFERROR(__xludf.DUMMYFUNCTION("""COMPUTED_VALUE"""),"Listicle")</f>
        <v>Listicle</v>
      </c>
      <c r="G118" s="11" t="b">
        <f>IFERROR(__xludf.DUMMYFUNCTION("""COMPUTED_VALUE"""),FALSE)</f>
        <v>0</v>
      </c>
      <c r="H118" s="11" t="str">
        <f>IFERROR(__xludf.DUMMYFUNCTION("""COMPUTED_VALUE"""),"Artefact")</f>
        <v>Artefact</v>
      </c>
      <c r="I118" s="11">
        <f>IFERROR(__xludf.DUMMYFUNCTION("""COMPUTED_VALUE"""),13.0)</f>
        <v>13</v>
      </c>
      <c r="J118" s="11">
        <f>IFERROR(__xludf.DUMMYFUNCTION("""COMPUTED_VALUE"""),0.01)</f>
        <v>0.01</v>
      </c>
      <c r="K118" s="11">
        <f>IFERROR(__xludf.DUMMYFUNCTION("""COMPUTED_VALUE"""),2.08)</f>
        <v>2.08</v>
      </c>
      <c r="L118" s="11"/>
    </row>
    <row r="119" ht="15.75" customHeight="1">
      <c r="A119" s="8" t="str">
        <f>IFERROR(__xludf.DUMMYFUNCTION("""COMPUTED_VALUE"""),"https://www.openpr.com/news/4378626/these-are-the-top-10-seo-geo-agencies-in-germany")</f>
        <v>https://www.openpr.com/news/4378626/these-are-the-top-10-seo-geo-agencies-in-germany</v>
      </c>
      <c r="B119" s="11" t="str">
        <f>IFERROR(__xludf.DUMMYFUNCTION("""COMPUTED_VALUE"""),"These are the top 10 SEO + GEO agencies in Germany")</f>
        <v>These are the top 10 SEO + GEO agencies in Germany</v>
      </c>
      <c r="C119" s="8" t="str">
        <f>IFERROR(__xludf.DUMMYFUNCTION("""COMPUTED_VALUE"""),"openpr.com")</f>
        <v>openpr.com</v>
      </c>
      <c r="D119" s="11" t="str">
        <f>IFERROR(__xludf.DUMMYFUNCTION("""COMPUTED_VALUE"""),"LISTICLE")</f>
        <v>LISTICLE</v>
      </c>
      <c r="E119" s="11" t="str">
        <f>IFERROR(__xludf.DUMMYFUNCTION("""COMPUTED_VALUE"""),"UGC")</f>
        <v>UGC</v>
      </c>
      <c r="F119" s="11" t="str">
        <f>IFERROR(__xludf.DUMMYFUNCTION("""COMPUTED_VALUE"""),"Listicle")</f>
        <v>Listicle</v>
      </c>
      <c r="G119" s="11" t="b">
        <f>IFERROR(__xludf.DUMMYFUNCTION("""COMPUTED_VALUE"""),FALSE)</f>
        <v>0</v>
      </c>
      <c r="H119" s="11" t="str">
        <f>IFERROR(__xludf.DUMMYFUNCTION("""COMPUTED_VALUE"""),"DREIKON")</f>
        <v>DREIKON</v>
      </c>
      <c r="I119" s="11">
        <f>IFERROR(__xludf.DUMMYFUNCTION("""COMPUTED_VALUE"""),13.0)</f>
        <v>13</v>
      </c>
      <c r="J119" s="11">
        <f>IFERROR(__xludf.DUMMYFUNCTION("""COMPUTED_VALUE"""),0.01)</f>
        <v>0.01</v>
      </c>
      <c r="K119" s="11">
        <f>IFERROR(__xludf.DUMMYFUNCTION("""COMPUTED_VALUE"""),0.69)</f>
        <v>0.69</v>
      </c>
      <c r="L119" s="11"/>
    </row>
    <row r="120" ht="15.75" customHeight="1">
      <c r="A120" s="8" t="str">
        <f>IFERROR(__xludf.DUMMYFUNCTION("""COMPUTED_VALUE"""),"https://www.sortlist.com/s/attribution-marketing/berlin-de")</f>
        <v>https://www.sortlist.com/s/attribution-marketing/berlin-de</v>
      </c>
      <c r="B120" s="11" t="str">
        <f>IFERROR(__xludf.DUMMYFUNCTION("""COMPUTED_VALUE"""),"The 10 Best Attribution Marketing Agencies in Berlin - 2026 Reviews")</f>
        <v>The 10 Best Attribution Marketing Agencies in Berlin - 2026 Reviews</v>
      </c>
      <c r="C120" s="8" t="str">
        <f>IFERROR(__xludf.DUMMYFUNCTION("""COMPUTED_VALUE"""),"sortlist.com")</f>
        <v>sortlist.com</v>
      </c>
      <c r="D120" s="11" t="str">
        <f>IFERROR(__xludf.DUMMYFUNCTION("""COMPUTED_VALUE"""),"CATEGORY_PAGE")</f>
        <v>CATEGORY_PAGE</v>
      </c>
      <c r="E120" s="11" t="str">
        <f>IFERROR(__xludf.DUMMYFUNCTION("""COMPUTED_VALUE"""),"CORPORATE")</f>
        <v>CORPORATE</v>
      </c>
      <c r="F120" s="11" t="str">
        <f>IFERROR(__xludf.DUMMYFUNCTION("""COMPUTED_VALUE"""),"Category Page")</f>
        <v>Category Page</v>
      </c>
      <c r="G120" s="11" t="b">
        <f>IFERROR(__xludf.DUMMYFUNCTION("""COMPUTED_VALUE"""),FALSE)</f>
        <v>0</v>
      </c>
      <c r="H120" s="11" t="str">
        <f>IFERROR(__xludf.DUMMYFUNCTION("""COMPUTED_VALUE"""),"Triple Whale, Northbeam, Dreamdata, Customlytics")</f>
        <v>Triple Whale, Northbeam, Dreamdata, Customlytics</v>
      </c>
      <c r="I120" s="11">
        <f>IFERROR(__xludf.DUMMYFUNCTION("""COMPUTED_VALUE"""),13.0)</f>
        <v>13</v>
      </c>
      <c r="J120" s="11">
        <f>IFERROR(__xludf.DUMMYFUNCTION("""COMPUTED_VALUE"""),0.01)</f>
        <v>0.01</v>
      </c>
      <c r="K120" s="11">
        <f>IFERROR(__xludf.DUMMYFUNCTION("""COMPUTED_VALUE"""),0.85)</f>
        <v>0.85</v>
      </c>
      <c r="L120" s="11"/>
    </row>
    <row r="121" ht="15.75" customHeight="1">
      <c r="A121" s="8" t="str">
        <f>IFERROR(__xludf.DUMMYFUNCTION("""COMPUTED_VALUE"""),"https://www.sortlist.com/s/attribution-marketing/germany-de")</f>
        <v>https://www.sortlist.com/s/attribution-marketing/germany-de</v>
      </c>
      <c r="B121" s="11" t="str">
        <f>IFERROR(__xludf.DUMMYFUNCTION("""COMPUTED_VALUE"""),"The 10 Best Attribution Marketing Agencies in Germany - 2026 Reviews")</f>
        <v>The 10 Best Attribution Marketing Agencies in Germany - 2026 Reviews</v>
      </c>
      <c r="C121" s="8" t="str">
        <f>IFERROR(__xludf.DUMMYFUNCTION("""COMPUTED_VALUE"""),"sortlist.com")</f>
        <v>sortlist.com</v>
      </c>
      <c r="D121" s="11" t="str">
        <f>IFERROR(__xludf.DUMMYFUNCTION("""COMPUTED_VALUE"""),"CATEGORY_PAGE")</f>
        <v>CATEGORY_PAGE</v>
      </c>
      <c r="E121" s="11" t="str">
        <f>IFERROR(__xludf.DUMMYFUNCTION("""COMPUTED_VALUE"""),"CORPORATE")</f>
        <v>CORPORATE</v>
      </c>
      <c r="F121" s="11" t="str">
        <f>IFERROR(__xludf.DUMMYFUNCTION("""COMPUTED_VALUE"""),"Category Page")</f>
        <v>Category Page</v>
      </c>
      <c r="G121" s="11" t="b">
        <f>IFERROR(__xludf.DUMMYFUNCTION("""COMPUTED_VALUE"""),FALSE)</f>
        <v>0</v>
      </c>
      <c r="H121" s="11" t="str">
        <f>IFERROR(__xludf.DUMMYFUNCTION("""COMPUTED_VALUE"""),"Triple Whale, Northbeam, Dreamdata, Customlytics")</f>
        <v>Triple Whale, Northbeam, Dreamdata, Customlytics</v>
      </c>
      <c r="I121" s="11">
        <f>IFERROR(__xludf.DUMMYFUNCTION("""COMPUTED_VALUE"""),13.0)</f>
        <v>13</v>
      </c>
      <c r="J121" s="11">
        <f>IFERROR(__xludf.DUMMYFUNCTION("""COMPUTED_VALUE"""),0.01)</f>
        <v>0.01</v>
      </c>
      <c r="K121" s="11">
        <f>IFERROR(__xludf.DUMMYFUNCTION("""COMPUTED_VALUE"""),1.77)</f>
        <v>1.77</v>
      </c>
      <c r="L121" s="11"/>
    </row>
    <row r="122" ht="15.75" customHeight="1">
      <c r="A122" s="8" t="str">
        <f>IFERROR(__xludf.DUMMYFUNCTION("""COMPUTED_VALUE"""),"https://tech-now.io/en/blogs/top-10-best-e-commerce-seo-agencies-in-germany/")</f>
        <v>https://tech-now.io/en/blogs/top-10-best-e-commerce-seo-agencies-in-germany/</v>
      </c>
      <c r="B122" s="11" t="str">
        <f>IFERROR(__xludf.DUMMYFUNCTION("""COMPUTED_VALUE"""),"Top 10 Best E-Commerce SEO Agencies in Germany (2026) - TechNow")</f>
        <v>Top 10 Best E-Commerce SEO Agencies in Germany (2026) - TechNow</v>
      </c>
      <c r="C122" s="8" t="str">
        <f>IFERROR(__xludf.DUMMYFUNCTION("""COMPUTED_VALUE"""),"tech-now.io")</f>
        <v>tech-now.io</v>
      </c>
      <c r="D122" s="11" t="str">
        <f>IFERROR(__xludf.DUMMYFUNCTION("""COMPUTED_VALUE"""),"LISTICLE")</f>
        <v>LISTICLE</v>
      </c>
      <c r="E122" s="11" t="str">
        <f>IFERROR(__xludf.DUMMYFUNCTION("""COMPUTED_VALUE"""),"EDITORIAL")</f>
        <v>EDITORIAL</v>
      </c>
      <c r="F122" s="11" t="str">
        <f>IFERROR(__xludf.DUMMYFUNCTION("""COMPUTED_VALUE"""),"Listicle")</f>
        <v>Listicle</v>
      </c>
      <c r="G122" s="11" t="b">
        <f>IFERROR(__xludf.DUMMYFUNCTION("""COMPUTED_VALUE"""),FALSE)</f>
        <v>0</v>
      </c>
      <c r="H122" s="11" t="str">
        <f>IFERROR(__xludf.DUMMYFUNCTION("""COMPUTED_VALUE"""),"HECHT INS GEFECHT, morefire")</f>
        <v>HECHT INS GEFECHT, morefire</v>
      </c>
      <c r="I122" s="11">
        <f>IFERROR(__xludf.DUMMYFUNCTION("""COMPUTED_VALUE"""),13.0)</f>
        <v>13</v>
      </c>
      <c r="J122" s="11">
        <f>IFERROR(__xludf.DUMMYFUNCTION("""COMPUTED_VALUE"""),0.01)</f>
        <v>0.01</v>
      </c>
      <c r="K122" s="11">
        <f>IFERROR(__xludf.DUMMYFUNCTION("""COMPUTED_VALUE"""),0.15)</f>
        <v>0.15</v>
      </c>
      <c r="L122" s="11"/>
    </row>
    <row r="123" ht="15.75" customHeight="1">
      <c r="A123" s="8" t="str">
        <f>IFERROR(__xludf.DUMMYFUNCTION("""COMPUTED_VALUE"""),"https://themanifest.com/de/digital-marketing/agencies")</f>
        <v>https://themanifest.com/de/digital-marketing/agencies</v>
      </c>
      <c r="B123" s="11" t="str">
        <f>IFERROR(__xludf.DUMMYFUNCTION("""COMPUTED_VALUE"""),"The Best Digital Marketing Companies in Germany - Jul 2026 | The Manifest")</f>
        <v>The Best Digital Marketing Companies in Germany - Jul 2026 | The Manifest</v>
      </c>
      <c r="C123" s="8" t="str">
        <f>IFERROR(__xludf.DUMMYFUNCTION("""COMPUTED_VALUE"""),"themanifest.com")</f>
        <v>themanifest.com</v>
      </c>
      <c r="D123" s="11" t="str">
        <f>IFERROR(__xludf.DUMMYFUNCTION("""COMPUTED_VALUE"""),"CATEGORY_PAGE")</f>
        <v>CATEGORY_PAGE</v>
      </c>
      <c r="E123" s="11" t="str">
        <f>IFERROR(__xludf.DUMMYFUNCTION("""COMPUTED_VALUE"""),"REFERENCE")</f>
        <v>REFERENCE</v>
      </c>
      <c r="F123" s="11" t="str">
        <f>IFERROR(__xludf.DUMMYFUNCTION("""COMPUTED_VALUE"""),"Category Page")</f>
        <v>Category Page</v>
      </c>
      <c r="G123" s="11" t="b">
        <f>IFERROR(__xludf.DUMMYFUNCTION("""COMPUTED_VALUE"""),FALSE)</f>
        <v>0</v>
      </c>
      <c r="H123" s="11" t="str">
        <f>IFERROR(__xludf.DUMMYFUNCTION("""COMPUTED_VALUE"""),"MONSOON, Admiral Media, Phiture, REPLUG, Mediacharge, HECHT INS GEFECHT, Claneo, HY.AM STUDIOS, Seeders")</f>
        <v>MONSOON, Admiral Media, Phiture, REPLUG, Mediacharge, HECHT INS GEFECHT, Claneo, HY.AM STUDIOS, Seeders</v>
      </c>
      <c r="I123" s="11">
        <f>IFERROR(__xludf.DUMMYFUNCTION("""COMPUTED_VALUE"""),13.0)</f>
        <v>13</v>
      </c>
      <c r="J123" s="11">
        <f>IFERROR(__xludf.DUMMYFUNCTION("""COMPUTED_VALUE"""),0.01)</f>
        <v>0.01</v>
      </c>
      <c r="K123" s="11">
        <f>IFERROR(__xludf.DUMMYFUNCTION("""COMPUTED_VALUE"""),0.0)</f>
        <v>0</v>
      </c>
      <c r="L123" s="11"/>
    </row>
    <row r="124" ht="15.75" customHeight="1">
      <c r="A124" s="8" t="str">
        <f>IFERROR(__xludf.DUMMYFUNCTION("""COMPUTED_VALUE"""),"https://agencies.semrush.com/list/machine-learning-and-ai/germany/")</f>
        <v>https://agencies.semrush.com/list/machine-learning-and-ai/germany/</v>
      </c>
      <c r="B124" s="11" t="str">
        <f>IFERROR(__xludf.DUMMYFUNCTION("""COMPUTED_VALUE"""),"Best Machine Learning and AI Services in Germany 2026 | Semrush")</f>
        <v>Best Machine Learning and AI Services in Germany 2026 | Semrush</v>
      </c>
      <c r="C124" s="8" t="str">
        <f>IFERROR(__xludf.DUMMYFUNCTION("""COMPUTED_VALUE"""),"semrush.com")</f>
        <v>semrush.com</v>
      </c>
      <c r="D124" s="11" t="str">
        <f>IFERROR(__xludf.DUMMYFUNCTION("""COMPUTED_VALUE"""),"CATEGORY_PAGE")</f>
        <v>CATEGORY_PAGE</v>
      </c>
      <c r="E124" s="11" t="str">
        <f>IFERROR(__xludf.DUMMYFUNCTION("""COMPUTED_VALUE"""),"CORPORATE")</f>
        <v>CORPORATE</v>
      </c>
      <c r="F124" s="11" t="str">
        <f>IFERROR(__xludf.DUMMYFUNCTION("""COMPUTED_VALUE"""),"Category Page")</f>
        <v>Category Page</v>
      </c>
      <c r="G124" s="11" t="b">
        <f>IFERROR(__xludf.DUMMYFUNCTION("""COMPUTED_VALUE"""),FALSE)</f>
        <v>0</v>
      </c>
      <c r="H124" s="11" t="str">
        <f>IFERROR(__xludf.DUMMYFUNCTION("""COMPUTED_VALUE"""),"HECHT INS GEFECHT, Baseplus DIGITAL MEDIA GmbH, morefire, Mediaplus Performance")</f>
        <v>HECHT INS GEFECHT, Baseplus DIGITAL MEDIA GmbH, morefire, Mediaplus Performance</v>
      </c>
      <c r="I124" s="11">
        <f>IFERROR(__xludf.DUMMYFUNCTION("""COMPUTED_VALUE"""),12.0)</f>
        <v>12</v>
      </c>
      <c r="J124" s="11">
        <f>IFERROR(__xludf.DUMMYFUNCTION("""COMPUTED_VALUE"""),0.01)</f>
        <v>0.01</v>
      </c>
      <c r="K124" s="11">
        <f>IFERROR(__xludf.DUMMYFUNCTION("""COMPUTED_VALUE"""),0.25)</f>
        <v>0.25</v>
      </c>
      <c r="L124" s="11"/>
    </row>
    <row r="125" ht="15.75" customHeight="1">
      <c r="A125" s="8" t="str">
        <f>IFERROR(__xludf.DUMMYFUNCTION("""COMPUTED_VALUE"""),"https://awisee.com/blog/social-media-agencies-germany/")</f>
        <v>https://awisee.com/blog/social-media-agencies-germany/</v>
      </c>
      <c r="B125" s="11" t="str">
        <f>IFERROR(__xludf.DUMMYFUNCTION("""COMPUTED_VALUE"""),"The 4 Best Social Media Agencies in Germany")</f>
        <v>The 4 Best Social Media Agencies in Germany</v>
      </c>
      <c r="C125" s="8" t="str">
        <f>IFERROR(__xludf.DUMMYFUNCTION("""COMPUTED_VALUE"""),"awisee.com")</f>
        <v>awisee.com</v>
      </c>
      <c r="D125" s="11" t="str">
        <f>IFERROR(__xludf.DUMMYFUNCTION("""COMPUTED_VALUE"""),"LISTICLE")</f>
        <v>LISTICLE</v>
      </c>
      <c r="E125" s="11" t="str">
        <f>IFERROR(__xludf.DUMMYFUNCTION("""COMPUTED_VALUE"""),"OTHER")</f>
        <v>OTHER</v>
      </c>
      <c r="F125" s="11" t="str">
        <f>IFERROR(__xludf.DUMMYFUNCTION("""COMPUTED_VALUE"""),"Listicle")</f>
        <v>Listicle</v>
      </c>
      <c r="G125" s="11" t="b">
        <f>IFERROR(__xludf.DUMMYFUNCTION("""COMPUTED_VALUE"""),FALSE)</f>
        <v>0</v>
      </c>
      <c r="H125" s="11"/>
      <c r="I125" s="11">
        <f>IFERROR(__xludf.DUMMYFUNCTION("""COMPUTED_VALUE"""),12.0)</f>
        <v>12</v>
      </c>
      <c r="J125" s="11">
        <f>IFERROR(__xludf.DUMMYFUNCTION("""COMPUTED_VALUE"""),0.01)</f>
        <v>0.01</v>
      </c>
      <c r="K125" s="11">
        <f>IFERROR(__xludf.DUMMYFUNCTION("""COMPUTED_VALUE"""),0.0)</f>
        <v>0</v>
      </c>
      <c r="L125" s="11"/>
    </row>
    <row r="126" ht="15.75" customHeight="1">
      <c r="A126" s="8" t="str">
        <f>IFERROR(__xludf.DUMMYFUNCTION("""COMPUTED_VALUE"""),"https://clutch.co/de/agencies/conversion-optimization")</f>
        <v>https://clutch.co/de/agencies/conversion-optimization</v>
      </c>
      <c r="B126" s="11" t="str">
        <f>IFERROR(__xludf.DUMMYFUNCTION("""COMPUTED_VALUE"""),"Top Conversion Rate Optimization Services in Germany - Jul 2026 Rankings \| Clutch.co")</f>
        <v>Top Conversion Rate Optimization Services in Germany - Jul 2026 Rankings \| Clutch.co</v>
      </c>
      <c r="C126" s="8" t="str">
        <f>IFERROR(__xludf.DUMMYFUNCTION("""COMPUTED_VALUE"""),"clutch.co")</f>
        <v>clutch.co</v>
      </c>
      <c r="D126" s="11" t="str">
        <f>IFERROR(__xludf.DUMMYFUNCTION("""COMPUTED_VALUE"""),"CATEGORY_PAGE")</f>
        <v>CATEGORY_PAGE</v>
      </c>
      <c r="E126" s="11" t="str">
        <f>IFERROR(__xludf.DUMMYFUNCTION("""COMPUTED_VALUE"""),"CORPORATE")</f>
        <v>CORPORATE</v>
      </c>
      <c r="F126" s="11" t="str">
        <f>IFERROR(__xludf.DUMMYFUNCTION("""COMPUTED_VALUE"""),"Category Page")</f>
        <v>Category Page</v>
      </c>
      <c r="G126" s="11" t="b">
        <f>IFERROR(__xludf.DUMMYFUNCTION("""COMPUTED_VALUE"""),FALSE)</f>
        <v>0</v>
      </c>
      <c r="H126" s="11" t="str">
        <f>IFERROR(__xludf.DUMMYFUNCTION("""COMPUTED_VALUE"""),"REPLUG, morefire, The Boutique Agency, Peak Ace")</f>
        <v>REPLUG, morefire, The Boutique Agency, Peak Ace</v>
      </c>
      <c r="I126" s="11">
        <f>IFERROR(__xludf.DUMMYFUNCTION("""COMPUTED_VALUE"""),12.0)</f>
        <v>12</v>
      </c>
      <c r="J126" s="11">
        <f>IFERROR(__xludf.DUMMYFUNCTION("""COMPUTED_VALUE"""),0.01)</f>
        <v>0.01</v>
      </c>
      <c r="K126" s="11">
        <f>IFERROR(__xludf.DUMMYFUNCTION("""COMPUTED_VALUE"""),1.83)</f>
        <v>1.83</v>
      </c>
      <c r="L126" s="11"/>
    </row>
    <row r="127" ht="15.75" customHeight="1">
      <c r="A127" s="8" t="str">
        <f>IFERROR(__xludf.DUMMYFUNCTION("""COMPUTED_VALUE"""),"https://clutch.co/de/consulting/ai/deployment")</f>
        <v>https://clutch.co/de/consulting/ai/deployment</v>
      </c>
      <c r="B127" s="11" t="str">
        <f>IFERROR(__xludf.DUMMYFUNCTION("""COMPUTED_VALUE"""),"Top Artificial Intelligence as a Service Companies in Germany - Jul 2026 Rankings \| Clutch.co")</f>
        <v>Top Artificial Intelligence as a Service Companies in Germany - Jul 2026 Rankings \| Clutch.co</v>
      </c>
      <c r="C127" s="8" t="str">
        <f>IFERROR(__xludf.DUMMYFUNCTION("""COMPUTED_VALUE"""),"clutch.co")</f>
        <v>clutch.co</v>
      </c>
      <c r="D127" s="11" t="str">
        <f>IFERROR(__xludf.DUMMYFUNCTION("""COMPUTED_VALUE"""),"CATEGORY_PAGE")</f>
        <v>CATEGORY_PAGE</v>
      </c>
      <c r="E127" s="11" t="str">
        <f>IFERROR(__xludf.DUMMYFUNCTION("""COMPUTED_VALUE"""),"CORPORATE")</f>
        <v>CORPORATE</v>
      </c>
      <c r="F127" s="11" t="str">
        <f>IFERROR(__xludf.DUMMYFUNCTION("""COMPUTED_VALUE"""),"Category Page")</f>
        <v>Category Page</v>
      </c>
      <c r="G127" s="11" t="b">
        <f>IFERROR(__xludf.DUMMYFUNCTION("""COMPUTED_VALUE"""),FALSE)</f>
        <v>0</v>
      </c>
      <c r="H127" s="11"/>
      <c r="I127" s="11">
        <f>IFERROR(__xludf.DUMMYFUNCTION("""COMPUTED_VALUE"""),12.0)</f>
        <v>12</v>
      </c>
      <c r="J127" s="11">
        <f>IFERROR(__xludf.DUMMYFUNCTION("""COMPUTED_VALUE"""),0.01)</f>
        <v>0.01</v>
      </c>
      <c r="K127" s="11">
        <f>IFERROR(__xludf.DUMMYFUNCTION("""COMPUTED_VALUE"""),0.17)</f>
        <v>0.17</v>
      </c>
      <c r="L127" s="11"/>
    </row>
    <row r="128" ht="15.75" customHeight="1">
      <c r="A128" s="8" t="str">
        <f>IFERROR(__xludf.DUMMYFUNCTION("""COMPUTED_VALUE"""),"https://www.digipims.com/social-media-marketing-agencies-in-germany/")</f>
        <v>https://www.digipims.com/social-media-marketing-agencies-in-germany/</v>
      </c>
      <c r="B128" s="11" t="str">
        <f>IFERROR(__xludf.DUMMYFUNCTION("""COMPUTED_VALUE"""),"Top 10 Social Media Marketing Agencies in Germany (Updated 2026)")</f>
        <v>Top 10 Social Media Marketing Agencies in Germany (Updated 2026)</v>
      </c>
      <c r="C128" s="8" t="str">
        <f>IFERROR(__xludf.DUMMYFUNCTION("""COMPUTED_VALUE"""),"digipims.com")</f>
        <v>digipims.com</v>
      </c>
      <c r="D128" s="11" t="str">
        <f>IFERROR(__xludf.DUMMYFUNCTION("""COMPUTED_VALUE"""),"LISTICLE")</f>
        <v>LISTICLE</v>
      </c>
      <c r="E128" s="11" t="str">
        <f>IFERROR(__xludf.DUMMYFUNCTION("""COMPUTED_VALUE"""),"INSTITUTIONAL")</f>
        <v>INSTITUTIONAL</v>
      </c>
      <c r="F128" s="11" t="str">
        <f>IFERROR(__xludf.DUMMYFUNCTION("""COMPUTED_VALUE"""),"Listicle")</f>
        <v>Listicle</v>
      </c>
      <c r="G128" s="11" t="b">
        <f>IFERROR(__xludf.DUMMYFUNCTION("""COMPUTED_VALUE"""),FALSE)</f>
        <v>0</v>
      </c>
      <c r="H128" s="11" t="str">
        <f>IFERROR(__xludf.DUMMYFUNCTION("""COMPUTED_VALUE"""),"HikeMyTraffic, Nielsen")</f>
        <v>HikeMyTraffic, Nielsen</v>
      </c>
      <c r="I128" s="11">
        <f>IFERROR(__xludf.DUMMYFUNCTION("""COMPUTED_VALUE"""),12.0)</f>
        <v>12</v>
      </c>
      <c r="J128" s="11">
        <f>IFERROR(__xludf.DUMMYFUNCTION("""COMPUTED_VALUE"""),0.01)</f>
        <v>0.01</v>
      </c>
      <c r="K128" s="11">
        <f>IFERROR(__xludf.DUMMYFUNCTION("""COMPUTED_VALUE"""),0.0)</f>
        <v>0</v>
      </c>
      <c r="L128" s="11"/>
    </row>
    <row r="129" ht="15.75" customHeight="1">
      <c r="A129" s="8" t="str">
        <f>IFERROR(__xludf.DUMMYFUNCTION("""COMPUTED_VALUE"""),"https://digital-marketing-agencies.de/")</f>
        <v>https://digital-marketing-agencies.de/</v>
      </c>
      <c r="B129" s="11" t="str">
        <f>IFERROR(__xludf.DUMMYFUNCTION("""COMPUTED_VALUE"""),"Top 10 Digital Marketing Agencies in DACH (2026) — Germany, Austria &amp;amp; Switzerland")</f>
        <v>Top 10 Digital Marketing Agencies in DACH (2026) — Germany, Austria &amp;amp; Switzerland</v>
      </c>
      <c r="C129" s="8" t="str">
        <f>IFERROR(__xludf.DUMMYFUNCTION("""COMPUTED_VALUE"""),"digital-marketing-agencies.de")</f>
        <v>digital-marketing-agencies.de</v>
      </c>
      <c r="D129" s="11" t="str">
        <f>IFERROR(__xludf.DUMMYFUNCTION("""COMPUTED_VALUE"""),"HOMEPAGE")</f>
        <v>HOMEPAGE</v>
      </c>
      <c r="E129" s="11" t="str">
        <f>IFERROR(__xludf.DUMMYFUNCTION("""COMPUTED_VALUE"""),"EDITORIAL")</f>
        <v>EDITORIAL</v>
      </c>
      <c r="F129" s="11" t="str">
        <f>IFERROR(__xludf.DUMMYFUNCTION("""COMPUTED_VALUE"""),"Homepage")</f>
        <v>Homepage</v>
      </c>
      <c r="G129" s="11" t="b">
        <f>IFERROR(__xludf.DUMMYFUNCTION("""COMPUTED_VALUE"""),FALSE)</f>
        <v>0</v>
      </c>
      <c r="H129" s="11"/>
      <c r="I129" s="11">
        <f>IFERROR(__xludf.DUMMYFUNCTION("""COMPUTED_VALUE"""),12.0)</f>
        <v>12</v>
      </c>
      <c r="J129" s="11">
        <f>IFERROR(__xludf.DUMMYFUNCTION("""COMPUTED_VALUE"""),0.01)</f>
        <v>0.01</v>
      </c>
      <c r="K129" s="11">
        <f>IFERROR(__xludf.DUMMYFUNCTION("""COMPUTED_VALUE"""),0.0)</f>
        <v>0</v>
      </c>
      <c r="L129" s="11"/>
    </row>
    <row r="130" ht="15.75" customHeight="1">
      <c r="A130" s="8" t="str">
        <f>IFERROR(__xludf.DUMMYFUNCTION("""COMPUTED_VALUE"""),"https://feedbax.ai/advertising")</f>
        <v>https://feedbax.ai/advertising</v>
      </c>
      <c r="B130" s="11" t="str">
        <f>IFERROR(__xludf.DUMMYFUNCTION("""COMPUTED_VALUE"""),"Top 20 Advertising Agencies - 2026 Reviews")</f>
        <v>Top 20 Advertising Agencies - 2026 Reviews</v>
      </c>
      <c r="C130" s="8" t="str">
        <f>IFERROR(__xludf.DUMMYFUNCTION("""COMPUTED_VALUE"""),"feedbax.ai")</f>
        <v>feedbax.ai</v>
      </c>
      <c r="D130" s="11" t="str">
        <f>IFERROR(__xludf.DUMMYFUNCTION("""COMPUTED_VALUE"""),"CATEGORY_PAGE")</f>
        <v>CATEGORY_PAGE</v>
      </c>
      <c r="E130" s="11" t="str">
        <f>IFERROR(__xludf.DUMMYFUNCTION("""COMPUTED_VALUE"""),"UGC")</f>
        <v>UGC</v>
      </c>
      <c r="F130" s="11" t="str">
        <f>IFERROR(__xludf.DUMMYFUNCTION("""COMPUTED_VALUE"""),"Category Page")</f>
        <v>Category Page</v>
      </c>
      <c r="G130" s="11" t="b">
        <f>IFERROR(__xludf.DUMMYFUNCTION("""COMPUTED_VALUE"""),FALSE)</f>
        <v>0</v>
      </c>
      <c r="H130" s="11" t="str">
        <f>IFERROR(__xludf.DUMMYFUNCTION("""COMPUTED_VALUE"""),"Smarketer, DREIKON")</f>
        <v>Smarketer, DREIKON</v>
      </c>
      <c r="I130" s="11">
        <f>IFERROR(__xludf.DUMMYFUNCTION("""COMPUTED_VALUE"""),12.0)</f>
        <v>12</v>
      </c>
      <c r="J130" s="11">
        <f>IFERROR(__xludf.DUMMYFUNCTION("""COMPUTED_VALUE"""),0.01)</f>
        <v>0.01</v>
      </c>
      <c r="K130" s="11">
        <f>IFERROR(__xludf.DUMMYFUNCTION("""COMPUTED_VALUE"""),0.33)</f>
        <v>0.33</v>
      </c>
      <c r="L130" s="11"/>
    </row>
    <row r="131" ht="15.75" customHeight="1">
      <c r="A131" s="8" t="str">
        <f>IFERROR(__xludf.DUMMYFUNCTION("""COMPUTED_VALUE"""),"https://icoda.io/ai/best-ai-seo-agency-germany/")</f>
        <v>https://icoda.io/ai/best-ai-seo-agency-germany/</v>
      </c>
      <c r="B131" s="11" t="str">
        <f>IFERROR(__xludf.DUMMYFUNCTION("""COMPUTED_VALUE"""),"Best AI SEO Agency in Germany: Top 10 Providers for 2026")</f>
        <v>Best AI SEO Agency in Germany: Top 10 Providers for 2026</v>
      </c>
      <c r="C131" s="8" t="str">
        <f>IFERROR(__xludf.DUMMYFUNCTION("""COMPUTED_VALUE"""),"icoda.io")</f>
        <v>icoda.io</v>
      </c>
      <c r="D131" s="11" t="str">
        <f>IFERROR(__xludf.DUMMYFUNCTION("""COMPUTED_VALUE"""),"LISTICLE")</f>
        <v>LISTICLE</v>
      </c>
      <c r="E131" s="11" t="str">
        <f>IFERROR(__xludf.DUMMYFUNCTION("""COMPUTED_VALUE"""),"CORPORATE")</f>
        <v>CORPORATE</v>
      </c>
      <c r="F131" s="11" t="str">
        <f>IFERROR(__xludf.DUMMYFUNCTION("""COMPUTED_VALUE"""),"Listicle")</f>
        <v>Listicle</v>
      </c>
      <c r="G131" s="11" t="b">
        <f>IFERROR(__xludf.DUMMYFUNCTION("""COMPUTED_VALUE"""),FALSE)</f>
        <v>0</v>
      </c>
      <c r="H131" s="11" t="str">
        <f>IFERROR(__xludf.DUMMYFUNCTION("""COMPUTED_VALUE"""),"Omnius, TRYSEO, Aufgesang, Claneo, Single Grain")</f>
        <v>Omnius, TRYSEO, Aufgesang, Claneo, Single Grain</v>
      </c>
      <c r="I131" s="11">
        <f>IFERROR(__xludf.DUMMYFUNCTION("""COMPUTED_VALUE"""),12.0)</f>
        <v>12</v>
      </c>
      <c r="J131" s="11">
        <f>IFERROR(__xludf.DUMMYFUNCTION("""COMPUTED_VALUE"""),0.01)</f>
        <v>0.01</v>
      </c>
      <c r="K131" s="11">
        <f>IFERROR(__xludf.DUMMYFUNCTION("""COMPUTED_VALUE"""),0.83)</f>
        <v>0.83</v>
      </c>
      <c r="L131" s="11"/>
    </row>
    <row r="132" ht="15.75" customHeight="1">
      <c r="A132" s="8" t="str">
        <f>IFERROR(__xludf.DUMMYFUNCTION("""COMPUTED_VALUE"""),"https://www.influencer-hero.com/blogs/top-facebook-advertising-agencies-in-germany")</f>
        <v>https://www.influencer-hero.com/blogs/top-facebook-advertising-agencies-in-germany</v>
      </c>
      <c r="B132" s="11" t="str">
        <f>IFERROR(__xludf.DUMMYFUNCTION("""COMPUTED_VALUE"""),"Top 10 Facebook Advertising Agencies in Germany")</f>
        <v>Top 10 Facebook Advertising Agencies in Germany</v>
      </c>
      <c r="C132" s="8" t="str">
        <f>IFERROR(__xludf.DUMMYFUNCTION("""COMPUTED_VALUE"""),"influencer-hero.com")</f>
        <v>influencer-hero.com</v>
      </c>
      <c r="D132" s="11" t="str">
        <f>IFERROR(__xludf.DUMMYFUNCTION("""COMPUTED_VALUE"""),"LISTICLE")</f>
        <v>LISTICLE</v>
      </c>
      <c r="E132" s="11" t="str">
        <f>IFERROR(__xludf.DUMMYFUNCTION("""COMPUTED_VALUE"""),"CORPORATE")</f>
        <v>CORPORATE</v>
      </c>
      <c r="F132" s="11" t="str">
        <f>IFERROR(__xludf.DUMMYFUNCTION("""COMPUTED_VALUE"""),"Listicle")</f>
        <v>Listicle</v>
      </c>
      <c r="G132" s="11" t="b">
        <f>IFERROR(__xludf.DUMMYFUNCTION("""COMPUTED_VALUE"""),FALSE)</f>
        <v>0</v>
      </c>
      <c r="H132" s="11" t="str">
        <f>IFERROR(__xludf.DUMMYFUNCTION("""COMPUTED_VALUE"""),"MONSOON, DREIKON, Social Media One, Globalist, Mawave")</f>
        <v>MONSOON, DREIKON, Social Media One, Globalist, Mawave</v>
      </c>
      <c r="I132" s="11">
        <f>IFERROR(__xludf.DUMMYFUNCTION("""COMPUTED_VALUE"""),12.0)</f>
        <v>12</v>
      </c>
      <c r="J132" s="11">
        <f>IFERROR(__xludf.DUMMYFUNCTION("""COMPUTED_VALUE"""),0.01)</f>
        <v>0.01</v>
      </c>
      <c r="K132" s="11">
        <f>IFERROR(__xludf.DUMMYFUNCTION("""COMPUTED_VALUE"""),2.0)</f>
        <v>2</v>
      </c>
      <c r="L132" s="11"/>
    </row>
    <row r="133" ht="15.75" customHeight="1">
      <c r="A133" s="8" t="str">
        <f>IFERROR(__xludf.DUMMYFUNCTION("""COMPUTED_VALUE"""),"https://www.radigitalworld.com/2025/06/top-10-digital-marketing-agencies-in.html")</f>
        <v>https://www.radigitalworld.com/2025/06/top-10-digital-marketing-agencies-in.html</v>
      </c>
      <c r="B133" s="11" t="str">
        <f>IFERROR(__xludf.DUMMYFUNCTION("""COMPUTED_VALUE"""),"Top 10 Digital Marketing Agencies in Germany to Watch")</f>
        <v>Top 10 Digital Marketing Agencies in Germany to Watch</v>
      </c>
      <c r="C133" s="8" t="str">
        <f>IFERROR(__xludf.DUMMYFUNCTION("""COMPUTED_VALUE"""),"radigitalworld.com")</f>
        <v>radigitalworld.com</v>
      </c>
      <c r="D133" s="11" t="str">
        <f>IFERROR(__xludf.DUMMYFUNCTION("""COMPUTED_VALUE"""),"LISTICLE")</f>
        <v>LISTICLE</v>
      </c>
      <c r="E133" s="11" t="str">
        <f>IFERROR(__xludf.DUMMYFUNCTION("""COMPUTED_VALUE"""),"OTHER")</f>
        <v>OTHER</v>
      </c>
      <c r="F133" s="11" t="str">
        <f>IFERROR(__xludf.DUMMYFUNCTION("""COMPUTED_VALUE"""),"Listicle")</f>
        <v>Listicle</v>
      </c>
      <c r="G133" s="11" t="b">
        <f>IFERROR(__xludf.DUMMYFUNCTION("""COMPUTED_VALUE"""),FALSE)</f>
        <v>0</v>
      </c>
      <c r="H133" s="11" t="str">
        <f>IFERROR(__xludf.DUMMYFUNCTION("""COMPUTED_VALUE"""),"Jung von Matt, DEPT, Think11")</f>
        <v>Jung von Matt, DEPT, Think11</v>
      </c>
      <c r="I133" s="11">
        <f>IFERROR(__xludf.DUMMYFUNCTION("""COMPUTED_VALUE"""),12.0)</f>
        <v>12</v>
      </c>
      <c r="J133" s="11">
        <f>IFERROR(__xludf.DUMMYFUNCTION("""COMPUTED_VALUE"""),0.01)</f>
        <v>0.01</v>
      </c>
      <c r="K133" s="11">
        <f>IFERROR(__xludf.DUMMYFUNCTION("""COMPUTED_VALUE"""),0.42)</f>
        <v>0.42</v>
      </c>
      <c r="L133" s="11"/>
    </row>
    <row r="134" ht="15.75" customHeight="1">
      <c r="A134" s="8" t="str">
        <f>IFERROR(__xludf.DUMMYFUNCTION("""COMPUTED_VALUE"""),"https://www.sortlist.com/s/performance-marketing/berlin-de")</f>
        <v>https://www.sortlist.com/s/performance-marketing/berlin-de</v>
      </c>
      <c r="B134" s="11" t="str">
        <f>IFERROR(__xludf.DUMMYFUNCTION("""COMPUTED_VALUE"""),"The 10 Best Performance Marketing Agencies in Berlin - 2026 Reviews")</f>
        <v>The 10 Best Performance Marketing Agencies in Berlin - 2026 Reviews</v>
      </c>
      <c r="C134" s="8" t="str">
        <f>IFERROR(__xludf.DUMMYFUNCTION("""COMPUTED_VALUE"""),"sortlist.com")</f>
        <v>sortlist.com</v>
      </c>
      <c r="D134" s="11" t="str">
        <f>IFERROR(__xludf.DUMMYFUNCTION("""COMPUTED_VALUE"""),"CATEGORY_PAGE")</f>
        <v>CATEGORY_PAGE</v>
      </c>
      <c r="E134" s="11" t="str">
        <f>IFERROR(__xludf.DUMMYFUNCTION("""COMPUTED_VALUE"""),"CORPORATE")</f>
        <v>CORPORATE</v>
      </c>
      <c r="F134" s="11" t="str">
        <f>IFERROR(__xludf.DUMMYFUNCTION("""COMPUTED_VALUE"""),"Category Page")</f>
        <v>Category Page</v>
      </c>
      <c r="G134" s="11" t="b">
        <f>IFERROR(__xludf.DUMMYFUNCTION("""COMPUTED_VALUE"""),FALSE)</f>
        <v>0</v>
      </c>
      <c r="H134" s="11" t="str">
        <f>IFERROR(__xludf.DUMMYFUNCTION("""COMPUTED_VALUE"""),"lehof, MONSOON, Triple Whale, Northbeam, Dreamdata, KlickPiloten, PANORAMA3000, Pilot")</f>
        <v>lehof, MONSOON, Triple Whale, Northbeam, Dreamdata, KlickPiloten, PANORAMA3000, Pilot</v>
      </c>
      <c r="I134" s="11">
        <f>IFERROR(__xludf.DUMMYFUNCTION("""COMPUTED_VALUE"""),12.0)</f>
        <v>12</v>
      </c>
      <c r="J134" s="11">
        <f>IFERROR(__xludf.DUMMYFUNCTION("""COMPUTED_VALUE"""),0.01)</f>
        <v>0.01</v>
      </c>
      <c r="K134" s="11">
        <f>IFERROR(__xludf.DUMMYFUNCTION("""COMPUTED_VALUE"""),0.08)</f>
        <v>0.08</v>
      </c>
      <c r="L134" s="11"/>
    </row>
    <row r="135" ht="15.75" customHeight="1">
      <c r="A135" s="8" t="str">
        <f>IFERROR(__xludf.DUMMYFUNCTION("""COMPUTED_VALUE"""),"https://agencies.semrush.com/list/display-advertising/berlin/small-business/")</f>
        <v>https://agencies.semrush.com/list/display-advertising/berlin/small-business/</v>
      </c>
      <c r="B135" s="11" t="str">
        <f>IFERROR(__xludf.DUMMYFUNCTION("""COMPUTED_VALUE"""),"Best Display Ads Agencies for Small Business in Berlin 2026 | Semrush")</f>
        <v>Best Display Ads Agencies for Small Business in Berlin 2026 | Semrush</v>
      </c>
      <c r="C135" s="8" t="str">
        <f>IFERROR(__xludf.DUMMYFUNCTION("""COMPUTED_VALUE"""),"semrush.com")</f>
        <v>semrush.com</v>
      </c>
      <c r="D135" s="11" t="str">
        <f>IFERROR(__xludf.DUMMYFUNCTION("""COMPUTED_VALUE"""),"CATEGORY_PAGE")</f>
        <v>CATEGORY_PAGE</v>
      </c>
      <c r="E135" s="11" t="str">
        <f>IFERROR(__xludf.DUMMYFUNCTION("""COMPUTED_VALUE"""),"CORPORATE")</f>
        <v>CORPORATE</v>
      </c>
      <c r="F135" s="11" t="str">
        <f>IFERROR(__xludf.DUMMYFUNCTION("""COMPUTED_VALUE"""),"Category Page")</f>
        <v>Category Page</v>
      </c>
      <c r="G135" s="11" t="b">
        <f>IFERROR(__xludf.DUMMYFUNCTION("""COMPUTED_VALUE"""),FALSE)</f>
        <v>0</v>
      </c>
      <c r="H135" s="11" t="str">
        <f>IFERROR(__xludf.DUMMYFUNCTION("""COMPUTED_VALUE"""),"MONSOON, KlickPiloten, Baseplus DIGITAL MEDIA GmbH, Mediaplus Performance")</f>
        <v>MONSOON, KlickPiloten, Baseplus DIGITAL MEDIA GmbH, Mediaplus Performance</v>
      </c>
      <c r="I135" s="11">
        <f>IFERROR(__xludf.DUMMYFUNCTION("""COMPUTED_VALUE"""),11.0)</f>
        <v>11</v>
      </c>
      <c r="J135" s="11">
        <f>IFERROR(__xludf.DUMMYFUNCTION("""COMPUTED_VALUE"""),0.01)</f>
        <v>0.01</v>
      </c>
      <c r="K135" s="11">
        <f>IFERROR(__xludf.DUMMYFUNCTION("""COMPUTED_VALUE"""),0.0)</f>
        <v>0</v>
      </c>
      <c r="L135" s="11"/>
    </row>
    <row r="136" ht="15.75" customHeight="1">
      <c r="A136" s="8" t="str">
        <f>IFERROR(__xludf.DUMMYFUNCTION("""COMPUTED_VALUE"""),"https://ensun.io/search/marketing-analytics/germany")</f>
        <v>https://ensun.io/search/marketing-analytics/germany</v>
      </c>
      <c r="B136" s="11" t="str">
        <f>IFERROR(__xludf.DUMMYFUNCTION("""COMPUTED_VALUE"""),"Top 100 Marketing Analytics Companies in Germany (2026) \| ensun")</f>
        <v>Top 100 Marketing Analytics Companies in Germany (2026) \| ensun</v>
      </c>
      <c r="C136" s="8" t="str">
        <f>IFERROR(__xludf.DUMMYFUNCTION("""COMPUTED_VALUE"""),"ensun.io")</f>
        <v>ensun.io</v>
      </c>
      <c r="D136" s="11" t="str">
        <f>IFERROR(__xludf.DUMMYFUNCTION("""COMPUTED_VALUE"""),"CATEGORY_PAGE")</f>
        <v>CATEGORY_PAGE</v>
      </c>
      <c r="E136" s="11" t="str">
        <f>IFERROR(__xludf.DUMMYFUNCTION("""COMPUTED_VALUE"""),"OTHER")</f>
        <v>OTHER</v>
      </c>
      <c r="F136" s="11" t="str">
        <f>IFERROR(__xludf.DUMMYFUNCTION("""COMPUTED_VALUE"""),"Category Page")</f>
        <v>Category Page</v>
      </c>
      <c r="G136" s="11" t="b">
        <f>IFERROR(__xludf.DUMMYFUNCTION("""COMPUTED_VALUE"""),FALSE)</f>
        <v>0</v>
      </c>
      <c r="H136" s="11" t="str">
        <f>IFERROR(__xludf.DUMMYFUNCTION("""COMPUTED_VALUE"""),"Kantar, Customlytics")</f>
        <v>Kantar, Customlytics</v>
      </c>
      <c r="I136" s="11">
        <f>IFERROR(__xludf.DUMMYFUNCTION("""COMPUTED_VALUE"""),11.0)</f>
        <v>11</v>
      </c>
      <c r="J136" s="11">
        <f>IFERROR(__xludf.DUMMYFUNCTION("""COMPUTED_VALUE"""),0.01)</f>
        <v>0.01</v>
      </c>
      <c r="K136" s="11">
        <f>IFERROR(__xludf.DUMMYFUNCTION("""COMPUTED_VALUE"""),1.09)</f>
        <v>1.09</v>
      </c>
      <c r="L136" s="11"/>
    </row>
    <row r="137" ht="15.75" customHeight="1">
      <c r="A137" s="8" t="str">
        <f>IFERROR(__xludf.DUMMYFUNCTION("""COMPUTED_VALUE"""),"https://www.hockeystack.com/blog-posts/best-marketing-attribution-software")</f>
        <v>https://www.hockeystack.com/blog-posts/best-marketing-attribution-software</v>
      </c>
      <c r="B137" s="11" t="str">
        <f>IFERROR(__xludf.DUMMYFUNCTION("""COMPUTED_VALUE"""),"19 Best Marketing Attribution Software Solutions Reviewed for 2026")</f>
        <v>19 Best Marketing Attribution Software Solutions Reviewed for 2026</v>
      </c>
      <c r="C137" s="8" t="str">
        <f>IFERROR(__xludf.DUMMYFUNCTION("""COMPUTED_VALUE"""),"hockeystack.com")</f>
        <v>hockeystack.com</v>
      </c>
      <c r="D137" s="11" t="str">
        <f>IFERROR(__xludf.DUMMYFUNCTION("""COMPUTED_VALUE"""),"LISTICLE")</f>
        <v>LISTICLE</v>
      </c>
      <c r="E137" s="11" t="str">
        <f>IFERROR(__xludf.DUMMYFUNCTION("""COMPUTED_VALUE"""),"CORPORATE")</f>
        <v>CORPORATE</v>
      </c>
      <c r="F137" s="11" t="str">
        <f>IFERROR(__xludf.DUMMYFUNCTION("""COMPUTED_VALUE"""),"Listicle")</f>
        <v>Listicle</v>
      </c>
      <c r="G137" s="11" t="b">
        <f>IFERROR(__xludf.DUMMYFUNCTION("""COMPUTED_VALUE"""),FALSE)</f>
        <v>0</v>
      </c>
      <c r="H137" s="11" t="str">
        <f>IFERROR(__xludf.DUMMYFUNCTION("""COMPUTED_VALUE"""),"Ruler Analytics, Dreamdata, Triple Whale, Rockerbox, Northbeam")</f>
        <v>Ruler Analytics, Dreamdata, Triple Whale, Rockerbox, Northbeam</v>
      </c>
      <c r="I137" s="11">
        <f>IFERROR(__xludf.DUMMYFUNCTION("""COMPUTED_VALUE"""),11.0)</f>
        <v>11</v>
      </c>
      <c r="J137" s="11">
        <f>IFERROR(__xludf.DUMMYFUNCTION("""COMPUTED_VALUE"""),0.01)</f>
        <v>0.01</v>
      </c>
      <c r="K137" s="11">
        <f>IFERROR(__xludf.DUMMYFUNCTION("""COMPUTED_VALUE"""),0.0)</f>
        <v>0</v>
      </c>
      <c r="L137" s="11"/>
    </row>
    <row r="138" ht="15.75" customHeight="1">
      <c r="A138" s="8" t="str">
        <f>IFERROR(__xludf.DUMMYFUNCTION("""COMPUTED_VALUE"""),"https://mobian.studio/ai-consulting-companies-germany/")</f>
        <v>https://mobian.studio/ai-consulting-companies-germany/</v>
      </c>
      <c r="B138" s="11" t="str">
        <f>IFERROR(__xludf.DUMMYFUNCTION("""COMPUTED_VALUE"""),"Top AI Consulting Firms in Germany 2025 Guide")</f>
        <v>Top AI Consulting Firms in Germany 2025 Guide</v>
      </c>
      <c r="C138" s="11" t="str">
        <f>IFERROR(__xludf.DUMMYFUNCTION("""COMPUTED_VALUE"""),"mobian.studio")</f>
        <v>mobian.studio</v>
      </c>
      <c r="D138" s="11" t="str">
        <f>IFERROR(__xludf.DUMMYFUNCTION("""COMPUTED_VALUE"""),"LISTICLE")</f>
        <v>LISTICLE</v>
      </c>
      <c r="E138" s="11" t="str">
        <f>IFERROR(__xludf.DUMMYFUNCTION("""COMPUTED_VALUE"""),"CORPORATE")</f>
        <v>CORPORATE</v>
      </c>
      <c r="F138" s="11" t="str">
        <f>IFERROR(__xludf.DUMMYFUNCTION("""COMPUTED_VALUE"""),"Listicle")</f>
        <v>Listicle</v>
      </c>
      <c r="G138" s="11" t="b">
        <f>IFERROR(__xludf.DUMMYFUNCTION("""COMPUTED_VALUE"""),FALSE)</f>
        <v>0</v>
      </c>
      <c r="H138" s="11" t="str">
        <f>IFERROR(__xludf.DUMMYFUNCTION("""COMPUTED_VALUE"""),"Artefact, b.telligent")</f>
        <v>Artefact, b.telligent</v>
      </c>
      <c r="I138" s="11">
        <f>IFERROR(__xludf.DUMMYFUNCTION("""COMPUTED_VALUE"""),11.0)</f>
        <v>11</v>
      </c>
      <c r="J138" s="11">
        <f>IFERROR(__xludf.DUMMYFUNCTION("""COMPUTED_VALUE"""),0.01)</f>
        <v>0.01</v>
      </c>
      <c r="K138" s="11">
        <f>IFERROR(__xludf.DUMMYFUNCTION("""COMPUTED_VALUE"""),0.55)</f>
        <v>0.55</v>
      </c>
      <c r="L138" s="11"/>
    </row>
    <row r="139" ht="15.75" customHeight="1">
      <c r="A139" s="8" t="str">
        <f>IFERROR(__xludf.DUMMYFUNCTION("""COMPUTED_VALUE"""),"https://www.sortlist.com/i/advertising/germany-de")</f>
        <v>https://www.sortlist.com/i/advertising/germany-de</v>
      </c>
      <c r="B139" s="11" t="str">
        <f>IFERROR(__xludf.DUMMYFUNCTION("""COMPUTED_VALUE"""),"The 10 Best Advertising Agencies in Germany - 2026 Reviews")</f>
        <v>The 10 Best Advertising Agencies in Germany - 2026 Reviews</v>
      </c>
      <c r="C139" s="8" t="str">
        <f>IFERROR(__xludf.DUMMYFUNCTION("""COMPUTED_VALUE"""),"sortlist.com")</f>
        <v>sortlist.com</v>
      </c>
      <c r="D139" s="11" t="str">
        <f>IFERROR(__xludf.DUMMYFUNCTION("""COMPUTED_VALUE"""),"CATEGORY_PAGE")</f>
        <v>CATEGORY_PAGE</v>
      </c>
      <c r="E139" s="11" t="str">
        <f>IFERROR(__xludf.DUMMYFUNCTION("""COMPUTED_VALUE"""),"CORPORATE")</f>
        <v>CORPORATE</v>
      </c>
      <c r="F139" s="11" t="str">
        <f>IFERROR(__xludf.DUMMYFUNCTION("""COMPUTED_VALUE"""),"Category Page")</f>
        <v>Category Page</v>
      </c>
      <c r="G139" s="11" t="b">
        <f>IFERROR(__xludf.DUMMYFUNCTION("""COMPUTED_VALUE"""),FALSE)</f>
        <v>0</v>
      </c>
      <c r="H139" s="11" t="str">
        <f>IFERROR(__xludf.DUMMYFUNCTION("""COMPUTED_VALUE"""),"MONSOON")</f>
        <v>MONSOON</v>
      </c>
      <c r="I139" s="11">
        <f>IFERROR(__xludf.DUMMYFUNCTION("""COMPUTED_VALUE"""),11.0)</f>
        <v>11</v>
      </c>
      <c r="J139" s="11">
        <f>IFERROR(__xludf.DUMMYFUNCTION("""COMPUTED_VALUE"""),0.01)</f>
        <v>0.01</v>
      </c>
      <c r="K139" s="11">
        <f>IFERROR(__xludf.DUMMYFUNCTION("""COMPUTED_VALUE"""),0.0)</f>
        <v>0</v>
      </c>
      <c r="L139" s="11"/>
    </row>
    <row r="140" ht="15.75" customHeight="1">
      <c r="A140" s="8" t="str">
        <f>IFERROR(__xludf.DUMMYFUNCTION("""COMPUTED_VALUE"""),"https://www.youtube.com/watch?v=iUNdeZPBkbk")</f>
        <v>https://www.youtube.com/watch?v=iUNdeZPBkbk</v>
      </c>
      <c r="B140" s="11" t="str">
        <f>IFERROR(__xludf.DUMMYFUNCTION("""COMPUTED_VALUE"""),"15 Best AI Digital Marketing Agencies in Germany (2026) | You NEED These AI Agencies!")</f>
        <v>15 Best AI Digital Marketing Agencies in Germany (2026) | You NEED These AI Agencies!</v>
      </c>
      <c r="C140" s="8" t="str">
        <f>IFERROR(__xludf.DUMMYFUNCTION("""COMPUTED_VALUE"""),"youtube.com")</f>
        <v>youtube.com</v>
      </c>
      <c r="D140" s="11" t="str">
        <f>IFERROR(__xludf.DUMMYFUNCTION("""COMPUTED_VALUE"""),"LISTICLE")</f>
        <v>LISTICLE</v>
      </c>
      <c r="E140" s="11" t="str">
        <f>IFERROR(__xludf.DUMMYFUNCTION("""COMPUTED_VALUE"""),"UGC")</f>
        <v>UGC</v>
      </c>
      <c r="F140" s="11" t="str">
        <f>IFERROR(__xludf.DUMMYFUNCTION("""COMPUTED_VALUE"""),"Listicle")</f>
        <v>Listicle</v>
      </c>
      <c r="G140" s="11" t="b">
        <f>IFERROR(__xludf.DUMMYFUNCTION("""COMPUTED_VALUE"""),FALSE)</f>
        <v>0</v>
      </c>
      <c r="H140" s="11" t="str">
        <f>IFERROR(__xludf.DUMMYFUNCTION("""COMPUTED_VALUE"""),"HikeMyTraffic")</f>
        <v>HikeMyTraffic</v>
      </c>
      <c r="I140" s="11">
        <f>IFERROR(__xludf.DUMMYFUNCTION("""COMPUTED_VALUE"""),11.0)</f>
        <v>11</v>
      </c>
      <c r="J140" s="11">
        <f>IFERROR(__xludf.DUMMYFUNCTION("""COMPUTED_VALUE"""),0.01)</f>
        <v>0.01</v>
      </c>
      <c r="K140" s="11">
        <f>IFERROR(__xludf.DUMMYFUNCTION("""COMPUTED_VALUE"""),1.09)</f>
        <v>1.09</v>
      </c>
      <c r="L140" s="11"/>
    </row>
    <row r="141" ht="15.75" customHeight="1">
      <c r="A141" s="8" t="str">
        <f>IFERROR(__xludf.DUMMYFUNCTION("""COMPUTED_VALUE"""),"https://aeoagency.org/best-aeo-agencies/")</f>
        <v>https://aeoagency.org/best-aeo-agencies/</v>
      </c>
      <c r="B141" s="11" t="str">
        <f>IFERROR(__xludf.DUMMYFUNCTION("""COMPUTED_VALUE"""),"Best AEO Agencies 2025-2026")</f>
        <v>Best AEO Agencies 2025-2026</v>
      </c>
      <c r="C141" s="8" t="str">
        <f>IFERROR(__xludf.DUMMYFUNCTION("""COMPUTED_VALUE"""),"aeoagency.org")</f>
        <v>aeoagency.org</v>
      </c>
      <c r="D141" s="11" t="str">
        <f>IFERROR(__xludf.DUMMYFUNCTION("""COMPUTED_VALUE"""),"LISTICLE")</f>
        <v>LISTICLE</v>
      </c>
      <c r="E141" s="11" t="str">
        <f>IFERROR(__xludf.DUMMYFUNCTION("""COMPUTED_VALUE"""),"CORPORATE")</f>
        <v>CORPORATE</v>
      </c>
      <c r="F141" s="11" t="str">
        <f>IFERROR(__xludf.DUMMYFUNCTION("""COMPUTED_VALUE"""),"Listicle")</f>
        <v>Listicle</v>
      </c>
      <c r="G141" s="11" t="b">
        <f>IFERROR(__xludf.DUMMYFUNCTION("""COMPUTED_VALUE"""),FALSE)</f>
        <v>0</v>
      </c>
      <c r="H141" s="11"/>
      <c r="I141" s="11">
        <f>IFERROR(__xludf.DUMMYFUNCTION("""COMPUTED_VALUE"""),10.0)</f>
        <v>10</v>
      </c>
      <c r="J141" s="11">
        <f>IFERROR(__xludf.DUMMYFUNCTION("""COMPUTED_VALUE"""),0.01)</f>
        <v>0.01</v>
      </c>
      <c r="K141" s="11">
        <f>IFERROR(__xludf.DUMMYFUNCTION("""COMPUTED_VALUE"""),0.1)</f>
        <v>0.1</v>
      </c>
      <c r="L141" s="11"/>
    </row>
    <row r="142" ht="15.75" customHeight="1">
      <c r="A142" s="8" t="str">
        <f>IFERROR(__xludf.DUMMYFUNCTION("""COMPUTED_VALUE"""),"https://agencies.semrush.com/list/ai-optimization/germany/mid-business/")</f>
        <v>https://agencies.semrush.com/list/ai-optimization/germany/mid-business/</v>
      </c>
      <c r="B142" s="11" t="str">
        <f>IFERROR(__xludf.DUMMYFUNCTION("""COMPUTED_VALUE"""),"Best AI Search Optimization Agencies for Mid Business in Germany 2026 | Semrush")</f>
        <v>Best AI Search Optimization Agencies for Mid Business in Germany 2026 | Semrush</v>
      </c>
      <c r="C142" s="8" t="str">
        <f>IFERROR(__xludf.DUMMYFUNCTION("""COMPUTED_VALUE"""),"semrush.com")</f>
        <v>semrush.com</v>
      </c>
      <c r="D142" s="11" t="str">
        <f>IFERROR(__xludf.DUMMYFUNCTION("""COMPUTED_VALUE"""),"CATEGORY_PAGE")</f>
        <v>CATEGORY_PAGE</v>
      </c>
      <c r="E142" s="11" t="str">
        <f>IFERROR(__xludf.DUMMYFUNCTION("""COMPUTED_VALUE"""),"CORPORATE")</f>
        <v>CORPORATE</v>
      </c>
      <c r="F142" s="11" t="str">
        <f>IFERROR(__xludf.DUMMYFUNCTION("""COMPUTED_VALUE"""),"Category Page")</f>
        <v>Category Page</v>
      </c>
      <c r="G142" s="11" t="b">
        <f>IFERROR(__xludf.DUMMYFUNCTION("""COMPUTED_VALUE"""),FALSE)</f>
        <v>0</v>
      </c>
      <c r="H142" s="11" t="str">
        <f>IFERROR(__xludf.DUMMYFUNCTION("""COMPUTED_VALUE"""),"HECHT INS GEFECHT, morefire, Mediaplus Performance")</f>
        <v>HECHT INS GEFECHT, morefire, Mediaplus Performance</v>
      </c>
      <c r="I142" s="11">
        <f>IFERROR(__xludf.DUMMYFUNCTION("""COMPUTED_VALUE"""),10.0)</f>
        <v>10</v>
      </c>
      <c r="J142" s="11">
        <f>IFERROR(__xludf.DUMMYFUNCTION("""COMPUTED_VALUE"""),0.01)</f>
        <v>0.01</v>
      </c>
      <c r="K142" s="11">
        <f>IFERROR(__xludf.DUMMYFUNCTION("""COMPUTED_VALUE"""),0.5)</f>
        <v>0.5</v>
      </c>
      <c r="L142" s="11"/>
    </row>
    <row r="143" ht="15.75" customHeight="1">
      <c r="A143" s="8" t="str">
        <f>IFERROR(__xludf.DUMMYFUNCTION("""COMPUTED_VALUE"""),"https://clutch.co/de/consulting/ai?page=1")</f>
        <v>https://clutch.co/de/consulting/ai?page=1</v>
      </c>
      <c r="B143" s="11" t="str">
        <f>IFERROR(__xludf.DUMMYFUNCTION("""COMPUTED_VALUE"""),"Page 2 - Top AI Consultants in Germany - Jul 2026 Rankings \| Clutch.co")</f>
        <v>Page 2 - Top AI Consultants in Germany - Jul 2026 Rankings \| Clutch.co</v>
      </c>
      <c r="C143" s="8" t="str">
        <f>IFERROR(__xludf.DUMMYFUNCTION("""COMPUTED_VALUE"""),"clutch.co")</f>
        <v>clutch.co</v>
      </c>
      <c r="D143" s="11" t="str">
        <f>IFERROR(__xludf.DUMMYFUNCTION("""COMPUTED_VALUE"""),"CATEGORY_PAGE")</f>
        <v>CATEGORY_PAGE</v>
      </c>
      <c r="E143" s="11" t="str">
        <f>IFERROR(__xludf.DUMMYFUNCTION("""COMPUTED_VALUE"""),"CORPORATE")</f>
        <v>CORPORATE</v>
      </c>
      <c r="F143" s="11" t="str">
        <f>IFERROR(__xludf.DUMMYFUNCTION("""COMPUTED_VALUE"""),"Category Page")</f>
        <v>Category Page</v>
      </c>
      <c r="G143" s="11" t="b">
        <f>IFERROR(__xludf.DUMMYFUNCTION("""COMPUTED_VALUE"""),FALSE)</f>
        <v>0</v>
      </c>
      <c r="H143" s="11"/>
      <c r="I143" s="11">
        <f>IFERROR(__xludf.DUMMYFUNCTION("""COMPUTED_VALUE"""),10.0)</f>
        <v>10</v>
      </c>
      <c r="J143" s="11">
        <f>IFERROR(__xludf.DUMMYFUNCTION("""COMPUTED_VALUE"""),0.01)</f>
        <v>0.01</v>
      </c>
      <c r="K143" s="11">
        <f>IFERROR(__xludf.DUMMYFUNCTION("""COMPUTED_VALUE"""),0.0)</f>
        <v>0</v>
      </c>
      <c r="L143" s="11"/>
    </row>
    <row r="144" ht="15.75" customHeight="1">
      <c r="A144" s="8" t="str">
        <f>IFERROR(__xludf.DUMMYFUNCTION("""COMPUTED_VALUE"""),"https://www.dreikon.de/en/news/online-marketing-knowledge/top-10-google-ads-agencies/")</f>
        <v>https://www.dreikon.de/en/news/online-marketing-knowledge/top-10-google-ads-agencies/</v>
      </c>
      <c r="B144" s="11" t="str">
        <f>IFERROR(__xludf.DUMMYFUNCTION("""COMPUTED_VALUE"""),"The 10 best Google Ads agencies 2026")</f>
        <v>The 10 best Google Ads agencies 2026</v>
      </c>
      <c r="C144" s="8" t="str">
        <f>IFERROR(__xludf.DUMMYFUNCTION("""COMPUTED_VALUE"""),"dreikon.de")</f>
        <v>dreikon.de</v>
      </c>
      <c r="D144" s="11" t="str">
        <f>IFERROR(__xludf.DUMMYFUNCTION("""COMPUTED_VALUE"""),"LISTICLE")</f>
        <v>LISTICLE</v>
      </c>
      <c r="E144" s="11" t="str">
        <f>IFERROR(__xludf.DUMMYFUNCTION("""COMPUTED_VALUE"""),"COMPETITOR")</f>
        <v>COMPETITOR</v>
      </c>
      <c r="F144" s="11" t="str">
        <f>IFERROR(__xludf.DUMMYFUNCTION("""COMPUTED_VALUE"""),"Listicle")</f>
        <v>Listicle</v>
      </c>
      <c r="G144" s="11" t="b">
        <f>IFERROR(__xludf.DUMMYFUNCTION("""COMPUTED_VALUE"""),FALSE)</f>
        <v>0</v>
      </c>
      <c r="H144" s="11" t="str">
        <f>IFERROR(__xludf.DUMMYFUNCTION("""COMPUTED_VALUE"""),"DREIKON, Suchhelden, Bloofusion Germany GmbH, eMinded GmbH")</f>
        <v>DREIKON, Suchhelden, Bloofusion Germany GmbH, eMinded GmbH</v>
      </c>
      <c r="I144" s="11">
        <f>IFERROR(__xludf.DUMMYFUNCTION("""COMPUTED_VALUE"""),10.0)</f>
        <v>10</v>
      </c>
      <c r="J144" s="11">
        <f>IFERROR(__xludf.DUMMYFUNCTION("""COMPUTED_VALUE"""),0.01)</f>
        <v>0.01</v>
      </c>
      <c r="K144" s="11">
        <f>IFERROR(__xludf.DUMMYFUNCTION("""COMPUTED_VALUE"""),0.4)</f>
        <v>0.4</v>
      </c>
      <c r="L144" s="11"/>
    </row>
    <row r="145" ht="15.75" customHeight="1">
      <c r="A145" s="8" t="str">
        <f>IFERROR(__xludf.DUMMYFUNCTION("""COMPUTED_VALUE"""),"https://founderpal.ai/best-marketing-agencies/germany")</f>
        <v>https://founderpal.ai/best-marketing-agencies/germany</v>
      </c>
      <c r="B145" s="11" t="str">
        <f>IFERROR(__xludf.DUMMYFUNCTION("""COMPUTED_VALUE"""),"10 Best Marketing Agencies in Germany \[2026 Updated\]")</f>
        <v>10 Best Marketing Agencies in Germany \[2026 Updated\]</v>
      </c>
      <c r="C145" s="8" t="str">
        <f>IFERROR(__xludf.DUMMYFUNCTION("""COMPUTED_VALUE"""),"founderpal.ai")</f>
        <v>founderpal.ai</v>
      </c>
      <c r="D145" s="11" t="str">
        <f>IFERROR(__xludf.DUMMYFUNCTION("""COMPUTED_VALUE"""),"LISTICLE")</f>
        <v>LISTICLE</v>
      </c>
      <c r="E145" s="11" t="str">
        <f>IFERROR(__xludf.DUMMYFUNCTION("""COMPUTED_VALUE"""),"CORPORATE")</f>
        <v>CORPORATE</v>
      </c>
      <c r="F145" s="11" t="str">
        <f>IFERROR(__xludf.DUMMYFUNCTION("""COMPUTED_VALUE"""),"Listicle")</f>
        <v>Listicle</v>
      </c>
      <c r="G145" s="11" t="b">
        <f>IFERROR(__xludf.DUMMYFUNCTION("""COMPUTED_VALUE"""),FALSE)</f>
        <v>0</v>
      </c>
      <c r="H145" s="11" t="str">
        <f>IFERROR(__xludf.DUMMYFUNCTION("""COMPUTED_VALUE"""),"Jung von Matt, Serviceplan Group, Scholz &amp; Friends, Pilot, DEPT")</f>
        <v>Jung von Matt, Serviceplan Group, Scholz &amp; Friends, Pilot, DEPT</v>
      </c>
      <c r="I145" s="11">
        <f>IFERROR(__xludf.DUMMYFUNCTION("""COMPUTED_VALUE"""),10.0)</f>
        <v>10</v>
      </c>
      <c r="J145" s="11">
        <f>IFERROR(__xludf.DUMMYFUNCTION("""COMPUTED_VALUE"""),0.01)</f>
        <v>0.01</v>
      </c>
      <c r="K145" s="11">
        <f>IFERROR(__xludf.DUMMYFUNCTION("""COMPUTED_VALUE"""),0.2)</f>
        <v>0.2</v>
      </c>
      <c r="L145" s="11"/>
    </row>
    <row r="146" ht="15.75" customHeight="1">
      <c r="A146" s="8" t="str">
        <f>IFERROR(__xludf.DUMMYFUNCTION("""COMPUTED_VALUE"""),"https://gaper.io/best-aeo-agencies")</f>
        <v>https://gaper.io/best-aeo-agencies</v>
      </c>
      <c r="B146" s="11" t="str">
        <f>IFERROR(__xludf.DUMMYFUNCTION("""COMPUTED_VALUE"""),"Best AEO Agencies in 2026: Answer Engine Optimization Shortlist · Gaper")</f>
        <v>Best AEO Agencies in 2026: Answer Engine Optimization Shortlist · Gaper</v>
      </c>
      <c r="C146" s="8" t="str">
        <f>IFERROR(__xludf.DUMMYFUNCTION("""COMPUTED_VALUE"""),"gaper.io")</f>
        <v>gaper.io</v>
      </c>
      <c r="D146" s="11" t="str">
        <f>IFERROR(__xludf.DUMMYFUNCTION("""COMPUTED_VALUE"""),"LISTICLE")</f>
        <v>LISTICLE</v>
      </c>
      <c r="E146" s="11" t="str">
        <f>IFERROR(__xludf.DUMMYFUNCTION("""COMPUTED_VALUE"""),"CORPORATE")</f>
        <v>CORPORATE</v>
      </c>
      <c r="F146" s="11" t="str">
        <f>IFERROR(__xludf.DUMMYFUNCTION("""COMPUTED_VALUE"""),"Listicle")</f>
        <v>Listicle</v>
      </c>
      <c r="G146" s="11" t="b">
        <f>IFERROR(__xludf.DUMMYFUNCTION("""COMPUTED_VALUE"""),FALSE)</f>
        <v>0</v>
      </c>
      <c r="H146" s="11" t="str">
        <f>IFERROR(__xludf.DUMMYFUNCTION("""COMPUTED_VALUE"""),"NoGood")</f>
        <v>NoGood</v>
      </c>
      <c r="I146" s="11">
        <f>IFERROR(__xludf.DUMMYFUNCTION("""COMPUTED_VALUE"""),10.0)</f>
        <v>10</v>
      </c>
      <c r="J146" s="11">
        <f>IFERROR(__xludf.DUMMYFUNCTION("""COMPUTED_VALUE"""),0.01)</f>
        <v>0.01</v>
      </c>
      <c r="K146" s="11">
        <f>IFERROR(__xludf.DUMMYFUNCTION("""COMPUTED_VALUE"""),0.0)</f>
        <v>0</v>
      </c>
      <c r="L146" s="11"/>
    </row>
    <row r="147" ht="15.75" customHeight="1">
      <c r="A147" s="8" t="str">
        <f>IFERROR(__xludf.DUMMYFUNCTION("""COMPUTED_VALUE"""),"https://www.influencer-hero.com/fr/blogs/top-10-creative-agencies-in-germany")</f>
        <v>https://www.influencer-hero.com/fr/blogs/top-10-creative-agencies-in-germany</v>
      </c>
      <c r="B147" s="11" t="str">
        <f>IFERROR(__xludf.DUMMYFUNCTION("""COMPUTED_VALUE"""),"Top 10 agences créatives en Allemagne")</f>
        <v>Top 10 agences créatives en Allemagne</v>
      </c>
      <c r="C147" s="8" t="str">
        <f>IFERROR(__xludf.DUMMYFUNCTION("""COMPUTED_VALUE"""),"influencer-hero.com")</f>
        <v>influencer-hero.com</v>
      </c>
      <c r="D147" s="11" t="str">
        <f>IFERROR(__xludf.DUMMYFUNCTION("""COMPUTED_VALUE"""),"LISTICLE")</f>
        <v>LISTICLE</v>
      </c>
      <c r="E147" s="11" t="str">
        <f>IFERROR(__xludf.DUMMYFUNCTION("""COMPUTED_VALUE"""),"CORPORATE")</f>
        <v>CORPORATE</v>
      </c>
      <c r="F147" s="11" t="str">
        <f>IFERROR(__xludf.DUMMYFUNCTION("""COMPUTED_VALUE"""),"Listicle")</f>
        <v>Listicle</v>
      </c>
      <c r="G147" s="11" t="b">
        <f>IFERROR(__xludf.DUMMYFUNCTION("""COMPUTED_VALUE"""),FALSE)</f>
        <v>0</v>
      </c>
      <c r="H147" s="11" t="str">
        <f>IFERROR(__xludf.DUMMYFUNCTION("""COMPUTED_VALUE"""),"Jung von Matt, DDB Germany, Admiral Media, Mawave, Momentum, WPP")</f>
        <v>Jung von Matt, DDB Germany, Admiral Media, Mawave, Momentum, WPP</v>
      </c>
      <c r="I147" s="11">
        <f>IFERROR(__xludf.DUMMYFUNCTION("""COMPUTED_VALUE"""),10.0)</f>
        <v>10</v>
      </c>
      <c r="J147" s="11">
        <f>IFERROR(__xludf.DUMMYFUNCTION("""COMPUTED_VALUE"""),0.01)</f>
        <v>0.01</v>
      </c>
      <c r="K147" s="11">
        <f>IFERROR(__xludf.DUMMYFUNCTION("""COMPUTED_VALUE"""),0.0)</f>
        <v>0</v>
      </c>
      <c r="L147" s="11"/>
    </row>
    <row r="148" ht="15.75" customHeight="1">
      <c r="A148" s="8" t="str">
        <f>IFERROR(__xludf.DUMMYFUNCTION("""COMPUTED_VALUE"""),"https://www.influencer-hero.com/it/blogs/top-10-creative-agencies-in-germany")</f>
        <v>https://www.influencer-hero.com/it/blogs/top-10-creative-agencies-in-germany</v>
      </c>
      <c r="B148" s="11" t="str">
        <f>IFERROR(__xludf.DUMMYFUNCTION("""COMPUTED_VALUE"""),"Top 10 Agenzie Creative in Germania")</f>
        <v>Top 10 Agenzie Creative in Germania</v>
      </c>
      <c r="C148" s="8" t="str">
        <f>IFERROR(__xludf.DUMMYFUNCTION("""COMPUTED_VALUE"""),"influencer-hero.com")</f>
        <v>influencer-hero.com</v>
      </c>
      <c r="D148" s="11" t="str">
        <f>IFERROR(__xludf.DUMMYFUNCTION("""COMPUTED_VALUE"""),"LISTICLE")</f>
        <v>LISTICLE</v>
      </c>
      <c r="E148" s="11" t="str">
        <f>IFERROR(__xludf.DUMMYFUNCTION("""COMPUTED_VALUE"""),"CORPORATE")</f>
        <v>CORPORATE</v>
      </c>
      <c r="F148" s="11" t="str">
        <f>IFERROR(__xludf.DUMMYFUNCTION("""COMPUTED_VALUE"""),"Listicle")</f>
        <v>Listicle</v>
      </c>
      <c r="G148" s="11" t="b">
        <f>IFERROR(__xludf.DUMMYFUNCTION("""COMPUTED_VALUE"""),FALSE)</f>
        <v>0</v>
      </c>
      <c r="H148" s="11" t="str">
        <f>IFERROR(__xludf.DUMMYFUNCTION("""COMPUTED_VALUE"""),"Jung von Matt, DDB Germany, Admiral Media, Mawave, Momentum, WPP")</f>
        <v>Jung von Matt, DDB Germany, Admiral Media, Mawave, Momentum, WPP</v>
      </c>
      <c r="I148" s="11">
        <f>IFERROR(__xludf.DUMMYFUNCTION("""COMPUTED_VALUE"""),10.0)</f>
        <v>10</v>
      </c>
      <c r="J148" s="11">
        <f>IFERROR(__xludf.DUMMYFUNCTION("""COMPUTED_VALUE"""),0.01)</f>
        <v>0.01</v>
      </c>
      <c r="K148" s="11">
        <f>IFERROR(__xludf.DUMMYFUNCTION("""COMPUTED_VALUE"""),0.1)</f>
        <v>0.1</v>
      </c>
      <c r="L148" s="11"/>
    </row>
    <row r="149" ht="15.75" customHeight="1">
      <c r="A149" s="8" t="str">
        <f>IFERROR(__xludf.DUMMYFUNCTION("""COMPUTED_VALUE"""),"https://www.influencer-hero.com/it/blogs/top-facebook-advertising-agencies-in-germany")</f>
        <v>https://www.influencer-hero.com/it/blogs/top-facebook-advertising-agencies-in-germany</v>
      </c>
      <c r="B149" s="11" t="str">
        <f>IFERROR(__xludf.DUMMYFUNCTION("""COMPUTED_VALUE"""),"I top 10 agenzie pubblicitarie Facebook in Germania")</f>
        <v>I top 10 agenzie pubblicitarie Facebook in Germania</v>
      </c>
      <c r="C149" s="8" t="str">
        <f>IFERROR(__xludf.DUMMYFUNCTION("""COMPUTED_VALUE"""),"influencer-hero.com")</f>
        <v>influencer-hero.com</v>
      </c>
      <c r="D149" s="11" t="str">
        <f>IFERROR(__xludf.DUMMYFUNCTION("""COMPUTED_VALUE"""),"LISTICLE")</f>
        <v>LISTICLE</v>
      </c>
      <c r="E149" s="11" t="str">
        <f>IFERROR(__xludf.DUMMYFUNCTION("""COMPUTED_VALUE"""),"CORPORATE")</f>
        <v>CORPORATE</v>
      </c>
      <c r="F149" s="11" t="str">
        <f>IFERROR(__xludf.DUMMYFUNCTION("""COMPUTED_VALUE"""),"Listicle")</f>
        <v>Listicle</v>
      </c>
      <c r="G149" s="11" t="b">
        <f>IFERROR(__xludf.DUMMYFUNCTION("""COMPUTED_VALUE"""),FALSE)</f>
        <v>0</v>
      </c>
      <c r="H149" s="11" t="str">
        <f>IFERROR(__xludf.DUMMYFUNCTION("""COMPUTED_VALUE"""),"MONSOON, DREIKON, Social Media One, Globalist, Mawave")</f>
        <v>MONSOON, DREIKON, Social Media One, Globalist, Mawave</v>
      </c>
      <c r="I149" s="11">
        <f>IFERROR(__xludf.DUMMYFUNCTION("""COMPUTED_VALUE"""),10.0)</f>
        <v>10</v>
      </c>
      <c r="J149" s="11">
        <f>IFERROR(__xludf.DUMMYFUNCTION("""COMPUTED_VALUE"""),0.01)</f>
        <v>0.01</v>
      </c>
      <c r="K149" s="11">
        <f>IFERROR(__xludf.DUMMYFUNCTION("""COMPUTED_VALUE"""),0.0)</f>
        <v>0</v>
      </c>
      <c r="L149" s="11"/>
    </row>
    <row r="150" ht="15.75" customHeight="1">
      <c r="A150" s="8" t="str">
        <f>IFERROR(__xludf.DUMMYFUNCTION("""COMPUTED_VALUE"""),"https://lengreo.com/germany-dusseldorf-aeo-geo-llmo-companies/")</f>
        <v>https://lengreo.com/germany-dusseldorf-aeo-geo-llmo-companies/</v>
      </c>
      <c r="B150" s="11" t="str">
        <f>IFERROR(__xludf.DUMMYFUNCTION("""COMPUTED_VALUE"""),"Top AEO, GEO &amp;amp; LLMO Companies in Düsseldorf, Germany")</f>
        <v>Top AEO, GEO &amp;amp; LLMO Companies in Düsseldorf, Germany</v>
      </c>
      <c r="C150" s="8" t="str">
        <f>IFERROR(__xludf.DUMMYFUNCTION("""COMPUTED_VALUE"""),"lengreo.com")</f>
        <v>lengreo.com</v>
      </c>
      <c r="D150" s="11" t="str">
        <f>IFERROR(__xludf.DUMMYFUNCTION("""COMPUTED_VALUE"""),"LISTICLE")</f>
        <v>LISTICLE</v>
      </c>
      <c r="E150" s="11" t="str">
        <f>IFERROR(__xludf.DUMMYFUNCTION("""COMPUTED_VALUE"""),"CORPORATE")</f>
        <v>CORPORATE</v>
      </c>
      <c r="F150" s="11" t="str">
        <f>IFERROR(__xludf.DUMMYFUNCTION("""COMPUTED_VALUE"""),"Listicle")</f>
        <v>Listicle</v>
      </c>
      <c r="G150" s="11" t="b">
        <f>IFERROR(__xludf.DUMMYFUNCTION("""COMPUTED_VALUE"""),FALSE)</f>
        <v>0</v>
      </c>
      <c r="H150" s="11" t="str">
        <f>IFERROR(__xludf.DUMMYFUNCTION("""COMPUTED_VALUE"""),"Seeders, Baseplus DIGITAL MEDIA GmbH, Measured, Suchhelden")</f>
        <v>Seeders, Baseplus DIGITAL MEDIA GmbH, Measured, Suchhelden</v>
      </c>
      <c r="I150" s="11">
        <f>IFERROR(__xludf.DUMMYFUNCTION("""COMPUTED_VALUE"""),10.0)</f>
        <v>10</v>
      </c>
      <c r="J150" s="11">
        <f>IFERROR(__xludf.DUMMYFUNCTION("""COMPUTED_VALUE"""),0.01)</f>
        <v>0.01</v>
      </c>
      <c r="K150" s="11">
        <f>IFERROR(__xludf.DUMMYFUNCTION("""COMPUTED_VALUE"""),0.9)</f>
        <v>0.9</v>
      </c>
      <c r="L150" s="11"/>
    </row>
    <row r="151" ht="15.75" customHeight="1">
      <c r="A151" s="8" t="str">
        <f>IFERROR(__xludf.DUMMYFUNCTION("""COMPUTED_VALUE"""),"https://www.marketing-companies-in-germany.com/google-ads")</f>
        <v>https://www.marketing-companies-in-germany.com/google-ads</v>
      </c>
      <c r="B151" s="11" t="str">
        <f>IFERROR(__xludf.DUMMYFUNCTION("""COMPUTED_VALUE"""),"The best Google Ads Agencies")</f>
        <v>The best Google Ads Agencies</v>
      </c>
      <c r="C151" s="8" t="str">
        <f>IFERROR(__xludf.DUMMYFUNCTION("""COMPUTED_VALUE"""),"marketing-companies-in-germany.com")</f>
        <v>marketing-companies-in-germany.com</v>
      </c>
      <c r="D151" s="11" t="str">
        <f>IFERROR(__xludf.DUMMYFUNCTION("""COMPUTED_VALUE"""),"CATEGORY_PAGE")</f>
        <v>CATEGORY_PAGE</v>
      </c>
      <c r="E151" s="11" t="str">
        <f>IFERROR(__xludf.DUMMYFUNCTION("""COMPUTED_VALUE"""),"CORPORATE")</f>
        <v>CORPORATE</v>
      </c>
      <c r="F151" s="11" t="str">
        <f>IFERROR(__xludf.DUMMYFUNCTION("""COMPUTED_VALUE"""),"Category Page")</f>
        <v>Category Page</v>
      </c>
      <c r="G151" s="11" t="b">
        <f>IFERROR(__xludf.DUMMYFUNCTION("""COMPUTED_VALUE"""),FALSE)</f>
        <v>0</v>
      </c>
      <c r="H151" s="11" t="str">
        <f>IFERROR(__xludf.DUMMYFUNCTION("""COMPUTED_VALUE"""),"MONSOON, Mediacharge, Measured, eMinded GmbH")</f>
        <v>MONSOON, Mediacharge, Measured, eMinded GmbH</v>
      </c>
      <c r="I151" s="11">
        <f>IFERROR(__xludf.DUMMYFUNCTION("""COMPUTED_VALUE"""),10.0)</f>
        <v>10</v>
      </c>
      <c r="J151" s="11">
        <f>IFERROR(__xludf.DUMMYFUNCTION("""COMPUTED_VALUE"""),0.01)</f>
        <v>0.01</v>
      </c>
      <c r="K151" s="11">
        <f>IFERROR(__xludf.DUMMYFUNCTION("""COMPUTED_VALUE"""),0.0)</f>
        <v>0</v>
      </c>
      <c r="L151" s="11"/>
    </row>
    <row r="152" ht="15.75" customHeight="1">
      <c r="A152" s="8" t="str">
        <f>IFERROR(__xludf.DUMMYFUNCTION("""COMPUTED_VALUE"""),"https://orm-tech.com/blog/best-marketing-attribution-software/")</f>
        <v>https://orm-tech.com/blog/best-marketing-attribution-software/</v>
      </c>
      <c r="B152" s="11" t="str">
        <f>IFERROR(__xludf.DUMMYFUNCTION("""COMPUTED_VALUE"""),"9 Best Marketing Attribution Software for B2B (2026) | ORM")</f>
        <v>9 Best Marketing Attribution Software for B2B (2026) | ORM</v>
      </c>
      <c r="C152" s="8" t="str">
        <f>IFERROR(__xludf.DUMMYFUNCTION("""COMPUTED_VALUE"""),"orm-tech.com")</f>
        <v>orm-tech.com</v>
      </c>
      <c r="D152" s="11" t="str">
        <f>IFERROR(__xludf.DUMMYFUNCTION("""COMPUTED_VALUE"""),"LISTICLE")</f>
        <v>LISTICLE</v>
      </c>
      <c r="E152" s="11" t="str">
        <f>IFERROR(__xludf.DUMMYFUNCTION("""COMPUTED_VALUE"""),"CORPORATE")</f>
        <v>CORPORATE</v>
      </c>
      <c r="F152" s="11" t="str">
        <f>IFERROR(__xludf.DUMMYFUNCTION("""COMPUTED_VALUE"""),"Listicle")</f>
        <v>Listicle</v>
      </c>
      <c r="G152" s="11" t="b">
        <f>IFERROR(__xludf.DUMMYFUNCTION("""COMPUTED_VALUE"""),FALSE)</f>
        <v>0</v>
      </c>
      <c r="H152" s="11" t="str">
        <f>IFERROR(__xludf.DUMMYFUNCTION("""COMPUTED_VALUE"""),"Dreamdata")</f>
        <v>Dreamdata</v>
      </c>
      <c r="I152" s="11">
        <f>IFERROR(__xludf.DUMMYFUNCTION("""COMPUTED_VALUE"""),10.0)</f>
        <v>10</v>
      </c>
      <c r="J152" s="11">
        <f>IFERROR(__xludf.DUMMYFUNCTION("""COMPUTED_VALUE"""),0.01)</f>
        <v>0.01</v>
      </c>
      <c r="K152" s="11">
        <f>IFERROR(__xludf.DUMMYFUNCTION("""COMPUTED_VALUE"""),0.1)</f>
        <v>0.1</v>
      </c>
      <c r="L152" s="11"/>
    </row>
    <row r="153" ht="15.75" customHeight="1">
      <c r="A153" s="8" t="str">
        <f>IFERROR(__xludf.DUMMYFUNCTION("""COMPUTED_VALUE"""),"https://www.rankshift.ai/blog/best-geo-agencies/")</f>
        <v>https://www.rankshift.ai/blog/best-geo-agencies/</v>
      </c>
      <c r="B153" s="11" t="str">
        <f>IFERROR(__xludf.DUMMYFUNCTION("""COMPUTED_VALUE"""),"20 Best GEO Agencies in 2026 for Generative Engine Optimization")</f>
        <v>20 Best GEO Agencies in 2026 for Generative Engine Optimization</v>
      </c>
      <c r="C153" s="8" t="str">
        <f>IFERROR(__xludf.DUMMYFUNCTION("""COMPUTED_VALUE"""),"rankshift.ai")</f>
        <v>rankshift.ai</v>
      </c>
      <c r="D153" s="11" t="str">
        <f>IFERROR(__xludf.DUMMYFUNCTION("""COMPUTED_VALUE"""),"LISTICLE")</f>
        <v>LISTICLE</v>
      </c>
      <c r="E153" s="11" t="str">
        <f>IFERROR(__xludf.DUMMYFUNCTION("""COMPUTED_VALUE"""),"CORPORATE")</f>
        <v>CORPORATE</v>
      </c>
      <c r="F153" s="11" t="str">
        <f>IFERROR(__xludf.DUMMYFUNCTION("""COMPUTED_VALUE"""),"Listicle")</f>
        <v>Listicle</v>
      </c>
      <c r="G153" s="11" t="b">
        <f>IFERROR(__xludf.DUMMYFUNCTION("""COMPUTED_VALUE"""),FALSE)</f>
        <v>0</v>
      </c>
      <c r="H153" s="11" t="str">
        <f>IFERROR(__xludf.DUMMYFUNCTION("""COMPUTED_VALUE"""),"iPullRank, Omnius, WebFX")</f>
        <v>iPullRank, Omnius, WebFX</v>
      </c>
      <c r="I153" s="11">
        <f>IFERROR(__xludf.DUMMYFUNCTION("""COMPUTED_VALUE"""),10.0)</f>
        <v>10</v>
      </c>
      <c r="J153" s="11">
        <f>IFERROR(__xludf.DUMMYFUNCTION("""COMPUTED_VALUE"""),0.01)</f>
        <v>0.01</v>
      </c>
      <c r="K153" s="11">
        <f>IFERROR(__xludf.DUMMYFUNCTION("""COMPUTED_VALUE"""),0.0)</f>
        <v>0</v>
      </c>
      <c r="L153" s="11"/>
    </row>
    <row r="154" ht="15.75" customHeight="1">
      <c r="A154" s="8" t="str">
        <f>IFERROR(__xludf.DUMMYFUNCTION("""COMPUTED_VALUE"""),"https://www.sortlist.com/marketing-analytics")</f>
        <v>https://www.sortlist.com/marketing-analytics</v>
      </c>
      <c r="B154" s="11" t="str">
        <f>IFERROR(__xludf.DUMMYFUNCTION("""COMPUTED_VALUE"""),"The 100 Best Marketing Analytics Companies - 2026 Reviews")</f>
        <v>The 100 Best Marketing Analytics Companies - 2026 Reviews</v>
      </c>
      <c r="C154" s="8" t="str">
        <f>IFERROR(__xludf.DUMMYFUNCTION("""COMPUTED_VALUE"""),"sortlist.com")</f>
        <v>sortlist.com</v>
      </c>
      <c r="D154" s="11" t="str">
        <f>IFERROR(__xludf.DUMMYFUNCTION("""COMPUTED_VALUE"""),"CATEGORY_PAGE")</f>
        <v>CATEGORY_PAGE</v>
      </c>
      <c r="E154" s="11" t="str">
        <f>IFERROR(__xludf.DUMMYFUNCTION("""COMPUTED_VALUE"""),"CORPORATE")</f>
        <v>CORPORATE</v>
      </c>
      <c r="F154" s="11" t="str">
        <f>IFERROR(__xludf.DUMMYFUNCTION("""COMPUTED_VALUE"""),"Category Page")</f>
        <v>Category Page</v>
      </c>
      <c r="G154" s="11" t="b">
        <f>IFERROR(__xludf.DUMMYFUNCTION("""COMPUTED_VALUE"""),FALSE)</f>
        <v>0</v>
      </c>
      <c r="H154" s="11" t="str">
        <f>IFERROR(__xludf.DUMMYFUNCTION("""COMPUTED_VALUE"""),"lehof, MONSOON")</f>
        <v>lehof, MONSOON</v>
      </c>
      <c r="I154" s="11">
        <f>IFERROR(__xludf.DUMMYFUNCTION("""COMPUTED_VALUE"""),10.0)</f>
        <v>10</v>
      </c>
      <c r="J154" s="11">
        <f>IFERROR(__xludf.DUMMYFUNCTION("""COMPUTED_VALUE"""),0.01)</f>
        <v>0.01</v>
      </c>
      <c r="K154" s="11">
        <f>IFERROR(__xludf.DUMMYFUNCTION("""COMPUTED_VALUE"""),0.0)</f>
        <v>0</v>
      </c>
      <c r="L154" s="11"/>
    </row>
    <row r="155" ht="15.75" customHeight="1">
      <c r="A155" s="8" t="str">
        <f>IFERROR(__xludf.DUMMYFUNCTION("""COMPUTED_VALUE"""),"https://www.sortlist.com/paid-media")</f>
        <v>https://www.sortlist.com/paid-media</v>
      </c>
      <c r="B155" s="11" t="str">
        <f>IFERROR(__xludf.DUMMYFUNCTION("""COMPUTED_VALUE"""),"The 100 Best Paid Media Agencies - 2026 Reviews")</f>
        <v>The 100 Best Paid Media Agencies - 2026 Reviews</v>
      </c>
      <c r="C155" s="8" t="str">
        <f>IFERROR(__xludf.DUMMYFUNCTION("""COMPUTED_VALUE"""),"sortlist.com")</f>
        <v>sortlist.com</v>
      </c>
      <c r="D155" s="11" t="str">
        <f>IFERROR(__xludf.DUMMYFUNCTION("""COMPUTED_VALUE"""),"CATEGORY_PAGE")</f>
        <v>CATEGORY_PAGE</v>
      </c>
      <c r="E155" s="11" t="str">
        <f>IFERROR(__xludf.DUMMYFUNCTION("""COMPUTED_VALUE"""),"CORPORATE")</f>
        <v>CORPORATE</v>
      </c>
      <c r="F155" s="11" t="str">
        <f>IFERROR(__xludf.DUMMYFUNCTION("""COMPUTED_VALUE"""),"Category Page")</f>
        <v>Category Page</v>
      </c>
      <c r="G155" s="11" t="b">
        <f>IFERROR(__xludf.DUMMYFUNCTION("""COMPUTED_VALUE"""),FALSE)</f>
        <v>0</v>
      </c>
      <c r="H155" s="11" t="str">
        <f>IFERROR(__xludf.DUMMYFUNCTION("""COMPUTED_VALUE"""),"lehof, Measured, MONSOON, Triple Whale, Northbeam, Dreamdata")</f>
        <v>lehof, Measured, MONSOON, Triple Whale, Northbeam, Dreamdata</v>
      </c>
      <c r="I155" s="11">
        <f>IFERROR(__xludf.DUMMYFUNCTION("""COMPUTED_VALUE"""),10.0)</f>
        <v>10</v>
      </c>
      <c r="J155" s="11">
        <f>IFERROR(__xludf.DUMMYFUNCTION("""COMPUTED_VALUE"""),0.01)</f>
        <v>0.01</v>
      </c>
      <c r="K155" s="11">
        <f>IFERROR(__xludf.DUMMYFUNCTION("""COMPUTED_VALUE"""),0.0)</f>
        <v>0</v>
      </c>
      <c r="L155" s="11"/>
    </row>
    <row r="156" ht="15.75" customHeight="1">
      <c r="A156" s="8" t="str">
        <f>IFERROR(__xludf.DUMMYFUNCTION("""COMPUTED_VALUE"""),"https://sourceforge.net/software/marketing-attribution/germany/?page=4")</f>
        <v>https://sourceforge.net/software/marketing-attribution/germany/?page=4</v>
      </c>
      <c r="B156" s="11" t="str">
        <f>IFERROR(__xludf.DUMMYFUNCTION("""COMPUTED_VALUE"""),"Page 4 | Best Marketing Attribution Software in Germany of 2026 - Reviews &amp;amp; Comparison")</f>
        <v>Page 4 | Best Marketing Attribution Software in Germany of 2026 - Reviews &amp;amp; Comparison</v>
      </c>
      <c r="C156" s="8" t="str">
        <f>IFERROR(__xludf.DUMMYFUNCTION("""COMPUTED_VALUE"""),"sourceforge.net")</f>
        <v>sourceforge.net</v>
      </c>
      <c r="D156" s="11" t="str">
        <f>IFERROR(__xludf.DUMMYFUNCTION("""COMPUTED_VALUE"""),"CATEGORY_PAGE")</f>
        <v>CATEGORY_PAGE</v>
      </c>
      <c r="E156" s="11" t="str">
        <f>IFERROR(__xludf.DUMMYFUNCTION("""COMPUTED_VALUE"""),"OTHER")</f>
        <v>OTHER</v>
      </c>
      <c r="F156" s="11" t="str">
        <f>IFERROR(__xludf.DUMMYFUNCTION("""COMPUTED_VALUE"""),"Category Page")</f>
        <v>Category Page</v>
      </c>
      <c r="G156" s="11" t="b">
        <f>IFERROR(__xludf.DUMMYFUNCTION("""COMPUTED_VALUE"""),FALSE)</f>
        <v>0</v>
      </c>
      <c r="H156" s="11" t="str">
        <f>IFERROR(__xludf.DUMMYFUNCTION("""COMPUTED_VALUE"""),"Rockerbox, Nielsen, Recast, Tinuiti")</f>
        <v>Rockerbox, Nielsen, Recast, Tinuiti</v>
      </c>
      <c r="I156" s="11">
        <f>IFERROR(__xludf.DUMMYFUNCTION("""COMPUTED_VALUE"""),10.0)</f>
        <v>10</v>
      </c>
      <c r="J156" s="11">
        <f>IFERROR(__xludf.DUMMYFUNCTION("""COMPUTED_VALUE"""),0.01)</f>
        <v>0.01</v>
      </c>
      <c r="K156" s="11">
        <f>IFERROR(__xludf.DUMMYFUNCTION("""COMPUTED_VALUE"""),0.1)</f>
        <v>0.1</v>
      </c>
      <c r="L156" s="11"/>
    </row>
    <row r="157" ht="15.75" customHeight="1">
      <c r="A157" s="8" t="str">
        <f>IFERROR(__xludf.DUMMYFUNCTION("""COMPUTED_VALUE"""),"https://topgeoagencies.com/")</f>
        <v>https://topgeoagencies.com/</v>
      </c>
      <c r="B157" s="11" t="str">
        <f>IFERROR(__xludf.DUMMYFUNCTION("""COMPUTED_VALUE"""),"The GEO 250 — Best Generative Engine Optimization (GEO) Agencies | TopGEOAgencies.com")</f>
        <v>The GEO 250 — Best Generative Engine Optimization (GEO) Agencies | TopGEOAgencies.com</v>
      </c>
      <c r="C157" s="8" t="str">
        <f>IFERROR(__xludf.DUMMYFUNCTION("""COMPUTED_VALUE"""),"topgeoagencies.com")</f>
        <v>topgeoagencies.com</v>
      </c>
      <c r="D157" s="11" t="str">
        <f>IFERROR(__xludf.DUMMYFUNCTION("""COMPUTED_VALUE"""),"HOMEPAGE")</f>
        <v>HOMEPAGE</v>
      </c>
      <c r="E157" s="11" t="str">
        <f>IFERROR(__xludf.DUMMYFUNCTION("""COMPUTED_VALUE"""),"CORPORATE")</f>
        <v>CORPORATE</v>
      </c>
      <c r="F157" s="11" t="str">
        <f>IFERROR(__xludf.DUMMYFUNCTION("""COMPUTED_VALUE"""),"Homepage")</f>
        <v>Homepage</v>
      </c>
      <c r="G157" s="11" t="b">
        <f>IFERROR(__xludf.DUMMYFUNCTION("""COMPUTED_VALUE"""),FALSE)</f>
        <v>0</v>
      </c>
      <c r="H157" s="11" t="str">
        <f>IFERROR(__xludf.DUMMYFUNCTION("""COMPUTED_VALUE"""),"Siege Media, iPullRank")</f>
        <v>Siege Media, iPullRank</v>
      </c>
      <c r="I157" s="11">
        <f>IFERROR(__xludf.DUMMYFUNCTION("""COMPUTED_VALUE"""),10.0)</f>
        <v>10</v>
      </c>
      <c r="J157" s="11">
        <f>IFERROR(__xludf.DUMMYFUNCTION("""COMPUTED_VALUE"""),0.01)</f>
        <v>0.01</v>
      </c>
      <c r="K157" s="11">
        <f>IFERROR(__xludf.DUMMYFUNCTION("""COMPUTED_VALUE"""),0.0)</f>
        <v>0</v>
      </c>
      <c r="L157" s="11"/>
    </row>
    <row r="158" ht="15.75" customHeight="1">
      <c r="A158" s="8" t="str">
        <f>IFERROR(__xludf.DUMMYFUNCTION("""COMPUTED_VALUE"""),"https://aeo-copilot.com/partners/agencies/germany")</f>
        <v>https://aeo-copilot.com/partners/agencies/germany</v>
      </c>
      <c r="B158" s="11" t="str">
        <f>IFERROR(__xludf.DUMMYFUNCTION("""COMPUTED_VALUE"""),"Best AEO Agencies in Germany — AI Visibility Experts | AEO Copilot")</f>
        <v>Best AEO Agencies in Germany — AI Visibility Experts | AEO Copilot</v>
      </c>
      <c r="C158" s="8" t="str">
        <f>IFERROR(__xludf.DUMMYFUNCTION("""COMPUTED_VALUE"""),"aeo-copilot.com")</f>
        <v>aeo-copilot.com</v>
      </c>
      <c r="D158" s="11" t="str">
        <f>IFERROR(__xludf.DUMMYFUNCTION("""COMPUTED_VALUE"""),"OTHER")</f>
        <v>OTHER</v>
      </c>
      <c r="E158" s="11" t="str">
        <f>IFERROR(__xludf.DUMMYFUNCTION("""COMPUTED_VALUE"""),"CORPORATE")</f>
        <v>CORPORATE</v>
      </c>
      <c r="F158" s="11" t="str">
        <f>IFERROR(__xludf.DUMMYFUNCTION("""COMPUTED_VALUE"""),"Other")</f>
        <v>Other</v>
      </c>
      <c r="G158" s="11" t="b">
        <f>IFERROR(__xludf.DUMMYFUNCTION("""COMPUTED_VALUE"""),FALSE)</f>
        <v>0</v>
      </c>
      <c r="H158" s="11"/>
      <c r="I158" s="11">
        <f>IFERROR(__xludf.DUMMYFUNCTION("""COMPUTED_VALUE"""),9.0)</f>
        <v>9</v>
      </c>
      <c r="J158" s="11">
        <f>IFERROR(__xludf.DUMMYFUNCTION("""COMPUTED_VALUE"""),0.01)</f>
        <v>0.01</v>
      </c>
      <c r="K158" s="11">
        <f>IFERROR(__xludf.DUMMYFUNCTION("""COMPUTED_VALUE"""),0.44)</f>
        <v>0.44</v>
      </c>
      <c r="L158" s="11"/>
    </row>
    <row r="159" ht="15.75" customHeight="1">
      <c r="A159" s="8" t="str">
        <f>IFERROR(__xludf.DUMMYFUNCTION("""COMPUTED_VALUE"""),"https://agencies.semrush.com/list/ai-optimization/germany/small-business/")</f>
        <v>https://agencies.semrush.com/list/ai-optimization/germany/small-business/</v>
      </c>
      <c r="B159" s="11" t="str">
        <f>IFERROR(__xludf.DUMMYFUNCTION("""COMPUTED_VALUE"""),"Best AI Search Optimization Agencies for Small Business in Germany 2026 | Semrush")</f>
        <v>Best AI Search Optimization Agencies for Small Business in Germany 2026 | Semrush</v>
      </c>
      <c r="C159" s="8" t="str">
        <f>IFERROR(__xludf.DUMMYFUNCTION("""COMPUTED_VALUE"""),"semrush.com")</f>
        <v>semrush.com</v>
      </c>
      <c r="D159" s="11" t="str">
        <f>IFERROR(__xludf.DUMMYFUNCTION("""COMPUTED_VALUE"""),"CATEGORY_PAGE")</f>
        <v>CATEGORY_PAGE</v>
      </c>
      <c r="E159" s="11" t="str">
        <f>IFERROR(__xludf.DUMMYFUNCTION("""COMPUTED_VALUE"""),"CORPORATE")</f>
        <v>CORPORATE</v>
      </c>
      <c r="F159" s="11" t="str">
        <f>IFERROR(__xludf.DUMMYFUNCTION("""COMPUTED_VALUE"""),"Category Page")</f>
        <v>Category Page</v>
      </c>
      <c r="G159" s="11" t="b">
        <f>IFERROR(__xludf.DUMMYFUNCTION("""COMPUTED_VALUE"""),FALSE)</f>
        <v>0</v>
      </c>
      <c r="H159" s="11" t="str">
        <f>IFERROR(__xludf.DUMMYFUNCTION("""COMPUTED_VALUE"""),"HECHT INS GEFECHT, Mediaplus Performance")</f>
        <v>HECHT INS GEFECHT, Mediaplus Performance</v>
      </c>
      <c r="I159" s="11">
        <f>IFERROR(__xludf.DUMMYFUNCTION("""COMPUTED_VALUE"""),9.0)</f>
        <v>9</v>
      </c>
      <c r="J159" s="11">
        <f>IFERROR(__xludf.DUMMYFUNCTION("""COMPUTED_VALUE"""),0.01)</f>
        <v>0.01</v>
      </c>
      <c r="K159" s="11">
        <f>IFERROR(__xludf.DUMMYFUNCTION("""COMPUTED_VALUE"""),0.33)</f>
        <v>0.33</v>
      </c>
      <c r="L159" s="11"/>
    </row>
    <row r="160" ht="15.75" customHeight="1">
      <c r="A160" s="8" t="str">
        <f>IFERROR(__xludf.DUMMYFUNCTION("""COMPUTED_VALUE"""),"https://aijourn.com/top-ai-driven-amazon-marketing-agencies-in-germany-2026/")</f>
        <v>https://aijourn.com/top-ai-driven-amazon-marketing-agencies-in-germany-2026/</v>
      </c>
      <c r="B160" s="11" t="str">
        <f>IFERROR(__xludf.DUMMYFUNCTION("""COMPUTED_VALUE"""),"Top AI-Driven Amazon Marketing Agencies in Germany (2026) | The AI Journal")</f>
        <v>Top AI-Driven Amazon Marketing Agencies in Germany (2026) | The AI Journal</v>
      </c>
      <c r="C160" s="8" t="str">
        <f>IFERROR(__xludf.DUMMYFUNCTION("""COMPUTED_VALUE"""),"aijourn.com")</f>
        <v>aijourn.com</v>
      </c>
      <c r="D160" s="11" t="str">
        <f>IFERROR(__xludf.DUMMYFUNCTION("""COMPUTED_VALUE"""),"COMPARISON")</f>
        <v>COMPARISON</v>
      </c>
      <c r="E160" s="11" t="str">
        <f>IFERROR(__xludf.DUMMYFUNCTION("""COMPUTED_VALUE"""),"OTHER")</f>
        <v>OTHER</v>
      </c>
      <c r="F160" s="11" t="str">
        <f>IFERROR(__xludf.DUMMYFUNCTION("""COMPUTED_VALUE"""),"Comparison")</f>
        <v>Comparison</v>
      </c>
      <c r="G160" s="11" t="b">
        <f>IFERROR(__xludf.DUMMYFUNCTION("""COMPUTED_VALUE"""),FALSE)</f>
        <v>0</v>
      </c>
      <c r="H160" s="11"/>
      <c r="I160" s="11">
        <f>IFERROR(__xludf.DUMMYFUNCTION("""COMPUTED_VALUE"""),9.0)</f>
        <v>9</v>
      </c>
      <c r="J160" s="11">
        <f>IFERROR(__xludf.DUMMYFUNCTION("""COMPUTED_VALUE"""),0.01)</f>
        <v>0.01</v>
      </c>
      <c r="K160" s="11">
        <f>IFERROR(__xludf.DUMMYFUNCTION("""COMPUTED_VALUE"""),0.56)</f>
        <v>0.56</v>
      </c>
      <c r="L160" s="11"/>
    </row>
    <row r="161" ht="15.75" customHeight="1">
      <c r="A161" s="8" t="str">
        <f>IFERROR(__xludf.DUMMYFUNCTION("""COMPUTED_VALUE"""),"https://www.brandcrock.com/ai-services/")</f>
        <v>https://www.brandcrock.com/ai-services/</v>
      </c>
      <c r="B161" s="11" t="str">
        <f>IFERROR(__xludf.DUMMYFUNCTION("""COMPUTED_VALUE"""),"Best AI &amp; Automation Agency in Germany")</f>
        <v>Best AI &amp; Automation Agency in Germany</v>
      </c>
      <c r="C161" s="8" t="str">
        <f>IFERROR(__xludf.DUMMYFUNCTION("""COMPUTED_VALUE"""),"brandcrock.com")</f>
        <v>brandcrock.com</v>
      </c>
      <c r="D161" s="11" t="str">
        <f>IFERROR(__xludf.DUMMYFUNCTION("""COMPUTED_VALUE"""),"CATEGORY_PAGE")</f>
        <v>CATEGORY_PAGE</v>
      </c>
      <c r="E161" s="11" t="str">
        <f>IFERROR(__xludf.DUMMYFUNCTION("""COMPUTED_VALUE"""),"OTHER")</f>
        <v>OTHER</v>
      </c>
      <c r="F161" s="11" t="str">
        <f>IFERROR(__xludf.DUMMYFUNCTION("""COMPUTED_VALUE"""),"Category Page")</f>
        <v>Category Page</v>
      </c>
      <c r="G161" s="11" t="b">
        <f>IFERROR(__xludf.DUMMYFUNCTION("""COMPUTED_VALUE"""),FALSE)</f>
        <v>0</v>
      </c>
      <c r="H161" s="11"/>
      <c r="I161" s="11">
        <f>IFERROR(__xludf.DUMMYFUNCTION("""COMPUTED_VALUE"""),9.0)</f>
        <v>9</v>
      </c>
      <c r="J161" s="11">
        <f>IFERROR(__xludf.DUMMYFUNCTION("""COMPUTED_VALUE"""),0.01)</f>
        <v>0.01</v>
      </c>
      <c r="K161" s="11">
        <f>IFERROR(__xludf.DUMMYFUNCTION("""COMPUTED_VALUE"""),0.11)</f>
        <v>0.11</v>
      </c>
      <c r="L161" s="11"/>
    </row>
    <row r="162" ht="15.75" customHeight="1">
      <c r="A162" s="8" t="str">
        <f>IFERROR(__xludf.DUMMYFUNCTION("""COMPUTED_VALUE"""),"https://www.ekipa.ai/ekipa-labs/end-to-end-ai-consulting-companies")</f>
        <v>https://www.ekipa.ai/ekipa-labs/end-to-end-ai-consulting-companies</v>
      </c>
      <c r="B162" s="11" t="str">
        <f>IFERROR(__xludf.DUMMYFUNCTION("""COMPUTED_VALUE"""),"Top End-to-End AI Consulting Companies in Germany")</f>
        <v>Top End-to-End AI Consulting Companies in Germany</v>
      </c>
      <c r="C162" s="8" t="str">
        <f>IFERROR(__xludf.DUMMYFUNCTION("""COMPUTED_VALUE"""),"ekipa.ai")</f>
        <v>ekipa.ai</v>
      </c>
      <c r="D162" s="11" t="str">
        <f>IFERROR(__xludf.DUMMYFUNCTION("""COMPUTED_VALUE"""),"LISTICLE")</f>
        <v>LISTICLE</v>
      </c>
      <c r="E162" s="11" t="str">
        <f>IFERROR(__xludf.DUMMYFUNCTION("""COMPUTED_VALUE"""),"CORPORATE")</f>
        <v>CORPORATE</v>
      </c>
      <c r="F162" s="11" t="str">
        <f>IFERROR(__xludf.DUMMYFUNCTION("""COMPUTED_VALUE"""),"Listicle")</f>
        <v>Listicle</v>
      </c>
      <c r="G162" s="11" t="b">
        <f>IFERROR(__xludf.DUMMYFUNCTION("""COMPUTED_VALUE"""),FALSE)</f>
        <v>0</v>
      </c>
      <c r="H162" s="11" t="str">
        <f>IFERROR(__xludf.DUMMYFUNCTION("""COMPUTED_VALUE"""),"Pilot")</f>
        <v>Pilot</v>
      </c>
      <c r="I162" s="11">
        <f>IFERROR(__xludf.DUMMYFUNCTION("""COMPUTED_VALUE"""),9.0)</f>
        <v>9</v>
      </c>
      <c r="J162" s="11">
        <f>IFERROR(__xludf.DUMMYFUNCTION("""COMPUTED_VALUE"""),0.01)</f>
        <v>0.01</v>
      </c>
      <c r="K162" s="11">
        <f>IFERROR(__xludf.DUMMYFUNCTION("""COMPUTED_VALUE"""),0.11)</f>
        <v>0.11</v>
      </c>
      <c r="L162" s="11"/>
    </row>
    <row r="163" ht="15.75" customHeight="1">
      <c r="A163" s="8" t="str">
        <f>IFERROR(__xludf.DUMMYFUNCTION("""COMPUTED_VALUE"""),"https://www.influencer-hero.com/de/blogs/top-10-creative-agencies-in-germany")</f>
        <v>https://www.influencer-hero.com/de/blogs/top-10-creative-agencies-in-germany</v>
      </c>
      <c r="B163" s="11" t="str">
        <f>IFERROR(__xludf.DUMMYFUNCTION("""COMPUTED_VALUE"""),"Top 10 Creative Agenturen in Deutschland")</f>
        <v>Top 10 Creative Agenturen in Deutschland</v>
      </c>
      <c r="C163" s="8" t="str">
        <f>IFERROR(__xludf.DUMMYFUNCTION("""COMPUTED_VALUE"""),"influencer-hero.com")</f>
        <v>influencer-hero.com</v>
      </c>
      <c r="D163" s="11" t="str">
        <f>IFERROR(__xludf.DUMMYFUNCTION("""COMPUTED_VALUE"""),"LISTICLE")</f>
        <v>LISTICLE</v>
      </c>
      <c r="E163" s="11" t="str">
        <f>IFERROR(__xludf.DUMMYFUNCTION("""COMPUTED_VALUE"""),"CORPORATE")</f>
        <v>CORPORATE</v>
      </c>
      <c r="F163" s="11" t="str">
        <f>IFERROR(__xludf.DUMMYFUNCTION("""COMPUTED_VALUE"""),"Listicle")</f>
        <v>Listicle</v>
      </c>
      <c r="G163" s="11" t="b">
        <f>IFERROR(__xludf.DUMMYFUNCTION("""COMPUTED_VALUE"""),FALSE)</f>
        <v>0</v>
      </c>
      <c r="H163" s="11" t="str">
        <f>IFERROR(__xludf.DUMMYFUNCTION("""COMPUTED_VALUE"""),"Jung von Matt, DDB Germany, Admiral Media, Mawave, Momentum, WPP")</f>
        <v>Jung von Matt, DDB Germany, Admiral Media, Mawave, Momentum, WPP</v>
      </c>
      <c r="I163" s="11">
        <f>IFERROR(__xludf.DUMMYFUNCTION("""COMPUTED_VALUE"""),9.0)</f>
        <v>9</v>
      </c>
      <c r="J163" s="11">
        <f>IFERROR(__xludf.DUMMYFUNCTION("""COMPUTED_VALUE"""),0.01)</f>
        <v>0.01</v>
      </c>
      <c r="K163" s="11">
        <f>IFERROR(__xludf.DUMMYFUNCTION("""COMPUTED_VALUE"""),0.0)</f>
        <v>0</v>
      </c>
      <c r="L163" s="11"/>
    </row>
    <row r="164" ht="15.75" customHeight="1">
      <c r="A164" s="8" t="str">
        <f>IFERROR(__xludf.DUMMYFUNCTION("""COMPUTED_VALUE"""),"https://www.influencer-hero.com/fr/blogs/top-facebook-advertising-agencies-in-germany")</f>
        <v>https://www.influencer-hero.com/fr/blogs/top-facebook-advertising-agencies-in-germany</v>
      </c>
      <c r="B164" s="11" t="str">
        <f>IFERROR(__xludf.DUMMYFUNCTION("""COMPUTED_VALUE"""),"Top 10 agences de publicité Facebook en Allemagne")</f>
        <v>Top 10 agences de publicité Facebook en Allemagne</v>
      </c>
      <c r="C164" s="8" t="str">
        <f>IFERROR(__xludf.DUMMYFUNCTION("""COMPUTED_VALUE"""),"influencer-hero.com")</f>
        <v>influencer-hero.com</v>
      </c>
      <c r="D164" s="11" t="str">
        <f>IFERROR(__xludf.DUMMYFUNCTION("""COMPUTED_VALUE"""),"LISTICLE")</f>
        <v>LISTICLE</v>
      </c>
      <c r="E164" s="11" t="str">
        <f>IFERROR(__xludf.DUMMYFUNCTION("""COMPUTED_VALUE"""),"CORPORATE")</f>
        <v>CORPORATE</v>
      </c>
      <c r="F164" s="11" t="str">
        <f>IFERROR(__xludf.DUMMYFUNCTION("""COMPUTED_VALUE"""),"Listicle")</f>
        <v>Listicle</v>
      </c>
      <c r="G164" s="11" t="b">
        <f>IFERROR(__xludf.DUMMYFUNCTION("""COMPUTED_VALUE"""),FALSE)</f>
        <v>0</v>
      </c>
      <c r="H164" s="11" t="str">
        <f>IFERROR(__xludf.DUMMYFUNCTION("""COMPUTED_VALUE"""),"MONSOON, DREIKON, Social Media One, Globalist, Mawave")</f>
        <v>MONSOON, DREIKON, Social Media One, Globalist, Mawave</v>
      </c>
      <c r="I164" s="11">
        <f>IFERROR(__xludf.DUMMYFUNCTION("""COMPUTED_VALUE"""),9.0)</f>
        <v>9</v>
      </c>
      <c r="J164" s="11">
        <f>IFERROR(__xludf.DUMMYFUNCTION("""COMPUTED_VALUE"""),0.01)</f>
        <v>0.01</v>
      </c>
      <c r="K164" s="11">
        <f>IFERROR(__xludf.DUMMYFUNCTION("""COMPUTED_VALUE"""),0.44)</f>
        <v>0.44</v>
      </c>
      <c r="L164" s="11"/>
    </row>
    <row r="165" ht="15.75" customHeight="1">
      <c r="A165" s="8" t="str">
        <f>IFERROR(__xludf.DUMMYFUNCTION("""COMPUTED_VALUE"""),"https://intentcliq.com/google-ads-agencies-in-germany/")</f>
        <v>https://intentcliq.com/google-ads-agencies-in-germany/</v>
      </c>
      <c r="B165" s="11" t="str">
        <f>IFERROR(__xludf.DUMMYFUNCTION("""COMPUTED_VALUE"""),"Top 20 Professional Google Ads Agencies in Germany 2024")</f>
        <v>Top 20 Professional Google Ads Agencies in Germany 2024</v>
      </c>
      <c r="C165" s="8" t="str">
        <f>IFERROR(__xludf.DUMMYFUNCTION("""COMPUTED_VALUE"""),"intentcliq.com")</f>
        <v>intentcliq.com</v>
      </c>
      <c r="D165" s="11" t="str">
        <f>IFERROR(__xludf.DUMMYFUNCTION("""COMPUTED_VALUE"""),"LISTICLE")</f>
        <v>LISTICLE</v>
      </c>
      <c r="E165" s="11" t="str">
        <f>IFERROR(__xludf.DUMMYFUNCTION("""COMPUTED_VALUE"""),"CORPORATE")</f>
        <v>CORPORATE</v>
      </c>
      <c r="F165" s="11" t="str">
        <f>IFERROR(__xludf.DUMMYFUNCTION("""COMPUTED_VALUE"""),"Listicle")</f>
        <v>Listicle</v>
      </c>
      <c r="G165" s="11" t="b">
        <f>IFERROR(__xludf.DUMMYFUNCTION("""COMPUTED_VALUE"""),FALSE)</f>
        <v>0</v>
      </c>
      <c r="H165" s="11" t="str">
        <f>IFERROR(__xludf.DUMMYFUNCTION("""COMPUTED_VALUE"""),"Mediacharge, Smarketer")</f>
        <v>Mediacharge, Smarketer</v>
      </c>
      <c r="I165" s="11">
        <f>IFERROR(__xludf.DUMMYFUNCTION("""COMPUTED_VALUE"""),9.0)</f>
        <v>9</v>
      </c>
      <c r="J165" s="11">
        <f>IFERROR(__xludf.DUMMYFUNCTION("""COMPUTED_VALUE"""),0.01)</f>
        <v>0.01</v>
      </c>
      <c r="K165" s="11">
        <f>IFERROR(__xludf.DUMMYFUNCTION("""COMPUTED_VALUE"""),0.0)</f>
        <v>0</v>
      </c>
      <c r="L165" s="11"/>
    </row>
    <row r="166" ht="15.75" customHeight="1">
      <c r="A166" s="8" t="str">
        <f>IFERROR(__xludf.DUMMYFUNCTION("""COMPUTED_VALUE"""),"https://invademarketing.com/best-data-driven-marketing-agencies-in-europe/")</f>
        <v>https://invademarketing.com/best-data-driven-marketing-agencies-in-europe/</v>
      </c>
      <c r="B166" s="11" t="str">
        <f>IFERROR(__xludf.DUMMYFUNCTION("""COMPUTED_VALUE"""),"Best Data-Driven Marketing Agencies in Europe 2026")</f>
        <v>Best Data-Driven Marketing Agencies in Europe 2026</v>
      </c>
      <c r="C166" s="8" t="str">
        <f>IFERROR(__xludf.DUMMYFUNCTION("""COMPUTED_VALUE"""),"invademarketing.com")</f>
        <v>invademarketing.com</v>
      </c>
      <c r="D166" s="11" t="str">
        <f>IFERROR(__xludf.DUMMYFUNCTION("""COMPUTED_VALUE"""),"LISTICLE")</f>
        <v>LISTICLE</v>
      </c>
      <c r="E166" s="11" t="str">
        <f>IFERROR(__xludf.DUMMYFUNCTION("""COMPUTED_VALUE"""),"CORPORATE")</f>
        <v>CORPORATE</v>
      </c>
      <c r="F166" s="11" t="str">
        <f>IFERROR(__xludf.DUMMYFUNCTION("""COMPUTED_VALUE"""),"Listicle")</f>
        <v>Listicle</v>
      </c>
      <c r="G166" s="11" t="b">
        <f>IFERROR(__xludf.DUMMYFUNCTION("""COMPUTED_VALUE"""),FALSE)</f>
        <v>0</v>
      </c>
      <c r="H166" s="11"/>
      <c r="I166" s="11">
        <f>IFERROR(__xludf.DUMMYFUNCTION("""COMPUTED_VALUE"""),9.0)</f>
        <v>9</v>
      </c>
      <c r="J166" s="11">
        <f>IFERROR(__xludf.DUMMYFUNCTION("""COMPUTED_VALUE"""),0.01)</f>
        <v>0.01</v>
      </c>
      <c r="K166" s="11">
        <f>IFERROR(__xludf.DUMMYFUNCTION("""COMPUTED_VALUE"""),1.11)</f>
        <v>1.11</v>
      </c>
      <c r="L166" s="11"/>
    </row>
    <row r="167" ht="15.75" customHeight="1">
      <c r="A167" s="8" t="str">
        <f>IFERROR(__xludf.DUMMYFUNCTION("""COMPUTED_VALUE"""),"https://omr.com/de/reviews/service-category/geo-agenturen")</f>
        <v>https://omr.com/de/reviews/service-category/geo-agenturen</v>
      </c>
      <c r="B167" s="11" t="str">
        <f>IFERROR(__xludf.DUMMYFUNCTION("""COMPUTED_VALUE"""),"Top GEO Agenturen in Deutschland, Österreich &amp;amp; der Schweiz")</f>
        <v>Top GEO Agenturen in Deutschland, Österreich &amp;amp; der Schweiz</v>
      </c>
      <c r="C167" s="8" t="str">
        <f>IFERROR(__xludf.DUMMYFUNCTION("""COMPUTED_VALUE"""),"omr.com")</f>
        <v>omr.com</v>
      </c>
      <c r="D167" s="11" t="str">
        <f>IFERROR(__xludf.DUMMYFUNCTION("""COMPUTED_VALUE"""),"CATEGORY_PAGE")</f>
        <v>CATEGORY_PAGE</v>
      </c>
      <c r="E167" s="11" t="str">
        <f>IFERROR(__xludf.DUMMYFUNCTION("""COMPUTED_VALUE"""),"OTHER")</f>
        <v>OTHER</v>
      </c>
      <c r="F167" s="11" t="str">
        <f>IFERROR(__xludf.DUMMYFUNCTION("""COMPUTED_VALUE"""),"Category Page")</f>
        <v>Category Page</v>
      </c>
      <c r="G167" s="11" t="b">
        <f>IFERROR(__xludf.DUMMYFUNCTION("""COMPUTED_VALUE"""),FALSE)</f>
        <v>0</v>
      </c>
      <c r="H167" s="11" t="str">
        <f>IFERROR(__xludf.DUMMYFUNCTION("""COMPUTED_VALUE"""),"Claneo, HECHT INS GEFECHT, TRYSEO, Suchhelden, Kosch Klink Performance, Löwenstark")</f>
        <v>Claneo, HECHT INS GEFECHT, TRYSEO, Suchhelden, Kosch Klink Performance, Löwenstark</v>
      </c>
      <c r="I167" s="11">
        <f>IFERROR(__xludf.DUMMYFUNCTION("""COMPUTED_VALUE"""),9.0)</f>
        <v>9</v>
      </c>
      <c r="J167" s="11">
        <f>IFERROR(__xludf.DUMMYFUNCTION("""COMPUTED_VALUE"""),0.01)</f>
        <v>0.01</v>
      </c>
      <c r="K167" s="11">
        <f>IFERROR(__xludf.DUMMYFUNCTION("""COMPUTED_VALUE"""),0.44)</f>
        <v>0.44</v>
      </c>
      <c r="L167" s="11"/>
    </row>
    <row r="168" ht="15.75" customHeight="1">
      <c r="A168" s="8" t="str">
        <f>IFERROR(__xludf.DUMMYFUNCTION("""COMPUTED_VALUE"""),"https://seeders.com/blog/top-10-digital-pr-agencies-germany/")</f>
        <v>https://seeders.com/blog/top-10-digital-pr-agencies-germany/</v>
      </c>
      <c r="B168" s="11" t="str">
        <f>IFERROR(__xludf.DUMMYFUNCTION("""COMPUTED_VALUE"""),"Top 10 digital PR agencies in Germany | Seeders")</f>
        <v>Top 10 digital PR agencies in Germany | Seeders</v>
      </c>
      <c r="C168" s="8" t="str">
        <f>IFERROR(__xludf.DUMMYFUNCTION("""COMPUTED_VALUE"""),"seeders.com")</f>
        <v>seeders.com</v>
      </c>
      <c r="D168" s="11" t="str">
        <f>IFERROR(__xludf.DUMMYFUNCTION("""COMPUTED_VALUE"""),"LISTICLE")</f>
        <v>LISTICLE</v>
      </c>
      <c r="E168" s="11" t="str">
        <f>IFERROR(__xludf.DUMMYFUNCTION("""COMPUTED_VALUE"""),"COMPETITOR")</f>
        <v>COMPETITOR</v>
      </c>
      <c r="F168" s="11" t="str">
        <f>IFERROR(__xludf.DUMMYFUNCTION("""COMPUTED_VALUE"""),"Listicle")</f>
        <v>Listicle</v>
      </c>
      <c r="G168" s="11" t="b">
        <f>IFERROR(__xludf.DUMMYFUNCTION("""COMPUTED_VALUE"""),FALSE)</f>
        <v>0</v>
      </c>
      <c r="H168" s="11" t="str">
        <f>IFERROR(__xludf.DUMMYFUNCTION("""COMPUTED_VALUE"""),"Seeders, Claneo")</f>
        <v>Seeders, Claneo</v>
      </c>
      <c r="I168" s="11">
        <f>IFERROR(__xludf.DUMMYFUNCTION("""COMPUTED_VALUE"""),9.0)</f>
        <v>9</v>
      </c>
      <c r="J168" s="11">
        <f>IFERROR(__xludf.DUMMYFUNCTION("""COMPUTED_VALUE"""),0.01)</f>
        <v>0.01</v>
      </c>
      <c r="K168" s="11">
        <f>IFERROR(__xludf.DUMMYFUNCTION("""COMPUTED_VALUE"""),1.67)</f>
        <v>1.67</v>
      </c>
      <c r="L168" s="11"/>
    </row>
    <row r="169" ht="15.75" customHeight="1">
      <c r="A169" s="8" t="str">
        <f>IFERROR(__xludf.DUMMYFUNCTION("""COMPUTED_VALUE"""),"https://www.semrush.com/agencies/list/display-advertising/ecommerce/germany/")</f>
        <v>https://www.semrush.com/agencies/list/display-advertising/ecommerce/germany/</v>
      </c>
      <c r="B169" s="11" t="str">
        <f>IFERROR(__xludf.DUMMYFUNCTION("""COMPUTED_VALUE"""),"Best Ecommerce Display Ads Agencies in Germany 2026 \| Semrush")</f>
        <v>Best Ecommerce Display Ads Agencies in Germany 2026 \| Semrush</v>
      </c>
      <c r="C169" s="8" t="str">
        <f>IFERROR(__xludf.DUMMYFUNCTION("""COMPUTED_VALUE"""),"semrush.com")</f>
        <v>semrush.com</v>
      </c>
      <c r="D169" s="11" t="str">
        <f>IFERROR(__xludf.DUMMYFUNCTION("""COMPUTED_VALUE"""),"PROFILE")</f>
        <v>PROFILE</v>
      </c>
      <c r="E169" s="11" t="str">
        <f>IFERROR(__xludf.DUMMYFUNCTION("""COMPUTED_VALUE"""),"CORPORATE")</f>
        <v>CORPORATE</v>
      </c>
      <c r="F169" s="11" t="str">
        <f>IFERROR(__xludf.DUMMYFUNCTION("""COMPUTED_VALUE"""),"Profile")</f>
        <v>Profile</v>
      </c>
      <c r="G169" s="11" t="b">
        <f>IFERROR(__xludf.DUMMYFUNCTION("""COMPUTED_VALUE"""),FALSE)</f>
        <v>0</v>
      </c>
      <c r="H169" s="11" t="str">
        <f>IFERROR(__xludf.DUMMYFUNCTION("""COMPUTED_VALUE"""),"Baseplus DIGITAL MEDIA GmbH, morefire, Mediaplus Performance, MONSOON")</f>
        <v>Baseplus DIGITAL MEDIA GmbH, morefire, Mediaplus Performance, MONSOON</v>
      </c>
      <c r="I169" s="11">
        <f>IFERROR(__xludf.DUMMYFUNCTION("""COMPUTED_VALUE"""),9.0)</f>
        <v>9</v>
      </c>
      <c r="J169" s="11">
        <f>IFERROR(__xludf.DUMMYFUNCTION("""COMPUTED_VALUE"""),0.01)</f>
        <v>0.01</v>
      </c>
      <c r="K169" s="11">
        <f>IFERROR(__xludf.DUMMYFUNCTION("""COMPUTED_VALUE"""),0.0)</f>
        <v>0</v>
      </c>
      <c r="L169" s="11"/>
    </row>
    <row r="170" ht="15.75" customHeight="1">
      <c r="A170" s="8" t="str">
        <f>IFERROR(__xludf.DUMMYFUNCTION("""COMPUTED_VALUE"""),"https://www.silicon.de/41722409/geo-agentur-vergleich-empfehlungen-beste-15-geo-agenturen-2026/amp")</f>
        <v>https://www.silicon.de/41722409/geo-agentur-vergleich-empfehlungen-beste-15-geo-agenturen-2026/amp</v>
      </c>
      <c r="B170" s="11" t="str">
        <f>IFERROR(__xludf.DUMMYFUNCTION("""COMPUTED_VALUE"""),"GEO Agentur Vergleich: TOP 15 GEO-Agenturen 2026 - silicon.de")</f>
        <v>GEO Agentur Vergleich: TOP 15 GEO-Agenturen 2026 - silicon.de</v>
      </c>
      <c r="C170" s="8" t="str">
        <f>IFERROR(__xludf.DUMMYFUNCTION("""COMPUTED_VALUE"""),"silicon.de")</f>
        <v>silicon.de</v>
      </c>
      <c r="D170" s="11" t="str">
        <f>IFERROR(__xludf.DUMMYFUNCTION("""COMPUTED_VALUE"""),"COMPARISON")</f>
        <v>COMPARISON</v>
      </c>
      <c r="E170" s="11" t="str">
        <f>IFERROR(__xludf.DUMMYFUNCTION("""COMPUTED_VALUE"""),"EDITORIAL")</f>
        <v>EDITORIAL</v>
      </c>
      <c r="F170" s="11" t="str">
        <f>IFERROR(__xludf.DUMMYFUNCTION("""COMPUTED_VALUE"""),"Comparison")</f>
        <v>Comparison</v>
      </c>
      <c r="G170" s="11" t="b">
        <f>IFERROR(__xludf.DUMMYFUNCTION("""COMPUTED_VALUE"""),FALSE)</f>
        <v>0</v>
      </c>
      <c r="H170" s="11" t="str">
        <f>IFERROR(__xludf.DUMMYFUNCTION("""COMPUTED_VALUE"""),"Aufgesang, Claneo, Suchhelden, iPullRank, WebFX, Omnius, DREIKON")</f>
        <v>Aufgesang, Claneo, Suchhelden, iPullRank, WebFX, Omnius, DREIKON</v>
      </c>
      <c r="I170" s="11">
        <f>IFERROR(__xludf.DUMMYFUNCTION("""COMPUTED_VALUE"""),9.0)</f>
        <v>9</v>
      </c>
      <c r="J170" s="11">
        <f>IFERROR(__xludf.DUMMYFUNCTION("""COMPUTED_VALUE"""),0.01)</f>
        <v>0.01</v>
      </c>
      <c r="K170" s="11">
        <f>IFERROR(__xludf.DUMMYFUNCTION("""COMPUTED_VALUE"""),0.0)</f>
        <v>0</v>
      </c>
      <c r="L170" s="11"/>
    </row>
    <row r="171" ht="15.75" customHeight="1">
      <c r="A171" s="8" t="str">
        <f>IFERROR(__xludf.DUMMYFUNCTION("""COMPUTED_VALUE"""),"https://www.sortlist.com/display-advertising")</f>
        <v>https://www.sortlist.com/display-advertising</v>
      </c>
      <c r="B171" s="11" t="str">
        <f>IFERROR(__xludf.DUMMYFUNCTION("""COMPUTED_VALUE"""),"The 100 Best Display Advertising Agencies - 2026 Reviews")</f>
        <v>The 100 Best Display Advertising Agencies - 2026 Reviews</v>
      </c>
      <c r="C171" s="8" t="str">
        <f>IFERROR(__xludf.DUMMYFUNCTION("""COMPUTED_VALUE"""),"sortlist.com")</f>
        <v>sortlist.com</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t="str">
        <f>IFERROR(__xludf.DUMMYFUNCTION("""COMPUTED_VALUE"""),"MONSOON")</f>
        <v>MONSOON</v>
      </c>
      <c r="I171" s="11">
        <f>IFERROR(__xludf.DUMMYFUNCTION("""COMPUTED_VALUE"""),9.0)</f>
        <v>9</v>
      </c>
      <c r="J171" s="11">
        <f>IFERROR(__xludf.DUMMYFUNCTION("""COMPUTED_VALUE"""),0.01)</f>
        <v>0.01</v>
      </c>
      <c r="K171" s="11">
        <f>IFERROR(__xludf.DUMMYFUNCTION("""COMPUTED_VALUE"""),0.0)</f>
        <v>0</v>
      </c>
      <c r="L171" s="11"/>
    </row>
    <row r="172" ht="15.75" customHeight="1">
      <c r="A172" s="8" t="str">
        <f>IFERROR(__xludf.DUMMYFUNCTION("""COMPUTED_VALUE"""),"https://www.sortlist.com/s/marketing-automation/germany-de")</f>
        <v>https://www.sortlist.com/s/marketing-automation/germany-de</v>
      </c>
      <c r="B172" s="11" t="str">
        <f>IFERROR(__xludf.DUMMYFUNCTION("""COMPUTED_VALUE"""),"The 10 Best Marketing Automation Agencies in Germany - 2026 Reviews")</f>
        <v>The 10 Best Marketing Automation Agencies in Germany - 2026 Reviews</v>
      </c>
      <c r="C172" s="8" t="str">
        <f>IFERROR(__xludf.DUMMYFUNCTION("""COMPUTED_VALUE"""),"sortlist.com")</f>
        <v>sortlist.com</v>
      </c>
      <c r="D172" s="11" t="str">
        <f>IFERROR(__xludf.DUMMYFUNCTION("""COMPUTED_VALUE"""),"CATEGORY_PAGE")</f>
        <v>CATEGORY_PAGE</v>
      </c>
      <c r="E172" s="11" t="str">
        <f>IFERROR(__xludf.DUMMYFUNCTION("""COMPUTED_VALUE"""),"CORPORATE")</f>
        <v>CORPORATE</v>
      </c>
      <c r="F172" s="11" t="str">
        <f>IFERROR(__xludf.DUMMYFUNCTION("""COMPUTED_VALUE"""),"Category Page")</f>
        <v>Category Page</v>
      </c>
      <c r="G172" s="11" t="b">
        <f>IFERROR(__xludf.DUMMYFUNCTION("""COMPUTED_VALUE"""),FALSE)</f>
        <v>0</v>
      </c>
      <c r="H172" s="11" t="str">
        <f>IFERROR(__xludf.DUMMYFUNCTION("""COMPUTED_VALUE"""),"MONSOON, Measured")</f>
        <v>MONSOON, Measured</v>
      </c>
      <c r="I172" s="11">
        <f>IFERROR(__xludf.DUMMYFUNCTION("""COMPUTED_VALUE"""),9.0)</f>
        <v>9</v>
      </c>
      <c r="J172" s="11">
        <f>IFERROR(__xludf.DUMMYFUNCTION("""COMPUTED_VALUE"""),0.01)</f>
        <v>0.01</v>
      </c>
      <c r="K172" s="11">
        <f>IFERROR(__xludf.DUMMYFUNCTION("""COMPUTED_VALUE"""),0.44)</f>
        <v>0.44</v>
      </c>
      <c r="L172" s="11"/>
    </row>
    <row r="173" ht="15.75" customHeight="1">
      <c r="A173" s="8" t="str">
        <f>IFERROR(__xludf.DUMMYFUNCTION("""COMPUTED_VALUE"""),"https://sourceforge.net/software/marketing-attribution/germany/?page=2")</f>
        <v>https://sourceforge.net/software/marketing-attribution/germany/?page=2</v>
      </c>
      <c r="B173" s="11" t="str">
        <f>IFERROR(__xludf.DUMMYFUNCTION("""COMPUTED_VALUE"""),"Page 2 | Best Marketing Attribution Software in Germany of 2026 - Reviews &amp;amp; Comparison")</f>
        <v>Page 2 | Best Marketing Attribution Software in Germany of 2026 - Reviews &amp;amp; Comparison</v>
      </c>
      <c r="C173" s="8" t="str">
        <f>IFERROR(__xludf.DUMMYFUNCTION("""COMPUTED_VALUE"""),"sourceforge.net")</f>
        <v>sourceforge.net</v>
      </c>
      <c r="D173" s="11" t="str">
        <f>IFERROR(__xludf.DUMMYFUNCTION("""COMPUTED_VALUE"""),"CATEGORY_PAGE")</f>
        <v>CATEGORY_PAGE</v>
      </c>
      <c r="E173" s="11" t="str">
        <f>IFERROR(__xludf.DUMMYFUNCTION("""COMPUTED_VALUE"""),"OTHER")</f>
        <v>OTHER</v>
      </c>
      <c r="F173" s="11" t="str">
        <f>IFERROR(__xludf.DUMMYFUNCTION("""COMPUTED_VALUE"""),"Category Page")</f>
        <v>Category Page</v>
      </c>
      <c r="G173" s="11" t="b">
        <f>IFERROR(__xludf.DUMMYFUNCTION("""COMPUTED_VALUE"""),FALSE)</f>
        <v>0</v>
      </c>
      <c r="H173" s="11" t="str">
        <f>IFERROR(__xludf.DUMMYFUNCTION("""COMPUTED_VALUE"""),"LifeSight, GroupM, Dentsu")</f>
        <v>LifeSight, GroupM, Dentsu</v>
      </c>
      <c r="I173" s="11">
        <f>IFERROR(__xludf.DUMMYFUNCTION("""COMPUTED_VALUE"""),9.0)</f>
        <v>9</v>
      </c>
      <c r="J173" s="11">
        <f>IFERROR(__xludf.DUMMYFUNCTION("""COMPUTED_VALUE"""),0.01)</f>
        <v>0.01</v>
      </c>
      <c r="K173" s="11">
        <f>IFERROR(__xludf.DUMMYFUNCTION("""COMPUTED_VALUE"""),0.0)</f>
        <v>0</v>
      </c>
      <c r="L173" s="11"/>
    </row>
    <row r="174" ht="15.75" customHeight="1">
      <c r="A174" s="8" t="str">
        <f>IFERROR(__xludf.DUMMYFUNCTION("""COMPUTED_VALUE"""),"https://thatware.co/top-10-aeo-companies-in-germany/")</f>
        <v>https://thatware.co/top-10-aeo-companies-in-germany/</v>
      </c>
      <c r="B174" s="11" t="str">
        <f>IFERROR(__xludf.DUMMYFUNCTION("""COMPUTED_VALUE"""),"Top 10 AEO Companies in Germany | 10 Best Germany AEO Firms")</f>
        <v>Top 10 AEO Companies in Germany | 10 Best Germany AEO Firms</v>
      </c>
      <c r="C174" s="8" t="str">
        <f>IFERROR(__xludf.DUMMYFUNCTION("""COMPUTED_VALUE"""),"thatware.co")</f>
        <v>thatware.co</v>
      </c>
      <c r="D174" s="11" t="str">
        <f>IFERROR(__xludf.DUMMYFUNCTION("""COMPUTED_VALUE"""),"LISTICLE")</f>
        <v>LISTICLE</v>
      </c>
      <c r="E174" s="11" t="str">
        <f>IFERROR(__xludf.DUMMYFUNCTION("""COMPUTED_VALUE"""),"CORPORATE")</f>
        <v>CORPORATE</v>
      </c>
      <c r="F174" s="11" t="str">
        <f>IFERROR(__xludf.DUMMYFUNCTION("""COMPUTED_VALUE"""),"Listicle")</f>
        <v>Listicle</v>
      </c>
      <c r="G174" s="11" t="b">
        <f>IFERROR(__xludf.DUMMYFUNCTION("""COMPUTED_VALUE"""),FALSE)</f>
        <v>0</v>
      </c>
      <c r="H174" s="11" t="str">
        <f>IFERROR(__xludf.DUMMYFUNCTION("""COMPUTED_VALUE"""),"Claneo, Peak Ace")</f>
        <v>Claneo, Peak Ace</v>
      </c>
      <c r="I174" s="11">
        <f>IFERROR(__xludf.DUMMYFUNCTION("""COMPUTED_VALUE"""),9.0)</f>
        <v>9</v>
      </c>
      <c r="J174" s="11">
        <f>IFERROR(__xludf.DUMMYFUNCTION("""COMPUTED_VALUE"""),0.01)</f>
        <v>0.01</v>
      </c>
      <c r="K174" s="11">
        <f>IFERROR(__xludf.DUMMYFUNCTION("""COMPUTED_VALUE"""),1.78)</f>
        <v>1.78</v>
      </c>
      <c r="L174" s="11"/>
    </row>
    <row r="175" ht="15.75" customHeight="1">
      <c r="A175" s="8" t="str">
        <f>IFERROR(__xludf.DUMMYFUNCTION("""COMPUTED_VALUE"""),"https://thedigitalelevator.com/blog/best-generative-engine-optimization-geo-agencies/")</f>
        <v>https://thedigitalelevator.com/blog/best-generative-engine-optimization-geo-agencies/</v>
      </c>
      <c r="B175" s="11" t="str">
        <f>IFERROR(__xludf.DUMMYFUNCTION("""COMPUTED_VALUE"""),"The 12 Best Generative Engine Optimization (GEO) Agencies of 2026 | Digital Elevator")</f>
        <v>The 12 Best Generative Engine Optimization (GEO) Agencies of 2026 | Digital Elevator</v>
      </c>
      <c r="C175" s="8" t="str">
        <f>IFERROR(__xludf.DUMMYFUNCTION("""COMPUTED_VALUE"""),"thedigitalelevator.com")</f>
        <v>thedigitalelevator.com</v>
      </c>
      <c r="D175" s="11" t="str">
        <f>IFERROR(__xludf.DUMMYFUNCTION("""COMPUTED_VALUE"""),"LISTICLE")</f>
        <v>LISTICLE</v>
      </c>
      <c r="E175" s="11" t="str">
        <f>IFERROR(__xludf.DUMMYFUNCTION("""COMPUTED_VALUE"""),"CORPORATE")</f>
        <v>CORPORATE</v>
      </c>
      <c r="F175" s="11" t="str">
        <f>IFERROR(__xludf.DUMMYFUNCTION("""COMPUTED_VALUE"""),"Listicle")</f>
        <v>Listicle</v>
      </c>
      <c r="G175" s="11" t="b">
        <f>IFERROR(__xludf.DUMMYFUNCTION("""COMPUTED_VALUE"""),FALSE)</f>
        <v>0</v>
      </c>
      <c r="H175" s="11" t="str">
        <f>IFERROR(__xludf.DUMMYFUNCTION("""COMPUTED_VALUE"""),"Omnius, Directive Consulting, Siege Media, iPullRank")</f>
        <v>Omnius, Directive Consulting, Siege Media, iPullRank</v>
      </c>
      <c r="I175" s="11">
        <f>IFERROR(__xludf.DUMMYFUNCTION("""COMPUTED_VALUE"""),9.0)</f>
        <v>9</v>
      </c>
      <c r="J175" s="11">
        <f>IFERROR(__xludf.DUMMYFUNCTION("""COMPUTED_VALUE"""),0.01)</f>
        <v>0.01</v>
      </c>
      <c r="K175" s="11">
        <f>IFERROR(__xludf.DUMMYFUNCTION("""COMPUTED_VALUE"""),0.67)</f>
        <v>0.67</v>
      </c>
      <c r="L175" s="11"/>
    </row>
    <row r="176" ht="15.75" customHeight="1">
      <c r="A176" s="8" t="str">
        <f>IFERROR(__xludf.DUMMYFUNCTION("""COMPUTED_VALUE"""),"https://ultragrowthmedia.com/best-b2b-marketing-agencies-germany/")</f>
        <v>https://ultragrowthmedia.com/best-b2b-marketing-agencies-germany/</v>
      </c>
      <c r="B176" s="11" t="str">
        <f>IFERROR(__xludf.DUMMYFUNCTION("""COMPUTED_VALUE"""),"10 Best B2B Marketing Agencies in Germany (Top-Rated)")</f>
        <v>10 Best B2B Marketing Agencies in Germany (Top-Rated)</v>
      </c>
      <c r="C176" s="8" t="str">
        <f>IFERROR(__xludf.DUMMYFUNCTION("""COMPUTED_VALUE"""),"ultragrowthmedia.com")</f>
        <v>ultragrowthmedia.com</v>
      </c>
      <c r="D176" s="11" t="str">
        <f>IFERROR(__xludf.DUMMYFUNCTION("""COMPUTED_VALUE"""),"LISTICLE")</f>
        <v>LISTICLE</v>
      </c>
      <c r="E176" s="11" t="str">
        <f>IFERROR(__xludf.DUMMYFUNCTION("""COMPUTED_VALUE"""),"CORPORATE")</f>
        <v>CORPORATE</v>
      </c>
      <c r="F176" s="11" t="str">
        <f>IFERROR(__xludf.DUMMYFUNCTION("""COMPUTED_VALUE"""),"Listicle")</f>
        <v>Listicle</v>
      </c>
      <c r="G176" s="11" t="b">
        <f>IFERROR(__xludf.DUMMYFUNCTION("""COMPUTED_VALUE"""),FALSE)</f>
        <v>0</v>
      </c>
      <c r="H176" s="11" t="str">
        <f>IFERROR(__xludf.DUMMYFUNCTION("""COMPUTED_VALUE"""),"Serviceplan Group, Jung von Matt, Mediacharge")</f>
        <v>Serviceplan Group, Jung von Matt, Mediacharge</v>
      </c>
      <c r="I176" s="11">
        <f>IFERROR(__xludf.DUMMYFUNCTION("""COMPUTED_VALUE"""),9.0)</f>
        <v>9</v>
      </c>
      <c r="J176" s="11">
        <f>IFERROR(__xludf.DUMMYFUNCTION("""COMPUTED_VALUE"""),0.01)</f>
        <v>0.01</v>
      </c>
      <c r="K176" s="11">
        <f>IFERROR(__xludf.DUMMYFUNCTION("""COMPUTED_VALUE"""),1.0)</f>
        <v>1</v>
      </c>
      <c r="L176" s="11"/>
    </row>
    <row r="177" ht="15.75" customHeight="1">
      <c r="A177" s="8" t="str">
        <f>IFERROR(__xludf.DUMMYFUNCTION("""COMPUTED_VALUE"""),"https://clutch.co/de/agencies/ppc/advertising-industry?page=2")</f>
        <v>https://clutch.co/de/agencies/ppc/advertising-industry?page=2</v>
      </c>
      <c r="B177" s="11" t="str">
        <f>IFERROR(__xludf.DUMMYFUNCTION("""COMPUTED_VALUE"""),"Page 2 - Top PPC Agencies for Ad Agencies in Germany - Jul 2026 Rankings \| Clutch.co")</f>
        <v>Page 2 - Top PPC Agencies for Ad Agencies in Germany - Jul 2026 Rankings \| Clutch.co</v>
      </c>
      <c r="C177" s="8" t="str">
        <f>IFERROR(__xludf.DUMMYFUNCTION("""COMPUTED_VALUE"""),"clutch.co")</f>
        <v>clutch.co</v>
      </c>
      <c r="D177" s="11" t="str">
        <f>IFERROR(__xludf.DUMMYFUNCTION("""COMPUTED_VALUE"""),"CATEGORY_PAGE")</f>
        <v>CATEGORY_PAGE</v>
      </c>
      <c r="E177" s="11" t="str">
        <f>IFERROR(__xludf.DUMMYFUNCTION("""COMPUTED_VALUE"""),"CORPORATE")</f>
        <v>CORPORATE</v>
      </c>
      <c r="F177" s="11" t="str">
        <f>IFERROR(__xludf.DUMMYFUNCTION("""COMPUTED_VALUE"""),"Category Page")</f>
        <v>Category Page</v>
      </c>
      <c r="G177" s="11" t="b">
        <f>IFERROR(__xludf.DUMMYFUNCTION("""COMPUTED_VALUE"""),FALSE)</f>
        <v>0</v>
      </c>
      <c r="H177" s="11" t="str">
        <f>IFERROR(__xludf.DUMMYFUNCTION("""COMPUTED_VALUE"""),"Mediacharge, Medialabel")</f>
        <v>Mediacharge, Medialabel</v>
      </c>
      <c r="I177" s="11">
        <f>IFERROR(__xludf.DUMMYFUNCTION("""COMPUTED_VALUE"""),8.0)</f>
        <v>8</v>
      </c>
      <c r="J177" s="11">
        <f>IFERROR(__xludf.DUMMYFUNCTION("""COMPUTED_VALUE"""),0.01)</f>
        <v>0.01</v>
      </c>
      <c r="K177" s="11">
        <f>IFERROR(__xludf.DUMMYFUNCTION("""COMPUTED_VALUE"""),0.0)</f>
        <v>0</v>
      </c>
      <c r="L177" s="11"/>
    </row>
    <row r="178" ht="15.75" customHeight="1">
      <c r="A178" s="8" t="str">
        <f>IFERROR(__xludf.DUMMYFUNCTION("""COMPUTED_VALUE"""),"https://www.dejaoffice.com/blog/2026/06/15/9-best-aeo-agencies-helping-brands-win-in-the-age-of-ai/")</f>
        <v>https://www.dejaoffice.com/blog/2026/06/15/9-best-aeo-agencies-helping-brands-win-in-the-age-of-ai/</v>
      </c>
      <c r="B178" s="11" t="str">
        <f>IFERROR(__xludf.DUMMYFUNCTION("""COMPUTED_VALUE"""),"9 Best AEO Agencies Helping Brands Win in the Age of AI - DejaOffice Blog")</f>
        <v>9 Best AEO Agencies Helping Brands Win in the Age of AI - DejaOffice Blog</v>
      </c>
      <c r="C178" s="8" t="str">
        <f>IFERROR(__xludf.DUMMYFUNCTION("""COMPUTED_VALUE"""),"dejaoffice.com")</f>
        <v>dejaoffice.com</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IFERROR(__xludf.DUMMYFUNCTION("""COMPUTED_VALUE"""),"NoGood, Omniscient Digital, Huge, Single Grain, Siege Media, iPullRank")</f>
        <v>NoGood, Omniscient Digital, Huge, Single Grain, Siege Media, iPullRank</v>
      </c>
      <c r="I178" s="11">
        <f>IFERROR(__xludf.DUMMYFUNCTION("""COMPUTED_VALUE"""),8.0)</f>
        <v>8</v>
      </c>
      <c r="J178" s="11">
        <f>IFERROR(__xludf.DUMMYFUNCTION("""COMPUTED_VALUE"""),0.01)</f>
        <v>0.01</v>
      </c>
      <c r="K178" s="11">
        <f>IFERROR(__xludf.DUMMYFUNCTION("""COMPUTED_VALUE"""),0.0)</f>
        <v>0</v>
      </c>
      <c r="L178" s="11"/>
    </row>
    <row r="179" ht="15.75" customHeight="1">
      <c r="A179" s="8" t="str">
        <f>IFERROR(__xludf.DUMMYFUNCTION("""COMPUTED_VALUE"""),"https://www.designrush.com/agency/social-media-marketing/de")</f>
        <v>https://www.designrush.com/agency/social-media-marketing/de</v>
      </c>
      <c r="B179" s="11" t="str">
        <f>IFERROR(__xludf.DUMMYFUNCTION("""COMPUTED_VALUE"""),"Top Social Media Marketing Agencies in Germany | 2026")</f>
        <v>Top Social Media Marketing Agencies in Germany | 2026</v>
      </c>
      <c r="C179" s="8" t="str">
        <f>IFERROR(__xludf.DUMMYFUNCTION("""COMPUTED_VALUE"""),"designrush.com")</f>
        <v>designrush.com</v>
      </c>
      <c r="D179" s="11" t="str">
        <f>IFERROR(__xludf.DUMMYFUNCTION("""COMPUTED_VALUE"""),"CATEGORY_PAGE")</f>
        <v>CATEGORY_PAGE</v>
      </c>
      <c r="E179" s="11" t="str">
        <f>IFERROR(__xludf.DUMMYFUNCTION("""COMPUTED_VALUE"""),"CORPORATE")</f>
        <v>CORPORATE</v>
      </c>
      <c r="F179" s="11" t="str">
        <f>IFERROR(__xludf.DUMMYFUNCTION("""COMPUTED_VALUE"""),"Category Page")</f>
        <v>Category Page</v>
      </c>
      <c r="G179" s="11" t="b">
        <f>IFERROR(__xludf.DUMMYFUNCTION("""COMPUTED_VALUE"""),FALSE)</f>
        <v>0</v>
      </c>
      <c r="H179" s="11" t="str">
        <f>IFERROR(__xludf.DUMMYFUNCTION("""COMPUTED_VALUE"""),"MONSOON, REPLUG, Pulse Advertising, PANORAMA3000")</f>
        <v>MONSOON, REPLUG, Pulse Advertising, PANORAMA3000</v>
      </c>
      <c r="I179" s="11">
        <f>IFERROR(__xludf.DUMMYFUNCTION("""COMPUTED_VALUE"""),8.0)</f>
        <v>8</v>
      </c>
      <c r="J179" s="11">
        <f>IFERROR(__xludf.DUMMYFUNCTION("""COMPUTED_VALUE"""),0.01)</f>
        <v>0.01</v>
      </c>
      <c r="K179" s="11">
        <f>IFERROR(__xludf.DUMMYFUNCTION("""COMPUTED_VALUE"""),0.25)</f>
        <v>0.25</v>
      </c>
      <c r="L179" s="11"/>
    </row>
    <row r="180" ht="15.75" customHeight="1">
      <c r="A180" s="8" t="str">
        <f>IFERROR(__xludf.DUMMYFUNCTION("""COMPUTED_VALUE"""),"https://feedbax.ai/creative-agencies/germany")</f>
        <v>https://feedbax.ai/creative-agencies/germany</v>
      </c>
      <c r="B180" s="11" t="str">
        <f>IFERROR(__xludf.DUMMYFUNCTION("""COMPUTED_VALUE"""),"Top 20 Creative Agencies in Germany - 2026 Reviews")</f>
        <v>Top 20 Creative Agencies in Germany - 2026 Reviews</v>
      </c>
      <c r="C180" s="8" t="str">
        <f>IFERROR(__xludf.DUMMYFUNCTION("""COMPUTED_VALUE"""),"feedbax.ai")</f>
        <v>feedbax.ai</v>
      </c>
      <c r="D180" s="11" t="str">
        <f>IFERROR(__xludf.DUMMYFUNCTION("""COMPUTED_VALUE"""),"PROFILE")</f>
        <v>PROFILE</v>
      </c>
      <c r="E180" s="11" t="str">
        <f>IFERROR(__xludf.DUMMYFUNCTION("""COMPUTED_VALUE"""),"UGC")</f>
        <v>UGC</v>
      </c>
      <c r="F180" s="11" t="str">
        <f>IFERROR(__xludf.DUMMYFUNCTION("""COMPUTED_VALUE"""),"Profile")</f>
        <v>Profile</v>
      </c>
      <c r="G180" s="11" t="b">
        <f>IFERROR(__xludf.DUMMYFUNCTION("""COMPUTED_VALUE"""),FALSE)</f>
        <v>0</v>
      </c>
      <c r="H180" s="11" t="str">
        <f>IFERROR(__xludf.DUMMYFUNCTION("""COMPUTED_VALUE"""),"PANORAMA3000, Mediacharge, Smarketer, KlickPiloten, DREIKON")</f>
        <v>PANORAMA3000, Mediacharge, Smarketer, KlickPiloten, DREIKON</v>
      </c>
      <c r="I180" s="11">
        <f>IFERROR(__xludf.DUMMYFUNCTION("""COMPUTED_VALUE"""),8.0)</f>
        <v>8</v>
      </c>
      <c r="J180" s="11">
        <f>IFERROR(__xludf.DUMMYFUNCTION("""COMPUTED_VALUE"""),0.01)</f>
        <v>0.01</v>
      </c>
      <c r="K180" s="11">
        <f>IFERROR(__xludf.DUMMYFUNCTION("""COMPUTED_VALUE"""),0.0)</f>
        <v>0</v>
      </c>
      <c r="L180" s="11"/>
    </row>
    <row r="181" ht="15.75" customHeight="1">
      <c r="A181" s="8" t="str">
        <f>IFERROR(__xludf.DUMMYFUNCTION("""COMPUTED_VALUE"""),"https://lifesight.io/blog/best-incrementality-testing-tools/")</f>
        <v>https://lifesight.io/blog/best-incrementality-testing-tools/</v>
      </c>
      <c r="B181" s="11" t="str">
        <f>IFERROR(__xludf.DUMMYFUNCTION("""COMPUTED_VALUE"""),"6 Best Incrementality Testing Tools in 2025 [UPDATED] - Lifesight")</f>
        <v>6 Best Incrementality Testing Tools in 2025 [UPDATED] - Lifesight</v>
      </c>
      <c r="C181" s="8" t="str">
        <f>IFERROR(__xludf.DUMMYFUNCTION("""COMPUTED_VALUE"""),"lifesight.io")</f>
        <v>lifesight.io</v>
      </c>
      <c r="D181" s="11" t="str">
        <f>IFERROR(__xludf.DUMMYFUNCTION("""COMPUTED_VALUE"""),"LISTICLE")</f>
        <v>LISTICLE</v>
      </c>
      <c r="E181" s="11" t="str">
        <f>IFERROR(__xludf.DUMMYFUNCTION("""COMPUTED_VALUE"""),"COMPETITOR")</f>
        <v>COMPETITOR</v>
      </c>
      <c r="F181" s="11" t="str">
        <f>IFERROR(__xludf.DUMMYFUNCTION("""COMPUTED_VALUE"""),"Listicle")</f>
        <v>Listicle</v>
      </c>
      <c r="G181" s="11" t="b">
        <f>IFERROR(__xludf.DUMMYFUNCTION("""COMPUTED_VALUE"""),FALSE)</f>
        <v>0</v>
      </c>
      <c r="H181" s="11" t="str">
        <f>IFERROR(__xludf.DUMMYFUNCTION("""COMPUTED_VALUE"""),"LifeSight, Haus, Measured, Recast, Northbeam, Triple Whale")</f>
        <v>LifeSight, Haus, Measured, Recast, Northbeam, Triple Whale</v>
      </c>
      <c r="I181" s="11">
        <f>IFERROR(__xludf.DUMMYFUNCTION("""COMPUTED_VALUE"""),8.0)</f>
        <v>8</v>
      </c>
      <c r="J181" s="11">
        <f>IFERROR(__xludf.DUMMYFUNCTION("""COMPUTED_VALUE"""),0.01)</f>
        <v>0.01</v>
      </c>
      <c r="K181" s="11">
        <f>IFERROR(__xludf.DUMMYFUNCTION("""COMPUTED_VALUE"""),0.63)</f>
        <v>0.63</v>
      </c>
      <c r="L181" s="11"/>
    </row>
    <row r="182" ht="15.75" customHeight="1">
      <c r="A182" s="8" t="str">
        <f>IFERROR(__xludf.DUMMYFUNCTION("""COMPUTED_VALUE"""),"https://www.reddit.com/r/Superframeworks/comments/1twfxf1/10_best_ai_seo_geoaeo_agencies_for_2026_no/")</f>
        <v>https://www.reddit.com/r/Superframeworks/comments/1twfxf1/10_best_ai_seo_geoaeo_agencies_for_2026_no/</v>
      </c>
      <c r="B182" s="11" t="str">
        <f>IFERROR(__xludf.DUMMYFUNCTION("""COMPUTED_VALUE"""),"10 Best AI SEO (GEO/AEO) Agencies for 2026: No Self-Ranking, Verified by Clutch Reviews and Real AI-Citation Proof")</f>
        <v>10 Best AI SEO (GEO/AEO) Agencies for 2026: No Self-Ranking, Verified by Clutch Reviews and Real AI-Citation Proof</v>
      </c>
      <c r="C182" s="8" t="str">
        <f>IFERROR(__xludf.DUMMYFUNCTION("""COMPUTED_VALUE"""),"reddit.com")</f>
        <v>reddit.com</v>
      </c>
      <c r="D182" s="11" t="str">
        <f>IFERROR(__xludf.DUMMYFUNCTION("""COMPUTED_VALUE"""),"DISCUSSION")</f>
        <v>DISCUSSION</v>
      </c>
      <c r="E182" s="11" t="str">
        <f>IFERROR(__xludf.DUMMYFUNCTION("""COMPUTED_VALUE"""),"UGC")</f>
        <v>UGC</v>
      </c>
      <c r="F182" s="11" t="str">
        <f>IFERROR(__xludf.DUMMYFUNCTION("""COMPUTED_VALUE"""),"Discussion")</f>
        <v>Discussion</v>
      </c>
      <c r="G182" s="11" t="b">
        <f>IFERROR(__xludf.DUMMYFUNCTION("""COMPUTED_VALUE"""),FALSE)</f>
        <v>0</v>
      </c>
      <c r="H182" s="11" t="str">
        <f>IFERROR(__xludf.DUMMYFUNCTION("""COMPUTED_VALUE"""),"Single Grain, NoGood, iPullRank")</f>
        <v>Single Grain, NoGood, iPullRank</v>
      </c>
      <c r="I182" s="11">
        <f>IFERROR(__xludf.DUMMYFUNCTION("""COMPUTED_VALUE"""),8.0)</f>
        <v>8</v>
      </c>
      <c r="J182" s="11">
        <f>IFERROR(__xludf.DUMMYFUNCTION("""COMPUTED_VALUE"""),0.01)</f>
        <v>0.01</v>
      </c>
      <c r="K182" s="11">
        <f>IFERROR(__xludf.DUMMYFUNCTION("""COMPUTED_VALUE"""),1.88)</f>
        <v>1.88</v>
      </c>
      <c r="L182" s="11"/>
    </row>
    <row r="183" ht="15.75" customHeight="1">
      <c r="A183" s="8" t="str">
        <f>IFERROR(__xludf.DUMMYFUNCTION("""COMPUTED_VALUE"""),"https://www.sortlist.com/i/web-analytics/germany-de")</f>
        <v>https://www.sortlist.com/i/web-analytics/germany-de</v>
      </c>
      <c r="B183" s="11" t="str">
        <f>IFERROR(__xludf.DUMMYFUNCTION("""COMPUTED_VALUE"""),"The 10 Best Web Analytics Agencies in Germany - 2026 Reviews")</f>
        <v>The 10 Best Web Analytics Agencies in Germany - 2026 Reviews</v>
      </c>
      <c r="C183" s="8" t="str">
        <f>IFERROR(__xludf.DUMMYFUNCTION("""COMPUTED_VALUE"""),"sortlist.com")</f>
        <v>sortlist.com</v>
      </c>
      <c r="D183" s="11" t="str">
        <f>IFERROR(__xludf.DUMMYFUNCTION("""COMPUTED_VALUE"""),"PROFILE")</f>
        <v>PROFILE</v>
      </c>
      <c r="E183" s="11" t="str">
        <f>IFERROR(__xludf.DUMMYFUNCTION("""COMPUTED_VALUE"""),"CORPORATE")</f>
        <v>CORPORATE</v>
      </c>
      <c r="F183" s="11" t="str">
        <f>IFERROR(__xludf.DUMMYFUNCTION("""COMPUTED_VALUE"""),"Profile")</f>
        <v>Profile</v>
      </c>
      <c r="G183" s="11" t="b">
        <f>IFERROR(__xludf.DUMMYFUNCTION("""COMPUTED_VALUE"""),FALSE)</f>
        <v>0</v>
      </c>
      <c r="H183" s="11" t="str">
        <f>IFERROR(__xludf.DUMMYFUNCTION("""COMPUTED_VALUE"""),"KlickPiloten, Baseplus DIGITAL MEDIA GmbH")</f>
        <v>KlickPiloten, Baseplus DIGITAL MEDIA GmbH</v>
      </c>
      <c r="I183" s="11">
        <f>IFERROR(__xludf.DUMMYFUNCTION("""COMPUTED_VALUE"""),8.0)</f>
        <v>8</v>
      </c>
      <c r="J183" s="11">
        <f>IFERROR(__xludf.DUMMYFUNCTION("""COMPUTED_VALUE"""),0.01)</f>
        <v>0.01</v>
      </c>
      <c r="K183" s="11">
        <f>IFERROR(__xludf.DUMMYFUNCTION("""COMPUTED_VALUE"""),0.25)</f>
        <v>0.25</v>
      </c>
      <c r="L183" s="11"/>
    </row>
    <row r="184" ht="15.75" customHeight="1">
      <c r="A184" s="8" t="str">
        <f>IFERROR(__xludf.DUMMYFUNCTION("""COMPUTED_VALUE"""),"https://www.sortlist.com/s/international-marketing/germany-de")</f>
        <v>https://www.sortlist.com/s/international-marketing/germany-de</v>
      </c>
      <c r="B184" s="11" t="str">
        <f>IFERROR(__xludf.DUMMYFUNCTION("""COMPUTED_VALUE"""),"The 10 Best International Marketing Agencies in Germany - 2026 Reviews")</f>
        <v>The 10 Best International Marketing Agencies in Germany - 2026 Reviews</v>
      </c>
      <c r="C184" s="8" t="str">
        <f>IFERROR(__xludf.DUMMYFUNCTION("""COMPUTED_VALUE"""),"sortlist.com")</f>
        <v>sortlist.com</v>
      </c>
      <c r="D184" s="11" t="str">
        <f>IFERROR(__xludf.DUMMYFUNCTION("""COMPUTED_VALUE"""),"CATEGORY_PAGE")</f>
        <v>CATEGORY_PAGE</v>
      </c>
      <c r="E184" s="11" t="str">
        <f>IFERROR(__xludf.DUMMYFUNCTION("""COMPUTED_VALUE"""),"CORPORATE")</f>
        <v>CORPORATE</v>
      </c>
      <c r="F184" s="11" t="str">
        <f>IFERROR(__xludf.DUMMYFUNCTION("""COMPUTED_VALUE"""),"Category Page")</f>
        <v>Category Page</v>
      </c>
      <c r="G184" s="11" t="b">
        <f>IFERROR(__xludf.DUMMYFUNCTION("""COMPUTED_VALUE"""),FALSE)</f>
        <v>0</v>
      </c>
      <c r="H184" s="11" t="str">
        <f>IFERROR(__xludf.DUMMYFUNCTION("""COMPUTED_VALUE"""),"MONSOON, Measured")</f>
        <v>MONSOON, Measured</v>
      </c>
      <c r="I184" s="11">
        <f>IFERROR(__xludf.DUMMYFUNCTION("""COMPUTED_VALUE"""),8.0)</f>
        <v>8</v>
      </c>
      <c r="J184" s="11">
        <f>IFERROR(__xludf.DUMMYFUNCTION("""COMPUTED_VALUE"""),0.01)</f>
        <v>0.01</v>
      </c>
      <c r="K184" s="11">
        <f>IFERROR(__xludf.DUMMYFUNCTION("""COMPUTED_VALUE"""),0.38)</f>
        <v>0.38</v>
      </c>
      <c r="L184" s="11"/>
    </row>
    <row r="185" ht="15.75" customHeight="1">
      <c r="A185" s="8" t="str">
        <f>IFERROR(__xludf.DUMMYFUNCTION("""COMPUTED_VALUE"""),"https://www.sortlist.com/s/marketing-analytics/frankfurt-he-de")</f>
        <v>https://www.sortlist.com/s/marketing-analytics/frankfurt-he-de</v>
      </c>
      <c r="B185" s="11" t="str">
        <f>IFERROR(__xludf.DUMMYFUNCTION("""COMPUTED_VALUE"""),"The 10 Best Marketing Analytics Companies in Germany - 2026 Reviews")</f>
        <v>The 10 Best Marketing Analytics Companies in Germany - 2026 Reviews</v>
      </c>
      <c r="C185" s="8" t="str">
        <f>IFERROR(__xludf.DUMMYFUNCTION("""COMPUTED_VALUE"""),"sortlist.com")</f>
        <v>sortlist.com</v>
      </c>
      <c r="D185" s="11" t="str">
        <f>IFERROR(__xludf.DUMMYFUNCTION("""COMPUTED_VALUE"""),"CATEGORY_PAGE")</f>
        <v>CATEGORY_PAGE</v>
      </c>
      <c r="E185" s="11" t="str">
        <f>IFERROR(__xludf.DUMMYFUNCTION("""COMPUTED_VALUE"""),"CORPORATE")</f>
        <v>CORPORATE</v>
      </c>
      <c r="F185" s="11" t="str">
        <f>IFERROR(__xludf.DUMMYFUNCTION("""COMPUTED_VALUE"""),"Category Page")</f>
        <v>Category Page</v>
      </c>
      <c r="G185" s="11" t="b">
        <f>IFERROR(__xludf.DUMMYFUNCTION("""COMPUTED_VALUE"""),FALSE)</f>
        <v>0</v>
      </c>
      <c r="H185" s="11" t="str">
        <f>IFERROR(__xludf.DUMMYFUNCTION("""COMPUTED_VALUE"""),"Digital Masters GmbH, lehof, MONSOON, Measured")</f>
        <v>Digital Masters GmbH, lehof, MONSOON, Measured</v>
      </c>
      <c r="I185" s="11">
        <f>IFERROR(__xludf.DUMMYFUNCTION("""COMPUTED_VALUE"""),8.0)</f>
        <v>8</v>
      </c>
      <c r="J185" s="11">
        <f>IFERROR(__xludf.DUMMYFUNCTION("""COMPUTED_VALUE"""),0.01)</f>
        <v>0.01</v>
      </c>
      <c r="K185" s="11">
        <f>IFERROR(__xludf.DUMMYFUNCTION("""COMPUTED_VALUE"""),0.5)</f>
        <v>0.5</v>
      </c>
      <c r="L185" s="11"/>
    </row>
    <row r="186" ht="15.75" customHeight="1">
      <c r="A186" s="8" t="str">
        <f>IFERROR(__xludf.DUMMYFUNCTION("""COMPUTED_VALUE"""),"https://www.sortlist.com/s/sm-analytics/germany-de")</f>
        <v>https://www.sortlist.com/s/sm-analytics/germany-de</v>
      </c>
      <c r="B186" s="11" t="str">
        <f>IFERROR(__xludf.DUMMYFUNCTION("""COMPUTED_VALUE"""),"The 10 Best SM Analytics Consultants in Germany - 2026 Reviews")</f>
        <v>The 10 Best SM Analytics Consultants in Germany - 2026 Reviews</v>
      </c>
      <c r="C186" s="8" t="str">
        <f>IFERROR(__xludf.DUMMYFUNCTION("""COMPUTED_VALUE"""),"sortlist.com")</f>
        <v>sortlist.com</v>
      </c>
      <c r="D186" s="11" t="str">
        <f>IFERROR(__xludf.DUMMYFUNCTION("""COMPUTED_VALUE"""),"CATEGORY_PAGE")</f>
        <v>CATEGORY_PAGE</v>
      </c>
      <c r="E186" s="11" t="str">
        <f>IFERROR(__xludf.DUMMYFUNCTION("""COMPUTED_VALUE"""),"CORPORATE")</f>
        <v>CORPORATE</v>
      </c>
      <c r="F186" s="11" t="str">
        <f>IFERROR(__xludf.DUMMYFUNCTION("""COMPUTED_VALUE"""),"Category Page")</f>
        <v>Category Page</v>
      </c>
      <c r="G186" s="11" t="b">
        <f>IFERROR(__xludf.DUMMYFUNCTION("""COMPUTED_VALUE"""),FALSE)</f>
        <v>0</v>
      </c>
      <c r="H186" s="11" t="str">
        <f>IFERROR(__xludf.DUMMYFUNCTION("""COMPUTED_VALUE"""),"PANORAMA3000, Momentum, ZweiDigital GmbH")</f>
        <v>PANORAMA3000, Momentum, ZweiDigital GmbH</v>
      </c>
      <c r="I186" s="11">
        <f>IFERROR(__xludf.DUMMYFUNCTION("""COMPUTED_VALUE"""),8.0)</f>
        <v>8</v>
      </c>
      <c r="J186" s="11">
        <f>IFERROR(__xludf.DUMMYFUNCTION("""COMPUTED_VALUE"""),0.01)</f>
        <v>0.01</v>
      </c>
      <c r="K186" s="11">
        <f>IFERROR(__xludf.DUMMYFUNCTION("""COMPUTED_VALUE"""),0.0)</f>
        <v>0</v>
      </c>
      <c r="L186" s="11"/>
    </row>
    <row r="187" ht="15.75" customHeight="1">
      <c r="A187" s="8" t="str">
        <f>IFERROR(__xludf.DUMMYFUNCTION("""COMPUTED_VALUE"""),"https://www.thedrum.com/news/serviceplan-reclaims-emea-agency-top-spot-in-2026-world-creative-rankings")</f>
        <v>https://www.thedrum.com/news/serviceplan-reclaims-emea-agency-top-spot-in-2026-world-creative-rankings</v>
      </c>
      <c r="B187" s="11" t="str">
        <f>IFERROR(__xludf.DUMMYFUNCTION("""COMPUTED_VALUE"""),"Serviceplan reclaims EMEA agency top spot in 2026 World Creative Rankings | The Drum")</f>
        <v>Serviceplan reclaims EMEA agency top spot in 2026 World Creative Rankings | The Drum</v>
      </c>
      <c r="C187" s="8" t="str">
        <f>IFERROR(__xludf.DUMMYFUNCTION("""COMPUTED_VALUE"""),"thedrum.com")</f>
        <v>thedrum.com</v>
      </c>
      <c r="D187" s="11" t="str">
        <f>IFERROR(__xludf.DUMMYFUNCTION("""COMPUTED_VALUE"""),"LISTICLE")</f>
        <v>LISTICLE</v>
      </c>
      <c r="E187" s="11" t="str">
        <f>IFERROR(__xludf.DUMMYFUNCTION("""COMPUTED_VALUE"""),"EDITORIAL")</f>
        <v>EDITORIAL</v>
      </c>
      <c r="F187" s="11" t="str">
        <f>IFERROR(__xludf.DUMMYFUNCTION("""COMPUTED_VALUE"""),"Listicle")</f>
        <v>Listicle</v>
      </c>
      <c r="G187" s="11" t="b">
        <f>IFERROR(__xludf.DUMMYFUNCTION("""COMPUTED_VALUE"""),FALSE)</f>
        <v>0</v>
      </c>
      <c r="H187" s="11" t="str">
        <f>IFERROR(__xludf.DUMMYFUNCTION("""COMPUTED_VALUE"""),"Omnicom, WPP")</f>
        <v>Omnicom, WPP</v>
      </c>
      <c r="I187" s="11">
        <f>IFERROR(__xludf.DUMMYFUNCTION("""COMPUTED_VALUE"""),8.0)</f>
        <v>8</v>
      </c>
      <c r="J187" s="11">
        <f>IFERROR(__xludf.DUMMYFUNCTION("""COMPUTED_VALUE"""),0.01)</f>
        <v>0.01</v>
      </c>
      <c r="K187" s="11">
        <f>IFERROR(__xludf.DUMMYFUNCTION("""COMPUTED_VALUE"""),0.0)</f>
        <v>0</v>
      </c>
      <c r="L187" s="11"/>
    </row>
    <row r="188" ht="15.75" customHeight="1">
      <c r="A188" s="8" t="str">
        <f>IFERROR(__xludf.DUMMYFUNCTION("""COMPUTED_VALUE"""),"https://www.upliftgtm.com/blog/best-aeo-agencies")</f>
        <v>https://www.upliftgtm.com/blog/best-aeo-agencies</v>
      </c>
      <c r="B188" s="11" t="str">
        <f>IFERROR(__xludf.DUMMYFUNCTION("""COMPUTED_VALUE"""),"Best AEO Agencies 2026: Top 12 Answer Engine Optimization Firms")</f>
        <v>Best AEO Agencies 2026: Top 12 Answer Engine Optimization Firms</v>
      </c>
      <c r="C188" s="8" t="str">
        <f>IFERROR(__xludf.DUMMYFUNCTION("""COMPUTED_VALUE"""),"upliftgtm.com")</f>
        <v>upliftgtm.com</v>
      </c>
      <c r="D188" s="11" t="str">
        <f>IFERROR(__xludf.DUMMYFUNCTION("""COMPUTED_VALUE"""),"LISTICLE")</f>
        <v>LISTICLE</v>
      </c>
      <c r="E188" s="11" t="str">
        <f>IFERROR(__xludf.DUMMYFUNCTION("""COMPUTED_VALUE"""),"CORPORATE")</f>
        <v>CORPORATE</v>
      </c>
      <c r="F188" s="11" t="str">
        <f>IFERROR(__xludf.DUMMYFUNCTION("""COMPUTED_VALUE"""),"Listicle")</f>
        <v>Listicle</v>
      </c>
      <c r="G188" s="11" t="b">
        <f>IFERROR(__xludf.DUMMYFUNCTION("""COMPUTED_VALUE"""),FALSE)</f>
        <v>0</v>
      </c>
      <c r="H188" s="11" t="str">
        <f>IFERROR(__xludf.DUMMYFUNCTION("""COMPUTED_VALUE"""),"Omniscient Digital, Single Grain, NoGood, Siege Media, Measured")</f>
        <v>Omniscient Digital, Single Grain, NoGood, Siege Media, Measured</v>
      </c>
      <c r="I188" s="11">
        <f>IFERROR(__xludf.DUMMYFUNCTION("""COMPUTED_VALUE"""),8.0)</f>
        <v>8</v>
      </c>
      <c r="J188" s="11">
        <f>IFERROR(__xludf.DUMMYFUNCTION("""COMPUTED_VALUE"""),0.01)</f>
        <v>0.01</v>
      </c>
      <c r="K188" s="11">
        <f>IFERROR(__xludf.DUMMYFUNCTION("""COMPUTED_VALUE"""),0.0)</f>
        <v>0</v>
      </c>
      <c r="L188" s="11"/>
    </row>
    <row r="189" ht="15.75" customHeight="1">
      <c r="A189" s="8" t="str">
        <f>IFERROR(__xludf.DUMMYFUNCTION("""COMPUTED_VALUE"""),"https://websenor.com/top-10-ai-agencies-in-germany/")</f>
        <v>https://websenor.com/top-10-ai-agencies-in-germany/</v>
      </c>
      <c r="B189" s="11" t="str">
        <f>IFERROR(__xludf.DUMMYFUNCTION("""COMPUTED_VALUE"""),"Top 10 AI Agencies in Germany - WebSenor")</f>
        <v>Top 10 AI Agencies in Germany - WebSenor</v>
      </c>
      <c r="C189" s="8" t="str">
        <f>IFERROR(__xludf.DUMMYFUNCTION("""COMPUTED_VALUE"""),"websenor.com")</f>
        <v>websenor.com</v>
      </c>
      <c r="D189" s="11" t="str">
        <f>IFERROR(__xludf.DUMMYFUNCTION("""COMPUTED_VALUE"""),"LISTICLE")</f>
        <v>LISTICLE</v>
      </c>
      <c r="E189" s="11" t="str">
        <f>IFERROR(__xludf.DUMMYFUNCTION("""COMPUTED_VALUE"""),"CORPORATE")</f>
        <v>CORPORATE</v>
      </c>
      <c r="F189" s="11" t="str">
        <f>IFERROR(__xludf.DUMMYFUNCTION("""COMPUTED_VALUE"""),"Listicle")</f>
        <v>Listicle</v>
      </c>
      <c r="G189" s="11" t="b">
        <f>IFERROR(__xludf.DUMMYFUNCTION("""COMPUTED_VALUE"""),FALSE)</f>
        <v>0</v>
      </c>
      <c r="H189" s="11" t="str">
        <f>IFERROR(__xludf.DUMMYFUNCTION("""COMPUTED_VALUE"""),"statworx")</f>
        <v>statworx</v>
      </c>
      <c r="I189" s="11">
        <f>IFERROR(__xludf.DUMMYFUNCTION("""COMPUTED_VALUE"""),8.0)</f>
        <v>8</v>
      </c>
      <c r="J189" s="11">
        <f>IFERROR(__xludf.DUMMYFUNCTION("""COMPUTED_VALUE"""),0.01)</f>
        <v>0.01</v>
      </c>
      <c r="K189" s="11">
        <f>IFERROR(__xludf.DUMMYFUNCTION("""COMPUTED_VALUE"""),0.75)</f>
        <v>0.75</v>
      </c>
      <c r="L189" s="11"/>
    </row>
    <row r="190" ht="15.75" customHeight="1">
      <c r="A190" s="8" t="str">
        <f>IFERROR(__xludf.DUMMYFUNCTION("""COMPUTED_VALUE"""),"https://www.youtube.com/watch?v=4L7On3IGqKQ")</f>
        <v>https://www.youtube.com/watch?v=4L7On3IGqKQ</v>
      </c>
      <c r="B190" s="11" t="str">
        <f>IFERROR(__xludf.DUMMYFUNCTION("""COMPUTED_VALUE"""),"What Are the Best Generative Engine Optimization (GEO) Agencies in Germany?")</f>
        <v>What Are the Best Generative Engine Optimization (GEO) Agencies in Germany?</v>
      </c>
      <c r="C190" s="8" t="str">
        <f>IFERROR(__xludf.DUMMYFUNCTION("""COMPUTED_VALUE"""),"youtube.com")</f>
        <v>youtube.com</v>
      </c>
      <c r="D190" s="11" t="str">
        <f>IFERROR(__xludf.DUMMYFUNCTION("""COMPUTED_VALUE"""),"LISTICLE")</f>
        <v>LISTICLE</v>
      </c>
      <c r="E190" s="11" t="str">
        <f>IFERROR(__xludf.DUMMYFUNCTION("""COMPUTED_VALUE"""),"UGC")</f>
        <v>UGC</v>
      </c>
      <c r="F190" s="11" t="str">
        <f>IFERROR(__xludf.DUMMYFUNCTION("""COMPUTED_VALUE"""),"Listicle")</f>
        <v>Listicle</v>
      </c>
      <c r="G190" s="11" t="b">
        <f>IFERROR(__xludf.DUMMYFUNCTION("""COMPUTED_VALUE"""),FALSE)</f>
        <v>0</v>
      </c>
      <c r="H190" s="11" t="str">
        <f>IFERROR(__xludf.DUMMYFUNCTION("""COMPUTED_VALUE"""),"Huge, Brainlabs")</f>
        <v>Huge, Brainlabs</v>
      </c>
      <c r="I190" s="11">
        <f>IFERROR(__xludf.DUMMYFUNCTION("""COMPUTED_VALUE"""),8.0)</f>
        <v>8</v>
      </c>
      <c r="J190" s="11">
        <f>IFERROR(__xludf.DUMMYFUNCTION("""COMPUTED_VALUE"""),0.01)</f>
        <v>0.01</v>
      </c>
      <c r="K190" s="11">
        <f>IFERROR(__xludf.DUMMYFUNCTION("""COMPUTED_VALUE"""),1.13)</f>
        <v>1.13</v>
      </c>
      <c r="L190" s="11"/>
    </row>
    <row r="191" ht="15.75" customHeight="1">
      <c r="A191" s="8" t="str">
        <f>IFERROR(__xludf.DUMMYFUNCTION("""COMPUTED_VALUE"""),"https://aeo-copilot.com/partners/agencies/germany/berlin")</f>
        <v>https://aeo-copilot.com/partners/agencies/germany/berlin</v>
      </c>
      <c r="B191" s="11" t="str">
        <f>IFERROR(__xludf.DUMMYFUNCTION("""COMPUTED_VALUE"""),"Best AEO Agencies in Berlin, Germany — AI Visibility Experts | AEO Copilot")</f>
        <v>Best AEO Agencies in Berlin, Germany — AI Visibility Experts | AEO Copilot</v>
      </c>
      <c r="C191" s="8" t="str">
        <f>IFERROR(__xludf.DUMMYFUNCTION("""COMPUTED_VALUE"""),"aeo-copilot.com")</f>
        <v>aeo-copilot.com</v>
      </c>
      <c r="D191" s="11" t="str">
        <f>IFERROR(__xludf.DUMMYFUNCTION("""COMPUTED_VALUE"""),"CATEGORY_PAGE")</f>
        <v>CATEGORY_PAGE</v>
      </c>
      <c r="E191" s="11" t="str">
        <f>IFERROR(__xludf.DUMMYFUNCTION("""COMPUTED_VALUE"""),"CORPORATE")</f>
        <v>CORPORATE</v>
      </c>
      <c r="F191" s="11" t="str">
        <f>IFERROR(__xludf.DUMMYFUNCTION("""COMPUTED_VALUE"""),"Category Page")</f>
        <v>Category Page</v>
      </c>
      <c r="G191" s="11" t="b">
        <f>IFERROR(__xludf.DUMMYFUNCTION("""COMPUTED_VALUE"""),FALSE)</f>
        <v>0</v>
      </c>
      <c r="H191" s="11"/>
      <c r="I191" s="11">
        <f>IFERROR(__xludf.DUMMYFUNCTION("""COMPUTED_VALUE"""),7.0)</f>
        <v>7</v>
      </c>
      <c r="J191" s="11">
        <f>IFERROR(__xludf.DUMMYFUNCTION("""COMPUTED_VALUE"""),0.01)</f>
        <v>0.01</v>
      </c>
      <c r="K191" s="11">
        <f>IFERROR(__xludf.DUMMYFUNCTION("""COMPUTED_VALUE"""),0.57)</f>
        <v>0.57</v>
      </c>
      <c r="L191" s="11"/>
    </row>
    <row r="192" ht="15.75" customHeight="1">
      <c r="A192" s="8" t="str">
        <f>IFERROR(__xludf.DUMMYFUNCTION("""COMPUTED_VALUE"""),"https://aeo-copilot.com/partners/agencies/germany/frankfurt")</f>
        <v>https://aeo-copilot.com/partners/agencies/germany/frankfurt</v>
      </c>
      <c r="B192" s="11" t="str">
        <f>IFERROR(__xludf.DUMMYFUNCTION("""COMPUTED_VALUE"""),"Best AEO Agencies in Frankfurt, Germany — AI Visibility Experts | AEO Copilot")</f>
        <v>Best AEO Agencies in Frankfurt, Germany — AI Visibility Experts | AEO Copilot</v>
      </c>
      <c r="C192" s="8" t="str">
        <f>IFERROR(__xludf.DUMMYFUNCTION("""COMPUTED_VALUE"""),"aeo-copilot.com")</f>
        <v>aeo-copilot.com</v>
      </c>
      <c r="D192" s="11" t="str">
        <f>IFERROR(__xludf.DUMMYFUNCTION("""COMPUTED_VALUE"""),"OTHER")</f>
        <v>OTHER</v>
      </c>
      <c r="E192" s="11" t="str">
        <f>IFERROR(__xludf.DUMMYFUNCTION("""COMPUTED_VALUE"""),"CORPORATE")</f>
        <v>CORPORATE</v>
      </c>
      <c r="F192" s="11" t="str">
        <f>IFERROR(__xludf.DUMMYFUNCTION("""COMPUTED_VALUE"""),"Other")</f>
        <v>Other</v>
      </c>
      <c r="G192" s="11" t="b">
        <f>IFERROR(__xludf.DUMMYFUNCTION("""COMPUTED_VALUE"""),FALSE)</f>
        <v>0</v>
      </c>
      <c r="H192" s="11"/>
      <c r="I192" s="11">
        <f>IFERROR(__xludf.DUMMYFUNCTION("""COMPUTED_VALUE"""),7.0)</f>
        <v>7</v>
      </c>
      <c r="J192" s="11">
        <f>IFERROR(__xludf.DUMMYFUNCTION("""COMPUTED_VALUE"""),0.01)</f>
        <v>0.01</v>
      </c>
      <c r="K192" s="11">
        <f>IFERROR(__xludf.DUMMYFUNCTION("""COMPUTED_VALUE"""),0.0)</f>
        <v>0</v>
      </c>
      <c r="L192" s="11"/>
    </row>
    <row r="193" ht="15.75" customHeight="1">
      <c r="A193" s="8" t="str">
        <f>IFERROR(__xludf.DUMMYFUNCTION("""COMPUTED_VALUE"""),"https://agencies.semrush.com/list/display-advertising/germany/mid-business/")</f>
        <v>https://agencies.semrush.com/list/display-advertising/germany/mid-business/</v>
      </c>
      <c r="B193" s="11" t="str">
        <f>IFERROR(__xludf.DUMMYFUNCTION("""COMPUTED_VALUE"""),"Best Display Ads Agencies for Mid Business in Germany 2026 | Semrush")</f>
        <v>Best Display Ads Agencies for Mid Business in Germany 2026 | Semrush</v>
      </c>
      <c r="C193" s="8" t="str">
        <f>IFERROR(__xludf.DUMMYFUNCTION("""COMPUTED_VALUE"""),"semrush.com")</f>
        <v>semrush.com</v>
      </c>
      <c r="D193" s="11" t="str">
        <f>IFERROR(__xludf.DUMMYFUNCTION("""COMPUTED_VALUE"""),"OTHER")</f>
        <v>OTHER</v>
      </c>
      <c r="E193" s="11" t="str">
        <f>IFERROR(__xludf.DUMMYFUNCTION("""COMPUTED_VALUE"""),"CORPORATE")</f>
        <v>CORPORATE</v>
      </c>
      <c r="F193" s="11" t="str">
        <f>IFERROR(__xludf.DUMMYFUNCTION("""COMPUTED_VALUE"""),"Other")</f>
        <v>Other</v>
      </c>
      <c r="G193" s="11" t="b">
        <f>IFERROR(__xludf.DUMMYFUNCTION("""COMPUTED_VALUE"""),FALSE)</f>
        <v>0</v>
      </c>
      <c r="H193" s="11" t="str">
        <f>IFERROR(__xludf.DUMMYFUNCTION("""COMPUTED_VALUE"""),"Baseplus DIGITAL MEDIA GmbH, morefire, Mediaplus Performance, MONSOON, KlickPiloten")</f>
        <v>Baseplus DIGITAL MEDIA GmbH, morefire, Mediaplus Performance, MONSOON, KlickPiloten</v>
      </c>
      <c r="I193" s="11">
        <f>IFERROR(__xludf.DUMMYFUNCTION("""COMPUTED_VALUE"""),7.0)</f>
        <v>7</v>
      </c>
      <c r="J193" s="11">
        <f>IFERROR(__xludf.DUMMYFUNCTION("""COMPUTED_VALUE"""),0.01)</f>
        <v>0.01</v>
      </c>
      <c r="K193" s="11">
        <f>IFERROR(__xludf.DUMMYFUNCTION("""COMPUTED_VALUE"""),1.71)</f>
        <v>1.71</v>
      </c>
      <c r="L193" s="11"/>
    </row>
    <row r="194" ht="15.75" customHeight="1">
      <c r="A194" s="8" t="str">
        <f>IFERROR(__xludf.DUMMYFUNCTION("""COMPUTED_VALUE"""),"https://agencies.semrush.com/list/seo/germany/")</f>
        <v>https://agencies.semrush.com/list/seo/germany/</v>
      </c>
      <c r="B194" s="11" t="str">
        <f>IFERROR(__xludf.DUMMYFUNCTION("""COMPUTED_VALUE"""),"Best SEO Companies in Germany 2026 | Semrush")</f>
        <v>Best SEO Companies in Germany 2026 | Semrush</v>
      </c>
      <c r="C194" s="8" t="str">
        <f>IFERROR(__xludf.DUMMYFUNCTION("""COMPUTED_VALUE"""),"semrush.com")</f>
        <v>semrush.com</v>
      </c>
      <c r="D194" s="11" t="str">
        <f>IFERROR(__xludf.DUMMYFUNCTION("""COMPUTED_VALUE"""),"CATEGORY_PAGE")</f>
        <v>CATEGORY_PAGE</v>
      </c>
      <c r="E194" s="11" t="str">
        <f>IFERROR(__xludf.DUMMYFUNCTION("""COMPUTED_VALUE"""),"CORPORATE")</f>
        <v>CORPORATE</v>
      </c>
      <c r="F194" s="11" t="str">
        <f>IFERROR(__xludf.DUMMYFUNCTION("""COMPUTED_VALUE"""),"Category Page")</f>
        <v>Category Page</v>
      </c>
      <c r="G194" s="11" t="b">
        <f>IFERROR(__xludf.DUMMYFUNCTION("""COMPUTED_VALUE"""),FALSE)</f>
        <v>0</v>
      </c>
      <c r="H194"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194" s="11">
        <f>IFERROR(__xludf.DUMMYFUNCTION("""COMPUTED_VALUE"""),7.0)</f>
        <v>7</v>
      </c>
      <c r="J194" s="11">
        <f>IFERROR(__xludf.DUMMYFUNCTION("""COMPUTED_VALUE"""),0.01)</f>
        <v>0.01</v>
      </c>
      <c r="K194" s="11">
        <f>IFERROR(__xludf.DUMMYFUNCTION("""COMPUTED_VALUE"""),0.14)</f>
        <v>0.14</v>
      </c>
      <c r="L194" s="11"/>
    </row>
    <row r="195" ht="15.75" customHeight="1">
      <c r="A195" s="8" t="str">
        <f>IFERROR(__xludf.DUMMYFUNCTION("""COMPUTED_VALUE"""),"https://www.alphaapexgroup.com/blog/top-ai-consulting-firms")</f>
        <v>https://www.alphaapexgroup.com/blog/top-ai-consulting-firms</v>
      </c>
      <c r="B195"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195" s="8" t="str">
        <f>IFERROR(__xludf.DUMMYFUNCTION("""COMPUTED_VALUE"""),"alphaapexgroup.com")</f>
        <v>alphaapexgroup.com</v>
      </c>
      <c r="D195" s="11" t="str">
        <f>IFERROR(__xludf.DUMMYFUNCTION("""COMPUTED_VALUE"""),"LISTICLE")</f>
        <v>LISTICLE</v>
      </c>
      <c r="E195" s="11" t="str">
        <f>IFERROR(__xludf.DUMMYFUNCTION("""COMPUTED_VALUE"""),"CORPORATE")</f>
        <v>CORPORATE</v>
      </c>
      <c r="F195" s="11" t="str">
        <f>IFERROR(__xludf.DUMMYFUNCTION("""COMPUTED_VALUE"""),"Listicle")</f>
        <v>Listicle</v>
      </c>
      <c r="G195" s="11" t="b">
        <f>IFERROR(__xludf.DUMMYFUNCTION("""COMPUTED_VALUE"""),FALSE)</f>
        <v>0</v>
      </c>
      <c r="H195" s="11" t="str">
        <f>IFERROR(__xludf.DUMMYFUNCTION("""COMPUTED_VALUE"""),"Pilot, Artefact, Ogilvy, McKinsey &amp; Company")</f>
        <v>Pilot, Artefact, Ogilvy, McKinsey &amp; Company</v>
      </c>
      <c r="I195" s="11">
        <f>IFERROR(__xludf.DUMMYFUNCTION("""COMPUTED_VALUE"""),7.0)</f>
        <v>7</v>
      </c>
      <c r="J195" s="11">
        <f>IFERROR(__xludf.DUMMYFUNCTION("""COMPUTED_VALUE"""),0.01)</f>
        <v>0.01</v>
      </c>
      <c r="K195" s="11">
        <f>IFERROR(__xludf.DUMMYFUNCTION("""COMPUTED_VALUE"""),1.29)</f>
        <v>1.29</v>
      </c>
      <c r="L195" s="11"/>
    </row>
    <row r="196" ht="15.75" customHeight="1">
      <c r="A196" s="8" t="str">
        <f>IFERROR(__xludf.DUMMYFUNCTION("""COMPUTED_VALUE"""),"https://awisee.com/pt/blog/digital-marketing-agencies-germany/")</f>
        <v>https://awisee.com/pt/blog/digital-marketing-agencies-germany/</v>
      </c>
      <c r="B196" s="11" t="str">
        <f>IFERROR(__xludf.DUMMYFUNCTION("""COMPUTED_VALUE"""),"Top 4 Digital Marketing Agencies Germany In 2025 (Reviews)")</f>
        <v>Top 4 Digital Marketing Agencies Germany In 2025 (Reviews)</v>
      </c>
      <c r="C196" s="8" t="str">
        <f>IFERROR(__xludf.DUMMYFUNCTION("""COMPUTED_VALUE"""),"awisee.com")</f>
        <v>awisee.com</v>
      </c>
      <c r="D196" s="11" t="str">
        <f>IFERROR(__xludf.DUMMYFUNCTION("""COMPUTED_VALUE"""),"LISTICLE")</f>
        <v>LISTICLE</v>
      </c>
      <c r="E196" s="11" t="str">
        <f>IFERROR(__xludf.DUMMYFUNCTION("""COMPUTED_VALUE"""),"OTHER")</f>
        <v>OTHER</v>
      </c>
      <c r="F196" s="11" t="str">
        <f>IFERROR(__xludf.DUMMYFUNCTION("""COMPUTED_VALUE"""),"Listicle")</f>
        <v>Listicle</v>
      </c>
      <c r="G196" s="11" t="b">
        <f>IFERROR(__xludf.DUMMYFUNCTION("""COMPUTED_VALUE"""),FALSE)</f>
        <v>0</v>
      </c>
      <c r="H196" s="11" t="str">
        <f>IFERROR(__xludf.DUMMYFUNCTION("""COMPUTED_VALUE"""),"KlickPiloten")</f>
        <v>KlickPiloten</v>
      </c>
      <c r="I196" s="11">
        <f>IFERROR(__xludf.DUMMYFUNCTION("""COMPUTED_VALUE"""),7.0)</f>
        <v>7</v>
      </c>
      <c r="J196" s="11">
        <f>IFERROR(__xludf.DUMMYFUNCTION("""COMPUTED_VALUE"""),0.01)</f>
        <v>0.01</v>
      </c>
      <c r="K196" s="11">
        <f>IFERROR(__xludf.DUMMYFUNCTION("""COMPUTED_VALUE"""),0.14)</f>
        <v>0.14</v>
      </c>
      <c r="L196" s="11"/>
    </row>
    <row r="197" ht="15.75" customHeight="1">
      <c r="A197" s="8" t="str">
        <f>IFERROR(__xludf.DUMMYFUNCTION("""COMPUTED_VALUE"""),"https://clutch.co/de/consulting/ai/strategy?page=1")</f>
        <v>https://clutch.co/de/consulting/ai/strategy?page=1</v>
      </c>
      <c r="B197" s="11" t="str">
        <f>IFERROR(__xludf.DUMMYFUNCTION("""COMPUTED_VALUE"""),"Page 2 - Top AI Strategy Companies in Germany - Jul 2026 Rankings \| Clutch.co")</f>
        <v>Page 2 - Top AI Strategy Companies in Germany - Jul 2026 Rankings \| Clutch.co</v>
      </c>
      <c r="C197" s="8" t="str">
        <f>IFERROR(__xludf.DUMMYFUNCTION("""COMPUTED_VALUE"""),"clutch.co")</f>
        <v>clutch.co</v>
      </c>
      <c r="D197" s="11" t="str">
        <f>IFERROR(__xludf.DUMMYFUNCTION("""COMPUTED_VALUE"""),"CATEGORY_PAGE")</f>
        <v>CATEGORY_PAGE</v>
      </c>
      <c r="E197" s="11" t="str">
        <f>IFERROR(__xludf.DUMMYFUNCTION("""COMPUTED_VALUE"""),"CORPORATE")</f>
        <v>CORPORATE</v>
      </c>
      <c r="F197" s="11" t="str">
        <f>IFERROR(__xludf.DUMMYFUNCTION("""COMPUTED_VALUE"""),"Category Page")</f>
        <v>Category Page</v>
      </c>
      <c r="G197" s="11" t="b">
        <f>IFERROR(__xludf.DUMMYFUNCTION("""COMPUTED_VALUE"""),FALSE)</f>
        <v>0</v>
      </c>
      <c r="H197" s="11"/>
      <c r="I197" s="11">
        <f>IFERROR(__xludf.DUMMYFUNCTION("""COMPUTED_VALUE"""),7.0)</f>
        <v>7</v>
      </c>
      <c r="J197" s="11">
        <f>IFERROR(__xludf.DUMMYFUNCTION("""COMPUTED_VALUE"""),0.01)</f>
        <v>0.01</v>
      </c>
      <c r="K197" s="11">
        <f>IFERROR(__xludf.DUMMYFUNCTION("""COMPUTED_VALUE"""),0.0)</f>
        <v>0</v>
      </c>
      <c r="L197" s="11"/>
    </row>
    <row r="198" ht="15.75" customHeight="1">
      <c r="A198" s="8" t="str">
        <f>IFERROR(__xludf.DUMMYFUNCTION("""COMPUTED_VALUE"""),"https://ensun.io/search/display-advertising/germany")</f>
        <v>https://ensun.io/search/display-advertising/germany</v>
      </c>
      <c r="B198" s="11" t="str">
        <f>IFERROR(__xludf.DUMMYFUNCTION("""COMPUTED_VALUE"""),"Top 100 Display Advertising Companies in Germany (2026) \| ensun")</f>
        <v>Top 100 Display Advertising Companies in Germany (2026) \| ensun</v>
      </c>
      <c r="C198" s="8" t="str">
        <f>IFERROR(__xludf.DUMMYFUNCTION("""COMPUTED_VALUE"""),"ensun.io")</f>
        <v>ensun.io</v>
      </c>
      <c r="D198" s="11" t="str">
        <f>IFERROR(__xludf.DUMMYFUNCTION("""COMPUTED_VALUE"""),"CATEGORY_PAGE")</f>
        <v>CATEGORY_PAGE</v>
      </c>
      <c r="E198" s="11" t="str">
        <f>IFERROR(__xludf.DUMMYFUNCTION("""COMPUTED_VALUE"""),"OTHER")</f>
        <v>OTHER</v>
      </c>
      <c r="F198" s="11" t="str">
        <f>IFERROR(__xludf.DUMMYFUNCTION("""COMPUTED_VALUE"""),"Category Page")</f>
        <v>Category Page</v>
      </c>
      <c r="G198" s="11" t="b">
        <f>IFERROR(__xludf.DUMMYFUNCTION("""COMPUTED_VALUE"""),FALSE)</f>
        <v>0</v>
      </c>
      <c r="H198" s="11"/>
      <c r="I198" s="11">
        <f>IFERROR(__xludf.DUMMYFUNCTION("""COMPUTED_VALUE"""),7.0)</f>
        <v>7</v>
      </c>
      <c r="J198" s="11">
        <f>IFERROR(__xludf.DUMMYFUNCTION("""COMPUTED_VALUE"""),0.01)</f>
        <v>0.01</v>
      </c>
      <c r="K198" s="11">
        <f>IFERROR(__xludf.DUMMYFUNCTION("""COMPUTED_VALUE"""),2.43)</f>
        <v>2.43</v>
      </c>
      <c r="L198" s="11"/>
    </row>
    <row r="199" ht="15.75" customHeight="1">
      <c r="A199" s="8" t="str">
        <f>IFERROR(__xludf.DUMMYFUNCTION("""COMPUTED_VALUE"""),"https://feedbax.ai/geo-agencies/dach")</f>
        <v>https://feedbax.ai/geo-agencies/dach</v>
      </c>
      <c r="B199" s="11" t="str">
        <f>IFERROR(__xludf.DUMMYFUNCTION("""COMPUTED_VALUE"""),"Top 20 GEO Agencies in DACH - 2026 Reviews")</f>
        <v>Top 20 GEO Agencies in DACH - 2026 Reviews</v>
      </c>
      <c r="C199" s="8" t="str">
        <f>IFERROR(__xludf.DUMMYFUNCTION("""COMPUTED_VALUE"""),"feedbax.ai")</f>
        <v>feedbax.ai</v>
      </c>
      <c r="D199" s="11" t="str">
        <f>IFERROR(__xludf.DUMMYFUNCTION("""COMPUTED_VALUE"""),"CATEGORY_PAGE")</f>
        <v>CATEGORY_PAGE</v>
      </c>
      <c r="E199" s="11" t="str">
        <f>IFERROR(__xludf.DUMMYFUNCTION("""COMPUTED_VALUE"""),"UGC")</f>
        <v>UGC</v>
      </c>
      <c r="F199" s="11" t="str">
        <f>IFERROR(__xludf.DUMMYFUNCTION("""COMPUTED_VALUE"""),"Category Page")</f>
        <v>Category Page</v>
      </c>
      <c r="G199" s="11" t="b">
        <f>IFERROR(__xludf.DUMMYFUNCTION("""COMPUTED_VALUE"""),FALSE)</f>
        <v>0</v>
      </c>
      <c r="H199" s="11" t="str">
        <f>IFERROR(__xludf.DUMMYFUNCTION("""COMPUTED_VALUE"""),"DREIKON, HECHT INS GEFECHT")</f>
        <v>DREIKON, HECHT INS GEFECHT</v>
      </c>
      <c r="I199" s="11">
        <f>IFERROR(__xludf.DUMMYFUNCTION("""COMPUTED_VALUE"""),7.0)</f>
        <v>7</v>
      </c>
      <c r="J199" s="11">
        <f>IFERROR(__xludf.DUMMYFUNCTION("""COMPUTED_VALUE"""),0.01)</f>
        <v>0.01</v>
      </c>
      <c r="K199" s="11">
        <f>IFERROR(__xludf.DUMMYFUNCTION("""COMPUTED_VALUE"""),0.43)</f>
        <v>0.43</v>
      </c>
      <c r="L199" s="11"/>
    </row>
    <row r="200" ht="15.75" customHeight="1">
      <c r="A200" s="8" t="str">
        <f>IFERROR(__xludf.DUMMYFUNCTION("""COMPUTED_VALUE"""),"https://feedbax.ai/google-ads/western-europe")</f>
        <v>https://feedbax.ai/google-ads/western-europe</v>
      </c>
      <c r="B200" s="11" t="str">
        <f>IFERROR(__xludf.DUMMYFUNCTION("""COMPUTED_VALUE"""),"Top 20 Google Ads Agencies in Western Europe - 2026 Reviews")</f>
        <v>Top 20 Google Ads Agencies in Western Europe - 2026 Reviews</v>
      </c>
      <c r="C200" s="8" t="str">
        <f>IFERROR(__xludf.DUMMYFUNCTION("""COMPUTED_VALUE"""),"feedbax.ai")</f>
        <v>feedbax.ai</v>
      </c>
      <c r="D200" s="11" t="str">
        <f>IFERROR(__xludf.DUMMYFUNCTION("""COMPUTED_VALUE"""),"PROFILE")</f>
        <v>PROFILE</v>
      </c>
      <c r="E200" s="11" t="str">
        <f>IFERROR(__xludf.DUMMYFUNCTION("""COMPUTED_VALUE"""),"UGC")</f>
        <v>UGC</v>
      </c>
      <c r="F200" s="11" t="str">
        <f>IFERROR(__xludf.DUMMYFUNCTION("""COMPUTED_VALUE"""),"Profile")</f>
        <v>Profile</v>
      </c>
      <c r="G200" s="11" t="b">
        <f>IFERROR(__xludf.DUMMYFUNCTION("""COMPUTED_VALUE"""),FALSE)</f>
        <v>0</v>
      </c>
      <c r="H200" s="11" t="str">
        <f>IFERROR(__xludf.DUMMYFUNCTION("""COMPUTED_VALUE"""),"Mediacharge, Smarketer, DREIKON, Suchhelden")</f>
        <v>Mediacharge, Smarketer, DREIKON, Suchhelden</v>
      </c>
      <c r="I200" s="11">
        <f>IFERROR(__xludf.DUMMYFUNCTION("""COMPUTED_VALUE"""),7.0)</f>
        <v>7</v>
      </c>
      <c r="J200" s="11">
        <f>IFERROR(__xludf.DUMMYFUNCTION("""COMPUTED_VALUE"""),0.01)</f>
        <v>0.01</v>
      </c>
      <c r="K200" s="11">
        <f>IFERROR(__xludf.DUMMYFUNCTION("""COMPUTED_VALUE"""),1.29)</f>
        <v>1.29</v>
      </c>
      <c r="L200" s="11"/>
    </row>
    <row r="201" ht="15.75" customHeight="1">
      <c r="A201" s="8" t="str">
        <f>IFERROR(__xludf.DUMMYFUNCTION("""COMPUTED_VALUE"""),"https://www.goodfirms.co/directory/country/top-digital-marketing-companies/advertising-ppc/germany")</f>
        <v>https://www.goodfirms.co/directory/country/top-digital-marketing-companies/advertising-ppc/germany</v>
      </c>
      <c r="B201" s="11" t="str">
        <f>IFERROR(__xludf.DUMMYFUNCTION("""COMPUTED_VALUE"""),"Top PPC Agencies in Germany - 2026 Reviews | Goodfirms")</f>
        <v>Top PPC Agencies in Germany - 2026 Reviews | Goodfirms</v>
      </c>
      <c r="C201" s="8" t="str">
        <f>IFERROR(__xludf.DUMMYFUNCTION("""COMPUTED_VALUE"""),"goodfirms.co")</f>
        <v>goodfirms.co</v>
      </c>
      <c r="D201" s="11" t="str">
        <f>IFERROR(__xludf.DUMMYFUNCTION("""COMPUTED_VALUE"""),"CATEGORY_PAGE")</f>
        <v>CATEGORY_PAGE</v>
      </c>
      <c r="E201" s="11" t="str">
        <f>IFERROR(__xludf.DUMMYFUNCTION("""COMPUTED_VALUE"""),"UGC")</f>
        <v>UGC</v>
      </c>
      <c r="F201" s="11" t="str">
        <f>IFERROR(__xludf.DUMMYFUNCTION("""COMPUTED_VALUE"""),"Category Page")</f>
        <v>Category Page</v>
      </c>
      <c r="G201" s="11" t="b">
        <f>IFERROR(__xludf.DUMMYFUNCTION("""COMPUTED_VALUE"""),FALSE)</f>
        <v>0</v>
      </c>
      <c r="H201" s="11" t="str">
        <f>IFERROR(__xludf.DUMMYFUNCTION("""COMPUTED_VALUE"""),"WebFX, Mediacharge, Smarketer, Aufgesang")</f>
        <v>WebFX, Mediacharge, Smarketer, Aufgesang</v>
      </c>
      <c r="I201" s="11">
        <f>IFERROR(__xludf.DUMMYFUNCTION("""COMPUTED_VALUE"""),7.0)</f>
        <v>7</v>
      </c>
      <c r="J201" s="11">
        <f>IFERROR(__xludf.DUMMYFUNCTION("""COMPUTED_VALUE"""),0.01)</f>
        <v>0.01</v>
      </c>
      <c r="K201" s="11">
        <f>IFERROR(__xludf.DUMMYFUNCTION("""COMPUTED_VALUE"""),0.0)</f>
        <v>0</v>
      </c>
      <c r="L201" s="11"/>
    </row>
    <row r="202" ht="15.75" customHeight="1">
      <c r="A202" s="8" t="str">
        <f>IFERROR(__xludf.DUMMYFUNCTION("""COMPUTED_VALUE"""),"https://www.gtm8020.com/blog/best-aeo-agencies")</f>
        <v>https://www.gtm8020.com/blog/best-aeo-agencies</v>
      </c>
      <c r="B202" s="11" t="str">
        <f>IFERROR(__xludf.DUMMYFUNCTION("""COMPUTED_VALUE"""),"Best AEO Agencies - 2026 — GTM 8020")</f>
        <v>Best AEO Agencies - 2026 — GTM 8020</v>
      </c>
      <c r="C202" s="8" t="str">
        <f>IFERROR(__xludf.DUMMYFUNCTION("""COMPUTED_VALUE"""),"gtm8020.com")</f>
        <v>gtm8020.com</v>
      </c>
      <c r="D202" s="11" t="str">
        <f>IFERROR(__xludf.DUMMYFUNCTION("""COMPUTED_VALUE"""),"LISTICLE")</f>
        <v>LISTICLE</v>
      </c>
      <c r="E202" s="11" t="str">
        <f>IFERROR(__xludf.DUMMYFUNCTION("""COMPUTED_VALUE"""),"OTHER")</f>
        <v>OTHER</v>
      </c>
      <c r="F202" s="11" t="str">
        <f>IFERROR(__xludf.DUMMYFUNCTION("""COMPUTED_VALUE"""),"Listicle")</f>
        <v>Listicle</v>
      </c>
      <c r="G202" s="11" t="b">
        <f>IFERROR(__xludf.DUMMYFUNCTION("""COMPUTED_VALUE"""),FALSE)</f>
        <v>0</v>
      </c>
      <c r="H202" s="11" t="str">
        <f>IFERROR(__xludf.DUMMYFUNCTION("""COMPUTED_VALUE"""),"Siege Media, Omniscient Digital, Momentum")</f>
        <v>Siege Media, Omniscient Digital, Momentum</v>
      </c>
      <c r="I202" s="11">
        <f>IFERROR(__xludf.DUMMYFUNCTION("""COMPUTED_VALUE"""),7.0)</f>
        <v>7</v>
      </c>
      <c r="J202" s="11">
        <f>IFERROR(__xludf.DUMMYFUNCTION("""COMPUTED_VALUE"""),0.01)</f>
        <v>0.01</v>
      </c>
      <c r="K202" s="11">
        <f>IFERROR(__xludf.DUMMYFUNCTION("""COMPUTED_VALUE"""),0.29)</f>
        <v>0.29</v>
      </c>
      <c r="L202" s="11"/>
    </row>
    <row r="203" ht="15.75" customHeight="1">
      <c r="A203" s="8" t="str">
        <f>IFERROR(__xludf.DUMMYFUNCTION("""COMPUTED_VALUE"""),"https://www.loudface.co/blog/best-aeo-agencies-b2b-saas-2026")</f>
        <v>https://www.loudface.co/blog/best-aeo-agencies-b2b-saas-2026</v>
      </c>
      <c r="B203" s="11" t="str">
        <f>IFERROR(__xludf.DUMMYFUNCTION("""COMPUTED_VALUE"""),"Best AEO &amp;amp; GEO Agencies for B2B SaaS in 2026 | LoudFace")</f>
        <v>Best AEO &amp;amp; GEO Agencies for B2B SaaS in 2026 | LoudFace</v>
      </c>
      <c r="C203" s="8" t="str">
        <f>IFERROR(__xludf.DUMMYFUNCTION("""COMPUTED_VALUE"""),"loudface.co")</f>
        <v>loudface.co</v>
      </c>
      <c r="D203" s="11" t="str">
        <f>IFERROR(__xludf.DUMMYFUNCTION("""COMPUTED_VALUE"""),"LISTICLE")</f>
        <v>LISTICLE</v>
      </c>
      <c r="E203" s="11" t="str">
        <f>IFERROR(__xludf.DUMMYFUNCTION("""COMPUTED_VALUE"""),"CORPORATE")</f>
        <v>CORPORATE</v>
      </c>
      <c r="F203" s="11" t="str">
        <f>IFERROR(__xludf.DUMMYFUNCTION("""COMPUTED_VALUE"""),"Listicle")</f>
        <v>Listicle</v>
      </c>
      <c r="G203" s="11" t="b">
        <f>IFERROR(__xludf.DUMMYFUNCTION("""COMPUTED_VALUE"""),FALSE)</f>
        <v>0</v>
      </c>
      <c r="H203" s="11" t="str">
        <f>IFERROR(__xludf.DUMMYFUNCTION("""COMPUTED_VALUE"""),"Omnius, Siege Media, NoGood")</f>
        <v>Omnius, Siege Media, NoGood</v>
      </c>
      <c r="I203" s="11">
        <f>IFERROR(__xludf.DUMMYFUNCTION("""COMPUTED_VALUE"""),7.0)</f>
        <v>7</v>
      </c>
      <c r="J203" s="11">
        <f>IFERROR(__xludf.DUMMYFUNCTION("""COMPUTED_VALUE"""),0.01)</f>
        <v>0.01</v>
      </c>
      <c r="K203" s="11">
        <f>IFERROR(__xludf.DUMMYFUNCTION("""COMPUTED_VALUE"""),0.0)</f>
        <v>0</v>
      </c>
      <c r="L203" s="11"/>
    </row>
    <row r="204" ht="15.75" customHeight="1">
      <c r="A204" s="8" t="str">
        <f>IFERROR(__xludf.DUMMYFUNCTION("""COMPUTED_VALUE"""),"https://www.reddit.com/r/Topagencies/comments/1sv50o9/top_ppc_services_agencies_in_germany_ppc_cost/")</f>
        <v>https://www.reddit.com/r/Topagencies/comments/1sv50o9/top_ppc_services_agencies_in_germany_ppc_cost/</v>
      </c>
      <c r="B204" s="11" t="str">
        <f>IFERROR(__xludf.DUMMYFUNCTION("""COMPUTED_VALUE"""),"Top PPC Services Agencies in Germany – PPC Cost, Pricing, Packages &amp;amp; Best PPC Companies (2026 Guide)")</f>
        <v>Top PPC Services Agencies in Germany – PPC Cost, Pricing, Packages &amp;amp; Best PPC Companies (2026 Guide)</v>
      </c>
      <c r="C204" s="8" t="str">
        <f>IFERROR(__xludf.DUMMYFUNCTION("""COMPUTED_VALUE"""),"reddit.com")</f>
        <v>reddit.com</v>
      </c>
      <c r="D204" s="11" t="str">
        <f>IFERROR(__xludf.DUMMYFUNCTION("""COMPUTED_VALUE"""),"DISCUSSION")</f>
        <v>DISCUSSION</v>
      </c>
      <c r="E204" s="11" t="str">
        <f>IFERROR(__xludf.DUMMYFUNCTION("""COMPUTED_VALUE"""),"UGC")</f>
        <v>UGC</v>
      </c>
      <c r="F204" s="11" t="str">
        <f>IFERROR(__xludf.DUMMYFUNCTION("""COMPUTED_VALUE"""),"Discussion")</f>
        <v>Discussion</v>
      </c>
      <c r="G204" s="11" t="b">
        <f>IFERROR(__xludf.DUMMYFUNCTION("""COMPUTED_VALUE"""),FALSE)</f>
        <v>0</v>
      </c>
      <c r="H204" s="11" t="str">
        <f>IFERROR(__xludf.DUMMYFUNCTION("""COMPUTED_VALUE"""),"Smarketer, Peak Ace, Claneo")</f>
        <v>Smarketer, Peak Ace, Claneo</v>
      </c>
      <c r="I204" s="11">
        <f>IFERROR(__xludf.DUMMYFUNCTION("""COMPUTED_VALUE"""),7.0)</f>
        <v>7</v>
      </c>
      <c r="J204" s="11">
        <f>IFERROR(__xludf.DUMMYFUNCTION("""COMPUTED_VALUE"""),0.01)</f>
        <v>0.01</v>
      </c>
      <c r="K204" s="11">
        <f>IFERROR(__xludf.DUMMYFUNCTION("""COMPUTED_VALUE"""),3.0)</f>
        <v>3</v>
      </c>
      <c r="L204" s="11"/>
    </row>
    <row r="205" ht="15.75" customHeight="1">
      <c r="A205" s="8" t="str">
        <f>IFERROR(__xludf.DUMMYFUNCTION("""COMPUTED_VALUE"""),"https://www.topdevelopers.co/directory/digital-marketing-agencies-in-germany")</f>
        <v>https://www.topdevelopers.co/directory/digital-marketing-agencies-in-germany</v>
      </c>
      <c r="B205" s="11" t="str">
        <f>IFERROR(__xludf.DUMMYFUNCTION("""COMPUTED_VALUE"""),"Top 10+ Digital Marketing Agencies in Germany - July 2026 Reviews | Topdevelopers.co")</f>
        <v>Top 10+ Digital Marketing Agencies in Germany - July 2026 Reviews | Topdevelopers.co</v>
      </c>
      <c r="C205" s="8" t="str">
        <f>IFERROR(__xludf.DUMMYFUNCTION("""COMPUTED_VALUE"""),"topdevelopers.co")</f>
        <v>topdevelopers.co</v>
      </c>
      <c r="D205" s="11" t="str">
        <f>IFERROR(__xludf.DUMMYFUNCTION("""COMPUTED_VALUE"""),"CATEGORY_PAGE")</f>
        <v>CATEGORY_PAGE</v>
      </c>
      <c r="E205" s="11" t="str">
        <f>IFERROR(__xludf.DUMMYFUNCTION("""COMPUTED_VALUE"""),"UGC")</f>
        <v>UGC</v>
      </c>
      <c r="F205" s="11" t="str">
        <f>IFERROR(__xludf.DUMMYFUNCTION("""COMPUTED_VALUE"""),"Category Page")</f>
        <v>Category Page</v>
      </c>
      <c r="G205" s="11" t="b">
        <f>IFERROR(__xludf.DUMMYFUNCTION("""COMPUTED_VALUE"""),FALSE)</f>
        <v>0</v>
      </c>
      <c r="H205" s="11" t="str">
        <f>IFERROR(__xludf.DUMMYFUNCTION("""COMPUTED_VALUE"""),"Huge")</f>
        <v>Huge</v>
      </c>
      <c r="I205" s="11">
        <f>IFERROR(__xludf.DUMMYFUNCTION("""COMPUTED_VALUE"""),7.0)</f>
        <v>7</v>
      </c>
      <c r="J205" s="11">
        <f>IFERROR(__xludf.DUMMYFUNCTION("""COMPUTED_VALUE"""),0.01)</f>
        <v>0.01</v>
      </c>
      <c r="K205" s="11">
        <f>IFERROR(__xludf.DUMMYFUNCTION("""COMPUTED_VALUE"""),0.0)</f>
        <v>0</v>
      </c>
      <c r="L205" s="11"/>
    </row>
    <row r="206" ht="15.75" customHeight="1">
      <c r="A206" s="8" t="str">
        <f>IFERROR(__xludf.DUMMYFUNCTION("""COMPUTED_VALUE"""),"https://ziuma.com/Thread-Best-AI-Digital-Marketing-Agency-in-Germany-and-Beyond")</f>
        <v>https://ziuma.com/Thread-Best-AI-Digital-Marketing-Agency-in-Germany-and-Beyond</v>
      </c>
      <c r="B206" s="11" t="str">
        <f>IFERROR(__xludf.DUMMYFUNCTION("""COMPUTED_VALUE"""),"Best AI Digital Marketing Agency in Germany and Beyond")</f>
        <v>Best AI Digital Marketing Agency in Germany and Beyond</v>
      </c>
      <c r="C206" s="8" t="str">
        <f>IFERROR(__xludf.DUMMYFUNCTION("""COMPUTED_VALUE"""),"ziuma.com")</f>
        <v>ziuma.com</v>
      </c>
      <c r="D206" s="11" t="str">
        <f>IFERROR(__xludf.DUMMYFUNCTION("""COMPUTED_VALUE"""),"DISCUSSION")</f>
        <v>DISCUSSION</v>
      </c>
      <c r="E206" s="11" t="str">
        <f>IFERROR(__xludf.DUMMYFUNCTION("""COMPUTED_VALUE"""),"UGC")</f>
        <v>UGC</v>
      </c>
      <c r="F206" s="11" t="str">
        <f>IFERROR(__xludf.DUMMYFUNCTION("""COMPUTED_VALUE"""),"Discussion")</f>
        <v>Discussion</v>
      </c>
      <c r="G206" s="11" t="b">
        <f>IFERROR(__xludf.DUMMYFUNCTION("""COMPUTED_VALUE"""),FALSE)</f>
        <v>0</v>
      </c>
      <c r="H206" s="11" t="str">
        <f>IFERROR(__xludf.DUMMYFUNCTION("""COMPUTED_VALUE"""),"HikeMyTraffic")</f>
        <v>HikeMyTraffic</v>
      </c>
      <c r="I206" s="11">
        <f>IFERROR(__xludf.DUMMYFUNCTION("""COMPUTED_VALUE"""),7.0)</f>
        <v>7</v>
      </c>
      <c r="J206" s="11">
        <f>IFERROR(__xludf.DUMMYFUNCTION("""COMPUTED_VALUE"""),0.01)</f>
        <v>0.01</v>
      </c>
      <c r="K206" s="11">
        <f>IFERROR(__xludf.DUMMYFUNCTION("""COMPUTED_VALUE"""),0.0)</f>
        <v>0</v>
      </c>
      <c r="L206" s="11"/>
    </row>
    <row r="207" ht="15.75" customHeight="1">
      <c r="A207" s="8" t="str">
        <f>IFERROR(__xludf.DUMMYFUNCTION("""COMPUTED_VALUE"""),"https://agencies.semrush.com/list/ai-optimization/germany/enterprise-business/")</f>
        <v>https://agencies.semrush.com/list/ai-optimization/germany/enterprise-business/</v>
      </c>
      <c r="B207" s="11" t="str">
        <f>IFERROR(__xludf.DUMMYFUNCTION("""COMPUTED_VALUE"""),"Best AI Search Optimization Agencies for Enterprise Business in Germany 2026 | Semrush")</f>
        <v>Best AI Search Optimization Agencies for Enterprise Business in Germany 2026 | Semrush</v>
      </c>
      <c r="C207" s="8" t="str">
        <f>IFERROR(__xludf.DUMMYFUNCTION("""COMPUTED_VALUE"""),"semrush.com")</f>
        <v>semrush.com</v>
      </c>
      <c r="D207" s="11" t="str">
        <f>IFERROR(__xludf.DUMMYFUNCTION("""COMPUTED_VALUE"""),"CATEGORY_PAGE")</f>
        <v>CATEGORY_PAGE</v>
      </c>
      <c r="E207" s="11" t="str">
        <f>IFERROR(__xludf.DUMMYFUNCTION("""COMPUTED_VALUE"""),"CORPORATE")</f>
        <v>CORPORATE</v>
      </c>
      <c r="F207" s="11" t="str">
        <f>IFERROR(__xludf.DUMMYFUNCTION("""COMPUTED_VALUE"""),"Category Page")</f>
        <v>Category Page</v>
      </c>
      <c r="G207" s="11" t="b">
        <f>IFERROR(__xludf.DUMMYFUNCTION("""COMPUTED_VALUE"""),FALSE)</f>
        <v>0</v>
      </c>
      <c r="H207" s="11" t="str">
        <f>IFERROR(__xludf.DUMMYFUNCTION("""COMPUTED_VALUE"""),"HECHT INS GEFECHT, morefire, Mediaplus Performance")</f>
        <v>HECHT INS GEFECHT, morefire, Mediaplus Performance</v>
      </c>
      <c r="I207" s="11">
        <f>IFERROR(__xludf.DUMMYFUNCTION("""COMPUTED_VALUE"""),6.0)</f>
        <v>6</v>
      </c>
      <c r="J207" s="11">
        <f>IFERROR(__xludf.DUMMYFUNCTION("""COMPUTED_VALUE"""),0.01)</f>
        <v>0.01</v>
      </c>
      <c r="K207" s="11">
        <f>IFERROR(__xludf.DUMMYFUNCTION("""COMPUTED_VALUE"""),0.17)</f>
        <v>0.17</v>
      </c>
      <c r="L207" s="11"/>
    </row>
    <row r="208" ht="15.75" customHeight="1">
      <c r="A208" s="8" t="str">
        <f>IFERROR(__xludf.DUMMYFUNCTION("""COMPUTED_VALUE"""),"https://aio.com.ai/blog/13498-best-seo-company-in-germany-ai-optimized-aio-guide")</f>
        <v>https://aio.com.ai/blog/13498-best-seo-company-in-germany-ai-optimized-aio-guide</v>
      </c>
      <c r="B208" s="11" t="str">
        <f>IFERROR(__xludf.DUMMYFUNCTION("""COMPUTED_VALUE"""),"Best SEO Company In Germany: A Visionary AI-Driven Guide To Unified AIO Optimization \| Semalt AI Blog")</f>
        <v>Best SEO Company In Germany: A Visionary AI-Driven Guide To Unified AIO Optimization \| Semalt AI Blog</v>
      </c>
      <c r="C208" s="8" t="str">
        <f>IFERROR(__xludf.DUMMYFUNCTION("""COMPUTED_VALUE"""),"aio.com.ai")</f>
        <v>aio.com.ai</v>
      </c>
      <c r="D208" s="11" t="str">
        <f>IFERROR(__xludf.DUMMYFUNCTION("""COMPUTED_VALUE"""),"HOW_TO_GUIDE")</f>
        <v>HOW_TO_GUIDE</v>
      </c>
      <c r="E208" s="11" t="str">
        <f>IFERROR(__xludf.DUMMYFUNCTION("""COMPUTED_VALUE"""),"CORPORATE")</f>
        <v>CORPORATE</v>
      </c>
      <c r="F208" s="11" t="str">
        <f>IFERROR(__xludf.DUMMYFUNCTION("""COMPUTED_VALUE"""),"How-To Guide")</f>
        <v>How-To Guide</v>
      </c>
      <c r="G208" s="11" t="b">
        <f>IFERROR(__xludf.DUMMYFUNCTION("""COMPUTED_VALUE"""),FALSE)</f>
        <v>0</v>
      </c>
      <c r="H208" s="11" t="str">
        <f>IFERROR(__xludf.DUMMYFUNCTION("""COMPUTED_VALUE"""),"Measured, Pilot")</f>
        <v>Measured, Pilot</v>
      </c>
      <c r="I208" s="11">
        <f>IFERROR(__xludf.DUMMYFUNCTION("""COMPUTED_VALUE"""),6.0)</f>
        <v>6</v>
      </c>
      <c r="J208" s="11">
        <f>IFERROR(__xludf.DUMMYFUNCTION("""COMPUTED_VALUE"""),0.01)</f>
        <v>0.01</v>
      </c>
      <c r="K208" s="11">
        <f>IFERROR(__xludf.DUMMYFUNCTION("""COMPUTED_VALUE"""),0.0)</f>
        <v>0</v>
      </c>
      <c r="L208" s="11"/>
    </row>
    <row r="209" ht="15.75" customHeight="1">
      <c r="A209" s="8" t="str">
        <f>IFERROR(__xludf.DUMMYFUNCTION("""COMPUTED_VALUE"""),"https://www.callboxinc.com/growth-hacking/best-aeo-agencies/")</f>
        <v>https://www.callboxinc.com/growth-hacking/best-aeo-agencies/</v>
      </c>
      <c r="B209" s="11" t="str">
        <f>IFERROR(__xludf.DUMMYFUNCTION("""COMPUTED_VALUE"""),"8 Top AEO Agencies in 2026 for Lead Generation")</f>
        <v>8 Top AEO Agencies in 2026 for Lead Generation</v>
      </c>
      <c r="C209" s="8" t="str">
        <f>IFERROR(__xludf.DUMMYFUNCTION("""COMPUTED_VALUE"""),"callboxinc.com")</f>
        <v>callboxinc.com</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IFERROR(__xludf.DUMMYFUNCTION("""COMPUTED_VALUE"""),"DEPT, iPullRank, Omniscient Digital, Directive Consulting, Siege Media")</f>
        <v>DEPT, iPullRank, Omniscient Digital, Directive Consulting, Siege Media</v>
      </c>
      <c r="I209" s="11">
        <f>IFERROR(__xludf.DUMMYFUNCTION("""COMPUTED_VALUE"""),6.0)</f>
        <v>6</v>
      </c>
      <c r="J209" s="11">
        <f>IFERROR(__xludf.DUMMYFUNCTION("""COMPUTED_VALUE"""),0.01)</f>
        <v>0.01</v>
      </c>
      <c r="K209" s="11">
        <f>IFERROR(__xludf.DUMMYFUNCTION("""COMPUTED_VALUE"""),0.17)</f>
        <v>0.17</v>
      </c>
      <c r="L209" s="11"/>
    </row>
    <row r="210" ht="15.75" customHeight="1">
      <c r="A210" s="8" t="str">
        <f>IFERROR(__xludf.DUMMYFUNCTION("""COMPUTED_VALUE"""),"https://clutch.co/de/agencies?page=6")</f>
        <v>https://clutch.co/de/agencies?page=6</v>
      </c>
      <c r="B210" s="11" t="str">
        <f>IFERROR(__xludf.DUMMYFUNCTION("""COMPUTED_VALUE"""),"Page 6 - Top Advertising Agencies in Germany - Jul 2026 Rankings \| Clutch.co")</f>
        <v>Page 6 - Top Advertising Agencies in Germany - Jul 2026 Rankings \| Clutch.co</v>
      </c>
      <c r="C210" s="8" t="str">
        <f>IFERROR(__xludf.DUMMYFUNCTION("""COMPUTED_VALUE"""),"clutch.co")</f>
        <v>clutch.co</v>
      </c>
      <c r="D210" s="11" t="str">
        <f>IFERROR(__xludf.DUMMYFUNCTION("""COMPUTED_VALUE"""),"CATEGORY_PAGE")</f>
        <v>CATEGORY_PAGE</v>
      </c>
      <c r="E210" s="11" t="str">
        <f>IFERROR(__xludf.DUMMYFUNCTION("""COMPUTED_VALUE"""),"CORPORATE")</f>
        <v>CORPORATE</v>
      </c>
      <c r="F210" s="11" t="str">
        <f>IFERROR(__xludf.DUMMYFUNCTION("""COMPUTED_VALUE"""),"Category Page")</f>
        <v>Category Page</v>
      </c>
      <c r="G210" s="11" t="b">
        <f>IFERROR(__xludf.DUMMYFUNCTION("""COMPUTED_VALUE"""),FALSE)</f>
        <v>0</v>
      </c>
      <c r="H210" s="11" t="str">
        <f>IFERROR(__xludf.DUMMYFUNCTION("""COMPUTED_VALUE"""),"MONSOON, Phiture, PANORAMA3000, Seeders, Mediacharge, Digitalyze, morefire, Scholz &amp; Friends")</f>
        <v>MONSOON, Phiture, PANORAMA3000, Seeders, Mediacharge, Digitalyze, morefire, Scholz &amp; Friends</v>
      </c>
      <c r="I210" s="11">
        <f>IFERROR(__xludf.DUMMYFUNCTION("""COMPUTED_VALUE"""),6.0)</f>
        <v>6</v>
      </c>
      <c r="J210" s="11">
        <f>IFERROR(__xludf.DUMMYFUNCTION("""COMPUTED_VALUE"""),0.01)</f>
        <v>0.01</v>
      </c>
      <c r="K210" s="11">
        <f>IFERROR(__xludf.DUMMYFUNCTION("""COMPUTED_VALUE"""),0.0)</f>
        <v>0</v>
      </c>
      <c r="L210" s="11"/>
    </row>
    <row r="211" ht="15.75" customHeight="1">
      <c r="A211" s="8" t="str">
        <f>IFERROR(__xludf.DUMMYFUNCTION("""COMPUTED_VALUE"""),"https://ensun.io/search/market-intelligence/germany#:~:text=Market%20Logic's%20Insights%20Engagement%20platform,Core%20business")</f>
        <v>https://ensun.io/search/market-intelligence/germany#:~:text=Market%20Logic's%20Insights%20Engagement%20platform,Core%20business</v>
      </c>
      <c r="B211" s="11" t="str">
        <f>IFERROR(__xludf.DUMMYFUNCTION("""COMPUTED_VALUE"""),"Top 100 Market Intelligence Companies in Germany (2026) \| ensun")</f>
        <v>Top 100 Market Intelligence Companies in Germany (2026) \| ensun</v>
      </c>
      <c r="C211" s="8" t="str">
        <f>IFERROR(__xludf.DUMMYFUNCTION("""COMPUTED_VALUE"""),"ensun.io")</f>
        <v>ensun.io</v>
      </c>
      <c r="D211" s="11" t="str">
        <f>IFERROR(__xludf.DUMMYFUNCTION("""COMPUTED_VALUE"""),"OTHER")</f>
        <v>OTHER</v>
      </c>
      <c r="E211" s="11" t="str">
        <f>IFERROR(__xludf.DUMMYFUNCTION("""COMPUTED_VALUE"""),"OTHER")</f>
        <v>OTHER</v>
      </c>
      <c r="F211" s="11" t="str">
        <f>IFERROR(__xludf.DUMMYFUNCTION("""COMPUTED_VALUE"""),"Other")</f>
        <v>Other</v>
      </c>
      <c r="G211" s="11" t="b">
        <f>IFERROR(__xludf.DUMMYFUNCTION("""COMPUTED_VALUE"""),FALSE)</f>
        <v>0</v>
      </c>
      <c r="H211" s="11" t="str">
        <f>IFERROR(__xludf.DUMMYFUNCTION("""COMPUTED_VALUE"""),"Kantar")</f>
        <v>Kantar</v>
      </c>
      <c r="I211" s="11">
        <f>IFERROR(__xludf.DUMMYFUNCTION("""COMPUTED_VALUE"""),6.0)</f>
        <v>6</v>
      </c>
      <c r="J211" s="11">
        <f>IFERROR(__xludf.DUMMYFUNCTION("""COMPUTED_VALUE"""),0.01)</f>
        <v>0.01</v>
      </c>
      <c r="K211" s="11">
        <f>IFERROR(__xludf.DUMMYFUNCTION("""COMPUTED_VALUE"""),2.5)</f>
        <v>2.5</v>
      </c>
      <c r="L211" s="11"/>
    </row>
    <row r="212" ht="15.75" customHeight="1">
      <c r="A212" s="8" t="str">
        <f>IFERROR(__xludf.DUMMYFUNCTION("""COMPUTED_VALUE"""),"https://feedbax.ai/creative-agencies")</f>
        <v>https://feedbax.ai/creative-agencies</v>
      </c>
      <c r="B212" s="11" t="str">
        <f>IFERROR(__xludf.DUMMYFUNCTION("""COMPUTED_VALUE"""),"Top 20 Creative Agencies - 2026 Reviews")</f>
        <v>Top 20 Creative Agencies - 2026 Reviews</v>
      </c>
      <c r="C212" s="8" t="str">
        <f>IFERROR(__xludf.DUMMYFUNCTION("""COMPUTED_VALUE"""),"feedbax.ai")</f>
        <v>feedbax.ai</v>
      </c>
      <c r="D212" s="11" t="str">
        <f>IFERROR(__xludf.DUMMYFUNCTION("""COMPUTED_VALUE"""),"CATEGORY_PAGE")</f>
        <v>CATEGORY_PAGE</v>
      </c>
      <c r="E212" s="11" t="str">
        <f>IFERROR(__xludf.DUMMYFUNCTION("""COMPUTED_VALUE"""),"UGC")</f>
        <v>UGC</v>
      </c>
      <c r="F212" s="11" t="str">
        <f>IFERROR(__xludf.DUMMYFUNCTION("""COMPUTED_VALUE"""),"Category Page")</f>
        <v>Category Page</v>
      </c>
      <c r="G212" s="11" t="b">
        <f>IFERROR(__xludf.DUMMYFUNCTION("""COMPUTED_VALUE"""),FALSE)</f>
        <v>0</v>
      </c>
      <c r="H212" s="11" t="str">
        <f>IFERROR(__xludf.DUMMYFUNCTION("""COMPUTED_VALUE"""),"PANORAMA3000, DREIKON, Mediacharge, Smarketer, KlickPiloten, ZweiDigital GmbH, Measured")</f>
        <v>PANORAMA3000, DREIKON, Mediacharge, Smarketer, KlickPiloten, ZweiDigital GmbH, Measured</v>
      </c>
      <c r="I212" s="11">
        <f>IFERROR(__xludf.DUMMYFUNCTION("""COMPUTED_VALUE"""),6.0)</f>
        <v>6</v>
      </c>
      <c r="J212" s="11">
        <f>IFERROR(__xludf.DUMMYFUNCTION("""COMPUTED_VALUE"""),0.01)</f>
        <v>0.01</v>
      </c>
      <c r="K212" s="11">
        <f>IFERROR(__xludf.DUMMYFUNCTION("""COMPUTED_VALUE"""),0.0)</f>
        <v>0</v>
      </c>
      <c r="L212" s="11"/>
    </row>
    <row r="213" ht="15.75" customHeight="1">
      <c r="A213" s="8" t="str">
        <f>IFERROR(__xludf.DUMMYFUNCTION("""COMPUTED_VALUE"""),"https://flypix.ai/geospatial-companies-in-germany/")</f>
        <v>https://flypix.ai/geospatial-companies-in-germany/</v>
      </c>
      <c r="B213" s="11" t="str">
        <f>IFERROR(__xludf.DUMMYFUNCTION("""COMPUTED_VALUE"""),"8 Best Geospatial Companies in Germany (2026)")</f>
        <v>8 Best Geospatial Companies in Germany (2026)</v>
      </c>
      <c r="C213" s="8" t="str">
        <f>IFERROR(__xludf.DUMMYFUNCTION("""COMPUTED_VALUE"""),"flypix.ai")</f>
        <v>flypix.ai</v>
      </c>
      <c r="D213" s="11" t="str">
        <f>IFERROR(__xludf.DUMMYFUNCTION("""COMPUTED_VALUE"""),"LISTICLE")</f>
        <v>LISTICLE</v>
      </c>
      <c r="E213" s="11" t="str">
        <f>IFERROR(__xludf.DUMMYFUNCTION("""COMPUTED_VALUE"""),"CORPORATE")</f>
        <v>CORPORATE</v>
      </c>
      <c r="F213" s="11" t="str">
        <f>IFERROR(__xludf.DUMMYFUNCTION("""COMPUTED_VALUE"""),"Listicle")</f>
        <v>Listicle</v>
      </c>
      <c r="G213" s="11" t="b">
        <f>IFERROR(__xludf.DUMMYFUNCTION("""COMPUTED_VALUE"""),FALSE)</f>
        <v>0</v>
      </c>
      <c r="H213" s="11"/>
      <c r="I213" s="11">
        <f>IFERROR(__xludf.DUMMYFUNCTION("""COMPUTED_VALUE"""),6.0)</f>
        <v>6</v>
      </c>
      <c r="J213" s="11">
        <f>IFERROR(__xludf.DUMMYFUNCTION("""COMPUTED_VALUE"""),0.01)</f>
        <v>0.01</v>
      </c>
      <c r="K213" s="11">
        <f>IFERROR(__xludf.DUMMYFUNCTION("""COMPUTED_VALUE"""),0.83)</f>
        <v>0.83</v>
      </c>
      <c r="L213" s="11"/>
    </row>
    <row r="214" ht="15.75" customHeight="1">
      <c r="A214" s="8" t="str">
        <f>IFERROR(__xludf.DUMMYFUNCTION("""COMPUTED_VALUE"""),"https://hikemytraffic.com/ai-social-media-marketing-agencies-in-germany/")</f>
        <v>https://hikemytraffic.com/ai-social-media-marketing-agencies-in-germany/</v>
      </c>
      <c r="B214" s="11" t="str">
        <f>IFERROR(__xludf.DUMMYFUNCTION("""COMPUTED_VALUE"""),"10 Best AI Social Media Marketing Agencies in Germany (2026)")</f>
        <v>10 Best AI Social Media Marketing Agencies in Germany (2026)</v>
      </c>
      <c r="C214" s="8" t="str">
        <f>IFERROR(__xludf.DUMMYFUNCTION("""COMPUTED_VALUE"""),"hikemytraffic.com")</f>
        <v>hikemytraffic.com</v>
      </c>
      <c r="D214" s="11" t="str">
        <f>IFERROR(__xludf.DUMMYFUNCTION("""COMPUTED_VALUE"""),"LISTICLE")</f>
        <v>LISTICLE</v>
      </c>
      <c r="E214" s="11" t="str">
        <f>IFERROR(__xludf.DUMMYFUNCTION("""COMPUTED_VALUE"""),"COMPETITOR")</f>
        <v>COMPETITOR</v>
      </c>
      <c r="F214" s="11" t="str">
        <f>IFERROR(__xludf.DUMMYFUNCTION("""COMPUTED_VALUE"""),"Listicle")</f>
        <v>Listicle</v>
      </c>
      <c r="G214" s="11" t="b">
        <f>IFERROR(__xludf.DUMMYFUNCTION("""COMPUTED_VALUE"""),FALSE)</f>
        <v>0</v>
      </c>
      <c r="H214" s="11" t="str">
        <f>IFERROR(__xludf.DUMMYFUNCTION("""COMPUTED_VALUE"""),"HikeMyTraffic")</f>
        <v>HikeMyTraffic</v>
      </c>
      <c r="I214" s="11">
        <f>IFERROR(__xludf.DUMMYFUNCTION("""COMPUTED_VALUE"""),6.0)</f>
        <v>6</v>
      </c>
      <c r="J214" s="11">
        <f>IFERROR(__xludf.DUMMYFUNCTION("""COMPUTED_VALUE"""),0.01)</f>
        <v>0.01</v>
      </c>
      <c r="K214" s="11">
        <f>IFERROR(__xludf.DUMMYFUNCTION("""COMPUTED_VALUE"""),2.33)</f>
        <v>2.33</v>
      </c>
      <c r="L214" s="11"/>
    </row>
    <row r="215" ht="15.75" customHeight="1">
      <c r="A215" s="8" t="str">
        <f>IFERROR(__xludf.DUMMYFUNCTION("""COMPUTED_VALUE"""),"https://www.measured.com/faq/best-incrementality-testing-companies-software-for-marketing-2025/")</f>
        <v>https://www.measured.com/faq/best-incrementality-testing-companies-software-for-marketing-2025/</v>
      </c>
      <c r="B215" s="11" t="str">
        <f>IFERROR(__xludf.DUMMYFUNCTION("""COMPUTED_VALUE"""),"Best Incrementality Testing Companies &amp; Software for Marketing (2026)")</f>
        <v>Best Incrementality Testing Companies &amp; Software for Marketing (2026)</v>
      </c>
      <c r="C215" s="8" t="str">
        <f>IFERROR(__xludf.DUMMYFUNCTION("""COMPUTED_VALUE"""),"measured.com")</f>
        <v>measured.com</v>
      </c>
      <c r="D215" s="11" t="str">
        <f>IFERROR(__xludf.DUMMYFUNCTION("""COMPUTED_VALUE"""),"LISTICLE")</f>
        <v>LISTICLE</v>
      </c>
      <c r="E215" s="11" t="str">
        <f>IFERROR(__xludf.DUMMYFUNCTION("""COMPUTED_VALUE"""),"COMPETITOR")</f>
        <v>COMPETITOR</v>
      </c>
      <c r="F215" s="11" t="str">
        <f>IFERROR(__xludf.DUMMYFUNCTION("""COMPUTED_VALUE"""),"Listicle")</f>
        <v>Listicle</v>
      </c>
      <c r="G215" s="11" t="b">
        <f>IFERROR(__xludf.DUMMYFUNCTION("""COMPUTED_VALUE"""),FALSE)</f>
        <v>0</v>
      </c>
      <c r="H215" s="11" t="str">
        <f>IFERROR(__xludf.DUMMYFUNCTION("""COMPUTED_VALUE"""),"Measured, Neustar, Rockerbox, Haus, Recast, Analytic Partners")</f>
        <v>Measured, Neustar, Rockerbox, Haus, Recast, Analytic Partners</v>
      </c>
      <c r="I215" s="11">
        <f>IFERROR(__xludf.DUMMYFUNCTION("""COMPUTED_VALUE"""),6.0)</f>
        <v>6</v>
      </c>
      <c r="J215" s="11">
        <f>IFERROR(__xludf.DUMMYFUNCTION("""COMPUTED_VALUE"""),0.01)</f>
        <v>0.01</v>
      </c>
      <c r="K215" s="11">
        <f>IFERROR(__xludf.DUMMYFUNCTION("""COMPUTED_VALUE"""),2.0)</f>
        <v>2</v>
      </c>
      <c r="L215" s="11"/>
    </row>
    <row r="216" ht="15.75" customHeight="1">
      <c r="A216" s="8" t="str">
        <f>IFERROR(__xludf.DUMMYFUNCTION("""COMPUTED_VALUE"""),"https://minuttia.com/best-geo-agencies/")</f>
        <v>https://minuttia.com/best-geo-agencies/</v>
      </c>
      <c r="B216" s="11" t="str">
        <f>IFERROR(__xludf.DUMMYFUNCTION("""COMPUTED_VALUE"""),"10 Best Generative Engine Optimization (GEO) Agencies 2026")</f>
        <v>10 Best Generative Engine Optimization (GEO) Agencies 2026</v>
      </c>
      <c r="C216" s="8" t="str">
        <f>IFERROR(__xludf.DUMMYFUNCTION("""COMPUTED_VALUE"""),"minuttia.com")</f>
        <v>minuttia.com</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t="str">
        <f>IFERROR(__xludf.DUMMYFUNCTION("""COMPUTED_VALUE"""),"Seeders, Omnius, Huge, Measured")</f>
        <v>Seeders, Omnius, Huge, Measured</v>
      </c>
      <c r="I216" s="11">
        <f>IFERROR(__xludf.DUMMYFUNCTION("""COMPUTED_VALUE"""),6.0)</f>
        <v>6</v>
      </c>
      <c r="J216" s="11">
        <f>IFERROR(__xludf.DUMMYFUNCTION("""COMPUTED_VALUE"""),0.01)</f>
        <v>0.01</v>
      </c>
      <c r="K216" s="11">
        <f>IFERROR(__xludf.DUMMYFUNCTION("""COMPUTED_VALUE"""),1.5)</f>
        <v>1.5</v>
      </c>
      <c r="L216" s="11"/>
    </row>
    <row r="217" ht="15.75" customHeight="1">
      <c r="A217" s="8" t="str">
        <f>IFERROR(__xludf.DUMMYFUNCTION("""COMPUTED_VALUE"""),"https://themanifest.com/de/advertising/agencies#:~:text=They%20offer%20Advertising%2C%20Branding%2C%20Event,is%20based%20in%20K%C3%B6ln%2C%20Germany.")</f>
        <v>https://themanifest.com/de/advertising/agencies#:~:text=They%20offer%20Advertising%2C%20Branding%2C%20Event,is%20based%20in%20K%C3%B6ln%2C%20Germany.</v>
      </c>
      <c r="B217" s="11" t="str">
        <f>IFERROR(__xludf.DUMMYFUNCTION("""COMPUTED_VALUE"""),"The Best Advertising Companies in Germany - Jul 2026 | The Manifest")</f>
        <v>The Best Advertising Companies in Germany - Jul 2026 | The Manifest</v>
      </c>
      <c r="C217" s="8" t="str">
        <f>IFERROR(__xludf.DUMMYFUNCTION("""COMPUTED_VALUE"""),"themanifest.com")</f>
        <v>themanifest.com</v>
      </c>
      <c r="D217" s="11" t="str">
        <f>IFERROR(__xludf.DUMMYFUNCTION("""COMPUTED_VALUE"""),"OTHER")</f>
        <v>OTHER</v>
      </c>
      <c r="E217" s="11" t="str">
        <f>IFERROR(__xludf.DUMMYFUNCTION("""COMPUTED_VALUE"""),"REFERENCE")</f>
        <v>REFERENCE</v>
      </c>
      <c r="F217" s="11" t="str">
        <f>IFERROR(__xludf.DUMMYFUNCTION("""COMPUTED_VALUE"""),"Other")</f>
        <v>Other</v>
      </c>
      <c r="G217" s="11" t="b">
        <f>IFERROR(__xludf.DUMMYFUNCTION("""COMPUTED_VALUE"""),FALSE)</f>
        <v>0</v>
      </c>
      <c r="H217" s="11" t="str">
        <f>IFERROR(__xludf.DUMMYFUNCTION("""COMPUTED_VALUE"""),"MONSOON, Phiture, PANORAMA3000, morefire, Digitalyze, Scholz &amp; Friends")</f>
        <v>MONSOON, Phiture, PANORAMA3000, morefire, Digitalyze, Scholz &amp; Friends</v>
      </c>
      <c r="I217" s="11">
        <f>IFERROR(__xludf.DUMMYFUNCTION("""COMPUTED_VALUE"""),6.0)</f>
        <v>6</v>
      </c>
      <c r="J217" s="11">
        <f>IFERROR(__xludf.DUMMYFUNCTION("""COMPUTED_VALUE"""),0.01)</f>
        <v>0.01</v>
      </c>
      <c r="K217" s="11">
        <f>IFERROR(__xludf.DUMMYFUNCTION("""COMPUTED_VALUE"""),1.0)</f>
        <v>1</v>
      </c>
      <c r="L217" s="11"/>
    </row>
    <row r="218" ht="15.75" customHeight="1">
      <c r="A218" s="8" t="str">
        <f>IFERROR(__xludf.DUMMYFUNCTION("""COMPUTED_VALUE"""),"https://agencies.semrush.com/list/information-technology/germany/")</f>
        <v>https://agencies.semrush.com/list/information-technology/germany/</v>
      </c>
      <c r="B218" s="11" t="str">
        <f>IFERROR(__xludf.DUMMYFUNCTION("""COMPUTED_VALUE"""),"Best IT Digital Marketing Agencies in Germany 2026 | Semrush")</f>
        <v>Best IT Digital Marketing Agencies in Germany 2026 | Semrush</v>
      </c>
      <c r="C218" s="8" t="str">
        <f>IFERROR(__xludf.DUMMYFUNCTION("""COMPUTED_VALUE"""),"semrush.com")</f>
        <v>semrush.com</v>
      </c>
      <c r="D218" s="11" t="str">
        <f>IFERROR(__xludf.DUMMYFUNCTION("""COMPUTED_VALUE"""),"CATEGORY_PAGE")</f>
        <v>CATEGORY_PAGE</v>
      </c>
      <c r="E218" s="11" t="str">
        <f>IFERROR(__xludf.DUMMYFUNCTION("""COMPUTED_VALUE"""),"CORPORATE")</f>
        <v>CORPORATE</v>
      </c>
      <c r="F218" s="11" t="str">
        <f>IFERROR(__xludf.DUMMYFUNCTION("""COMPUTED_VALUE"""),"Category Page")</f>
        <v>Category Page</v>
      </c>
      <c r="G218" s="11" t="b">
        <f>IFERROR(__xludf.DUMMYFUNCTION("""COMPUTED_VALUE"""),FALSE)</f>
        <v>0</v>
      </c>
      <c r="H218" s="11"/>
      <c r="I218" s="11">
        <f>IFERROR(__xludf.DUMMYFUNCTION("""COMPUTED_VALUE"""),5.0)</f>
        <v>5</v>
      </c>
      <c r="J218" s="11">
        <f>IFERROR(__xludf.DUMMYFUNCTION("""COMPUTED_VALUE"""),0.01)</f>
        <v>0.01</v>
      </c>
      <c r="K218" s="11">
        <f>IFERROR(__xludf.DUMMYFUNCTION("""COMPUTED_VALUE"""),1.0)</f>
        <v>1</v>
      </c>
      <c r="L218" s="11"/>
    </row>
    <row r="219" ht="15.75" customHeight="1">
      <c r="A219" s="8" t="str">
        <f>IFERROR(__xludf.DUMMYFUNCTION("""COMPUTED_VALUE"""),"https://agencies.semrush.com/list/programmatic-advertising/germany/")</f>
        <v>https://agencies.semrush.com/list/programmatic-advertising/germany/</v>
      </c>
      <c r="B219" s="11" t="str">
        <f>IFERROR(__xludf.DUMMYFUNCTION("""COMPUTED_VALUE"""),"Best Programmatic Advertising Agencies in Germany 2026 | Semrush")</f>
        <v>Best Programmatic Advertising Agencies in Germany 2026 | Semrush</v>
      </c>
      <c r="C219" s="8" t="str">
        <f>IFERROR(__xludf.DUMMYFUNCTION("""COMPUTED_VALUE"""),"semrush.com")</f>
        <v>semrush.com</v>
      </c>
      <c r="D219" s="11" t="str">
        <f>IFERROR(__xludf.DUMMYFUNCTION("""COMPUTED_VALUE"""),"CATEGORY_PAGE")</f>
        <v>CATEGORY_PAGE</v>
      </c>
      <c r="E219" s="11" t="str">
        <f>IFERROR(__xludf.DUMMYFUNCTION("""COMPUTED_VALUE"""),"CORPORATE")</f>
        <v>CORPORATE</v>
      </c>
      <c r="F219" s="11" t="str">
        <f>IFERROR(__xludf.DUMMYFUNCTION("""COMPUTED_VALUE"""),"Category Page")</f>
        <v>Category Page</v>
      </c>
      <c r="G219" s="11" t="b">
        <f>IFERROR(__xludf.DUMMYFUNCTION("""COMPUTED_VALUE"""),FALSE)</f>
        <v>0</v>
      </c>
      <c r="H219" s="11" t="str">
        <f>IFERROR(__xludf.DUMMYFUNCTION("""COMPUTED_VALUE"""),"morefire, Mediaplus Performance, KlickPiloten")</f>
        <v>morefire, Mediaplus Performance, KlickPiloten</v>
      </c>
      <c r="I219" s="11">
        <f>IFERROR(__xludf.DUMMYFUNCTION("""COMPUTED_VALUE"""),5.0)</f>
        <v>5</v>
      </c>
      <c r="J219" s="11">
        <f>IFERROR(__xludf.DUMMYFUNCTION("""COMPUTED_VALUE"""),0.01)</f>
        <v>0.01</v>
      </c>
      <c r="K219" s="11">
        <f>IFERROR(__xludf.DUMMYFUNCTION("""COMPUTED_VALUE"""),0.8)</f>
        <v>0.8</v>
      </c>
      <c r="L219" s="11"/>
    </row>
    <row r="220" ht="15.75" customHeight="1">
      <c r="A220" s="8" t="str">
        <f>IFERROR(__xludf.DUMMYFUNCTION("""COMPUTED_VALUE"""),"https://blog.applabx.com/top-10-best-digital-marketing-agencies-in-germany-in-2026/")</f>
        <v>https://blog.applabx.com/top-10-best-digital-marketing-agencies-in-germany-in-2026/</v>
      </c>
      <c r="B220" s="11" t="str">
        <f>IFERROR(__xludf.DUMMYFUNCTION("""COMPUTED_VALUE"""),"Top 10 Best Digital Marketing Agencies in Germany in 2026")</f>
        <v>Top 10 Best Digital Marketing Agencies in Germany in 2026</v>
      </c>
      <c r="C220" s="8" t="str">
        <f>IFERROR(__xludf.DUMMYFUNCTION("""COMPUTED_VALUE"""),"applabx.com")</f>
        <v>applabx.com</v>
      </c>
      <c r="D220" s="11" t="str">
        <f>IFERROR(__xludf.DUMMYFUNCTION("""COMPUTED_VALUE"""),"LISTICLE")</f>
        <v>LISTICLE</v>
      </c>
      <c r="E220" s="11" t="str">
        <f>IFERROR(__xludf.DUMMYFUNCTION("""COMPUTED_VALUE"""),"UGC")</f>
        <v>UGC</v>
      </c>
      <c r="F220" s="11" t="str">
        <f>IFERROR(__xludf.DUMMYFUNCTION("""COMPUTED_VALUE"""),"Listicle")</f>
        <v>Listicle</v>
      </c>
      <c r="G220" s="11" t="b">
        <f>IFERROR(__xludf.DUMMYFUNCTION("""COMPUTED_VALUE"""),FALSE)</f>
        <v>0</v>
      </c>
      <c r="H220" s="11" t="str">
        <f>IFERROR(__xludf.DUMMYFUNCTION("""COMPUTED_VALUE"""),"Serviceplan Group, MONSOON, Mediacharge, Claneo, HECHT INS GEFECHT, Digital Masters GmbH, Measured")</f>
        <v>Serviceplan Group, MONSOON, Mediacharge, Claneo, HECHT INS GEFECHT, Digital Masters GmbH, Measured</v>
      </c>
      <c r="I220" s="11">
        <f>IFERROR(__xludf.DUMMYFUNCTION("""COMPUTED_VALUE"""),5.0)</f>
        <v>5</v>
      </c>
      <c r="J220" s="11">
        <f>IFERROR(__xludf.DUMMYFUNCTION("""COMPUTED_VALUE"""),0.01)</f>
        <v>0.01</v>
      </c>
      <c r="K220" s="11">
        <f>IFERROR(__xludf.DUMMYFUNCTION("""COMPUTED_VALUE"""),1.8)</f>
        <v>1.8</v>
      </c>
      <c r="L220" s="11"/>
    </row>
    <row r="221" ht="15.75" customHeight="1">
      <c r="A221" s="8" t="str">
        <f>IFERROR(__xludf.DUMMYFUNCTION("""COMPUTED_VALUE"""),"https://clutch.co/agencies/ppc/display")</f>
        <v>https://clutch.co/agencies/ppc/display</v>
      </c>
      <c r="B221" s="11" t="str">
        <f>IFERROR(__xludf.DUMMYFUNCTION("""COMPUTED_VALUE"""),"Top Display Advertising Agencies - Jul 2026 Rankings | Clutch.co")</f>
        <v>Top Display Advertising Agencies - Jul 2026 Rankings | Clutch.co</v>
      </c>
      <c r="C221" s="8" t="str">
        <f>IFERROR(__xludf.DUMMYFUNCTION("""COMPUTED_VALUE"""),"clutch.co")</f>
        <v>clutch.co</v>
      </c>
      <c r="D221" s="11" t="str">
        <f>IFERROR(__xludf.DUMMYFUNCTION("""COMPUTED_VALUE"""),"CATEGORY_PAGE")</f>
        <v>CATEGORY_PAGE</v>
      </c>
      <c r="E221" s="11" t="str">
        <f>IFERROR(__xludf.DUMMYFUNCTION("""COMPUTED_VALUE"""),"CORPORATE")</f>
        <v>CORPORATE</v>
      </c>
      <c r="F221" s="11" t="str">
        <f>IFERROR(__xludf.DUMMYFUNCTION("""COMPUTED_VALUE"""),"Category Page")</f>
        <v>Category Page</v>
      </c>
      <c r="G221" s="11" t="b">
        <f>IFERROR(__xludf.DUMMYFUNCTION("""COMPUTED_VALUE"""),FALSE)</f>
        <v>0</v>
      </c>
      <c r="H221" s="11"/>
      <c r="I221" s="11">
        <f>IFERROR(__xludf.DUMMYFUNCTION("""COMPUTED_VALUE"""),5.0)</f>
        <v>5</v>
      </c>
      <c r="J221" s="11">
        <f>IFERROR(__xludf.DUMMYFUNCTION("""COMPUTED_VALUE"""),0.01)</f>
        <v>0.01</v>
      </c>
      <c r="K221" s="11">
        <f>IFERROR(__xludf.DUMMYFUNCTION("""COMPUTED_VALUE"""),0.0)</f>
        <v>0</v>
      </c>
      <c r="L221" s="11"/>
    </row>
    <row r="222" ht="15.75" customHeight="1">
      <c r="A222" s="8" t="str">
        <f>IFERROR(__xludf.DUMMYFUNCTION("""COMPUTED_VALUE"""),"https://clutch.co/de/agencies/programmatic")</f>
        <v>https://clutch.co/de/agencies/programmatic</v>
      </c>
      <c r="B222" s="11" t="str">
        <f>IFERROR(__xludf.DUMMYFUNCTION("""COMPUTED_VALUE"""),"Top Programmatic Advertising Companies in Germany - Jul 2026 Rankings | Clutch.co")</f>
        <v>Top Programmatic Advertising Companies in Germany - Jul 2026 Rankings | Clutch.co</v>
      </c>
      <c r="C222" s="8" t="str">
        <f>IFERROR(__xludf.DUMMYFUNCTION("""COMPUTED_VALUE"""),"clutch.co")</f>
        <v>clutch.co</v>
      </c>
      <c r="D222" s="11" t="str">
        <f>IFERROR(__xludf.DUMMYFUNCTION("""COMPUTED_VALUE"""),"CATEGORY_PAGE")</f>
        <v>CATEGORY_PAGE</v>
      </c>
      <c r="E222" s="11" t="str">
        <f>IFERROR(__xludf.DUMMYFUNCTION("""COMPUTED_VALUE"""),"CORPORATE")</f>
        <v>CORPORATE</v>
      </c>
      <c r="F222" s="11" t="str">
        <f>IFERROR(__xludf.DUMMYFUNCTION("""COMPUTED_VALUE"""),"Category Page")</f>
        <v>Category Page</v>
      </c>
      <c r="G222" s="11" t="b">
        <f>IFERROR(__xludf.DUMMYFUNCTION("""COMPUTED_VALUE"""),FALSE)</f>
        <v>0</v>
      </c>
      <c r="H222" s="11" t="str">
        <f>IFERROR(__xludf.DUMMYFUNCTION("""COMPUTED_VALUE"""),"Phiture, PANORAMA3000, morefire, WeLikeWeb GmbH")</f>
        <v>Phiture, PANORAMA3000, morefire, WeLikeWeb GmbH</v>
      </c>
      <c r="I222" s="11">
        <f>IFERROR(__xludf.DUMMYFUNCTION("""COMPUTED_VALUE"""),5.0)</f>
        <v>5</v>
      </c>
      <c r="J222" s="11">
        <f>IFERROR(__xludf.DUMMYFUNCTION("""COMPUTED_VALUE"""),0.01)</f>
        <v>0.01</v>
      </c>
      <c r="K222" s="11">
        <f>IFERROR(__xludf.DUMMYFUNCTION("""COMPUTED_VALUE"""),1.4)</f>
        <v>1.4</v>
      </c>
      <c r="L222" s="11"/>
    </row>
    <row r="223" ht="15.75" customHeight="1">
      <c r="A223" s="8" t="str">
        <f>IFERROR(__xludf.DUMMYFUNCTION("""COMPUTED_VALUE"""),"https://clutch.co/de/consulting/ai/maturation")</f>
        <v>https://clutch.co/de/consulting/ai/maturation</v>
      </c>
      <c r="B223" s="11" t="str">
        <f>IFERROR(__xludf.DUMMYFUNCTION("""COMPUTED_VALUE"""),"Top AI Maturation Services in Germany - Jul 2026 Rankings | Clutch.co")</f>
        <v>Top AI Maturation Services in Germany - Jul 2026 Rankings | Clutch.co</v>
      </c>
      <c r="C223" s="8" t="str">
        <f>IFERROR(__xludf.DUMMYFUNCTION("""COMPUTED_VALUE"""),"clutch.co")</f>
        <v>clutch.co</v>
      </c>
      <c r="D223" s="11" t="str">
        <f>IFERROR(__xludf.DUMMYFUNCTION("""COMPUTED_VALUE"""),"OTHER")</f>
        <v>OTHER</v>
      </c>
      <c r="E223" s="11" t="str">
        <f>IFERROR(__xludf.DUMMYFUNCTION("""COMPUTED_VALUE"""),"CORPORATE")</f>
        <v>CORPORATE</v>
      </c>
      <c r="F223" s="11" t="str">
        <f>IFERROR(__xludf.DUMMYFUNCTION("""COMPUTED_VALUE"""),"Other")</f>
        <v>Other</v>
      </c>
      <c r="G223" s="11" t="b">
        <f>IFERROR(__xludf.DUMMYFUNCTION("""COMPUTED_VALUE"""),FALSE)</f>
        <v>0</v>
      </c>
      <c r="H223" s="11"/>
      <c r="I223" s="11">
        <f>IFERROR(__xludf.DUMMYFUNCTION("""COMPUTED_VALUE"""),5.0)</f>
        <v>5</v>
      </c>
      <c r="J223" s="11">
        <f>IFERROR(__xludf.DUMMYFUNCTION("""COMPUTED_VALUE"""),0.01)</f>
        <v>0.01</v>
      </c>
      <c r="K223" s="11">
        <f>IFERROR(__xludf.DUMMYFUNCTION("""COMPUTED_VALUE"""),0.4)</f>
        <v>0.4</v>
      </c>
      <c r="L223" s="11"/>
    </row>
    <row r="224" ht="15.75" customHeight="1">
      <c r="A224" s="8" t="str">
        <f>IFERROR(__xludf.DUMMYFUNCTION("""COMPUTED_VALUE"""),"https://clutch.co/de/developers/artificial-intelligence")</f>
        <v>https://clutch.co/de/developers/artificial-intelligence</v>
      </c>
      <c r="B224" s="11" t="str">
        <f>IFERROR(__xludf.DUMMYFUNCTION("""COMPUTED_VALUE"""),"Top Artificial Intelligence Companies in Germany - Jul 2026 Rankings | Clutch.co")</f>
        <v>Top Artificial Intelligence Companies in Germany - Jul 2026 Rankings | Clutch.co</v>
      </c>
      <c r="C224" s="8" t="str">
        <f>IFERROR(__xludf.DUMMYFUNCTION("""COMPUTED_VALUE"""),"clutch.co")</f>
        <v>clutch.co</v>
      </c>
      <c r="D224" s="11" t="str">
        <f>IFERROR(__xludf.DUMMYFUNCTION("""COMPUTED_VALUE"""),"CATEGORY_PAGE")</f>
        <v>CATEGORY_PAGE</v>
      </c>
      <c r="E224" s="11" t="str">
        <f>IFERROR(__xludf.DUMMYFUNCTION("""COMPUTED_VALUE"""),"CORPORATE")</f>
        <v>CORPORATE</v>
      </c>
      <c r="F224" s="11" t="str">
        <f>IFERROR(__xludf.DUMMYFUNCTION("""COMPUTED_VALUE"""),"Category Page")</f>
        <v>Category Page</v>
      </c>
      <c r="G224" s="11" t="b">
        <f>IFERROR(__xludf.DUMMYFUNCTION("""COMPUTED_VALUE"""),FALSE)</f>
        <v>0</v>
      </c>
      <c r="H224" s="11"/>
      <c r="I224" s="11">
        <f>IFERROR(__xludf.DUMMYFUNCTION("""COMPUTED_VALUE"""),5.0)</f>
        <v>5</v>
      </c>
      <c r="J224" s="11">
        <f>IFERROR(__xludf.DUMMYFUNCTION("""COMPUTED_VALUE"""),0.01)</f>
        <v>0.01</v>
      </c>
      <c r="K224" s="11">
        <f>IFERROR(__xludf.DUMMYFUNCTION("""COMPUTED_VALUE"""),0.2)</f>
        <v>0.2</v>
      </c>
      <c r="L224" s="11"/>
    </row>
    <row r="225" ht="15.75" customHeight="1">
      <c r="A225" s="8" t="str">
        <f>IFERROR(__xludf.DUMMYFUNCTION("""COMPUTED_VALUE"""),"https://clutch.co/de/developers/artificial-intelligence/generative")</f>
        <v>https://clutch.co/de/developers/artificial-intelligence/generative</v>
      </c>
      <c r="B225" s="11" t="str">
        <f>IFERROR(__xludf.DUMMYFUNCTION("""COMPUTED_VALUE"""),"Top Generative AI Companies in Germany - Jul 2026 Rankings \| Clutch.co")</f>
        <v>Top Generative AI Companies in Germany - Jul 2026 Rankings \| Clutch.co</v>
      </c>
      <c r="C225" s="8" t="str">
        <f>IFERROR(__xludf.DUMMYFUNCTION("""COMPUTED_VALUE"""),"clutch.co")</f>
        <v>clutch.co</v>
      </c>
      <c r="D225" s="11" t="str">
        <f>IFERROR(__xludf.DUMMYFUNCTION("""COMPUTED_VALUE"""),"CATEGORY_PAGE")</f>
        <v>CATEGORY_PAGE</v>
      </c>
      <c r="E225" s="11" t="str">
        <f>IFERROR(__xludf.DUMMYFUNCTION("""COMPUTED_VALUE"""),"CORPORATE")</f>
        <v>CORPORATE</v>
      </c>
      <c r="F225" s="11" t="str">
        <f>IFERROR(__xludf.DUMMYFUNCTION("""COMPUTED_VALUE"""),"Category Page")</f>
        <v>Category Page</v>
      </c>
      <c r="G225" s="11" t="b">
        <f>IFERROR(__xludf.DUMMYFUNCTION("""COMPUTED_VALUE"""),FALSE)</f>
        <v>0</v>
      </c>
      <c r="H225" s="11" t="str">
        <f>IFERROR(__xludf.DUMMYFUNCTION("""COMPUTED_VALUE"""),"Admiral Media, Aufgesang")</f>
        <v>Admiral Media, Aufgesang</v>
      </c>
      <c r="I225" s="11">
        <f>IFERROR(__xludf.DUMMYFUNCTION("""COMPUTED_VALUE"""),5.0)</f>
        <v>5</v>
      </c>
      <c r="J225" s="11">
        <f>IFERROR(__xludf.DUMMYFUNCTION("""COMPUTED_VALUE"""),0.01)</f>
        <v>0.01</v>
      </c>
      <c r="K225" s="11">
        <f>IFERROR(__xludf.DUMMYFUNCTION("""COMPUTED_VALUE"""),0.0)</f>
        <v>0</v>
      </c>
      <c r="L225" s="11"/>
    </row>
    <row r="226" ht="15.75" customHeight="1">
      <c r="A226" s="8" t="str">
        <f>IFERROR(__xludf.DUMMYFUNCTION("""COMPUTED_VALUE"""),"https://www.designrush.com/agency/ai-companies/de")</f>
        <v>https://www.designrush.com/agency/ai-companies/de</v>
      </c>
      <c r="B226" s="11" t="str">
        <f>IFERROR(__xludf.DUMMYFUNCTION("""COMPUTED_VALUE"""),"Top AI Companies in Germany | 2026")</f>
        <v>Top AI Companies in Germany | 2026</v>
      </c>
      <c r="C226" s="8" t="str">
        <f>IFERROR(__xludf.DUMMYFUNCTION("""COMPUTED_VALUE"""),"designrush.com")</f>
        <v>designrush.com</v>
      </c>
      <c r="D226" s="11" t="str">
        <f>IFERROR(__xludf.DUMMYFUNCTION("""COMPUTED_VALUE"""),"CATEGORY_PAGE")</f>
        <v>CATEGORY_PAGE</v>
      </c>
      <c r="E226" s="11" t="str">
        <f>IFERROR(__xludf.DUMMYFUNCTION("""COMPUTED_VALUE"""),"CORPORATE")</f>
        <v>CORPORATE</v>
      </c>
      <c r="F226" s="11" t="str">
        <f>IFERROR(__xludf.DUMMYFUNCTION("""COMPUTED_VALUE"""),"Category Page")</f>
        <v>Category Page</v>
      </c>
      <c r="G226" s="11" t="b">
        <f>IFERROR(__xludf.DUMMYFUNCTION("""COMPUTED_VALUE"""),FALSE)</f>
        <v>0</v>
      </c>
      <c r="H226" s="11"/>
      <c r="I226" s="11">
        <f>IFERROR(__xludf.DUMMYFUNCTION("""COMPUTED_VALUE"""),5.0)</f>
        <v>5</v>
      </c>
      <c r="J226" s="11">
        <f>IFERROR(__xludf.DUMMYFUNCTION("""COMPUTED_VALUE"""),0.01)</f>
        <v>0.01</v>
      </c>
      <c r="K226" s="11">
        <f>IFERROR(__xludf.DUMMYFUNCTION("""COMPUTED_VALUE"""),0.0)</f>
        <v>0</v>
      </c>
      <c r="L226" s="11"/>
    </row>
    <row r="227" ht="15.75" customHeight="1">
      <c r="A227" s="8" t="str">
        <f>IFERROR(__xludf.DUMMYFUNCTION("""COMPUTED_VALUE"""),"https://firstpagesage.com/seo-blog/the-top-answer-engine-optimization-aeo-companies/")</f>
        <v>https://firstpagesage.com/seo-blog/the-top-answer-engine-optimization-aeo-companies/</v>
      </c>
      <c r="B227" s="11" t="str">
        <f>IFERROR(__xludf.DUMMYFUNCTION("""COMPUTED_VALUE"""),"The Top Answer Engine Optimization (AEO) Companies of 2026 – First Page Sage")</f>
        <v>The Top Answer Engine Optimization (AEO) Companies of 2026 – First Page Sage</v>
      </c>
      <c r="C227" s="8" t="str">
        <f>IFERROR(__xludf.DUMMYFUNCTION("""COMPUTED_VALUE"""),"firstpagesage.com")</f>
        <v>firstpagesage.com</v>
      </c>
      <c r="D227" s="11" t="str">
        <f>IFERROR(__xludf.DUMMYFUNCTION("""COMPUTED_VALUE"""),"LISTICLE")</f>
        <v>LISTICLE</v>
      </c>
      <c r="E227" s="11" t="str">
        <f>IFERROR(__xludf.DUMMYFUNCTION("""COMPUTED_VALUE"""),"CORPORATE")</f>
        <v>CORPORATE</v>
      </c>
      <c r="F227" s="11" t="str">
        <f>IFERROR(__xludf.DUMMYFUNCTION("""COMPUTED_VALUE"""),"Listicle")</f>
        <v>Listicle</v>
      </c>
      <c r="G227" s="11" t="b">
        <f>IFERROR(__xludf.DUMMYFUNCTION("""COMPUTED_VALUE"""),FALSE)</f>
        <v>0</v>
      </c>
      <c r="H227" s="11" t="str">
        <f>IFERROR(__xludf.DUMMYFUNCTION("""COMPUTED_VALUE"""),"iPullRank, Omniscient Digital")</f>
        <v>iPullRank, Omniscient Digital</v>
      </c>
      <c r="I227" s="11">
        <f>IFERROR(__xludf.DUMMYFUNCTION("""COMPUTED_VALUE"""),5.0)</f>
        <v>5</v>
      </c>
      <c r="J227" s="11">
        <f>IFERROR(__xludf.DUMMYFUNCTION("""COMPUTED_VALUE"""),0.01)</f>
        <v>0.01</v>
      </c>
      <c r="K227" s="11">
        <f>IFERROR(__xludf.DUMMYFUNCTION("""COMPUTED_VALUE"""),0.0)</f>
        <v>0</v>
      </c>
      <c r="L227" s="11"/>
    </row>
    <row r="228" ht="15.75" customHeight="1">
      <c r="A228" s="8" t="str">
        <f>IFERROR(__xludf.DUMMYFUNCTION("""COMPUTED_VALUE"""),"https://gemprogrammers.com/best-digital-marketing-agency-germany/")</f>
        <v>https://gemprogrammers.com/best-digital-marketing-agency-germany/</v>
      </c>
      <c r="B228" s="11" t="str">
        <f>IFERROR(__xludf.DUMMYFUNCTION("""COMPUTED_VALUE"""),"Best Digital Marketing Agency Germany 2026: Right Fit Guide")</f>
        <v>Best Digital Marketing Agency Germany 2026: Right Fit Guide</v>
      </c>
      <c r="C228" s="8" t="str">
        <f>IFERROR(__xludf.DUMMYFUNCTION("""COMPUTED_VALUE"""),"gemprogrammers.com")</f>
        <v>gemprogrammers.com</v>
      </c>
      <c r="D228" s="11" t="str">
        <f>IFERROR(__xludf.DUMMYFUNCTION("""COMPUTED_VALUE"""),"HOW_TO_GUIDE")</f>
        <v>HOW_TO_GUIDE</v>
      </c>
      <c r="E228" s="11" t="str">
        <f>IFERROR(__xludf.DUMMYFUNCTION("""COMPUTED_VALUE"""),"CORPORATE")</f>
        <v>CORPORATE</v>
      </c>
      <c r="F228" s="11" t="str">
        <f>IFERROR(__xludf.DUMMYFUNCTION("""COMPUTED_VALUE"""),"How-To Guide")</f>
        <v>How-To Guide</v>
      </c>
      <c r="G228" s="11" t="b">
        <f>IFERROR(__xludf.DUMMYFUNCTION("""COMPUTED_VALUE"""),FALSE)</f>
        <v>0</v>
      </c>
      <c r="H228" s="11" t="str">
        <f>IFERROR(__xludf.DUMMYFUNCTION("""COMPUTED_VALUE"""),"WPP, Omnicom, Dentsu")</f>
        <v>WPP, Omnicom, Dentsu</v>
      </c>
      <c r="I228" s="11">
        <f>IFERROR(__xludf.DUMMYFUNCTION("""COMPUTED_VALUE"""),5.0)</f>
        <v>5</v>
      </c>
      <c r="J228" s="11">
        <f>IFERROR(__xludf.DUMMYFUNCTION("""COMPUTED_VALUE"""),0.01)</f>
        <v>0.01</v>
      </c>
      <c r="K228" s="11">
        <f>IFERROR(__xludf.DUMMYFUNCTION("""COMPUTED_VALUE"""),1.0)</f>
        <v>1</v>
      </c>
      <c r="L228" s="11"/>
    </row>
    <row r="229" ht="15.75" customHeight="1">
      <c r="A229" s="8" t="str">
        <f>IFERROR(__xludf.DUMMYFUNCTION("""COMPUTED_VALUE"""),"https://www.phable.io/top-creative-agencies/ty64guv22ftctcjddgh9avb7ywb85q")</f>
        <v>https://www.phable.io/top-creative-agencies/ty64guv22ftctcjddgh9avb7ywb85q</v>
      </c>
      <c r="B229" s="11" t="str">
        <f>IFERROR(__xludf.DUMMYFUNCTION("""COMPUTED_VALUE"""),"Top Creative Agencies in Europe | Leaders in Branding, Content Creation &amp;amp; Digital Innovation — Branding And Content Marketing For Technology")</f>
        <v>Top Creative Agencies in Europe | Leaders in Branding, Content Creation &amp;amp; Digital Innovation — Branding And Content Marketing For Technology</v>
      </c>
      <c r="C229" s="8" t="str">
        <f>IFERROR(__xludf.DUMMYFUNCTION("""COMPUTED_VALUE"""),"phable.io")</f>
        <v>phable.io</v>
      </c>
      <c r="D229" s="11" t="str">
        <f>IFERROR(__xludf.DUMMYFUNCTION("""COMPUTED_VALUE"""),"LISTICLE")</f>
        <v>LISTICLE</v>
      </c>
      <c r="E229" s="11" t="str">
        <f>IFERROR(__xludf.DUMMYFUNCTION("""COMPUTED_VALUE"""),"CORPORATE")</f>
        <v>CORPORATE</v>
      </c>
      <c r="F229" s="11" t="str">
        <f>IFERROR(__xludf.DUMMYFUNCTION("""COMPUTED_VALUE"""),"Listicle")</f>
        <v>Listicle</v>
      </c>
      <c r="G229" s="11" t="b">
        <f>IFERROR(__xludf.DUMMYFUNCTION("""COMPUTED_VALUE"""),FALSE)</f>
        <v>0</v>
      </c>
      <c r="H229" s="11" t="str">
        <f>IFERROR(__xludf.DUMMYFUNCTION("""COMPUTED_VALUE"""),"AKQA, Serviceplan Group, R/GA")</f>
        <v>AKQA, Serviceplan Group, R/GA</v>
      </c>
      <c r="I229" s="11">
        <f>IFERROR(__xludf.DUMMYFUNCTION("""COMPUTED_VALUE"""),5.0)</f>
        <v>5</v>
      </c>
      <c r="J229" s="11">
        <f>IFERROR(__xludf.DUMMYFUNCTION("""COMPUTED_VALUE"""),0.01)</f>
        <v>0.01</v>
      </c>
      <c r="K229" s="11">
        <f>IFERROR(__xludf.DUMMYFUNCTION("""COMPUTED_VALUE"""),0.8)</f>
        <v>0.8</v>
      </c>
      <c r="L229" s="11"/>
    </row>
    <row r="230" ht="15.75" customHeight="1">
      <c r="A230" s="8" t="str">
        <f>IFERROR(__xludf.DUMMYFUNCTION("""COMPUTED_VALUE"""),"https://segmentstream.com/blog/articles/top-enterprise-marketing-analytics-and-attribution-platforms")</f>
        <v>https://segmentstream.com/blog/articles/top-enterprise-marketing-analytics-and-attribution-platforms</v>
      </c>
      <c r="B230" s="11" t="str">
        <f>IFERROR(__xludf.DUMMYFUNCTION("""COMPUTED_VALUE"""),"10 Best Enterprise Marketing Analytics &amp;amp; Attribution Platforms in 2026 — SegmentStream")</f>
        <v>10 Best Enterprise Marketing Analytics &amp;amp; Attribution Platforms in 2026 — SegmentStream</v>
      </c>
      <c r="C230" s="8" t="str">
        <f>IFERROR(__xludf.DUMMYFUNCTION("""COMPUTED_VALUE"""),"segmentstream.com")</f>
        <v>segmentstream.com</v>
      </c>
      <c r="D230" s="11" t="str">
        <f>IFERROR(__xludf.DUMMYFUNCTION("""COMPUTED_VALUE"""),"LISTICLE")</f>
        <v>LISTICLE</v>
      </c>
      <c r="E230" s="11" t="str">
        <f>IFERROR(__xludf.DUMMYFUNCTION("""COMPUTED_VALUE"""),"COMPETITOR")</f>
        <v>COMPETITOR</v>
      </c>
      <c r="F230" s="11" t="str">
        <f>IFERROR(__xludf.DUMMYFUNCTION("""COMPUTED_VALUE"""),"Listicle")</f>
        <v>Listicle</v>
      </c>
      <c r="G230" s="11" t="b">
        <f>IFERROR(__xludf.DUMMYFUNCTION("""COMPUTED_VALUE"""),FALSE)</f>
        <v>0</v>
      </c>
      <c r="H230" s="11" t="str">
        <f>IFERROR(__xludf.DUMMYFUNCTION("""COMPUTED_VALUE"""),"SegmentStream, Measured, Rockerbox, LifeSight")</f>
        <v>SegmentStream, Measured, Rockerbox, LifeSight</v>
      </c>
      <c r="I230" s="11">
        <f>IFERROR(__xludf.DUMMYFUNCTION("""COMPUTED_VALUE"""),5.0)</f>
        <v>5</v>
      </c>
      <c r="J230" s="11">
        <f>IFERROR(__xludf.DUMMYFUNCTION("""COMPUTED_VALUE"""),0.01)</f>
        <v>0.01</v>
      </c>
      <c r="K230" s="11">
        <f>IFERROR(__xludf.DUMMYFUNCTION("""COMPUTED_VALUE"""),0.2)</f>
        <v>0.2</v>
      </c>
      <c r="L230" s="11"/>
    </row>
    <row r="231" ht="15.75" customHeight="1">
      <c r="A231" s="8" t="str">
        <f>IFERROR(__xludf.DUMMYFUNCTION("""COMPUTED_VALUE"""),"https://www.sortlist.com/s/artificial-intelligence/munich-by-de")</f>
        <v>https://www.sortlist.com/s/artificial-intelligence/munich-by-de</v>
      </c>
      <c r="B231" s="11" t="str">
        <f>IFERROR(__xludf.DUMMYFUNCTION("""COMPUTED_VALUE"""),"The 10 Best Artificial Intelligence Agencies in Munich - 2026 Reviews")</f>
        <v>The 10 Best Artificial Intelligence Agencies in Munich - 2026 Reviews</v>
      </c>
      <c r="C231" s="8" t="str">
        <f>IFERROR(__xludf.DUMMYFUNCTION("""COMPUTED_VALUE"""),"sortlist.com")</f>
        <v>sortlist.com</v>
      </c>
      <c r="D231" s="11" t="str">
        <f>IFERROR(__xludf.DUMMYFUNCTION("""COMPUTED_VALUE"""),"CATEGORY_PAGE")</f>
        <v>CATEGORY_PAGE</v>
      </c>
      <c r="E231" s="11" t="str">
        <f>IFERROR(__xludf.DUMMYFUNCTION("""COMPUTED_VALUE"""),"CORPORATE")</f>
        <v>CORPORATE</v>
      </c>
      <c r="F231" s="11" t="str">
        <f>IFERROR(__xludf.DUMMYFUNCTION("""COMPUTED_VALUE"""),"Category Page")</f>
        <v>Category Page</v>
      </c>
      <c r="G231" s="11" t="b">
        <f>IFERROR(__xludf.DUMMYFUNCTION("""COMPUTED_VALUE"""),FALSE)</f>
        <v>0</v>
      </c>
      <c r="H231" s="11" t="str">
        <f>IFERROR(__xludf.DUMMYFUNCTION("""COMPUTED_VALUE"""),"Momentum, Pilot")</f>
        <v>Momentum, Pilot</v>
      </c>
      <c r="I231" s="11">
        <f>IFERROR(__xludf.DUMMYFUNCTION("""COMPUTED_VALUE"""),5.0)</f>
        <v>5</v>
      </c>
      <c r="J231" s="11">
        <f>IFERROR(__xludf.DUMMYFUNCTION("""COMPUTED_VALUE"""),0.01)</f>
        <v>0.01</v>
      </c>
      <c r="K231" s="11">
        <f>IFERROR(__xludf.DUMMYFUNCTION("""COMPUTED_VALUE"""),1.4)</f>
        <v>1.4</v>
      </c>
      <c r="L231" s="11"/>
    </row>
    <row r="232" ht="15.75" customHeight="1">
      <c r="A232" s="8" t="str">
        <f>IFERROR(__xludf.DUMMYFUNCTION("""COMPUTED_VALUE"""),"https://sourceforge.net/software/ai-marketing/germany/")</f>
        <v>https://sourceforge.net/software/ai-marketing/germany/</v>
      </c>
      <c r="B232" s="11" t="str">
        <f>IFERROR(__xludf.DUMMYFUNCTION("""COMPUTED_VALUE"""),"Best AI Marketing Tools in Germany of 2026 - Reviews &amp;amp; Comparison")</f>
        <v>Best AI Marketing Tools in Germany of 2026 - Reviews &amp;amp; Comparison</v>
      </c>
      <c r="C232" s="8" t="str">
        <f>IFERROR(__xludf.DUMMYFUNCTION("""COMPUTED_VALUE"""),"sourceforge.net")</f>
        <v>sourceforge.net</v>
      </c>
      <c r="D232" s="11" t="str">
        <f>IFERROR(__xludf.DUMMYFUNCTION("""COMPUTED_VALUE"""),"CATEGORY_PAGE")</f>
        <v>CATEGORY_PAGE</v>
      </c>
      <c r="E232" s="11" t="str">
        <f>IFERROR(__xludf.DUMMYFUNCTION("""COMPUTED_VALUE"""),"OTHER")</f>
        <v>OTHER</v>
      </c>
      <c r="F232" s="11" t="str">
        <f>IFERROR(__xludf.DUMMYFUNCTION("""COMPUTED_VALUE"""),"Category Page")</f>
        <v>Category Page</v>
      </c>
      <c r="G232" s="11" t="b">
        <f>IFERROR(__xludf.DUMMYFUNCTION("""COMPUTED_VALUE"""),FALSE)</f>
        <v>0</v>
      </c>
      <c r="H232" s="11"/>
      <c r="I232" s="11">
        <f>IFERROR(__xludf.DUMMYFUNCTION("""COMPUTED_VALUE"""),5.0)</f>
        <v>5</v>
      </c>
      <c r="J232" s="11">
        <f>IFERROR(__xludf.DUMMYFUNCTION("""COMPUTED_VALUE"""),0.01)</f>
        <v>0.01</v>
      </c>
      <c r="K232" s="11">
        <f>IFERROR(__xludf.DUMMYFUNCTION("""COMPUTED_VALUE"""),0.0)</f>
        <v>0</v>
      </c>
      <c r="L232" s="11"/>
    </row>
    <row r="233" ht="15.75" customHeight="1">
      <c r="A233" s="8" t="str">
        <f>IFERROR(__xludf.DUMMYFUNCTION("""COMPUTED_VALUE"""),"https://thebestagency.de/news/serviceplan-stuermt-an-die-spitze-des-rankings-von-the-best-agency/?media_link=1")</f>
        <v>https://thebestagency.de/news/serviceplan-stuermt-an-die-spitze-des-rankings-von-the-best-agency/?media_link=1</v>
      </c>
      <c r="B233" s="11" t="str">
        <f>IFERROR(__xludf.DUMMYFUNCTION("""COMPUTED_VALUE"""),"THE BEST AGENCY Ranking: Serviceplan stürmt an die Spitze")</f>
        <v>THE BEST AGENCY Ranking: Serviceplan stürmt an die Spitze</v>
      </c>
      <c r="C233" s="8" t="str">
        <f>IFERROR(__xludf.DUMMYFUNCTION("""COMPUTED_VALUE"""),"thebestagency.de")</f>
        <v>thebestagency.de</v>
      </c>
      <c r="D233" s="11" t="str">
        <f>IFERROR(__xludf.DUMMYFUNCTION("""COMPUTED_VALUE"""),"ARTICLE")</f>
        <v>ARTICLE</v>
      </c>
      <c r="E233" s="11" t="str">
        <f>IFERROR(__xludf.DUMMYFUNCTION("""COMPUTED_VALUE"""),"CORPORATE")</f>
        <v>CORPORATE</v>
      </c>
      <c r="F233" s="11" t="str">
        <f>IFERROR(__xludf.DUMMYFUNCTION("""COMPUTED_VALUE"""),"Article")</f>
        <v>Article</v>
      </c>
      <c r="G233" s="11" t="b">
        <f>IFERROR(__xludf.DUMMYFUNCTION("""COMPUTED_VALUE"""),FALSE)</f>
        <v>0</v>
      </c>
      <c r="H233" s="11" t="str">
        <f>IFERROR(__xludf.DUMMYFUNCTION("""COMPUTED_VALUE"""),"Publicis Groupe, Ogilvy, Accenture Song, Scholz &amp; Friends, Jung von Matt")</f>
        <v>Publicis Groupe, Ogilvy, Accenture Song, Scholz &amp; Friends, Jung von Matt</v>
      </c>
      <c r="I233" s="11">
        <f>IFERROR(__xludf.DUMMYFUNCTION("""COMPUTED_VALUE"""),5.0)</f>
        <v>5</v>
      </c>
      <c r="J233" s="11">
        <f>IFERROR(__xludf.DUMMYFUNCTION("""COMPUTED_VALUE"""),0.01)</f>
        <v>0.01</v>
      </c>
      <c r="K233" s="11">
        <f>IFERROR(__xludf.DUMMYFUNCTION("""COMPUTED_VALUE"""),0.0)</f>
        <v>0</v>
      </c>
      <c r="L233" s="11"/>
    </row>
    <row r="234" ht="15.75" customHeight="1">
      <c r="A234" s="8" t="str">
        <f>IFERROR(__xludf.DUMMYFUNCTION("""COMPUTED_VALUE"""),"https://thebestagency.de/the-best-agency-ranking/")</f>
        <v>https://thebestagency.de/the-best-agency-ranking/</v>
      </c>
      <c r="B234" s="11" t="str">
        <f>IFERROR(__xludf.DUMMYFUNCTION("""COMPUTED_VALUE"""),"THE BEST AGENCY Ranking - ein Überblick")</f>
        <v>THE BEST AGENCY Ranking - ein Überblick</v>
      </c>
      <c r="C234" s="8" t="str">
        <f>IFERROR(__xludf.DUMMYFUNCTION("""COMPUTED_VALUE"""),"thebestagency.de")</f>
        <v>thebestagency.de</v>
      </c>
      <c r="D234" s="11" t="str">
        <f>IFERROR(__xludf.DUMMYFUNCTION("""COMPUTED_VALUE"""),"LISTICLE")</f>
        <v>LISTICLE</v>
      </c>
      <c r="E234" s="11" t="str">
        <f>IFERROR(__xludf.DUMMYFUNCTION("""COMPUTED_VALUE"""),"CORPORATE")</f>
        <v>CORPORATE</v>
      </c>
      <c r="F234" s="11" t="str">
        <f>IFERROR(__xludf.DUMMYFUNCTION("""COMPUTED_VALUE"""),"Listicle")</f>
        <v>Listicle</v>
      </c>
      <c r="G234" s="11" t="b">
        <f>IFERROR(__xludf.DUMMYFUNCTION("""COMPUTED_VALUE"""),FALSE)</f>
        <v>0</v>
      </c>
      <c r="H234" s="11" t="str">
        <f>IFERROR(__xludf.DUMMYFUNCTION("""COMPUTED_VALUE"""),"Publicis Groupe, Publicis Media, Ogilvy, Accenture Song, Scholz &amp; Friends, Omnicom, Omnicom Media Group, Jung von Matt, Havas Media, Mawave, Aufgesang, Mindshare, Serviceplan Group")</f>
        <v>Publicis Groupe, Publicis Media, Ogilvy, Accenture Song, Scholz &amp; Friends, Omnicom, Omnicom Media Group, Jung von Matt, Havas Media, Mawave, Aufgesang, Mindshare, Serviceplan Group</v>
      </c>
      <c r="I234" s="11">
        <f>IFERROR(__xludf.DUMMYFUNCTION("""COMPUTED_VALUE"""),5.0)</f>
        <v>5</v>
      </c>
      <c r="J234" s="11">
        <f>IFERROR(__xludf.DUMMYFUNCTION("""COMPUTED_VALUE"""),0.01)</f>
        <v>0.01</v>
      </c>
      <c r="K234" s="11">
        <f>IFERROR(__xludf.DUMMYFUNCTION("""COMPUTED_VALUE"""),0.6)</f>
        <v>0.6</v>
      </c>
      <c r="L234" s="11"/>
    </row>
    <row r="235" ht="15.75" customHeight="1">
      <c r="A235" s="8" t="str">
        <f>IFERROR(__xludf.DUMMYFUNCTION("""COMPUTED_VALUE"""),"https://agencies.semrush.com/list/analytics-data-science/business-professional-services/germany/")</f>
        <v>https://agencies.semrush.com/list/analytics-data-science/business-professional-services/germany/</v>
      </c>
      <c r="B235" s="11" t="str">
        <f>IFERROR(__xludf.DUMMYFUNCTION("""COMPUTED_VALUE"""),"Best B2B Services Data Analytics Services in Germany 2026 | Semrush")</f>
        <v>Best B2B Services Data Analytics Services in Germany 2026 | Semrush</v>
      </c>
      <c r="C235" s="8" t="str">
        <f>IFERROR(__xludf.DUMMYFUNCTION("""COMPUTED_VALUE"""),"semrush.com")</f>
        <v>semrush.com</v>
      </c>
      <c r="D235" s="11" t="str">
        <f>IFERROR(__xludf.DUMMYFUNCTION("""COMPUTED_VALUE"""),"CATEGORY_PAGE")</f>
        <v>CATEGORY_PAGE</v>
      </c>
      <c r="E235" s="11" t="str">
        <f>IFERROR(__xludf.DUMMYFUNCTION("""COMPUTED_VALUE"""),"CORPORATE")</f>
        <v>CORPORATE</v>
      </c>
      <c r="F235" s="11" t="str">
        <f>IFERROR(__xludf.DUMMYFUNCTION("""COMPUTED_VALUE"""),"Category Page")</f>
        <v>Category Page</v>
      </c>
      <c r="G235" s="11" t="b">
        <f>IFERROR(__xludf.DUMMYFUNCTION("""COMPUTED_VALUE"""),FALSE)</f>
        <v>0</v>
      </c>
      <c r="H235" s="11" t="str">
        <f>IFERROR(__xludf.DUMMYFUNCTION("""COMPUTED_VALUE"""),"HECHT INS GEFECHT, Baseplus DIGITAL MEDIA GmbH, morefire, Mediaplus Performance")</f>
        <v>HECHT INS GEFECHT, Baseplus DIGITAL MEDIA GmbH, morefire, Mediaplus Performance</v>
      </c>
      <c r="I235" s="11">
        <f>IFERROR(__xludf.DUMMYFUNCTION("""COMPUTED_VALUE"""),4.0)</f>
        <v>4</v>
      </c>
      <c r="J235" s="11">
        <f>IFERROR(__xludf.DUMMYFUNCTION("""COMPUTED_VALUE"""),0.0)</f>
        <v>0</v>
      </c>
      <c r="K235" s="11">
        <f>IFERROR(__xludf.DUMMYFUNCTION("""COMPUTED_VALUE"""),0.0)</f>
        <v>0</v>
      </c>
      <c r="L235" s="11"/>
    </row>
    <row r="236" ht="15.75" customHeight="1">
      <c r="A236" s="8" t="str">
        <f>IFERROR(__xludf.DUMMYFUNCTION("""COMPUTED_VALUE"""),"https://agencies.semrush.com/list/analytics-data-science/germany/small-business/")</f>
        <v>https://agencies.semrush.com/list/analytics-data-science/germany/small-business/</v>
      </c>
      <c r="B236" s="11" t="str">
        <f>IFERROR(__xludf.DUMMYFUNCTION("""COMPUTED_VALUE"""),"Best Data Analytics Services for Small Business in Germany 2026 | Semrush")</f>
        <v>Best Data Analytics Services for Small Business in Germany 2026 | Semrush</v>
      </c>
      <c r="C236" s="8" t="str">
        <f>IFERROR(__xludf.DUMMYFUNCTION("""COMPUTED_VALUE"""),"semrush.com")</f>
        <v>semrush.com</v>
      </c>
      <c r="D236" s="11" t="str">
        <f>IFERROR(__xludf.DUMMYFUNCTION("""COMPUTED_VALUE"""),"OTHER")</f>
        <v>OTHER</v>
      </c>
      <c r="E236" s="11" t="str">
        <f>IFERROR(__xludf.DUMMYFUNCTION("""COMPUTED_VALUE"""),"CORPORATE")</f>
        <v>CORPORATE</v>
      </c>
      <c r="F236" s="11" t="str">
        <f>IFERROR(__xludf.DUMMYFUNCTION("""COMPUTED_VALUE"""),"Other")</f>
        <v>Other</v>
      </c>
      <c r="G236" s="11" t="b">
        <f>IFERROR(__xludf.DUMMYFUNCTION("""COMPUTED_VALUE"""),FALSE)</f>
        <v>0</v>
      </c>
      <c r="H236" s="11" t="str">
        <f>IFERROR(__xludf.DUMMYFUNCTION("""COMPUTED_VALUE"""),"HECHT INS GEFECHT, Baseplus DIGITAL MEDIA GmbH, Mediaplus Performance, KlickPiloten")</f>
        <v>HECHT INS GEFECHT, Baseplus DIGITAL MEDIA GmbH, Mediaplus Performance, KlickPiloten</v>
      </c>
      <c r="I236" s="11">
        <f>IFERROR(__xludf.DUMMYFUNCTION("""COMPUTED_VALUE"""),4.0)</f>
        <v>4</v>
      </c>
      <c r="J236" s="11">
        <f>IFERROR(__xludf.DUMMYFUNCTION("""COMPUTED_VALUE"""),0.0)</f>
        <v>0</v>
      </c>
      <c r="K236" s="11">
        <f>IFERROR(__xludf.DUMMYFUNCTION("""COMPUTED_VALUE"""),0.0)</f>
        <v>0</v>
      </c>
      <c r="L236" s="11"/>
    </row>
    <row r="237" ht="15.75" customHeight="1">
      <c r="A237" s="8" t="str">
        <f>IFERROR(__xludf.DUMMYFUNCTION("""COMPUTED_VALUE"""),"https://agencies.semrush.com/list/ppc/germany/")</f>
        <v>https://agencies.semrush.com/list/ppc/germany/</v>
      </c>
      <c r="B237" s="11" t="str">
        <f>IFERROR(__xludf.DUMMYFUNCTION("""COMPUTED_VALUE"""),"Best PPC Agencies in Germany 2026 | Semrush")</f>
        <v>Best PPC Agencies in Germany 2026 | Semrush</v>
      </c>
      <c r="C237" s="8" t="str">
        <f>IFERROR(__xludf.DUMMYFUNCTION("""COMPUTED_VALUE"""),"semrush.com")</f>
        <v>semrush.com</v>
      </c>
      <c r="D237" s="11" t="str">
        <f>IFERROR(__xludf.DUMMYFUNCTION("""COMPUTED_VALUE"""),"CATEGORY_PAGE")</f>
        <v>CATEGORY_PAGE</v>
      </c>
      <c r="E237" s="11" t="str">
        <f>IFERROR(__xludf.DUMMYFUNCTION("""COMPUTED_VALUE"""),"CORPORATE")</f>
        <v>CORPORATE</v>
      </c>
      <c r="F237" s="11" t="str">
        <f>IFERROR(__xludf.DUMMYFUNCTION("""COMPUTED_VALUE"""),"Category Page")</f>
        <v>Category Page</v>
      </c>
      <c r="G237" s="11" t="b">
        <f>IFERROR(__xludf.DUMMYFUNCTION("""COMPUTED_VALUE"""),FALSE)</f>
        <v>0</v>
      </c>
      <c r="H237" s="11" t="str">
        <f>IFERROR(__xludf.DUMMYFUNCTION("""COMPUTED_VALUE"""),"morefire, Mediaplus Performance, MONSOON, Mediacharge, KlickPiloten")</f>
        <v>morefire, Mediaplus Performance, MONSOON, Mediacharge, KlickPiloten</v>
      </c>
      <c r="I237" s="11">
        <f>IFERROR(__xludf.DUMMYFUNCTION("""COMPUTED_VALUE"""),4.0)</f>
        <v>4</v>
      </c>
      <c r="J237" s="11">
        <f>IFERROR(__xludf.DUMMYFUNCTION("""COMPUTED_VALUE"""),0.0)</f>
        <v>0</v>
      </c>
      <c r="K237" s="11">
        <f>IFERROR(__xludf.DUMMYFUNCTION("""COMPUTED_VALUE"""),0.75)</f>
        <v>0.75</v>
      </c>
      <c r="L237" s="11"/>
    </row>
    <row r="238" ht="15.75" customHeight="1">
      <c r="A238" s="8" t="str">
        <f>IFERROR(__xludf.DUMMYFUNCTION("""COMPUTED_VALUE"""),"https://www.answermaniac.ai/best-geo-agencies")</f>
        <v>https://www.answermaniac.ai/best-geo-agencies</v>
      </c>
      <c r="B238" s="11" t="str">
        <f>IFERROR(__xludf.DUMMYFUNCTION("""COMPUTED_VALUE"""),"11 Best Generative Engine Optimization (GEO) Agencies [2026] | AnswerManiac")</f>
        <v>11 Best Generative Engine Optimization (GEO) Agencies [2026] | AnswerManiac</v>
      </c>
      <c r="C238" s="8" t="str">
        <f>IFERROR(__xludf.DUMMYFUNCTION("""COMPUTED_VALUE"""),"answermaniac.ai")</f>
        <v>answermaniac.ai</v>
      </c>
      <c r="D238" s="11" t="str">
        <f>IFERROR(__xludf.DUMMYFUNCTION("""COMPUTED_VALUE"""),"LISTICLE")</f>
        <v>LISTICLE</v>
      </c>
      <c r="E238" s="11" t="str">
        <f>IFERROR(__xludf.DUMMYFUNCTION("""COMPUTED_VALUE"""),"CORPORATE")</f>
        <v>CORPORATE</v>
      </c>
      <c r="F238" s="11" t="str">
        <f>IFERROR(__xludf.DUMMYFUNCTION("""COMPUTED_VALUE"""),"Listicle")</f>
        <v>Listicle</v>
      </c>
      <c r="G238" s="11" t="b">
        <f>IFERROR(__xludf.DUMMYFUNCTION("""COMPUTED_VALUE"""),FALSE)</f>
        <v>0</v>
      </c>
      <c r="H238" s="11" t="str">
        <f>IFERROR(__xludf.DUMMYFUNCTION("""COMPUTED_VALUE"""),"Omnius, Seeders, Measured")</f>
        <v>Omnius, Seeders, Measured</v>
      </c>
      <c r="I238" s="11">
        <f>IFERROR(__xludf.DUMMYFUNCTION("""COMPUTED_VALUE"""),4.0)</f>
        <v>4</v>
      </c>
      <c r="J238" s="11">
        <f>IFERROR(__xludf.DUMMYFUNCTION("""COMPUTED_VALUE"""),0.0)</f>
        <v>0</v>
      </c>
      <c r="K238" s="11">
        <f>IFERROR(__xludf.DUMMYFUNCTION("""COMPUTED_VALUE"""),1.25)</f>
        <v>1.25</v>
      </c>
      <c r="L238" s="11"/>
    </row>
    <row r="239" ht="15.75" customHeight="1">
      <c r="A239" s="8" t="str">
        <f>IFERROR(__xludf.DUMMYFUNCTION("""COMPUTED_VALUE"""),"https://clutch.co/de/agencies/social-media-marketing/influencer")</f>
        <v>https://clutch.co/de/agencies/social-media-marketing/influencer</v>
      </c>
      <c r="B239" s="11" t="str">
        <f>IFERROR(__xludf.DUMMYFUNCTION("""COMPUTED_VALUE"""),"Top Influencer Advertising Agencies in Germany - Jul 2026 Rankings \| Clutch.co")</f>
        <v>Top Influencer Advertising Agencies in Germany - Jul 2026 Rankings \| Clutch.co</v>
      </c>
      <c r="C239" s="8" t="str">
        <f>IFERROR(__xludf.DUMMYFUNCTION("""COMPUTED_VALUE"""),"clutch.co")</f>
        <v>clutch.co</v>
      </c>
      <c r="D239" s="11" t="str">
        <f>IFERROR(__xludf.DUMMYFUNCTION("""COMPUTED_VALUE"""),"CATEGORY_PAGE")</f>
        <v>CATEGORY_PAGE</v>
      </c>
      <c r="E239" s="11" t="str">
        <f>IFERROR(__xludf.DUMMYFUNCTION("""COMPUTED_VALUE"""),"CORPORATE")</f>
        <v>CORPORATE</v>
      </c>
      <c r="F239" s="11" t="str">
        <f>IFERROR(__xludf.DUMMYFUNCTION("""COMPUTED_VALUE"""),"Category Page")</f>
        <v>Category Page</v>
      </c>
      <c r="G239" s="11" t="b">
        <f>IFERROR(__xludf.DUMMYFUNCTION("""COMPUTED_VALUE"""),FALSE)</f>
        <v>0</v>
      </c>
      <c r="H239" s="11" t="str">
        <f>IFERROR(__xludf.DUMMYFUNCTION("""COMPUTED_VALUE"""),"MONSOON, PANORAMA3000, HY.AM STUDIOS, KlickPiloten, Medialabel, GroupM")</f>
        <v>MONSOON, PANORAMA3000, HY.AM STUDIOS, KlickPiloten, Medialabel, GroupM</v>
      </c>
      <c r="I239" s="11">
        <f>IFERROR(__xludf.DUMMYFUNCTION("""COMPUTED_VALUE"""),4.0)</f>
        <v>4</v>
      </c>
      <c r="J239" s="11">
        <f>IFERROR(__xludf.DUMMYFUNCTION("""COMPUTED_VALUE"""),0.0)</f>
        <v>0</v>
      </c>
      <c r="K239" s="11">
        <f>IFERROR(__xludf.DUMMYFUNCTION("""COMPUTED_VALUE"""),0.0)</f>
        <v>0</v>
      </c>
      <c r="L239" s="11"/>
    </row>
    <row r="240" ht="15.75" customHeight="1">
      <c r="A240" s="8" t="str">
        <f>IFERROR(__xludf.DUMMYFUNCTION("""COMPUTED_VALUE"""),"https://clutch.co/de/seo-firms")</f>
        <v>https://clutch.co/de/seo-firms</v>
      </c>
      <c r="B240" s="11" t="str">
        <f>IFERROR(__xludf.DUMMYFUNCTION("""COMPUTED_VALUE"""),"Top SEO Companies in Germany - Jul 2026 Rankings \| Clutch.co")</f>
        <v>Top SEO Companies in Germany - Jul 2026 Rankings \| Clutch.co</v>
      </c>
      <c r="C240" s="8" t="str">
        <f>IFERROR(__xludf.DUMMYFUNCTION("""COMPUTED_VALUE"""),"clutch.co")</f>
        <v>clutch.co</v>
      </c>
      <c r="D240" s="11" t="str">
        <f>IFERROR(__xludf.DUMMYFUNCTION("""COMPUTED_VALUE"""),"PROFILE")</f>
        <v>PROFILE</v>
      </c>
      <c r="E240" s="11" t="str">
        <f>IFERROR(__xludf.DUMMYFUNCTION("""COMPUTED_VALUE"""),"CORPORATE")</f>
        <v>CORPORATE</v>
      </c>
      <c r="F240" s="11" t="str">
        <f>IFERROR(__xludf.DUMMYFUNCTION("""COMPUTED_VALUE"""),"Profile")</f>
        <v>Profile</v>
      </c>
      <c r="G240" s="11" t="b">
        <f>IFERROR(__xludf.DUMMYFUNCTION("""COMPUTED_VALUE"""),FALSE)</f>
        <v>0</v>
      </c>
      <c r="H240" s="11" t="str">
        <f>IFERROR(__xludf.DUMMYFUNCTION("""COMPUTED_VALUE"""),"MONSOON, Mediacharge, Claneo, Seeders, HECHT INS GEFECHT, KlickPiloten")</f>
        <v>MONSOON, Mediacharge, Claneo, Seeders, HECHT INS GEFECHT, KlickPiloten</v>
      </c>
      <c r="I240" s="11">
        <f>IFERROR(__xludf.DUMMYFUNCTION("""COMPUTED_VALUE"""),4.0)</f>
        <v>4</v>
      </c>
      <c r="J240" s="11">
        <f>IFERROR(__xludf.DUMMYFUNCTION("""COMPUTED_VALUE"""),0.0)</f>
        <v>0</v>
      </c>
      <c r="K240" s="11">
        <f>IFERROR(__xludf.DUMMYFUNCTION("""COMPUTED_VALUE"""),0.75)</f>
        <v>0.75</v>
      </c>
      <c r="L240" s="11"/>
    </row>
    <row r="241" ht="15.75" customHeight="1">
      <c r="A241" s="8" t="str">
        <f>IFERROR(__xludf.DUMMYFUNCTION("""COMPUTED_VALUE"""),"https://www.contextstudios.ai/blog/best-ai-agencies-berlin-2026-the-ultimate-comparison")</f>
        <v>https://www.contextstudios.ai/blog/best-ai-agencies-berlin-2026-the-ultimate-comparison</v>
      </c>
      <c r="B241" s="11" t="str">
        <f>IFERROR(__xludf.DUMMYFUNCTION("""COMPUTED_VALUE"""),"Best AI Agencies Berlin 2026: The Ultimate Comparison | Context Studios Blog")</f>
        <v>Best AI Agencies Berlin 2026: The Ultimate Comparison | Context Studios Blog</v>
      </c>
      <c r="C241" s="8" t="str">
        <f>IFERROR(__xludf.DUMMYFUNCTION("""COMPUTED_VALUE"""),"contextstudios.ai")</f>
        <v>contextstudios.ai</v>
      </c>
      <c r="D241" s="11" t="str">
        <f>IFERROR(__xludf.DUMMYFUNCTION("""COMPUTED_VALUE"""),"LISTICLE")</f>
        <v>LISTICLE</v>
      </c>
      <c r="E241" s="11" t="str">
        <f>IFERROR(__xludf.DUMMYFUNCTION("""COMPUTED_VALUE"""),"CORPORATE")</f>
        <v>CORPORATE</v>
      </c>
      <c r="F241" s="11" t="str">
        <f>IFERROR(__xludf.DUMMYFUNCTION("""COMPUTED_VALUE"""),"Listicle")</f>
        <v>Listicle</v>
      </c>
      <c r="G241" s="11" t="b">
        <f>IFERROR(__xludf.DUMMYFUNCTION("""COMPUTED_VALUE"""),FALSE)</f>
        <v>0</v>
      </c>
      <c r="H241" s="11" t="str">
        <f>IFERROR(__xludf.DUMMYFUNCTION("""COMPUTED_VALUE"""),"Momentum, Suchhelden, b.telligent, Peak Ace, Xmethod")</f>
        <v>Momentum, Suchhelden, b.telligent, Peak Ace, Xmethod</v>
      </c>
      <c r="I241" s="11">
        <f>IFERROR(__xludf.DUMMYFUNCTION("""COMPUTED_VALUE"""),4.0)</f>
        <v>4</v>
      </c>
      <c r="J241" s="11">
        <f>IFERROR(__xludf.DUMMYFUNCTION("""COMPUTED_VALUE"""),0.0)</f>
        <v>0</v>
      </c>
      <c r="K241" s="11">
        <f>IFERROR(__xludf.DUMMYFUNCTION("""COMPUTED_VALUE"""),1.25)</f>
        <v>1.25</v>
      </c>
      <c r="L241" s="11"/>
    </row>
    <row r="242" ht="15.75" customHeight="1">
      <c r="A242" s="8" t="str">
        <f>IFERROR(__xludf.DUMMYFUNCTION("""COMPUTED_VALUE"""),"https://csw.agency/en/the-best-geo-agencies-duesseldorf/")</f>
        <v>https://csw.agency/en/the-best-geo-agencies-duesseldorf/</v>
      </c>
      <c r="B242" s="11" t="str">
        <f>IFERROR(__xludf.DUMMYFUNCTION("""COMPUTED_VALUE"""),"The ten best GEO agencies in Düsseldorf » CSW.AGENCY")</f>
        <v>The ten best GEO agencies in Düsseldorf » CSW.AGENCY</v>
      </c>
      <c r="C242" s="11" t="str">
        <f>IFERROR(__xludf.DUMMYFUNCTION("""COMPUTED_VALUE"""),"csw.agency")</f>
        <v>csw.agency</v>
      </c>
      <c r="D242" s="11" t="str">
        <f>IFERROR(__xludf.DUMMYFUNCTION("""COMPUTED_VALUE"""),"LISTICLE")</f>
        <v>LISTICLE</v>
      </c>
      <c r="E242" s="11" t="str">
        <f>IFERROR(__xludf.DUMMYFUNCTION("""COMPUTED_VALUE"""),"CORPORATE")</f>
        <v>CORPORATE</v>
      </c>
      <c r="F242" s="11" t="str">
        <f>IFERROR(__xludf.DUMMYFUNCTION("""COMPUTED_VALUE"""),"Listicle")</f>
        <v>Listicle</v>
      </c>
      <c r="G242" s="11" t="b">
        <f>IFERROR(__xludf.DUMMYFUNCTION("""COMPUTED_VALUE"""),FALSE)</f>
        <v>0</v>
      </c>
      <c r="H242" s="11" t="str">
        <f>IFERROR(__xludf.DUMMYFUNCTION("""COMPUTED_VALUE"""),"Seeders, Baseplus DIGITAL MEDIA GmbH")</f>
        <v>Seeders, Baseplus DIGITAL MEDIA GmbH</v>
      </c>
      <c r="I242" s="11">
        <f>IFERROR(__xludf.DUMMYFUNCTION("""COMPUTED_VALUE"""),4.0)</f>
        <v>4</v>
      </c>
      <c r="J242" s="11">
        <f>IFERROR(__xludf.DUMMYFUNCTION("""COMPUTED_VALUE"""),0.0)</f>
        <v>0</v>
      </c>
      <c r="K242" s="11">
        <f>IFERROR(__xludf.DUMMYFUNCTION("""COMPUTED_VALUE"""),1.25)</f>
        <v>1.25</v>
      </c>
      <c r="L242" s="11"/>
    </row>
    <row r="243" ht="15.75" customHeight="1">
      <c r="A243" s="8" t="str">
        <f>IFERROR(__xludf.DUMMYFUNCTION("""COMPUTED_VALUE"""),"https://de.statista.com/statistik/daten/studie/168621/umfrage/top-30-kommunikationsagenturen-in-deutschland/")</f>
        <v>https://de.statista.com/statistik/daten/studie/168621/umfrage/top-30-kommunikationsagenturen-in-deutschland/</v>
      </c>
      <c r="B243" s="11" t="str">
        <f>IFERROR(__xludf.DUMMYFUNCTION("""COMPUTED_VALUE"""),"Top-30-Kommunikationsagenturen in Deutschland 2025\| Statista")</f>
        <v>Top-30-Kommunikationsagenturen in Deutschland 2025\| Statista</v>
      </c>
      <c r="C243" s="8" t="str">
        <f>IFERROR(__xludf.DUMMYFUNCTION("""COMPUTED_VALUE"""),"statista.com")</f>
        <v>statista.com</v>
      </c>
      <c r="D243" s="11" t="str">
        <f>IFERROR(__xludf.DUMMYFUNCTION("""COMPUTED_VALUE"""),"LISTICLE")</f>
        <v>LISTICLE</v>
      </c>
      <c r="E243" s="11" t="str">
        <f>IFERROR(__xludf.DUMMYFUNCTION("""COMPUTED_VALUE"""),"REFERENCE")</f>
        <v>REFERENCE</v>
      </c>
      <c r="F243" s="11" t="str">
        <f>IFERROR(__xludf.DUMMYFUNCTION("""COMPUTED_VALUE"""),"Listicle")</f>
        <v>Listicle</v>
      </c>
      <c r="G243" s="11" t="b">
        <f>IFERROR(__xludf.DUMMYFUNCTION("""COMPUTED_VALUE"""),FALSE)</f>
        <v>0</v>
      </c>
      <c r="H243" s="11" t="str">
        <f>IFERROR(__xludf.DUMMYFUNCTION("""COMPUTED_VALUE"""),"Ogilvy, OMD, Havas Media, MetaDesign, Publicis Media, Scholz &amp; Friends, Publicis Groupe")</f>
        <v>Ogilvy, OMD, Havas Media, MetaDesign, Publicis Media, Scholz &amp; Friends, Publicis Groupe</v>
      </c>
      <c r="I243" s="11">
        <f>IFERROR(__xludf.DUMMYFUNCTION("""COMPUTED_VALUE"""),4.0)</f>
        <v>4</v>
      </c>
      <c r="J243" s="11">
        <f>IFERROR(__xludf.DUMMYFUNCTION("""COMPUTED_VALUE"""),0.0)</f>
        <v>0</v>
      </c>
      <c r="K243" s="11">
        <f>IFERROR(__xludf.DUMMYFUNCTION("""COMPUTED_VALUE"""),0.0)</f>
        <v>0</v>
      </c>
      <c r="L243" s="11"/>
    </row>
    <row r="244" ht="15.75" customHeight="1">
      <c r="A244" s="8" t="str">
        <f>IFERROR(__xludf.DUMMYFUNCTION("""COMPUTED_VALUE"""),"https://www.designrush.com/agency/digital-marketing/artificial-intelligence")</f>
        <v>https://www.designrush.com/agency/digital-marketing/artificial-intelligence</v>
      </c>
      <c r="B244" s="11" t="str">
        <f>IFERROR(__xludf.DUMMYFUNCTION("""COMPUTED_VALUE"""),"Top AI Marketing Companies in 2026")</f>
        <v>Top AI Marketing Companies in 2026</v>
      </c>
      <c r="C244" s="8" t="str">
        <f>IFERROR(__xludf.DUMMYFUNCTION("""COMPUTED_VALUE"""),"designrush.com")</f>
        <v>designrush.com</v>
      </c>
      <c r="D244" s="11" t="str">
        <f>IFERROR(__xludf.DUMMYFUNCTION("""COMPUTED_VALUE"""),"LISTICLE")</f>
        <v>LISTICLE</v>
      </c>
      <c r="E244" s="11" t="str">
        <f>IFERROR(__xludf.DUMMYFUNCTION("""COMPUTED_VALUE"""),"CORPORATE")</f>
        <v>CORPORATE</v>
      </c>
      <c r="F244" s="11" t="str">
        <f>IFERROR(__xludf.DUMMYFUNCTION("""COMPUTED_VALUE"""),"Listicle")</f>
        <v>Listicle</v>
      </c>
      <c r="G244" s="11" t="b">
        <f>IFERROR(__xludf.DUMMYFUNCTION("""COMPUTED_VALUE"""),FALSE)</f>
        <v>0</v>
      </c>
      <c r="H244" s="11" t="str">
        <f>IFERROR(__xludf.DUMMYFUNCTION("""COMPUTED_VALUE"""),"Single Grain, Jellyfish, SmartSites, Huge, Disruptive Advertising, PwC, WebFX, Capgemini")</f>
        <v>Single Grain, Jellyfish, SmartSites, Huge, Disruptive Advertising, PwC, WebFX, Capgemini</v>
      </c>
      <c r="I244" s="11">
        <f>IFERROR(__xludf.DUMMYFUNCTION("""COMPUTED_VALUE"""),4.0)</f>
        <v>4</v>
      </c>
      <c r="J244" s="11">
        <f>IFERROR(__xludf.DUMMYFUNCTION("""COMPUTED_VALUE"""),0.0)</f>
        <v>0</v>
      </c>
      <c r="K244" s="11">
        <f>IFERROR(__xludf.DUMMYFUNCTION("""COMPUTED_VALUE"""),0.0)</f>
        <v>0</v>
      </c>
      <c r="L244" s="11"/>
    </row>
    <row r="245" ht="15.75" customHeight="1">
      <c r="A245" s="8" t="str">
        <f>IFERROR(__xludf.DUMMYFUNCTION("""COMPUTED_VALUE"""),"https://feedbax.ai/geo-agencies")</f>
        <v>https://feedbax.ai/geo-agencies</v>
      </c>
      <c r="B245" s="11" t="str">
        <f>IFERROR(__xludf.DUMMYFUNCTION("""COMPUTED_VALUE"""),"Top 20 GEO Agencies - 2026 Reviews")</f>
        <v>Top 20 GEO Agencies - 2026 Reviews</v>
      </c>
      <c r="C245" s="8" t="str">
        <f>IFERROR(__xludf.DUMMYFUNCTION("""COMPUTED_VALUE"""),"feedbax.ai")</f>
        <v>feedbax.ai</v>
      </c>
      <c r="D245" s="11" t="str">
        <f>IFERROR(__xludf.DUMMYFUNCTION("""COMPUTED_VALUE"""),"PROFILE")</f>
        <v>PROFILE</v>
      </c>
      <c r="E245" s="11" t="str">
        <f>IFERROR(__xludf.DUMMYFUNCTION("""COMPUTED_VALUE"""),"UGC")</f>
        <v>UGC</v>
      </c>
      <c r="F245" s="11" t="str">
        <f>IFERROR(__xludf.DUMMYFUNCTION("""COMPUTED_VALUE"""),"Profile")</f>
        <v>Profile</v>
      </c>
      <c r="G245" s="11" t="b">
        <f>IFERROR(__xludf.DUMMYFUNCTION("""COMPUTED_VALUE"""),FALSE)</f>
        <v>0</v>
      </c>
      <c r="H245" s="11" t="str">
        <f>IFERROR(__xludf.DUMMYFUNCTION("""COMPUTED_VALUE"""),"DREIKON, HECHT INS GEFECHT")</f>
        <v>DREIKON, HECHT INS GEFECHT</v>
      </c>
      <c r="I245" s="11">
        <f>IFERROR(__xludf.DUMMYFUNCTION("""COMPUTED_VALUE"""),4.0)</f>
        <v>4</v>
      </c>
      <c r="J245" s="11">
        <f>IFERROR(__xludf.DUMMYFUNCTION("""COMPUTED_VALUE"""),0.0)</f>
        <v>0</v>
      </c>
      <c r="K245" s="11">
        <f>IFERROR(__xludf.DUMMYFUNCTION("""COMPUTED_VALUE"""),1.0)</f>
        <v>1</v>
      </c>
      <c r="L245" s="11"/>
    </row>
    <row r="246" ht="15.75" customHeight="1">
      <c r="A246" s="8" t="str">
        <f>IFERROR(__xludf.DUMMYFUNCTION("""COMPUTED_VALUE"""),"https://feedbax.ai/performance-marketing/berlin")</f>
        <v>https://feedbax.ai/performance-marketing/berlin</v>
      </c>
      <c r="B246" s="11" t="str">
        <f>IFERROR(__xludf.DUMMYFUNCTION("""COMPUTED_VALUE"""),"Top 20 Performance Marketing Agencies in Berlin - 2026 Reviews")</f>
        <v>Top 20 Performance Marketing Agencies in Berlin - 2026 Reviews</v>
      </c>
      <c r="C246" s="8" t="str">
        <f>IFERROR(__xludf.DUMMYFUNCTION("""COMPUTED_VALUE"""),"feedbax.ai")</f>
        <v>feedbax.ai</v>
      </c>
      <c r="D246" s="11" t="str">
        <f>IFERROR(__xludf.DUMMYFUNCTION("""COMPUTED_VALUE"""),"CATEGORY_PAGE")</f>
        <v>CATEGORY_PAGE</v>
      </c>
      <c r="E246" s="11" t="str">
        <f>IFERROR(__xludf.DUMMYFUNCTION("""COMPUTED_VALUE"""),"UGC")</f>
        <v>UGC</v>
      </c>
      <c r="F246" s="11" t="str">
        <f>IFERROR(__xludf.DUMMYFUNCTION("""COMPUTED_VALUE"""),"Category Page")</f>
        <v>Category Page</v>
      </c>
      <c r="G246" s="11" t="b">
        <f>IFERROR(__xludf.DUMMYFUNCTION("""COMPUTED_VALUE"""),FALSE)</f>
        <v>0</v>
      </c>
      <c r="H246" s="11" t="str">
        <f>IFERROR(__xludf.DUMMYFUNCTION("""COMPUTED_VALUE"""),"PANORAMA3000, KlickPiloten, Mediacharge, Smarketer")</f>
        <v>PANORAMA3000, KlickPiloten, Mediacharge, Smarketer</v>
      </c>
      <c r="I246" s="11">
        <f>IFERROR(__xludf.DUMMYFUNCTION("""COMPUTED_VALUE"""),4.0)</f>
        <v>4</v>
      </c>
      <c r="J246" s="11">
        <f>IFERROR(__xludf.DUMMYFUNCTION("""COMPUTED_VALUE"""),0.0)</f>
        <v>0</v>
      </c>
      <c r="K246" s="11">
        <f>IFERROR(__xludf.DUMMYFUNCTION("""COMPUTED_VALUE"""),0.25)</f>
        <v>0.25</v>
      </c>
      <c r="L246" s="11"/>
    </row>
    <row r="247" ht="15.75" customHeight="1">
      <c r="A247" s="8" t="str">
        <f>IFERROR(__xludf.DUMMYFUNCTION("""COMPUTED_VALUE"""),"https://icoda.io/de/ai/best-ai-seo-agency-germany/")</f>
        <v>https://icoda.io/de/ai/best-ai-seo-agency-germany/</v>
      </c>
      <c r="B247" s="11" t="str">
        <f>IFERROR(__xludf.DUMMYFUNCTION("""COMPUTED_VALUE"""),"Beste AI SEO Agentur in Deutschland: Top 10 Anbieter für 2026")</f>
        <v>Beste AI SEO Agentur in Deutschland: Top 10 Anbieter für 2026</v>
      </c>
      <c r="C247" s="8" t="str">
        <f>IFERROR(__xludf.DUMMYFUNCTION("""COMPUTED_VALUE"""),"icoda.io")</f>
        <v>icoda.io</v>
      </c>
      <c r="D247" s="11" t="str">
        <f>IFERROR(__xludf.DUMMYFUNCTION("""COMPUTED_VALUE"""),"LISTICLE")</f>
        <v>LISTICLE</v>
      </c>
      <c r="E247" s="11" t="str">
        <f>IFERROR(__xludf.DUMMYFUNCTION("""COMPUTED_VALUE"""),"CORPORATE")</f>
        <v>CORPORATE</v>
      </c>
      <c r="F247" s="11" t="str">
        <f>IFERROR(__xludf.DUMMYFUNCTION("""COMPUTED_VALUE"""),"Listicle")</f>
        <v>Listicle</v>
      </c>
      <c r="G247" s="11" t="b">
        <f>IFERROR(__xludf.DUMMYFUNCTION("""COMPUTED_VALUE"""),FALSE)</f>
        <v>0</v>
      </c>
      <c r="H247" s="11" t="str">
        <f>IFERROR(__xludf.DUMMYFUNCTION("""COMPUTED_VALUE"""),"Omnius, TRYSEO, Aufgesang, Claneo")</f>
        <v>Omnius, TRYSEO, Aufgesang, Claneo</v>
      </c>
      <c r="I247" s="11">
        <f>IFERROR(__xludf.DUMMYFUNCTION("""COMPUTED_VALUE"""),4.0)</f>
        <v>4</v>
      </c>
      <c r="J247" s="11">
        <f>IFERROR(__xludf.DUMMYFUNCTION("""COMPUTED_VALUE"""),0.0)</f>
        <v>0</v>
      </c>
      <c r="K247" s="11">
        <f>IFERROR(__xludf.DUMMYFUNCTION("""COMPUTED_VALUE"""),3.75)</f>
        <v>3.75</v>
      </c>
      <c r="L247" s="11"/>
    </row>
    <row r="248" ht="15.75" customHeight="1">
      <c r="A248" s="8" t="str">
        <f>IFERROR(__xludf.DUMMYFUNCTION("""COMPUTED_VALUE"""),"https://www.influencer-hero.com/fr/blogs/top-pay-per-click-agencies-in-germany")</f>
        <v>https://www.influencer-hero.com/fr/blogs/top-pay-per-click-agencies-in-germany</v>
      </c>
      <c r="B248" s="11" t="str">
        <f>IFERROR(__xludf.DUMMYFUNCTION("""COMPUTED_VALUE"""),"Top 10 Agences Pay-Per-Click en Allemagne")</f>
        <v>Top 10 Agences Pay-Per-Click en Allemagne</v>
      </c>
      <c r="C248" s="8" t="str">
        <f>IFERROR(__xludf.DUMMYFUNCTION("""COMPUTED_VALUE"""),"influencer-hero.com")</f>
        <v>influencer-hero.com</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t="str">
        <f>IFERROR(__xludf.DUMMYFUNCTION("""COMPUTED_VALUE"""),"Globalist, Social Media One, MONSOON, Mediacharge, Smarketer, KlickPiloten, Loyamo")</f>
        <v>Globalist, Social Media One, MONSOON, Mediacharge, Smarketer, KlickPiloten, Loyamo</v>
      </c>
      <c r="I248" s="11">
        <f>IFERROR(__xludf.DUMMYFUNCTION("""COMPUTED_VALUE"""),4.0)</f>
        <v>4</v>
      </c>
      <c r="J248" s="11">
        <f>IFERROR(__xludf.DUMMYFUNCTION("""COMPUTED_VALUE"""),0.0)</f>
        <v>0</v>
      </c>
      <c r="K248" s="11">
        <f>IFERROR(__xludf.DUMMYFUNCTION("""COMPUTED_VALUE"""),0.0)</f>
        <v>0</v>
      </c>
      <c r="L248" s="11"/>
    </row>
    <row r="249" ht="15.75" customHeight="1">
      <c r="A249" s="8" t="str">
        <f>IFERROR(__xludf.DUMMYFUNCTION("""COMPUTED_VALUE"""),"https://www.jadasquad.com/blog/top-ai-agent-development-companies-in-munich")</f>
        <v>https://www.jadasquad.com/blog/top-ai-agent-development-companies-in-munich</v>
      </c>
      <c r="B249" s="11" t="str">
        <f>IFERROR(__xludf.DUMMYFUNCTION("""COMPUTED_VALUE"""),"Top AI Agent Development Companies in Munich Germany (2026) | The JADA Squad")</f>
        <v>Top AI Agent Development Companies in Munich Germany (2026) | The JADA Squad</v>
      </c>
      <c r="C249" s="8" t="str">
        <f>IFERROR(__xludf.DUMMYFUNCTION("""COMPUTED_VALUE"""),"jadasquad.com")</f>
        <v>jadasquad.com</v>
      </c>
      <c r="D249" s="11" t="str">
        <f>IFERROR(__xludf.DUMMYFUNCTION("""COMPUTED_VALUE"""),"LISTICLE")</f>
        <v>LISTICLE</v>
      </c>
      <c r="E249" s="11" t="str">
        <f>IFERROR(__xludf.DUMMYFUNCTION("""COMPUTED_VALUE"""),"CORPORATE")</f>
        <v>CORPORATE</v>
      </c>
      <c r="F249" s="11" t="str">
        <f>IFERROR(__xludf.DUMMYFUNCTION("""COMPUTED_VALUE"""),"Listicle")</f>
        <v>Listicle</v>
      </c>
      <c r="G249" s="11" t="b">
        <f>IFERROR(__xludf.DUMMYFUNCTION("""COMPUTED_VALUE"""),FALSE)</f>
        <v>0</v>
      </c>
      <c r="H249" s="11" t="str">
        <f>IFERROR(__xludf.DUMMYFUNCTION("""COMPUTED_VALUE"""),"MaibornWolff, Momentum, appliedAI")</f>
        <v>MaibornWolff, Momentum, appliedAI</v>
      </c>
      <c r="I249" s="11">
        <f>IFERROR(__xludf.DUMMYFUNCTION("""COMPUTED_VALUE"""),4.0)</f>
        <v>4</v>
      </c>
      <c r="J249" s="11">
        <f>IFERROR(__xludf.DUMMYFUNCTION("""COMPUTED_VALUE"""),0.0)</f>
        <v>0</v>
      </c>
      <c r="K249" s="11">
        <f>IFERROR(__xludf.DUMMYFUNCTION("""COMPUTED_VALUE"""),0.75)</f>
        <v>0.75</v>
      </c>
      <c r="L249" s="11"/>
    </row>
    <row r="250" ht="15.75" customHeight="1">
      <c r="A250" s="8" t="str">
        <f>IFERROR(__xludf.DUMMYFUNCTION("""COMPUTED_VALUE"""),"https://lengreo.com/best-meta-ads-agencies-in-germany/")</f>
        <v>https://lengreo.com/best-meta-ads-agencies-in-germany/</v>
      </c>
      <c r="B250" s="11" t="str">
        <f>IFERROR(__xludf.DUMMYFUNCTION("""COMPUTED_VALUE"""),"Top 15 Meta Ads Companies to Partner with in Germany (2026)")</f>
        <v>Top 15 Meta Ads Companies to Partner with in Germany (2026)</v>
      </c>
      <c r="C250" s="8" t="str">
        <f>IFERROR(__xludf.DUMMYFUNCTION("""COMPUTED_VALUE"""),"lengreo.com")</f>
        <v>lengreo.com</v>
      </c>
      <c r="D250" s="11" t="str">
        <f>IFERROR(__xludf.DUMMYFUNCTION("""COMPUTED_VALUE"""),"LISTICLE")</f>
        <v>LISTICLE</v>
      </c>
      <c r="E250" s="11" t="str">
        <f>IFERROR(__xludf.DUMMYFUNCTION("""COMPUTED_VALUE"""),"CORPORATE")</f>
        <v>CORPORATE</v>
      </c>
      <c r="F250" s="11" t="str">
        <f>IFERROR(__xludf.DUMMYFUNCTION("""COMPUTED_VALUE"""),"Listicle")</f>
        <v>Listicle</v>
      </c>
      <c r="G250" s="11" t="b">
        <f>IFERROR(__xludf.DUMMYFUNCTION("""COMPUTED_VALUE"""),FALSE)</f>
        <v>0</v>
      </c>
      <c r="H250" s="11" t="str">
        <f>IFERROR(__xludf.DUMMYFUNCTION("""COMPUTED_VALUE"""),"MONSOON, PANORAMA3000, Pilot, Medialabel, Mawave, Social Media Pirates, Claneo, Loyamo")</f>
        <v>MONSOON, PANORAMA3000, Pilot, Medialabel, Mawave, Social Media Pirates, Claneo, Loyamo</v>
      </c>
      <c r="I250" s="11">
        <f>IFERROR(__xludf.DUMMYFUNCTION("""COMPUTED_VALUE"""),4.0)</f>
        <v>4</v>
      </c>
      <c r="J250" s="11">
        <f>IFERROR(__xludf.DUMMYFUNCTION("""COMPUTED_VALUE"""),0.0)</f>
        <v>0</v>
      </c>
      <c r="K250" s="11">
        <f>IFERROR(__xludf.DUMMYFUNCTION("""COMPUTED_VALUE"""),2.0)</f>
        <v>2</v>
      </c>
      <c r="L250" s="11"/>
    </row>
    <row r="251" ht="15.75" customHeight="1">
      <c r="A251" s="8" t="str">
        <f>IFERROR(__xludf.DUMMYFUNCTION("""COMPUTED_VALUE"""),"https://performance-marketing-agency-berlin.com/attribution-marketing/berlin")</f>
        <v>https://performance-marketing-agency-berlin.com/attribution-marketing/berlin</v>
      </c>
      <c r="B251" s="11" t="str">
        <f>IFERROR(__xludf.DUMMYFUNCTION("""COMPUTED_VALUE"""),"The best Attribution Marketing Agencies in Berlin")</f>
        <v>The best Attribution Marketing Agencies in Berlin</v>
      </c>
      <c r="C251" s="8" t="str">
        <f>IFERROR(__xludf.DUMMYFUNCTION("""COMPUTED_VALUE"""),"performance-marketing-agency-berlin.com")</f>
        <v>performance-marketing-agency-berlin.com</v>
      </c>
      <c r="D251" s="11" t="str">
        <f>IFERROR(__xludf.DUMMYFUNCTION("""COMPUTED_VALUE"""),"OTHER")</f>
        <v>OTHER</v>
      </c>
      <c r="E251" s="11" t="str">
        <f>IFERROR(__xludf.DUMMYFUNCTION("""COMPUTED_VALUE"""),"CORPORATE")</f>
        <v>CORPORATE</v>
      </c>
      <c r="F251" s="11" t="str">
        <f>IFERROR(__xludf.DUMMYFUNCTION("""COMPUTED_VALUE"""),"Other")</f>
        <v>Other</v>
      </c>
      <c r="G251" s="11" t="b">
        <f>IFERROR(__xludf.DUMMYFUNCTION("""COMPUTED_VALUE"""),FALSE)</f>
        <v>0</v>
      </c>
      <c r="H251" s="11" t="str">
        <f>IFERROR(__xludf.DUMMYFUNCTION("""COMPUTED_VALUE"""),"Customlytics")</f>
        <v>Customlytics</v>
      </c>
      <c r="I251" s="11">
        <f>IFERROR(__xludf.DUMMYFUNCTION("""COMPUTED_VALUE"""),4.0)</f>
        <v>4</v>
      </c>
      <c r="J251" s="11">
        <f>IFERROR(__xludf.DUMMYFUNCTION("""COMPUTED_VALUE"""),0.0)</f>
        <v>0</v>
      </c>
      <c r="K251" s="11">
        <f>IFERROR(__xludf.DUMMYFUNCTION("""COMPUTED_VALUE"""),0.0)</f>
        <v>0</v>
      </c>
      <c r="L251" s="11"/>
    </row>
    <row r="252" ht="15.75" customHeight="1">
      <c r="A252" s="8" t="str">
        <f>IFERROR(__xludf.DUMMYFUNCTION("""COMPUTED_VALUE"""),"https://seranking.com/agencies/location/germany/")</f>
        <v>https://seranking.com/agencies/location/germany/</v>
      </c>
      <c r="B252" s="11" t="str">
        <f>IFERROR(__xludf.DUMMYFUNCTION("""COMPUTED_VALUE"""),"40+ Best SEO Agencies in Germany: Screened and Scored")</f>
        <v>40+ Best SEO Agencies in Germany: Screened and Scored</v>
      </c>
      <c r="C252" s="8" t="str">
        <f>IFERROR(__xludf.DUMMYFUNCTION("""COMPUTED_VALUE"""),"seranking.com")</f>
        <v>seranking.com</v>
      </c>
      <c r="D252" s="11" t="str">
        <f>IFERROR(__xludf.DUMMYFUNCTION("""COMPUTED_VALUE"""),"CATEGORY_PAGE")</f>
        <v>CATEGORY_PAGE</v>
      </c>
      <c r="E252" s="11" t="str">
        <f>IFERROR(__xludf.DUMMYFUNCTION("""COMPUTED_VALUE"""),"CORPORATE")</f>
        <v>CORPORATE</v>
      </c>
      <c r="F252" s="11" t="str">
        <f>IFERROR(__xludf.DUMMYFUNCTION("""COMPUTED_VALUE"""),"Category Page")</f>
        <v>Category Page</v>
      </c>
      <c r="G252" s="11" t="b">
        <f>IFERROR(__xludf.DUMMYFUNCTION("""COMPUTED_VALUE"""),FALSE)</f>
        <v>0</v>
      </c>
      <c r="H252" s="11" t="str">
        <f>IFERROR(__xludf.DUMMYFUNCTION("""COMPUTED_VALUE"""),"DEPT, Haus")</f>
        <v>DEPT, Haus</v>
      </c>
      <c r="I252" s="11">
        <f>IFERROR(__xludf.DUMMYFUNCTION("""COMPUTED_VALUE"""),4.0)</f>
        <v>4</v>
      </c>
      <c r="J252" s="11">
        <f>IFERROR(__xludf.DUMMYFUNCTION("""COMPUTED_VALUE"""),0.0)</f>
        <v>0</v>
      </c>
      <c r="K252" s="11">
        <f>IFERROR(__xludf.DUMMYFUNCTION("""COMPUTED_VALUE"""),0.5)</f>
        <v>0.5</v>
      </c>
      <c r="L252" s="11"/>
    </row>
    <row r="253" ht="15.75" customHeight="1">
      <c r="A253" s="8" t="str">
        <f>IFERROR(__xludf.DUMMYFUNCTION("""COMPUTED_VALUE"""),"https://www.sortlist.com/s/b2b-marketing/germany-de")</f>
        <v>https://www.sortlist.com/s/b2b-marketing/germany-de</v>
      </c>
      <c r="B253" s="11" t="str">
        <f>IFERROR(__xludf.DUMMYFUNCTION("""COMPUTED_VALUE"""),"The 10 Best B2B Marketing Agencies in Germany - 2026 Reviews")</f>
        <v>The 10 Best B2B Marketing Agencies in Germany - 2026 Reviews</v>
      </c>
      <c r="C253" s="8" t="str">
        <f>IFERROR(__xludf.DUMMYFUNCTION("""COMPUTED_VALUE"""),"sortlist.com")</f>
        <v>sortlist.com</v>
      </c>
      <c r="D253" s="11" t="str">
        <f>IFERROR(__xludf.DUMMYFUNCTION("""COMPUTED_VALUE"""),"CATEGORY_PAGE")</f>
        <v>CATEGORY_PAGE</v>
      </c>
      <c r="E253" s="11" t="str">
        <f>IFERROR(__xludf.DUMMYFUNCTION("""COMPUTED_VALUE"""),"CORPORATE")</f>
        <v>CORPORATE</v>
      </c>
      <c r="F253" s="11" t="str">
        <f>IFERROR(__xludf.DUMMYFUNCTION("""COMPUTED_VALUE"""),"Category Page")</f>
        <v>Category Page</v>
      </c>
      <c r="G253" s="11" t="b">
        <f>IFERROR(__xludf.DUMMYFUNCTION("""COMPUTED_VALUE"""),FALSE)</f>
        <v>0</v>
      </c>
      <c r="H253" s="11" t="str">
        <f>IFERROR(__xludf.DUMMYFUNCTION("""COMPUTED_VALUE"""),"MONSOON, Measured")</f>
        <v>MONSOON, Measured</v>
      </c>
      <c r="I253" s="11">
        <f>IFERROR(__xludf.DUMMYFUNCTION("""COMPUTED_VALUE"""),4.0)</f>
        <v>4</v>
      </c>
      <c r="J253" s="11">
        <f>IFERROR(__xludf.DUMMYFUNCTION("""COMPUTED_VALUE"""),0.0)</f>
        <v>0</v>
      </c>
      <c r="K253" s="11">
        <f>IFERROR(__xludf.DUMMYFUNCTION("""COMPUTED_VALUE"""),1.75)</f>
        <v>1.75</v>
      </c>
      <c r="L253" s="11"/>
    </row>
    <row r="254" ht="15.75" customHeight="1">
      <c r="A254" s="8" t="str">
        <f>IFERROR(__xludf.DUMMYFUNCTION("""COMPUTED_VALUE"""),"https://www.sortlist.com/s/google-ads/germany-de")</f>
        <v>https://www.sortlist.com/s/google-ads/germany-de</v>
      </c>
      <c r="B254" s="11" t="str">
        <f>IFERROR(__xludf.DUMMYFUNCTION("""COMPUTED_VALUE"""),"The 10 Best Google Ads Agencies in Germany - 2026 Reviews")</f>
        <v>The 10 Best Google Ads Agencies in Germany - 2026 Reviews</v>
      </c>
      <c r="C254" s="8" t="str">
        <f>IFERROR(__xludf.DUMMYFUNCTION("""COMPUTED_VALUE"""),"sortlist.com")</f>
        <v>sortlist.com</v>
      </c>
      <c r="D254" s="11" t="str">
        <f>IFERROR(__xludf.DUMMYFUNCTION("""COMPUTED_VALUE"""),"CATEGORY_PAGE")</f>
        <v>CATEGORY_PAGE</v>
      </c>
      <c r="E254" s="11" t="str">
        <f>IFERROR(__xludf.DUMMYFUNCTION("""COMPUTED_VALUE"""),"CORPORATE")</f>
        <v>CORPORATE</v>
      </c>
      <c r="F254" s="11" t="str">
        <f>IFERROR(__xludf.DUMMYFUNCTION("""COMPUTED_VALUE"""),"Category Page")</f>
        <v>Category Page</v>
      </c>
      <c r="G254" s="11" t="b">
        <f>IFERROR(__xludf.DUMMYFUNCTION("""COMPUTED_VALUE"""),FALSE)</f>
        <v>0</v>
      </c>
      <c r="H254" s="11" t="str">
        <f>IFERROR(__xludf.DUMMYFUNCTION("""COMPUTED_VALUE"""),"MONSOON, Triple Whale, Northbeam, Dreamdata")</f>
        <v>MONSOON, Triple Whale, Northbeam, Dreamdata</v>
      </c>
      <c r="I254" s="11">
        <f>IFERROR(__xludf.DUMMYFUNCTION("""COMPUTED_VALUE"""),4.0)</f>
        <v>4</v>
      </c>
      <c r="J254" s="11">
        <f>IFERROR(__xludf.DUMMYFUNCTION("""COMPUTED_VALUE"""),0.0)</f>
        <v>0</v>
      </c>
      <c r="K254" s="11">
        <f>IFERROR(__xludf.DUMMYFUNCTION("""COMPUTED_VALUE"""),0.75)</f>
        <v>0.75</v>
      </c>
      <c r="L254" s="11"/>
    </row>
    <row r="255" ht="15.75" customHeight="1">
      <c r="A255" s="8" t="str">
        <f>IFERROR(__xludf.DUMMYFUNCTION("""COMPUTED_VALUE"""),"https://www.sortlist.com/s/marketing-analytics/berlin-de")</f>
        <v>https://www.sortlist.com/s/marketing-analytics/berlin-de</v>
      </c>
      <c r="B255" s="11" t="str">
        <f>IFERROR(__xludf.DUMMYFUNCTION("""COMPUTED_VALUE"""),"The 10 Best Marketing Analytics Companies in Berlin - 2026 Reviews")</f>
        <v>The 10 Best Marketing Analytics Companies in Berlin - 2026 Reviews</v>
      </c>
      <c r="C255" s="8" t="str">
        <f>IFERROR(__xludf.DUMMYFUNCTION("""COMPUTED_VALUE"""),"sortlist.com")</f>
        <v>sortlist.com</v>
      </c>
      <c r="D255" s="11" t="str">
        <f>IFERROR(__xludf.DUMMYFUNCTION("""COMPUTED_VALUE"""),"CATEGORY_PAGE")</f>
        <v>CATEGORY_PAGE</v>
      </c>
      <c r="E255" s="11" t="str">
        <f>IFERROR(__xludf.DUMMYFUNCTION("""COMPUTED_VALUE"""),"CORPORATE")</f>
        <v>CORPORATE</v>
      </c>
      <c r="F255" s="11" t="str">
        <f>IFERROR(__xludf.DUMMYFUNCTION("""COMPUTED_VALUE"""),"Category Page")</f>
        <v>Category Page</v>
      </c>
      <c r="G255" s="11" t="b">
        <f>IFERROR(__xludf.DUMMYFUNCTION("""COMPUTED_VALUE"""),FALSE)</f>
        <v>0</v>
      </c>
      <c r="H255" s="11" t="str">
        <f>IFERROR(__xludf.DUMMYFUNCTION("""COMPUTED_VALUE"""),"MONSOON, Triple Whale, Northbeam, Dreamdata, KlickPiloten, lehof")</f>
        <v>MONSOON, Triple Whale, Northbeam, Dreamdata, KlickPiloten, lehof</v>
      </c>
      <c r="I255" s="11">
        <f>IFERROR(__xludf.DUMMYFUNCTION("""COMPUTED_VALUE"""),4.0)</f>
        <v>4</v>
      </c>
      <c r="J255" s="11">
        <f>IFERROR(__xludf.DUMMYFUNCTION("""COMPUTED_VALUE"""),0.0)</f>
        <v>0</v>
      </c>
      <c r="K255" s="11">
        <f>IFERROR(__xludf.DUMMYFUNCTION("""COMPUTED_VALUE"""),0.25)</f>
        <v>0.25</v>
      </c>
      <c r="L255" s="11"/>
    </row>
    <row r="256" ht="15.75" customHeight="1">
      <c r="A256" s="8" t="str">
        <f>IFERROR(__xludf.DUMMYFUNCTION("""COMPUTED_VALUE"""),"https://thatware.co/top-10-geo-companies-in-germany/")</f>
        <v>https://thatware.co/top-10-geo-companies-in-germany/</v>
      </c>
      <c r="B256" s="11" t="str">
        <f>IFERROR(__xludf.DUMMYFUNCTION("""COMPUTED_VALUE"""),"Top GEO Listing Companies in Germany (AI Era)")</f>
        <v>Top GEO Listing Companies in Germany (AI Era)</v>
      </c>
      <c r="C256" s="8" t="str">
        <f>IFERROR(__xludf.DUMMYFUNCTION("""COMPUTED_VALUE"""),"thatware.co")</f>
        <v>thatware.co</v>
      </c>
      <c r="D256" s="11" t="str">
        <f>IFERROR(__xludf.DUMMYFUNCTION("""COMPUTED_VALUE"""),"LISTICLE")</f>
        <v>LISTICLE</v>
      </c>
      <c r="E256" s="11" t="str">
        <f>IFERROR(__xludf.DUMMYFUNCTION("""COMPUTED_VALUE"""),"CORPORATE")</f>
        <v>CORPORATE</v>
      </c>
      <c r="F256" s="11" t="str">
        <f>IFERROR(__xludf.DUMMYFUNCTION("""COMPUTED_VALUE"""),"Listicle")</f>
        <v>Listicle</v>
      </c>
      <c r="G256" s="11" t="b">
        <f>IFERROR(__xludf.DUMMYFUNCTION("""COMPUTED_VALUE"""),FALSE)</f>
        <v>0</v>
      </c>
      <c r="H256" s="11"/>
      <c r="I256" s="11">
        <f>IFERROR(__xludf.DUMMYFUNCTION("""COMPUTED_VALUE"""),4.0)</f>
        <v>4</v>
      </c>
      <c r="J256" s="11">
        <f>IFERROR(__xludf.DUMMYFUNCTION("""COMPUTED_VALUE"""),0.0)</f>
        <v>0</v>
      </c>
      <c r="K256" s="11">
        <f>IFERROR(__xludf.DUMMYFUNCTION("""COMPUTED_VALUE"""),1.0)</f>
        <v>1</v>
      </c>
      <c r="L256" s="11"/>
    </row>
    <row r="257" ht="15.75" customHeight="1">
      <c r="A257" s="8" t="str">
        <f>IFERROR(__xludf.DUMMYFUNCTION("""COMPUTED_VALUE"""),"https://threebestrated.de/advertising-agencies-in-munich")</f>
        <v>https://threebestrated.de/advertising-agencies-in-munich</v>
      </c>
      <c r="B257" s="11" t="str">
        <f>IFERROR(__xludf.DUMMYFUNCTION("""COMPUTED_VALUE"""),"3 Best Advertising Agencies in Munich - Expert Recommendations")</f>
        <v>3 Best Advertising Agencies in Munich - Expert Recommendations</v>
      </c>
      <c r="C257" s="8" t="str">
        <f>IFERROR(__xludf.DUMMYFUNCTION("""COMPUTED_VALUE"""),"threebestrated.de")</f>
        <v>threebestrated.de</v>
      </c>
      <c r="D257" s="11" t="str">
        <f>IFERROR(__xludf.DUMMYFUNCTION("""COMPUTED_VALUE"""),"LISTICLE")</f>
        <v>LISTICLE</v>
      </c>
      <c r="E257" s="11" t="str">
        <f>IFERROR(__xludf.DUMMYFUNCTION("""COMPUTED_VALUE"""),"REFERENCE")</f>
        <v>REFERENCE</v>
      </c>
      <c r="F257" s="11" t="str">
        <f>IFERROR(__xludf.DUMMYFUNCTION("""COMPUTED_VALUE"""),"Listicle")</f>
        <v>Listicle</v>
      </c>
      <c r="G257" s="11" t="b">
        <f>IFERROR(__xludf.DUMMYFUNCTION("""COMPUTED_VALUE"""),FALSE)</f>
        <v>0</v>
      </c>
      <c r="H257" s="11" t="str">
        <f>IFERROR(__xludf.DUMMYFUNCTION("""COMPUTED_VALUE"""),"eMinded GmbH")</f>
        <v>eMinded GmbH</v>
      </c>
      <c r="I257" s="11">
        <f>IFERROR(__xludf.DUMMYFUNCTION("""COMPUTED_VALUE"""),4.0)</f>
        <v>4</v>
      </c>
      <c r="J257" s="11">
        <f>IFERROR(__xludf.DUMMYFUNCTION("""COMPUTED_VALUE"""),0.0)</f>
        <v>0</v>
      </c>
      <c r="K257" s="11">
        <f>IFERROR(__xludf.DUMMYFUNCTION("""COMPUTED_VALUE"""),1.0)</f>
        <v>1</v>
      </c>
      <c r="L257" s="11"/>
    </row>
    <row r="258" ht="15.75" customHeight="1">
      <c r="A258" s="8" t="str">
        <f>IFERROR(__xludf.DUMMYFUNCTION("""COMPUTED_VALUE"""),"https://www.werbeagentur.de/de/scoring/performance-marketing")</f>
        <v>https://www.werbeagentur.de/de/scoring/performance-marketing</v>
      </c>
      <c r="B258" s="11" t="str">
        <f>IFERROR(__xludf.DUMMYFUNCTION("""COMPUTED_VALUE"""),"261 Top Agenturen für Performance Marketing. Hier vergleichen")</f>
        <v>261 Top Agenturen für Performance Marketing. Hier vergleichen</v>
      </c>
      <c r="C258" s="8" t="str">
        <f>IFERROR(__xludf.DUMMYFUNCTION("""COMPUTED_VALUE"""),"werbeagentur.de")</f>
        <v>werbeagentur.de</v>
      </c>
      <c r="D258" s="11" t="str">
        <f>IFERROR(__xludf.DUMMYFUNCTION("""COMPUTED_VALUE"""),"CATEGORY_PAGE")</f>
        <v>CATEGORY_PAGE</v>
      </c>
      <c r="E258" s="11" t="str">
        <f>IFERROR(__xludf.DUMMYFUNCTION("""COMPUTED_VALUE"""),"REFERENCE")</f>
        <v>REFERENCE</v>
      </c>
      <c r="F258" s="11" t="str">
        <f>IFERROR(__xludf.DUMMYFUNCTION("""COMPUTED_VALUE"""),"Category Page")</f>
        <v>Category Page</v>
      </c>
      <c r="G258" s="11" t="b">
        <f>IFERROR(__xludf.DUMMYFUNCTION("""COMPUTED_VALUE"""),FALSE)</f>
        <v>0</v>
      </c>
      <c r="H258" s="11" t="str">
        <f>IFERROR(__xludf.DUMMYFUNCTION("""COMPUTED_VALUE"""),"Artefact, Digital Masters GmbH, Customlytics, Löwenstark, Aufgesang, Mawave, Loyamo, Social Media Pirates, Smarketer, eMinded GmbH, ZweiDigital GmbH")</f>
        <v>Artefact, Digital Masters GmbH, Customlytics, Löwenstark, Aufgesang, Mawave, Loyamo, Social Media Pirates, Smarketer, eMinded GmbH, ZweiDigital GmbH</v>
      </c>
      <c r="I258" s="11">
        <f>IFERROR(__xludf.DUMMYFUNCTION("""COMPUTED_VALUE"""),4.0)</f>
        <v>4</v>
      </c>
      <c r="J258" s="11">
        <f>IFERROR(__xludf.DUMMYFUNCTION("""COMPUTED_VALUE"""),0.0)</f>
        <v>0</v>
      </c>
      <c r="K258" s="11">
        <f>IFERROR(__xludf.DUMMYFUNCTION("""COMPUTED_VALUE"""),0.0)</f>
        <v>0</v>
      </c>
      <c r="L258" s="11"/>
    </row>
    <row r="259" ht="15.75" customHeight="1">
      <c r="A259" s="8" t="str">
        <f>IFERROR(__xludf.DUMMYFUNCTION("""COMPUTED_VALUE"""),"https://www.werbeagentur.de/en/scoring/ab-testing")</f>
        <v>https://www.werbeagentur.de/en/scoring/ab-testing</v>
      </c>
      <c r="B259" s="11" t="str">
        <f>IFERROR(__xludf.DUMMYFUNCTION("""COMPUTED_VALUE"""),"29 Top Agenturen für AB Testing. Hier vergleichen")</f>
        <v>29 Top Agenturen für AB Testing. Hier vergleichen</v>
      </c>
      <c r="C259" s="8" t="str">
        <f>IFERROR(__xludf.DUMMYFUNCTION("""COMPUTED_VALUE"""),"werbeagentur.de")</f>
        <v>werbeagentur.de</v>
      </c>
      <c r="D259" s="11" t="str">
        <f>IFERROR(__xludf.DUMMYFUNCTION("""COMPUTED_VALUE"""),"PROFILE")</f>
        <v>PROFILE</v>
      </c>
      <c r="E259" s="11" t="str">
        <f>IFERROR(__xludf.DUMMYFUNCTION("""COMPUTED_VALUE"""),"REFERENCE")</f>
        <v>REFERENCE</v>
      </c>
      <c r="F259" s="11" t="str">
        <f>IFERROR(__xludf.DUMMYFUNCTION("""COMPUTED_VALUE"""),"Profile")</f>
        <v>Profile</v>
      </c>
      <c r="G259" s="11" t="b">
        <f>IFERROR(__xludf.DUMMYFUNCTION("""COMPUTED_VALUE"""),FALSE)</f>
        <v>0</v>
      </c>
      <c r="H259" s="11" t="str">
        <f>IFERROR(__xludf.DUMMYFUNCTION("""COMPUTED_VALUE"""),"morefire, Digital Masters GmbH")</f>
        <v>morefire, Digital Masters GmbH</v>
      </c>
      <c r="I259" s="11">
        <f>IFERROR(__xludf.DUMMYFUNCTION("""COMPUTED_VALUE"""),4.0)</f>
        <v>4</v>
      </c>
      <c r="J259" s="11">
        <f>IFERROR(__xludf.DUMMYFUNCTION("""COMPUTED_VALUE"""),0.0)</f>
        <v>0</v>
      </c>
      <c r="K259" s="11">
        <f>IFERROR(__xludf.DUMMYFUNCTION("""COMPUTED_VALUE"""),0.25)</f>
        <v>0.25</v>
      </c>
      <c r="L259" s="11"/>
    </row>
    <row r="260" ht="15.75" customHeight="1">
      <c r="A260" s="8" t="str">
        <f>IFERROR(__xludf.DUMMYFUNCTION("""COMPUTED_VALUE"""),"https://www.werbeagentur.de/en/scoring/performance-marketing")</f>
        <v>https://www.werbeagentur.de/en/scoring/performance-marketing</v>
      </c>
      <c r="B260" s="11" t="str">
        <f>IFERROR(__xludf.DUMMYFUNCTION("""COMPUTED_VALUE"""),"260 Top Agenturen für Performance Marketing. Hier vergleichen")</f>
        <v>260 Top Agenturen für Performance Marketing. Hier vergleichen</v>
      </c>
      <c r="C260" s="8" t="str">
        <f>IFERROR(__xludf.DUMMYFUNCTION("""COMPUTED_VALUE"""),"werbeagentur.de")</f>
        <v>werbeagentur.de</v>
      </c>
      <c r="D260" s="11" t="str">
        <f>IFERROR(__xludf.DUMMYFUNCTION("""COMPUTED_VALUE"""),"CATEGORY_PAGE")</f>
        <v>CATEGORY_PAGE</v>
      </c>
      <c r="E260" s="11" t="str">
        <f>IFERROR(__xludf.DUMMYFUNCTION("""COMPUTED_VALUE"""),"REFERENCE")</f>
        <v>REFERENCE</v>
      </c>
      <c r="F260" s="11" t="str">
        <f>IFERROR(__xludf.DUMMYFUNCTION("""COMPUTED_VALUE"""),"Category Page")</f>
        <v>Category Page</v>
      </c>
      <c r="G260" s="11" t="b">
        <f>IFERROR(__xludf.DUMMYFUNCTION("""COMPUTED_VALUE"""),FALSE)</f>
        <v>0</v>
      </c>
      <c r="H260" s="11" t="str">
        <f>IFERROR(__xludf.DUMMYFUNCTION("""COMPUTED_VALUE"""),"Artefact, Digital Masters GmbH, Customlytics, Löwenstark, Aufgesang, Mawave, Loyamo, Social Media Pirates, Smarketer, eMinded GmbH, ZweiDigital GmbH")</f>
        <v>Artefact, Digital Masters GmbH, Customlytics, Löwenstark, Aufgesang, Mawave, Loyamo, Social Media Pirates, Smarketer, eMinded GmbH, ZweiDigital GmbH</v>
      </c>
      <c r="I260" s="11">
        <f>IFERROR(__xludf.DUMMYFUNCTION("""COMPUTED_VALUE"""),4.0)</f>
        <v>4</v>
      </c>
      <c r="J260" s="11">
        <f>IFERROR(__xludf.DUMMYFUNCTION("""COMPUTED_VALUE"""),0.0)</f>
        <v>0</v>
      </c>
      <c r="K260" s="11">
        <f>IFERROR(__xludf.DUMMYFUNCTION("""COMPUTED_VALUE"""),0.0)</f>
        <v>0</v>
      </c>
      <c r="L260" s="11"/>
    </row>
    <row r="261" ht="15.75" customHeight="1">
      <c r="A261" s="8" t="str">
        <f>IFERROR(__xludf.DUMMYFUNCTION("""COMPUTED_VALUE"""),"https://www.youtube.com/watch?v=7pP2AGlSn50")</f>
        <v>https://www.youtube.com/watch?v=7pP2AGlSn50</v>
      </c>
      <c r="B261" s="11" t="str">
        <f>IFERROR(__xludf.DUMMYFUNCTION("""COMPUTED_VALUE"""),"What Are the Best Generative Engine Optimization GEO Agencies in Gelsenkirchen?")</f>
        <v>What Are the Best Generative Engine Optimization GEO Agencies in Gelsenkirchen?</v>
      </c>
      <c r="C261" s="8" t="str">
        <f>IFERROR(__xludf.DUMMYFUNCTION("""COMPUTED_VALUE"""),"youtube.com")</f>
        <v>youtube.com</v>
      </c>
      <c r="D261" s="11" t="str">
        <f>IFERROR(__xludf.DUMMYFUNCTION("""COMPUTED_VALUE"""),"LISTICLE")</f>
        <v>LISTICLE</v>
      </c>
      <c r="E261" s="11" t="str">
        <f>IFERROR(__xludf.DUMMYFUNCTION("""COMPUTED_VALUE"""),"UGC")</f>
        <v>UGC</v>
      </c>
      <c r="F261" s="11" t="str">
        <f>IFERROR(__xludf.DUMMYFUNCTION("""COMPUTED_VALUE"""),"Listicle")</f>
        <v>Listicle</v>
      </c>
      <c r="G261" s="11" t="b">
        <f>IFERROR(__xludf.DUMMYFUNCTION("""COMPUTED_VALUE"""),FALSE)</f>
        <v>0</v>
      </c>
      <c r="H261" s="11"/>
      <c r="I261" s="11">
        <f>IFERROR(__xludf.DUMMYFUNCTION("""COMPUTED_VALUE"""),4.0)</f>
        <v>4</v>
      </c>
      <c r="J261" s="11">
        <f>IFERROR(__xludf.DUMMYFUNCTION("""COMPUTED_VALUE"""),0.0)</f>
        <v>0</v>
      </c>
      <c r="K261" s="11">
        <f>IFERROR(__xludf.DUMMYFUNCTION("""COMPUTED_VALUE"""),7.5)</f>
        <v>7.5</v>
      </c>
      <c r="L261" s="11"/>
    </row>
    <row r="262" ht="15.75" customHeight="1">
      <c r="A262" s="8" t="str">
        <f>IFERROR(__xludf.DUMMYFUNCTION("""COMPUTED_VALUE"""),"https://www.youtube.com/watch?v=JmDHPizWIOA")</f>
        <v>https://www.youtube.com/watch?v=JmDHPizWIOA</v>
      </c>
      <c r="B262" s="11" t="str">
        <f>IFERROR(__xludf.DUMMYFUNCTION("""COMPUTED_VALUE"""),"What Are the Best Generative Engine Optimization (GEO) Agencies in Germany")</f>
        <v>What Are the Best Generative Engine Optimization (GEO) Agencies in Germany</v>
      </c>
      <c r="C262" s="8" t="str">
        <f>IFERROR(__xludf.DUMMYFUNCTION("""COMPUTED_VALUE"""),"youtube.com")</f>
        <v>youtube.com</v>
      </c>
      <c r="D262" s="11" t="str">
        <f>IFERROR(__xludf.DUMMYFUNCTION("""COMPUTED_VALUE"""),"ARTICLE")</f>
        <v>ARTICLE</v>
      </c>
      <c r="E262" s="11" t="str">
        <f>IFERROR(__xludf.DUMMYFUNCTION("""COMPUTED_VALUE"""),"UGC")</f>
        <v>UGC</v>
      </c>
      <c r="F262" s="11" t="str">
        <f>IFERROR(__xludf.DUMMYFUNCTION("""COMPUTED_VALUE"""),"Article")</f>
        <v>Article</v>
      </c>
      <c r="G262" s="11" t="b">
        <f>IFERROR(__xludf.DUMMYFUNCTION("""COMPUTED_VALUE"""),FALSE)</f>
        <v>0</v>
      </c>
      <c r="H262" s="11"/>
      <c r="I262" s="11">
        <f>IFERROR(__xludf.DUMMYFUNCTION("""COMPUTED_VALUE"""),4.0)</f>
        <v>4</v>
      </c>
      <c r="J262" s="11">
        <f>IFERROR(__xludf.DUMMYFUNCTION("""COMPUTED_VALUE"""),0.0)</f>
        <v>0</v>
      </c>
      <c r="K262" s="11">
        <f>IFERROR(__xludf.DUMMYFUNCTION("""COMPUTED_VALUE"""),0.0)</f>
        <v>0</v>
      </c>
      <c r="L262" s="11"/>
    </row>
    <row r="263" ht="15.75" customHeight="1">
      <c r="A263" s="8" t="str">
        <f>IFERROR(__xludf.DUMMYFUNCTION("""COMPUTED_VALUE"""),"https://www.zendikt.com/top-10-marketing-attribution-software/germany")</f>
        <v>https://www.zendikt.com/top-10-marketing-attribution-software/germany</v>
      </c>
      <c r="B263" s="11" t="str">
        <f>IFERROR(__xludf.DUMMYFUNCTION("""COMPUTED_VALUE"""),"Top 10 Marketing Attribution Software in Germany for 2026")</f>
        <v>Top 10 Marketing Attribution Software in Germany for 2026</v>
      </c>
      <c r="C263" s="8" t="str">
        <f>IFERROR(__xludf.DUMMYFUNCTION("""COMPUTED_VALUE"""),"zendikt.com")</f>
        <v>zendikt.com</v>
      </c>
      <c r="D263" s="11" t="str">
        <f>IFERROR(__xludf.DUMMYFUNCTION("""COMPUTED_VALUE"""),"LISTICLE")</f>
        <v>LISTICLE</v>
      </c>
      <c r="E263" s="11" t="str">
        <f>IFERROR(__xludf.DUMMYFUNCTION("""COMPUTED_VALUE"""),"CORPORATE")</f>
        <v>CORPORATE</v>
      </c>
      <c r="F263" s="11" t="str">
        <f>IFERROR(__xludf.DUMMYFUNCTION("""COMPUTED_VALUE"""),"Listicle")</f>
        <v>Listicle</v>
      </c>
      <c r="G263" s="11" t="b">
        <f>IFERROR(__xludf.DUMMYFUNCTION("""COMPUTED_VALUE"""),FALSE)</f>
        <v>0</v>
      </c>
      <c r="H263" s="11" t="str">
        <f>IFERROR(__xludf.DUMMYFUNCTION("""COMPUTED_VALUE"""),"Dreamdata")</f>
        <v>Dreamdata</v>
      </c>
      <c r="I263" s="11">
        <f>IFERROR(__xludf.DUMMYFUNCTION("""COMPUTED_VALUE"""),4.0)</f>
        <v>4</v>
      </c>
      <c r="J263" s="11">
        <f>IFERROR(__xludf.DUMMYFUNCTION("""COMPUTED_VALUE"""),0.0)</f>
        <v>0</v>
      </c>
      <c r="K263" s="11">
        <f>IFERROR(__xludf.DUMMYFUNCTION("""COMPUTED_VALUE"""),0.0)</f>
        <v>0</v>
      </c>
      <c r="L263" s="11"/>
    </row>
    <row r="264" ht="15.75" customHeight="1">
      <c r="A264" s="8" t="str">
        <f>IFERROR(__xludf.DUMMYFUNCTION("""COMPUTED_VALUE"""),"https://aeoagencyservices.com/aeo-agency-europe")</f>
        <v>https://aeoagencyservices.com/aeo-agency-europe</v>
      </c>
      <c r="B264" s="11" t="str">
        <f>IFERROR(__xludf.DUMMYFUNCTION("""COMPUTED_VALUE"""),"Best AEO Agency Europe | Leading Answer Engine Optimization Services")</f>
        <v>Best AEO Agency Europe | Leading Answer Engine Optimization Services</v>
      </c>
      <c r="C264" s="8" t="str">
        <f>IFERROR(__xludf.DUMMYFUNCTION("""COMPUTED_VALUE"""),"aeoagencyservices.com")</f>
        <v>aeoagencyservices.com</v>
      </c>
      <c r="D264" s="11" t="str">
        <f>IFERROR(__xludf.DUMMYFUNCTION("""COMPUTED_VALUE"""),"PRODUCT_PAGE")</f>
        <v>PRODUCT_PAGE</v>
      </c>
      <c r="E264" s="11" t="str">
        <f>IFERROR(__xludf.DUMMYFUNCTION("""COMPUTED_VALUE"""),"CORPORATE")</f>
        <v>CORPORATE</v>
      </c>
      <c r="F264" s="11" t="str">
        <f>IFERROR(__xludf.DUMMYFUNCTION("""COMPUTED_VALUE"""),"Product Page")</f>
        <v>Product Page</v>
      </c>
      <c r="G264" s="11" t="b">
        <f>IFERROR(__xludf.DUMMYFUNCTION("""COMPUTED_VALUE"""),FALSE)</f>
        <v>0</v>
      </c>
      <c r="H264" s="11"/>
      <c r="I264" s="11">
        <f>IFERROR(__xludf.DUMMYFUNCTION("""COMPUTED_VALUE"""),3.0)</f>
        <v>3</v>
      </c>
      <c r="J264" s="11">
        <f>IFERROR(__xludf.DUMMYFUNCTION("""COMPUTED_VALUE"""),0.0)</f>
        <v>0</v>
      </c>
      <c r="K264" s="11">
        <f>IFERROR(__xludf.DUMMYFUNCTION("""COMPUTED_VALUE"""),0.0)</f>
        <v>0</v>
      </c>
      <c r="L264" s="11"/>
    </row>
    <row r="265" ht="15.75" customHeight="1">
      <c r="A265" s="8" t="str">
        <f>IFERROR(__xludf.DUMMYFUNCTION("""COMPUTED_VALUE"""),"https://agencies.semrush.com/list/ai-optimization/hamburg/")</f>
        <v>https://agencies.semrush.com/list/ai-optimization/hamburg/</v>
      </c>
      <c r="B265" s="11" t="str">
        <f>IFERROR(__xludf.DUMMYFUNCTION("""COMPUTED_VALUE"""),"Best AI Search Optimization Agencies in Hamburg 2026 | Semrush")</f>
        <v>Best AI Search Optimization Agencies in Hamburg 2026 | Semrush</v>
      </c>
      <c r="C265" s="8" t="str">
        <f>IFERROR(__xludf.DUMMYFUNCTION("""COMPUTED_VALUE"""),"semrush.com")</f>
        <v>semrush.com</v>
      </c>
      <c r="D265" s="11" t="str">
        <f>IFERROR(__xludf.DUMMYFUNCTION("""COMPUTED_VALUE"""),"PROFILE")</f>
        <v>PROFILE</v>
      </c>
      <c r="E265" s="11" t="str">
        <f>IFERROR(__xludf.DUMMYFUNCTION("""COMPUTED_VALUE"""),"CORPORATE")</f>
        <v>CORPORATE</v>
      </c>
      <c r="F265" s="11" t="str">
        <f>IFERROR(__xludf.DUMMYFUNCTION("""COMPUTED_VALUE"""),"Profile")</f>
        <v>Profile</v>
      </c>
      <c r="G265" s="11" t="b">
        <f>IFERROR(__xludf.DUMMYFUNCTION("""COMPUTED_VALUE"""),FALSE)</f>
        <v>0</v>
      </c>
      <c r="H265" s="11" t="str">
        <f>IFERROR(__xludf.DUMMYFUNCTION("""COMPUTED_VALUE"""),"HECHT INS GEFECHT, morefire, Mediaplus Performance")</f>
        <v>HECHT INS GEFECHT, morefire, Mediaplus Performance</v>
      </c>
      <c r="I265" s="11">
        <f>IFERROR(__xludf.DUMMYFUNCTION("""COMPUTED_VALUE"""),3.0)</f>
        <v>3</v>
      </c>
      <c r="J265" s="11">
        <f>IFERROR(__xludf.DUMMYFUNCTION("""COMPUTED_VALUE"""),0.0)</f>
        <v>0</v>
      </c>
      <c r="K265" s="11">
        <f>IFERROR(__xludf.DUMMYFUNCTION("""COMPUTED_VALUE"""),1.0)</f>
        <v>1</v>
      </c>
      <c r="L265" s="11"/>
    </row>
    <row r="266" ht="15.75" customHeight="1">
      <c r="A266" s="8" t="str">
        <f>IFERROR(__xludf.DUMMYFUNCTION("""COMPUTED_VALUE"""),"https://agencies.semrush.com/list/content-marketing/business-professional-services/germany/")</f>
        <v>https://agencies.semrush.com/list/content-marketing/business-professional-services/germany/</v>
      </c>
      <c r="B266" s="11" t="str">
        <f>IFERROR(__xludf.DUMMYFUNCTION("""COMPUTED_VALUE"""),"Best B2B Services Content Marketing Agencies in Germany 2026 | Semrush")</f>
        <v>Best B2B Services Content Marketing Agencies in Germany 2026 | Semrush</v>
      </c>
      <c r="C266" s="8" t="str">
        <f>IFERROR(__xludf.DUMMYFUNCTION("""COMPUTED_VALUE"""),"semrush.com")</f>
        <v>semrush.com</v>
      </c>
      <c r="D266" s="11" t="str">
        <f>IFERROR(__xludf.DUMMYFUNCTION("""COMPUTED_VALUE"""),"CATEGORY_PAGE")</f>
        <v>CATEGORY_PAGE</v>
      </c>
      <c r="E266" s="11" t="str">
        <f>IFERROR(__xludf.DUMMYFUNCTION("""COMPUTED_VALUE"""),"CORPORATE")</f>
        <v>CORPORATE</v>
      </c>
      <c r="F266" s="11" t="str">
        <f>IFERROR(__xludf.DUMMYFUNCTION("""COMPUTED_VALUE"""),"Category Page")</f>
        <v>Category Page</v>
      </c>
      <c r="G266" s="11" t="b">
        <f>IFERROR(__xludf.DUMMYFUNCTION("""COMPUTED_VALUE"""),FALSE)</f>
        <v>0</v>
      </c>
      <c r="H266" s="11" t="str">
        <f>IFERROR(__xludf.DUMMYFUNCTION("""COMPUTED_VALUE"""),"HECHT INS GEFECHT, Baseplus DIGITAL MEDIA GmbH, Mediaplus Performance")</f>
        <v>HECHT INS GEFECHT, Baseplus DIGITAL MEDIA GmbH, Mediaplus Performance</v>
      </c>
      <c r="I266" s="11">
        <f>IFERROR(__xludf.DUMMYFUNCTION("""COMPUTED_VALUE"""),3.0)</f>
        <v>3</v>
      </c>
      <c r="J266" s="11">
        <f>IFERROR(__xludf.DUMMYFUNCTION("""COMPUTED_VALUE"""),0.0)</f>
        <v>0</v>
      </c>
      <c r="K266" s="11">
        <f>IFERROR(__xludf.DUMMYFUNCTION("""COMPUTED_VALUE"""),0.33)</f>
        <v>0.33</v>
      </c>
      <c r="L266" s="11"/>
    </row>
    <row r="267" ht="15.75" customHeight="1">
      <c r="A267" s="8" t="str">
        <f>IFERROR(__xludf.DUMMYFUNCTION("""COMPUTED_VALUE"""),"https://agencies.semrush.com/list/display-advertising/arts-entertainment/germany/")</f>
        <v>https://agencies.semrush.com/list/display-advertising/arts-entertainment/germany/</v>
      </c>
      <c r="B267" s="11" t="str">
        <f>IFERROR(__xludf.DUMMYFUNCTION("""COMPUTED_VALUE"""),"Best Media &amp;amp; Entertainment Display Ads Agencies in Germany 2026 | Semrush")</f>
        <v>Best Media &amp;amp; Entertainment Display Ads Agencies in Germany 2026 | Semrush</v>
      </c>
      <c r="C267" s="8" t="str">
        <f>IFERROR(__xludf.DUMMYFUNCTION("""COMPUTED_VALUE"""),"semrush.com")</f>
        <v>semrush.com</v>
      </c>
      <c r="D267" s="11" t="str">
        <f>IFERROR(__xludf.DUMMYFUNCTION("""COMPUTED_VALUE"""),"CATEGORY_PAGE")</f>
        <v>CATEGORY_PAGE</v>
      </c>
      <c r="E267" s="11" t="str">
        <f>IFERROR(__xludf.DUMMYFUNCTION("""COMPUTED_VALUE"""),"CORPORATE")</f>
        <v>CORPORATE</v>
      </c>
      <c r="F267" s="11" t="str">
        <f>IFERROR(__xludf.DUMMYFUNCTION("""COMPUTED_VALUE"""),"Category Page")</f>
        <v>Category Page</v>
      </c>
      <c r="G267" s="11" t="b">
        <f>IFERROR(__xludf.DUMMYFUNCTION("""COMPUTED_VALUE"""),FALSE)</f>
        <v>0</v>
      </c>
      <c r="H267" s="11" t="str">
        <f>IFERROR(__xludf.DUMMYFUNCTION("""COMPUTED_VALUE"""),"KlickPiloten")</f>
        <v>KlickPiloten</v>
      </c>
      <c r="I267" s="11">
        <f>IFERROR(__xludf.DUMMYFUNCTION("""COMPUTED_VALUE"""),3.0)</f>
        <v>3</v>
      </c>
      <c r="J267" s="11">
        <f>IFERROR(__xludf.DUMMYFUNCTION("""COMPUTED_VALUE"""),0.0)</f>
        <v>0</v>
      </c>
      <c r="K267" s="11">
        <f>IFERROR(__xludf.DUMMYFUNCTION("""COMPUTED_VALUE"""),0.0)</f>
        <v>0</v>
      </c>
      <c r="L267" s="11"/>
    </row>
    <row r="268" ht="15.75" customHeight="1">
      <c r="A268" s="8" t="str">
        <f>IFERROR(__xludf.DUMMYFUNCTION("""COMPUTED_VALUE"""),"https://agencies.semrush.com/list/display-advertising/ecommerce/germany/mid-business/")</f>
        <v>https://agencies.semrush.com/list/display-advertising/ecommerce/germany/mid-business/</v>
      </c>
      <c r="B268" s="11" t="str">
        <f>IFERROR(__xludf.DUMMYFUNCTION("""COMPUTED_VALUE"""),"Best Ecommerce Display Ads Agencies for Mid Business in Germany 2026 | Semrush")</f>
        <v>Best Ecommerce Display Ads Agencies for Mid Business in Germany 2026 | Semrush</v>
      </c>
      <c r="C268" s="8" t="str">
        <f>IFERROR(__xludf.DUMMYFUNCTION("""COMPUTED_VALUE"""),"semrush.com")</f>
        <v>semrush.com</v>
      </c>
      <c r="D268" s="11" t="str">
        <f>IFERROR(__xludf.DUMMYFUNCTION("""COMPUTED_VALUE"""),"OTHER")</f>
        <v>OTHER</v>
      </c>
      <c r="E268" s="11" t="str">
        <f>IFERROR(__xludf.DUMMYFUNCTION("""COMPUTED_VALUE"""),"CORPORATE")</f>
        <v>CORPORATE</v>
      </c>
      <c r="F268" s="11" t="str">
        <f>IFERROR(__xludf.DUMMYFUNCTION("""COMPUTED_VALUE"""),"Other")</f>
        <v>Other</v>
      </c>
      <c r="G268" s="11" t="b">
        <f>IFERROR(__xludf.DUMMYFUNCTION("""COMPUTED_VALUE"""),FALSE)</f>
        <v>0</v>
      </c>
      <c r="H268" s="11" t="str">
        <f>IFERROR(__xludf.DUMMYFUNCTION("""COMPUTED_VALUE"""),"Baseplus DIGITAL MEDIA GmbH, morefire, Mediaplus Performance, MONSOON")</f>
        <v>Baseplus DIGITAL MEDIA GmbH, morefire, Mediaplus Performance, MONSOON</v>
      </c>
      <c r="I268" s="11">
        <f>IFERROR(__xludf.DUMMYFUNCTION("""COMPUTED_VALUE"""),3.0)</f>
        <v>3</v>
      </c>
      <c r="J268" s="11">
        <f>IFERROR(__xludf.DUMMYFUNCTION("""COMPUTED_VALUE"""),0.0)</f>
        <v>0</v>
      </c>
      <c r="K268" s="11">
        <f>IFERROR(__xludf.DUMMYFUNCTION("""COMPUTED_VALUE"""),1.0)</f>
        <v>1</v>
      </c>
      <c r="L268" s="11"/>
    </row>
    <row r="269" ht="15.75" customHeight="1">
      <c r="A269" s="8" t="str">
        <f>IFERROR(__xludf.DUMMYFUNCTION("""COMPUTED_VALUE"""),"https://agencies.semrush.com/list/display-advertising/germany/enterprise-business/")</f>
        <v>https://agencies.semrush.com/list/display-advertising/germany/enterprise-business/</v>
      </c>
      <c r="B269" s="11" t="str">
        <f>IFERROR(__xludf.DUMMYFUNCTION("""COMPUTED_VALUE"""),"Best Display Ads Agencies for Enterprise Business in Germany 2026 | Semrush")</f>
        <v>Best Display Ads Agencies for Enterprise Business in Germany 2026 | Semrush</v>
      </c>
      <c r="C269" s="8" t="str">
        <f>IFERROR(__xludf.DUMMYFUNCTION("""COMPUTED_VALUE"""),"semrush.com")</f>
        <v>semrush.com</v>
      </c>
      <c r="D269" s="11" t="str">
        <f>IFERROR(__xludf.DUMMYFUNCTION("""COMPUTED_VALUE"""),"OTHER")</f>
        <v>OTHER</v>
      </c>
      <c r="E269" s="11" t="str">
        <f>IFERROR(__xludf.DUMMYFUNCTION("""COMPUTED_VALUE"""),"CORPORATE")</f>
        <v>CORPORATE</v>
      </c>
      <c r="F269" s="11" t="str">
        <f>IFERROR(__xludf.DUMMYFUNCTION("""COMPUTED_VALUE"""),"Other")</f>
        <v>Other</v>
      </c>
      <c r="G269" s="11" t="b">
        <f>IFERROR(__xludf.DUMMYFUNCTION("""COMPUTED_VALUE"""),FALSE)</f>
        <v>0</v>
      </c>
      <c r="H269" s="11" t="str">
        <f>IFERROR(__xludf.DUMMYFUNCTION("""COMPUTED_VALUE"""),"Baseplus DIGITAL MEDIA GmbH, morefire, Mediaplus Performance, MONSOON, KlickPiloten")</f>
        <v>Baseplus DIGITAL MEDIA GmbH, morefire, Mediaplus Performance, MONSOON, KlickPiloten</v>
      </c>
      <c r="I269" s="11">
        <f>IFERROR(__xludf.DUMMYFUNCTION("""COMPUTED_VALUE"""),3.0)</f>
        <v>3</v>
      </c>
      <c r="J269" s="11">
        <f>IFERROR(__xludf.DUMMYFUNCTION("""COMPUTED_VALUE"""),0.0)</f>
        <v>0</v>
      </c>
      <c r="K269" s="11">
        <f>IFERROR(__xludf.DUMMYFUNCTION("""COMPUTED_VALUE"""),0.0)</f>
        <v>0</v>
      </c>
      <c r="L269" s="11"/>
    </row>
    <row r="270" ht="15.75" customHeight="1">
      <c r="A270" s="8" t="str">
        <f>IFERROR(__xludf.DUMMYFUNCTION("""COMPUTED_VALUE"""),"https://agencies.semrush.com/list/llm-optimization/germany/")</f>
        <v>https://agencies.semrush.com/list/llm-optimization/germany/</v>
      </c>
      <c r="B270" s="11" t="str">
        <f>IFERROR(__xludf.DUMMYFUNCTION("""COMPUTED_VALUE"""),"Best LLM optimization Agencies in Germany 2026 | Semrush")</f>
        <v>Best LLM optimization Agencies in Germany 2026 | Semrush</v>
      </c>
      <c r="C270" s="8" t="str">
        <f>IFERROR(__xludf.DUMMYFUNCTION("""COMPUTED_VALUE"""),"semrush.com")</f>
        <v>semrush.com</v>
      </c>
      <c r="D270" s="11" t="str">
        <f>IFERROR(__xludf.DUMMYFUNCTION("""COMPUTED_VALUE"""),"CATEGORY_PAGE")</f>
        <v>CATEGORY_PAGE</v>
      </c>
      <c r="E270" s="11" t="str">
        <f>IFERROR(__xludf.DUMMYFUNCTION("""COMPUTED_VALUE"""),"CORPORATE")</f>
        <v>CORPORATE</v>
      </c>
      <c r="F270" s="11" t="str">
        <f>IFERROR(__xludf.DUMMYFUNCTION("""COMPUTED_VALUE"""),"Category Page")</f>
        <v>Category Page</v>
      </c>
      <c r="G270" s="11" t="b">
        <f>IFERROR(__xludf.DUMMYFUNCTION("""COMPUTED_VALUE"""),FALSE)</f>
        <v>0</v>
      </c>
      <c r="H270" s="11" t="str">
        <f>IFERROR(__xludf.DUMMYFUNCTION("""COMPUTED_VALUE"""),"HECHT INS GEFECHT, morefire, Mediaplus Performance")</f>
        <v>HECHT INS GEFECHT, morefire, Mediaplus Performance</v>
      </c>
      <c r="I270" s="11">
        <f>IFERROR(__xludf.DUMMYFUNCTION("""COMPUTED_VALUE"""),3.0)</f>
        <v>3</v>
      </c>
      <c r="J270" s="11">
        <f>IFERROR(__xludf.DUMMYFUNCTION("""COMPUTED_VALUE"""),0.0)</f>
        <v>0</v>
      </c>
      <c r="K270" s="11">
        <f>IFERROR(__xludf.DUMMYFUNCTION("""COMPUTED_VALUE"""),1.0)</f>
        <v>1</v>
      </c>
      <c r="L270" s="11"/>
    </row>
    <row r="271" ht="15.75" customHeight="1">
      <c r="A271" s="8" t="str">
        <f>IFERROR(__xludf.DUMMYFUNCTION("""COMPUTED_VALUE"""),"https://awisee.com/blog/social-media-marketing-agencies-germany/")</f>
        <v>https://awisee.com/blog/social-media-marketing-agencies-germany/</v>
      </c>
      <c r="B271" s="11" t="str">
        <f>IFERROR(__xludf.DUMMYFUNCTION("""COMPUTED_VALUE"""),"Best 4 Social Media Marketing Agencies Germany (Reviews)")</f>
        <v>Best 4 Social Media Marketing Agencies Germany (Reviews)</v>
      </c>
      <c r="C271" s="8" t="str">
        <f>IFERROR(__xludf.DUMMYFUNCTION("""COMPUTED_VALUE"""),"awisee.com")</f>
        <v>awisee.com</v>
      </c>
      <c r="D271" s="11" t="str">
        <f>IFERROR(__xludf.DUMMYFUNCTION("""COMPUTED_VALUE"""),"LISTICLE")</f>
        <v>LISTICLE</v>
      </c>
      <c r="E271" s="11" t="str">
        <f>IFERROR(__xludf.DUMMYFUNCTION("""COMPUTED_VALUE"""),"OTHER")</f>
        <v>OTHER</v>
      </c>
      <c r="F271" s="11" t="str">
        <f>IFERROR(__xludf.DUMMYFUNCTION("""COMPUTED_VALUE"""),"Listicle")</f>
        <v>Listicle</v>
      </c>
      <c r="G271" s="11" t="b">
        <f>IFERROR(__xludf.DUMMYFUNCTION("""COMPUTED_VALUE"""),FALSE)</f>
        <v>0</v>
      </c>
      <c r="H271" s="11" t="str">
        <f>IFERROR(__xludf.DUMMYFUNCTION("""COMPUTED_VALUE"""),"morefire")</f>
        <v>morefire</v>
      </c>
      <c r="I271" s="11">
        <f>IFERROR(__xludf.DUMMYFUNCTION("""COMPUTED_VALUE"""),3.0)</f>
        <v>3</v>
      </c>
      <c r="J271" s="11">
        <f>IFERROR(__xludf.DUMMYFUNCTION("""COMPUTED_VALUE"""),0.0)</f>
        <v>0</v>
      </c>
      <c r="K271" s="11">
        <f>IFERROR(__xludf.DUMMYFUNCTION("""COMPUTED_VALUE"""),0.33)</f>
        <v>0.33</v>
      </c>
      <c r="L271" s="11"/>
    </row>
    <row r="272" ht="15.75" customHeight="1">
      <c r="A272" s="8" t="str">
        <f>IFERROR(__xludf.DUMMYFUNCTION("""COMPUTED_VALUE"""),"https://awisee.com/us/blog/digital-marketing-agencies-germany/")</f>
        <v>https://awisee.com/us/blog/digital-marketing-agencies-germany/</v>
      </c>
      <c r="B272" s="11" t="str">
        <f>IFERROR(__xludf.DUMMYFUNCTION("""COMPUTED_VALUE"""),"Top 4 Digital Marketing Agencies Germany In 2025 (Reviews)")</f>
        <v>Top 4 Digital Marketing Agencies Germany In 2025 (Reviews)</v>
      </c>
      <c r="C272" s="8" t="str">
        <f>IFERROR(__xludf.DUMMYFUNCTION("""COMPUTED_VALUE"""),"awisee.com")</f>
        <v>awisee.com</v>
      </c>
      <c r="D272" s="11" t="str">
        <f>IFERROR(__xludf.DUMMYFUNCTION("""COMPUTED_VALUE"""),"LISTICLE")</f>
        <v>LISTICLE</v>
      </c>
      <c r="E272" s="11" t="str">
        <f>IFERROR(__xludf.DUMMYFUNCTION("""COMPUTED_VALUE"""),"OTHER")</f>
        <v>OTHER</v>
      </c>
      <c r="F272" s="11" t="str">
        <f>IFERROR(__xludf.DUMMYFUNCTION("""COMPUTED_VALUE"""),"Listicle")</f>
        <v>Listicle</v>
      </c>
      <c r="G272" s="11" t="b">
        <f>IFERROR(__xludf.DUMMYFUNCTION("""COMPUTED_VALUE"""),FALSE)</f>
        <v>0</v>
      </c>
      <c r="H272" s="11" t="str">
        <f>IFERROR(__xludf.DUMMYFUNCTION("""COMPUTED_VALUE"""),"KlickPiloten")</f>
        <v>KlickPiloten</v>
      </c>
      <c r="I272" s="11">
        <f>IFERROR(__xludf.DUMMYFUNCTION("""COMPUTED_VALUE"""),3.0)</f>
        <v>3</v>
      </c>
      <c r="J272" s="11">
        <f>IFERROR(__xludf.DUMMYFUNCTION("""COMPUTED_VALUE"""),0.0)</f>
        <v>0</v>
      </c>
      <c r="K272" s="11">
        <f>IFERROR(__xludf.DUMMYFUNCTION("""COMPUTED_VALUE"""),0.33)</f>
        <v>0.33</v>
      </c>
      <c r="L272" s="11"/>
    </row>
    <row r="273" ht="15.75" customHeight="1">
      <c r="A273" s="8" t="str">
        <f>IFERROR(__xludf.DUMMYFUNCTION("""COMPUTED_VALUE"""),"https://beomniscient.com/blog/best-ai-marketing-agencies/")</f>
        <v>https://beomniscient.com/blog/best-ai-marketing-agencies/</v>
      </c>
      <c r="B273" s="11" t="str">
        <f>IFERROR(__xludf.DUMMYFUNCTION("""COMPUTED_VALUE"""),"The 5 Best AI Marketing Agencies For B2B (2026 Update) - Omniscient Digital")</f>
        <v>The 5 Best AI Marketing Agencies For B2B (2026 Update) - Omniscient Digital</v>
      </c>
      <c r="C273" s="8" t="str">
        <f>IFERROR(__xludf.DUMMYFUNCTION("""COMPUTED_VALUE"""),"beomniscient.com")</f>
        <v>beomniscient.com</v>
      </c>
      <c r="D273" s="11" t="str">
        <f>IFERROR(__xludf.DUMMYFUNCTION("""COMPUTED_VALUE"""),"LISTICLE")</f>
        <v>LISTICLE</v>
      </c>
      <c r="E273" s="11" t="str">
        <f>IFERROR(__xludf.DUMMYFUNCTION("""COMPUTED_VALUE"""),"CORPORATE")</f>
        <v>CORPORATE</v>
      </c>
      <c r="F273" s="11" t="str">
        <f>IFERROR(__xludf.DUMMYFUNCTION("""COMPUTED_VALUE"""),"Listicle")</f>
        <v>Listicle</v>
      </c>
      <c r="G273" s="11" t="b">
        <f>IFERROR(__xludf.DUMMYFUNCTION("""COMPUTED_VALUE"""),FALSE)</f>
        <v>0</v>
      </c>
      <c r="H273" s="11" t="str">
        <f>IFERROR(__xludf.DUMMYFUNCTION("""COMPUTED_VALUE"""),"Omniscient Digital, NoGood, Daydream, Single Grain, Measured")</f>
        <v>Omniscient Digital, NoGood, Daydream, Single Grain, Measured</v>
      </c>
      <c r="I273" s="11">
        <f>IFERROR(__xludf.DUMMYFUNCTION("""COMPUTED_VALUE"""),3.0)</f>
        <v>3</v>
      </c>
      <c r="J273" s="11">
        <f>IFERROR(__xludf.DUMMYFUNCTION("""COMPUTED_VALUE"""),0.0)</f>
        <v>0</v>
      </c>
      <c r="K273" s="11">
        <f>IFERROR(__xludf.DUMMYFUNCTION("""COMPUTED_VALUE"""),0.67)</f>
        <v>0.67</v>
      </c>
      <c r="L273" s="11"/>
    </row>
    <row r="274" ht="15.75" customHeight="1">
      <c r="A274" s="8" t="str">
        <f>IFERROR(__xludf.DUMMYFUNCTION("""COMPUTED_VALUE"""),"https://www.beyond-media.de/agentur/google-premier-partner/")</f>
        <v>https://www.beyond-media.de/agentur/google-premier-partner/</v>
      </c>
      <c r="B274" s="11" t="str">
        <f>IFERROR(__xludf.DUMMYFUNCTION("""COMPUTED_VALUE"""),"Google Premier Partner Agentur ★ Top 3% weltweit | Beyond Media")</f>
        <v>Google Premier Partner Agentur ★ Top 3% weltweit | Beyond Media</v>
      </c>
      <c r="C274" s="8" t="str">
        <f>IFERROR(__xludf.DUMMYFUNCTION("""COMPUTED_VALUE"""),"beyond-media.de")</f>
        <v>beyond-media.de</v>
      </c>
      <c r="D274" s="11" t="str">
        <f>IFERROR(__xludf.DUMMYFUNCTION("""COMPUTED_VALUE"""),"PRODUCT_PAGE")</f>
        <v>PRODUCT_PAGE</v>
      </c>
      <c r="E274" s="11" t="str">
        <f>IFERROR(__xludf.DUMMYFUNCTION("""COMPUTED_VALUE"""),"OTHER")</f>
        <v>OTHER</v>
      </c>
      <c r="F274" s="11" t="str">
        <f>IFERROR(__xludf.DUMMYFUNCTION("""COMPUTED_VALUE"""),"Product Page")</f>
        <v>Product Page</v>
      </c>
      <c r="G274" s="11" t="b">
        <f>IFERROR(__xludf.DUMMYFUNCTION("""COMPUTED_VALUE"""),FALSE)</f>
        <v>0</v>
      </c>
      <c r="H274" s="11"/>
      <c r="I274" s="11">
        <f>IFERROR(__xludf.DUMMYFUNCTION("""COMPUTED_VALUE"""),3.0)</f>
        <v>3</v>
      </c>
      <c r="J274" s="11">
        <f>IFERROR(__xludf.DUMMYFUNCTION("""COMPUTED_VALUE"""),0.0)</f>
        <v>0</v>
      </c>
      <c r="K274" s="11">
        <f>IFERROR(__xludf.DUMMYFUNCTION("""COMPUTED_VALUE"""),2.33)</f>
        <v>2.33</v>
      </c>
      <c r="L274" s="11"/>
    </row>
    <row r="275" ht="15.75" customHeight="1">
      <c r="A275" s="8" t="str">
        <f>IFERROR(__xludf.DUMMYFUNCTION("""COMPUTED_VALUE"""),"https://clutch.co/de/agencies/demand-generation-marketing")</f>
        <v>https://clutch.co/de/agencies/demand-generation-marketing</v>
      </c>
      <c r="B275" s="11" t="str">
        <f>IFERROR(__xludf.DUMMYFUNCTION("""COMPUTED_VALUE"""),"Top Demand Generation Agencies in Germany - Jul 2026 Rankings \| Clutch.co")</f>
        <v>Top Demand Generation Agencies in Germany - Jul 2026 Rankings \| Clutch.co</v>
      </c>
      <c r="C275" s="8" t="str">
        <f>IFERROR(__xludf.DUMMYFUNCTION("""COMPUTED_VALUE"""),"clutch.co")</f>
        <v>clutch.co</v>
      </c>
      <c r="D275" s="11" t="str">
        <f>IFERROR(__xludf.DUMMYFUNCTION("""COMPUTED_VALUE"""),"CATEGORY_PAGE")</f>
        <v>CATEGORY_PAGE</v>
      </c>
      <c r="E275" s="11" t="str">
        <f>IFERROR(__xludf.DUMMYFUNCTION("""COMPUTED_VALUE"""),"CORPORATE")</f>
        <v>CORPORATE</v>
      </c>
      <c r="F275" s="11" t="str">
        <f>IFERROR(__xludf.DUMMYFUNCTION("""COMPUTED_VALUE"""),"Category Page")</f>
        <v>Category Page</v>
      </c>
      <c r="G275" s="11" t="b">
        <f>IFERROR(__xludf.DUMMYFUNCTION("""COMPUTED_VALUE"""),FALSE)</f>
        <v>0</v>
      </c>
      <c r="H275" s="11"/>
      <c r="I275" s="11">
        <f>IFERROR(__xludf.DUMMYFUNCTION("""COMPUTED_VALUE"""),3.0)</f>
        <v>3</v>
      </c>
      <c r="J275" s="11">
        <f>IFERROR(__xludf.DUMMYFUNCTION("""COMPUTED_VALUE"""),0.0)</f>
        <v>0</v>
      </c>
      <c r="K275" s="11">
        <f>IFERROR(__xludf.DUMMYFUNCTION("""COMPUTED_VALUE"""),0.0)</f>
        <v>0</v>
      </c>
      <c r="L275" s="11"/>
    </row>
    <row r="276" ht="15.75" customHeight="1">
      <c r="A276" s="8" t="str">
        <f>IFERROR(__xludf.DUMMYFUNCTION("""COMPUTED_VALUE"""),"https://clutch.co/de/seo-firms/international")</f>
        <v>https://clutch.co/de/seo-firms/international</v>
      </c>
      <c r="B276" s="11" t="str">
        <f>IFERROR(__xludf.DUMMYFUNCTION("""COMPUTED_VALUE"""),"Top International SEO Agencies in Germany - Jul 2026 Rankings | Clutch.co")</f>
        <v>Top International SEO Agencies in Germany - Jul 2026 Rankings | Clutch.co</v>
      </c>
      <c r="C276" s="8" t="str">
        <f>IFERROR(__xludf.DUMMYFUNCTION("""COMPUTED_VALUE"""),"clutch.co")</f>
        <v>clutch.co</v>
      </c>
      <c r="D276" s="11" t="str">
        <f>IFERROR(__xludf.DUMMYFUNCTION("""COMPUTED_VALUE"""),"CATEGORY_PAGE")</f>
        <v>CATEGORY_PAGE</v>
      </c>
      <c r="E276" s="11" t="str">
        <f>IFERROR(__xludf.DUMMYFUNCTION("""COMPUTED_VALUE"""),"CORPORATE")</f>
        <v>CORPORATE</v>
      </c>
      <c r="F276" s="11" t="str">
        <f>IFERROR(__xludf.DUMMYFUNCTION("""COMPUTED_VALUE"""),"Category Page")</f>
        <v>Category Page</v>
      </c>
      <c r="G276" s="11" t="b">
        <f>IFERROR(__xludf.DUMMYFUNCTION("""COMPUTED_VALUE"""),FALSE)</f>
        <v>0</v>
      </c>
      <c r="H276" s="11" t="str">
        <f>IFERROR(__xludf.DUMMYFUNCTION("""COMPUTED_VALUE"""),"MONSOON, Claneo, morefire, WeLikeWeb GmbH, Peak Ace, eMinded GmbH")</f>
        <v>MONSOON, Claneo, morefire, WeLikeWeb GmbH, Peak Ace, eMinded GmbH</v>
      </c>
      <c r="I276" s="11">
        <f>IFERROR(__xludf.DUMMYFUNCTION("""COMPUTED_VALUE"""),3.0)</f>
        <v>3</v>
      </c>
      <c r="J276" s="11">
        <f>IFERROR(__xludf.DUMMYFUNCTION("""COMPUTED_VALUE"""),0.0)</f>
        <v>0</v>
      </c>
      <c r="K276" s="11">
        <f>IFERROR(__xludf.DUMMYFUNCTION("""COMPUTED_VALUE"""),0.0)</f>
        <v>0</v>
      </c>
      <c r="L276" s="11"/>
    </row>
    <row r="277" ht="15.75" customHeight="1">
      <c r="A277" s="8" t="str">
        <f>IFERROR(__xludf.DUMMYFUNCTION("""COMPUTED_VALUE"""),"https://cornerstonecontent.com/best-answer-engine-optimization-aeo-agencies/")</f>
        <v>https://cornerstonecontent.com/best-answer-engine-optimization-aeo-agencies/</v>
      </c>
      <c r="B277" s="11" t="str">
        <f>IFERROR(__xludf.DUMMYFUNCTION("""COMPUTED_VALUE"""),"10 Best Answer Engine Optimization (AEO) Agencies (2026) - Cornerstone Content")</f>
        <v>10 Best Answer Engine Optimization (AEO) Agencies (2026) - Cornerstone Content</v>
      </c>
      <c r="C277" s="8" t="str">
        <f>IFERROR(__xludf.DUMMYFUNCTION("""COMPUTED_VALUE"""),"cornerstonecontent.com")</f>
        <v>cornerstonecontent.com</v>
      </c>
      <c r="D277" s="11" t="str">
        <f>IFERROR(__xludf.DUMMYFUNCTION("""COMPUTED_VALUE"""),"LISTICLE")</f>
        <v>LISTICLE</v>
      </c>
      <c r="E277" s="11" t="str">
        <f>IFERROR(__xludf.DUMMYFUNCTION("""COMPUTED_VALUE"""),"CORPORATE")</f>
        <v>CORPORATE</v>
      </c>
      <c r="F277" s="11" t="str">
        <f>IFERROR(__xludf.DUMMYFUNCTION("""COMPUTED_VALUE"""),"Listicle")</f>
        <v>Listicle</v>
      </c>
      <c r="G277" s="11" t="b">
        <f>IFERROR(__xludf.DUMMYFUNCTION("""COMPUTED_VALUE"""),FALSE)</f>
        <v>0</v>
      </c>
      <c r="H277" s="11" t="str">
        <f>IFERROR(__xludf.DUMMYFUNCTION("""COMPUTED_VALUE"""),"Omniscient Digital, Single Grain")</f>
        <v>Omniscient Digital, Single Grain</v>
      </c>
      <c r="I277" s="11">
        <f>IFERROR(__xludf.DUMMYFUNCTION("""COMPUTED_VALUE"""),3.0)</f>
        <v>3</v>
      </c>
      <c r="J277" s="11">
        <f>IFERROR(__xludf.DUMMYFUNCTION("""COMPUTED_VALUE"""),0.0)</f>
        <v>0</v>
      </c>
      <c r="K277" s="11">
        <f>IFERROR(__xludf.DUMMYFUNCTION("""COMPUTED_VALUE"""),0.0)</f>
        <v>0</v>
      </c>
      <c r="L277" s="11"/>
    </row>
    <row r="278" ht="15.75" customHeight="1">
      <c r="A278" s="8" t="str">
        <f>IFERROR(__xludf.DUMMYFUNCTION("""COMPUTED_VALUE"""),"https://www.crystalinfoway.com/blogs/view/top-10-digital-marketing-companies-in-germany#:~:text=MONSOON%20is%20a%20performance%2Ddriven,KPIs%20and%20transparent%20reporting%20systems.")</f>
        <v>https://www.crystalinfoway.com/blogs/view/top-10-digital-marketing-companies-in-germany#:~:text=MONSOON%20is%20a%20performance%2Ddriven,KPIs%20and%20transparent%20reporting%20systems.</v>
      </c>
      <c r="B278" s="11" t="str">
        <f>IFERROR(__xludf.DUMMYFUNCTION("""COMPUTED_VALUE"""),"Top 10 Digital Marketing Companies in Germany")</f>
        <v>Top 10 Digital Marketing Companies in Germany</v>
      </c>
      <c r="C278" s="8" t="str">
        <f>IFERROR(__xludf.DUMMYFUNCTION("""COMPUTED_VALUE"""),"crystalinfoway.com")</f>
        <v>crystalinfoway.com</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t="str">
        <f>IFERROR(__xludf.DUMMYFUNCTION("""COMPUTED_VALUE"""),"MONSOON, Mediacharge, Löwenstark")</f>
        <v>MONSOON, Mediacharge, Löwenstark</v>
      </c>
      <c r="I278" s="11">
        <f>IFERROR(__xludf.DUMMYFUNCTION("""COMPUTED_VALUE"""),3.0)</f>
        <v>3</v>
      </c>
      <c r="J278" s="11">
        <f>IFERROR(__xludf.DUMMYFUNCTION("""COMPUTED_VALUE"""),0.0)</f>
        <v>0</v>
      </c>
      <c r="K278" s="11">
        <f>IFERROR(__xludf.DUMMYFUNCTION("""COMPUTED_VALUE"""),1.67)</f>
        <v>1.67</v>
      </c>
      <c r="L278" s="11"/>
    </row>
    <row r="279" ht="15.75" customHeight="1">
      <c r="A279" s="8" t="str">
        <f>IFERROR(__xludf.DUMMYFUNCTION("""COMPUTED_VALUE"""),"https://dtile-marketing.de/performance-marketing/")</f>
        <v>https://dtile-marketing.de/performance-marketing/</v>
      </c>
      <c r="B279" s="11" t="str">
        <f>IFERROR(__xludf.DUMMYFUNCTION("""COMPUTED_VALUE"""),"Performance Marketing 2026: Erklärt + Top-10 DE &amp;amp; Top-20 DACH")</f>
        <v>Performance Marketing 2026: Erklärt + Top-10 DE &amp;amp; Top-20 DACH</v>
      </c>
      <c r="C279" s="8" t="str">
        <f>IFERROR(__xludf.DUMMYFUNCTION("""COMPUTED_VALUE"""),"dtile-marketing.de")</f>
        <v>dtile-marketing.de</v>
      </c>
      <c r="D279" s="11" t="str">
        <f>IFERROR(__xludf.DUMMYFUNCTION("""COMPUTED_VALUE"""),"OTHER")</f>
        <v>OTHER</v>
      </c>
      <c r="E279" s="11" t="str">
        <f>IFERROR(__xludf.DUMMYFUNCTION("""COMPUTED_VALUE"""),"CORPORATE")</f>
        <v>CORPORATE</v>
      </c>
      <c r="F279" s="11" t="str">
        <f>IFERROR(__xludf.DUMMYFUNCTION("""COMPUTED_VALUE"""),"Other")</f>
        <v>Other</v>
      </c>
      <c r="G279" s="11" t="b">
        <f>IFERROR(__xludf.DUMMYFUNCTION("""COMPUTED_VALUE"""),FALSE)</f>
        <v>0</v>
      </c>
      <c r="H279" s="11" t="str">
        <f>IFERROR(__xludf.DUMMYFUNCTION("""COMPUTED_VALUE"""),"Pilot, Smarketer, DEPT")</f>
        <v>Pilot, Smarketer, DEPT</v>
      </c>
      <c r="I279" s="11">
        <f>IFERROR(__xludf.DUMMYFUNCTION("""COMPUTED_VALUE"""),3.0)</f>
        <v>3</v>
      </c>
      <c r="J279" s="11">
        <f>IFERROR(__xludf.DUMMYFUNCTION("""COMPUTED_VALUE"""),0.0)</f>
        <v>0</v>
      </c>
      <c r="K279" s="11">
        <f>IFERROR(__xludf.DUMMYFUNCTION("""COMPUTED_VALUE"""),0.0)</f>
        <v>0</v>
      </c>
      <c r="L279" s="11"/>
    </row>
    <row r="280" ht="15.75" customHeight="1">
      <c r="A280" s="8" t="str">
        <f>IFERROR(__xludf.DUMMYFUNCTION("""COMPUTED_VALUE"""),"https://www.housesofgrowth.com/post/aeo-agencies-in-europe")</f>
        <v>https://www.housesofgrowth.com/post/aeo-agencies-in-europe</v>
      </c>
      <c r="B280" s="11" t="str">
        <f>IFERROR(__xludf.DUMMYFUNCTION("""COMPUTED_VALUE"""),"10 Best Answer Engine Optimization (AEO) Agencies in Europe [2026]")</f>
        <v>10 Best Answer Engine Optimization (AEO) Agencies in Europe [2026]</v>
      </c>
      <c r="C280" s="8" t="str">
        <f>IFERROR(__xludf.DUMMYFUNCTION("""COMPUTED_VALUE"""),"housesofgrowth.com")</f>
        <v>housesofgrowth.com</v>
      </c>
      <c r="D280" s="11" t="str">
        <f>IFERROR(__xludf.DUMMYFUNCTION("""COMPUTED_VALUE"""),"LISTICLE")</f>
        <v>LISTICLE</v>
      </c>
      <c r="E280" s="11" t="str">
        <f>IFERROR(__xludf.DUMMYFUNCTION("""COMPUTED_VALUE"""),"CORPORATE")</f>
        <v>CORPORATE</v>
      </c>
      <c r="F280" s="11" t="str">
        <f>IFERROR(__xludf.DUMMYFUNCTION("""COMPUTED_VALUE"""),"Listicle")</f>
        <v>Listicle</v>
      </c>
      <c r="G280" s="11" t="b">
        <f>IFERROR(__xludf.DUMMYFUNCTION("""COMPUTED_VALUE"""),FALSE)</f>
        <v>0</v>
      </c>
      <c r="H280" s="11" t="str">
        <f>IFERROR(__xludf.DUMMYFUNCTION("""COMPUTED_VALUE"""),"Peak Ace, Omnius")</f>
        <v>Peak Ace, Omnius</v>
      </c>
      <c r="I280" s="11">
        <f>IFERROR(__xludf.DUMMYFUNCTION("""COMPUTED_VALUE"""),3.0)</f>
        <v>3</v>
      </c>
      <c r="J280" s="11">
        <f>IFERROR(__xludf.DUMMYFUNCTION("""COMPUTED_VALUE"""),0.0)</f>
        <v>0</v>
      </c>
      <c r="K280" s="11">
        <f>IFERROR(__xludf.DUMMYFUNCTION("""COMPUTED_VALUE"""),0.0)</f>
        <v>0</v>
      </c>
      <c r="L280" s="11"/>
    </row>
    <row r="281" ht="15.75" customHeight="1">
      <c r="A281" s="8" t="str">
        <f>IFERROR(__xludf.DUMMYFUNCTION("""COMPUTED_VALUE"""),"https://www.m1-project.com/blog/10-best-ai-marketing-agencies-in-depth-comparison")</f>
        <v>https://www.m1-project.com/blog/10-best-ai-marketing-agencies-in-depth-comparison</v>
      </c>
      <c r="B281" s="11" t="str">
        <f>IFERROR(__xludf.DUMMYFUNCTION("""COMPUTED_VALUE"""),"10 Best AI Marketing Agencies: In-Depth Comparison | M1-Project")</f>
        <v>10 Best AI Marketing Agencies: In-Depth Comparison | M1-Project</v>
      </c>
      <c r="C281" s="8" t="str">
        <f>IFERROR(__xludf.DUMMYFUNCTION("""COMPUTED_VALUE"""),"m1-project.com")</f>
        <v>m1-project.com</v>
      </c>
      <c r="D281" s="11" t="str">
        <f>IFERROR(__xludf.DUMMYFUNCTION("""COMPUTED_VALUE"""),"LISTICLE")</f>
        <v>LISTICLE</v>
      </c>
      <c r="E281" s="11" t="str">
        <f>IFERROR(__xludf.DUMMYFUNCTION("""COMPUTED_VALUE"""),"CORPORATE")</f>
        <v>CORPORATE</v>
      </c>
      <c r="F281" s="11" t="str">
        <f>IFERROR(__xludf.DUMMYFUNCTION("""COMPUTED_VALUE"""),"Listicle")</f>
        <v>Listicle</v>
      </c>
      <c r="G281" s="11" t="b">
        <f>IFERROR(__xludf.DUMMYFUNCTION("""COMPUTED_VALUE"""),FALSE)</f>
        <v>0</v>
      </c>
      <c r="H281" s="11" t="str">
        <f>IFERROR(__xludf.DUMMYFUNCTION("""COMPUTED_VALUE"""),"Measured")</f>
        <v>Measured</v>
      </c>
      <c r="I281" s="11">
        <f>IFERROR(__xludf.DUMMYFUNCTION("""COMPUTED_VALUE"""),3.0)</f>
        <v>3</v>
      </c>
      <c r="J281" s="11">
        <f>IFERROR(__xludf.DUMMYFUNCTION("""COMPUTED_VALUE"""),0.0)</f>
        <v>0</v>
      </c>
      <c r="K281" s="11">
        <f>IFERROR(__xludf.DUMMYFUNCTION("""COMPUTED_VALUE"""),0.67)</f>
        <v>0.67</v>
      </c>
      <c r="L281" s="11"/>
    </row>
    <row r="282" ht="15.75" customHeight="1">
      <c r="A282" s="8" t="str">
        <f>IFERROR(__xludf.DUMMYFUNCTION("""COMPUTED_VALUE"""),"https://www.magiclibrary.co/blog/best-linkedin-ads-agency-in-germany")</f>
        <v>https://www.magiclibrary.co/blog/best-linkedin-ads-agency-in-germany</v>
      </c>
      <c r="B282" s="11" t="str">
        <f>IFERROR(__xludf.DUMMYFUNCTION("""COMPUTED_VALUE"""),"The Best LinkedIn Ads Agency in Germany: 11 Picks for B2B (2026)")</f>
        <v>The Best LinkedIn Ads Agency in Germany: 11 Picks for B2B (2026)</v>
      </c>
      <c r="C282" s="8" t="str">
        <f>IFERROR(__xludf.DUMMYFUNCTION("""COMPUTED_VALUE"""),"magiclibrary.co")</f>
        <v>magiclibrary.co</v>
      </c>
      <c r="D282" s="11" t="str">
        <f>IFERROR(__xludf.DUMMYFUNCTION("""COMPUTED_VALUE"""),"LISTICLE")</f>
        <v>LISTICLE</v>
      </c>
      <c r="E282" s="11" t="str">
        <f>IFERROR(__xludf.DUMMYFUNCTION("""COMPUTED_VALUE"""),"REFERENCE")</f>
        <v>REFERENCE</v>
      </c>
      <c r="F282" s="11" t="str">
        <f>IFERROR(__xludf.DUMMYFUNCTION("""COMPUTED_VALUE"""),"Listicle")</f>
        <v>Listicle</v>
      </c>
      <c r="G282" s="11" t="b">
        <f>IFERROR(__xludf.DUMMYFUNCTION("""COMPUTED_VALUE"""),FALSE)</f>
        <v>0</v>
      </c>
      <c r="H282" s="11" t="str">
        <f>IFERROR(__xludf.DUMMYFUNCTION("""COMPUTED_VALUE"""),"Loyamo, morefire, MONSOON")</f>
        <v>Loyamo, morefire, MONSOON</v>
      </c>
      <c r="I282" s="11">
        <f>IFERROR(__xludf.DUMMYFUNCTION("""COMPUTED_VALUE"""),3.0)</f>
        <v>3</v>
      </c>
      <c r="J282" s="11">
        <f>IFERROR(__xludf.DUMMYFUNCTION("""COMPUTED_VALUE"""),0.0)</f>
        <v>0</v>
      </c>
      <c r="K282" s="11">
        <f>IFERROR(__xludf.DUMMYFUNCTION("""COMPUTED_VALUE"""),1.0)</f>
        <v>1</v>
      </c>
      <c r="L282" s="11"/>
    </row>
    <row r="283" ht="15.75" customHeight="1">
      <c r="A283" s="8" t="str">
        <f>IFERROR(__xludf.DUMMYFUNCTION("""COMPUTED_VALUE"""),"https://mammoth.io/blog/marketing-attribution-software/")</f>
        <v>https://mammoth.io/blog/marketing-attribution-software/</v>
      </c>
      <c r="B283" s="11" t="str">
        <f>IFERROR(__xludf.DUMMYFUNCTION("""COMPUTED_VALUE"""),"15 Best Marketing Attribution Software Tools [Curated List] | Mammoth Analytics")</f>
        <v>15 Best Marketing Attribution Software Tools [Curated List] | Mammoth Analytics</v>
      </c>
      <c r="C283" s="8" t="str">
        <f>IFERROR(__xludf.DUMMYFUNCTION("""COMPUTED_VALUE"""),"mammoth.io")</f>
        <v>mammoth.io</v>
      </c>
      <c r="D283" s="11" t="str">
        <f>IFERROR(__xludf.DUMMYFUNCTION("""COMPUTED_VALUE"""),"LISTICLE")</f>
        <v>LISTICLE</v>
      </c>
      <c r="E283" s="11" t="str">
        <f>IFERROR(__xludf.DUMMYFUNCTION("""COMPUTED_VALUE"""),"CORPORATE")</f>
        <v>CORPORATE</v>
      </c>
      <c r="F283" s="11" t="str">
        <f>IFERROR(__xludf.DUMMYFUNCTION("""COMPUTED_VALUE"""),"Listicle")</f>
        <v>Listicle</v>
      </c>
      <c r="G283" s="11" t="b">
        <f>IFERROR(__xludf.DUMMYFUNCTION("""COMPUTED_VALUE"""),FALSE)</f>
        <v>0</v>
      </c>
      <c r="H283" s="11" t="str">
        <f>IFERROR(__xludf.DUMMYFUNCTION("""COMPUTED_VALUE"""),"Triple Whale, Northbeam, Ruler Analytics")</f>
        <v>Triple Whale, Northbeam, Ruler Analytics</v>
      </c>
      <c r="I283" s="11">
        <f>IFERROR(__xludf.DUMMYFUNCTION("""COMPUTED_VALUE"""),3.0)</f>
        <v>3</v>
      </c>
      <c r="J283" s="11">
        <f>IFERROR(__xludf.DUMMYFUNCTION("""COMPUTED_VALUE"""),0.0)</f>
        <v>0</v>
      </c>
      <c r="K283" s="11">
        <f>IFERROR(__xludf.DUMMYFUNCTION("""COMPUTED_VALUE"""),0.0)</f>
        <v>0</v>
      </c>
      <c r="L283" s="11"/>
    </row>
    <row r="284" ht="15.75" customHeight="1">
      <c r="A284" s="8" t="str">
        <f>IFERROR(__xludf.DUMMYFUNCTION("""COMPUTED_VALUE"""),"https://marketinglens.com/top-10/top-10-ppc-agencies-in-europe/")</f>
        <v>https://marketinglens.com/top-10/top-10-ppc-agencies-in-europe/</v>
      </c>
      <c r="B284" s="11" t="str">
        <f>IFERROR(__xludf.DUMMYFUNCTION("""COMPUTED_VALUE"""),"Top 10 PPC Agencies in Europe")</f>
        <v>Top 10 PPC Agencies in Europe</v>
      </c>
      <c r="C284" s="8" t="str">
        <f>IFERROR(__xludf.DUMMYFUNCTION("""COMPUTED_VALUE"""),"marketinglens.com")</f>
        <v>marketinglens.com</v>
      </c>
      <c r="D284" s="11" t="str">
        <f>IFERROR(__xludf.DUMMYFUNCTION("""COMPUTED_VALUE"""),"LISTICLE")</f>
        <v>LISTICLE</v>
      </c>
      <c r="E284" s="11" t="str">
        <f>IFERROR(__xludf.DUMMYFUNCTION("""COMPUTED_VALUE"""),"CORPORATE")</f>
        <v>CORPORATE</v>
      </c>
      <c r="F284" s="11" t="str">
        <f>IFERROR(__xludf.DUMMYFUNCTION("""COMPUTED_VALUE"""),"Listicle")</f>
        <v>Listicle</v>
      </c>
      <c r="G284" s="11" t="b">
        <f>IFERROR(__xludf.DUMMYFUNCTION("""COMPUTED_VALUE"""),FALSE)</f>
        <v>0</v>
      </c>
      <c r="H284" s="11" t="str">
        <f>IFERROR(__xludf.DUMMYFUNCTION("""COMPUTED_VALUE"""),"Peak Ace, Brainlabs, s360, DEPT, Jellyfish")</f>
        <v>Peak Ace, Brainlabs, s360, DEPT, Jellyfish</v>
      </c>
      <c r="I284" s="11">
        <f>IFERROR(__xludf.DUMMYFUNCTION("""COMPUTED_VALUE"""),3.0)</f>
        <v>3</v>
      </c>
      <c r="J284" s="11">
        <f>IFERROR(__xludf.DUMMYFUNCTION("""COMPUTED_VALUE"""),0.0)</f>
        <v>0</v>
      </c>
      <c r="K284" s="11">
        <f>IFERROR(__xludf.DUMMYFUNCTION("""COMPUTED_VALUE"""),1.33)</f>
        <v>1.33</v>
      </c>
      <c r="L284" s="11"/>
    </row>
    <row r="285" ht="15.75" customHeight="1">
      <c r="A285" s="8" t="str">
        <f>IFERROR(__xludf.DUMMYFUNCTION("""COMPUTED_VALUE"""),"https://meedia.de/news/beitrag/20776-serviceplan-dominiert-das-ranking-der-top-50-kreativagenturen-in-deutschland.html")</f>
        <v>https://meedia.de/news/beitrag/20776-serviceplan-dominiert-das-ranking-der-top-50-kreativagenturen-in-deutschland.html</v>
      </c>
      <c r="B285" s="11" t="str">
        <f>IFERROR(__xludf.DUMMYFUNCTION("""COMPUTED_VALUE"""),"Serviceplan dominiert das Ranking der Top 50 Kreativagenturen in Deutschland")</f>
        <v>Serviceplan dominiert das Ranking der Top 50 Kreativagenturen in Deutschland</v>
      </c>
      <c r="C285" s="8" t="str">
        <f>IFERROR(__xludf.DUMMYFUNCTION("""COMPUTED_VALUE"""),"meedia.de")</f>
        <v>meedia.de</v>
      </c>
      <c r="D285" s="11" t="str">
        <f>IFERROR(__xludf.DUMMYFUNCTION("""COMPUTED_VALUE"""),"ARTICLE")</f>
        <v>ARTICLE</v>
      </c>
      <c r="E285" s="11" t="str">
        <f>IFERROR(__xludf.DUMMYFUNCTION("""COMPUTED_VALUE"""),"EDITORIAL")</f>
        <v>EDITORIAL</v>
      </c>
      <c r="F285" s="11" t="str">
        <f>IFERROR(__xludf.DUMMYFUNCTION("""COMPUTED_VALUE"""),"Article")</f>
        <v>Article</v>
      </c>
      <c r="G285" s="11" t="b">
        <f>IFERROR(__xludf.DUMMYFUNCTION("""COMPUTED_VALUE"""),FALSE)</f>
        <v>0</v>
      </c>
      <c r="H285" s="11" t="str">
        <f>IFERROR(__xludf.DUMMYFUNCTION("""COMPUTED_VALUE"""),"Serviceplan Group, Jung von Matt, Scholz &amp; Friends, Haus")</f>
        <v>Serviceplan Group, Jung von Matt, Scholz &amp; Friends, Haus</v>
      </c>
      <c r="I285" s="11">
        <f>IFERROR(__xludf.DUMMYFUNCTION("""COMPUTED_VALUE"""),3.0)</f>
        <v>3</v>
      </c>
      <c r="J285" s="11">
        <f>IFERROR(__xludf.DUMMYFUNCTION("""COMPUTED_VALUE"""),0.0)</f>
        <v>0</v>
      </c>
      <c r="K285" s="11">
        <f>IFERROR(__xludf.DUMMYFUNCTION("""COMPUTED_VALUE"""),0.0)</f>
        <v>0</v>
      </c>
      <c r="L285" s="11"/>
    </row>
    <row r="286" ht="15.75" customHeight="1">
      <c r="A286" s="8" t="str">
        <f>IFERROR(__xludf.DUMMYFUNCTION("""COMPUTED_VALUE"""),"https://www.omnius.so/blog/german-seo-agencies")</f>
        <v>https://www.omnius.so/blog/german-seo-agencies</v>
      </c>
      <c r="B286" s="11" t="str">
        <f>IFERROR(__xludf.DUMMYFUNCTION("""COMPUTED_VALUE"""),"16 Best SEO Agencies in Germany to Work With in 2026")</f>
        <v>16 Best SEO Agencies in Germany to Work With in 2026</v>
      </c>
      <c r="C286" s="8" t="str">
        <f>IFERROR(__xludf.DUMMYFUNCTION("""COMPUTED_VALUE"""),"omnius.so")</f>
        <v>omnius.so</v>
      </c>
      <c r="D286" s="11" t="str">
        <f>IFERROR(__xludf.DUMMYFUNCTION("""COMPUTED_VALUE"""),"LISTICLE")</f>
        <v>LISTICLE</v>
      </c>
      <c r="E286" s="11" t="str">
        <f>IFERROR(__xludf.DUMMYFUNCTION("""COMPUTED_VALUE"""),"COMPETITOR")</f>
        <v>COMPETITOR</v>
      </c>
      <c r="F286" s="11" t="str">
        <f>IFERROR(__xludf.DUMMYFUNCTION("""COMPUTED_VALUE"""),"Listicle")</f>
        <v>Listicle</v>
      </c>
      <c r="G286" s="11" t="b">
        <f>IFERROR(__xludf.DUMMYFUNCTION("""COMPUTED_VALUE"""),FALSE)</f>
        <v>0</v>
      </c>
      <c r="H286" s="11" t="str">
        <f>IFERROR(__xludf.DUMMYFUNCTION("""COMPUTED_VALUE"""),"Omnius, TRYSEO, morefire")</f>
        <v>Omnius, TRYSEO, morefire</v>
      </c>
      <c r="I286" s="11">
        <f>IFERROR(__xludf.DUMMYFUNCTION("""COMPUTED_VALUE"""),3.0)</f>
        <v>3</v>
      </c>
      <c r="J286" s="11">
        <f>IFERROR(__xludf.DUMMYFUNCTION("""COMPUTED_VALUE"""),0.0)</f>
        <v>0</v>
      </c>
      <c r="K286" s="11">
        <f>IFERROR(__xludf.DUMMYFUNCTION("""COMPUTED_VALUE"""),1.67)</f>
        <v>1.67</v>
      </c>
      <c r="L286" s="11"/>
    </row>
    <row r="287" ht="15.75" customHeight="1">
      <c r="A287" s="8" t="str">
        <f>IFERROR(__xludf.DUMMYFUNCTION("""COMPUTED_VALUE"""),"https://procloser.ai/blog/best-aeo-agencies-2026/")</f>
        <v>https://procloser.ai/blog/best-aeo-agencies-2026/</v>
      </c>
      <c r="B287" s="11" t="str">
        <f>IFERROR(__xludf.DUMMYFUNCTION("""COMPUTED_VALUE"""),"Best Answer Engine Optimization (AEO) Agencies 2026 | ProCloser.ai")</f>
        <v>Best Answer Engine Optimization (AEO) Agencies 2026 | ProCloser.ai</v>
      </c>
      <c r="C287" s="8" t="str">
        <f>IFERROR(__xludf.DUMMYFUNCTION("""COMPUTED_VALUE"""),"procloser.ai")</f>
        <v>procloser.ai</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t="str">
        <f>IFERROR(__xludf.DUMMYFUNCTION("""COMPUTED_VALUE"""),"Siege Media, Omniscient Digital, Single Grain, WebFX, Omnius, SmartSites, KlientBoost, Directive Consulting, Momentum")</f>
        <v>Siege Media, Omniscient Digital, Single Grain, WebFX, Omnius, SmartSites, KlientBoost, Directive Consulting, Momentum</v>
      </c>
      <c r="I287" s="11">
        <f>IFERROR(__xludf.DUMMYFUNCTION("""COMPUTED_VALUE"""),3.0)</f>
        <v>3</v>
      </c>
      <c r="J287" s="11">
        <f>IFERROR(__xludf.DUMMYFUNCTION("""COMPUTED_VALUE"""),0.0)</f>
        <v>0</v>
      </c>
      <c r="K287" s="11">
        <f>IFERROR(__xludf.DUMMYFUNCTION("""COMPUTED_VALUE"""),0.0)</f>
        <v>0</v>
      </c>
      <c r="L287" s="11"/>
    </row>
    <row r="288" ht="15.75" customHeight="1">
      <c r="A288" s="8" t="str">
        <f>IFERROR(__xludf.DUMMYFUNCTION("""COMPUTED_VALUE"""),"https://www.reddit.com/r/GenEngineOptimization/comments/1qab4rt/what_are_the_top_geo_agencies_and_what_softwares/")</f>
        <v>https://www.reddit.com/r/GenEngineOptimization/comments/1qab4rt/what_are_the_top_geo_agencies_and_what_softwares/</v>
      </c>
      <c r="B288" s="11" t="str">
        <f>IFERROR(__xludf.DUMMYFUNCTION("""COMPUTED_VALUE"""),"What are the top GEO Agencies and what softwares are they using?")</f>
        <v>What are the top GEO Agencies and what softwares are they using?</v>
      </c>
      <c r="C288" s="8" t="str">
        <f>IFERROR(__xludf.DUMMYFUNCTION("""COMPUTED_VALUE"""),"reddit.com")</f>
        <v>reddit.com</v>
      </c>
      <c r="D288" s="11" t="str">
        <f>IFERROR(__xludf.DUMMYFUNCTION("""COMPUTED_VALUE"""),"DISCUSSION")</f>
        <v>DISCUSSION</v>
      </c>
      <c r="E288" s="11" t="str">
        <f>IFERROR(__xludf.DUMMYFUNCTION("""COMPUTED_VALUE"""),"UGC")</f>
        <v>UGC</v>
      </c>
      <c r="F288" s="11" t="str">
        <f>IFERROR(__xludf.DUMMYFUNCTION("""COMPUTED_VALUE"""),"Discussion")</f>
        <v>Discussion</v>
      </c>
      <c r="G288" s="11" t="b">
        <f>IFERROR(__xludf.DUMMYFUNCTION("""COMPUTED_VALUE"""),FALSE)</f>
        <v>0</v>
      </c>
      <c r="H288" s="11" t="str">
        <f>IFERROR(__xludf.DUMMYFUNCTION("""COMPUTED_VALUE"""),"Claneo")</f>
        <v>Claneo</v>
      </c>
      <c r="I288" s="11">
        <f>IFERROR(__xludf.DUMMYFUNCTION("""COMPUTED_VALUE"""),3.0)</f>
        <v>3</v>
      </c>
      <c r="J288" s="11">
        <f>IFERROR(__xludf.DUMMYFUNCTION("""COMPUTED_VALUE"""),0.0)</f>
        <v>0</v>
      </c>
      <c r="K288" s="11">
        <f>IFERROR(__xludf.DUMMYFUNCTION("""COMPUTED_VALUE"""),2.0)</f>
        <v>2</v>
      </c>
      <c r="L288" s="11"/>
    </row>
    <row r="289" ht="15.75" customHeight="1">
      <c r="A289" s="8" t="str">
        <f>IFERROR(__xludf.DUMMYFUNCTION("""COMPUTED_VALUE"""),"https://www.semrush.com/agencies/list/display-advertising/germany/")</f>
        <v>https://www.semrush.com/agencies/list/display-advertising/germany/</v>
      </c>
      <c r="B289" s="11" t="str">
        <f>IFERROR(__xludf.DUMMYFUNCTION("""COMPUTED_VALUE"""),"Best Display Ads Agencies in Germany 2026 \| Semrush")</f>
        <v>Best Display Ads Agencies in Germany 2026 \| Semrush</v>
      </c>
      <c r="C289" s="8" t="str">
        <f>IFERROR(__xludf.DUMMYFUNCTION("""COMPUTED_VALUE"""),"semrush.com")</f>
        <v>semrush.com</v>
      </c>
      <c r="D289" s="11" t="str">
        <f>IFERROR(__xludf.DUMMYFUNCTION("""COMPUTED_VALUE"""),"PROFILE")</f>
        <v>PROFILE</v>
      </c>
      <c r="E289" s="11" t="str">
        <f>IFERROR(__xludf.DUMMYFUNCTION("""COMPUTED_VALUE"""),"CORPORATE")</f>
        <v>CORPORATE</v>
      </c>
      <c r="F289" s="11" t="str">
        <f>IFERROR(__xludf.DUMMYFUNCTION("""COMPUTED_VALUE"""),"Profile")</f>
        <v>Profile</v>
      </c>
      <c r="G289" s="11" t="b">
        <f>IFERROR(__xludf.DUMMYFUNCTION("""COMPUTED_VALUE"""),FALSE)</f>
        <v>0</v>
      </c>
      <c r="H289" s="11" t="str">
        <f>IFERROR(__xludf.DUMMYFUNCTION("""COMPUTED_VALUE"""),"Baseplus DIGITAL MEDIA GmbH, morefire, Mediaplus Performance, MONSOON, KlickPiloten")</f>
        <v>Baseplus DIGITAL MEDIA GmbH, morefire, Mediaplus Performance, MONSOON, KlickPiloten</v>
      </c>
      <c r="I289" s="11">
        <f>IFERROR(__xludf.DUMMYFUNCTION("""COMPUTED_VALUE"""),3.0)</f>
        <v>3</v>
      </c>
      <c r="J289" s="11">
        <f>IFERROR(__xludf.DUMMYFUNCTION("""COMPUTED_VALUE"""),0.0)</f>
        <v>0</v>
      </c>
      <c r="K289" s="11">
        <f>IFERROR(__xludf.DUMMYFUNCTION("""COMPUTED_VALUE"""),0.0)</f>
        <v>0</v>
      </c>
      <c r="L289" s="11"/>
    </row>
    <row r="290" ht="15.75" customHeight="1">
      <c r="A290" s="8" t="str">
        <f>IFERROR(__xludf.DUMMYFUNCTION("""COMPUTED_VALUE"""),"https://www.seoworks.com/lists/best-aeo-answer-engine-optimisation-agencies/")</f>
        <v>https://www.seoworks.com/lists/best-aeo-answer-engine-optimisation-agencies/</v>
      </c>
      <c r="B290" s="11" t="str">
        <f>IFERROR(__xludf.DUMMYFUNCTION("""COMPUTED_VALUE"""),"20 Best Answer Engine Optimisation (AEO) Agencies (2026) | The SEO Works")</f>
        <v>20 Best Answer Engine Optimisation (AEO) Agencies (2026) | The SEO Works</v>
      </c>
      <c r="C290" s="8" t="str">
        <f>IFERROR(__xludf.DUMMYFUNCTION("""COMPUTED_VALUE"""),"seoworks.com")</f>
        <v>seoworks.com</v>
      </c>
      <c r="D290" s="11" t="str">
        <f>IFERROR(__xludf.DUMMYFUNCTION("""COMPUTED_VALUE"""),"LISTICLE")</f>
        <v>LISTICLE</v>
      </c>
      <c r="E290" s="11" t="str">
        <f>IFERROR(__xludf.DUMMYFUNCTION("""COMPUTED_VALUE"""),"CORPORATE")</f>
        <v>CORPORATE</v>
      </c>
      <c r="F290" s="11" t="str">
        <f>IFERROR(__xludf.DUMMYFUNCTION("""COMPUTED_VALUE"""),"Listicle")</f>
        <v>Listicle</v>
      </c>
      <c r="G290" s="11" t="b">
        <f>IFERROR(__xludf.DUMMYFUNCTION("""COMPUTED_VALUE"""),FALSE)</f>
        <v>0</v>
      </c>
      <c r="H290" s="11" t="str">
        <f>IFERROR(__xludf.DUMMYFUNCTION("""COMPUTED_VALUE"""),"Measured, HikeMyTraffic, Jellyfish, Siege Media, Brainlabs, WebFX, SmartSites")</f>
        <v>Measured, HikeMyTraffic, Jellyfish, Siege Media, Brainlabs, WebFX, SmartSites</v>
      </c>
      <c r="I290" s="11">
        <f>IFERROR(__xludf.DUMMYFUNCTION("""COMPUTED_VALUE"""),3.0)</f>
        <v>3</v>
      </c>
      <c r="J290" s="11">
        <f>IFERROR(__xludf.DUMMYFUNCTION("""COMPUTED_VALUE"""),0.0)</f>
        <v>0</v>
      </c>
      <c r="K290" s="11">
        <f>IFERROR(__xludf.DUMMYFUNCTION("""COMPUTED_VALUE"""),0.0)</f>
        <v>0</v>
      </c>
      <c r="L290" s="11"/>
    </row>
    <row r="291" ht="15.75" customHeight="1">
      <c r="A291" s="8" t="str">
        <f>IFERROR(__xludf.DUMMYFUNCTION("""COMPUTED_VALUE"""),"https://www.sortlist.com/i/s/creative/berlin-de")</f>
        <v>https://www.sortlist.com/i/s/creative/berlin-de</v>
      </c>
      <c r="B291" s="11" t="str">
        <f>IFERROR(__xludf.DUMMYFUNCTION("""COMPUTED_VALUE"""),"The 10 Best Creative Agencies in Berlin - 2026 Reviews")</f>
        <v>The 10 Best Creative Agencies in Berlin - 2026 Reviews</v>
      </c>
      <c r="C291" s="8" t="str">
        <f>IFERROR(__xludf.DUMMYFUNCTION("""COMPUTED_VALUE"""),"sortlist.com")</f>
        <v>sortlist.com</v>
      </c>
      <c r="D291" s="11" t="str">
        <f>IFERROR(__xludf.DUMMYFUNCTION("""COMPUTED_VALUE"""),"CATEGORY_PAGE")</f>
        <v>CATEGORY_PAGE</v>
      </c>
      <c r="E291" s="11" t="str">
        <f>IFERROR(__xludf.DUMMYFUNCTION("""COMPUTED_VALUE"""),"CORPORATE")</f>
        <v>CORPORATE</v>
      </c>
      <c r="F291" s="11" t="str">
        <f>IFERROR(__xludf.DUMMYFUNCTION("""COMPUTED_VALUE"""),"Category Page")</f>
        <v>Category Page</v>
      </c>
      <c r="G291" s="11" t="b">
        <f>IFERROR(__xludf.DUMMYFUNCTION("""COMPUTED_VALUE"""),FALSE)</f>
        <v>0</v>
      </c>
      <c r="H291" s="11" t="str">
        <f>IFERROR(__xludf.DUMMYFUNCTION("""COMPUTED_VALUE"""),"PANORAMA3000, Momentum")</f>
        <v>PANORAMA3000, Momentum</v>
      </c>
      <c r="I291" s="11">
        <f>IFERROR(__xludf.DUMMYFUNCTION("""COMPUTED_VALUE"""),3.0)</f>
        <v>3</v>
      </c>
      <c r="J291" s="11">
        <f>IFERROR(__xludf.DUMMYFUNCTION("""COMPUTED_VALUE"""),0.0)</f>
        <v>0</v>
      </c>
      <c r="K291" s="11">
        <f>IFERROR(__xludf.DUMMYFUNCTION("""COMPUTED_VALUE"""),0.0)</f>
        <v>0</v>
      </c>
      <c r="L291" s="11"/>
    </row>
    <row r="292" ht="15.75" customHeight="1">
      <c r="A292" s="8" t="str">
        <f>IFERROR(__xludf.DUMMYFUNCTION("""COMPUTED_VALUE"""),"https://www.sortlist.com/s/data-driven-marketing/germany-de")</f>
        <v>https://www.sortlist.com/s/data-driven-marketing/germany-de</v>
      </c>
      <c r="B292" s="11" t="str">
        <f>IFERROR(__xludf.DUMMYFUNCTION("""COMPUTED_VALUE"""),"The 10 Best Data Driven Marketing Agencies in Germany - 2026 Reviews")</f>
        <v>The 10 Best Data Driven Marketing Agencies in Germany - 2026 Reviews</v>
      </c>
      <c r="C292" s="8" t="str">
        <f>IFERROR(__xludf.DUMMYFUNCTION("""COMPUTED_VALUE"""),"sortlist.com")</f>
        <v>sortlist.com</v>
      </c>
      <c r="D292" s="11" t="str">
        <f>IFERROR(__xludf.DUMMYFUNCTION("""COMPUTED_VALUE"""),"PROFILE")</f>
        <v>PROFILE</v>
      </c>
      <c r="E292" s="11" t="str">
        <f>IFERROR(__xludf.DUMMYFUNCTION("""COMPUTED_VALUE"""),"CORPORATE")</f>
        <v>CORPORATE</v>
      </c>
      <c r="F292" s="11" t="str">
        <f>IFERROR(__xludf.DUMMYFUNCTION("""COMPUTED_VALUE"""),"Profile")</f>
        <v>Profile</v>
      </c>
      <c r="G292" s="11" t="b">
        <f>IFERROR(__xludf.DUMMYFUNCTION("""COMPUTED_VALUE"""),FALSE)</f>
        <v>0</v>
      </c>
      <c r="H292" s="11" t="str">
        <f>IFERROR(__xludf.DUMMYFUNCTION("""COMPUTED_VALUE"""),"lehof, MONSOON, Measured")</f>
        <v>lehof, MONSOON, Measured</v>
      </c>
      <c r="I292" s="11">
        <f>IFERROR(__xludf.DUMMYFUNCTION("""COMPUTED_VALUE"""),3.0)</f>
        <v>3</v>
      </c>
      <c r="J292" s="11">
        <f>IFERROR(__xludf.DUMMYFUNCTION("""COMPUTED_VALUE"""),0.0)</f>
        <v>0</v>
      </c>
      <c r="K292" s="11">
        <f>IFERROR(__xludf.DUMMYFUNCTION("""COMPUTED_VALUE"""),0.0)</f>
        <v>0</v>
      </c>
      <c r="L292" s="11"/>
    </row>
    <row r="293" ht="15.75" customHeight="1">
      <c r="A293" s="8" t="str">
        <f>IFERROR(__xludf.DUMMYFUNCTION("""COMPUTED_VALUE"""),"https://www.sortlist.com/s/display-advertising/munich-by-de")</f>
        <v>https://www.sortlist.com/s/display-advertising/munich-by-de</v>
      </c>
      <c r="B293" s="11" t="str">
        <f>IFERROR(__xludf.DUMMYFUNCTION("""COMPUTED_VALUE"""),"The 10 Best Display Advertising Agencies in Munich - 2026 Reviews")</f>
        <v>The 10 Best Display Advertising Agencies in Munich - 2026 Reviews</v>
      </c>
      <c r="C293" s="8" t="str">
        <f>IFERROR(__xludf.DUMMYFUNCTION("""COMPUTED_VALUE"""),"sortlist.com")</f>
        <v>sortlist.com</v>
      </c>
      <c r="D293" s="11" t="str">
        <f>IFERROR(__xludf.DUMMYFUNCTION("""COMPUTED_VALUE"""),"CATEGORY_PAGE")</f>
        <v>CATEGORY_PAGE</v>
      </c>
      <c r="E293" s="11" t="str">
        <f>IFERROR(__xludf.DUMMYFUNCTION("""COMPUTED_VALUE"""),"CORPORATE")</f>
        <v>CORPORATE</v>
      </c>
      <c r="F293" s="11" t="str">
        <f>IFERROR(__xludf.DUMMYFUNCTION("""COMPUTED_VALUE"""),"Category Page")</f>
        <v>Category Page</v>
      </c>
      <c r="G293" s="11" t="b">
        <f>IFERROR(__xludf.DUMMYFUNCTION("""COMPUTED_VALUE"""),FALSE)</f>
        <v>0</v>
      </c>
      <c r="H293" s="11" t="str">
        <f>IFERROR(__xludf.DUMMYFUNCTION("""COMPUTED_VALUE"""),"Mediacharge, Triple Whale, Northbeam, Dreamdata, MONSOON, Loyamo")</f>
        <v>Mediacharge, Triple Whale, Northbeam, Dreamdata, MONSOON, Loyamo</v>
      </c>
      <c r="I293" s="11">
        <f>IFERROR(__xludf.DUMMYFUNCTION("""COMPUTED_VALUE"""),3.0)</f>
        <v>3</v>
      </c>
      <c r="J293" s="11">
        <f>IFERROR(__xludf.DUMMYFUNCTION("""COMPUTED_VALUE"""),0.0)</f>
        <v>0</v>
      </c>
      <c r="K293" s="11">
        <f>IFERROR(__xludf.DUMMYFUNCTION("""COMPUTED_VALUE"""),0.67)</f>
        <v>0.67</v>
      </c>
      <c r="L293" s="11"/>
    </row>
    <row r="294" ht="15.75" customHeight="1">
      <c r="A294" s="8" t="str">
        <f>IFERROR(__xludf.DUMMYFUNCTION("""COMPUTED_VALUE"""),"https://www.sortlist.com/s/programmatic-advertising/germany-de")</f>
        <v>https://www.sortlist.com/s/programmatic-advertising/germany-de</v>
      </c>
      <c r="B294" s="11" t="str">
        <f>IFERROR(__xludf.DUMMYFUNCTION("""COMPUTED_VALUE"""),"The 10 Best Programmatic Advertising Companies in Germany - 2026 Reviews")</f>
        <v>The 10 Best Programmatic Advertising Companies in Germany - 2026 Reviews</v>
      </c>
      <c r="C294" s="8" t="str">
        <f>IFERROR(__xludf.DUMMYFUNCTION("""COMPUTED_VALUE"""),"sortlist.com")</f>
        <v>sortlist.com</v>
      </c>
      <c r="D294" s="11" t="str">
        <f>IFERROR(__xludf.DUMMYFUNCTION("""COMPUTED_VALUE"""),"CATEGORY_PAGE")</f>
        <v>CATEGORY_PAGE</v>
      </c>
      <c r="E294" s="11" t="str">
        <f>IFERROR(__xludf.DUMMYFUNCTION("""COMPUTED_VALUE"""),"CORPORATE")</f>
        <v>CORPORATE</v>
      </c>
      <c r="F294" s="11" t="str">
        <f>IFERROR(__xludf.DUMMYFUNCTION("""COMPUTED_VALUE"""),"Category Page")</f>
        <v>Category Page</v>
      </c>
      <c r="G294" s="11" t="b">
        <f>IFERROR(__xludf.DUMMYFUNCTION("""COMPUTED_VALUE"""),FALSE)</f>
        <v>0</v>
      </c>
      <c r="H294" s="11" t="str">
        <f>IFERROR(__xludf.DUMMYFUNCTION("""COMPUTED_VALUE"""),"lehof, MONSOON, Triple Whale, Northbeam, Dreamdata, KlickPiloten")</f>
        <v>lehof, MONSOON, Triple Whale, Northbeam, Dreamdata, KlickPiloten</v>
      </c>
      <c r="I294" s="11">
        <f>IFERROR(__xludf.DUMMYFUNCTION("""COMPUTED_VALUE"""),3.0)</f>
        <v>3</v>
      </c>
      <c r="J294" s="11">
        <f>IFERROR(__xludf.DUMMYFUNCTION("""COMPUTED_VALUE"""),0.0)</f>
        <v>0</v>
      </c>
      <c r="K294" s="11">
        <f>IFERROR(__xludf.DUMMYFUNCTION("""COMPUTED_VALUE"""),0.0)</f>
        <v>0</v>
      </c>
      <c r="L294" s="11"/>
    </row>
    <row r="295" ht="15.75" customHeight="1">
      <c r="A295" s="8" t="str">
        <f>IFERROR(__xludf.DUMMYFUNCTION("""COMPUTED_VALUE"""),"https://sourceforge.net/software/answer-engine-optimization-aeo/germany/")</f>
        <v>https://sourceforge.net/software/answer-engine-optimization-aeo/germany/</v>
      </c>
      <c r="B295" s="11" t="str">
        <f>IFERROR(__xludf.DUMMYFUNCTION("""COMPUTED_VALUE"""),"Best Answer Engine Optimization (AEO) Software in Germany of 2026 - Reviews &amp;amp; Comparison")</f>
        <v>Best Answer Engine Optimization (AEO) Software in Germany of 2026 - Reviews &amp;amp; Comparison</v>
      </c>
      <c r="C295" s="8" t="str">
        <f>IFERROR(__xludf.DUMMYFUNCTION("""COMPUTED_VALUE"""),"sourceforge.net")</f>
        <v>sourceforge.net</v>
      </c>
      <c r="D295" s="11" t="str">
        <f>IFERROR(__xludf.DUMMYFUNCTION("""COMPUTED_VALUE"""),"LISTICLE")</f>
        <v>LISTICLE</v>
      </c>
      <c r="E295" s="11" t="str">
        <f>IFERROR(__xludf.DUMMYFUNCTION("""COMPUTED_VALUE"""),"OTHER")</f>
        <v>OTHER</v>
      </c>
      <c r="F295" s="11" t="str">
        <f>IFERROR(__xludf.DUMMYFUNCTION("""COMPUTED_VALUE"""),"Listicle")</f>
        <v>Listicle</v>
      </c>
      <c r="G295" s="11" t="b">
        <f>IFERROR(__xludf.DUMMYFUNCTION("""COMPUTED_VALUE"""),FALSE)</f>
        <v>0</v>
      </c>
      <c r="H295" s="11"/>
      <c r="I295" s="11">
        <f>IFERROR(__xludf.DUMMYFUNCTION("""COMPUTED_VALUE"""),3.0)</f>
        <v>3</v>
      </c>
      <c r="J295" s="11">
        <f>IFERROR(__xludf.DUMMYFUNCTION("""COMPUTED_VALUE"""),0.0)</f>
        <v>0</v>
      </c>
      <c r="K295" s="11">
        <f>IFERROR(__xludf.DUMMYFUNCTION("""COMPUTED_VALUE"""),0.0)</f>
        <v>0</v>
      </c>
      <c r="L295" s="11"/>
    </row>
    <row r="296" ht="15.75" customHeight="1">
      <c r="A296" s="8" t="str">
        <f>IFERROR(__xludf.DUMMYFUNCTION("""COMPUTED_VALUE"""),"https://thatware.co/top-10-llm-seo-companies-in-germany/")</f>
        <v>https://thatware.co/top-10-llm-seo-companies-in-germany/</v>
      </c>
      <c r="B296" s="11" t="str">
        <f>IFERROR(__xludf.DUMMYFUNCTION("""COMPUTED_VALUE"""),"Top LLM SEO Companies in Germany for AI Optimization")</f>
        <v>Top LLM SEO Companies in Germany for AI Optimization</v>
      </c>
      <c r="C296" s="8" t="str">
        <f>IFERROR(__xludf.DUMMYFUNCTION("""COMPUTED_VALUE"""),"thatware.co")</f>
        <v>thatware.co</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IFERROR(__xludf.DUMMYFUNCTION("""COMPUTED_VALUE"""),"KlickPiloten")</f>
        <v>KlickPiloten</v>
      </c>
      <c r="I296" s="11">
        <f>IFERROR(__xludf.DUMMYFUNCTION("""COMPUTED_VALUE"""),3.0)</f>
        <v>3</v>
      </c>
      <c r="J296" s="11">
        <f>IFERROR(__xludf.DUMMYFUNCTION("""COMPUTED_VALUE"""),0.0)</f>
        <v>0</v>
      </c>
      <c r="K296" s="11">
        <f>IFERROR(__xludf.DUMMYFUNCTION("""COMPUTED_VALUE"""),4.67)</f>
        <v>4.67</v>
      </c>
      <c r="L296" s="11"/>
    </row>
    <row r="297" ht="15.75" customHeight="1">
      <c r="A297" s="8" t="str">
        <f>IFERROR(__xludf.DUMMYFUNCTION("""COMPUTED_VALUE"""),"https://themanifest.com/de/digital/agencies")</f>
        <v>https://themanifest.com/de/digital/agencies</v>
      </c>
      <c r="B297" s="11" t="str">
        <f>IFERROR(__xludf.DUMMYFUNCTION("""COMPUTED_VALUE"""),"Top-Rated Full Service Digital &amp;amp; 360° Online Agencies for eCommerce, Healthcare, FinTech in Germany, Berlin, Munich | Vetted &amp;amp; Reviewed July 2026 | The Manifest")</f>
        <v>Top-Rated Full Service Digital &amp;amp; 360° Online Agencies for eCommerce, Healthcare, FinTech in Germany, Berlin, Munich | Vetted &amp;amp; Reviewed July 2026 | The Manifest</v>
      </c>
      <c r="C297" s="8" t="str">
        <f>IFERROR(__xludf.DUMMYFUNCTION("""COMPUTED_VALUE"""),"themanifest.com")</f>
        <v>themanifest.com</v>
      </c>
      <c r="D297" s="11" t="str">
        <f>IFERROR(__xludf.DUMMYFUNCTION("""COMPUTED_VALUE"""),"CATEGORY_PAGE")</f>
        <v>CATEGORY_PAGE</v>
      </c>
      <c r="E297" s="11" t="str">
        <f>IFERROR(__xludf.DUMMYFUNCTION("""COMPUTED_VALUE"""),"REFERENCE")</f>
        <v>REFERENCE</v>
      </c>
      <c r="F297" s="11" t="str">
        <f>IFERROR(__xludf.DUMMYFUNCTION("""COMPUTED_VALUE"""),"Category Page")</f>
        <v>Category Page</v>
      </c>
      <c r="G297" s="11" t="b">
        <f>IFERROR(__xludf.DUMMYFUNCTION("""COMPUTED_VALUE"""),FALSE)</f>
        <v>0</v>
      </c>
      <c r="H297" s="11" t="str">
        <f>IFERROR(__xludf.DUMMYFUNCTION("""COMPUTED_VALUE"""),"HY.AM STUDIOS, DREIKON, Digitalyze, morefire")</f>
        <v>HY.AM STUDIOS, DREIKON, Digitalyze, morefire</v>
      </c>
      <c r="I297" s="11">
        <f>IFERROR(__xludf.DUMMYFUNCTION("""COMPUTED_VALUE"""),3.0)</f>
        <v>3</v>
      </c>
      <c r="J297" s="11">
        <f>IFERROR(__xludf.DUMMYFUNCTION("""COMPUTED_VALUE"""),0.0)</f>
        <v>0</v>
      </c>
      <c r="K297" s="11">
        <f>IFERROR(__xludf.DUMMYFUNCTION("""COMPUTED_VALUE"""),0.0)</f>
        <v>0</v>
      </c>
      <c r="L297" s="11"/>
    </row>
    <row r="298" ht="15.75" customHeight="1">
      <c r="A298" s="8" t="str">
        <f>IFERROR(__xludf.DUMMYFUNCTION("""COMPUTED_VALUE"""),"https://themanifest.com/de/programmatic/agencies")</f>
        <v>https://themanifest.com/de/programmatic/agencies</v>
      </c>
      <c r="B298" s="11" t="str">
        <f>IFERROR(__xludf.DUMMYFUNCTION("""COMPUTED_VALUE"""),"The Best Programmatic Advertising Companies in Germany - Jul 2026 | The Manifest")</f>
        <v>The Best Programmatic Advertising Companies in Germany - Jul 2026 | The Manifest</v>
      </c>
      <c r="C298" s="8" t="str">
        <f>IFERROR(__xludf.DUMMYFUNCTION("""COMPUTED_VALUE"""),"themanifest.com")</f>
        <v>themanifest.com</v>
      </c>
      <c r="D298" s="11" t="str">
        <f>IFERROR(__xludf.DUMMYFUNCTION("""COMPUTED_VALUE"""),"LISTICLE")</f>
        <v>LISTICLE</v>
      </c>
      <c r="E298" s="11" t="str">
        <f>IFERROR(__xludf.DUMMYFUNCTION("""COMPUTED_VALUE"""),"REFERENCE")</f>
        <v>REFERENCE</v>
      </c>
      <c r="F298" s="11" t="str">
        <f>IFERROR(__xludf.DUMMYFUNCTION("""COMPUTED_VALUE"""),"Listicle")</f>
        <v>Listicle</v>
      </c>
      <c r="G298" s="11" t="b">
        <f>IFERROR(__xludf.DUMMYFUNCTION("""COMPUTED_VALUE"""),FALSE)</f>
        <v>0</v>
      </c>
      <c r="H298" s="11" t="str">
        <f>IFERROR(__xludf.DUMMYFUNCTION("""COMPUTED_VALUE"""),"Phiture, PANORAMA3000, morefire, WeLikeWeb GmbH")</f>
        <v>Phiture, PANORAMA3000, morefire, WeLikeWeb GmbH</v>
      </c>
      <c r="I298" s="11">
        <f>IFERROR(__xludf.DUMMYFUNCTION("""COMPUTED_VALUE"""),3.0)</f>
        <v>3</v>
      </c>
      <c r="J298" s="11">
        <f>IFERROR(__xludf.DUMMYFUNCTION("""COMPUTED_VALUE"""),0.0)</f>
        <v>0</v>
      </c>
      <c r="K298" s="11">
        <f>IFERROR(__xludf.DUMMYFUNCTION("""COMPUTED_VALUE"""),0.0)</f>
        <v>0</v>
      </c>
      <c r="L298" s="11"/>
    </row>
    <row r="299" ht="15.75" customHeight="1">
      <c r="A299" s="8" t="str">
        <f>IFERROR(__xludf.DUMMYFUNCTION("""COMPUTED_VALUE"""),"https://toolbox.humandeluxe.com/best-design-studios/#:~:text=2020,local%20supermarket%20chain%20%C2%ABteGut%C2%BB.")</f>
        <v>https://toolbox.humandeluxe.com/best-design-studios/#:~:text=2020,local%20supermarket%20chain%20%C2%ABteGut%C2%BB.</v>
      </c>
      <c r="B299" s="11" t="str">
        <f>IFERROR(__xludf.DUMMYFUNCTION("""COMPUTED_VALUE"""),"Best Brand Agencies and Studios in Berlin")</f>
        <v>Best Brand Agencies and Studios in Berlin</v>
      </c>
      <c r="C299" s="8" t="str">
        <f>IFERROR(__xludf.DUMMYFUNCTION("""COMPUTED_VALUE"""),"humandeluxe.com")</f>
        <v>humandeluxe.com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c r="I299" s="11">
        <f>IFERROR(__xludf.DUMMYFUNCTION("""COMPUTED_VALUE"""),3.0)</f>
        <v>3</v>
      </c>
      <c r="J299" s="11">
        <f>IFERROR(__xludf.DUMMYFUNCTION("""COMPUTED_VALUE"""),0.0)</f>
        <v>0</v>
      </c>
      <c r="K299" s="11">
        <f>IFERROR(__xludf.DUMMYFUNCTION("""COMPUTED_VALUE"""),1.0)</f>
        <v>1</v>
      </c>
      <c r="L299" s="11"/>
    </row>
    <row r="300" ht="15.75" customHeight="1">
      <c r="A300" s="8" t="str">
        <f>IFERROR(__xludf.DUMMYFUNCTION("""COMPUTED_VALUE"""),"https://www.topseobrands.com/de/best-display-advertising-firms-in-germany")</f>
        <v>https://www.topseobrands.com/de/best-display-advertising-firms-in-germany</v>
      </c>
      <c r="B300" s="11" t="str">
        <f>IFERROR(__xludf.DUMMYFUNCTION("""COMPUTED_VALUE"""),"Best Display Advertising Firms in Germany | Top SEO Brands")</f>
        <v>Best Display Advertising Firms in Germany | Top SEO Brands</v>
      </c>
      <c r="C300" s="8" t="str">
        <f>IFERROR(__xludf.DUMMYFUNCTION("""COMPUTED_VALUE"""),"topseobrands.com")</f>
        <v>topseobrands.com</v>
      </c>
      <c r="D300" s="11" t="str">
        <f>IFERROR(__xludf.DUMMYFUNCTION("""COMPUTED_VALUE"""),"LISTICLE")</f>
        <v>LISTICLE</v>
      </c>
      <c r="E300" s="11" t="str">
        <f>IFERROR(__xludf.DUMMYFUNCTION("""COMPUTED_VALUE"""),"REFERENCE")</f>
        <v>REFERENCE</v>
      </c>
      <c r="F300" s="11" t="str">
        <f>IFERROR(__xludf.DUMMYFUNCTION("""COMPUTED_VALUE"""),"Listicle")</f>
        <v>Listicle</v>
      </c>
      <c r="G300" s="11" t="b">
        <f>IFERROR(__xludf.DUMMYFUNCTION("""COMPUTED_VALUE"""),FALSE)</f>
        <v>0</v>
      </c>
      <c r="H300" s="11"/>
      <c r="I300" s="11">
        <f>IFERROR(__xludf.DUMMYFUNCTION("""COMPUTED_VALUE"""),3.0)</f>
        <v>3</v>
      </c>
      <c r="J300" s="11">
        <f>IFERROR(__xludf.DUMMYFUNCTION("""COMPUTED_VALUE"""),0.0)</f>
        <v>0</v>
      </c>
      <c r="K300" s="11">
        <f>IFERROR(__xludf.DUMMYFUNCTION("""COMPUTED_VALUE"""),0.0)</f>
        <v>0</v>
      </c>
      <c r="L300" s="11"/>
    </row>
    <row r="301" ht="15.75" customHeight="1">
      <c r="A301" s="8" t="str">
        <f>IFERROR(__xludf.DUMMYFUNCTION("""COMPUTED_VALUE"""),"https://visionone.co.uk/news/the-best-international-research-agencies/")</f>
        <v>https://visionone.co.uk/news/the-best-international-research-agencies/</v>
      </c>
      <c r="B301" s="11" t="str">
        <f>IFERROR(__xludf.DUMMYFUNCTION("""COMPUTED_VALUE"""),"Best International Research Agencies By Vision One")</f>
        <v>Best International Research Agencies By Vision One</v>
      </c>
      <c r="C301" s="8" t="str">
        <f>IFERROR(__xludf.DUMMYFUNCTION("""COMPUTED_VALUE"""),"visionone.co.uk")</f>
        <v>visionone.co.uk</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IFERROR(__xludf.DUMMYFUNCTION("""COMPUTED_VALUE"""),"Kantar")</f>
        <v>Kantar</v>
      </c>
      <c r="I301" s="11">
        <f>IFERROR(__xludf.DUMMYFUNCTION("""COMPUTED_VALUE"""),3.0)</f>
        <v>3</v>
      </c>
      <c r="J301" s="11">
        <f>IFERROR(__xludf.DUMMYFUNCTION("""COMPUTED_VALUE"""),0.0)</f>
        <v>0</v>
      </c>
      <c r="K301" s="11">
        <f>IFERROR(__xludf.DUMMYFUNCTION("""COMPUTED_VALUE"""),1.0)</f>
        <v>1</v>
      </c>
      <c r="L301" s="11"/>
    </row>
    <row r="302" ht="15.75" customHeight="1">
      <c r="A302" s="8" t="str">
        <f>IFERROR(__xludf.DUMMYFUNCTION("""COMPUTED_VALUE"""),"https://www.youtube.com/watch?v=00C1PZt8bLw&amp;vl=en")</f>
        <v>https://www.youtube.com/watch?v=00C1PZt8bLw&amp;vl=en</v>
      </c>
      <c r="B302" s="11" t="str">
        <f>IFERROR(__xludf.DUMMYFUNCTION("""COMPUTED_VALUE"""),"Best GEO agencies in Germany")</f>
        <v>Best GEO agencies in Germany</v>
      </c>
      <c r="C302" s="8" t="str">
        <f>IFERROR(__xludf.DUMMYFUNCTION("""COMPUTED_VALUE"""),"youtube.com")</f>
        <v>youtube.com</v>
      </c>
      <c r="D302" s="11" t="str">
        <f>IFERROR(__xludf.DUMMYFUNCTION("""COMPUTED_VALUE"""),"LISTICLE")</f>
        <v>LISTICLE</v>
      </c>
      <c r="E302" s="11" t="str">
        <f>IFERROR(__xludf.DUMMYFUNCTION("""COMPUTED_VALUE"""),"UGC")</f>
        <v>UGC</v>
      </c>
      <c r="F302" s="11" t="str">
        <f>IFERROR(__xludf.DUMMYFUNCTION("""COMPUTED_VALUE"""),"Listicle")</f>
        <v>Listicle</v>
      </c>
      <c r="G302" s="11" t="b">
        <f>IFERROR(__xludf.DUMMYFUNCTION("""COMPUTED_VALUE"""),FALSE)</f>
        <v>0</v>
      </c>
      <c r="H302" s="11"/>
      <c r="I302" s="11">
        <f>IFERROR(__xludf.DUMMYFUNCTION("""COMPUTED_VALUE"""),3.0)</f>
        <v>3</v>
      </c>
      <c r="J302" s="11">
        <f>IFERROR(__xludf.DUMMYFUNCTION("""COMPUTED_VALUE"""),0.0)</f>
        <v>0</v>
      </c>
      <c r="K302" s="11">
        <f>IFERROR(__xludf.DUMMYFUNCTION("""COMPUTED_VALUE"""),1.0)</f>
        <v>1</v>
      </c>
      <c r="L302" s="11"/>
    </row>
    <row r="303" ht="15.75" customHeight="1">
      <c r="A303" s="8" t="str">
        <f>IFERROR(__xludf.DUMMYFUNCTION("""COMPUTED_VALUE"""),"https://zipdo.co/service/marketing-attribution/")</f>
        <v>https://zipdo.co/service/marketing-attribution/</v>
      </c>
      <c r="B303" s="11" t="str">
        <f>IFERROR(__xludf.DUMMYFUNCTION("""COMPUTED_VALUE"""),"Top 10 Best Marketing Attribution Services | Top Picks 2026")</f>
        <v>Top 10 Best Marketing Attribution Services | Top Picks 2026</v>
      </c>
      <c r="C303" s="8" t="str">
        <f>IFERROR(__xludf.DUMMYFUNCTION("""COMPUTED_VALUE"""),"zipdo.co")</f>
        <v>zipdo.co</v>
      </c>
      <c r="D303" s="11" t="str">
        <f>IFERROR(__xludf.DUMMYFUNCTION("""COMPUTED_VALUE"""),"LISTICLE")</f>
        <v>LISTICLE</v>
      </c>
      <c r="E303" s="11" t="str">
        <f>IFERROR(__xludf.DUMMYFUNCTION("""COMPUTED_VALUE"""),"REFERENCE")</f>
        <v>REFERENCE</v>
      </c>
      <c r="F303" s="11" t="str">
        <f>IFERROR(__xludf.DUMMYFUNCTION("""COMPUTED_VALUE"""),"Listicle")</f>
        <v>Listicle</v>
      </c>
      <c r="G303" s="11" t="b">
        <f>IFERROR(__xludf.DUMMYFUNCTION("""COMPUTED_VALUE"""),FALSE)</f>
        <v>0</v>
      </c>
      <c r="H303" s="11" t="str">
        <f>IFERROR(__xludf.DUMMYFUNCTION("""COMPUTED_VALUE"""),"Northbeam, Merkle, Wpromote, PwC")</f>
        <v>Northbeam, Merkle, Wpromote, PwC</v>
      </c>
      <c r="I303" s="11">
        <f>IFERROR(__xludf.DUMMYFUNCTION("""COMPUTED_VALUE"""),3.0)</f>
        <v>3</v>
      </c>
      <c r="J303" s="11">
        <f>IFERROR(__xludf.DUMMYFUNCTION("""COMPUTED_VALUE"""),0.0)</f>
        <v>0</v>
      </c>
      <c r="K303" s="11">
        <f>IFERROR(__xludf.DUMMYFUNCTION("""COMPUTED_VALUE"""),0.0)</f>
        <v>0</v>
      </c>
      <c r="L303" s="11"/>
    </row>
    <row r="304" ht="15.75" customHeight="1">
      <c r="A304" s="8" t="str">
        <f>IFERROR(__xludf.DUMMYFUNCTION("""COMPUTED_VALUE"""),"https://www.10seos.com/de/display-advertising-companies-in-germany?page=3")</f>
        <v>https://www.10seos.com/de/display-advertising-companies-in-germany?page=3</v>
      </c>
      <c r="B304" s="11" t="str">
        <f>IFERROR(__xludf.DUMMYFUNCTION("""COMPUTED_VALUE"""),"Top 10 Display Advertising Companies For Best Services-Germany | July 2026")</f>
        <v>Top 10 Display Advertising Companies For Best Services-Germany | July 2026</v>
      </c>
      <c r="C304" s="8" t="str">
        <f>IFERROR(__xludf.DUMMYFUNCTION("""COMPUTED_VALUE"""),"10seos.com")</f>
        <v>10seos.com</v>
      </c>
      <c r="D304" s="11" t="str">
        <f>IFERROR(__xludf.DUMMYFUNCTION("""COMPUTED_VALUE"""),"OTHER")</f>
        <v>OTHER</v>
      </c>
      <c r="E304" s="11" t="str">
        <f>IFERROR(__xludf.DUMMYFUNCTION("""COMPUTED_VALUE"""),"REFERENCE")</f>
        <v>REFERENCE</v>
      </c>
      <c r="F304" s="11" t="str">
        <f>IFERROR(__xludf.DUMMYFUNCTION("""COMPUTED_VALUE"""),"Other")</f>
        <v>Other</v>
      </c>
      <c r="G304" s="11" t="b">
        <f>IFERROR(__xludf.DUMMYFUNCTION("""COMPUTED_VALUE"""),FALSE)</f>
        <v>0</v>
      </c>
      <c r="H304" s="11"/>
      <c r="I304" s="11">
        <f>IFERROR(__xludf.DUMMYFUNCTION("""COMPUTED_VALUE"""),2.0)</f>
        <v>2</v>
      </c>
      <c r="J304" s="11">
        <f>IFERROR(__xludf.DUMMYFUNCTION("""COMPUTED_VALUE"""),0.0)</f>
        <v>0</v>
      </c>
      <c r="K304" s="11">
        <f>IFERROR(__xludf.DUMMYFUNCTION("""COMPUTED_VALUE"""),0.0)</f>
        <v>0</v>
      </c>
      <c r="L304" s="11"/>
    </row>
    <row r="305" ht="15.75" customHeight="1">
      <c r="A305" s="8" t="str">
        <f>IFERROR(__xludf.DUMMYFUNCTION("""COMPUTED_VALUE"""),"https://adspyder.io/blog/top-25-global-ad-agencies/")</f>
        <v>https://adspyder.io/blog/top-25-global-ad-agencies/</v>
      </c>
      <c r="B305" s="11" t="str">
        <f>IFERROR(__xludf.DUMMYFUNCTION("""COMPUTED_VALUE"""),"Top 25 Global Ad Agencies in July 2026 | Ranking &amp;amp; Revenue")</f>
        <v>Top 25 Global Ad Agencies in July 2026 | Ranking &amp;amp; Revenue</v>
      </c>
      <c r="C305" s="8" t="str">
        <f>IFERROR(__xludf.DUMMYFUNCTION("""COMPUTED_VALUE"""),"adspyder.io")</f>
        <v>adspyder.io</v>
      </c>
      <c r="D305" s="11" t="str">
        <f>IFERROR(__xludf.DUMMYFUNCTION("""COMPUTED_VALUE"""),"LISTICLE")</f>
        <v>LISTICLE</v>
      </c>
      <c r="E305" s="11" t="str">
        <f>IFERROR(__xludf.DUMMYFUNCTION("""COMPUTED_VALUE"""),"CORPORATE")</f>
        <v>CORPORATE</v>
      </c>
      <c r="F305" s="11" t="str">
        <f>IFERROR(__xludf.DUMMYFUNCTION("""COMPUTED_VALUE"""),"Listicle")</f>
        <v>Listicle</v>
      </c>
      <c r="G305" s="11" t="b">
        <f>IFERROR(__xludf.DUMMYFUNCTION("""COMPUTED_VALUE"""),FALSE)</f>
        <v>0</v>
      </c>
      <c r="H305" s="11" t="str">
        <f>IFERROR(__xludf.DUMMYFUNCTION("""COMPUTED_VALUE"""),"Omnicom, Publicis Groupe, WPP, Ogilvy, Accenture Song, Dentsu, Epsilon, Merkle, PwC, iProspect, OMD, R/GA, Serviceplan Group, Havas Media, Measured")</f>
        <v>Omnicom, Publicis Groupe, WPP, Ogilvy, Accenture Song, Dentsu, Epsilon, Merkle, PwC, iProspect, OMD, R/GA, Serviceplan Group, Havas Media, Measured</v>
      </c>
      <c r="I305" s="11">
        <f>IFERROR(__xludf.DUMMYFUNCTION("""COMPUTED_VALUE"""),2.0)</f>
        <v>2</v>
      </c>
      <c r="J305" s="11">
        <f>IFERROR(__xludf.DUMMYFUNCTION("""COMPUTED_VALUE"""),0.0)</f>
        <v>0</v>
      </c>
      <c r="K305" s="11">
        <f>IFERROR(__xludf.DUMMYFUNCTION("""COMPUTED_VALUE"""),0.5)</f>
        <v>0.5</v>
      </c>
      <c r="L305" s="11"/>
    </row>
    <row r="306" ht="15.75" customHeight="1">
      <c r="A306" s="8" t="str">
        <f>IFERROR(__xludf.DUMMYFUNCTION("""COMPUTED_VALUE"""),"https://agencies.semrush.com/list/analytics-data-science/germany/enterprise-business/")</f>
        <v>https://agencies.semrush.com/list/analytics-data-science/germany/enterprise-business/</v>
      </c>
      <c r="B306" s="11" t="str">
        <f>IFERROR(__xludf.DUMMYFUNCTION("""COMPUTED_VALUE"""),"Best Data Analytics Services for Enterprise Business in Germany 2026 | Semrush")</f>
        <v>Best Data Analytics Services for Enterprise Business in Germany 2026 | Semrush</v>
      </c>
      <c r="C306" s="8" t="str">
        <f>IFERROR(__xludf.DUMMYFUNCTION("""COMPUTED_VALUE"""),"semrush.com")</f>
        <v>semrush.com</v>
      </c>
      <c r="D306" s="11" t="str">
        <f>IFERROR(__xludf.DUMMYFUNCTION("""COMPUTED_VALUE"""),"CATEGORY_PAGE")</f>
        <v>CATEGORY_PAGE</v>
      </c>
      <c r="E306" s="11" t="str">
        <f>IFERROR(__xludf.DUMMYFUNCTION("""COMPUTED_VALUE"""),"CORPORATE")</f>
        <v>CORPORATE</v>
      </c>
      <c r="F306" s="11" t="str">
        <f>IFERROR(__xludf.DUMMYFUNCTION("""COMPUTED_VALUE"""),"Category Page")</f>
        <v>Category Page</v>
      </c>
      <c r="G306" s="11" t="b">
        <f>IFERROR(__xludf.DUMMYFUNCTION("""COMPUTED_VALUE"""),FALSE)</f>
        <v>0</v>
      </c>
      <c r="H306" s="11" t="str">
        <f>IFERROR(__xludf.DUMMYFUNCTION("""COMPUTED_VALUE"""),"HECHT INS GEFECHT, Baseplus DIGITAL MEDIA GmbH, morefire, Mediaplus Performance, KlickPiloten")</f>
        <v>HECHT INS GEFECHT, Baseplus DIGITAL MEDIA GmbH, morefire, Mediaplus Performance, KlickPiloten</v>
      </c>
      <c r="I306" s="11">
        <f>IFERROR(__xludf.DUMMYFUNCTION("""COMPUTED_VALUE"""),2.0)</f>
        <v>2</v>
      </c>
      <c r="J306" s="11">
        <f>IFERROR(__xludf.DUMMYFUNCTION("""COMPUTED_VALUE"""),0.0)</f>
        <v>0</v>
      </c>
      <c r="K306" s="11">
        <f>IFERROR(__xludf.DUMMYFUNCTION("""COMPUTED_VALUE"""),0.0)</f>
        <v>0</v>
      </c>
      <c r="L306" s="11"/>
    </row>
    <row r="307" ht="15.75" customHeight="1">
      <c r="A307" s="8" t="str">
        <f>IFERROR(__xludf.DUMMYFUNCTION("""COMPUTED_VALUE"""),"https://agencies.semrush.com/list/analytics-data-science/germany/mid-business/")</f>
        <v>https://agencies.semrush.com/list/analytics-data-science/germany/mid-business/</v>
      </c>
      <c r="B307" s="11" t="str">
        <f>IFERROR(__xludf.DUMMYFUNCTION("""COMPUTED_VALUE"""),"Best Data Analytics Services for Mid Business in Germany 2026 | Semrush")</f>
        <v>Best Data Analytics Services for Mid Business in Germany 2026 | Semrush</v>
      </c>
      <c r="C307" s="8" t="str">
        <f>IFERROR(__xludf.DUMMYFUNCTION("""COMPUTED_VALUE"""),"semrush.com")</f>
        <v>semrush.com</v>
      </c>
      <c r="D307" s="11" t="str">
        <f>IFERROR(__xludf.DUMMYFUNCTION("""COMPUTED_VALUE"""),"OTHER")</f>
        <v>OTHER</v>
      </c>
      <c r="E307" s="11" t="str">
        <f>IFERROR(__xludf.DUMMYFUNCTION("""COMPUTED_VALUE"""),"CORPORATE")</f>
        <v>CORPORATE</v>
      </c>
      <c r="F307" s="11" t="str">
        <f>IFERROR(__xludf.DUMMYFUNCTION("""COMPUTED_VALUE"""),"Other")</f>
        <v>Other</v>
      </c>
      <c r="G307" s="11" t="b">
        <f>IFERROR(__xludf.DUMMYFUNCTION("""COMPUTED_VALUE"""),FALSE)</f>
        <v>0</v>
      </c>
      <c r="H307" s="11" t="str">
        <f>IFERROR(__xludf.DUMMYFUNCTION("""COMPUTED_VALUE"""),"HECHT INS GEFECHT, Baseplus DIGITAL MEDIA GmbH, morefire, Mediaplus Performance, KlickPiloten")</f>
        <v>HECHT INS GEFECHT, Baseplus DIGITAL MEDIA GmbH, morefire, Mediaplus Performance, KlickPiloten</v>
      </c>
      <c r="I307" s="11">
        <f>IFERROR(__xludf.DUMMYFUNCTION("""COMPUTED_VALUE"""),2.0)</f>
        <v>2</v>
      </c>
      <c r="J307" s="11">
        <f>IFERROR(__xludf.DUMMYFUNCTION("""COMPUTED_VALUE"""),0.0)</f>
        <v>0</v>
      </c>
      <c r="K307" s="11">
        <f>IFERROR(__xludf.DUMMYFUNCTION("""COMPUTED_VALUE"""),0.0)</f>
        <v>0</v>
      </c>
      <c r="L307" s="11"/>
    </row>
    <row r="308" ht="15.75" customHeight="1">
      <c r="A308" s="8" t="str">
        <f>IFERROR(__xludf.DUMMYFUNCTION("""COMPUTED_VALUE"""),"https://agencies.semrush.com/list/data-visualization/germany/#:~:text=morefire,Healthcare%20%26%20Hospital%2C%20Ecommerce%20%2B3")</f>
        <v>https://agencies.semrush.com/list/data-visualization/germany/#:~:text=morefire,Healthcare%20%26%20Hospital%2C%20Ecommerce%20%2B3</v>
      </c>
      <c r="B308" s="11" t="str">
        <f>IFERROR(__xludf.DUMMYFUNCTION("""COMPUTED_VALUE"""),"Best Data Visualization Services in Germany 2026 | Semrush")</f>
        <v>Best Data Visualization Services in Germany 2026 | Semrush</v>
      </c>
      <c r="C308" s="8" t="str">
        <f>IFERROR(__xludf.DUMMYFUNCTION("""COMPUTED_VALUE"""),"semrush.com")</f>
        <v>semrush.com</v>
      </c>
      <c r="D308" s="11" t="str">
        <f>IFERROR(__xludf.DUMMYFUNCTION("""COMPUTED_VALUE"""),"OTHER")</f>
        <v>OTHER</v>
      </c>
      <c r="E308" s="11" t="str">
        <f>IFERROR(__xludf.DUMMYFUNCTION("""COMPUTED_VALUE"""),"CORPORATE")</f>
        <v>CORPORATE</v>
      </c>
      <c r="F308" s="11" t="str">
        <f>IFERROR(__xludf.DUMMYFUNCTION("""COMPUTED_VALUE"""),"Other")</f>
        <v>Other</v>
      </c>
      <c r="G308" s="11" t="b">
        <f>IFERROR(__xludf.DUMMYFUNCTION("""COMPUTED_VALUE"""),FALSE)</f>
        <v>0</v>
      </c>
      <c r="H308" s="11" t="str">
        <f>IFERROR(__xludf.DUMMYFUNCTION("""COMPUTED_VALUE"""),"morefire, Mediaplus Performance, KlickPiloten")</f>
        <v>morefire, Mediaplus Performance, KlickPiloten</v>
      </c>
      <c r="I308" s="11">
        <f>IFERROR(__xludf.DUMMYFUNCTION("""COMPUTED_VALUE"""),2.0)</f>
        <v>2</v>
      </c>
      <c r="J308" s="11">
        <f>IFERROR(__xludf.DUMMYFUNCTION("""COMPUTED_VALUE"""),0.0)</f>
        <v>0</v>
      </c>
      <c r="K308" s="11">
        <f>IFERROR(__xludf.DUMMYFUNCTION("""COMPUTED_VALUE"""),1.5)</f>
        <v>1.5</v>
      </c>
      <c r="L308" s="11"/>
    </row>
    <row r="309" ht="15.75" customHeight="1">
      <c r="A309" s="8" t="str">
        <f>IFERROR(__xludf.DUMMYFUNCTION("""COMPUTED_VALUE"""),"https://agencies.semrush.com/list/display-advertising/dusseldorf/")</f>
        <v>https://agencies.semrush.com/list/display-advertising/dusseldorf/</v>
      </c>
      <c r="B309" s="11" t="str">
        <f>IFERROR(__xludf.DUMMYFUNCTION("""COMPUTED_VALUE"""),"Best Display Ads Agencies in Dusseldorf 2026 | Semrush")</f>
        <v>Best Display Ads Agencies in Dusseldorf 2026 | Semrush</v>
      </c>
      <c r="C309" s="8" t="str">
        <f>IFERROR(__xludf.DUMMYFUNCTION("""COMPUTED_VALUE"""),"semrush.com")</f>
        <v>semrush.com</v>
      </c>
      <c r="D309" s="11" t="str">
        <f>IFERROR(__xludf.DUMMYFUNCTION("""COMPUTED_VALUE"""),"OTHER")</f>
        <v>OTHER</v>
      </c>
      <c r="E309" s="11" t="str">
        <f>IFERROR(__xludf.DUMMYFUNCTION("""COMPUTED_VALUE"""),"CORPORATE")</f>
        <v>CORPORATE</v>
      </c>
      <c r="F309" s="11" t="str">
        <f>IFERROR(__xludf.DUMMYFUNCTION("""COMPUTED_VALUE"""),"Other")</f>
        <v>Other</v>
      </c>
      <c r="G309" s="11" t="b">
        <f>IFERROR(__xludf.DUMMYFUNCTION("""COMPUTED_VALUE"""),FALSE)</f>
        <v>0</v>
      </c>
      <c r="H309" s="11" t="str">
        <f>IFERROR(__xludf.DUMMYFUNCTION("""COMPUTED_VALUE"""),"Baseplus DIGITAL MEDIA GmbH, morefire, Mediaplus Performance, MONSOON, KlickPiloten")</f>
        <v>Baseplus DIGITAL MEDIA GmbH, morefire, Mediaplus Performance, MONSOON, KlickPiloten</v>
      </c>
      <c r="I309" s="11">
        <f>IFERROR(__xludf.DUMMYFUNCTION("""COMPUTED_VALUE"""),2.0)</f>
        <v>2</v>
      </c>
      <c r="J309" s="11">
        <f>IFERROR(__xludf.DUMMYFUNCTION("""COMPUTED_VALUE"""),0.0)</f>
        <v>0</v>
      </c>
      <c r="K309" s="11">
        <f>IFERROR(__xludf.DUMMYFUNCTION("""COMPUTED_VALUE"""),1.0)</f>
        <v>1</v>
      </c>
      <c r="L309" s="11"/>
    </row>
    <row r="310" ht="15.75" customHeight="1">
      <c r="A310" s="8" t="str">
        <f>IFERROR(__xludf.DUMMYFUNCTION("""COMPUTED_VALUE"""),"https://agencies.semrush.com/list/marketing-strategy/germany/#:~:text=Mediaplus%20Performance%20GmbH%20%26%20Co%20KG,%2C%20programmatic%2C%20and%20conversion%20optimization.")</f>
        <v>https://agencies.semrush.com/list/marketing-strategy/germany/#:~:text=Mediaplus%20Performance%20GmbH%20%26%20Co%20KG,%2C%20programmatic%2C%20and%20conversion%20optimization.</v>
      </c>
      <c r="B310" s="11" t="str">
        <f>IFERROR(__xludf.DUMMYFUNCTION("""COMPUTED_VALUE"""),"Best Marketing Advice Companies in Germany 2026 | Semrush")</f>
        <v>Best Marketing Advice Companies in Germany 2026 | Semrush</v>
      </c>
      <c r="C310" s="8" t="str">
        <f>IFERROR(__xludf.DUMMYFUNCTION("""COMPUTED_VALUE"""),"semrush.com")</f>
        <v>semrush.com</v>
      </c>
      <c r="D310" s="11" t="str">
        <f>IFERROR(__xludf.DUMMYFUNCTION("""COMPUTED_VALUE"""),"OTHER")</f>
        <v>OTHER</v>
      </c>
      <c r="E310" s="11" t="str">
        <f>IFERROR(__xludf.DUMMYFUNCTION("""COMPUTED_VALUE"""),"CORPORATE")</f>
        <v>CORPORATE</v>
      </c>
      <c r="F310" s="11" t="str">
        <f>IFERROR(__xludf.DUMMYFUNCTION("""COMPUTED_VALUE"""),"Other")</f>
        <v>Other</v>
      </c>
      <c r="G310" s="11" t="b">
        <f>IFERROR(__xludf.DUMMYFUNCTION("""COMPUTED_VALUE"""),FALSE)</f>
        <v>0</v>
      </c>
      <c r="H310" s="11" t="str">
        <f>IFERROR(__xludf.DUMMYFUNCTION("""COMPUTED_VALUE"""),"HECHT INS GEFECHT, Baseplus DIGITAL MEDIA GmbH, morefire, Mediaplus Performance, Mediacharge, KlickPiloten")</f>
        <v>HECHT INS GEFECHT, Baseplus DIGITAL MEDIA GmbH, morefire, Mediaplus Performance, Mediacharge, KlickPiloten</v>
      </c>
      <c r="I310" s="11">
        <f>IFERROR(__xludf.DUMMYFUNCTION("""COMPUTED_VALUE"""),2.0)</f>
        <v>2</v>
      </c>
      <c r="J310" s="11">
        <f>IFERROR(__xludf.DUMMYFUNCTION("""COMPUTED_VALUE"""),0.0)</f>
        <v>0</v>
      </c>
      <c r="K310" s="11">
        <f>IFERROR(__xludf.DUMMYFUNCTION("""COMPUTED_VALUE"""),1.0)</f>
        <v>1</v>
      </c>
      <c r="L310" s="11"/>
    </row>
    <row r="311" ht="15.75" customHeight="1">
      <c r="A311" s="8" t="str">
        <f>IFERROR(__xludf.DUMMYFUNCTION("""COMPUTED_VALUE"""),"https://agenturjobs.de/beste-marketing-agenturen-deutschland-2026/")</f>
        <v>https://agenturjobs.de/beste-marketing-agenturen-deutschland-2026/</v>
      </c>
      <c r="B311" s="11" t="str">
        <f>IFERROR(__xludf.DUMMYFUNCTION("""COMPUTED_VALUE"""),"Beste Marketing Agenturen Deutschland: Top Rankings")</f>
        <v>Beste Marketing Agenturen Deutschland: Top Rankings</v>
      </c>
      <c r="C311" s="8" t="str">
        <f>IFERROR(__xludf.DUMMYFUNCTION("""COMPUTED_VALUE"""),"agenturjobs.de")</f>
        <v>agenturjobs.de</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IFERROR(__xludf.DUMMYFUNCTION("""COMPUTED_VALUE"""),"Claneo, eMinded GmbH, Serviceplan Group, Jung von Matt, Publicis Groupe, Scholz &amp; Friends")</f>
        <v>Claneo, eMinded GmbH, Serviceplan Group, Jung von Matt, Publicis Groupe, Scholz &amp; Friends</v>
      </c>
      <c r="I311" s="11">
        <f>IFERROR(__xludf.DUMMYFUNCTION("""COMPUTED_VALUE"""),2.0)</f>
        <v>2</v>
      </c>
      <c r="J311" s="11">
        <f>IFERROR(__xludf.DUMMYFUNCTION("""COMPUTED_VALUE"""),0.0)</f>
        <v>0</v>
      </c>
      <c r="K311" s="11">
        <f>IFERROR(__xludf.DUMMYFUNCTION("""COMPUTED_VALUE"""),2.0)</f>
        <v>2</v>
      </c>
      <c r="L311" s="11"/>
    </row>
    <row r="312" ht="15.75" customHeight="1">
      <c r="A312" s="8" t="str">
        <f>IFERROR(__xludf.DUMMYFUNCTION("""COMPUTED_VALUE"""),"https://www.ai-heroes.co/en-us/blog/best-ai-search-agencies-2026")</f>
        <v>https://www.ai-heroes.co/en-us/blog/best-ai-search-agencies-2026</v>
      </c>
      <c r="B312" s="11" t="str">
        <f>IFERROR(__xludf.DUMMYFUNCTION("""COMPUTED_VALUE"""),"Best AI Search Agencies 2026 (GEO and AEO) Compared | AI Heroes")</f>
        <v>Best AI Search Agencies 2026 (GEO and AEO) Compared | AI Heroes</v>
      </c>
      <c r="C312" s="8" t="str">
        <f>IFERROR(__xludf.DUMMYFUNCTION("""COMPUTED_VALUE"""),"ai-heroes.co")</f>
        <v>ai-heroes.co</v>
      </c>
      <c r="D312" s="11" t="str">
        <f>IFERROR(__xludf.DUMMYFUNCTION("""COMPUTED_VALUE"""),"LISTICLE")</f>
        <v>LISTICLE</v>
      </c>
      <c r="E312" s="11" t="str">
        <f>IFERROR(__xludf.DUMMYFUNCTION("""COMPUTED_VALUE"""),"CORPORATE")</f>
        <v>CORPORATE</v>
      </c>
      <c r="F312" s="11" t="str">
        <f>IFERROR(__xludf.DUMMYFUNCTION("""COMPUTED_VALUE"""),"Listicle")</f>
        <v>Listicle</v>
      </c>
      <c r="G312" s="11" t="b">
        <f>IFERROR(__xludf.DUMMYFUNCTION("""COMPUTED_VALUE"""),FALSE)</f>
        <v>0</v>
      </c>
      <c r="H312" s="11" t="str">
        <f>IFERROR(__xludf.DUMMYFUNCTION("""COMPUTED_VALUE"""),"NoGood, Omnius, Radyant, Single Grain, Measured")</f>
        <v>NoGood, Omnius, Radyant, Single Grain, Measured</v>
      </c>
      <c r="I312" s="11">
        <f>IFERROR(__xludf.DUMMYFUNCTION("""COMPUTED_VALUE"""),2.0)</f>
        <v>2</v>
      </c>
      <c r="J312" s="11">
        <f>IFERROR(__xludf.DUMMYFUNCTION("""COMPUTED_VALUE"""),0.0)</f>
        <v>0</v>
      </c>
      <c r="K312" s="11">
        <f>IFERROR(__xludf.DUMMYFUNCTION("""COMPUTED_VALUE"""),0.0)</f>
        <v>0</v>
      </c>
      <c r="L312" s="11"/>
    </row>
    <row r="313" ht="15.75" customHeight="1">
      <c r="A313" s="8" t="str">
        <f>IFERROR(__xludf.DUMMYFUNCTION("""COMPUTED_VALUE"""),"https://www.ayautomate.com/blog/best-ai-automation-agencies")</f>
        <v>https://www.ayautomate.com/blog/best-ai-automation-agencies</v>
      </c>
      <c r="B313" s="11" t="str">
        <f>IFERROR(__xludf.DUMMYFUNCTION("""COMPUTED_VALUE"""),"7 Best AI Automation Agencies (2026 Ranked)")</f>
        <v>7 Best AI Automation Agencies (2026 Ranked)</v>
      </c>
      <c r="C313" s="8" t="str">
        <f>IFERROR(__xludf.DUMMYFUNCTION("""COMPUTED_VALUE"""),"ayautomate.com")</f>
        <v>ayautomate.com</v>
      </c>
      <c r="D313" s="11" t="str">
        <f>IFERROR(__xludf.DUMMYFUNCTION("""COMPUTED_VALUE"""),"PROFILE")</f>
        <v>PROFILE</v>
      </c>
      <c r="E313" s="11" t="str">
        <f>IFERROR(__xludf.DUMMYFUNCTION("""COMPUTED_VALUE"""),"CORPORATE")</f>
        <v>CORPORATE</v>
      </c>
      <c r="F313" s="11" t="str">
        <f>IFERROR(__xludf.DUMMYFUNCTION("""COMPUTED_VALUE"""),"Profile")</f>
        <v>Profile</v>
      </c>
      <c r="G313" s="11" t="b">
        <f>IFERROR(__xludf.DUMMYFUNCTION("""COMPUTED_VALUE"""),FALSE)</f>
        <v>0</v>
      </c>
      <c r="H313" s="11" t="str">
        <f>IFERROR(__xludf.DUMMYFUNCTION("""COMPUTED_VALUE"""),"Pilot, Mindshare")</f>
        <v>Pilot, Mindshare</v>
      </c>
      <c r="I313" s="11">
        <f>IFERROR(__xludf.DUMMYFUNCTION("""COMPUTED_VALUE"""),2.0)</f>
        <v>2</v>
      </c>
      <c r="J313" s="11">
        <f>IFERROR(__xludf.DUMMYFUNCTION("""COMPUTED_VALUE"""),0.0)</f>
        <v>0</v>
      </c>
      <c r="K313" s="11">
        <f>IFERROR(__xludf.DUMMYFUNCTION("""COMPUTED_VALUE"""),0.5)</f>
        <v>0.5</v>
      </c>
      <c r="L313" s="11"/>
    </row>
    <row r="314" ht="15.75" customHeight="1">
      <c r="A314" s="8" t="str">
        <f>IFERROR(__xludf.DUMMYFUNCTION("""COMPUTED_VALUE"""),"https://betteranswer.ai/blogs/best-aeo-agencies")</f>
        <v>https://betteranswer.ai/blogs/best-aeo-agencies</v>
      </c>
      <c r="B314" s="11" t="str">
        <f>IFERROR(__xludf.DUMMYFUNCTION("""COMPUTED_VALUE"""),"Best AEO Agencies")</f>
        <v>Best AEO Agencies</v>
      </c>
      <c r="C314" s="8" t="str">
        <f>IFERROR(__xludf.DUMMYFUNCTION("""COMPUTED_VALUE"""),"betteranswer.ai")</f>
        <v>betteranswer.ai</v>
      </c>
      <c r="D314" s="11" t="str">
        <f>IFERROR(__xludf.DUMMYFUNCTION("""COMPUTED_VALUE"""),"LISTICLE")</f>
        <v>LISTICLE</v>
      </c>
      <c r="E314" s="11" t="str">
        <f>IFERROR(__xludf.DUMMYFUNCTION("""COMPUTED_VALUE"""),"CORPORATE")</f>
        <v>CORPORATE</v>
      </c>
      <c r="F314" s="11" t="str">
        <f>IFERROR(__xludf.DUMMYFUNCTION("""COMPUTED_VALUE"""),"Listicle")</f>
        <v>Listicle</v>
      </c>
      <c r="G314" s="11" t="b">
        <f>IFERROR(__xludf.DUMMYFUNCTION("""COMPUTED_VALUE"""),FALSE)</f>
        <v>0</v>
      </c>
      <c r="H314" s="11"/>
      <c r="I314" s="11">
        <f>IFERROR(__xludf.DUMMYFUNCTION("""COMPUTED_VALUE"""),2.0)</f>
        <v>2</v>
      </c>
      <c r="J314" s="11">
        <f>IFERROR(__xludf.DUMMYFUNCTION("""COMPUTED_VALUE"""),0.0)</f>
        <v>0</v>
      </c>
      <c r="K314" s="11">
        <f>IFERROR(__xludf.DUMMYFUNCTION("""COMPUTED_VALUE"""),1.0)</f>
        <v>1</v>
      </c>
      <c r="L314" s="11"/>
    </row>
    <row r="315" ht="15.75" customHeight="1">
      <c r="A315" s="8" t="str">
        <f>IFERROR(__xludf.DUMMYFUNCTION("""COMPUTED_VALUE"""),"https://www.bonanza-studios.com/blog/10-best-branding-agencies-in-berlin-to-look-for-in-2025")</f>
        <v>https://www.bonanza-studios.com/blog/10-best-branding-agencies-in-berlin-to-look-for-in-2025</v>
      </c>
      <c r="B315" s="11" t="str">
        <f>IFERROR(__xludf.DUMMYFUNCTION("""COMPUTED_VALUE"""),"10 Best Branding Agencies in Berlin to Look for in 2025")</f>
        <v>10 Best Branding Agencies in Berlin to Look for in 2025</v>
      </c>
      <c r="C315" s="8" t="str">
        <f>IFERROR(__xludf.DUMMYFUNCTION("""COMPUTED_VALUE"""),"bonanza-studios.com")</f>
        <v>bonanza-studios.com</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t="str">
        <f>IFERROR(__xludf.DUMMYFUNCTION("""COMPUTED_VALUE"""),"MetaDesign, Measured, HY.AM STUDIOS, lehof")</f>
        <v>MetaDesign, Measured, HY.AM STUDIOS, lehof</v>
      </c>
      <c r="I315" s="11">
        <f>IFERROR(__xludf.DUMMYFUNCTION("""COMPUTED_VALUE"""),2.0)</f>
        <v>2</v>
      </c>
      <c r="J315" s="11">
        <f>IFERROR(__xludf.DUMMYFUNCTION("""COMPUTED_VALUE"""),0.0)</f>
        <v>0</v>
      </c>
      <c r="K315" s="11">
        <f>IFERROR(__xludf.DUMMYFUNCTION("""COMPUTED_VALUE"""),0.0)</f>
        <v>0</v>
      </c>
      <c r="L315" s="11"/>
    </row>
    <row r="316" ht="15.75" customHeight="1">
      <c r="A316" s="8" t="str">
        <f>IFERROR(__xludf.DUMMYFUNCTION("""COMPUTED_VALUE"""),"https://cabinco.com/best-ai-consulting-firms/")</f>
        <v>https://cabinco.com/best-ai-consulting-firms/</v>
      </c>
      <c r="B316" s="11" t="str">
        <f>IFERROR(__xludf.DUMMYFUNCTION("""COMPUTED_VALUE"""),"Best AI Consulting Firms 2026: Giants vs Boutiques")</f>
        <v>Best AI Consulting Firms 2026: Giants vs Boutiques</v>
      </c>
      <c r="C316" s="8" t="str">
        <f>IFERROR(__xludf.DUMMYFUNCTION("""COMPUTED_VALUE"""),"cabinco.com")</f>
        <v>cabinco.com</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t="str">
        <f>IFERROR(__xludf.DUMMYFUNCTION("""COMPUTED_VALUE"""),"McKinsey &amp; Company, BCG, PwC, EY")</f>
        <v>McKinsey &amp; Company, BCG, PwC, EY</v>
      </c>
      <c r="I316" s="11">
        <f>IFERROR(__xludf.DUMMYFUNCTION("""COMPUTED_VALUE"""),2.0)</f>
        <v>2</v>
      </c>
      <c r="J316" s="11">
        <f>IFERROR(__xludf.DUMMYFUNCTION("""COMPUTED_VALUE"""),0.0)</f>
        <v>0</v>
      </c>
      <c r="K316" s="11">
        <f>IFERROR(__xludf.DUMMYFUNCTION("""COMPUTED_VALUE"""),1.0)</f>
        <v>1</v>
      </c>
      <c r="L316" s="11"/>
    </row>
    <row r="317" ht="15.75" customHeight="1">
      <c r="A317" s="8" t="str">
        <f>IFERROR(__xludf.DUMMYFUNCTION("""COMPUTED_VALUE"""),"https://www.capterra.com.de/directory/31081/marketing-attribution/software")</f>
        <v>https://www.capterra.com.de/directory/31081/marketing-attribution/software</v>
      </c>
      <c r="B317" s="11" t="str">
        <f>IFERROR(__xludf.DUMMYFUNCTION("""COMPUTED_VALUE"""),"Marketing Attribution Software Preisvergleich &amp; Top Anbieter - Capterra Deutschland 2026")</f>
        <v>Marketing Attribution Software Preisvergleich &amp; Top Anbieter - Capterra Deutschland 2026</v>
      </c>
      <c r="C317" s="8" t="str">
        <f>IFERROR(__xludf.DUMMYFUNCTION("""COMPUTED_VALUE"""),"com.de")</f>
        <v>com.de</v>
      </c>
      <c r="D317" s="11" t="str">
        <f>IFERROR(__xludf.DUMMYFUNCTION("""COMPUTED_VALUE"""),"CATEGORY_PAGE")</f>
        <v>CATEGORY_PAGE</v>
      </c>
      <c r="E317" s="11" t="str">
        <f>IFERROR(__xludf.DUMMYFUNCTION("""COMPUTED_VALUE"""),"OTHER")</f>
        <v>OTHER</v>
      </c>
      <c r="F317" s="11" t="str">
        <f>IFERROR(__xludf.DUMMYFUNCTION("""COMPUTED_VALUE"""),"Category Page")</f>
        <v>Category Page</v>
      </c>
      <c r="G317" s="11" t="b">
        <f>IFERROR(__xludf.DUMMYFUNCTION("""COMPUTED_VALUE"""),FALSE)</f>
        <v>0</v>
      </c>
      <c r="H317" s="11" t="str">
        <f>IFERROR(__xludf.DUMMYFUNCTION("""COMPUTED_VALUE"""),"Dreamdata")</f>
        <v>Dreamdata</v>
      </c>
      <c r="I317" s="11">
        <f>IFERROR(__xludf.DUMMYFUNCTION("""COMPUTED_VALUE"""),2.0)</f>
        <v>2</v>
      </c>
      <c r="J317" s="11">
        <f>IFERROR(__xludf.DUMMYFUNCTION("""COMPUTED_VALUE"""),0.0)</f>
        <v>0</v>
      </c>
      <c r="K317" s="11">
        <f>IFERROR(__xludf.DUMMYFUNCTION("""COMPUTED_VALUE"""),0.0)</f>
        <v>0</v>
      </c>
      <c r="L317" s="11"/>
    </row>
    <row r="318" ht="15.75" customHeight="1">
      <c r="A318" s="8" t="str">
        <f>IFERROR(__xludf.DUMMYFUNCTION("""COMPUTED_VALUE"""),"https://clicksgeek.com/best-roi-digital-marketing-agencies/")</f>
        <v>https://clicksgeek.com/best-roi-digital-marketing-agencies/</v>
      </c>
      <c r="B318" s="11" t="str">
        <f>IFERROR(__xludf.DUMMYFUNCTION("""COMPUTED_VALUE"""),"Best ROI Digital Marketing Agencies: Expert Guide 2026")</f>
        <v>Best ROI Digital Marketing Agencies: Expert Guide 2026</v>
      </c>
      <c r="C318" s="8" t="str">
        <f>IFERROR(__xludf.DUMMYFUNCTION("""COMPUTED_VALUE"""),"clicksgeek.com")</f>
        <v>clicksgeek.com</v>
      </c>
      <c r="D318" s="11" t="str">
        <f>IFERROR(__xludf.DUMMYFUNCTION("""COMPUTED_VALUE"""),"LISTICLE")</f>
        <v>LISTICLE</v>
      </c>
      <c r="E318" s="11" t="str">
        <f>IFERROR(__xludf.DUMMYFUNCTION("""COMPUTED_VALUE"""),"CORPORATE")</f>
        <v>CORPORATE</v>
      </c>
      <c r="F318" s="11" t="str">
        <f>IFERROR(__xludf.DUMMYFUNCTION("""COMPUTED_VALUE"""),"Listicle")</f>
        <v>Listicle</v>
      </c>
      <c r="G318" s="11" t="b">
        <f>IFERROR(__xludf.DUMMYFUNCTION("""COMPUTED_VALUE"""),FALSE)</f>
        <v>0</v>
      </c>
      <c r="H318" s="11"/>
      <c r="I318" s="11">
        <f>IFERROR(__xludf.DUMMYFUNCTION("""COMPUTED_VALUE"""),2.0)</f>
        <v>2</v>
      </c>
      <c r="J318" s="11">
        <f>IFERROR(__xludf.DUMMYFUNCTION("""COMPUTED_VALUE"""),0.0)</f>
        <v>0</v>
      </c>
      <c r="K318" s="11">
        <f>IFERROR(__xludf.DUMMYFUNCTION("""COMPUTED_VALUE"""),0.5)</f>
        <v>0.5</v>
      </c>
      <c r="L318" s="11"/>
    </row>
    <row r="319" ht="15.75" customHeight="1">
      <c r="A319" s="8" t="str">
        <f>IFERROR(__xludf.DUMMYFUNCTION("""COMPUTED_VALUE"""),"https://clicksgeek.com/best-roi-focused-marketing-agencies/")</f>
        <v>https://clicksgeek.com/best-roi-focused-marketing-agencies/</v>
      </c>
      <c r="B319" s="11" t="str">
        <f>IFERROR(__xludf.DUMMYFUNCTION("""COMPUTED_VALUE"""),"Best ROI Focused Marketing Agencies: 2026 Guide &amp;amp; Tips")</f>
        <v>Best ROI Focused Marketing Agencies: 2026 Guide &amp;amp; Tips</v>
      </c>
      <c r="C319" s="8" t="str">
        <f>IFERROR(__xludf.DUMMYFUNCTION("""COMPUTED_VALUE"""),"clicksgeek.com")</f>
        <v>clicksgeek.com</v>
      </c>
      <c r="D319" s="11" t="str">
        <f>IFERROR(__xludf.DUMMYFUNCTION("""COMPUTED_VALUE"""),"LISTICLE")</f>
        <v>LISTICLE</v>
      </c>
      <c r="E319" s="11" t="str">
        <f>IFERROR(__xludf.DUMMYFUNCTION("""COMPUTED_VALUE"""),"CORPORATE")</f>
        <v>CORPORATE</v>
      </c>
      <c r="F319" s="11" t="str">
        <f>IFERROR(__xludf.DUMMYFUNCTION("""COMPUTED_VALUE"""),"Listicle")</f>
        <v>Listicle</v>
      </c>
      <c r="G319" s="11" t="b">
        <f>IFERROR(__xludf.DUMMYFUNCTION("""COMPUTED_VALUE"""),FALSE)</f>
        <v>0</v>
      </c>
      <c r="H319" s="11" t="str">
        <f>IFERROR(__xludf.DUMMYFUNCTION("""COMPUTED_VALUE"""),"Momentum")</f>
        <v>Momentum</v>
      </c>
      <c r="I319" s="11">
        <f>IFERROR(__xludf.DUMMYFUNCTION("""COMPUTED_VALUE"""),2.0)</f>
        <v>2</v>
      </c>
      <c r="J319" s="11">
        <f>IFERROR(__xludf.DUMMYFUNCTION("""COMPUTED_VALUE"""),0.0)</f>
        <v>0</v>
      </c>
      <c r="K319" s="11">
        <f>IFERROR(__xludf.DUMMYFUNCTION("""COMPUTED_VALUE"""),0.5)</f>
        <v>0.5</v>
      </c>
      <c r="L319" s="11"/>
    </row>
    <row r="320" ht="15.75" customHeight="1">
      <c r="A320" s="8" t="str">
        <f>IFERROR(__xludf.DUMMYFUNCTION("""COMPUTED_VALUE"""),"https://clutch.co/de/agencies/digital-marketing/ecommerce-industry/berlin")</f>
        <v>https://clutch.co/de/agencies/digital-marketing/ecommerce-industry/berlin</v>
      </c>
      <c r="B320" s="11" t="str">
        <f>IFERROR(__xludf.DUMMYFUNCTION("""COMPUTED_VALUE"""),"Top Digital Marketing Agencies for E-Commerce Businesses in Berlin - Jul 2026 Rankings | Clutch.co")</f>
        <v>Top Digital Marketing Agencies for E-Commerce Businesses in Berlin - Jul 2026 Rankings | Clutch.co</v>
      </c>
      <c r="C320" s="8" t="str">
        <f>IFERROR(__xludf.DUMMYFUNCTION("""COMPUTED_VALUE"""),"clutch.co")</f>
        <v>clutch.co</v>
      </c>
      <c r="D320" s="11" t="str">
        <f>IFERROR(__xludf.DUMMYFUNCTION("""COMPUTED_VALUE"""),"CATEGORY_PAGE")</f>
        <v>CATEGORY_PAGE</v>
      </c>
      <c r="E320" s="11" t="str">
        <f>IFERROR(__xludf.DUMMYFUNCTION("""COMPUTED_VALUE"""),"CORPORATE")</f>
        <v>CORPORATE</v>
      </c>
      <c r="F320" s="11" t="str">
        <f>IFERROR(__xludf.DUMMYFUNCTION("""COMPUTED_VALUE"""),"Category Page")</f>
        <v>Category Page</v>
      </c>
      <c r="G320" s="11" t="b">
        <f>IFERROR(__xludf.DUMMYFUNCTION("""COMPUTED_VALUE"""),FALSE)</f>
        <v>0</v>
      </c>
      <c r="H320" s="11" t="str">
        <f>IFERROR(__xludf.DUMMYFUNCTION("""COMPUTED_VALUE"""),"MONSOON, Mediacharge, REPLUG, Claneo, Admiral Media, HY.AM STUDIOS, Peak Ace, Medialabel")</f>
        <v>MONSOON, Mediacharge, REPLUG, Claneo, Admiral Media, HY.AM STUDIOS, Peak Ace, Medialabel</v>
      </c>
      <c r="I320" s="11">
        <f>IFERROR(__xludf.DUMMYFUNCTION("""COMPUTED_VALUE"""),2.0)</f>
        <v>2</v>
      </c>
      <c r="J320" s="11">
        <f>IFERROR(__xludf.DUMMYFUNCTION("""COMPUTED_VALUE"""),0.0)</f>
        <v>0</v>
      </c>
      <c r="K320" s="11">
        <f>IFERROR(__xludf.DUMMYFUNCTION("""COMPUTED_VALUE"""),1.0)</f>
        <v>1</v>
      </c>
      <c r="L320" s="11"/>
    </row>
    <row r="321" ht="15.75" customHeight="1">
      <c r="A321" s="8" t="str">
        <f>IFERROR(__xludf.DUMMYFUNCTION("""COMPUTED_VALUE"""),"https://clutch.co/de/agencies/digital-marketing/munich")</f>
        <v>https://clutch.co/de/agencies/digital-marketing/munich</v>
      </c>
      <c r="B321" s="11" t="str">
        <f>IFERROR(__xludf.DUMMYFUNCTION("""COMPUTED_VALUE"""),"Top Digital Marketing Agencies in Munich - Jul 2026 Rankings \| Clutch.co")</f>
        <v>Top Digital Marketing Agencies in Munich - Jul 2026 Rankings \| Clutch.co</v>
      </c>
      <c r="C321" s="8" t="str">
        <f>IFERROR(__xludf.DUMMYFUNCTION("""COMPUTED_VALUE"""),"clutch.co")</f>
        <v>clutch.co</v>
      </c>
      <c r="D321" s="11" t="str">
        <f>IFERROR(__xludf.DUMMYFUNCTION("""COMPUTED_VALUE"""),"CATEGORY_PAGE")</f>
        <v>CATEGORY_PAGE</v>
      </c>
      <c r="E321" s="11" t="str">
        <f>IFERROR(__xludf.DUMMYFUNCTION("""COMPUTED_VALUE"""),"CORPORATE")</f>
        <v>CORPORATE</v>
      </c>
      <c r="F321" s="11" t="str">
        <f>IFERROR(__xludf.DUMMYFUNCTION("""COMPUTED_VALUE"""),"Category Page")</f>
        <v>Category Page</v>
      </c>
      <c r="G321" s="11" t="b">
        <f>IFERROR(__xludf.DUMMYFUNCTION("""COMPUTED_VALUE"""),FALSE)</f>
        <v>0</v>
      </c>
      <c r="H321" s="11" t="str">
        <f>IFERROR(__xludf.DUMMYFUNCTION("""COMPUTED_VALUE"""),"MONSOON, Mediacharge, eMinded GmbH, GroupM, WeLikeWeb GmbH")</f>
        <v>MONSOON, Mediacharge, eMinded GmbH, GroupM, WeLikeWeb GmbH</v>
      </c>
      <c r="I321" s="11">
        <f>IFERROR(__xludf.DUMMYFUNCTION("""COMPUTED_VALUE"""),2.0)</f>
        <v>2</v>
      </c>
      <c r="J321" s="11">
        <f>IFERROR(__xludf.DUMMYFUNCTION("""COMPUTED_VALUE"""),0.0)</f>
        <v>0</v>
      </c>
      <c r="K321" s="11">
        <f>IFERROR(__xludf.DUMMYFUNCTION("""COMPUTED_VALUE"""),1.0)</f>
        <v>1</v>
      </c>
      <c r="L321" s="11"/>
    </row>
    <row r="322" ht="15.75" customHeight="1">
      <c r="A322" s="8" t="str">
        <f>IFERROR(__xludf.DUMMYFUNCTION("""COMPUTED_VALUE"""),"https://clutch.co/de/agencies/social-media-marketing/tik-tok")</f>
        <v>https://clutch.co/de/agencies/social-media-marketing/tik-tok</v>
      </c>
      <c r="B322" s="11" t="str">
        <f>IFERROR(__xludf.DUMMYFUNCTION("""COMPUTED_VALUE"""),"Top TikTok Advertising Agencies in Germany - Jul 2026 Rankings | Clutch.co")</f>
        <v>Top TikTok Advertising Agencies in Germany - Jul 2026 Rankings | Clutch.co</v>
      </c>
      <c r="C322" s="8" t="str">
        <f>IFERROR(__xludf.DUMMYFUNCTION("""COMPUTED_VALUE"""),"clutch.co")</f>
        <v>clutch.co</v>
      </c>
      <c r="D322" s="11" t="str">
        <f>IFERROR(__xludf.DUMMYFUNCTION("""COMPUTED_VALUE"""),"CATEGORY_PAGE")</f>
        <v>CATEGORY_PAGE</v>
      </c>
      <c r="E322" s="11" t="str">
        <f>IFERROR(__xludf.DUMMYFUNCTION("""COMPUTED_VALUE"""),"CORPORATE")</f>
        <v>CORPORATE</v>
      </c>
      <c r="F322" s="11" t="str">
        <f>IFERROR(__xludf.DUMMYFUNCTION("""COMPUTED_VALUE"""),"Category Page")</f>
        <v>Category Page</v>
      </c>
      <c r="G322" s="11" t="b">
        <f>IFERROR(__xludf.DUMMYFUNCTION("""COMPUTED_VALUE"""),FALSE)</f>
        <v>0</v>
      </c>
      <c r="H322" s="11" t="str">
        <f>IFERROR(__xludf.DUMMYFUNCTION("""COMPUTED_VALUE"""),"MONSOON, HY.AM STUDIOS, Pulse Advertising, Medialabel")</f>
        <v>MONSOON, HY.AM STUDIOS, Pulse Advertising, Medialabel</v>
      </c>
      <c r="I322" s="11">
        <f>IFERROR(__xludf.DUMMYFUNCTION("""COMPUTED_VALUE"""),2.0)</f>
        <v>2</v>
      </c>
      <c r="J322" s="11">
        <f>IFERROR(__xludf.DUMMYFUNCTION("""COMPUTED_VALUE"""),0.0)</f>
        <v>0</v>
      </c>
      <c r="K322" s="11">
        <f>IFERROR(__xludf.DUMMYFUNCTION("""COMPUTED_VALUE"""),0.0)</f>
        <v>0</v>
      </c>
      <c r="L322" s="11"/>
    </row>
    <row r="323" ht="15.75" customHeight="1">
      <c r="A323" s="8" t="str">
        <f>IFERROR(__xludf.DUMMYFUNCTION("""COMPUTED_VALUE"""),"https://clutch.co/de/it-services/analytics")</f>
        <v>https://clutch.co/de/it-services/analytics</v>
      </c>
      <c r="B323" s="11" t="str">
        <f>IFERROR(__xludf.DUMMYFUNCTION("""COMPUTED_VALUE"""),"Top Big Data Analytics Companies in Germany - Jul 2026 Rankings \| Clutch.co")</f>
        <v>Top Big Data Analytics Companies in Germany - Jul 2026 Rankings \| Clutch.co</v>
      </c>
      <c r="C323" s="8" t="str">
        <f>IFERROR(__xludf.DUMMYFUNCTION("""COMPUTED_VALUE"""),"clutch.co")</f>
        <v>clutch.co</v>
      </c>
      <c r="D323" s="11" t="str">
        <f>IFERROR(__xludf.DUMMYFUNCTION("""COMPUTED_VALUE"""),"CATEGORY_PAGE")</f>
        <v>CATEGORY_PAGE</v>
      </c>
      <c r="E323" s="11" t="str">
        <f>IFERROR(__xludf.DUMMYFUNCTION("""COMPUTED_VALUE"""),"CORPORATE")</f>
        <v>CORPORATE</v>
      </c>
      <c r="F323" s="11" t="str">
        <f>IFERROR(__xludf.DUMMYFUNCTION("""COMPUTED_VALUE"""),"Category Page")</f>
        <v>Category Page</v>
      </c>
      <c r="G323" s="11" t="b">
        <f>IFERROR(__xludf.DUMMYFUNCTION("""COMPUTED_VALUE"""),FALSE)</f>
        <v>0</v>
      </c>
      <c r="H323" s="11"/>
      <c r="I323" s="11">
        <f>IFERROR(__xludf.DUMMYFUNCTION("""COMPUTED_VALUE"""),2.0)</f>
        <v>2</v>
      </c>
      <c r="J323" s="11">
        <f>IFERROR(__xludf.DUMMYFUNCTION("""COMPUTED_VALUE"""),0.0)</f>
        <v>0</v>
      </c>
      <c r="K323" s="11">
        <f>IFERROR(__xludf.DUMMYFUNCTION("""COMPUTED_VALUE"""),1.0)</f>
        <v>1</v>
      </c>
      <c r="L323" s="11"/>
    </row>
    <row r="324" ht="15.75" customHeight="1">
      <c r="A324" s="8" t="str">
        <f>IFERROR(__xludf.DUMMYFUNCTION("""COMPUTED_VALUE"""),"https://www.cometly.com/post/marketing-attribution-tools-for-agencies")</f>
        <v>https://www.cometly.com/post/marketing-attribution-tools-for-agencies</v>
      </c>
      <c r="B324" s="11" t="str">
        <f>IFERROR(__xludf.DUMMYFUNCTION("""COMPUTED_VALUE"""),"Best Marketing Attribution Tools For Agencies 2026")</f>
        <v>Best Marketing Attribution Tools For Agencies 2026</v>
      </c>
      <c r="C324" s="8" t="str">
        <f>IFERROR(__xludf.DUMMYFUNCTION("""COMPUTED_VALUE"""),"cometly.com")</f>
        <v>cometly.com</v>
      </c>
      <c r="D324" s="11" t="str">
        <f>IFERROR(__xludf.DUMMYFUNCTION("""COMPUTED_VALUE"""),"LISTICLE")</f>
        <v>LISTICLE</v>
      </c>
      <c r="E324" s="11" t="str">
        <f>IFERROR(__xludf.DUMMYFUNCTION("""COMPUTED_VALUE"""),"COMPETITOR")</f>
        <v>COMPETITOR</v>
      </c>
      <c r="F324" s="11" t="str">
        <f>IFERROR(__xludf.DUMMYFUNCTION("""COMPUTED_VALUE"""),"Listicle")</f>
        <v>Listicle</v>
      </c>
      <c r="G324" s="11" t="b">
        <f>IFERROR(__xludf.DUMMYFUNCTION("""COMPUTED_VALUE"""),FALSE)</f>
        <v>0</v>
      </c>
      <c r="H324" s="11" t="str">
        <f>IFERROR(__xludf.DUMMYFUNCTION("""COMPUTED_VALUE"""),"Cometly, Triple Whale, Northbeam, Rockerbox, Ruler Analytics")</f>
        <v>Cometly, Triple Whale, Northbeam, Rockerbox, Ruler Analytics</v>
      </c>
      <c r="I324" s="11">
        <f>IFERROR(__xludf.DUMMYFUNCTION("""COMPUTED_VALUE"""),2.0)</f>
        <v>2</v>
      </c>
      <c r="J324" s="11">
        <f>IFERROR(__xludf.DUMMYFUNCTION("""COMPUTED_VALUE"""),0.0)</f>
        <v>0</v>
      </c>
      <c r="K324" s="11">
        <f>IFERROR(__xludf.DUMMYFUNCTION("""COMPUTED_VALUE"""),0.0)</f>
        <v>0</v>
      </c>
      <c r="L324" s="11"/>
    </row>
    <row r="325" ht="15.75" customHeight="1">
      <c r="A325" s="8" t="str">
        <f>IFERROR(__xludf.DUMMYFUNCTION("""COMPUTED_VALUE"""),"https://digitalagencynetwork.com/agencies/berlin/creative/")</f>
        <v>https://digitalagencynetwork.com/agencies/berlin/creative/</v>
      </c>
      <c r="B325" s="11" t="str">
        <f>IFERROR(__xludf.DUMMYFUNCTION("""COMPUTED_VALUE"""),"Top Creative Agencies in Berlin (2026)")</f>
        <v>Top Creative Agencies in Berlin (2026)</v>
      </c>
      <c r="C325" s="8" t="str">
        <f>IFERROR(__xludf.DUMMYFUNCTION("""COMPUTED_VALUE"""),"digitalagencynetwork.com")</f>
        <v>digitalagencynetwork.com</v>
      </c>
      <c r="D325" s="11" t="str">
        <f>IFERROR(__xludf.DUMMYFUNCTION("""COMPUTED_VALUE"""),"CATEGORY_PAGE")</f>
        <v>CATEGORY_PAGE</v>
      </c>
      <c r="E325" s="11" t="str">
        <f>IFERROR(__xludf.DUMMYFUNCTION("""COMPUTED_VALUE"""),"REFERENCE")</f>
        <v>REFERENCE</v>
      </c>
      <c r="F325" s="11" t="str">
        <f>IFERROR(__xludf.DUMMYFUNCTION("""COMPUTED_VALUE"""),"Category Page")</f>
        <v>Category Page</v>
      </c>
      <c r="G325" s="11" t="b">
        <f>IFERROR(__xludf.DUMMYFUNCTION("""COMPUTED_VALUE"""),FALSE)</f>
        <v>0</v>
      </c>
      <c r="H325" s="11" t="str">
        <f>IFERROR(__xludf.DUMMYFUNCTION("""COMPUTED_VALUE"""),"PANORAMA3000, HY.AM STUDIOS")</f>
        <v>PANORAMA3000, HY.AM STUDIOS</v>
      </c>
      <c r="I325" s="11">
        <f>IFERROR(__xludf.DUMMYFUNCTION("""COMPUTED_VALUE"""),2.0)</f>
        <v>2</v>
      </c>
      <c r="J325" s="11">
        <f>IFERROR(__xludf.DUMMYFUNCTION("""COMPUTED_VALUE"""),0.0)</f>
        <v>0</v>
      </c>
      <c r="K325" s="11">
        <f>IFERROR(__xludf.DUMMYFUNCTION("""COMPUTED_VALUE"""),0.5)</f>
        <v>0.5</v>
      </c>
      <c r="L325" s="11"/>
    </row>
    <row r="326" ht="15.75" customHeight="1">
      <c r="A326" s="8" t="str">
        <f>IFERROR(__xludf.DUMMYFUNCTION("""COMPUTED_VALUE"""),"https://digitalagencynetwork.com/agencies/berlin/geo/")</f>
        <v>https://digitalagencynetwork.com/agencies/berlin/geo/</v>
      </c>
      <c r="B326" s="11" t="str">
        <f>IFERROR(__xludf.DUMMYFUNCTION("""COMPUTED_VALUE"""),"Top GEO Agencies in Berlin for Generative Engine Optimization (2026)")</f>
        <v>Top GEO Agencies in Berlin for Generative Engine Optimization (2026)</v>
      </c>
      <c r="C326" s="8" t="str">
        <f>IFERROR(__xludf.DUMMYFUNCTION("""COMPUTED_VALUE"""),"digitalagencynetwork.com")</f>
        <v>digitalagencynetwork.com</v>
      </c>
      <c r="D326" s="11" t="str">
        <f>IFERROR(__xludf.DUMMYFUNCTION("""COMPUTED_VALUE"""),"PROFILE")</f>
        <v>PROFILE</v>
      </c>
      <c r="E326" s="11" t="str">
        <f>IFERROR(__xludf.DUMMYFUNCTION("""COMPUTED_VALUE"""),"REFERENCE")</f>
        <v>REFERENCE</v>
      </c>
      <c r="F326" s="11" t="str">
        <f>IFERROR(__xludf.DUMMYFUNCTION("""COMPUTED_VALUE"""),"Profile")</f>
        <v>Profile</v>
      </c>
      <c r="G326" s="11" t="b">
        <f>IFERROR(__xludf.DUMMYFUNCTION("""COMPUTED_VALUE"""),FALSE)</f>
        <v>0</v>
      </c>
      <c r="H326" s="11"/>
      <c r="I326" s="11">
        <f>IFERROR(__xludf.DUMMYFUNCTION("""COMPUTED_VALUE"""),2.0)</f>
        <v>2</v>
      </c>
      <c r="J326" s="11">
        <f>IFERROR(__xludf.DUMMYFUNCTION("""COMPUTED_VALUE"""),0.0)</f>
        <v>0</v>
      </c>
      <c r="K326" s="11">
        <f>IFERROR(__xludf.DUMMYFUNCTION("""COMPUTED_VALUE"""),0.5)</f>
        <v>0.5</v>
      </c>
      <c r="L326" s="11"/>
    </row>
    <row r="327" ht="15.75" customHeight="1">
      <c r="A327" s="8" t="str">
        <f>IFERROR(__xludf.DUMMYFUNCTION("""COMPUTED_VALUE"""),"https://digitalagencynetwork.com/agencies/usa/ai-marketing/")</f>
        <v>https://digitalagencynetwork.com/agencies/usa/ai-marketing/</v>
      </c>
      <c r="B327" s="11" t="str">
        <f>IFERROR(__xludf.DUMMYFUNCTION("""COMPUTED_VALUE"""),"Top AI Marketing Agencies in USA (2026)")</f>
        <v>Top AI Marketing Agencies in USA (2026)</v>
      </c>
      <c r="C327" s="8" t="str">
        <f>IFERROR(__xludf.DUMMYFUNCTION("""COMPUTED_VALUE"""),"digitalagencynetwork.com")</f>
        <v>digitalagencynetwork.com</v>
      </c>
      <c r="D327" s="11" t="str">
        <f>IFERROR(__xludf.DUMMYFUNCTION("""COMPUTED_VALUE"""),"PROFILE")</f>
        <v>PROFILE</v>
      </c>
      <c r="E327" s="11" t="str">
        <f>IFERROR(__xludf.DUMMYFUNCTION("""COMPUTED_VALUE"""),"REFERENCE")</f>
        <v>REFERENCE</v>
      </c>
      <c r="F327" s="11" t="str">
        <f>IFERROR(__xludf.DUMMYFUNCTION("""COMPUTED_VALUE"""),"Profile")</f>
        <v>Profile</v>
      </c>
      <c r="G327" s="11" t="b">
        <f>IFERROR(__xludf.DUMMYFUNCTION("""COMPUTED_VALUE"""),FALSE)</f>
        <v>0</v>
      </c>
      <c r="H327" s="11" t="str">
        <f>IFERROR(__xludf.DUMMYFUNCTION("""COMPUTED_VALUE"""),"NoGood, SmartSites, Boston Consulting Group")</f>
        <v>NoGood, SmartSites, Boston Consulting Group</v>
      </c>
      <c r="I327" s="11">
        <f>IFERROR(__xludf.DUMMYFUNCTION("""COMPUTED_VALUE"""),2.0)</f>
        <v>2</v>
      </c>
      <c r="J327" s="11">
        <f>IFERROR(__xludf.DUMMYFUNCTION("""COMPUTED_VALUE"""),0.0)</f>
        <v>0</v>
      </c>
      <c r="K327" s="11">
        <f>IFERROR(__xludf.DUMMYFUNCTION("""COMPUTED_VALUE"""),0.0)</f>
        <v>0</v>
      </c>
      <c r="L327" s="11"/>
    </row>
    <row r="328" ht="15.75" customHeight="1">
      <c r="A328" s="8" t="str">
        <f>IFERROR(__xludf.DUMMYFUNCTION("""COMPUTED_VALUE"""),"https://directiveconsulting.com/blog/25-best-advertising-agencies-built-for-media-momentum/")</f>
        <v>https://directiveconsulting.com/blog/25-best-advertising-agencies-built-for-media-momentum/</v>
      </c>
      <c r="B328" s="11" t="str">
        <f>IFERROR(__xludf.DUMMYFUNCTION("""COMPUTED_VALUE"""),"25 Best Advertising Agencies For B2B - Directive")</f>
        <v>25 Best Advertising Agencies For B2B - Directive</v>
      </c>
      <c r="C328" s="8" t="str">
        <f>IFERROR(__xludf.DUMMYFUNCTION("""COMPUTED_VALUE"""),"directiveconsulting.com")</f>
        <v>directiveconsulting.com</v>
      </c>
      <c r="D328" s="11" t="str">
        <f>IFERROR(__xludf.DUMMYFUNCTION("""COMPUTED_VALUE"""),"LISTICLE")</f>
        <v>LISTICLE</v>
      </c>
      <c r="E328" s="11" t="str">
        <f>IFERROR(__xludf.DUMMYFUNCTION("""COMPUTED_VALUE"""),"COMPETITOR")</f>
        <v>COMPETITOR</v>
      </c>
      <c r="F328" s="11" t="str">
        <f>IFERROR(__xludf.DUMMYFUNCTION("""COMPUTED_VALUE"""),"Listicle")</f>
        <v>Listicle</v>
      </c>
      <c r="G328" s="11" t="b">
        <f>IFERROR(__xludf.DUMMYFUNCTION("""COMPUTED_VALUE"""),FALSE)</f>
        <v>0</v>
      </c>
      <c r="H328"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328" s="11">
        <f>IFERROR(__xludf.DUMMYFUNCTION("""COMPUTED_VALUE"""),2.0)</f>
        <v>2</v>
      </c>
      <c r="J328" s="11">
        <f>IFERROR(__xludf.DUMMYFUNCTION("""COMPUTED_VALUE"""),0.0)</f>
        <v>0</v>
      </c>
      <c r="K328" s="11">
        <f>IFERROR(__xludf.DUMMYFUNCTION("""COMPUTED_VALUE"""),1.0)</f>
        <v>1</v>
      </c>
      <c r="L328" s="11"/>
    </row>
    <row r="329" ht="15.75" customHeight="1">
      <c r="A329" s="8" t="str">
        <f>IFERROR(__xludf.DUMMYFUNCTION("""COMPUTED_VALUE"""),"https://directiveconsulting.com/blog/top-performance-marketing-agencies/")</f>
        <v>https://directiveconsulting.com/blog/top-performance-marketing-agencies/</v>
      </c>
      <c r="B329" s="11" t="str">
        <f>IFERROR(__xludf.DUMMYFUNCTION("""COMPUTED_VALUE"""),"18 Best Performance Marketing Agencies For B2B - Directive")</f>
        <v>18 Best Performance Marketing Agencies For B2B - Directive</v>
      </c>
      <c r="C329" s="8" t="str">
        <f>IFERROR(__xludf.DUMMYFUNCTION("""COMPUTED_VALUE"""),"directiveconsulting.com")</f>
        <v>directiveconsulting.com</v>
      </c>
      <c r="D329" s="11" t="str">
        <f>IFERROR(__xludf.DUMMYFUNCTION("""COMPUTED_VALUE"""),"LISTICLE")</f>
        <v>LISTICLE</v>
      </c>
      <c r="E329" s="11" t="str">
        <f>IFERROR(__xludf.DUMMYFUNCTION("""COMPUTED_VALUE"""),"COMPETITOR")</f>
        <v>COMPETITOR</v>
      </c>
      <c r="F329" s="11" t="str">
        <f>IFERROR(__xludf.DUMMYFUNCTION("""COMPUTED_VALUE"""),"Listicle")</f>
        <v>Listicle</v>
      </c>
      <c r="G329" s="11" t="b">
        <f>IFERROR(__xludf.DUMMYFUNCTION("""COMPUTED_VALUE"""),FALSE)</f>
        <v>0</v>
      </c>
      <c r="H329" s="11" t="str">
        <f>IFERROR(__xludf.DUMMYFUNCTION("""COMPUTED_VALUE"""),"Directive Consulting, NoGood, Common Thread Collective, Wpromote, Darkroom, inBeat, Single Grain, Omniscient Digital, Measured, Pilot")</f>
        <v>Directive Consulting, NoGood, Common Thread Collective, Wpromote, Darkroom, inBeat, Single Grain, Omniscient Digital, Measured, Pilot</v>
      </c>
      <c r="I329" s="11">
        <f>IFERROR(__xludf.DUMMYFUNCTION("""COMPUTED_VALUE"""),2.0)</f>
        <v>2</v>
      </c>
      <c r="J329" s="11">
        <f>IFERROR(__xludf.DUMMYFUNCTION("""COMPUTED_VALUE"""),0.0)</f>
        <v>0</v>
      </c>
      <c r="K329" s="11">
        <f>IFERROR(__xludf.DUMMYFUNCTION("""COMPUTED_VALUE"""),2.0)</f>
        <v>2</v>
      </c>
      <c r="L329" s="11"/>
    </row>
    <row r="330" ht="15.75" customHeight="1">
      <c r="A330" s="8" t="str">
        <f>IFERROR(__xludf.DUMMYFUNCTION("""COMPUTED_VALUE"""),"https://www.eology.de/presse/google-premier-partner-2025")</f>
        <v>https://www.eology.de/presse/google-premier-partner-2025</v>
      </c>
      <c r="B330" s="11" t="str">
        <f>IFERROR(__xludf.DUMMYFUNCTION("""COMPUTED_VALUE"""),"eology erneut unter den Top 3 % - Google Premier Partner 2025")</f>
        <v>eology erneut unter den Top 3 % - Google Premier Partner 2025</v>
      </c>
      <c r="C330" s="8" t="str">
        <f>IFERROR(__xludf.DUMMYFUNCTION("""COMPUTED_VALUE"""),"eology.de")</f>
        <v>eology.de</v>
      </c>
      <c r="D330" s="11" t="str">
        <f>IFERROR(__xludf.DUMMYFUNCTION("""COMPUTED_VALUE"""),"ARTICLE")</f>
        <v>ARTICLE</v>
      </c>
      <c r="E330" s="11" t="str">
        <f>IFERROR(__xludf.DUMMYFUNCTION("""COMPUTED_VALUE"""),"CORPORATE")</f>
        <v>CORPORATE</v>
      </c>
      <c r="F330" s="11" t="str">
        <f>IFERROR(__xludf.DUMMYFUNCTION("""COMPUTED_VALUE"""),"Article")</f>
        <v>Article</v>
      </c>
      <c r="G330" s="11" t="b">
        <f>IFERROR(__xludf.DUMMYFUNCTION("""COMPUTED_VALUE"""),FALSE)</f>
        <v>0</v>
      </c>
      <c r="H330" s="11"/>
      <c r="I330" s="11">
        <f>IFERROR(__xludf.DUMMYFUNCTION("""COMPUTED_VALUE"""),2.0)</f>
        <v>2</v>
      </c>
      <c r="J330" s="11">
        <f>IFERROR(__xludf.DUMMYFUNCTION("""COMPUTED_VALUE"""),0.0)</f>
        <v>0</v>
      </c>
      <c r="K330" s="11">
        <f>IFERROR(__xludf.DUMMYFUNCTION("""COMPUTED_VALUE"""),0.0)</f>
        <v>0</v>
      </c>
      <c r="L330" s="11"/>
    </row>
    <row r="331" ht="15.75" customHeight="1">
      <c r="A331" s="8" t="str">
        <f>IFERROR(__xludf.DUMMYFUNCTION("""COMPUTED_VALUE"""),"https://www.europeanbusinessreview.com/top-10-b2b-aeo-geo-companies-that-help-generate-leads-from-ai-search/")</f>
        <v>https://www.europeanbusinessreview.com/top-10-b2b-aeo-geo-companies-that-help-generate-leads-from-ai-search/</v>
      </c>
      <c r="B331" s="11" t="str">
        <f>IFERROR(__xludf.DUMMYFUNCTION("""COMPUTED_VALUE"""),"Top B2B AEO/GEO Companies for AI Search Leads - The European Business Review")</f>
        <v>Top B2B AEO/GEO Companies for AI Search Leads - The European Business Review</v>
      </c>
      <c r="C331" s="8" t="str">
        <f>IFERROR(__xludf.DUMMYFUNCTION("""COMPUTED_VALUE"""),"europeanbusinessreview.com")</f>
        <v>europeanbusinessreview.com</v>
      </c>
      <c r="D331" s="11" t="str">
        <f>IFERROR(__xludf.DUMMYFUNCTION("""COMPUTED_VALUE"""),"LISTICLE")</f>
        <v>LISTICLE</v>
      </c>
      <c r="E331" s="11" t="str">
        <f>IFERROR(__xludf.DUMMYFUNCTION("""COMPUTED_VALUE"""),"EDITORIAL")</f>
        <v>EDITORIAL</v>
      </c>
      <c r="F331" s="11" t="str">
        <f>IFERROR(__xludf.DUMMYFUNCTION("""COMPUTED_VALUE"""),"Listicle")</f>
        <v>Listicle</v>
      </c>
      <c r="G331" s="11" t="b">
        <f>IFERROR(__xludf.DUMMYFUNCTION("""COMPUTED_VALUE"""),FALSE)</f>
        <v>0</v>
      </c>
      <c r="H331" s="11" t="str">
        <f>IFERROR(__xludf.DUMMYFUNCTION("""COMPUTED_VALUE"""),"Omniscient Digital, Siege Media, Directive Consulting, Momentum")</f>
        <v>Omniscient Digital, Siege Media, Directive Consulting, Momentum</v>
      </c>
      <c r="I331" s="11">
        <f>IFERROR(__xludf.DUMMYFUNCTION("""COMPUTED_VALUE"""),2.0)</f>
        <v>2</v>
      </c>
      <c r="J331" s="11">
        <f>IFERROR(__xludf.DUMMYFUNCTION("""COMPUTED_VALUE"""),0.0)</f>
        <v>0</v>
      </c>
      <c r="K331" s="11">
        <f>IFERROR(__xludf.DUMMYFUNCTION("""COMPUTED_VALUE"""),0.0)</f>
        <v>0</v>
      </c>
      <c r="L331" s="11"/>
    </row>
    <row r="332" ht="15.75" customHeight="1">
      <c r="A332" s="8" t="str">
        <f>IFERROR(__xludf.DUMMYFUNCTION("""COMPUTED_VALUE"""),"https://www.f6s.com/companies/advertising/germany/co")</f>
        <v>https://www.f6s.com/companies/advertising/germany/co</v>
      </c>
      <c r="B332" s="11" t="str">
        <f>IFERROR(__xludf.DUMMYFUNCTION("""COMPUTED_VALUE"""),"66 Top Advertising Companies in Germany · March 2026 | F6S")</f>
        <v>66 Top Advertising Companies in Germany · March 2026 | F6S</v>
      </c>
      <c r="C332" s="8" t="str">
        <f>IFERROR(__xludf.DUMMYFUNCTION("""COMPUTED_VALUE"""),"f6s.com")</f>
        <v>f6s.com</v>
      </c>
      <c r="D332" s="11" t="str">
        <f>IFERROR(__xludf.DUMMYFUNCTION("""COMPUTED_VALUE"""),"OTHER")</f>
        <v>OTHER</v>
      </c>
      <c r="E332" s="11" t="str">
        <f>IFERROR(__xludf.DUMMYFUNCTION("""COMPUTED_VALUE"""),"UGC")</f>
        <v>UGC</v>
      </c>
      <c r="F332" s="11" t="str">
        <f>IFERROR(__xludf.DUMMYFUNCTION("""COMPUTED_VALUE"""),"Other")</f>
        <v>Other</v>
      </c>
      <c r="G332" s="11" t="b">
        <f>IFERROR(__xludf.DUMMYFUNCTION("""COMPUTED_VALUE"""),FALSE)</f>
        <v>0</v>
      </c>
      <c r="H332" s="11"/>
      <c r="I332" s="11">
        <f>IFERROR(__xludf.DUMMYFUNCTION("""COMPUTED_VALUE"""),2.0)</f>
        <v>2</v>
      </c>
      <c r="J332" s="11">
        <f>IFERROR(__xludf.DUMMYFUNCTION("""COMPUTED_VALUE"""),0.0)</f>
        <v>0</v>
      </c>
      <c r="K332" s="11">
        <f>IFERROR(__xludf.DUMMYFUNCTION("""COMPUTED_VALUE"""),0.0)</f>
        <v>0</v>
      </c>
      <c r="L332" s="11"/>
    </row>
    <row r="333" ht="15.75" customHeight="1">
      <c r="A333" s="8" t="str">
        <f>IFERROR(__xludf.DUMMYFUNCTION("""COMPUTED_VALUE"""),"https://feedbax.ai/google-ads/berlin")</f>
        <v>https://feedbax.ai/google-ads/berlin</v>
      </c>
      <c r="B333" s="11" t="str">
        <f>IFERROR(__xludf.DUMMYFUNCTION("""COMPUTED_VALUE"""),"Top 20 Google Ads Agencies in Berlin - 2026 Reviews")</f>
        <v>Top 20 Google Ads Agencies in Berlin - 2026 Reviews</v>
      </c>
      <c r="C333" s="8" t="str">
        <f>IFERROR(__xludf.DUMMYFUNCTION("""COMPUTED_VALUE"""),"feedbax.ai")</f>
        <v>feedbax.ai</v>
      </c>
      <c r="D333" s="11" t="str">
        <f>IFERROR(__xludf.DUMMYFUNCTION("""COMPUTED_VALUE"""),"PROFILE")</f>
        <v>PROFILE</v>
      </c>
      <c r="E333" s="11" t="str">
        <f>IFERROR(__xludf.DUMMYFUNCTION("""COMPUTED_VALUE"""),"UGC")</f>
        <v>UGC</v>
      </c>
      <c r="F333" s="11" t="str">
        <f>IFERROR(__xludf.DUMMYFUNCTION("""COMPUTED_VALUE"""),"Profile")</f>
        <v>Profile</v>
      </c>
      <c r="G333" s="11" t="b">
        <f>IFERROR(__xludf.DUMMYFUNCTION("""COMPUTED_VALUE"""),FALSE)</f>
        <v>0</v>
      </c>
      <c r="H333" s="11" t="str">
        <f>IFERROR(__xludf.DUMMYFUNCTION("""COMPUTED_VALUE"""),"Mediacharge, Smarketer, Peak Ace")</f>
        <v>Mediacharge, Smarketer, Peak Ace</v>
      </c>
      <c r="I333" s="11">
        <f>IFERROR(__xludf.DUMMYFUNCTION("""COMPUTED_VALUE"""),2.0)</f>
        <v>2</v>
      </c>
      <c r="J333" s="11">
        <f>IFERROR(__xludf.DUMMYFUNCTION("""COMPUTED_VALUE"""),0.0)</f>
        <v>0</v>
      </c>
      <c r="K333" s="11">
        <f>IFERROR(__xludf.DUMMYFUNCTION("""COMPUTED_VALUE"""),2.5)</f>
        <v>2.5</v>
      </c>
      <c r="L333" s="11"/>
    </row>
    <row r="334" ht="15.75" customHeight="1">
      <c r="A334" s="8" t="str">
        <f>IFERROR(__xludf.DUMMYFUNCTION("""COMPUTED_VALUE"""),"https://feedbax.ai/performance-marketing")</f>
        <v>https://feedbax.ai/performance-marketing</v>
      </c>
      <c r="B334" s="11" t="str">
        <f>IFERROR(__xludf.DUMMYFUNCTION("""COMPUTED_VALUE"""),"Top 20 Performance Marketing Agencies - 2026 Reviews")</f>
        <v>Top 20 Performance Marketing Agencies - 2026 Reviews</v>
      </c>
      <c r="C334" s="8" t="str">
        <f>IFERROR(__xludf.DUMMYFUNCTION("""COMPUTED_VALUE"""),"feedbax.ai")</f>
        <v>feedbax.ai</v>
      </c>
      <c r="D334" s="11" t="str">
        <f>IFERROR(__xludf.DUMMYFUNCTION("""COMPUTED_VALUE"""),"CATEGORY_PAGE")</f>
        <v>CATEGORY_PAGE</v>
      </c>
      <c r="E334" s="11" t="str">
        <f>IFERROR(__xludf.DUMMYFUNCTION("""COMPUTED_VALUE"""),"UGC")</f>
        <v>UGC</v>
      </c>
      <c r="F334" s="11" t="str">
        <f>IFERROR(__xludf.DUMMYFUNCTION("""COMPUTED_VALUE"""),"Category Page")</f>
        <v>Category Page</v>
      </c>
      <c r="G334" s="11" t="b">
        <f>IFERROR(__xludf.DUMMYFUNCTION("""COMPUTED_VALUE"""),FALSE)</f>
        <v>0</v>
      </c>
      <c r="H334" s="11" t="str">
        <f>IFERROR(__xludf.DUMMYFUNCTION("""COMPUTED_VALUE"""),"PANORAMA3000, KlickPiloten, HECHT INS GEFECHT, DREIKON, morefire, Loyamo, Mediacharge, Smarketer, Suchhelden")</f>
        <v>PANORAMA3000, KlickPiloten, HECHT INS GEFECHT, DREIKON, morefire, Loyamo, Mediacharge, Smarketer, Suchhelden</v>
      </c>
      <c r="I334" s="11">
        <f>IFERROR(__xludf.DUMMYFUNCTION("""COMPUTED_VALUE"""),2.0)</f>
        <v>2</v>
      </c>
      <c r="J334" s="11">
        <f>IFERROR(__xludf.DUMMYFUNCTION("""COMPUTED_VALUE"""),0.0)</f>
        <v>0</v>
      </c>
      <c r="K334" s="11">
        <f>IFERROR(__xludf.DUMMYFUNCTION("""COMPUTED_VALUE"""),0.0)</f>
        <v>0</v>
      </c>
      <c r="L334" s="11"/>
    </row>
    <row r="335" ht="15.75" customHeight="1">
      <c r="A335" s="8" t="str">
        <f>IFERROR(__xludf.DUMMYFUNCTION("""COMPUTED_VALUE"""),"https://gaim-solutions.com/en/blog-system/top-ai-agencies-munich-2026-faq-guide")</f>
        <v>https://gaim-solutions.com/en/blog-system/top-ai-agencies-munich-2026-faq-guide</v>
      </c>
      <c r="B335" s="11" t="str">
        <f>IFERROR(__xludf.DUMMYFUNCTION("""COMPUTED_VALUE"""),"Top AI Agencies Munich 2026: FAQ Guide")</f>
        <v>Top AI Agencies Munich 2026: FAQ Guide</v>
      </c>
      <c r="C335" s="8" t="str">
        <f>IFERROR(__xludf.DUMMYFUNCTION("""COMPUTED_VALUE"""),"gaim-solutions.com")</f>
        <v>gaim-solutions.com</v>
      </c>
      <c r="D335" s="11" t="str">
        <f>IFERROR(__xludf.DUMMYFUNCTION("""COMPUTED_VALUE"""),"PRODUCT_PAGE")</f>
        <v>PRODUCT_PAGE</v>
      </c>
      <c r="E335" s="11" t="str">
        <f>IFERROR(__xludf.DUMMYFUNCTION("""COMPUTED_VALUE"""),"CORPORATE")</f>
        <v>CORPORATE</v>
      </c>
      <c r="F335" s="11" t="str">
        <f>IFERROR(__xludf.DUMMYFUNCTION("""COMPUTED_VALUE"""),"Product Page")</f>
        <v>Product Page</v>
      </c>
      <c r="G335" s="11" t="b">
        <f>IFERROR(__xludf.DUMMYFUNCTION("""COMPUTED_VALUE"""),FALSE)</f>
        <v>0</v>
      </c>
      <c r="H335" s="11"/>
      <c r="I335" s="11">
        <f>IFERROR(__xludf.DUMMYFUNCTION("""COMPUTED_VALUE"""),2.0)</f>
        <v>2</v>
      </c>
      <c r="J335" s="11">
        <f>IFERROR(__xludf.DUMMYFUNCTION("""COMPUTED_VALUE"""),0.0)</f>
        <v>0</v>
      </c>
      <c r="K335" s="11">
        <f>IFERROR(__xludf.DUMMYFUNCTION("""COMPUTED_VALUE"""),1.0)</f>
        <v>1</v>
      </c>
      <c r="L335" s="11"/>
    </row>
    <row r="336" ht="15.75" customHeight="1">
      <c r="A336" s="8" t="str">
        <f>IFERROR(__xludf.DUMMYFUNCTION("""COMPUTED_VALUE"""),"https://growthmanager.ai/best-geo-agency")</f>
        <v>https://growthmanager.ai/best-geo-agency</v>
      </c>
      <c r="B336" s="11" t="str">
        <f>IFERROR(__xludf.DUMMYFUNCTION("""COMPUTED_VALUE"""),"Best GEO agencies in 2026, reviewed and ranked")</f>
        <v>Best GEO agencies in 2026, reviewed and ranked</v>
      </c>
      <c r="C336" s="8" t="str">
        <f>IFERROR(__xludf.DUMMYFUNCTION("""COMPUTED_VALUE"""),"growthmanager.ai")</f>
        <v>growthmanager.ai</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t="str">
        <f>IFERROR(__xludf.DUMMYFUNCTION("""COMPUTED_VALUE"""),"Momentum")</f>
        <v>Momentum</v>
      </c>
      <c r="I336" s="11">
        <f>IFERROR(__xludf.DUMMYFUNCTION("""COMPUTED_VALUE"""),2.0)</f>
        <v>2</v>
      </c>
      <c r="J336" s="11">
        <f>IFERROR(__xludf.DUMMYFUNCTION("""COMPUTED_VALUE"""),0.0)</f>
        <v>0</v>
      </c>
      <c r="K336" s="11">
        <f>IFERROR(__xludf.DUMMYFUNCTION("""COMPUTED_VALUE"""),1.5)</f>
        <v>1.5</v>
      </c>
      <c r="L336" s="11"/>
    </row>
    <row r="337" ht="15.75" customHeight="1">
      <c r="A337" s="8" t="str">
        <f>IFERROR(__xludf.DUMMYFUNCTION("""COMPUTED_VALUE"""),"https://www.growthmarketingpro.com/best-aeo-marketing-agencies/")</f>
        <v>https://www.growthmarketingpro.com/best-aeo-marketing-agencies/</v>
      </c>
      <c r="B337" s="11" t="str">
        <f>IFERROR(__xludf.DUMMYFUNCTION("""COMPUTED_VALUE"""),"13 Best AEO marketing agencies | GMP")</f>
        <v>13 Best AEO marketing agencies | GMP</v>
      </c>
      <c r="C337" s="8" t="str">
        <f>IFERROR(__xludf.DUMMYFUNCTION("""COMPUTED_VALUE"""),"growthmarketingpro.com")</f>
        <v>growthmarketingpro.com</v>
      </c>
      <c r="D337" s="11" t="str">
        <f>IFERROR(__xludf.DUMMYFUNCTION("""COMPUTED_VALUE"""),"LISTICLE")</f>
        <v>LISTICLE</v>
      </c>
      <c r="E337" s="11" t="str">
        <f>IFERROR(__xludf.DUMMYFUNCTION("""COMPUTED_VALUE"""),"EDITORIAL")</f>
        <v>EDITORIAL</v>
      </c>
      <c r="F337" s="11" t="str">
        <f>IFERROR(__xludf.DUMMYFUNCTION("""COMPUTED_VALUE"""),"Listicle")</f>
        <v>Listicle</v>
      </c>
      <c r="G337" s="11" t="b">
        <f>IFERROR(__xludf.DUMMYFUNCTION("""COMPUTED_VALUE"""),FALSE)</f>
        <v>0</v>
      </c>
      <c r="H337" s="11" t="str">
        <f>IFERROR(__xludf.DUMMYFUNCTION("""COMPUTED_VALUE"""),"Single Grain, NoGood, WebFX, Siege Media, iPullRank")</f>
        <v>Single Grain, NoGood, WebFX, Siege Media, iPullRank</v>
      </c>
      <c r="I337" s="11">
        <f>IFERROR(__xludf.DUMMYFUNCTION("""COMPUTED_VALUE"""),2.0)</f>
        <v>2</v>
      </c>
      <c r="J337" s="11">
        <f>IFERROR(__xludf.DUMMYFUNCTION("""COMPUTED_VALUE"""),0.0)</f>
        <v>0</v>
      </c>
      <c r="K337" s="11">
        <f>IFERROR(__xludf.DUMMYFUNCTION("""COMPUTED_VALUE"""),1.0)</f>
        <v>1</v>
      </c>
      <c r="L337" s="11"/>
    </row>
    <row r="338" ht="15.75" customHeight="1">
      <c r="A338" s="8" t="str">
        <f>IFERROR(__xludf.DUMMYFUNCTION("""COMPUTED_VALUE"""),"https://inbeat.agency/blog/top-marketing-measurement-and-analytics-companies#:~:text=Artefact%3A%20Artefact%20blends%20AI%20and,streams%20into%20a%20unified%20dashboard.")</f>
        <v>https://inbeat.agency/blog/top-marketing-measurement-and-analytics-companies#:~:text=Artefact%3A%20Artefact%20blends%20AI%20and,streams%20into%20a%20unified%20dashboard.</v>
      </c>
      <c r="B338" s="11" t="str">
        <f>IFERROR(__xludf.DUMMYFUNCTION("""COMPUTED_VALUE"""),"Top 15 Marketing Measurement and Analytics Firms Unlocking ROI Clarity in 2026 - inBeat Agency")</f>
        <v>Top 15 Marketing Measurement and Analytics Firms Unlocking ROI Clarity in 2026 - inBeat Agency</v>
      </c>
      <c r="C338" s="11" t="str">
        <f>IFERROR(__xludf.DUMMYFUNCTION("""COMPUTED_VALUE"""),"inbeat.agency")</f>
        <v>inbeat.agency</v>
      </c>
      <c r="D338" s="11" t="str">
        <f>IFERROR(__xludf.DUMMYFUNCTION("""COMPUTED_VALUE"""),"LISTICLE")</f>
        <v>LISTICLE</v>
      </c>
      <c r="E338" s="11" t="str">
        <f>IFERROR(__xludf.DUMMYFUNCTION("""COMPUTED_VALUE"""),"COMPETITOR")</f>
        <v>COMPETITOR</v>
      </c>
      <c r="F338" s="11" t="str">
        <f>IFERROR(__xludf.DUMMYFUNCTION("""COMPUTED_VALUE"""),"Listicle")</f>
        <v>Listicle</v>
      </c>
      <c r="G338" s="11" t="b">
        <f>IFERROR(__xludf.DUMMYFUNCTION("""COMPUTED_VALUE"""),FALSE)</f>
        <v>0</v>
      </c>
      <c r="H338" s="11" t="str">
        <f>IFERROR(__xludf.DUMMYFUNCTION("""COMPUTED_VALUE"""),"inBeat, Nielsen, Artefact, Measured, WebFX")</f>
        <v>inBeat, Nielsen, Artefact, Measured, WebFX</v>
      </c>
      <c r="I338" s="11">
        <f>IFERROR(__xludf.DUMMYFUNCTION("""COMPUTED_VALUE"""),2.0)</f>
        <v>2</v>
      </c>
      <c r="J338" s="11">
        <f>IFERROR(__xludf.DUMMYFUNCTION("""COMPUTED_VALUE"""),0.0)</f>
        <v>0</v>
      </c>
      <c r="K338" s="11">
        <f>IFERROR(__xludf.DUMMYFUNCTION("""COMPUTED_VALUE"""),1.5)</f>
        <v>1.5</v>
      </c>
      <c r="L338" s="11"/>
    </row>
    <row r="339" ht="15.75" customHeight="1">
      <c r="A339" s="8" t="str">
        <f>IFERROR(__xludf.DUMMYFUNCTION("""COMPUTED_VALUE"""),"https://www.influencer-hero.com/blogs/top-social-media-agencies-in-munich")</f>
        <v>https://www.influencer-hero.com/blogs/top-social-media-agencies-in-munich</v>
      </c>
      <c r="B339" s="11" t="str">
        <f>IFERROR(__xludf.DUMMYFUNCTION("""COMPUTED_VALUE"""),"Top 10 Social Media Agencies in Munich")</f>
        <v>Top 10 Social Media Agencies in Munich</v>
      </c>
      <c r="C339" s="8" t="str">
        <f>IFERROR(__xludf.DUMMYFUNCTION("""COMPUTED_VALUE"""),"influencer-hero.com")</f>
        <v>influencer-hero.com</v>
      </c>
      <c r="D339" s="11" t="str">
        <f>IFERROR(__xludf.DUMMYFUNCTION("""COMPUTED_VALUE"""),"LISTICLE")</f>
        <v>LISTICLE</v>
      </c>
      <c r="E339" s="11" t="str">
        <f>IFERROR(__xludf.DUMMYFUNCTION("""COMPUTED_VALUE"""),"CORPORATE")</f>
        <v>CORPORATE</v>
      </c>
      <c r="F339" s="11" t="str">
        <f>IFERROR(__xludf.DUMMYFUNCTION("""COMPUTED_VALUE"""),"Listicle")</f>
        <v>Listicle</v>
      </c>
      <c r="G339" s="11" t="b">
        <f>IFERROR(__xludf.DUMMYFUNCTION("""COMPUTED_VALUE"""),FALSE)</f>
        <v>0</v>
      </c>
      <c r="H339" s="11" t="str">
        <f>IFERROR(__xludf.DUMMYFUNCTION("""COMPUTED_VALUE"""),"Social Media One, Social Media Pirates, Mawave, Jung von Matt")</f>
        <v>Social Media One, Social Media Pirates, Mawave, Jung von Matt</v>
      </c>
      <c r="I339" s="11">
        <f>IFERROR(__xludf.DUMMYFUNCTION("""COMPUTED_VALUE"""),2.0)</f>
        <v>2</v>
      </c>
      <c r="J339" s="11">
        <f>IFERROR(__xludf.DUMMYFUNCTION("""COMPUTED_VALUE"""),0.0)</f>
        <v>0</v>
      </c>
      <c r="K339" s="11">
        <f>IFERROR(__xludf.DUMMYFUNCTION("""COMPUTED_VALUE"""),0.5)</f>
        <v>0.5</v>
      </c>
      <c r="L339" s="11"/>
    </row>
    <row r="340" ht="15.75" customHeight="1">
      <c r="A340" s="8" t="str">
        <f>IFERROR(__xludf.DUMMYFUNCTION("""COMPUTED_VALUE"""),"https://influencermarketinghub.com/ai-marketing-agencies/")</f>
        <v>https://influencermarketinghub.com/ai-marketing-agencies/</v>
      </c>
      <c r="B340" s="11" t="str">
        <f>IFERROR(__xludf.DUMMYFUNCTION("""COMPUTED_VALUE"""),"Best AI Marketing Agencies For 2026")</f>
        <v>Best AI Marketing Agencies For 2026</v>
      </c>
      <c r="C340" s="8" t="str">
        <f>IFERROR(__xludf.DUMMYFUNCTION("""COMPUTED_VALUE"""),"influencermarketinghub.com")</f>
        <v>influencermarketinghub.com</v>
      </c>
      <c r="D340" s="11" t="str">
        <f>IFERROR(__xludf.DUMMYFUNCTION("""COMPUTED_VALUE"""),"LISTICLE")</f>
        <v>LISTICLE</v>
      </c>
      <c r="E340" s="11" t="str">
        <f>IFERROR(__xludf.DUMMYFUNCTION("""COMPUTED_VALUE"""),"REFERENCE")</f>
        <v>REFERENCE</v>
      </c>
      <c r="F340" s="11" t="str">
        <f>IFERROR(__xludf.DUMMYFUNCTION("""COMPUTED_VALUE"""),"Listicle")</f>
        <v>Listicle</v>
      </c>
      <c r="G340" s="11" t="b">
        <f>IFERROR(__xludf.DUMMYFUNCTION("""COMPUTED_VALUE"""),FALSE)</f>
        <v>0</v>
      </c>
      <c r="H340" s="11" t="str">
        <f>IFERROR(__xludf.DUMMYFUNCTION("""COMPUTED_VALUE"""),"SmartSites, McKinsey &amp; Company, Momentum, Mindshare, Wpromote, Dentsu")</f>
        <v>SmartSites, McKinsey &amp; Company, Momentum, Mindshare, Wpromote, Dentsu</v>
      </c>
      <c r="I340" s="11">
        <f>IFERROR(__xludf.DUMMYFUNCTION("""COMPUTED_VALUE"""),2.0)</f>
        <v>2</v>
      </c>
      <c r="J340" s="11">
        <f>IFERROR(__xludf.DUMMYFUNCTION("""COMPUTED_VALUE"""),0.0)</f>
        <v>0</v>
      </c>
      <c r="K340" s="11">
        <f>IFERROR(__xludf.DUMMYFUNCTION("""COMPUTED_VALUE"""),0.0)</f>
        <v>0</v>
      </c>
      <c r="L340" s="11"/>
    </row>
    <row r="341" ht="15.75" customHeight="1">
      <c r="A341" s="8" t="str">
        <f>IFERROR(__xludf.DUMMYFUNCTION("""COMPUTED_VALUE"""),"https://www.linkedin.com/posts/landwehr_most-seo-agencies-are-now-geo-agencies-activity-7440030279630680064-yR88")</f>
        <v>https://www.linkedin.com/posts/landwehr_most-seo-agencies-are-now-geo-agencies-activity-7440030279630680064-yR88</v>
      </c>
      <c r="B341" s="11" t="str">
        <f>IFERROR(__xludf.DUMMYFUNCTION("""COMPUTED_VALUE"""),"Most SEO agencies are now GEO agencies. iBusiness recently published a list of the top 100 SEO agencies in Germany. The ranking included - self-reported - focus areas. ➡️ 84% of SEO agencies now… | Malte Landwehr | 28 comments")</f>
        <v>Most SEO agencies are now GEO agencies. iBusiness recently published a list of the top 100 SEO agencies in Germany. The ranking included - self-reported - focus areas. ➡️ 84% of SEO agencies now… | Malte Landwehr | 28 comments</v>
      </c>
      <c r="C341" s="8" t="str">
        <f>IFERROR(__xludf.DUMMYFUNCTION("""COMPUTED_VALUE"""),"linkedin.com")</f>
        <v>linkedin.com</v>
      </c>
      <c r="D341" s="11" t="str">
        <f>IFERROR(__xludf.DUMMYFUNCTION("""COMPUTED_VALUE"""),"DISCUSSION")</f>
        <v>DISCUSSION</v>
      </c>
      <c r="E341" s="11" t="str">
        <f>IFERROR(__xludf.DUMMYFUNCTION("""COMPUTED_VALUE"""),"UGC")</f>
        <v>UGC</v>
      </c>
      <c r="F341" s="11" t="str">
        <f>IFERROR(__xludf.DUMMYFUNCTION("""COMPUTED_VALUE"""),"Discussion")</f>
        <v>Discussion</v>
      </c>
      <c r="G341" s="11" t="b">
        <f>IFERROR(__xludf.DUMMYFUNCTION("""COMPUTED_VALUE"""),FALSE)</f>
        <v>0</v>
      </c>
      <c r="H341" s="11"/>
      <c r="I341" s="11">
        <f>IFERROR(__xludf.DUMMYFUNCTION("""COMPUTED_VALUE"""),2.0)</f>
        <v>2</v>
      </c>
      <c r="J341" s="11">
        <f>IFERROR(__xludf.DUMMYFUNCTION("""COMPUTED_VALUE"""),0.0)</f>
        <v>0</v>
      </c>
      <c r="K341" s="11">
        <f>IFERROR(__xludf.DUMMYFUNCTION("""COMPUTED_VALUE"""),1.0)</f>
        <v>1</v>
      </c>
      <c r="L341" s="11"/>
    </row>
    <row r="342" ht="15.75" customHeight="1">
      <c r="A342" s="8" t="str">
        <f>IFERROR(__xludf.DUMMYFUNCTION("""COMPUTED_VALUE"""),"https://madebyevoke.com/blog/top-branding-agencies-berlin#:~:text=Specialisation%3A%20Integrated%20brand%20strategy%2C%20creative,communications%20for%20German%20market%20leaders.")</f>
        <v>https://madebyevoke.com/blog/top-branding-agencies-berlin#:~:text=Specialisation%3A%20Integrated%20brand%20strategy%2C%20creative,communications%20for%20German%20market%20leaders.</v>
      </c>
      <c r="B342" s="11" t="str">
        <f>IFERROR(__xludf.DUMMYFUNCTION("""COMPUTED_VALUE"""),"Top 10 Branding Agencies in Berlin, Germany (2026) — Ranked | Evoke Studio")</f>
        <v>Top 10 Branding Agencies in Berlin, Germany (2026) — Ranked | Evoke Studio</v>
      </c>
      <c r="C342" s="8" t="str">
        <f>IFERROR(__xludf.DUMMYFUNCTION("""COMPUTED_VALUE"""),"madebyevoke.com")</f>
        <v>madebyevoke.com</v>
      </c>
      <c r="D342" s="11" t="str">
        <f>IFERROR(__xludf.DUMMYFUNCTION("""COMPUTED_VALUE"""),"LISTICLE")</f>
        <v>LISTICLE</v>
      </c>
      <c r="E342" s="11" t="str">
        <f>IFERROR(__xludf.DUMMYFUNCTION("""COMPUTED_VALUE"""),"CORPORATE")</f>
        <v>CORPORATE</v>
      </c>
      <c r="F342" s="11" t="str">
        <f>IFERROR(__xludf.DUMMYFUNCTION("""COMPUTED_VALUE"""),"Listicle")</f>
        <v>Listicle</v>
      </c>
      <c r="G342" s="11" t="b">
        <f>IFERROR(__xludf.DUMMYFUNCTION("""COMPUTED_VALUE"""),FALSE)</f>
        <v>0</v>
      </c>
      <c r="H342" s="11" t="str">
        <f>IFERROR(__xludf.DUMMYFUNCTION("""COMPUTED_VALUE"""),"Jung von Matt, Scholz &amp; Friends, Serviceplan Group, BBDO Germany, Ogilvy")</f>
        <v>Jung von Matt, Scholz &amp; Friends, Serviceplan Group, BBDO Germany, Ogilvy</v>
      </c>
      <c r="I342" s="11">
        <f>IFERROR(__xludf.DUMMYFUNCTION("""COMPUTED_VALUE"""),2.0)</f>
        <v>2</v>
      </c>
      <c r="J342" s="11">
        <f>IFERROR(__xludf.DUMMYFUNCTION("""COMPUTED_VALUE"""),0.0)</f>
        <v>0</v>
      </c>
      <c r="K342" s="11">
        <f>IFERROR(__xludf.DUMMYFUNCTION("""COMPUTED_VALUE"""),3.0)</f>
        <v>3</v>
      </c>
      <c r="L342" s="11"/>
    </row>
    <row r="343" ht="15.75" customHeight="1">
      <c r="A343" s="8" t="str">
        <f>IFERROR(__xludf.DUMMYFUNCTION("""COMPUTED_VALUE"""),"https://www.magier.com/blog/top-aeo-agencies")</f>
        <v>https://www.magier.com/blog/top-aeo-agencies</v>
      </c>
      <c r="B343" s="11" t="str">
        <f>IFERROR(__xludf.DUMMYFUNCTION("""COMPUTED_VALUE"""),"Top 12 AEO Agencies in 2026: How to Find the Right Fit for Your Brand")</f>
        <v>Top 12 AEO Agencies in 2026: How to Find the Right Fit for Your Brand</v>
      </c>
      <c r="C343" s="8" t="str">
        <f>IFERROR(__xludf.DUMMYFUNCTION("""COMPUTED_VALUE"""),"magier.com")</f>
        <v>magier.com</v>
      </c>
      <c r="D343" s="11" t="str">
        <f>IFERROR(__xludf.DUMMYFUNCTION("""COMPUTED_VALUE"""),"LISTICLE")</f>
        <v>LISTICLE</v>
      </c>
      <c r="E343" s="11" t="str">
        <f>IFERROR(__xludf.DUMMYFUNCTION("""COMPUTED_VALUE"""),"OTHER")</f>
        <v>OTHER</v>
      </c>
      <c r="F343" s="11" t="str">
        <f>IFERROR(__xludf.DUMMYFUNCTION("""COMPUTED_VALUE"""),"Listicle")</f>
        <v>Listicle</v>
      </c>
      <c r="G343" s="11" t="b">
        <f>IFERROR(__xludf.DUMMYFUNCTION("""COMPUTED_VALUE"""),FALSE)</f>
        <v>0</v>
      </c>
      <c r="H343" s="11" t="str">
        <f>IFERROR(__xludf.DUMMYFUNCTION("""COMPUTED_VALUE"""),"Radyant, iPullRank, Siege Media, Omnius, Omniscient Digital, SmartSites, Single Grain, NoGood")</f>
        <v>Radyant, iPullRank, Siege Media, Omnius, Omniscient Digital, SmartSites, Single Grain, NoGood</v>
      </c>
      <c r="I343" s="11">
        <f>IFERROR(__xludf.DUMMYFUNCTION("""COMPUTED_VALUE"""),2.0)</f>
        <v>2</v>
      </c>
      <c r="J343" s="11">
        <f>IFERROR(__xludf.DUMMYFUNCTION("""COMPUTED_VALUE"""),0.0)</f>
        <v>0</v>
      </c>
      <c r="K343" s="11">
        <f>IFERROR(__xludf.DUMMYFUNCTION("""COMPUTED_VALUE"""),1.0)</f>
        <v>1</v>
      </c>
      <c r="L343" s="11"/>
    </row>
    <row r="344" ht="15.75" customHeight="1">
      <c r="A344" s="8" t="str">
        <f>IFERROR(__xludf.DUMMYFUNCTION("""COMPUTED_VALUE"""),"https://marketingexpertshub.com/de/seo/best-aeo-agencies/")</f>
        <v>https://marketingexpertshub.com/de/seo/best-aeo-agencies/</v>
      </c>
      <c r="B344" s="11" t="str">
        <f>IFERROR(__xludf.DUMMYFUNCTION("""COMPUTED_VALUE"""),"12 Best Answer Engine Optimization (AEO) Agencies in 2026 - Marketing Experts Hub")</f>
        <v>12 Best Answer Engine Optimization (AEO) Agencies in 2026 - Marketing Experts Hub</v>
      </c>
      <c r="C344" s="8" t="str">
        <f>IFERROR(__xludf.DUMMYFUNCTION("""COMPUTED_VALUE"""),"marketingexpertshub.com")</f>
        <v>marketingexpertshub.com</v>
      </c>
      <c r="D344" s="11" t="str">
        <f>IFERROR(__xludf.DUMMYFUNCTION("""COMPUTED_VALUE"""),"LISTICLE")</f>
        <v>LISTICLE</v>
      </c>
      <c r="E344" s="11" t="str">
        <f>IFERROR(__xludf.DUMMYFUNCTION("""COMPUTED_VALUE"""),"EDITORIAL")</f>
        <v>EDITORIAL</v>
      </c>
      <c r="F344" s="11" t="str">
        <f>IFERROR(__xludf.DUMMYFUNCTION("""COMPUTED_VALUE"""),"Listicle")</f>
        <v>Listicle</v>
      </c>
      <c r="G344" s="11" t="b">
        <f>IFERROR(__xludf.DUMMYFUNCTION("""COMPUTED_VALUE"""),FALSE)</f>
        <v>0</v>
      </c>
      <c r="H344" s="11" t="str">
        <f>IFERROR(__xludf.DUMMYFUNCTION("""COMPUTED_VALUE"""),"NoGood, iPullRank")</f>
        <v>NoGood, iPullRank</v>
      </c>
      <c r="I344" s="11">
        <f>IFERROR(__xludf.DUMMYFUNCTION("""COMPUTED_VALUE"""),2.0)</f>
        <v>2</v>
      </c>
      <c r="J344" s="11">
        <f>IFERROR(__xludf.DUMMYFUNCTION("""COMPUTED_VALUE"""),0.0)</f>
        <v>0</v>
      </c>
      <c r="K344" s="11">
        <f>IFERROR(__xludf.DUMMYFUNCTION("""COMPUTED_VALUE"""),0.0)</f>
        <v>0</v>
      </c>
      <c r="L344" s="11"/>
    </row>
    <row r="345" ht="15.75" customHeight="1">
      <c r="A345" s="8" t="str">
        <f>IFERROR(__xludf.DUMMYFUNCTION("""COMPUTED_VALUE"""),"https://www.mir.de/en/top10")</f>
        <v>https://www.mir.de/en/top10</v>
      </c>
      <c r="B345" s="11" t="str">
        <f>IFERROR(__xludf.DUMMYFUNCTION("""COMPUTED_VALUE"""),"TOP 10 most creative digital agencies in Germany - Internetagentur Köln, Digitalagentur, Python/Django/CMS - MIR MEDIA")</f>
        <v>TOP 10 most creative digital agencies in Germany - Internetagentur Köln, Digitalagentur, Python/Django/CMS - MIR MEDIA</v>
      </c>
      <c r="C345" s="8" t="str">
        <f>IFERROR(__xludf.DUMMYFUNCTION("""COMPUTED_VALUE"""),"mir.de")</f>
        <v>mir.de</v>
      </c>
      <c r="D345" s="11" t="str">
        <f>IFERROR(__xludf.DUMMYFUNCTION("""COMPUTED_VALUE"""),"ARTICLE")</f>
        <v>ARTICLE</v>
      </c>
      <c r="E345" s="11" t="str">
        <f>IFERROR(__xludf.DUMMYFUNCTION("""COMPUTED_VALUE"""),"CORPORATE")</f>
        <v>CORPORATE</v>
      </c>
      <c r="F345" s="11" t="str">
        <f>IFERROR(__xludf.DUMMYFUNCTION("""COMPUTED_VALUE"""),"Article")</f>
        <v>Article</v>
      </c>
      <c r="G345" s="11" t="b">
        <f>IFERROR(__xludf.DUMMYFUNCTION("""COMPUTED_VALUE"""),FALSE)</f>
        <v>0</v>
      </c>
      <c r="H345" s="11"/>
      <c r="I345" s="11">
        <f>IFERROR(__xludf.DUMMYFUNCTION("""COMPUTED_VALUE"""),2.0)</f>
        <v>2</v>
      </c>
      <c r="J345" s="11">
        <f>IFERROR(__xludf.DUMMYFUNCTION("""COMPUTED_VALUE"""),0.0)</f>
        <v>0</v>
      </c>
      <c r="K345" s="11">
        <f>IFERROR(__xludf.DUMMYFUNCTION("""COMPUTED_VALUE"""),0.5)</f>
        <v>0.5</v>
      </c>
      <c r="L345" s="11"/>
    </row>
    <row r="346" ht="15.75" customHeight="1">
      <c r="A346" s="8" t="str">
        <f>IFERROR(__xludf.DUMMYFUNCTION("""COMPUTED_VALUE"""),"https://mystrika.com/directory/agencies/best/paid-advertising-ppc-in-country-germany")</f>
        <v>https://mystrika.com/directory/agencies/best/paid-advertising-ppc-in-country-germany</v>
      </c>
      <c r="B346" s="11" t="str">
        <f>IFERROR(__xludf.DUMMYFUNCTION("""COMPUTED_VALUE"""),"Best Paid Advertising Ppc Agencies in Germany - Directory - Mystrika | Stop Cold Emailing. Start Conversations")</f>
        <v>Best Paid Advertising Ppc Agencies in Germany - Directory - Mystrika | Stop Cold Emailing. Start Conversations</v>
      </c>
      <c r="C346" s="8" t="str">
        <f>IFERROR(__xludf.DUMMYFUNCTION("""COMPUTED_VALUE"""),"mystrika.com")</f>
        <v>mystrika.com</v>
      </c>
      <c r="D346" s="11" t="str">
        <f>IFERROR(__xludf.DUMMYFUNCTION("""COMPUTED_VALUE"""),"OTHER")</f>
        <v>OTHER</v>
      </c>
      <c r="E346" s="11" t="str">
        <f>IFERROR(__xludf.DUMMYFUNCTION("""COMPUTED_VALUE"""),"OTHER")</f>
        <v>OTHER</v>
      </c>
      <c r="F346" s="11" t="str">
        <f>IFERROR(__xludf.DUMMYFUNCTION("""COMPUTED_VALUE"""),"Other")</f>
        <v>Other</v>
      </c>
      <c r="G346" s="11" t="b">
        <f>IFERROR(__xludf.DUMMYFUNCTION("""COMPUTED_VALUE"""),FALSE)</f>
        <v>0</v>
      </c>
      <c r="H346" s="11" t="str">
        <f>IFERROR(__xludf.DUMMYFUNCTION("""COMPUTED_VALUE"""),"Baseplus DIGITAL MEDIA GmbH, HECHT INS GEFECHT, KlickPiloten, Mediacharge, Mediaplus Performance, Mediaplus Group, morefire")</f>
        <v>Baseplus DIGITAL MEDIA GmbH, HECHT INS GEFECHT, KlickPiloten, Mediacharge, Mediaplus Performance, Mediaplus Group, morefire</v>
      </c>
      <c r="I346" s="11">
        <f>IFERROR(__xludf.DUMMYFUNCTION("""COMPUTED_VALUE"""),2.0)</f>
        <v>2</v>
      </c>
      <c r="J346" s="11">
        <f>IFERROR(__xludf.DUMMYFUNCTION("""COMPUTED_VALUE"""),0.0)</f>
        <v>0</v>
      </c>
      <c r="K346" s="11">
        <f>IFERROR(__xludf.DUMMYFUNCTION("""COMPUTED_VALUE"""),1.5)</f>
        <v>1.5</v>
      </c>
      <c r="L346" s="11"/>
    </row>
    <row r="347" ht="15.75" customHeight="1">
      <c r="A347" s="8" t="str">
        <f>IFERROR(__xludf.DUMMYFUNCTION("""COMPUTED_VALUE"""),"https://nogood.io/blog/ai-marketing-agency/")</f>
        <v>https://nogood.io/blog/ai-marketing-agency/</v>
      </c>
      <c r="B347" s="11" t="str">
        <f>IFERROR(__xludf.DUMMYFUNCTION("""COMPUTED_VALUE"""),"Top 5 AI Marketing Agencies for Growth in 2026 | NoGood")</f>
        <v>Top 5 AI Marketing Agencies for Growth in 2026 | NoGood</v>
      </c>
      <c r="C347" s="8" t="str">
        <f>IFERROR(__xludf.DUMMYFUNCTION("""COMPUTED_VALUE"""),"nogood.io")</f>
        <v>nogood.io</v>
      </c>
      <c r="D347" s="11" t="str">
        <f>IFERROR(__xludf.DUMMYFUNCTION("""COMPUTED_VALUE"""),"LISTICLE")</f>
        <v>LISTICLE</v>
      </c>
      <c r="E347" s="11" t="str">
        <f>IFERROR(__xludf.DUMMYFUNCTION("""COMPUTED_VALUE"""),"CORPORATE")</f>
        <v>CORPORATE</v>
      </c>
      <c r="F347" s="11" t="str">
        <f>IFERROR(__xludf.DUMMYFUNCTION("""COMPUTED_VALUE"""),"Listicle")</f>
        <v>Listicle</v>
      </c>
      <c r="G347" s="11" t="b">
        <f>IFERROR(__xludf.DUMMYFUNCTION("""COMPUTED_VALUE"""),FALSE)</f>
        <v>0</v>
      </c>
      <c r="H347" s="11" t="str">
        <f>IFERROR(__xludf.DUMMYFUNCTION("""COMPUTED_VALUE"""),"NoGood, Single Grain, inBeat")</f>
        <v>NoGood, Single Grain, inBeat</v>
      </c>
      <c r="I347" s="11">
        <f>IFERROR(__xludf.DUMMYFUNCTION("""COMPUTED_VALUE"""),2.0)</f>
        <v>2</v>
      </c>
      <c r="J347" s="11">
        <f>IFERROR(__xludf.DUMMYFUNCTION("""COMPUTED_VALUE"""),0.0)</f>
        <v>0</v>
      </c>
      <c r="K347" s="11">
        <f>IFERROR(__xludf.DUMMYFUNCTION("""COMPUTED_VALUE"""),1.0)</f>
        <v>1</v>
      </c>
      <c r="L347" s="11"/>
    </row>
    <row r="348" ht="15.75" customHeight="1">
      <c r="A348" s="8" t="str">
        <f>IFERROR(__xludf.DUMMYFUNCTION("""COMPUTED_VALUE"""),"https://nogood.io/blog/best-answer-engine-optimization-agencies/")</f>
        <v>https://nogood.io/blog/best-answer-engine-optimization-agencies/</v>
      </c>
      <c r="B348" s="11" t="str">
        <f>IFERROR(__xludf.DUMMYFUNCTION("""COMPUTED_VALUE"""),"Best Answer Engine Optimization (AEO) Agencies 2026 | NoGood")</f>
        <v>Best Answer Engine Optimization (AEO) Agencies 2026 | NoGood</v>
      </c>
      <c r="C348" s="8" t="str">
        <f>IFERROR(__xludf.DUMMYFUNCTION("""COMPUTED_VALUE"""),"nogood.io")</f>
        <v>nogood.io</v>
      </c>
      <c r="D348" s="11" t="str">
        <f>IFERROR(__xludf.DUMMYFUNCTION("""COMPUTED_VALUE"""),"LISTICLE")</f>
        <v>LISTICLE</v>
      </c>
      <c r="E348" s="11" t="str">
        <f>IFERROR(__xludf.DUMMYFUNCTION("""COMPUTED_VALUE"""),"CORPORATE")</f>
        <v>CORPORATE</v>
      </c>
      <c r="F348" s="11" t="str">
        <f>IFERROR(__xludf.DUMMYFUNCTION("""COMPUTED_VALUE"""),"Listicle")</f>
        <v>Listicle</v>
      </c>
      <c r="G348" s="11" t="b">
        <f>IFERROR(__xludf.DUMMYFUNCTION("""COMPUTED_VALUE"""),FALSE)</f>
        <v>0</v>
      </c>
      <c r="H348" s="11" t="str">
        <f>IFERROR(__xludf.DUMMYFUNCTION("""COMPUTED_VALUE"""),"NoGood, iPullRank, Omniscient Digital")</f>
        <v>NoGood, iPullRank, Omniscient Digital</v>
      </c>
      <c r="I348" s="11">
        <f>IFERROR(__xludf.DUMMYFUNCTION("""COMPUTED_VALUE"""),2.0)</f>
        <v>2</v>
      </c>
      <c r="J348" s="11">
        <f>IFERROR(__xludf.DUMMYFUNCTION("""COMPUTED_VALUE"""),0.0)</f>
        <v>0</v>
      </c>
      <c r="K348" s="11">
        <f>IFERROR(__xludf.DUMMYFUNCTION("""COMPUTED_VALUE"""),1.0)</f>
        <v>1</v>
      </c>
      <c r="L348" s="11"/>
    </row>
    <row r="349" ht="15.75" customHeight="1">
      <c r="A349" s="8" t="str">
        <f>IFERROR(__xludf.DUMMYFUNCTION("""COMPUTED_VALUE"""),"https://www.oneclub.org/press/-adc100-rankings")</f>
        <v>https://www.oneclub.org/press/-adc100-rankings</v>
      </c>
      <c r="B349" s="11" t="str">
        <f>IFERROR(__xludf.DUMMYFUNCTION("""COMPUTED_VALUE"""),"DDB Group Germany is World’s Top-Ranked Agency In ADC 100th Annual Awards Global Creative Rankings | The One Club")</f>
        <v>DDB Group Germany is World’s Top-Ranked Agency In ADC 100th Annual Awards Global Creative Rankings | The One Club</v>
      </c>
      <c r="C349" s="8" t="str">
        <f>IFERROR(__xludf.DUMMYFUNCTION("""COMPUTED_VALUE"""),"oneclub.org")</f>
        <v>oneclub.org</v>
      </c>
      <c r="D349" s="11" t="str">
        <f>IFERROR(__xludf.DUMMYFUNCTION("""COMPUTED_VALUE"""),"LISTICLE")</f>
        <v>LISTICLE</v>
      </c>
      <c r="E349" s="11" t="str">
        <f>IFERROR(__xludf.DUMMYFUNCTION("""COMPUTED_VALUE"""),"INSTITUTIONAL")</f>
        <v>INSTITUTIONAL</v>
      </c>
      <c r="F349" s="11" t="str">
        <f>IFERROR(__xludf.DUMMYFUNCTION("""COMPUTED_VALUE"""),"Listicle")</f>
        <v>Listicle</v>
      </c>
      <c r="G349" s="11" t="b">
        <f>IFERROR(__xludf.DUMMYFUNCTION("""COMPUTED_VALUE"""),FALSE)</f>
        <v>0</v>
      </c>
      <c r="H349" s="11" t="str">
        <f>IFERROR(__xludf.DUMMYFUNCTION("""COMPUTED_VALUE"""),"Media.Monks, Ogilvy, Dentsu")</f>
        <v>Media.Monks, Ogilvy, Dentsu</v>
      </c>
      <c r="I349" s="11">
        <f>IFERROR(__xludf.DUMMYFUNCTION("""COMPUTED_VALUE"""),2.0)</f>
        <v>2</v>
      </c>
      <c r="J349" s="11">
        <f>IFERROR(__xludf.DUMMYFUNCTION("""COMPUTED_VALUE"""),0.0)</f>
        <v>0</v>
      </c>
      <c r="K349" s="11">
        <f>IFERROR(__xludf.DUMMYFUNCTION("""COMPUTED_VALUE"""),0.0)</f>
        <v>0</v>
      </c>
      <c r="L349" s="11"/>
    </row>
    <row r="350" ht="15.75" customHeight="1">
      <c r="A350" s="8" t="str">
        <f>IFERROR(__xludf.DUMMYFUNCTION("""COMPUTED_VALUE"""),"https://onelittleweb.com/top-agencies/top-performance-marketing-agencies/")</f>
        <v>https://onelittleweb.com/top-agencies/top-performance-marketing-agencies/</v>
      </c>
      <c r="B350" s="11" t="str">
        <f>IFERROR(__xludf.DUMMYFUNCTION("""COMPUTED_VALUE"""),"Top Performance Marketing Agencies 2026 – Ranked &amp;amp; Reviewed")</f>
        <v>Top Performance Marketing Agencies 2026 – Ranked &amp;amp; Reviewed</v>
      </c>
      <c r="C350" s="8" t="str">
        <f>IFERROR(__xludf.DUMMYFUNCTION("""COMPUTED_VALUE"""),"onelittleweb.com")</f>
        <v>onelittleweb.com</v>
      </c>
      <c r="D350" s="11" t="str">
        <f>IFERROR(__xludf.DUMMYFUNCTION("""COMPUTED_VALUE"""),"LISTICLE")</f>
        <v>LISTICLE</v>
      </c>
      <c r="E350" s="11" t="str">
        <f>IFERROR(__xludf.DUMMYFUNCTION("""COMPUTED_VALUE"""),"CORPORATE")</f>
        <v>CORPORATE</v>
      </c>
      <c r="F350" s="11" t="str">
        <f>IFERROR(__xludf.DUMMYFUNCTION("""COMPUTED_VALUE"""),"Listicle")</f>
        <v>Listicle</v>
      </c>
      <c r="G350" s="11" t="b">
        <f>IFERROR(__xludf.DUMMYFUNCTION("""COMPUTED_VALUE"""),FALSE)</f>
        <v>0</v>
      </c>
      <c r="H350" s="11" t="str">
        <f>IFERROR(__xludf.DUMMYFUNCTION("""COMPUTED_VALUE"""),"WebFX, SmartSites, Disruptive Advertising, DEPT, MONSOON")</f>
        <v>WebFX, SmartSites, Disruptive Advertising, DEPT, MONSOON</v>
      </c>
      <c r="I350" s="11">
        <f>IFERROR(__xludf.DUMMYFUNCTION("""COMPUTED_VALUE"""),2.0)</f>
        <v>2</v>
      </c>
      <c r="J350" s="11">
        <f>IFERROR(__xludf.DUMMYFUNCTION("""COMPUTED_VALUE"""),0.0)</f>
        <v>0</v>
      </c>
      <c r="K350" s="11">
        <f>IFERROR(__xludf.DUMMYFUNCTION("""COMPUTED_VALUE"""),1.5)</f>
        <v>1.5</v>
      </c>
      <c r="L350" s="11"/>
    </row>
    <row r="351" ht="15.75" customHeight="1">
      <c r="A351" s="8" t="str">
        <f>IFERROR(__xludf.DUMMYFUNCTION("""COMPUTED_VALUE"""),"https://www.outsourceaccelerator.com/guide/top-advertising-agencies-in-europe/")</f>
        <v>https://www.outsourceaccelerator.com/guide/top-advertising-agencies-in-europe/</v>
      </c>
      <c r="B351" s="11" t="str">
        <f>IFERROR(__xludf.DUMMYFUNCTION("""COMPUTED_VALUE"""),"Top 15 advertising agencies in Europe | Outsource Accelerator")</f>
        <v>Top 15 advertising agencies in Europe | Outsource Accelerator</v>
      </c>
      <c r="C351" s="8" t="str">
        <f>IFERROR(__xludf.DUMMYFUNCTION("""COMPUTED_VALUE"""),"outsourceaccelerator.com")</f>
        <v>outsourceaccelerator.com</v>
      </c>
      <c r="D351" s="11" t="str">
        <f>IFERROR(__xludf.DUMMYFUNCTION("""COMPUTED_VALUE"""),"LISTICLE")</f>
        <v>LISTICLE</v>
      </c>
      <c r="E351" s="11" t="str">
        <f>IFERROR(__xludf.DUMMYFUNCTION("""COMPUTED_VALUE"""),"INSTITUTIONAL")</f>
        <v>INSTITUTIONAL</v>
      </c>
      <c r="F351" s="11" t="str">
        <f>IFERROR(__xludf.DUMMYFUNCTION("""COMPUTED_VALUE"""),"Listicle")</f>
        <v>Listicle</v>
      </c>
      <c r="G351" s="11" t="b">
        <f>IFERROR(__xludf.DUMMYFUNCTION("""COMPUTED_VALUE"""),FALSE)</f>
        <v>0</v>
      </c>
      <c r="H351" s="11" t="str">
        <f>IFERROR(__xludf.DUMMYFUNCTION("""COMPUTED_VALUE"""),"Mindshare, Serviceplan Group, GroupM")</f>
        <v>Mindshare, Serviceplan Group, GroupM</v>
      </c>
      <c r="I351" s="11">
        <f>IFERROR(__xludf.DUMMYFUNCTION("""COMPUTED_VALUE"""),2.0)</f>
        <v>2</v>
      </c>
      <c r="J351" s="11">
        <f>IFERROR(__xludf.DUMMYFUNCTION("""COMPUTED_VALUE"""),0.0)</f>
        <v>0</v>
      </c>
      <c r="K351" s="11">
        <f>IFERROR(__xludf.DUMMYFUNCTION("""COMPUTED_VALUE"""),1.0)</f>
        <v>1</v>
      </c>
      <c r="L351" s="11"/>
    </row>
    <row r="352" ht="15.75" customHeight="1">
      <c r="A352" s="8" t="str">
        <f>IFERROR(__xludf.DUMMYFUNCTION("""COMPUTED_VALUE"""),"https://www.reddit.com/r/PPC/comments/1tkc7rr/which_ppc_agencies_are_actually_considered_the/")</f>
        <v>https://www.reddit.com/r/PPC/comments/1tkc7rr/which_ppc_agencies_are_actually_considered_the/</v>
      </c>
      <c r="B352" s="11" t="str">
        <f>IFERROR(__xludf.DUMMYFUNCTION("""COMPUTED_VALUE"""),"Which PPC agencies are actually considered the best right now?")</f>
        <v>Which PPC agencies are actually considered the best right now?</v>
      </c>
      <c r="C352" s="8" t="str">
        <f>IFERROR(__xludf.DUMMYFUNCTION("""COMPUTED_VALUE"""),"reddit.com")</f>
        <v>reddit.com</v>
      </c>
      <c r="D352" s="11" t="str">
        <f>IFERROR(__xludf.DUMMYFUNCTION("""COMPUTED_VALUE"""),"DISCUSSION")</f>
        <v>DISCUSSION</v>
      </c>
      <c r="E352" s="11" t="str">
        <f>IFERROR(__xludf.DUMMYFUNCTION("""COMPUTED_VALUE"""),"UGC")</f>
        <v>UGC</v>
      </c>
      <c r="F352" s="11" t="str">
        <f>IFERROR(__xludf.DUMMYFUNCTION("""COMPUTED_VALUE"""),"Discussion")</f>
        <v>Discussion</v>
      </c>
      <c r="G352" s="11" t="b">
        <f>IFERROR(__xludf.DUMMYFUNCTION("""COMPUTED_VALUE"""),FALSE)</f>
        <v>0</v>
      </c>
      <c r="H352" s="11" t="str">
        <f>IFERROR(__xludf.DUMMYFUNCTION("""COMPUTED_VALUE"""),"Dentsu, Measured, WPP, Omnicom")</f>
        <v>Dentsu, Measured, WPP, Omnicom</v>
      </c>
      <c r="I352" s="11">
        <f>IFERROR(__xludf.DUMMYFUNCTION("""COMPUTED_VALUE"""),2.0)</f>
        <v>2</v>
      </c>
      <c r="J352" s="11">
        <f>IFERROR(__xludf.DUMMYFUNCTION("""COMPUTED_VALUE"""),0.0)</f>
        <v>0</v>
      </c>
      <c r="K352" s="11">
        <f>IFERROR(__xludf.DUMMYFUNCTION("""COMPUTED_VALUE"""),1.5)</f>
        <v>1.5</v>
      </c>
      <c r="L352" s="11"/>
    </row>
    <row r="353" ht="15.75" customHeight="1">
      <c r="A353" s="8" t="str">
        <f>IFERROR(__xludf.DUMMYFUNCTION("""COMPUTED_VALUE"""),"https://www.reddit.com/r/aeo/comments/1twcbr2/best_aeo_agency_guide_what_to_look_for_in_an/")</f>
        <v>https://www.reddit.com/r/aeo/comments/1twcbr2/best_aeo_agency_guide_what_to_look_for_in_an/</v>
      </c>
      <c r="B353" s="11" t="str">
        <f>IFERROR(__xludf.DUMMYFUNCTION("""COMPUTED_VALUE"""),"Best AEO Agency Guide What to Look for in an Answer Engine Partner?")</f>
        <v>Best AEO Agency Guide What to Look for in an Answer Engine Partner?</v>
      </c>
      <c r="C353" s="8" t="str">
        <f>IFERROR(__xludf.DUMMYFUNCTION("""COMPUTED_VALUE"""),"reddit.com")</f>
        <v>reddit.com</v>
      </c>
      <c r="D353" s="11" t="str">
        <f>IFERROR(__xludf.DUMMYFUNCTION("""COMPUTED_VALUE"""),"DISCUSSION")</f>
        <v>DISCUSSION</v>
      </c>
      <c r="E353" s="11" t="str">
        <f>IFERROR(__xludf.DUMMYFUNCTION("""COMPUTED_VALUE"""),"UGC")</f>
        <v>UGC</v>
      </c>
      <c r="F353" s="11" t="str">
        <f>IFERROR(__xludf.DUMMYFUNCTION("""COMPUTED_VALUE"""),"Discussion")</f>
        <v>Discussion</v>
      </c>
      <c r="G353" s="11" t="b">
        <f>IFERROR(__xludf.DUMMYFUNCTION("""COMPUTED_VALUE"""),FALSE)</f>
        <v>0</v>
      </c>
      <c r="H353" s="11" t="str">
        <f>IFERROR(__xludf.DUMMYFUNCTION("""COMPUTED_VALUE"""),"Huge")</f>
        <v>Huge</v>
      </c>
      <c r="I353" s="11">
        <f>IFERROR(__xludf.DUMMYFUNCTION("""COMPUTED_VALUE"""),2.0)</f>
        <v>2</v>
      </c>
      <c r="J353" s="11">
        <f>IFERROR(__xludf.DUMMYFUNCTION("""COMPUTED_VALUE"""),0.0)</f>
        <v>0</v>
      </c>
      <c r="K353" s="11">
        <f>IFERROR(__xludf.DUMMYFUNCTION("""COMPUTED_VALUE"""),2.0)</f>
        <v>2</v>
      </c>
      <c r="L353" s="11"/>
    </row>
    <row r="354" ht="15.75" customHeight="1">
      <c r="A354" s="8" t="str">
        <f>IFERROR(__xludf.DUMMYFUNCTION("""COMPUTED_VALUE"""),"https://rocketium.ai/academy/all/ai-tools-scaling-creative-production")</f>
        <v>https://rocketium.ai/academy/all/ai-tools-scaling-creative-production</v>
      </c>
      <c r="B354" s="11" t="str">
        <f>IFERROR(__xludf.DUMMYFUNCTION("""COMPUTED_VALUE"""),"Top 6 AI tools for scaling creative production in 2026")</f>
        <v>Top 6 AI tools for scaling creative production in 2026</v>
      </c>
      <c r="C354" s="8" t="str">
        <f>IFERROR(__xludf.DUMMYFUNCTION("""COMPUTED_VALUE"""),"rocketium.ai")</f>
        <v>rocketium.ai</v>
      </c>
      <c r="D354" s="11" t="str">
        <f>IFERROR(__xludf.DUMMYFUNCTION("""COMPUTED_VALUE"""),"LISTICLE")</f>
        <v>LISTICLE</v>
      </c>
      <c r="E354" s="11" t="str">
        <f>IFERROR(__xludf.DUMMYFUNCTION("""COMPUTED_VALUE"""),"CORPORATE")</f>
        <v>CORPORATE</v>
      </c>
      <c r="F354" s="11" t="str">
        <f>IFERROR(__xludf.DUMMYFUNCTION("""COMPUTED_VALUE"""),"Listicle")</f>
        <v>Listicle</v>
      </c>
      <c r="G354" s="11" t="b">
        <f>IFERROR(__xludf.DUMMYFUNCTION("""COMPUTED_VALUE"""),FALSE)</f>
        <v>0</v>
      </c>
      <c r="H354" s="11" t="str">
        <f>IFERROR(__xludf.DUMMYFUNCTION("""COMPUTED_VALUE"""),"Pilot, Superside")</f>
        <v>Pilot, Superside</v>
      </c>
      <c r="I354" s="11">
        <f>IFERROR(__xludf.DUMMYFUNCTION("""COMPUTED_VALUE"""),2.0)</f>
        <v>2</v>
      </c>
      <c r="J354" s="11">
        <f>IFERROR(__xludf.DUMMYFUNCTION("""COMPUTED_VALUE"""),0.0)</f>
        <v>0</v>
      </c>
      <c r="K354" s="11">
        <f>IFERROR(__xludf.DUMMYFUNCTION("""COMPUTED_VALUE"""),1.0)</f>
        <v>1</v>
      </c>
      <c r="L354" s="11"/>
    </row>
    <row r="355" ht="15.75" customHeight="1">
      <c r="A355" s="8" t="str">
        <f>IFERROR(__xludf.DUMMYFUNCTION("""COMPUTED_VALUE"""),"https://www.rzlt.io/blog/best-ai-marketing-agencies-in-2026-the-definitive-guide-by-specialty")</f>
        <v>https://www.rzlt.io/blog/best-ai-marketing-agencies-in-2026-the-definitive-guide-by-specialty</v>
      </c>
      <c r="B355" s="11" t="str">
        <f>IFERROR(__xludf.DUMMYFUNCTION("""COMPUTED_VALUE"""),"Best AI Marketing Agencies in 2026: The Definitive Guide")</f>
        <v>Best AI Marketing Agencies in 2026: The Definitive Guide</v>
      </c>
      <c r="C355" s="8" t="str">
        <f>IFERROR(__xludf.DUMMYFUNCTION("""COMPUTED_VALUE"""),"rzlt.io")</f>
        <v>rzlt.io</v>
      </c>
      <c r="D355" s="11" t="str">
        <f>IFERROR(__xludf.DUMMYFUNCTION("""COMPUTED_VALUE"""),"LISTICLE")</f>
        <v>LISTICLE</v>
      </c>
      <c r="E355" s="11" t="str">
        <f>IFERROR(__xludf.DUMMYFUNCTION("""COMPUTED_VALUE"""),"CORPORATE")</f>
        <v>CORPORATE</v>
      </c>
      <c r="F355" s="11" t="str">
        <f>IFERROR(__xludf.DUMMYFUNCTION("""COMPUTED_VALUE"""),"Listicle")</f>
        <v>Listicle</v>
      </c>
      <c r="G355" s="11" t="b">
        <f>IFERROR(__xludf.DUMMYFUNCTION("""COMPUTED_VALUE"""),FALSE)</f>
        <v>0</v>
      </c>
      <c r="H355" s="11" t="str">
        <f>IFERROR(__xludf.DUMMYFUNCTION("""COMPUTED_VALUE"""),"HikeMyTraffic, Monks, NoGood, Superside, Wpromote, Jellyfish")</f>
        <v>HikeMyTraffic, Monks, NoGood, Superside, Wpromote, Jellyfish</v>
      </c>
      <c r="I355" s="11">
        <f>IFERROR(__xludf.DUMMYFUNCTION("""COMPUTED_VALUE"""),2.0)</f>
        <v>2</v>
      </c>
      <c r="J355" s="11">
        <f>IFERROR(__xludf.DUMMYFUNCTION("""COMPUTED_VALUE"""),0.0)</f>
        <v>0</v>
      </c>
      <c r="K355" s="11">
        <f>IFERROR(__xludf.DUMMYFUNCTION("""COMPUTED_VALUE"""),2.0)</f>
        <v>2</v>
      </c>
      <c r="L355" s="11"/>
    </row>
    <row r="356" ht="15.75" customHeight="1">
      <c r="A356" s="8" t="str">
        <f>IFERROR(__xludf.DUMMYFUNCTION("""COMPUTED_VALUE"""),"https://scalixai.com/blog/best-performance-marketing-agencies#:~:text=revenue%20growth%22%20claims.-,The%2015%20Best%20Performance%20Marketing%20Agencies%20for%202026,performance%20marketing%20for%20a%20reason.")</f>
        <v>https://scalixai.com/blog/best-performance-marketing-agencies#:~:text=revenue%20growth%22%20claims.-,The%2015%20Best%20Performance%20Marketing%20Agencies%20for%202026,performance%20marketing%20for%20a%20reason.</v>
      </c>
      <c r="B356" s="11" t="str">
        <f>IFERROR(__xludf.DUMMYFUNCTION("""COMPUTED_VALUE"""),"The Best Performance Marketing Agencies for 2026 | ScalixAI")</f>
        <v>The Best Performance Marketing Agencies for 2026 | ScalixAI</v>
      </c>
      <c r="C356" s="8" t="str">
        <f>IFERROR(__xludf.DUMMYFUNCTION("""COMPUTED_VALUE"""),"scalixai.com")</f>
        <v>scalixai.com</v>
      </c>
      <c r="D356" s="11" t="str">
        <f>IFERROR(__xludf.DUMMYFUNCTION("""COMPUTED_VALUE"""),"LISTICLE")</f>
        <v>LISTICLE</v>
      </c>
      <c r="E356" s="11" t="str">
        <f>IFERROR(__xludf.DUMMYFUNCTION("""COMPUTED_VALUE"""),"CORPORATE")</f>
        <v>CORPORATE</v>
      </c>
      <c r="F356" s="11" t="str">
        <f>IFERROR(__xludf.DUMMYFUNCTION("""COMPUTED_VALUE"""),"Listicle")</f>
        <v>Listicle</v>
      </c>
      <c r="G356" s="11" t="b">
        <f>IFERROR(__xludf.DUMMYFUNCTION("""COMPUTED_VALUE"""),FALSE)</f>
        <v>0</v>
      </c>
      <c r="H356" s="11" t="str">
        <f>IFERROR(__xludf.DUMMYFUNCTION("""COMPUTED_VALUE"""),"Refine Labs, NoGood, Single Grain, Wpromote, Omniscient Digital, Darkroom, Common Thread Collective")</f>
        <v>Refine Labs, NoGood, Single Grain, Wpromote, Omniscient Digital, Darkroom, Common Thread Collective</v>
      </c>
      <c r="I356" s="11">
        <f>IFERROR(__xludf.DUMMYFUNCTION("""COMPUTED_VALUE"""),2.0)</f>
        <v>2</v>
      </c>
      <c r="J356" s="11">
        <f>IFERROR(__xludf.DUMMYFUNCTION("""COMPUTED_VALUE"""),0.0)</f>
        <v>0</v>
      </c>
      <c r="K356" s="11">
        <f>IFERROR(__xludf.DUMMYFUNCTION("""COMPUTED_VALUE"""),1.5)</f>
        <v>1.5</v>
      </c>
      <c r="L356" s="11"/>
    </row>
    <row r="357" ht="15.75" customHeight="1">
      <c r="A357" s="8" t="str">
        <f>IFERROR(__xludf.DUMMYFUNCTION("""COMPUTED_VALUE"""),"https://scopicstudios.com/blog/best-incrementality-testing-tools-2026/")</f>
        <v>https://scopicstudios.com/blog/best-incrementality-testing-tools-2026/</v>
      </c>
      <c r="B357" s="11" t="str">
        <f>IFERROR(__xludf.DUMMYFUNCTION("""COMPUTED_VALUE"""),"8 Best Incrementality Testing Tools for Measurement")</f>
        <v>8 Best Incrementality Testing Tools for Measurement</v>
      </c>
      <c r="C357" s="8" t="str">
        <f>IFERROR(__xludf.DUMMYFUNCTION("""COMPUTED_VALUE"""),"scopicstudios.com")</f>
        <v>scopicstudios.com</v>
      </c>
      <c r="D357" s="11" t="str">
        <f>IFERROR(__xludf.DUMMYFUNCTION("""COMPUTED_VALUE"""),"CATEGORY_PAGE")</f>
        <v>CATEGORY_PAGE</v>
      </c>
      <c r="E357" s="11" t="str">
        <f>IFERROR(__xludf.DUMMYFUNCTION("""COMPUTED_VALUE"""),"CORPORATE")</f>
        <v>CORPORATE</v>
      </c>
      <c r="F357" s="11" t="str">
        <f>IFERROR(__xludf.DUMMYFUNCTION("""COMPUTED_VALUE"""),"Category Page")</f>
        <v>Category Page</v>
      </c>
      <c r="G357" s="11" t="b">
        <f>IFERROR(__xludf.DUMMYFUNCTION("""COMPUTED_VALUE"""),FALSE)</f>
        <v>0</v>
      </c>
      <c r="H357" s="11"/>
      <c r="I357" s="11">
        <f>IFERROR(__xludf.DUMMYFUNCTION("""COMPUTED_VALUE"""),2.0)</f>
        <v>2</v>
      </c>
      <c r="J357" s="11">
        <f>IFERROR(__xludf.DUMMYFUNCTION("""COMPUTED_VALUE"""),0.0)</f>
        <v>0</v>
      </c>
      <c r="K357" s="11">
        <f>IFERROR(__xludf.DUMMYFUNCTION("""COMPUTED_VALUE"""),0.5)</f>
        <v>0.5</v>
      </c>
      <c r="L357" s="11"/>
    </row>
    <row r="358" ht="15.75" customHeight="1">
      <c r="A358" s="8" t="str">
        <f>IFERROR(__xludf.DUMMYFUNCTION("""COMPUTED_VALUE"""),"https://segmentstream.com/blog/articles/best-attribution-tools")</f>
        <v>https://segmentstream.com/blog/articles/best-attribution-tools</v>
      </c>
      <c r="B358" s="11" t="str">
        <f>IFERROR(__xludf.DUMMYFUNCTION("""COMPUTED_VALUE"""),"10 Best Marketing Attribution Tools &amp;amp; Platforms (2026) — SegmentStream")</f>
        <v>10 Best Marketing Attribution Tools &amp;amp; Platforms (2026) — SegmentStream</v>
      </c>
      <c r="C358" s="8" t="str">
        <f>IFERROR(__xludf.DUMMYFUNCTION("""COMPUTED_VALUE"""),"segmentstream.com")</f>
        <v>segmentstream.com</v>
      </c>
      <c r="D358" s="11" t="str">
        <f>IFERROR(__xludf.DUMMYFUNCTION("""COMPUTED_VALUE"""),"LISTICLE")</f>
        <v>LISTICLE</v>
      </c>
      <c r="E358" s="11" t="str">
        <f>IFERROR(__xludf.DUMMYFUNCTION("""COMPUTED_VALUE"""),"COMPETITOR")</f>
        <v>COMPETITOR</v>
      </c>
      <c r="F358" s="11" t="str">
        <f>IFERROR(__xludf.DUMMYFUNCTION("""COMPUTED_VALUE"""),"Listicle")</f>
        <v>Listicle</v>
      </c>
      <c r="G358" s="11" t="b">
        <f>IFERROR(__xludf.DUMMYFUNCTION("""COMPUTED_VALUE"""),FALSE)</f>
        <v>0</v>
      </c>
      <c r="H358" s="11" t="str">
        <f>IFERROR(__xludf.DUMMYFUNCTION("""COMPUTED_VALUE"""),"SegmentStream, Triple Whale, Northbeam, Dreamdata, Measured, Rockerbox, Ruler Analytics")</f>
        <v>SegmentStream, Triple Whale, Northbeam, Dreamdata, Measured, Rockerbox, Ruler Analytics</v>
      </c>
      <c r="I358" s="11">
        <f>IFERROR(__xludf.DUMMYFUNCTION("""COMPUTED_VALUE"""),2.0)</f>
        <v>2</v>
      </c>
      <c r="J358" s="11">
        <f>IFERROR(__xludf.DUMMYFUNCTION("""COMPUTED_VALUE"""),0.0)</f>
        <v>0</v>
      </c>
      <c r="K358" s="11">
        <f>IFERROR(__xludf.DUMMYFUNCTION("""COMPUTED_VALUE"""),0.0)</f>
        <v>0</v>
      </c>
      <c r="L358" s="11"/>
    </row>
    <row r="359" ht="15.75" customHeight="1">
      <c r="A359" s="8" t="str">
        <f>IFERROR(__xludf.DUMMYFUNCTION("""COMPUTED_VALUE"""),"https://segmentstream.com/blog/articles/measured-com-alternatives")</f>
        <v>https://segmentstream.com/blog/articles/measured-com-alternatives</v>
      </c>
      <c r="B359" s="11" t="str">
        <f>IFERROR(__xludf.DUMMYFUNCTION("""COMPUTED_VALUE"""),"9 Best Measured Alternatives &amp;amp; Competitors for Incrementality Testing in 2026 — SegmentStream")</f>
        <v>9 Best Measured Alternatives &amp;amp; Competitors for Incrementality Testing in 2026 — SegmentStream</v>
      </c>
      <c r="C359" s="8" t="str">
        <f>IFERROR(__xludf.DUMMYFUNCTION("""COMPUTED_VALUE"""),"segmentstream.com")</f>
        <v>segmentstream.com</v>
      </c>
      <c r="D359" s="11" t="str">
        <f>IFERROR(__xludf.DUMMYFUNCTION("""COMPUTED_VALUE"""),"ALTERNATIVE")</f>
        <v>ALTERNATIVE</v>
      </c>
      <c r="E359" s="11" t="str">
        <f>IFERROR(__xludf.DUMMYFUNCTION("""COMPUTED_VALUE"""),"COMPETITOR")</f>
        <v>COMPETITOR</v>
      </c>
      <c r="F359" s="11" t="str">
        <f>IFERROR(__xludf.DUMMYFUNCTION("""COMPUTED_VALUE"""),"Alternative")</f>
        <v>Alternative</v>
      </c>
      <c r="G359" s="11" t="b">
        <f>IFERROR(__xludf.DUMMYFUNCTION("""COMPUTED_VALUE"""),FALSE)</f>
        <v>0</v>
      </c>
      <c r="H359" s="11" t="str">
        <f>IFERROR(__xludf.DUMMYFUNCTION("""COMPUTED_VALUE"""),"SegmentStream, Measured, Haus, LifeSight, INCRMNTAL, Recast, Momentum, Sellforte")</f>
        <v>SegmentStream, Measured, Haus, LifeSight, INCRMNTAL, Recast, Momentum, Sellforte</v>
      </c>
      <c r="I359" s="11">
        <f>IFERROR(__xludf.DUMMYFUNCTION("""COMPUTED_VALUE"""),2.0)</f>
        <v>2</v>
      </c>
      <c r="J359" s="11">
        <f>IFERROR(__xludf.DUMMYFUNCTION("""COMPUTED_VALUE"""),0.0)</f>
        <v>0</v>
      </c>
      <c r="K359" s="11">
        <f>IFERROR(__xludf.DUMMYFUNCTION("""COMPUTED_VALUE"""),0.0)</f>
        <v>0</v>
      </c>
      <c r="L359" s="11"/>
    </row>
    <row r="360" ht="15.75" customHeight="1">
      <c r="A360" s="8" t="str">
        <f>IFERROR(__xludf.DUMMYFUNCTION("""COMPUTED_VALUE"""),"https://segmentstream.com/blog/articles/top-haus-io-alternatives-for-geo-lift-incrementality-testing")</f>
        <v>https://segmentstream.com/blog/articles/top-haus-io-alternatives-for-geo-lift-incrementality-testing</v>
      </c>
      <c r="B360" s="11" t="str">
        <f>IFERROR(__xludf.DUMMYFUNCTION("""COMPUTED_VALUE"""),"5 Best Haus.io Alternatives (2026) — SegmentStream")</f>
        <v>5 Best Haus.io Alternatives (2026) — SegmentStream</v>
      </c>
      <c r="C360" s="8" t="str">
        <f>IFERROR(__xludf.DUMMYFUNCTION("""COMPUTED_VALUE"""),"segmentstream.com")</f>
        <v>segmentstream.com</v>
      </c>
      <c r="D360" s="11" t="str">
        <f>IFERROR(__xludf.DUMMYFUNCTION("""COMPUTED_VALUE"""),"ALTERNATIVE")</f>
        <v>ALTERNATIVE</v>
      </c>
      <c r="E360" s="11" t="str">
        <f>IFERROR(__xludf.DUMMYFUNCTION("""COMPUTED_VALUE"""),"COMPETITOR")</f>
        <v>COMPETITOR</v>
      </c>
      <c r="F360" s="11" t="str">
        <f>IFERROR(__xludf.DUMMYFUNCTION("""COMPUTED_VALUE"""),"Alternative")</f>
        <v>Alternative</v>
      </c>
      <c r="G360" s="11" t="b">
        <f>IFERROR(__xludf.DUMMYFUNCTION("""COMPUTED_VALUE"""),FALSE)</f>
        <v>0</v>
      </c>
      <c r="H360" s="11" t="str">
        <f>IFERROR(__xludf.DUMMYFUNCTION("""COMPUTED_VALUE"""),"SegmentStream, Haus, Measured, INCRMNTAL, Recast")</f>
        <v>SegmentStream, Haus, Measured, INCRMNTAL, Recast</v>
      </c>
      <c r="I360" s="11">
        <f>IFERROR(__xludf.DUMMYFUNCTION("""COMPUTED_VALUE"""),2.0)</f>
        <v>2</v>
      </c>
      <c r="J360" s="11">
        <f>IFERROR(__xludf.DUMMYFUNCTION("""COMPUTED_VALUE"""),0.0)</f>
        <v>0</v>
      </c>
      <c r="K360" s="11">
        <f>IFERROR(__xludf.DUMMYFUNCTION("""COMPUTED_VALUE"""),0.0)</f>
        <v>0</v>
      </c>
      <c r="L360" s="11"/>
    </row>
    <row r="361" ht="15.75" customHeight="1">
      <c r="A361" s="8" t="str">
        <f>IFERROR(__xludf.DUMMYFUNCTION("""COMPUTED_VALUE"""),"https://www.seoworks.com/lists/top-b2b-geo-and-aeo-agencies/")</f>
        <v>https://www.seoworks.com/lists/top-b2b-geo-and-aeo-agencies/</v>
      </c>
      <c r="B361" s="11" t="str">
        <f>IFERROR(__xludf.DUMMYFUNCTION("""COMPUTED_VALUE"""),"Top 20 B2B GEO and AEO Agencies (2026) | The SEO Works")</f>
        <v>Top 20 B2B GEO and AEO Agencies (2026) | The SEO Works</v>
      </c>
      <c r="C361" s="8" t="str">
        <f>IFERROR(__xludf.DUMMYFUNCTION("""COMPUTED_VALUE"""),"seoworks.com")</f>
        <v>seoworks.com</v>
      </c>
      <c r="D361" s="11" t="str">
        <f>IFERROR(__xludf.DUMMYFUNCTION("""COMPUTED_VALUE"""),"LISTICLE")</f>
        <v>LISTICLE</v>
      </c>
      <c r="E361" s="11" t="str">
        <f>IFERROR(__xludf.DUMMYFUNCTION("""COMPUTED_VALUE"""),"CORPORATE")</f>
        <v>CORPORATE</v>
      </c>
      <c r="F361" s="11" t="str">
        <f>IFERROR(__xludf.DUMMYFUNCTION("""COMPUTED_VALUE"""),"Listicle")</f>
        <v>Listicle</v>
      </c>
      <c r="G361" s="11" t="b">
        <f>IFERROR(__xludf.DUMMYFUNCTION("""COMPUTED_VALUE"""),FALSE)</f>
        <v>0</v>
      </c>
      <c r="H361" s="11" t="str">
        <f>IFERROR(__xludf.DUMMYFUNCTION("""COMPUTED_VALUE"""),"Omnius, WebFX")</f>
        <v>Omnius, WebFX</v>
      </c>
      <c r="I361" s="11">
        <f>IFERROR(__xludf.DUMMYFUNCTION("""COMPUTED_VALUE"""),2.0)</f>
        <v>2</v>
      </c>
      <c r="J361" s="11">
        <f>IFERROR(__xludf.DUMMYFUNCTION("""COMPUTED_VALUE"""),0.0)</f>
        <v>0</v>
      </c>
      <c r="K361" s="11">
        <f>IFERROR(__xludf.DUMMYFUNCTION("""COMPUTED_VALUE"""),0.0)</f>
        <v>0</v>
      </c>
      <c r="L361" s="11"/>
    </row>
    <row r="362" ht="15.75" customHeight="1">
      <c r="A362" s="8" t="str">
        <f>IFERROR(__xludf.DUMMYFUNCTION("""COMPUTED_VALUE"""),"https://silverspoonagency.com/best-performance-marketing-agencies/")</f>
        <v>https://silverspoonagency.com/best-performance-marketing-agencies/</v>
      </c>
      <c r="B362" s="11" t="str">
        <f>IFERROR(__xludf.DUMMYFUNCTION("""COMPUTED_VALUE"""),"7 Best Performance marketing agencies to Drive ROI in 2026")</f>
        <v>7 Best Performance marketing agencies to Drive ROI in 2026</v>
      </c>
      <c r="C362" s="8" t="str">
        <f>IFERROR(__xludf.DUMMYFUNCTION("""COMPUTED_VALUE"""),"silverspoonagency.com")</f>
        <v>silverspoonagency.com</v>
      </c>
      <c r="D362" s="11" t="str">
        <f>IFERROR(__xludf.DUMMYFUNCTION("""COMPUTED_VALUE"""),"LISTICLE")</f>
        <v>LISTICLE</v>
      </c>
      <c r="E362" s="11" t="str">
        <f>IFERROR(__xludf.DUMMYFUNCTION("""COMPUTED_VALUE"""),"CORPORATE")</f>
        <v>CORPORATE</v>
      </c>
      <c r="F362" s="11" t="str">
        <f>IFERROR(__xludf.DUMMYFUNCTION("""COMPUTED_VALUE"""),"Listicle")</f>
        <v>Listicle</v>
      </c>
      <c r="G362" s="11" t="b">
        <f>IFERROR(__xludf.DUMMYFUNCTION("""COMPUTED_VALUE"""),FALSE)</f>
        <v>0</v>
      </c>
      <c r="H362" s="11" t="str">
        <f>IFERROR(__xludf.DUMMYFUNCTION("""COMPUTED_VALUE"""),"Pilot")</f>
        <v>Pilot</v>
      </c>
      <c r="I362" s="11">
        <f>IFERROR(__xludf.DUMMYFUNCTION("""COMPUTED_VALUE"""),2.0)</f>
        <v>2</v>
      </c>
      <c r="J362" s="11">
        <f>IFERROR(__xludf.DUMMYFUNCTION("""COMPUTED_VALUE"""),0.0)</f>
        <v>0</v>
      </c>
      <c r="K362" s="11">
        <f>IFERROR(__xludf.DUMMYFUNCTION("""COMPUTED_VALUE"""),0.5)</f>
        <v>0.5</v>
      </c>
      <c r="L362" s="11"/>
    </row>
    <row r="363" ht="15.75" customHeight="1">
      <c r="A363" s="8" t="str">
        <f>IFERROR(__xludf.DUMMYFUNCTION("""COMPUTED_VALUE"""),"https://social-media-agency-germany.com/social-media-growth-agencies")</f>
        <v>https://social-media-agency-germany.com/social-media-growth-agencies</v>
      </c>
      <c r="B363" s="11" t="str">
        <f>IFERROR(__xludf.DUMMYFUNCTION("""COMPUTED_VALUE"""),"The best Social Media Growth Agencies")</f>
        <v>The best Social Media Growth Agencies</v>
      </c>
      <c r="C363" s="8" t="str">
        <f>IFERROR(__xludf.DUMMYFUNCTION("""COMPUTED_VALUE"""),"social-media-agency-germany.com")</f>
        <v>social-media-agency-germany.com</v>
      </c>
      <c r="D363" s="11" t="str">
        <f>IFERROR(__xludf.DUMMYFUNCTION("""COMPUTED_VALUE"""),"PROFILE")</f>
        <v>PROFILE</v>
      </c>
      <c r="E363" s="11" t="str">
        <f>IFERROR(__xludf.DUMMYFUNCTION("""COMPUTED_VALUE"""),"CORPORATE")</f>
        <v>CORPORATE</v>
      </c>
      <c r="F363" s="11" t="str">
        <f>IFERROR(__xludf.DUMMYFUNCTION("""COMPUTED_VALUE"""),"Profile")</f>
        <v>Profile</v>
      </c>
      <c r="G363" s="11" t="b">
        <f>IFERROR(__xludf.DUMMYFUNCTION("""COMPUTED_VALUE"""),FALSE)</f>
        <v>0</v>
      </c>
      <c r="H363" s="11" t="str">
        <f>IFERROR(__xludf.DUMMYFUNCTION("""COMPUTED_VALUE"""),"PANORAMA3000, lehof, MONSOON, Digital Masters GmbH")</f>
        <v>PANORAMA3000, lehof, MONSOON, Digital Masters GmbH</v>
      </c>
      <c r="I363" s="11">
        <f>IFERROR(__xludf.DUMMYFUNCTION("""COMPUTED_VALUE"""),2.0)</f>
        <v>2</v>
      </c>
      <c r="J363" s="11">
        <f>IFERROR(__xludf.DUMMYFUNCTION("""COMPUTED_VALUE"""),0.0)</f>
        <v>0</v>
      </c>
      <c r="K363" s="11">
        <f>IFERROR(__xludf.DUMMYFUNCTION("""COMPUTED_VALUE"""),0.0)</f>
        <v>0</v>
      </c>
      <c r="L363" s="11"/>
    </row>
    <row r="364" ht="15.75" customHeight="1">
      <c r="A364" s="8" t="str">
        <f>IFERROR(__xludf.DUMMYFUNCTION("""COMPUTED_VALUE"""),"https://www.sortlist.com/i/s/growth-marketing/germany-de")</f>
        <v>https://www.sortlist.com/i/s/growth-marketing/germany-de</v>
      </c>
      <c r="B364" s="11" t="str">
        <f>IFERROR(__xludf.DUMMYFUNCTION("""COMPUTED_VALUE"""),"The 10 Best Growth Marketing Agencies in Germany - 2026 Reviews")</f>
        <v>The 10 Best Growth Marketing Agencies in Germany - 2026 Reviews</v>
      </c>
      <c r="C364" s="8" t="str">
        <f>IFERROR(__xludf.DUMMYFUNCTION("""COMPUTED_VALUE"""),"sortlist.com")</f>
        <v>sortlist.com</v>
      </c>
      <c r="D364" s="11" t="str">
        <f>IFERROR(__xludf.DUMMYFUNCTION("""COMPUTED_VALUE"""),"HOW_TO_GUIDE")</f>
        <v>HOW_TO_GUIDE</v>
      </c>
      <c r="E364" s="11" t="str">
        <f>IFERROR(__xludf.DUMMYFUNCTION("""COMPUTED_VALUE"""),"CORPORATE")</f>
        <v>CORPORATE</v>
      </c>
      <c r="F364" s="11" t="str">
        <f>IFERROR(__xludf.DUMMYFUNCTION("""COMPUTED_VALUE"""),"How-To Guide")</f>
        <v>How-To Guide</v>
      </c>
      <c r="G364" s="11" t="b">
        <f>IFERROR(__xludf.DUMMYFUNCTION("""COMPUTED_VALUE"""),FALSE)</f>
        <v>0</v>
      </c>
      <c r="H364" s="11" t="str">
        <f>IFERROR(__xludf.DUMMYFUNCTION("""COMPUTED_VALUE"""),"Triple Whale, Northbeam, Dreamdata, MONSOON, Measured")</f>
        <v>Triple Whale, Northbeam, Dreamdata, MONSOON, Measured</v>
      </c>
      <c r="I364" s="11">
        <f>IFERROR(__xludf.DUMMYFUNCTION("""COMPUTED_VALUE"""),2.0)</f>
        <v>2</v>
      </c>
      <c r="J364" s="11">
        <f>IFERROR(__xludf.DUMMYFUNCTION("""COMPUTED_VALUE"""),0.0)</f>
        <v>0</v>
      </c>
      <c r="K364" s="11">
        <f>IFERROR(__xludf.DUMMYFUNCTION("""COMPUTED_VALUE"""),1.0)</f>
        <v>1</v>
      </c>
      <c r="L364" s="11"/>
    </row>
    <row r="365" ht="15.75" customHeight="1">
      <c r="A365" s="8" t="str">
        <f>IFERROR(__xludf.DUMMYFUNCTION("""COMPUTED_VALUE"""),"https://www.sortlist.com/performance-marketing")</f>
        <v>https://www.sortlist.com/performance-marketing</v>
      </c>
      <c r="B365" s="11" t="str">
        <f>IFERROR(__xludf.DUMMYFUNCTION("""COMPUTED_VALUE"""),"The 100 Best Performance Marketing Agencies - 2026 Reviews")</f>
        <v>The 100 Best Performance Marketing Agencies - 2026 Reviews</v>
      </c>
      <c r="C365" s="8" t="str">
        <f>IFERROR(__xludf.DUMMYFUNCTION("""COMPUTED_VALUE"""),"sortlist.com")</f>
        <v>sortlist.com</v>
      </c>
      <c r="D365" s="11" t="str">
        <f>IFERROR(__xludf.DUMMYFUNCTION("""COMPUTED_VALUE"""),"CATEGORY_PAGE")</f>
        <v>CATEGORY_PAGE</v>
      </c>
      <c r="E365" s="11" t="str">
        <f>IFERROR(__xludf.DUMMYFUNCTION("""COMPUTED_VALUE"""),"CORPORATE")</f>
        <v>CORPORATE</v>
      </c>
      <c r="F365" s="11" t="str">
        <f>IFERROR(__xludf.DUMMYFUNCTION("""COMPUTED_VALUE"""),"Category Page")</f>
        <v>Category Page</v>
      </c>
      <c r="G365" s="11" t="b">
        <f>IFERROR(__xludf.DUMMYFUNCTION("""COMPUTED_VALUE"""),FALSE)</f>
        <v>0</v>
      </c>
      <c r="H365" s="11" t="str">
        <f>IFERROR(__xludf.DUMMYFUNCTION("""COMPUTED_VALUE"""),"MONSOON, Triple Whale, Northbeam, Dreamdata, Measured")</f>
        <v>MONSOON, Triple Whale, Northbeam, Dreamdata, Measured</v>
      </c>
      <c r="I365" s="11">
        <f>IFERROR(__xludf.DUMMYFUNCTION("""COMPUTED_VALUE"""),2.0)</f>
        <v>2</v>
      </c>
      <c r="J365" s="11">
        <f>IFERROR(__xludf.DUMMYFUNCTION("""COMPUTED_VALUE"""),0.0)</f>
        <v>0</v>
      </c>
      <c r="K365" s="11">
        <f>IFERROR(__xludf.DUMMYFUNCTION("""COMPUTED_VALUE"""),1.0)</f>
        <v>1</v>
      </c>
      <c r="L365" s="11"/>
    </row>
    <row r="366" ht="15.75" customHeight="1">
      <c r="A366" s="8" t="str">
        <f>IFERROR(__xludf.DUMMYFUNCTION("""COMPUTED_VALUE"""),"https://www.sortlist.com/s/b2b-digital-marketing/germany-de")</f>
        <v>https://www.sortlist.com/s/b2b-digital-marketing/germany-de</v>
      </c>
      <c r="B366" s="11" t="str">
        <f>IFERROR(__xludf.DUMMYFUNCTION("""COMPUTED_VALUE"""),"The 10 Best B2B Digital Marketing Agencies in Germany - 2026 Reviews")</f>
        <v>The 10 Best B2B Digital Marketing Agencies in Germany - 2026 Reviews</v>
      </c>
      <c r="C366" s="8" t="str">
        <f>IFERROR(__xludf.DUMMYFUNCTION("""COMPUTED_VALUE"""),"sortlist.com")</f>
        <v>sortlist.com</v>
      </c>
      <c r="D366" s="11" t="str">
        <f>IFERROR(__xludf.DUMMYFUNCTION("""COMPUTED_VALUE"""),"PROFILE")</f>
        <v>PROFILE</v>
      </c>
      <c r="E366" s="11" t="str">
        <f>IFERROR(__xludf.DUMMYFUNCTION("""COMPUTED_VALUE"""),"CORPORATE")</f>
        <v>CORPORATE</v>
      </c>
      <c r="F366" s="11" t="str">
        <f>IFERROR(__xludf.DUMMYFUNCTION("""COMPUTED_VALUE"""),"Profile")</f>
        <v>Profile</v>
      </c>
      <c r="G366" s="11" t="b">
        <f>IFERROR(__xludf.DUMMYFUNCTION("""COMPUTED_VALUE"""),FALSE)</f>
        <v>0</v>
      </c>
      <c r="H366" s="11" t="str">
        <f>IFERROR(__xludf.DUMMYFUNCTION("""COMPUTED_VALUE"""),"Mediacharge")</f>
        <v>Mediacharge</v>
      </c>
      <c r="I366" s="11">
        <f>IFERROR(__xludf.DUMMYFUNCTION("""COMPUTED_VALUE"""),2.0)</f>
        <v>2</v>
      </c>
      <c r="J366" s="11">
        <f>IFERROR(__xludf.DUMMYFUNCTION("""COMPUTED_VALUE"""),0.0)</f>
        <v>0</v>
      </c>
      <c r="K366" s="11">
        <f>IFERROR(__xludf.DUMMYFUNCTION("""COMPUTED_VALUE"""),0.0)</f>
        <v>0</v>
      </c>
      <c r="L366" s="11"/>
    </row>
    <row r="367" ht="15.75" customHeight="1">
      <c r="A367" s="8" t="str">
        <f>IFERROR(__xludf.DUMMYFUNCTION("""COMPUTED_VALUE"""),"https://www.sortlist.com/s/brand-creation/germany-de")</f>
        <v>https://www.sortlist.com/s/brand-creation/germany-de</v>
      </c>
      <c r="B367" s="11" t="str">
        <f>IFERROR(__xludf.DUMMYFUNCTION("""COMPUTED_VALUE"""),"The 10 Best Brand Creation Agencies in Germany - 2026 Reviews")</f>
        <v>The 10 Best Brand Creation Agencies in Germany - 2026 Reviews</v>
      </c>
      <c r="C367" s="8" t="str">
        <f>IFERROR(__xludf.DUMMYFUNCTION("""COMPUTED_VALUE"""),"sortlist.com")</f>
        <v>sortlist.com</v>
      </c>
      <c r="D367" s="11" t="str">
        <f>IFERROR(__xludf.DUMMYFUNCTION("""COMPUTED_VALUE"""),"CATEGORY_PAGE")</f>
        <v>CATEGORY_PAGE</v>
      </c>
      <c r="E367" s="11" t="str">
        <f>IFERROR(__xludf.DUMMYFUNCTION("""COMPUTED_VALUE"""),"CORPORATE")</f>
        <v>CORPORATE</v>
      </c>
      <c r="F367" s="11" t="str">
        <f>IFERROR(__xludf.DUMMYFUNCTION("""COMPUTED_VALUE"""),"Category Page")</f>
        <v>Category Page</v>
      </c>
      <c r="G367" s="11" t="b">
        <f>IFERROR(__xludf.DUMMYFUNCTION("""COMPUTED_VALUE"""),FALSE)</f>
        <v>0</v>
      </c>
      <c r="H367" s="11" t="str">
        <f>IFERROR(__xludf.DUMMYFUNCTION("""COMPUTED_VALUE"""),"Momentum")</f>
        <v>Momentum</v>
      </c>
      <c r="I367" s="11">
        <f>IFERROR(__xludf.DUMMYFUNCTION("""COMPUTED_VALUE"""),2.0)</f>
        <v>2</v>
      </c>
      <c r="J367" s="11">
        <f>IFERROR(__xludf.DUMMYFUNCTION("""COMPUTED_VALUE"""),0.0)</f>
        <v>0</v>
      </c>
      <c r="K367" s="11">
        <f>IFERROR(__xludf.DUMMYFUNCTION("""COMPUTED_VALUE"""),0.0)</f>
        <v>0</v>
      </c>
      <c r="L367" s="11"/>
    </row>
    <row r="368" ht="15.75" customHeight="1">
      <c r="A368" s="8" t="str">
        <f>IFERROR(__xludf.DUMMYFUNCTION("""COMPUTED_VALUE"""),"https://www.sortlist.com/s/creative-design/germany-de")</f>
        <v>https://www.sortlist.com/s/creative-design/germany-de</v>
      </c>
      <c r="B368" s="11" t="str">
        <f>IFERROR(__xludf.DUMMYFUNCTION("""COMPUTED_VALUE"""),"The 10 Best Creative Design Agencies in Germany - 2026 Reviews")</f>
        <v>The 10 Best Creative Design Agencies in Germany - 2026 Reviews</v>
      </c>
      <c r="C368" s="8" t="str">
        <f>IFERROR(__xludf.DUMMYFUNCTION("""COMPUTED_VALUE"""),"sortlist.com")</f>
        <v>sortlist.com</v>
      </c>
      <c r="D368" s="11" t="str">
        <f>IFERROR(__xludf.DUMMYFUNCTION("""COMPUTED_VALUE"""),"CATEGORY_PAGE")</f>
        <v>CATEGORY_PAGE</v>
      </c>
      <c r="E368" s="11" t="str">
        <f>IFERROR(__xludf.DUMMYFUNCTION("""COMPUTED_VALUE"""),"CORPORATE")</f>
        <v>CORPORATE</v>
      </c>
      <c r="F368" s="11" t="str">
        <f>IFERROR(__xludf.DUMMYFUNCTION("""COMPUTED_VALUE"""),"Category Page")</f>
        <v>Category Page</v>
      </c>
      <c r="G368" s="11" t="b">
        <f>IFERROR(__xludf.DUMMYFUNCTION("""COMPUTED_VALUE"""),FALSE)</f>
        <v>0</v>
      </c>
      <c r="H368" s="11" t="str">
        <f>IFERROR(__xludf.DUMMYFUNCTION("""COMPUTED_VALUE"""),"Measured, Momentum")</f>
        <v>Measured, Momentum</v>
      </c>
      <c r="I368" s="11">
        <f>IFERROR(__xludf.DUMMYFUNCTION("""COMPUTED_VALUE"""),2.0)</f>
        <v>2</v>
      </c>
      <c r="J368" s="11">
        <f>IFERROR(__xludf.DUMMYFUNCTION("""COMPUTED_VALUE"""),0.0)</f>
        <v>0</v>
      </c>
      <c r="K368" s="11">
        <f>IFERROR(__xludf.DUMMYFUNCTION("""COMPUTED_VALUE"""),0.0)</f>
        <v>0</v>
      </c>
      <c r="L368" s="11"/>
    </row>
    <row r="369" ht="15.75" customHeight="1">
      <c r="A369" s="8" t="str">
        <f>IFERROR(__xludf.DUMMYFUNCTION("""COMPUTED_VALUE"""),"https://www.sortlist.com/s/online-marketing/germany-de")</f>
        <v>https://www.sortlist.com/s/online-marketing/germany-de</v>
      </c>
      <c r="B369" s="11" t="str">
        <f>IFERROR(__xludf.DUMMYFUNCTION("""COMPUTED_VALUE"""),"The 10 Best Online Marketing Agencies in Germany - 2026 Reviews")</f>
        <v>The 10 Best Online Marketing Agencies in Germany - 2026 Reviews</v>
      </c>
      <c r="C369" s="8" t="str">
        <f>IFERROR(__xludf.DUMMYFUNCTION("""COMPUTED_VALUE"""),"sortlist.com")</f>
        <v>sortlist.com</v>
      </c>
      <c r="D369" s="11" t="str">
        <f>IFERROR(__xludf.DUMMYFUNCTION("""COMPUTED_VALUE"""),"CATEGORY_PAGE")</f>
        <v>CATEGORY_PAGE</v>
      </c>
      <c r="E369" s="11" t="str">
        <f>IFERROR(__xludf.DUMMYFUNCTION("""COMPUTED_VALUE"""),"CORPORATE")</f>
        <v>CORPORATE</v>
      </c>
      <c r="F369" s="11" t="str">
        <f>IFERROR(__xludf.DUMMYFUNCTION("""COMPUTED_VALUE"""),"Category Page")</f>
        <v>Category Page</v>
      </c>
      <c r="G369" s="11" t="b">
        <f>IFERROR(__xludf.DUMMYFUNCTION("""COMPUTED_VALUE"""),FALSE)</f>
        <v>0</v>
      </c>
      <c r="H369" s="11" t="str">
        <f>IFERROR(__xludf.DUMMYFUNCTION("""COMPUTED_VALUE"""),"MONSOON, PANORAMA3000")</f>
        <v>MONSOON, PANORAMA3000</v>
      </c>
      <c r="I369" s="11">
        <f>IFERROR(__xludf.DUMMYFUNCTION("""COMPUTED_VALUE"""),2.0)</f>
        <v>2</v>
      </c>
      <c r="J369" s="11">
        <f>IFERROR(__xludf.DUMMYFUNCTION("""COMPUTED_VALUE"""),0.0)</f>
        <v>0</v>
      </c>
      <c r="K369" s="11">
        <f>IFERROR(__xludf.DUMMYFUNCTION("""COMPUTED_VALUE"""),1.0)</f>
        <v>1</v>
      </c>
      <c r="L369" s="11"/>
    </row>
    <row r="370" ht="15.75" customHeight="1">
      <c r="A370" s="8" t="str">
        <f>IFERROR(__xludf.DUMMYFUNCTION("""COMPUTED_VALUE"""),"https://www.sortlist.com/s/tiktok-advertising/germany-de")</f>
        <v>https://www.sortlist.com/s/tiktok-advertising/germany-de</v>
      </c>
      <c r="B370" s="11" t="str">
        <f>IFERROR(__xludf.DUMMYFUNCTION("""COMPUTED_VALUE"""),"The 10 Best TikTok Advertising Agencies in Germany - 2026 Reviews")</f>
        <v>The 10 Best TikTok Advertising Agencies in Germany - 2026 Reviews</v>
      </c>
      <c r="C370" s="8" t="str">
        <f>IFERROR(__xludf.DUMMYFUNCTION("""COMPUTED_VALUE"""),"sortlist.com")</f>
        <v>sortlist.com</v>
      </c>
      <c r="D370" s="11" t="str">
        <f>IFERROR(__xludf.DUMMYFUNCTION("""COMPUTED_VALUE"""),"CATEGORY_PAGE")</f>
        <v>CATEGORY_PAGE</v>
      </c>
      <c r="E370" s="11" t="str">
        <f>IFERROR(__xludf.DUMMYFUNCTION("""COMPUTED_VALUE"""),"CORPORATE")</f>
        <v>CORPORATE</v>
      </c>
      <c r="F370" s="11" t="str">
        <f>IFERROR(__xludf.DUMMYFUNCTION("""COMPUTED_VALUE"""),"Category Page")</f>
        <v>Category Page</v>
      </c>
      <c r="G370" s="11" t="b">
        <f>IFERROR(__xludf.DUMMYFUNCTION("""COMPUTED_VALUE"""),FALSE)</f>
        <v>0</v>
      </c>
      <c r="H370" s="11" t="str">
        <f>IFERROR(__xludf.DUMMYFUNCTION("""COMPUTED_VALUE"""),"Triple Whale, Northbeam, Dreamdata, PANORAMA3000, MONSOON, Measured, lehof, Loyamo")</f>
        <v>Triple Whale, Northbeam, Dreamdata, PANORAMA3000, MONSOON, Measured, lehof, Loyamo</v>
      </c>
      <c r="I370" s="11">
        <f>IFERROR(__xludf.DUMMYFUNCTION("""COMPUTED_VALUE"""),2.0)</f>
        <v>2</v>
      </c>
      <c r="J370" s="11">
        <f>IFERROR(__xludf.DUMMYFUNCTION("""COMPUTED_VALUE"""),0.0)</f>
        <v>0</v>
      </c>
      <c r="K370" s="11">
        <f>IFERROR(__xludf.DUMMYFUNCTION("""COMPUTED_VALUE"""),0.0)</f>
        <v>0</v>
      </c>
      <c r="L370" s="11"/>
    </row>
    <row r="371" ht="15.75" customHeight="1">
      <c r="A371" s="8" t="str">
        <f>IFERROR(__xludf.DUMMYFUNCTION("""COMPUTED_VALUE"""),"https://sourceforge.net/software/marketing-analytics/germany/")</f>
        <v>https://sourceforge.net/software/marketing-analytics/germany/</v>
      </c>
      <c r="B371" s="11" t="str">
        <f>IFERROR(__xludf.DUMMYFUNCTION("""COMPUTED_VALUE"""),"Best Marketing Analytics Software in Germany of 2026 - Reviews &amp;amp; Comparison")</f>
        <v>Best Marketing Analytics Software in Germany of 2026 - Reviews &amp;amp; Comparison</v>
      </c>
      <c r="C371" s="8" t="str">
        <f>IFERROR(__xludf.DUMMYFUNCTION("""COMPUTED_VALUE"""),"sourceforge.net")</f>
        <v>sourceforge.net</v>
      </c>
      <c r="D371" s="11" t="str">
        <f>IFERROR(__xludf.DUMMYFUNCTION("""COMPUTED_VALUE"""),"LISTICLE")</f>
        <v>LISTICLE</v>
      </c>
      <c r="E371" s="11" t="str">
        <f>IFERROR(__xludf.DUMMYFUNCTION("""COMPUTED_VALUE"""),"OTHER")</f>
        <v>OTHER</v>
      </c>
      <c r="F371" s="11" t="str">
        <f>IFERROR(__xludf.DUMMYFUNCTION("""COMPUTED_VALUE"""),"Listicle")</f>
        <v>Listicle</v>
      </c>
      <c r="G371" s="11" t="b">
        <f>IFERROR(__xludf.DUMMYFUNCTION("""COMPUTED_VALUE"""),FALSE)</f>
        <v>0</v>
      </c>
      <c r="H371" s="11" t="str">
        <f>IFERROR(__xludf.DUMMYFUNCTION("""COMPUTED_VALUE"""),"Triple Whale")</f>
        <v>Triple Whale</v>
      </c>
      <c r="I371" s="11">
        <f>IFERROR(__xludf.DUMMYFUNCTION("""COMPUTED_VALUE"""),2.0)</f>
        <v>2</v>
      </c>
      <c r="J371" s="11">
        <f>IFERROR(__xludf.DUMMYFUNCTION("""COMPUTED_VALUE"""),0.0)</f>
        <v>0</v>
      </c>
      <c r="K371" s="11">
        <f>IFERROR(__xludf.DUMMYFUNCTION("""COMPUTED_VALUE"""),0.0)</f>
        <v>0</v>
      </c>
      <c r="L371" s="11"/>
    </row>
    <row r="372" ht="15.75" customHeight="1">
      <c r="A372" s="8" t="str">
        <f>IFERROR(__xludf.DUMMYFUNCTION("""COMPUTED_VALUE"""),"https://www.suchhelden.de/beste-google-ads-agenturen-deutschlands.php")</f>
        <v>https://www.suchhelden.de/beste-google-ads-agenturen-deutschlands.php</v>
      </c>
      <c r="B372" s="11" t="str">
        <f>IFERROR(__xludf.DUMMYFUNCTION("""COMPUTED_VALUE"""),"Beste Google-Ads-Agenturen Deutschland 2026 – TOP 15")</f>
        <v>Beste Google-Ads-Agenturen Deutschland 2026 – TOP 15</v>
      </c>
      <c r="C372" s="8" t="str">
        <f>IFERROR(__xludf.DUMMYFUNCTION("""COMPUTED_VALUE"""),"suchhelden.de")</f>
        <v>suchhelden.de</v>
      </c>
      <c r="D372" s="11" t="str">
        <f>IFERROR(__xludf.DUMMYFUNCTION("""COMPUTED_VALUE"""),"PROFILE")</f>
        <v>PROFILE</v>
      </c>
      <c r="E372" s="11" t="str">
        <f>IFERROR(__xludf.DUMMYFUNCTION("""COMPUTED_VALUE"""),"COMPETITOR")</f>
        <v>COMPETITOR</v>
      </c>
      <c r="F372" s="11" t="str">
        <f>IFERROR(__xludf.DUMMYFUNCTION("""COMPUTED_VALUE"""),"Profile")</f>
        <v>Profile</v>
      </c>
      <c r="G372" s="11" t="b">
        <f>IFERROR(__xludf.DUMMYFUNCTION("""COMPUTED_VALUE"""),FALSE)</f>
        <v>0</v>
      </c>
      <c r="H372" s="11" t="str">
        <f>IFERROR(__xludf.DUMMYFUNCTION("""COMPUTED_VALUE"""),"Suchhelden, Smarketer, Peak Ace, morefire, Jung von Matt, The Boutique Agency, Labelium")</f>
        <v>Suchhelden, Smarketer, Peak Ace, morefire, Jung von Matt, The Boutique Agency, Labelium</v>
      </c>
      <c r="I372" s="11">
        <f>IFERROR(__xludf.DUMMYFUNCTION("""COMPUTED_VALUE"""),2.0)</f>
        <v>2</v>
      </c>
      <c r="J372" s="11">
        <f>IFERROR(__xludf.DUMMYFUNCTION("""COMPUTED_VALUE"""),0.0)</f>
        <v>0</v>
      </c>
      <c r="K372" s="11">
        <f>IFERROR(__xludf.DUMMYFUNCTION("""COMPUTED_VALUE"""),0.0)</f>
        <v>0</v>
      </c>
      <c r="L372" s="11"/>
    </row>
    <row r="373" ht="15.75" customHeight="1">
      <c r="A373" s="8" t="str">
        <f>IFERROR(__xludf.DUMMYFUNCTION("""COMPUTED_VALUE"""),"https://www.superside.com/blog/creative-agencies")</f>
        <v>https://www.superside.com/blog/creative-agencies</v>
      </c>
      <c r="B373" s="11" t="str">
        <f>IFERROR(__xludf.DUMMYFUNCTION("""COMPUTED_VALUE"""),"14 Best Creative Agencies That Make Brands Stand Out in 2026")</f>
        <v>14 Best Creative Agencies That Make Brands Stand Out in 2026</v>
      </c>
      <c r="C373" s="8" t="str">
        <f>IFERROR(__xludf.DUMMYFUNCTION("""COMPUTED_VALUE"""),"superside.com")</f>
        <v>superside.com</v>
      </c>
      <c r="D373" s="11" t="str">
        <f>IFERROR(__xludf.DUMMYFUNCTION("""COMPUTED_VALUE"""),"LISTICLE")</f>
        <v>LISTICLE</v>
      </c>
      <c r="E373" s="11" t="str">
        <f>IFERROR(__xludf.DUMMYFUNCTION("""COMPUTED_VALUE"""),"COMPETITOR")</f>
        <v>COMPETITOR</v>
      </c>
      <c r="F373" s="11" t="str">
        <f>IFERROR(__xludf.DUMMYFUNCTION("""COMPUTED_VALUE"""),"Listicle")</f>
        <v>Listicle</v>
      </c>
      <c r="G373" s="11" t="b">
        <f>IFERROR(__xludf.DUMMYFUNCTION("""COMPUTED_VALUE"""),FALSE)</f>
        <v>0</v>
      </c>
      <c r="H373" s="11" t="str">
        <f>IFERROR(__xludf.DUMMYFUNCTION("""COMPUTED_VALUE"""),"Superside, Huge, Ogilvy")</f>
        <v>Superside, Huge, Ogilvy</v>
      </c>
      <c r="I373" s="11">
        <f>IFERROR(__xludf.DUMMYFUNCTION("""COMPUTED_VALUE"""),2.0)</f>
        <v>2</v>
      </c>
      <c r="J373" s="11">
        <f>IFERROR(__xludf.DUMMYFUNCTION("""COMPUTED_VALUE"""),0.0)</f>
        <v>0</v>
      </c>
      <c r="K373" s="11">
        <f>IFERROR(__xludf.DUMMYFUNCTION("""COMPUTED_VALUE"""),0.5)</f>
        <v>0.5</v>
      </c>
      <c r="L373" s="11"/>
    </row>
    <row r="374" ht="15.75" customHeight="1">
      <c r="A374" s="8" t="str">
        <f>IFERROR(__xludf.DUMMYFUNCTION("""COMPUTED_VALUE"""),"https://www.thegrowthsyndicate.com/agencies/best-digital-marketing-agencies-europe")</f>
        <v>https://www.thegrowthsyndicate.com/agencies/best-digital-marketing-agencies-europe</v>
      </c>
      <c r="B374" s="11" t="str">
        <f>IFERROR(__xludf.DUMMYFUNCTION("""COMPUTED_VALUE"""),"The 11 Best B2B Digital Marketing Agencies in Europe")</f>
        <v>The 11 Best B2B Digital Marketing Agencies in Europe</v>
      </c>
      <c r="C374" s="8" t="str">
        <f>IFERROR(__xludf.DUMMYFUNCTION("""COMPUTED_VALUE"""),"thegrowthsyndicate.com")</f>
        <v>thegrowthsyndicate.com</v>
      </c>
      <c r="D374" s="11" t="str">
        <f>IFERROR(__xludf.DUMMYFUNCTION("""COMPUTED_VALUE"""),"LISTICLE")</f>
        <v>LISTICLE</v>
      </c>
      <c r="E374" s="11" t="str">
        <f>IFERROR(__xludf.DUMMYFUNCTION("""COMPUTED_VALUE"""),"CORPORATE")</f>
        <v>CORPORATE</v>
      </c>
      <c r="F374" s="11" t="str">
        <f>IFERROR(__xludf.DUMMYFUNCTION("""COMPUTED_VALUE"""),"Listicle")</f>
        <v>Listicle</v>
      </c>
      <c r="G374" s="11" t="b">
        <f>IFERROR(__xludf.DUMMYFUNCTION("""COMPUTED_VALUE"""),FALSE)</f>
        <v>0</v>
      </c>
      <c r="H374" s="11" t="str">
        <f>IFERROR(__xludf.DUMMYFUNCTION("""COMPUTED_VALUE"""),"DEPT, Artefact, Jellyfish, Measured, Brandtech, WPP, Mindshare, Phiture, Publicis Groupe, Omnicom, Dentsu")</f>
        <v>DEPT, Artefact, Jellyfish, Measured, Brandtech, WPP, Mindshare, Phiture, Publicis Groupe, Omnicom, Dentsu</v>
      </c>
      <c r="I374" s="11">
        <f>IFERROR(__xludf.DUMMYFUNCTION("""COMPUTED_VALUE"""),2.0)</f>
        <v>2</v>
      </c>
      <c r="J374" s="11">
        <f>IFERROR(__xludf.DUMMYFUNCTION("""COMPUTED_VALUE"""),0.0)</f>
        <v>0</v>
      </c>
      <c r="K374" s="11">
        <f>IFERROR(__xludf.DUMMYFUNCTION("""COMPUTED_VALUE"""),0.5)</f>
        <v>0.5</v>
      </c>
      <c r="L374" s="11"/>
    </row>
    <row r="375" ht="15.75" customHeight="1">
      <c r="A375" s="8" t="str">
        <f>IFERROR(__xludf.DUMMYFUNCTION("""COMPUTED_VALUE"""),"https://themanifest.com/de/big-data/companies#:~:text=e%2Ddynamics%20GmbH")</f>
        <v>https://themanifest.com/de/big-data/companies#:~:text=e%2Ddynamics%20GmbH</v>
      </c>
      <c r="B375" s="11" t="str">
        <f>IFERROR(__xludf.DUMMYFUNCTION("""COMPUTED_VALUE"""),"The Best BI and Big Data Companies in Germany - Jul 2026 | The Manifest")</f>
        <v>The Best BI and Big Data Companies in Germany - Jul 2026 | The Manifest</v>
      </c>
      <c r="C375" s="8" t="str">
        <f>IFERROR(__xludf.DUMMYFUNCTION("""COMPUTED_VALUE"""),"themanifest.com")</f>
        <v>themanifest.com</v>
      </c>
      <c r="D375" s="11" t="str">
        <f>IFERROR(__xludf.DUMMYFUNCTION("""COMPUTED_VALUE"""),"OTHER")</f>
        <v>OTHER</v>
      </c>
      <c r="E375" s="11" t="str">
        <f>IFERROR(__xludf.DUMMYFUNCTION("""COMPUTED_VALUE"""),"OTHER")</f>
        <v>OTHER</v>
      </c>
      <c r="F375" s="11" t="str">
        <f>IFERROR(__xludf.DUMMYFUNCTION("""COMPUTED_VALUE"""),"Other")</f>
        <v>Other</v>
      </c>
      <c r="G375" s="11"/>
      <c r="H375" s="11" t="str">
        <f>IFERROR(__xludf.DUMMYFUNCTION("""COMPUTED_VALUE"""),"Unknown")</f>
        <v>Unknown</v>
      </c>
      <c r="I375" s="11">
        <f>IFERROR(__xludf.DUMMYFUNCTION("""COMPUTED_VALUE"""),2.0)</f>
        <v>2</v>
      </c>
      <c r="J375" s="11">
        <f>IFERROR(__xludf.DUMMYFUNCTION("""COMPUTED_VALUE"""),0.0)</f>
        <v>0</v>
      </c>
      <c r="K375" s="11">
        <f>IFERROR(__xludf.DUMMYFUNCTION("""COMPUTED_VALUE"""),1.0)</f>
        <v>1</v>
      </c>
      <c r="L375" s="11"/>
    </row>
    <row r="376" ht="15.75" customHeight="1">
      <c r="A376" s="8" t="str">
        <f>IFERROR(__xludf.DUMMYFUNCTION("""COMPUTED_VALUE"""),"https://themanifest.com/de/media-buying/agencies")</f>
        <v>https://themanifest.com/de/media-buying/agencies</v>
      </c>
      <c r="B376" s="11" t="str">
        <f>IFERROR(__xludf.DUMMYFUNCTION("""COMPUTED_VALUE"""),"The Best Media Planning and Buying Companies in Germany - Jun 2026 \| The Manifest")</f>
        <v>The Best Media Planning and Buying Companies in Germany - Jun 2026 \| The Manifest</v>
      </c>
      <c r="C376" s="8" t="str">
        <f>IFERROR(__xludf.DUMMYFUNCTION("""COMPUTED_VALUE"""),"themanifest.com")</f>
        <v>themanifest.com</v>
      </c>
      <c r="D376" s="11" t="str">
        <f>IFERROR(__xludf.DUMMYFUNCTION("""COMPUTED_VALUE"""),"OTHER")</f>
        <v>OTHER</v>
      </c>
      <c r="E376" s="11" t="str">
        <f>IFERROR(__xludf.DUMMYFUNCTION("""COMPUTED_VALUE"""),"REFERENCE")</f>
        <v>REFERENCE</v>
      </c>
      <c r="F376" s="11" t="str">
        <f>IFERROR(__xludf.DUMMYFUNCTION("""COMPUTED_VALUE"""),"Other")</f>
        <v>Other</v>
      </c>
      <c r="G376" s="11" t="b">
        <f>IFERROR(__xludf.DUMMYFUNCTION("""COMPUTED_VALUE"""),FALSE)</f>
        <v>0</v>
      </c>
      <c r="H376" s="11" t="str">
        <f>IFERROR(__xludf.DUMMYFUNCTION("""COMPUTED_VALUE"""),"Phiture, REPLUG, GroupM")</f>
        <v>Phiture, REPLUG, GroupM</v>
      </c>
      <c r="I376" s="11">
        <f>IFERROR(__xludf.DUMMYFUNCTION("""COMPUTED_VALUE"""),2.0)</f>
        <v>2</v>
      </c>
      <c r="J376" s="11">
        <f>IFERROR(__xludf.DUMMYFUNCTION("""COMPUTED_VALUE"""),0.0)</f>
        <v>0</v>
      </c>
      <c r="K376" s="11">
        <f>IFERROR(__xludf.DUMMYFUNCTION("""COMPUTED_VALUE"""),1.0)</f>
        <v>1</v>
      </c>
      <c r="L376" s="11"/>
    </row>
    <row r="377" ht="15.75" customHeight="1">
      <c r="A377" s="8" t="str">
        <f>IFERROR(__xludf.DUMMYFUNCTION("""COMPUTED_VALUE"""),"https://www.tofuhq.com/post/best-ai-agents-for-marketing")</f>
        <v>https://www.tofuhq.com/post/best-ai-agents-for-marketing</v>
      </c>
      <c r="B377" s="11" t="str">
        <f>IFERROR(__xludf.DUMMYFUNCTION("""COMPUTED_VALUE"""),"The 7 Best AI Agents for Marketing in 2026")</f>
        <v>The 7 Best AI Agents for Marketing in 2026</v>
      </c>
      <c r="C377" s="8" t="str">
        <f>IFERROR(__xludf.DUMMYFUNCTION("""COMPUTED_VALUE"""),"tofuhq.com")</f>
        <v>tofuhq.com</v>
      </c>
      <c r="D377" s="11" t="str">
        <f>IFERROR(__xludf.DUMMYFUNCTION("""COMPUTED_VALUE"""),"LISTICLE")</f>
        <v>LISTICLE</v>
      </c>
      <c r="E377" s="11" t="str">
        <f>IFERROR(__xludf.DUMMYFUNCTION("""COMPUTED_VALUE"""),"CORPORATE")</f>
        <v>CORPORATE</v>
      </c>
      <c r="F377" s="11" t="str">
        <f>IFERROR(__xludf.DUMMYFUNCTION("""COMPUTED_VALUE"""),"Listicle")</f>
        <v>Listicle</v>
      </c>
      <c r="G377" s="11" t="b">
        <f>IFERROR(__xludf.DUMMYFUNCTION("""COMPUTED_VALUE"""),FALSE)</f>
        <v>0</v>
      </c>
      <c r="H377" s="11" t="str">
        <f>IFERROR(__xludf.DUMMYFUNCTION("""COMPUTED_VALUE"""),"Pilot")</f>
        <v>Pilot</v>
      </c>
      <c r="I377" s="11">
        <f>IFERROR(__xludf.DUMMYFUNCTION("""COMPUTED_VALUE"""),2.0)</f>
        <v>2</v>
      </c>
      <c r="J377" s="11">
        <f>IFERROR(__xludf.DUMMYFUNCTION("""COMPUTED_VALUE"""),0.0)</f>
        <v>0</v>
      </c>
      <c r="K377" s="11">
        <f>IFERROR(__xludf.DUMMYFUNCTION("""COMPUTED_VALUE"""),0.5)</f>
        <v>0.5</v>
      </c>
      <c r="L377" s="11"/>
    </row>
    <row r="378" ht="15.75" customHeight="1">
      <c r="A378" s="8" t="str">
        <f>IFERROR(__xludf.DUMMYFUNCTION("""COMPUTED_VALUE"""),"https://www.upliftgtm.com/blog/best-geo-agencies")</f>
        <v>https://www.upliftgtm.com/blog/best-geo-agencies</v>
      </c>
      <c r="B378" s="11" t="str">
        <f>IFERROR(__xludf.DUMMYFUNCTION("""COMPUTED_VALUE"""),"Best GEO Agencies 2026: Top 12 Generative Engine Optimization Firms")</f>
        <v>Best GEO Agencies 2026: Top 12 Generative Engine Optimization Firms</v>
      </c>
      <c r="C378" s="8" t="str">
        <f>IFERROR(__xludf.DUMMYFUNCTION("""COMPUTED_VALUE"""),"upliftgtm.com")</f>
        <v>upliftgtm.com</v>
      </c>
      <c r="D378" s="11" t="str">
        <f>IFERROR(__xludf.DUMMYFUNCTION("""COMPUTED_VALUE"""),"LISTICLE")</f>
        <v>LISTICLE</v>
      </c>
      <c r="E378" s="11" t="str">
        <f>IFERROR(__xludf.DUMMYFUNCTION("""COMPUTED_VALUE"""),"CORPORATE")</f>
        <v>CORPORATE</v>
      </c>
      <c r="F378" s="11" t="str">
        <f>IFERROR(__xludf.DUMMYFUNCTION("""COMPUTED_VALUE"""),"Listicle")</f>
        <v>Listicle</v>
      </c>
      <c r="G378" s="11" t="b">
        <f>IFERROR(__xludf.DUMMYFUNCTION("""COMPUTED_VALUE"""),FALSE)</f>
        <v>0</v>
      </c>
      <c r="H378" s="11" t="str">
        <f>IFERROR(__xludf.DUMMYFUNCTION("""COMPUTED_VALUE"""),"Omniscient Digital, Single Grain, NoGood, Siege Media")</f>
        <v>Omniscient Digital, Single Grain, NoGood, Siege Media</v>
      </c>
      <c r="I378" s="11">
        <f>IFERROR(__xludf.DUMMYFUNCTION("""COMPUTED_VALUE"""),2.0)</f>
        <v>2</v>
      </c>
      <c r="J378" s="11">
        <f>IFERROR(__xludf.DUMMYFUNCTION("""COMPUTED_VALUE"""),0.0)</f>
        <v>0</v>
      </c>
      <c r="K378" s="11">
        <f>IFERROR(__xludf.DUMMYFUNCTION("""COMPUTED_VALUE"""),0.5)</f>
        <v>0.5</v>
      </c>
      <c r="L378" s="11"/>
    </row>
    <row r="379" ht="15.75" customHeight="1">
      <c r="A379" s="8" t="str">
        <f>IFERROR(__xludf.DUMMYFUNCTION("""COMPUTED_VALUE"""),"https://wamdigital.com/blog/top-5-creative-and-web-development-agencies-for-scalable-production-in-2026#:~:text=Superside%20is%20known%20for%20its,wide%20range%20of%20creative%20assets.")</f>
        <v>https://wamdigital.com/blog/top-5-creative-and-web-development-agencies-for-scalable-production-in-2026#:~:text=Superside%20is%20known%20for%20its,wide%20range%20of%20creative%20assets.</v>
      </c>
      <c r="B379" s="11" t="str">
        <f>IFERROR(__xludf.DUMMYFUNCTION("""COMPUTED_VALUE"""),"Top Creative &amp;amp; Web Development Agencies for Scalable Production in 2026")</f>
        <v>Top Creative &amp;amp; Web Development Agencies for Scalable Production in 2026</v>
      </c>
      <c r="C379" s="8" t="str">
        <f>IFERROR(__xludf.DUMMYFUNCTION("""COMPUTED_VALUE"""),"wamdigital.com")</f>
        <v>wamdigital.com</v>
      </c>
      <c r="D379" s="11" t="str">
        <f>IFERROR(__xludf.DUMMYFUNCTION("""COMPUTED_VALUE"""),"LISTICLE")</f>
        <v>LISTICLE</v>
      </c>
      <c r="E379" s="11" t="str">
        <f>IFERROR(__xludf.DUMMYFUNCTION("""COMPUTED_VALUE"""),"CORPORATE")</f>
        <v>CORPORATE</v>
      </c>
      <c r="F379" s="11" t="str">
        <f>IFERROR(__xludf.DUMMYFUNCTION("""COMPUTED_VALUE"""),"Listicle")</f>
        <v>Listicle</v>
      </c>
      <c r="G379" s="11" t="b">
        <f>IFERROR(__xludf.DUMMYFUNCTION("""COMPUTED_VALUE"""),FALSE)</f>
        <v>0</v>
      </c>
      <c r="H379" s="11" t="str">
        <f>IFERROR(__xludf.DUMMYFUNCTION("""COMPUTED_VALUE"""),"Superside, DEPT")</f>
        <v>Superside, DEPT</v>
      </c>
      <c r="I379" s="11">
        <f>IFERROR(__xludf.DUMMYFUNCTION("""COMPUTED_VALUE"""),2.0)</f>
        <v>2</v>
      </c>
      <c r="J379" s="11">
        <f>IFERROR(__xludf.DUMMYFUNCTION("""COMPUTED_VALUE"""),0.0)</f>
        <v>0</v>
      </c>
      <c r="K379" s="11">
        <f>IFERROR(__xludf.DUMMYFUNCTION("""COMPUTED_VALUE"""),1.5)</f>
        <v>1.5</v>
      </c>
      <c r="L379" s="11"/>
    </row>
    <row r="380" ht="15.75" customHeight="1">
      <c r="A380" s="8" t="str">
        <f>IFERROR(__xludf.DUMMYFUNCTION("""COMPUTED_VALUE"""),"https://www.webtonic.io/blog/best-performance-marketing-agencies#:~:text=About%3A%20Hawke%20Media%20pioneered%20the,email%20marketing%2C%20and%20conversion%20optimization.")</f>
        <v>https://www.webtonic.io/blog/best-performance-marketing-agencies#:~:text=About%3A%20Hawke%20Media%20pioneered%20the,email%20marketing%2C%20and%20conversion%20optimization.</v>
      </c>
      <c r="B380" s="11" t="str">
        <f>IFERROR(__xludf.DUMMYFUNCTION("""COMPUTED_VALUE"""),"The 26 Best Performance Marketing Agencies for 2026")</f>
        <v>The 26 Best Performance Marketing Agencies for 2026</v>
      </c>
      <c r="C380" s="8" t="str">
        <f>IFERROR(__xludf.DUMMYFUNCTION("""COMPUTED_VALUE"""),"webtonic.io")</f>
        <v>webtonic.io</v>
      </c>
      <c r="D380" s="11" t="str">
        <f>IFERROR(__xludf.DUMMYFUNCTION("""COMPUTED_VALUE"""),"LISTICLE")</f>
        <v>LISTICLE</v>
      </c>
      <c r="E380" s="11" t="str">
        <f>IFERROR(__xludf.DUMMYFUNCTION("""COMPUTED_VALUE"""),"CORPORATE")</f>
        <v>CORPORATE</v>
      </c>
      <c r="F380" s="11" t="str">
        <f>IFERROR(__xludf.DUMMYFUNCTION("""COMPUTED_VALUE"""),"Listicle")</f>
        <v>Listicle</v>
      </c>
      <c r="G380" s="11" t="b">
        <f>IFERROR(__xludf.DUMMYFUNCTION("""COMPUTED_VALUE"""),TRUE)</f>
        <v>1</v>
      </c>
      <c r="H380" s="11" t="str">
        <f>IFERROR(__xludf.DUMMYFUNCTION("""COMPUTED_VALUE"""),"Tinuiti, Hawke Media, NoGood, Disruptive Advertising, Power Digital, Wpromote, Directive Consulting, SmartSites, KlientBoost, Single Grain, Jellyfish, Incubeta")</f>
        <v>Tinuiti, Hawke Media, NoGood, Disruptive Advertising, Power Digital, Wpromote, Directive Consulting, SmartSites, KlientBoost, Single Grain, Jellyfish, Incubeta</v>
      </c>
      <c r="I380" s="11">
        <f>IFERROR(__xludf.DUMMYFUNCTION("""COMPUTED_VALUE"""),2.0)</f>
        <v>2</v>
      </c>
      <c r="J380" s="11">
        <f>IFERROR(__xludf.DUMMYFUNCTION("""COMPUTED_VALUE"""),0.0)</f>
        <v>0</v>
      </c>
      <c r="K380" s="11">
        <f>IFERROR(__xludf.DUMMYFUNCTION("""COMPUTED_VALUE"""),1.0)</f>
        <v>1</v>
      </c>
      <c r="L380" s="11"/>
    </row>
    <row r="381" ht="15.75" customHeight="1">
      <c r="A381" s="8" t="str">
        <f>IFERROR(__xludf.DUMMYFUNCTION("""COMPUTED_VALUE"""),"https://www.webtonic.io/blog/top-creative-performance-agencies")</f>
        <v>https://www.webtonic.io/blog/top-creative-performance-agencies</v>
      </c>
      <c r="B381" s="11" t="str">
        <f>IFERROR(__xludf.DUMMYFUNCTION("""COMPUTED_VALUE"""),"37 Top Creative Performance Agencies for 2026")</f>
        <v>37 Top Creative Performance Agencies for 2026</v>
      </c>
      <c r="C381" s="8" t="str">
        <f>IFERROR(__xludf.DUMMYFUNCTION("""COMPUTED_VALUE"""),"webtonic.io")</f>
        <v>webtonic.io</v>
      </c>
      <c r="D381" s="11" t="str">
        <f>IFERROR(__xludf.DUMMYFUNCTION("""COMPUTED_VALUE"""),"LISTICLE")</f>
        <v>LISTICLE</v>
      </c>
      <c r="E381" s="11" t="str">
        <f>IFERROR(__xludf.DUMMYFUNCTION("""COMPUTED_VALUE"""),"CORPORATE")</f>
        <v>CORPORATE</v>
      </c>
      <c r="F381" s="11" t="str">
        <f>IFERROR(__xludf.DUMMYFUNCTION("""COMPUTED_VALUE"""),"Listicle")</f>
        <v>Listicle</v>
      </c>
      <c r="G381" s="11" t="b">
        <f>IFERROR(__xludf.DUMMYFUNCTION("""COMPUTED_VALUE"""),FALSE)</f>
        <v>0</v>
      </c>
      <c r="H381" s="11" t="str">
        <f>IFERROR(__xludf.DUMMYFUNCTION("""COMPUTED_VALUE"""),"Tinuiti, Wpromote, WPP, Hawke Media, AKQA, R/GA, Accenture Song, Superside")</f>
        <v>Tinuiti, Wpromote, WPP, Hawke Media, AKQA, R/GA, Accenture Song, Superside</v>
      </c>
      <c r="I381" s="11">
        <f>IFERROR(__xludf.DUMMYFUNCTION("""COMPUTED_VALUE"""),2.0)</f>
        <v>2</v>
      </c>
      <c r="J381" s="11">
        <f>IFERROR(__xludf.DUMMYFUNCTION("""COMPUTED_VALUE"""),0.0)</f>
        <v>0</v>
      </c>
      <c r="K381" s="11">
        <f>IFERROR(__xludf.DUMMYFUNCTION("""COMPUTED_VALUE"""),1.0)</f>
        <v>1</v>
      </c>
      <c r="L381" s="11"/>
    </row>
    <row r="382" ht="15.75" customHeight="1">
      <c r="A382" s="8" t="str">
        <f>IFERROR(__xludf.DUMMYFUNCTION("""COMPUTED_VALUE"""),"https://www.werbeagentur.de/en/scoring/programmatic-advertising")</f>
        <v>https://www.werbeagentur.de/en/scoring/programmatic-advertising</v>
      </c>
      <c r="B382" s="11" t="str">
        <f>IFERROR(__xludf.DUMMYFUNCTION("""COMPUTED_VALUE"""),"28 Top Agenturen für Programmatic Advertising. Hier vergleichen")</f>
        <v>28 Top Agenturen für Programmatic Advertising. Hier vergleichen</v>
      </c>
      <c r="C382" s="8" t="str">
        <f>IFERROR(__xludf.DUMMYFUNCTION("""COMPUTED_VALUE"""),"werbeagentur.de")</f>
        <v>werbeagentur.de</v>
      </c>
      <c r="D382" s="11" t="str">
        <f>IFERROR(__xludf.DUMMYFUNCTION("""COMPUTED_VALUE"""),"ARTICLE")</f>
        <v>ARTICLE</v>
      </c>
      <c r="E382" s="11" t="str">
        <f>IFERROR(__xludf.DUMMYFUNCTION("""COMPUTED_VALUE"""),"REFERENCE")</f>
        <v>REFERENCE</v>
      </c>
      <c r="F382" s="11" t="str">
        <f>IFERROR(__xludf.DUMMYFUNCTION("""COMPUTED_VALUE"""),"Article")</f>
        <v>Article</v>
      </c>
      <c r="G382" s="11" t="b">
        <f>IFERROR(__xludf.DUMMYFUNCTION("""COMPUTED_VALUE"""),FALSE)</f>
        <v>0</v>
      </c>
      <c r="H382" s="11" t="str">
        <f>IFERROR(__xludf.DUMMYFUNCTION("""COMPUTED_VALUE"""),"Artefact, Digital Masters GmbH, Löwenstark")</f>
        <v>Artefact, Digital Masters GmbH, Löwenstark</v>
      </c>
      <c r="I382" s="11">
        <f>IFERROR(__xludf.DUMMYFUNCTION("""COMPUTED_VALUE"""),2.0)</f>
        <v>2</v>
      </c>
      <c r="J382" s="11">
        <f>IFERROR(__xludf.DUMMYFUNCTION("""COMPUTED_VALUE"""),0.0)</f>
        <v>0</v>
      </c>
      <c r="K382" s="11">
        <f>IFERROR(__xludf.DUMMYFUNCTION("""COMPUTED_VALUE"""),2.0)</f>
        <v>2</v>
      </c>
      <c r="L382" s="11"/>
    </row>
    <row r="383" ht="15.75" customHeight="1">
      <c r="A383" s="8" t="str">
        <f>IFERROR(__xludf.DUMMYFUNCTION("""COMPUTED_VALUE"""),"https://wpseoai.com/blog/best-geo-llm-agency-in-hamburg-with-geo-llm-optimization-technology/")</f>
        <v>https://wpseoai.com/blog/best-geo-llm-agency-in-hamburg-with-geo-llm-optimization-technology/</v>
      </c>
      <c r="B383" s="11" t="str">
        <f>IFERROR(__xludf.DUMMYFUNCTION("""COMPUTED_VALUE"""),"Best GEO/LLM agency in Hamburg with GEO/LLM optimization technology")</f>
        <v>Best GEO/LLM agency in Hamburg with GEO/LLM optimization technology</v>
      </c>
      <c r="C383" s="8" t="str">
        <f>IFERROR(__xludf.DUMMYFUNCTION("""COMPUTED_VALUE"""),"wpseoai.com")</f>
        <v>wpseoai.com</v>
      </c>
      <c r="D383" s="11" t="str">
        <f>IFERROR(__xludf.DUMMYFUNCTION("""COMPUTED_VALUE"""),"ARTICLE")</f>
        <v>ARTICLE</v>
      </c>
      <c r="E383" s="11" t="str">
        <f>IFERROR(__xludf.DUMMYFUNCTION("""COMPUTED_VALUE"""),"CORPORATE")</f>
        <v>CORPORATE</v>
      </c>
      <c r="F383" s="11" t="str">
        <f>IFERROR(__xludf.DUMMYFUNCTION("""COMPUTED_VALUE"""),"Article")</f>
        <v>Article</v>
      </c>
      <c r="G383" s="11" t="b">
        <f>IFERROR(__xludf.DUMMYFUNCTION("""COMPUTED_VALUE"""),FALSE)</f>
        <v>0</v>
      </c>
      <c r="H383" s="11" t="str">
        <f>IFERROR(__xludf.DUMMYFUNCTION("""COMPUTED_VALUE"""),"Momentum")</f>
        <v>Momentum</v>
      </c>
      <c r="I383" s="11">
        <f>IFERROR(__xludf.DUMMYFUNCTION("""COMPUTED_VALUE"""),2.0)</f>
        <v>2</v>
      </c>
      <c r="J383" s="11">
        <f>IFERROR(__xludf.DUMMYFUNCTION("""COMPUTED_VALUE"""),0.0)</f>
        <v>0</v>
      </c>
      <c r="K383" s="11">
        <f>IFERROR(__xludf.DUMMYFUNCTION("""COMPUTED_VALUE"""),1.5)</f>
        <v>1.5</v>
      </c>
      <c r="L383" s="11"/>
    </row>
    <row r="384" ht="15.75" customHeight="1">
      <c r="A384" s="8" t="str">
        <f>IFERROR(__xludf.DUMMYFUNCTION("""COMPUTED_VALUE"""),"https://zipdo.co/service/attribution/")</f>
        <v>https://zipdo.co/service/attribution/</v>
      </c>
      <c r="B384" s="11" t="str">
        <f>IFERROR(__xludf.DUMMYFUNCTION("""COMPUTED_VALUE"""),"Top 10 Best Attribution Services (2026 Expert Review)")</f>
        <v>Top 10 Best Attribution Services (2026 Expert Review)</v>
      </c>
      <c r="C384" s="8" t="str">
        <f>IFERROR(__xludf.DUMMYFUNCTION("""COMPUTED_VALUE"""),"zipdo.co")</f>
        <v>zipdo.co</v>
      </c>
      <c r="D384" s="11" t="str">
        <f>IFERROR(__xludf.DUMMYFUNCTION("""COMPUTED_VALUE"""),"LISTICLE")</f>
        <v>LISTICLE</v>
      </c>
      <c r="E384" s="11" t="str">
        <f>IFERROR(__xludf.DUMMYFUNCTION("""COMPUTED_VALUE"""),"REFERENCE")</f>
        <v>REFERENCE</v>
      </c>
      <c r="F384" s="11" t="str">
        <f>IFERROR(__xludf.DUMMYFUNCTION("""COMPUTED_VALUE"""),"Listicle")</f>
        <v>Listicle</v>
      </c>
      <c r="G384" s="11" t="b">
        <f>IFERROR(__xludf.DUMMYFUNCTION("""COMPUTED_VALUE"""),FALSE)</f>
        <v>0</v>
      </c>
      <c r="H384" s="11" t="str">
        <f>IFERROR(__xludf.DUMMYFUNCTION("""COMPUTED_VALUE"""),"Kantar, Nielsen, PwC, Capgemini, Merkle, WPP, Publicis Media, Publicis Groupe")</f>
        <v>Kantar, Nielsen, PwC, Capgemini, Merkle, WPP, Publicis Media, Publicis Groupe</v>
      </c>
      <c r="I384" s="11">
        <f>IFERROR(__xludf.DUMMYFUNCTION("""COMPUTED_VALUE"""),2.0)</f>
        <v>2</v>
      </c>
      <c r="J384" s="11">
        <f>IFERROR(__xludf.DUMMYFUNCTION("""COMPUTED_VALUE"""),0.0)</f>
        <v>0</v>
      </c>
      <c r="K384" s="11">
        <f>IFERROR(__xludf.DUMMYFUNCTION("""COMPUTED_VALUE"""),0.0)</f>
        <v>0</v>
      </c>
      <c r="L384" s="11"/>
    </row>
    <row r="385" ht="15.75" customHeight="1">
      <c r="A385" s="8" t="str">
        <f>IFERROR(__xludf.DUMMYFUNCTION("""COMPUTED_VALUE"""),"https://zupo.co/best-aeo-agencies/")</f>
        <v>https://zupo.co/best-aeo-agencies/</v>
      </c>
      <c r="B385" s="11" t="str">
        <f>IFERROR(__xludf.DUMMYFUNCTION("""COMPUTED_VALUE"""),"Best Answer Engine Optimization (AEO) Agencies in 2026")</f>
        <v>Best Answer Engine Optimization (AEO) Agencies in 2026</v>
      </c>
      <c r="C385" s="8" t="str">
        <f>IFERROR(__xludf.DUMMYFUNCTION("""COMPUTED_VALUE"""),"zupo.co")</f>
        <v>zupo.co</v>
      </c>
      <c r="D385" s="11" t="str">
        <f>IFERROR(__xludf.DUMMYFUNCTION("""COMPUTED_VALUE"""),"LISTICLE")</f>
        <v>LISTICLE</v>
      </c>
      <c r="E385" s="11" t="str">
        <f>IFERROR(__xludf.DUMMYFUNCTION("""COMPUTED_VALUE"""),"CORPORATE")</f>
        <v>CORPORATE</v>
      </c>
      <c r="F385" s="11" t="str">
        <f>IFERROR(__xludf.DUMMYFUNCTION("""COMPUTED_VALUE"""),"Listicle")</f>
        <v>Listicle</v>
      </c>
      <c r="G385" s="11" t="b">
        <f>IFERROR(__xludf.DUMMYFUNCTION("""COMPUTED_VALUE"""),FALSE)</f>
        <v>0</v>
      </c>
      <c r="H385" s="11" t="str">
        <f>IFERROR(__xludf.DUMMYFUNCTION("""COMPUTED_VALUE"""),"Mindshare, iPullRank")</f>
        <v>Mindshare, iPullRank</v>
      </c>
      <c r="I385" s="11">
        <f>IFERROR(__xludf.DUMMYFUNCTION("""COMPUTED_VALUE"""),2.0)</f>
        <v>2</v>
      </c>
      <c r="J385" s="11">
        <f>IFERROR(__xludf.DUMMYFUNCTION("""COMPUTED_VALUE"""),0.0)</f>
        <v>0</v>
      </c>
      <c r="K385" s="11">
        <f>IFERROR(__xludf.DUMMYFUNCTION("""COMPUTED_VALUE"""),1.0)</f>
        <v>1</v>
      </c>
      <c r="L385" s="11"/>
    </row>
    <row r="386" ht="15.75" customHeight="1">
      <c r="A386" s="8" t="str">
        <f>IFERROR(__xludf.DUMMYFUNCTION("""COMPUTED_VALUE"""),"https://www.2pointagency.com/glossary/data-activation-and-first-party-data-strategy-a-comprehensive-guide-for-businesses/")</f>
        <v>https://www.2pointagency.com/glossary/data-activation-and-first-party-data-strategy-a-comprehensive-guide-for-businesses/</v>
      </c>
      <c r="B386" s="11" t="str">
        <f>IFERROR(__xludf.DUMMYFUNCTION("""COMPUTED_VALUE"""),"Data Activation and First-Party Data Strategy: A Comprehensive Guide for Businesses - 2POINT Agency - Best Digital Marketing Agency")</f>
        <v>Data Activation and First-Party Data Strategy: A Comprehensive Guide for Businesses - 2POINT Agency - Best Digital Marketing Agency</v>
      </c>
      <c r="C386" s="8" t="str">
        <f>IFERROR(__xludf.DUMMYFUNCTION("""COMPUTED_VALUE"""),"2pointagency.com")</f>
        <v>2pointagency.com</v>
      </c>
      <c r="D386" s="11" t="str">
        <f>IFERROR(__xludf.DUMMYFUNCTION("""COMPUTED_VALUE"""),"HOW_TO_GUIDE")</f>
        <v>HOW_TO_GUIDE</v>
      </c>
      <c r="E386" s="11" t="str">
        <f>IFERROR(__xludf.DUMMYFUNCTION("""COMPUTED_VALUE"""),"CORPORATE")</f>
        <v>CORPORATE</v>
      </c>
      <c r="F386" s="11" t="str">
        <f>IFERROR(__xludf.DUMMYFUNCTION("""COMPUTED_VALUE"""),"How-To Guide")</f>
        <v>How-To Guide</v>
      </c>
      <c r="G386" s="11" t="b">
        <f>IFERROR(__xludf.DUMMYFUNCTION("""COMPUTED_VALUE"""),FALSE)</f>
        <v>0</v>
      </c>
      <c r="H386" s="11"/>
      <c r="I386" s="11">
        <f>IFERROR(__xludf.DUMMYFUNCTION("""COMPUTED_VALUE"""),1.0)</f>
        <v>1</v>
      </c>
      <c r="J386" s="11">
        <f>IFERROR(__xludf.DUMMYFUNCTION("""COMPUTED_VALUE"""),0.0)</f>
        <v>0</v>
      </c>
      <c r="K386" s="11">
        <f>IFERROR(__xludf.DUMMYFUNCTION("""COMPUTED_VALUE"""),0.0)</f>
        <v>0</v>
      </c>
      <c r="L386" s="11"/>
    </row>
    <row r="387" ht="15.75" customHeight="1">
      <c r="A387" s="8" t="str">
        <f>IFERROR(__xludf.DUMMYFUNCTION("""COMPUTED_VALUE"""),"https://www.adoptify.ai/blogs/top-enterprise-ai-adoption-consulting-firms-2026-comparison/")</f>
        <v>https://www.adoptify.ai/blogs/top-enterprise-ai-adoption-consulting-firms-2026-comparison/</v>
      </c>
      <c r="B387" s="11" t="str">
        <f>IFERROR(__xludf.DUMMYFUNCTION("""COMPUTED_VALUE"""),"Top Enterprise AI Adoption Consulting Firms: 2026 Comparison - Adoptify AI | Adoptify AI")</f>
        <v>Top Enterprise AI Adoption Consulting Firms: 2026 Comparison - Adoptify AI | Adoptify AI</v>
      </c>
      <c r="C387" s="8" t="str">
        <f>IFERROR(__xludf.DUMMYFUNCTION("""COMPUTED_VALUE"""),"adoptify.ai")</f>
        <v>adoptify.ai</v>
      </c>
      <c r="D387" s="11" t="str">
        <f>IFERROR(__xludf.DUMMYFUNCTION("""COMPUTED_VALUE"""),"COMPARISON")</f>
        <v>COMPARISON</v>
      </c>
      <c r="E387" s="11" t="str">
        <f>IFERROR(__xludf.DUMMYFUNCTION("""COMPUTED_VALUE"""),"CORPORATE")</f>
        <v>CORPORATE</v>
      </c>
      <c r="F387" s="11" t="str">
        <f>IFERROR(__xludf.DUMMYFUNCTION("""COMPUTED_VALUE"""),"Comparison")</f>
        <v>Comparison</v>
      </c>
      <c r="G387" s="11" t="b">
        <f>IFERROR(__xludf.DUMMYFUNCTION("""COMPUTED_VALUE"""),FALSE)</f>
        <v>0</v>
      </c>
      <c r="H387" s="11" t="str">
        <f>IFERROR(__xludf.DUMMYFUNCTION("""COMPUTED_VALUE"""),"Pilot, Measured, BCG, PwC, EY, Momentum")</f>
        <v>Pilot, Measured, BCG, PwC, EY, Momentum</v>
      </c>
      <c r="I387" s="11">
        <f>IFERROR(__xludf.DUMMYFUNCTION("""COMPUTED_VALUE"""),1.0)</f>
        <v>1</v>
      </c>
      <c r="J387" s="11">
        <f>IFERROR(__xludf.DUMMYFUNCTION("""COMPUTED_VALUE"""),0.0)</f>
        <v>0</v>
      </c>
      <c r="K387" s="11">
        <f>IFERROR(__xludf.DUMMYFUNCTION("""COMPUTED_VALUE"""),0.0)</f>
        <v>0</v>
      </c>
      <c r="L387" s="11"/>
    </row>
    <row r="388" ht="15.75" customHeight="1">
      <c r="A388" s="8" t="str">
        <f>IFERROR(__xludf.DUMMYFUNCTION("""COMPUTED_VALUE"""),"https://www.adstellar.ai/blog/media-buying-automation-tools")</f>
        <v>https://www.adstellar.ai/blog/media-buying-automation-tools</v>
      </c>
      <c r="B388" s="11" t="str">
        <f>IFERROR(__xludf.DUMMYFUNCTION("""COMPUTED_VALUE"""),"Top 9 Media Buying Automation Tools: 2026… | AdStellar")</f>
        <v>Top 9 Media Buying Automation Tools: 2026… | AdStellar</v>
      </c>
      <c r="C388" s="8" t="str">
        <f>IFERROR(__xludf.DUMMYFUNCTION("""COMPUTED_VALUE"""),"adstellar.ai")</f>
        <v>adstellar.ai</v>
      </c>
      <c r="D388" s="11" t="str">
        <f>IFERROR(__xludf.DUMMYFUNCTION("""COMPUTED_VALUE"""),"LISTICLE")</f>
        <v>LISTICLE</v>
      </c>
      <c r="E388" s="11" t="str">
        <f>IFERROR(__xludf.DUMMYFUNCTION("""COMPUTED_VALUE"""),"CORPORATE")</f>
        <v>CORPORATE</v>
      </c>
      <c r="F388" s="11" t="str">
        <f>IFERROR(__xludf.DUMMYFUNCTION("""COMPUTED_VALUE"""),"Listicle")</f>
        <v>Listicle</v>
      </c>
      <c r="G388" s="11" t="b">
        <f>IFERROR(__xludf.DUMMYFUNCTION("""COMPUTED_VALUE"""),FALSE)</f>
        <v>0</v>
      </c>
      <c r="H388" s="11" t="str">
        <f>IFERROR(__xludf.DUMMYFUNCTION("""COMPUTED_VALUE"""),"Cometly")</f>
        <v>Cometly</v>
      </c>
      <c r="I388" s="11">
        <f>IFERROR(__xludf.DUMMYFUNCTION("""COMPUTED_VALUE"""),1.0)</f>
        <v>1</v>
      </c>
      <c r="J388" s="11">
        <f>IFERROR(__xludf.DUMMYFUNCTION("""COMPUTED_VALUE"""),0.0)</f>
        <v>0</v>
      </c>
      <c r="K388" s="11">
        <f>IFERROR(__xludf.DUMMYFUNCTION("""COMPUTED_VALUE"""),0.0)</f>
        <v>0</v>
      </c>
      <c r="L388" s="11"/>
    </row>
    <row r="389" ht="15.75" customHeight="1">
      <c r="A389" s="8" t="str">
        <f>IFERROR(__xludf.DUMMYFUNCTION("""COMPUTED_VALUE"""),"https://aeo-collective.com/blog/top-10-aeo-geo-aio-marketing-agencies-in-april-2026/")</f>
        <v>https://aeo-collective.com/blog/top-10-aeo-geo-aio-marketing-agencies-in-april-2026/</v>
      </c>
      <c r="B389" s="11" t="str">
        <f>IFERROR(__xludf.DUMMYFUNCTION("""COMPUTED_VALUE"""),"Top AEO Agencies for Boosting AI Search Visibility in 2026")</f>
        <v>Top AEO Agencies for Boosting AI Search Visibility in 2026</v>
      </c>
      <c r="C389" s="8" t="str">
        <f>IFERROR(__xludf.DUMMYFUNCTION("""COMPUTED_VALUE"""),"aeo-collective.com")</f>
        <v>aeo-collective.com</v>
      </c>
      <c r="D389" s="11" t="str">
        <f>IFERROR(__xludf.DUMMYFUNCTION("""COMPUTED_VALUE"""),"LISTICLE")</f>
        <v>LISTICLE</v>
      </c>
      <c r="E389" s="11" t="str">
        <f>IFERROR(__xludf.DUMMYFUNCTION("""COMPUTED_VALUE"""),"CORPORATE")</f>
        <v>CORPORATE</v>
      </c>
      <c r="F389" s="11" t="str">
        <f>IFERROR(__xludf.DUMMYFUNCTION("""COMPUTED_VALUE"""),"Listicle")</f>
        <v>Listicle</v>
      </c>
      <c r="G389" s="11" t="b">
        <f>IFERROR(__xludf.DUMMYFUNCTION("""COMPUTED_VALUE"""),FALSE)</f>
        <v>0</v>
      </c>
      <c r="H389" s="11" t="str">
        <f>IFERROR(__xludf.DUMMYFUNCTION("""COMPUTED_VALUE"""),"Single Grain")</f>
        <v>Single Grain</v>
      </c>
      <c r="I389" s="11">
        <f>IFERROR(__xludf.DUMMYFUNCTION("""COMPUTED_VALUE"""),1.0)</f>
        <v>1</v>
      </c>
      <c r="J389" s="11">
        <f>IFERROR(__xludf.DUMMYFUNCTION("""COMPUTED_VALUE"""),0.0)</f>
        <v>0</v>
      </c>
      <c r="K389" s="11">
        <f>IFERROR(__xludf.DUMMYFUNCTION("""COMPUTED_VALUE"""),0.0)</f>
        <v>0</v>
      </c>
      <c r="L389" s="11"/>
    </row>
    <row r="390" ht="15.75" customHeight="1">
      <c r="A390" s="8" t="str">
        <f>IFERROR(__xludf.DUMMYFUNCTION("""COMPUTED_VALUE"""),"https://aeo-copilot.com/partners/agencies/germany/hamburg")</f>
        <v>https://aeo-copilot.com/partners/agencies/germany/hamburg</v>
      </c>
      <c r="B390" s="11" t="str">
        <f>IFERROR(__xludf.DUMMYFUNCTION("""COMPUTED_VALUE"""),"Best AEO Agencies in Hamburg, Germany — AI Visibility Experts | AEO Copilot")</f>
        <v>Best AEO Agencies in Hamburg, Germany — AI Visibility Experts | AEO Copilot</v>
      </c>
      <c r="C390" s="8" t="str">
        <f>IFERROR(__xludf.DUMMYFUNCTION("""COMPUTED_VALUE"""),"aeo-copilot.com")</f>
        <v>aeo-copilot.com</v>
      </c>
      <c r="D390" s="11" t="str">
        <f>IFERROR(__xludf.DUMMYFUNCTION("""COMPUTED_VALUE"""),"OTHER")</f>
        <v>OTHER</v>
      </c>
      <c r="E390" s="11" t="str">
        <f>IFERROR(__xludf.DUMMYFUNCTION("""COMPUTED_VALUE"""),"CORPORATE")</f>
        <v>CORPORATE</v>
      </c>
      <c r="F390" s="11" t="str">
        <f>IFERROR(__xludf.DUMMYFUNCTION("""COMPUTED_VALUE"""),"Other")</f>
        <v>Other</v>
      </c>
      <c r="G390" s="11" t="b">
        <f>IFERROR(__xludf.DUMMYFUNCTION("""COMPUTED_VALUE"""),FALSE)</f>
        <v>0</v>
      </c>
      <c r="H390" s="11"/>
      <c r="I390" s="11">
        <f>IFERROR(__xludf.DUMMYFUNCTION("""COMPUTED_VALUE"""),1.0)</f>
        <v>1</v>
      </c>
      <c r="J390" s="11">
        <f>IFERROR(__xludf.DUMMYFUNCTION("""COMPUTED_VALUE"""),0.0)</f>
        <v>0</v>
      </c>
      <c r="K390" s="11">
        <f>IFERROR(__xludf.DUMMYFUNCTION("""COMPUTED_VALUE"""),1.0)</f>
        <v>1</v>
      </c>
      <c r="L390" s="11"/>
    </row>
    <row r="391" ht="15.75" customHeight="1">
      <c r="A391" s="8" t="str">
        <f>IFERROR(__xludf.DUMMYFUNCTION("""COMPUTED_VALUE"""),"https://agencies.semrush.com/list/ai-optimization/wuppertal/")</f>
        <v>https://agencies.semrush.com/list/ai-optimization/wuppertal/</v>
      </c>
      <c r="B391" s="11" t="str">
        <f>IFERROR(__xludf.DUMMYFUNCTION("""COMPUTED_VALUE"""),"Best AI Search Optimization Agencies in Wuppertal 2026 | Semrush")</f>
        <v>Best AI Search Optimization Agencies in Wuppertal 2026 | Semrush</v>
      </c>
      <c r="C391" s="8" t="str">
        <f>IFERROR(__xludf.DUMMYFUNCTION("""COMPUTED_VALUE"""),"semrush.com")</f>
        <v>semrush.com</v>
      </c>
      <c r="D391" s="11" t="str">
        <f>IFERROR(__xludf.DUMMYFUNCTION("""COMPUTED_VALUE"""),"OTHER")</f>
        <v>OTHER</v>
      </c>
      <c r="E391" s="11" t="str">
        <f>IFERROR(__xludf.DUMMYFUNCTION("""COMPUTED_VALUE"""),"CORPORATE")</f>
        <v>CORPORATE</v>
      </c>
      <c r="F391" s="11" t="str">
        <f>IFERROR(__xludf.DUMMYFUNCTION("""COMPUTED_VALUE"""),"Other")</f>
        <v>Other</v>
      </c>
      <c r="G391" s="11" t="b">
        <f>IFERROR(__xludf.DUMMYFUNCTION("""COMPUTED_VALUE"""),FALSE)</f>
        <v>0</v>
      </c>
      <c r="H391" s="11" t="str">
        <f>IFERROR(__xludf.DUMMYFUNCTION("""COMPUTED_VALUE"""),"HECHT INS GEFECHT, morefire, Mediaplus Performance")</f>
        <v>HECHT INS GEFECHT, morefire, Mediaplus Performance</v>
      </c>
      <c r="I391" s="11">
        <f>IFERROR(__xludf.DUMMYFUNCTION("""COMPUTED_VALUE"""),1.0)</f>
        <v>1</v>
      </c>
      <c r="J391" s="11">
        <f>IFERROR(__xludf.DUMMYFUNCTION("""COMPUTED_VALUE"""),0.0)</f>
        <v>0</v>
      </c>
      <c r="K391" s="11">
        <f>IFERROR(__xludf.DUMMYFUNCTION("""COMPUTED_VALUE"""),1.0)</f>
        <v>1</v>
      </c>
      <c r="L391" s="11"/>
    </row>
    <row r="392" ht="15.75" customHeight="1">
      <c r="A392" s="8" t="str">
        <f>IFERROR(__xludf.DUMMYFUNCTION("""COMPUTED_VALUE"""),"https://agencies.semrush.com/list/analytics-data-science/business-professional-services/germany/enterprise-business/")</f>
        <v>https://agencies.semrush.com/list/analytics-data-science/business-professional-services/germany/enterprise-business/</v>
      </c>
      <c r="B392" s="11" t="str">
        <f>IFERROR(__xludf.DUMMYFUNCTION("""COMPUTED_VALUE"""),"Best B2B Services Data Analytics Services for Enterprise Business in Germany 2026 | Semrush")</f>
        <v>Best B2B Services Data Analytics Services for Enterprise Business in Germany 2026 | Semrush</v>
      </c>
      <c r="C392" s="8" t="str">
        <f>IFERROR(__xludf.DUMMYFUNCTION("""COMPUTED_VALUE"""),"semrush.com")</f>
        <v>semrush.com</v>
      </c>
      <c r="D392" s="11" t="str">
        <f>IFERROR(__xludf.DUMMYFUNCTION("""COMPUTED_VALUE"""),"OTHER")</f>
        <v>OTHER</v>
      </c>
      <c r="E392" s="11" t="str">
        <f>IFERROR(__xludf.DUMMYFUNCTION("""COMPUTED_VALUE"""),"CORPORATE")</f>
        <v>CORPORATE</v>
      </c>
      <c r="F392" s="11" t="str">
        <f>IFERROR(__xludf.DUMMYFUNCTION("""COMPUTED_VALUE"""),"Other")</f>
        <v>Other</v>
      </c>
      <c r="G392" s="11" t="b">
        <f>IFERROR(__xludf.DUMMYFUNCTION("""COMPUTED_VALUE"""),FALSE)</f>
        <v>0</v>
      </c>
      <c r="H392" s="11" t="str">
        <f>IFERROR(__xludf.DUMMYFUNCTION("""COMPUTED_VALUE"""),"HECHT INS GEFECHT, Baseplus DIGITAL MEDIA GmbH, morefire, Mediaplus Performance")</f>
        <v>HECHT INS GEFECHT, Baseplus DIGITAL MEDIA GmbH, morefire, Mediaplus Performance</v>
      </c>
      <c r="I392" s="11">
        <f>IFERROR(__xludf.DUMMYFUNCTION("""COMPUTED_VALUE"""),1.0)</f>
        <v>1</v>
      </c>
      <c r="J392" s="11">
        <f>IFERROR(__xludf.DUMMYFUNCTION("""COMPUTED_VALUE"""),0.0)</f>
        <v>0</v>
      </c>
      <c r="K392" s="11">
        <f>IFERROR(__xludf.DUMMYFUNCTION("""COMPUTED_VALUE"""),0.0)</f>
        <v>0</v>
      </c>
      <c r="L392" s="11"/>
    </row>
    <row r="393" ht="15.75" customHeight="1">
      <c r="A393" s="8" t="str">
        <f>IFERROR(__xludf.DUMMYFUNCTION("""COMPUTED_VALUE"""),"https://agencies.semrush.com/list/analytics-data-science/ecommerce/germany/")</f>
        <v>https://agencies.semrush.com/list/analytics-data-science/ecommerce/germany/</v>
      </c>
      <c r="B393" s="11" t="str">
        <f>IFERROR(__xludf.DUMMYFUNCTION("""COMPUTED_VALUE"""),"Best Ecommerce Data Analytics Services in Germany 2026 | Semrush")</f>
        <v>Best Ecommerce Data Analytics Services in Germany 2026 | Semrush</v>
      </c>
      <c r="C393" s="8" t="str">
        <f>IFERROR(__xludf.DUMMYFUNCTION("""COMPUTED_VALUE"""),"semrush.com")</f>
        <v>semrush.com</v>
      </c>
      <c r="D393" s="11" t="str">
        <f>IFERROR(__xludf.DUMMYFUNCTION("""COMPUTED_VALUE"""),"OTHER")</f>
        <v>OTHER</v>
      </c>
      <c r="E393" s="11" t="str">
        <f>IFERROR(__xludf.DUMMYFUNCTION("""COMPUTED_VALUE"""),"CORPORATE")</f>
        <v>CORPORATE</v>
      </c>
      <c r="F393" s="11" t="str">
        <f>IFERROR(__xludf.DUMMYFUNCTION("""COMPUTED_VALUE"""),"Other")</f>
        <v>Other</v>
      </c>
      <c r="G393" s="11" t="b">
        <f>IFERROR(__xludf.DUMMYFUNCTION("""COMPUTED_VALUE"""),FALSE)</f>
        <v>0</v>
      </c>
      <c r="H393" s="11" t="str">
        <f>IFERROR(__xludf.DUMMYFUNCTION("""COMPUTED_VALUE"""),"HECHT INS GEFECHT, Baseplus DIGITAL MEDIA GmbH, morefire, Mediaplus Performance")</f>
        <v>HECHT INS GEFECHT, Baseplus DIGITAL MEDIA GmbH, morefire, Mediaplus Performance</v>
      </c>
      <c r="I393" s="11">
        <f>IFERROR(__xludf.DUMMYFUNCTION("""COMPUTED_VALUE"""),1.0)</f>
        <v>1</v>
      </c>
      <c r="J393" s="11">
        <f>IFERROR(__xludf.DUMMYFUNCTION("""COMPUTED_VALUE"""),0.0)</f>
        <v>0</v>
      </c>
      <c r="K393" s="11">
        <f>IFERROR(__xludf.DUMMYFUNCTION("""COMPUTED_VALUE"""),1.0)</f>
        <v>1</v>
      </c>
      <c r="L393" s="11"/>
    </row>
    <row r="394" ht="15.75" customHeight="1">
      <c r="A394" s="8" t="str">
        <f>IFERROR(__xludf.DUMMYFUNCTION("""COMPUTED_VALUE"""),"https://agencies.semrush.com/list/business-professional-services/germany/")</f>
        <v>https://agencies.semrush.com/list/business-professional-services/germany/</v>
      </c>
      <c r="B394" s="11" t="str">
        <f>IFERROR(__xludf.DUMMYFUNCTION("""COMPUTED_VALUE"""),"Best B2B Services Digital Marketing Agencies in Germany 2026 | Semrush")</f>
        <v>Best B2B Services Digital Marketing Agencies in Germany 2026 | Semrush</v>
      </c>
      <c r="C394" s="8" t="str">
        <f>IFERROR(__xludf.DUMMYFUNCTION("""COMPUTED_VALUE"""),"semrush.com")</f>
        <v>semrush.com</v>
      </c>
      <c r="D394" s="11" t="str">
        <f>IFERROR(__xludf.DUMMYFUNCTION("""COMPUTED_VALUE"""),"CATEGORY_PAGE")</f>
        <v>CATEGORY_PAGE</v>
      </c>
      <c r="E394" s="11" t="str">
        <f>IFERROR(__xludf.DUMMYFUNCTION("""COMPUTED_VALUE"""),"CORPORATE")</f>
        <v>CORPORATE</v>
      </c>
      <c r="F394" s="11" t="str">
        <f>IFERROR(__xludf.DUMMYFUNCTION("""COMPUTED_VALUE"""),"Category Page")</f>
        <v>Category Page</v>
      </c>
      <c r="G394" s="11" t="b">
        <f>IFERROR(__xludf.DUMMYFUNCTION("""COMPUTED_VALUE"""),FALSE)</f>
        <v>0</v>
      </c>
      <c r="H394" s="11" t="str">
        <f>IFERROR(__xludf.DUMMYFUNCTION("""COMPUTED_VALUE"""),"HECHT INS GEFECHT, Baseplus DIGITAL MEDIA GmbH, morefire, Mediaplus Performance, Mediacharge")</f>
        <v>HECHT INS GEFECHT, Baseplus DIGITAL MEDIA GmbH, morefire, Mediaplus Performance, Mediacharge</v>
      </c>
      <c r="I394" s="11">
        <f>IFERROR(__xludf.DUMMYFUNCTION("""COMPUTED_VALUE"""),1.0)</f>
        <v>1</v>
      </c>
      <c r="J394" s="11">
        <f>IFERROR(__xludf.DUMMYFUNCTION("""COMPUTED_VALUE"""),0.0)</f>
        <v>0</v>
      </c>
      <c r="K394" s="11">
        <f>IFERROR(__xludf.DUMMYFUNCTION("""COMPUTED_VALUE"""),0.0)</f>
        <v>0</v>
      </c>
      <c r="L394" s="11"/>
    </row>
    <row r="395" ht="15.75" customHeight="1">
      <c r="A395" s="8" t="str">
        <f>IFERROR(__xludf.DUMMYFUNCTION("""COMPUTED_VALUE"""),"https://agencies.semrush.com/list/display-advertising/north-rhine-westphalia/")</f>
        <v>https://agencies.semrush.com/list/display-advertising/north-rhine-westphalia/</v>
      </c>
      <c r="B395" s="11" t="str">
        <f>IFERROR(__xludf.DUMMYFUNCTION("""COMPUTED_VALUE"""),"Best Display Ads Agencies in North Rhine-Westphalia 2026 | Semrush")</f>
        <v>Best Display Ads Agencies in North Rhine-Westphalia 2026 | Semrush</v>
      </c>
      <c r="C395" s="8" t="str">
        <f>IFERROR(__xludf.DUMMYFUNCTION("""COMPUTED_VALUE"""),"semrush.com")</f>
        <v>semrush.com</v>
      </c>
      <c r="D395" s="11" t="str">
        <f>IFERROR(__xludf.DUMMYFUNCTION("""COMPUTED_VALUE"""),"OTHER")</f>
        <v>OTHER</v>
      </c>
      <c r="E395" s="11" t="str">
        <f>IFERROR(__xludf.DUMMYFUNCTION("""COMPUTED_VALUE"""),"CORPORATE")</f>
        <v>CORPORATE</v>
      </c>
      <c r="F395" s="11" t="str">
        <f>IFERROR(__xludf.DUMMYFUNCTION("""COMPUTED_VALUE"""),"Other")</f>
        <v>Other</v>
      </c>
      <c r="G395" s="11" t="b">
        <f>IFERROR(__xludf.DUMMYFUNCTION("""COMPUTED_VALUE"""),FALSE)</f>
        <v>0</v>
      </c>
      <c r="H395" s="11" t="str">
        <f>IFERROR(__xludf.DUMMYFUNCTION("""COMPUTED_VALUE"""),"Baseplus DIGITAL MEDIA GmbH, morefire, Mediaplus Performance, MONSOON, KlickPiloten")</f>
        <v>Baseplus DIGITAL MEDIA GmbH, morefire, Mediaplus Performance, MONSOON, KlickPiloten</v>
      </c>
      <c r="I395" s="11">
        <f>IFERROR(__xludf.DUMMYFUNCTION("""COMPUTED_VALUE"""),1.0)</f>
        <v>1</v>
      </c>
      <c r="J395" s="11">
        <f>IFERROR(__xludf.DUMMYFUNCTION("""COMPUTED_VALUE"""),0.0)</f>
        <v>0</v>
      </c>
      <c r="K395" s="11">
        <f>IFERROR(__xludf.DUMMYFUNCTION("""COMPUTED_VALUE"""),0.0)</f>
        <v>0</v>
      </c>
      <c r="L395" s="11"/>
    </row>
    <row r="396" ht="15.75" customHeight="1">
      <c r="A396" s="8" t="str">
        <f>IFERROR(__xludf.DUMMYFUNCTION("""COMPUTED_VALUE"""),"https://agencies.semrush.com/list/facebook-advertising/germany/")</f>
        <v>https://agencies.semrush.com/list/facebook-advertising/germany/</v>
      </c>
      <c r="B396" s="11" t="str">
        <f>IFERROR(__xludf.DUMMYFUNCTION("""COMPUTED_VALUE"""),"Best Facebook Advertising Agencies in Germany 2026 | Semrush")</f>
        <v>Best Facebook Advertising Agencies in Germany 2026 | Semrush</v>
      </c>
      <c r="C396" s="8" t="str">
        <f>IFERROR(__xludf.DUMMYFUNCTION("""COMPUTED_VALUE"""),"semrush.com")</f>
        <v>semrush.com</v>
      </c>
      <c r="D396" s="11" t="str">
        <f>IFERROR(__xludf.DUMMYFUNCTION("""COMPUTED_VALUE"""),"CATEGORY_PAGE")</f>
        <v>CATEGORY_PAGE</v>
      </c>
      <c r="E396" s="11" t="str">
        <f>IFERROR(__xludf.DUMMYFUNCTION("""COMPUTED_VALUE"""),"CORPORATE")</f>
        <v>CORPORATE</v>
      </c>
      <c r="F396" s="11" t="str">
        <f>IFERROR(__xludf.DUMMYFUNCTION("""COMPUTED_VALUE"""),"Category Page")</f>
        <v>Category Page</v>
      </c>
      <c r="G396" s="11" t="b">
        <f>IFERROR(__xludf.DUMMYFUNCTION("""COMPUTED_VALUE"""),FALSE)</f>
        <v>0</v>
      </c>
      <c r="H396" s="11" t="str">
        <f>IFERROR(__xludf.DUMMYFUNCTION("""COMPUTED_VALUE"""),"Baseplus DIGITAL MEDIA GmbH, Mediaplus Performance, MONSOON")</f>
        <v>Baseplus DIGITAL MEDIA GmbH, Mediaplus Performance, MONSOON</v>
      </c>
      <c r="I396" s="11">
        <f>IFERROR(__xludf.DUMMYFUNCTION("""COMPUTED_VALUE"""),1.0)</f>
        <v>1</v>
      </c>
      <c r="J396" s="11">
        <f>IFERROR(__xludf.DUMMYFUNCTION("""COMPUTED_VALUE"""),0.0)</f>
        <v>0</v>
      </c>
      <c r="K396" s="11">
        <f>IFERROR(__xludf.DUMMYFUNCTION("""COMPUTED_VALUE"""),0.0)</f>
        <v>0</v>
      </c>
      <c r="L396" s="11"/>
    </row>
    <row r="397" ht="15.75" customHeight="1">
      <c r="A397" s="8" t="str">
        <f>IFERROR(__xludf.DUMMYFUNCTION("""COMPUTED_VALUE"""),"https://agencies.semrush.com/list/llm-optimization/germany/mid-business/")</f>
        <v>https://agencies.semrush.com/list/llm-optimization/germany/mid-business/</v>
      </c>
      <c r="B397" s="11" t="str">
        <f>IFERROR(__xludf.DUMMYFUNCTION("""COMPUTED_VALUE"""),"Best LLM optimization Agencies for Mid Business in Germany 2026 | Semrush")</f>
        <v>Best LLM optimization Agencies for Mid Business in Germany 2026 | Semrush</v>
      </c>
      <c r="C397" s="8" t="str">
        <f>IFERROR(__xludf.DUMMYFUNCTION("""COMPUTED_VALUE"""),"semrush.com")</f>
        <v>semrush.com</v>
      </c>
      <c r="D397" s="11" t="str">
        <f>IFERROR(__xludf.DUMMYFUNCTION("""COMPUTED_VALUE"""),"CATEGORY_PAGE")</f>
        <v>CATEGORY_PAGE</v>
      </c>
      <c r="E397" s="11" t="str">
        <f>IFERROR(__xludf.DUMMYFUNCTION("""COMPUTED_VALUE"""),"CORPORATE")</f>
        <v>CORPORATE</v>
      </c>
      <c r="F397" s="11" t="str">
        <f>IFERROR(__xludf.DUMMYFUNCTION("""COMPUTED_VALUE"""),"Category Page")</f>
        <v>Category Page</v>
      </c>
      <c r="G397" s="11" t="b">
        <f>IFERROR(__xludf.DUMMYFUNCTION("""COMPUTED_VALUE"""),FALSE)</f>
        <v>0</v>
      </c>
      <c r="H397" s="11" t="str">
        <f>IFERROR(__xludf.DUMMYFUNCTION("""COMPUTED_VALUE"""),"HECHT INS GEFECHT, morefire, Mediaplus Performance")</f>
        <v>HECHT INS GEFECHT, morefire, Mediaplus Performance</v>
      </c>
      <c r="I397" s="11">
        <f>IFERROR(__xludf.DUMMYFUNCTION("""COMPUTED_VALUE"""),1.0)</f>
        <v>1</v>
      </c>
      <c r="J397" s="11">
        <f>IFERROR(__xludf.DUMMYFUNCTION("""COMPUTED_VALUE"""),0.0)</f>
        <v>0</v>
      </c>
      <c r="K397" s="11">
        <f>IFERROR(__xludf.DUMMYFUNCTION("""COMPUTED_VALUE"""),1.0)</f>
        <v>1</v>
      </c>
      <c r="L397" s="11"/>
    </row>
    <row r="398" ht="15.75" customHeight="1">
      <c r="A398" s="8" t="str">
        <f>IFERROR(__xludf.DUMMYFUNCTION("""COMPUTED_VALUE"""),"https://agencies.semrush.com/list/los-angeles/")</f>
        <v>https://agencies.semrush.com/list/los-angeles/</v>
      </c>
      <c r="B398" s="11" t="str">
        <f>IFERROR(__xludf.DUMMYFUNCTION("""COMPUTED_VALUE"""),"Best Digital Marketing Agencies in Los Angeles 2026 | Semrush")</f>
        <v>Best Digital Marketing Agencies in Los Angeles 2026 | Semrush</v>
      </c>
      <c r="C398" s="8" t="str">
        <f>IFERROR(__xludf.DUMMYFUNCTION("""COMPUTED_VALUE"""),"semrush.com")</f>
        <v>semrush.com</v>
      </c>
      <c r="D398" s="11" t="str">
        <f>IFERROR(__xludf.DUMMYFUNCTION("""COMPUTED_VALUE"""),"CATEGORY_PAGE")</f>
        <v>CATEGORY_PAGE</v>
      </c>
      <c r="E398" s="11" t="str">
        <f>IFERROR(__xludf.DUMMYFUNCTION("""COMPUTED_VALUE"""),"CORPORATE")</f>
        <v>CORPORATE</v>
      </c>
      <c r="F398" s="11" t="str">
        <f>IFERROR(__xludf.DUMMYFUNCTION("""COMPUTED_VALUE"""),"Category Page")</f>
        <v>Category Page</v>
      </c>
      <c r="G398" s="11" t="b">
        <f>IFERROR(__xludf.DUMMYFUNCTION("""COMPUTED_VALUE"""),FALSE)</f>
        <v>0</v>
      </c>
      <c r="H398" s="11"/>
      <c r="I398" s="11">
        <f>IFERROR(__xludf.DUMMYFUNCTION("""COMPUTED_VALUE"""),1.0)</f>
        <v>1</v>
      </c>
      <c r="J398" s="11">
        <f>IFERROR(__xludf.DUMMYFUNCTION("""COMPUTED_VALUE"""),0.0)</f>
        <v>0</v>
      </c>
      <c r="K398" s="11">
        <f>IFERROR(__xludf.DUMMYFUNCTION("""COMPUTED_VALUE"""),0.0)</f>
        <v>0</v>
      </c>
      <c r="L398" s="11"/>
    </row>
    <row r="399" ht="15.75" customHeight="1">
      <c r="A399" s="8" t="str">
        <f>IFERROR(__xludf.DUMMYFUNCTION("""COMPUTED_VALUE"""),"https://agencies.semrush.com/list/machine-learning-and-ai/germany/enterprise-business/")</f>
        <v>https://agencies.semrush.com/list/machine-learning-and-ai/germany/enterprise-business/</v>
      </c>
      <c r="B399" s="11" t="str">
        <f>IFERROR(__xludf.DUMMYFUNCTION("""COMPUTED_VALUE"""),"Best Machine Learning and AI Services for Enterprise Business in Germany 2026 | Semrush")</f>
        <v>Best Machine Learning and AI Services for Enterprise Business in Germany 2026 | Semrush</v>
      </c>
      <c r="C399" s="8" t="str">
        <f>IFERROR(__xludf.DUMMYFUNCTION("""COMPUTED_VALUE"""),"semrush.com")</f>
        <v>semrush.com</v>
      </c>
      <c r="D399" s="11" t="str">
        <f>IFERROR(__xludf.DUMMYFUNCTION("""COMPUTED_VALUE"""),"OTHER")</f>
        <v>OTHER</v>
      </c>
      <c r="E399" s="11" t="str">
        <f>IFERROR(__xludf.DUMMYFUNCTION("""COMPUTED_VALUE"""),"CORPORATE")</f>
        <v>CORPORATE</v>
      </c>
      <c r="F399" s="11" t="str">
        <f>IFERROR(__xludf.DUMMYFUNCTION("""COMPUTED_VALUE"""),"Other")</f>
        <v>Other</v>
      </c>
      <c r="G399" s="11" t="b">
        <f>IFERROR(__xludf.DUMMYFUNCTION("""COMPUTED_VALUE"""),FALSE)</f>
        <v>0</v>
      </c>
      <c r="H399" s="11" t="str">
        <f>IFERROR(__xludf.DUMMYFUNCTION("""COMPUTED_VALUE"""),"HECHT INS GEFECHT, Baseplus DIGITAL MEDIA GmbH, morefire, Mediaplus Performance")</f>
        <v>HECHT INS GEFECHT, Baseplus DIGITAL MEDIA GmbH, morefire, Mediaplus Performance</v>
      </c>
      <c r="I399" s="11">
        <f>IFERROR(__xludf.DUMMYFUNCTION("""COMPUTED_VALUE"""),1.0)</f>
        <v>1</v>
      </c>
      <c r="J399" s="11">
        <f>IFERROR(__xludf.DUMMYFUNCTION("""COMPUTED_VALUE"""),0.0)</f>
        <v>0</v>
      </c>
      <c r="K399" s="11">
        <f>IFERROR(__xludf.DUMMYFUNCTION("""COMPUTED_VALUE"""),0.0)</f>
        <v>0</v>
      </c>
      <c r="L399" s="11"/>
    </row>
    <row r="400" ht="15.75" customHeight="1">
      <c r="A400" s="8" t="str">
        <f>IFERROR(__xludf.DUMMYFUNCTION("""COMPUTED_VALUE"""),"https://agencies.semrush.com/list/machine-learning-and-ai/germany/mid-business/")</f>
        <v>https://agencies.semrush.com/list/machine-learning-and-ai/germany/mid-business/</v>
      </c>
      <c r="B400" s="11" t="str">
        <f>IFERROR(__xludf.DUMMYFUNCTION("""COMPUTED_VALUE"""),"Best Machine Learning and AI Services for Mid Business in Germany 2026 | Semrush")</f>
        <v>Best Machine Learning and AI Services for Mid Business in Germany 2026 | Semrush</v>
      </c>
      <c r="C400" s="8" t="str">
        <f>IFERROR(__xludf.DUMMYFUNCTION("""COMPUTED_VALUE"""),"semrush.com")</f>
        <v>semrush.com</v>
      </c>
      <c r="D400" s="11" t="str">
        <f>IFERROR(__xludf.DUMMYFUNCTION("""COMPUTED_VALUE"""),"CATEGORY_PAGE")</f>
        <v>CATEGORY_PAGE</v>
      </c>
      <c r="E400" s="11" t="str">
        <f>IFERROR(__xludf.DUMMYFUNCTION("""COMPUTED_VALUE"""),"CORPORATE")</f>
        <v>CORPORATE</v>
      </c>
      <c r="F400" s="11" t="str">
        <f>IFERROR(__xludf.DUMMYFUNCTION("""COMPUTED_VALUE"""),"Category Page")</f>
        <v>Category Page</v>
      </c>
      <c r="G400" s="11" t="b">
        <f>IFERROR(__xludf.DUMMYFUNCTION("""COMPUTED_VALUE"""),FALSE)</f>
        <v>0</v>
      </c>
      <c r="H400" s="11" t="str">
        <f>IFERROR(__xludf.DUMMYFUNCTION("""COMPUTED_VALUE"""),"HECHT INS GEFECHT, Baseplus DIGITAL MEDIA GmbH, morefire, Mediaplus Performance")</f>
        <v>HECHT INS GEFECHT, Baseplus DIGITAL MEDIA GmbH, morefire, Mediaplus Performance</v>
      </c>
      <c r="I400" s="11">
        <f>IFERROR(__xludf.DUMMYFUNCTION("""COMPUTED_VALUE"""),1.0)</f>
        <v>1</v>
      </c>
      <c r="J400" s="11">
        <f>IFERROR(__xludf.DUMMYFUNCTION("""COMPUTED_VALUE"""),0.0)</f>
        <v>0</v>
      </c>
      <c r="K400" s="11">
        <f>IFERROR(__xludf.DUMMYFUNCTION("""COMPUTED_VALUE"""),0.0)</f>
        <v>0</v>
      </c>
      <c r="L400" s="11"/>
    </row>
    <row r="401" ht="15.75" customHeight="1">
      <c r="A401" s="8" t="str">
        <f>IFERROR(__xludf.DUMMYFUNCTION("""COMPUTED_VALUE"""),"https://agencies.semrush.com/list/machine-learning-and-ai/germany/small-business/")</f>
        <v>https://agencies.semrush.com/list/machine-learning-and-ai/germany/small-business/</v>
      </c>
      <c r="B401" s="11" t="str">
        <f>IFERROR(__xludf.DUMMYFUNCTION("""COMPUTED_VALUE"""),"Best Machine Learning and AI Services for Small Business in Germany 2026 | Semrush")</f>
        <v>Best Machine Learning and AI Services for Small Business in Germany 2026 | Semrush</v>
      </c>
      <c r="C401" s="8" t="str">
        <f>IFERROR(__xludf.DUMMYFUNCTION("""COMPUTED_VALUE"""),"semrush.com")</f>
        <v>semrush.com</v>
      </c>
      <c r="D401" s="11" t="str">
        <f>IFERROR(__xludf.DUMMYFUNCTION("""COMPUTED_VALUE"""),"OTHER")</f>
        <v>OTHER</v>
      </c>
      <c r="E401" s="11" t="str">
        <f>IFERROR(__xludf.DUMMYFUNCTION("""COMPUTED_VALUE"""),"CORPORATE")</f>
        <v>CORPORATE</v>
      </c>
      <c r="F401" s="11" t="str">
        <f>IFERROR(__xludf.DUMMYFUNCTION("""COMPUTED_VALUE"""),"Other")</f>
        <v>Other</v>
      </c>
      <c r="G401" s="11" t="b">
        <f>IFERROR(__xludf.DUMMYFUNCTION("""COMPUTED_VALUE"""),FALSE)</f>
        <v>0</v>
      </c>
      <c r="H401" s="11" t="str">
        <f>IFERROR(__xludf.DUMMYFUNCTION("""COMPUTED_VALUE"""),"HECHT INS GEFECHT, Baseplus DIGITAL MEDIA GmbH, Mediaplus Performance")</f>
        <v>HECHT INS GEFECHT, Baseplus DIGITAL MEDIA GmbH, Mediaplus Performance</v>
      </c>
      <c r="I401" s="11">
        <f>IFERROR(__xludf.DUMMYFUNCTION("""COMPUTED_VALUE"""),1.0)</f>
        <v>1</v>
      </c>
      <c r="J401" s="11">
        <f>IFERROR(__xludf.DUMMYFUNCTION("""COMPUTED_VALUE"""),0.0)</f>
        <v>0</v>
      </c>
      <c r="K401" s="11">
        <f>IFERROR(__xludf.DUMMYFUNCTION("""COMPUTED_VALUE"""),0.0)</f>
        <v>0</v>
      </c>
      <c r="L401" s="11"/>
    </row>
    <row r="402" ht="15.75" customHeight="1">
      <c r="A402" s="8" t="str">
        <f>IFERROR(__xludf.DUMMYFUNCTION("""COMPUTED_VALUE"""),"https://agencies.semrush.com/list/ppc/munich/")</f>
        <v>https://agencies.semrush.com/list/ppc/munich/</v>
      </c>
      <c r="B402" s="11" t="str">
        <f>IFERROR(__xludf.DUMMYFUNCTION("""COMPUTED_VALUE"""),"Best PPC Agencies in Munich 2026 | Semrush")</f>
        <v>Best PPC Agencies in Munich 2026 | Semrush</v>
      </c>
      <c r="C402" s="8" t="str">
        <f>IFERROR(__xludf.DUMMYFUNCTION("""COMPUTED_VALUE"""),"semrush.com")</f>
        <v>semrush.com</v>
      </c>
      <c r="D402" s="11" t="str">
        <f>IFERROR(__xludf.DUMMYFUNCTION("""COMPUTED_VALUE"""),"CATEGORY_PAGE")</f>
        <v>CATEGORY_PAGE</v>
      </c>
      <c r="E402" s="11" t="str">
        <f>IFERROR(__xludf.DUMMYFUNCTION("""COMPUTED_VALUE"""),"CORPORATE")</f>
        <v>CORPORATE</v>
      </c>
      <c r="F402" s="11" t="str">
        <f>IFERROR(__xludf.DUMMYFUNCTION("""COMPUTED_VALUE"""),"Category Page")</f>
        <v>Category Page</v>
      </c>
      <c r="G402" s="11" t="b">
        <f>IFERROR(__xludf.DUMMYFUNCTION("""COMPUTED_VALUE"""),FALSE)</f>
        <v>0</v>
      </c>
      <c r="H402" s="11" t="str">
        <f>IFERROR(__xludf.DUMMYFUNCTION("""COMPUTED_VALUE"""),"Mediaplus Performance, Mediacharge, morefire, MONSOON, KlickPiloten")</f>
        <v>Mediaplus Performance, Mediacharge, morefire, MONSOON, KlickPiloten</v>
      </c>
      <c r="I402" s="11">
        <f>IFERROR(__xludf.DUMMYFUNCTION("""COMPUTED_VALUE"""),1.0)</f>
        <v>1</v>
      </c>
      <c r="J402" s="11">
        <f>IFERROR(__xludf.DUMMYFUNCTION("""COMPUTED_VALUE"""),0.0)</f>
        <v>0</v>
      </c>
      <c r="K402" s="11">
        <f>IFERROR(__xludf.DUMMYFUNCTION("""COMPUTED_VALUE"""),1.0)</f>
        <v>1</v>
      </c>
      <c r="L402" s="11"/>
    </row>
    <row r="403" ht="15.75" customHeight="1">
      <c r="A403" s="8" t="str">
        <f>IFERROR(__xludf.DUMMYFUNCTION("""COMPUTED_VALUE"""),"https://agencies.semrush.com/list/programmatic-advertising/germany/mid-business/")</f>
        <v>https://agencies.semrush.com/list/programmatic-advertising/germany/mid-business/</v>
      </c>
      <c r="B403" s="11" t="str">
        <f>IFERROR(__xludf.DUMMYFUNCTION("""COMPUTED_VALUE"""),"Best Programmatic Advertising Agencies for Mid Business in Germany 2026 | Semrush")</f>
        <v>Best Programmatic Advertising Agencies for Mid Business in Germany 2026 | Semrush</v>
      </c>
      <c r="C403" s="8" t="str">
        <f>IFERROR(__xludf.DUMMYFUNCTION("""COMPUTED_VALUE"""),"semrush.com")</f>
        <v>semrush.com</v>
      </c>
      <c r="D403" s="11" t="str">
        <f>IFERROR(__xludf.DUMMYFUNCTION("""COMPUTED_VALUE"""),"OTHER")</f>
        <v>OTHER</v>
      </c>
      <c r="E403" s="11" t="str">
        <f>IFERROR(__xludf.DUMMYFUNCTION("""COMPUTED_VALUE"""),"CORPORATE")</f>
        <v>CORPORATE</v>
      </c>
      <c r="F403" s="11" t="str">
        <f>IFERROR(__xludf.DUMMYFUNCTION("""COMPUTED_VALUE"""),"Other")</f>
        <v>Other</v>
      </c>
      <c r="G403" s="11" t="b">
        <f>IFERROR(__xludf.DUMMYFUNCTION("""COMPUTED_VALUE"""),FALSE)</f>
        <v>0</v>
      </c>
      <c r="H403" s="11" t="str">
        <f>IFERROR(__xludf.DUMMYFUNCTION("""COMPUTED_VALUE"""),"morefire, Mediaplus Performance, KlickPiloten")</f>
        <v>morefire, Mediaplus Performance, KlickPiloten</v>
      </c>
      <c r="I403" s="11">
        <f>IFERROR(__xludf.DUMMYFUNCTION("""COMPUTED_VALUE"""),1.0)</f>
        <v>1</v>
      </c>
      <c r="J403" s="11">
        <f>IFERROR(__xludf.DUMMYFUNCTION("""COMPUTED_VALUE"""),0.0)</f>
        <v>0</v>
      </c>
      <c r="K403" s="11">
        <f>IFERROR(__xludf.DUMMYFUNCTION("""COMPUTED_VALUE"""),1.0)</f>
        <v>1</v>
      </c>
      <c r="L403" s="11"/>
    </row>
    <row r="404" ht="15.75" customHeight="1">
      <c r="A404" s="8" t="str">
        <f>IFERROR(__xludf.DUMMYFUNCTION("""COMPUTED_VALUE"""),"https://www.agenciesformarketing.com/post/navigating-the-landscape-your-guide-to-top-marketing-agencies-in-germany-for-2025")</f>
        <v>https://www.agenciesformarketing.com/post/navigating-the-landscape-your-guide-to-top-marketing-agencies-in-germany-for-2025</v>
      </c>
      <c r="B404" s="11" t="str">
        <f>IFERROR(__xludf.DUMMYFUNCTION("""COMPUTED_VALUE"""),"Navigating the Landscape: Your Guide to Top Marketing Agencies in Germany for 2025")</f>
        <v>Navigating the Landscape: Your Guide to Top Marketing Agencies in Germany for 2025</v>
      </c>
      <c r="C404" s="8" t="str">
        <f>IFERROR(__xludf.DUMMYFUNCTION("""COMPUTED_VALUE"""),"agenciesformarketing.com")</f>
        <v>agenciesformarketing.com</v>
      </c>
      <c r="D404" s="11" t="str">
        <f>IFERROR(__xludf.DUMMYFUNCTION("""COMPUTED_VALUE"""),"LISTICLE")</f>
        <v>LISTICLE</v>
      </c>
      <c r="E404" s="11" t="str">
        <f>IFERROR(__xludf.DUMMYFUNCTION("""COMPUTED_VALUE"""),"REFERENCE")</f>
        <v>REFERENCE</v>
      </c>
      <c r="F404" s="11" t="str">
        <f>IFERROR(__xludf.DUMMYFUNCTION("""COMPUTED_VALUE"""),"Listicle")</f>
        <v>Listicle</v>
      </c>
      <c r="G404" s="11" t="b">
        <f>IFERROR(__xludf.DUMMYFUNCTION("""COMPUTED_VALUE"""),FALSE)</f>
        <v>0</v>
      </c>
      <c r="H404" s="11" t="str">
        <f>IFERROR(__xludf.DUMMYFUNCTION("""COMPUTED_VALUE"""),"Pilot, Mawave, Medialabel, Globalist, Social Media Pirates, MONSOON")</f>
        <v>Pilot, Mawave, Medialabel, Globalist, Social Media Pirates, MONSOON</v>
      </c>
      <c r="I404" s="11">
        <f>IFERROR(__xludf.DUMMYFUNCTION("""COMPUTED_VALUE"""),1.0)</f>
        <v>1</v>
      </c>
      <c r="J404" s="11">
        <f>IFERROR(__xludf.DUMMYFUNCTION("""COMPUTED_VALUE"""),0.0)</f>
        <v>0</v>
      </c>
      <c r="K404" s="11">
        <f>IFERROR(__xludf.DUMMYFUNCTION("""COMPUTED_VALUE"""),0.0)</f>
        <v>0</v>
      </c>
      <c r="L404" s="11"/>
    </row>
    <row r="405" ht="15.75" customHeight="1">
      <c r="A405" s="8" t="str">
        <f>IFERROR(__xludf.DUMMYFUNCTION("""COMPUTED_VALUE"""),"https://agencylist.com/services/analytics-reporting/de/")</f>
        <v>https://agencylist.com/services/analytics-reporting/de/</v>
      </c>
      <c r="B405" s="11" t="str">
        <f>IFERROR(__xludf.DUMMYFUNCTION("""COMPUTED_VALUE"""),"Top DATA Agencies in Germany")</f>
        <v>Top DATA Agencies in Germany</v>
      </c>
      <c r="C405" s="8" t="str">
        <f>IFERROR(__xludf.DUMMYFUNCTION("""COMPUTED_VALUE"""),"agencylist.com")</f>
        <v>agencylist.com</v>
      </c>
      <c r="D405" s="11" t="str">
        <f>IFERROR(__xludf.DUMMYFUNCTION("""COMPUTED_VALUE"""),"CATEGORY_PAGE")</f>
        <v>CATEGORY_PAGE</v>
      </c>
      <c r="E405" s="11" t="str">
        <f>IFERROR(__xludf.DUMMYFUNCTION("""COMPUTED_VALUE"""),"REFERENCE")</f>
        <v>REFERENCE</v>
      </c>
      <c r="F405" s="11" t="str">
        <f>IFERROR(__xludf.DUMMYFUNCTION("""COMPUTED_VALUE"""),"Category Page")</f>
        <v>Category Page</v>
      </c>
      <c r="G405" s="11" t="b">
        <f>IFERROR(__xludf.DUMMYFUNCTION("""COMPUTED_VALUE"""),FALSE)</f>
        <v>0</v>
      </c>
      <c r="H405" s="11" t="str">
        <f>IFERROR(__xludf.DUMMYFUNCTION("""COMPUTED_VALUE"""),"KlickPiloten, MetaDesign, HY.AM STUDIOS")</f>
        <v>KlickPiloten, MetaDesign, HY.AM STUDIOS</v>
      </c>
      <c r="I405" s="11">
        <f>IFERROR(__xludf.DUMMYFUNCTION("""COMPUTED_VALUE"""),1.0)</f>
        <v>1</v>
      </c>
      <c r="J405" s="11">
        <f>IFERROR(__xludf.DUMMYFUNCTION("""COMPUTED_VALUE"""),0.0)</f>
        <v>0</v>
      </c>
      <c r="K405" s="11">
        <f>IFERROR(__xludf.DUMMYFUNCTION("""COMPUTED_VALUE"""),0.0)</f>
        <v>0</v>
      </c>
      <c r="L405" s="11"/>
    </row>
    <row r="406" ht="15.75" customHeight="1">
      <c r="A406" s="8" t="str">
        <f>IFERROR(__xludf.DUMMYFUNCTION("""COMPUTED_VALUE"""),"https://www.agenturtipp.de/werbeagenturen/")</f>
        <v>https://www.agenturtipp.de/werbeagenturen/</v>
      </c>
      <c r="B406" s="11" t="str">
        <f>IFERROR(__xludf.DUMMYFUNCTION("""COMPUTED_VALUE"""),"Top Werbeagenturen (2026) im Vergleich ↗️")</f>
        <v>Top Werbeagenturen (2026) im Vergleich ↗️</v>
      </c>
      <c r="C406" s="8" t="str">
        <f>IFERROR(__xludf.DUMMYFUNCTION("""COMPUTED_VALUE"""),"agenturtipp.de")</f>
        <v>agenturtipp.de</v>
      </c>
      <c r="D406" s="11" t="str">
        <f>IFERROR(__xludf.DUMMYFUNCTION("""COMPUTED_VALUE"""),"CATEGORY_PAGE")</f>
        <v>CATEGORY_PAGE</v>
      </c>
      <c r="E406" s="11" t="str">
        <f>IFERROR(__xludf.DUMMYFUNCTION("""COMPUTED_VALUE"""),"REFERENCE")</f>
        <v>REFERENCE</v>
      </c>
      <c r="F406" s="11" t="str">
        <f>IFERROR(__xludf.DUMMYFUNCTION("""COMPUTED_VALUE"""),"Category Page")</f>
        <v>Category Page</v>
      </c>
      <c r="G406" s="11" t="b">
        <f>IFERROR(__xludf.DUMMYFUNCTION("""COMPUTED_VALUE"""),FALSE)</f>
        <v>0</v>
      </c>
      <c r="H406" s="11" t="str">
        <f>IFERROR(__xludf.DUMMYFUNCTION("""COMPUTED_VALUE"""),"Suchhelden, Aufgesang, DREIKON, Haus, morefire")</f>
        <v>Suchhelden, Aufgesang, DREIKON, Haus, morefire</v>
      </c>
      <c r="I406" s="11">
        <f>IFERROR(__xludf.DUMMYFUNCTION("""COMPUTED_VALUE"""),1.0)</f>
        <v>1</v>
      </c>
      <c r="J406" s="11">
        <f>IFERROR(__xludf.DUMMYFUNCTION("""COMPUTED_VALUE"""),0.0)</f>
        <v>0</v>
      </c>
      <c r="K406" s="11">
        <f>IFERROR(__xludf.DUMMYFUNCTION("""COMPUTED_VALUE"""),1.0)</f>
        <v>1</v>
      </c>
      <c r="L406" s="11"/>
    </row>
    <row r="407" ht="15.75" customHeight="1">
      <c r="A407" s="8" t="str">
        <f>IFERROR(__xludf.DUMMYFUNCTION("""COMPUTED_VALUE"""),"https://aimers.io/blog/top-10-llm-optimization-agencies")</f>
        <v>https://aimers.io/blog/top-10-llm-optimization-agencies</v>
      </c>
      <c r="B407" s="11" t="str">
        <f>IFERROR(__xludf.DUMMYFUNCTION("""COMPUTED_VALUE"""),"Top 10 LLM Optimization Agencies in 2026 - Aimers Blog")</f>
        <v>Top 10 LLM Optimization Agencies in 2026 - Aimers Blog</v>
      </c>
      <c r="C407" s="8" t="str">
        <f>IFERROR(__xludf.DUMMYFUNCTION("""COMPUTED_VALUE"""),"aimers.io")</f>
        <v>aimers.io</v>
      </c>
      <c r="D407" s="11" t="str">
        <f>IFERROR(__xludf.DUMMYFUNCTION("""COMPUTED_VALUE"""),"LISTICLE")</f>
        <v>LISTICLE</v>
      </c>
      <c r="E407" s="11" t="str">
        <f>IFERROR(__xludf.DUMMYFUNCTION("""COMPUTED_VALUE"""),"CORPORATE")</f>
        <v>CORPORATE</v>
      </c>
      <c r="F407" s="11" t="str">
        <f>IFERROR(__xludf.DUMMYFUNCTION("""COMPUTED_VALUE"""),"Listicle")</f>
        <v>Listicle</v>
      </c>
      <c r="G407" s="11" t="b">
        <f>IFERROR(__xludf.DUMMYFUNCTION("""COMPUTED_VALUE"""),FALSE)</f>
        <v>0</v>
      </c>
      <c r="H407" s="11" t="str">
        <f>IFERROR(__xludf.DUMMYFUNCTION("""COMPUTED_VALUE"""),"Omnius")</f>
        <v>Omnius</v>
      </c>
      <c r="I407" s="11">
        <f>IFERROR(__xludf.DUMMYFUNCTION("""COMPUTED_VALUE"""),1.0)</f>
        <v>1</v>
      </c>
      <c r="J407" s="11">
        <f>IFERROR(__xludf.DUMMYFUNCTION("""COMPUTED_VALUE"""),0.0)</f>
        <v>0</v>
      </c>
      <c r="K407" s="11">
        <f>IFERROR(__xludf.DUMMYFUNCTION("""COMPUTED_VALUE"""),1.0)</f>
        <v>1</v>
      </c>
      <c r="L407" s="11"/>
    </row>
    <row r="408" ht="15.75" customHeight="1">
      <c r="A408" s="8" t="str">
        <f>IFERROR(__xludf.DUMMYFUNCTION("""COMPUTED_VALUE"""),"https://aimers.io/blog/top-11-saas-content-marketing-agencies")</f>
        <v>https://aimers.io/blog/top-11-saas-content-marketing-agencies</v>
      </c>
      <c r="B408" s="11" t="str">
        <f>IFERROR(__xludf.DUMMYFUNCTION("""COMPUTED_VALUE"""),"Top 11 SaaS Content Marketing Agencies in 2026 - Aimers Blog")</f>
        <v>Top 11 SaaS Content Marketing Agencies in 2026 - Aimers Blog</v>
      </c>
      <c r="C408" s="8" t="str">
        <f>IFERROR(__xludf.DUMMYFUNCTION("""COMPUTED_VALUE"""),"aimers.io")</f>
        <v>aimers.io</v>
      </c>
      <c r="D408" s="11" t="str">
        <f>IFERROR(__xludf.DUMMYFUNCTION("""COMPUTED_VALUE"""),"LISTICLE")</f>
        <v>LISTICLE</v>
      </c>
      <c r="E408" s="11" t="str">
        <f>IFERROR(__xludf.DUMMYFUNCTION("""COMPUTED_VALUE"""),"CORPORATE")</f>
        <v>CORPORATE</v>
      </c>
      <c r="F408" s="11" t="str">
        <f>IFERROR(__xludf.DUMMYFUNCTION("""COMPUTED_VALUE"""),"Listicle")</f>
        <v>Listicle</v>
      </c>
      <c r="G408" s="11" t="b">
        <f>IFERROR(__xludf.DUMMYFUNCTION("""COMPUTED_VALUE"""),FALSE)</f>
        <v>0</v>
      </c>
      <c r="H408" s="11" t="str">
        <f>IFERROR(__xludf.DUMMYFUNCTION("""COMPUTED_VALUE"""),"Directive Consulting")</f>
        <v>Directive Consulting</v>
      </c>
      <c r="I408" s="11">
        <f>IFERROR(__xludf.DUMMYFUNCTION("""COMPUTED_VALUE"""),1.0)</f>
        <v>1</v>
      </c>
      <c r="J408" s="11">
        <f>IFERROR(__xludf.DUMMYFUNCTION("""COMPUTED_VALUE"""),0.0)</f>
        <v>0</v>
      </c>
      <c r="K408" s="11">
        <f>IFERROR(__xludf.DUMMYFUNCTION("""COMPUTED_VALUE"""),1.0)</f>
        <v>1</v>
      </c>
      <c r="L408" s="11"/>
    </row>
    <row r="409" ht="15.75" customHeight="1">
      <c r="A409" s="8" t="str">
        <f>IFERROR(__xludf.DUMMYFUNCTION("""COMPUTED_VALUE"""),"https://aimonk.com/top-genai-development-services/")</f>
        <v>https://aimonk.com/top-genai-development-services/</v>
      </c>
      <c r="B409" s="11" t="str">
        <f>IFERROR(__xludf.DUMMYFUNCTION("""COMPUTED_VALUE"""),"Top 7 GenAI Development Services in 2025 | AI Monk")</f>
        <v>Top 7 GenAI Development Services in 2025 | AI Monk</v>
      </c>
      <c r="C409" s="8" t="str">
        <f>IFERROR(__xludf.DUMMYFUNCTION("""COMPUTED_VALUE"""),"aimonk.com")</f>
        <v>aimonk.com</v>
      </c>
      <c r="D409" s="11" t="str">
        <f>IFERROR(__xludf.DUMMYFUNCTION("""COMPUTED_VALUE"""),"LISTICLE")</f>
        <v>LISTICLE</v>
      </c>
      <c r="E409" s="11" t="str">
        <f>IFERROR(__xludf.DUMMYFUNCTION("""COMPUTED_VALUE"""),"CORPORATE")</f>
        <v>CORPORATE</v>
      </c>
      <c r="F409" s="11" t="str">
        <f>IFERROR(__xludf.DUMMYFUNCTION("""COMPUTED_VALUE"""),"Listicle")</f>
        <v>Listicle</v>
      </c>
      <c r="G409" s="11" t="b">
        <f>IFERROR(__xludf.DUMMYFUNCTION("""COMPUTED_VALUE"""),FALSE)</f>
        <v>0</v>
      </c>
      <c r="H409" s="11"/>
      <c r="I409" s="11">
        <f>IFERROR(__xludf.DUMMYFUNCTION("""COMPUTED_VALUE"""),1.0)</f>
        <v>1</v>
      </c>
      <c r="J409" s="11">
        <f>IFERROR(__xludf.DUMMYFUNCTION("""COMPUTED_VALUE"""),0.0)</f>
        <v>0</v>
      </c>
      <c r="K409" s="11">
        <f>IFERROR(__xludf.DUMMYFUNCTION("""COMPUTED_VALUE"""),2.0)</f>
        <v>2</v>
      </c>
      <c r="L409" s="11"/>
    </row>
    <row r="410" ht="15.75" customHeight="1">
      <c r="A410" s="8" t="str">
        <f>IFERROR(__xludf.DUMMYFUNCTION("""COMPUTED_VALUE"""),"https://amworldgroup.com/best/ai-marketing-agencies")</f>
        <v>https://amworldgroup.com/best/ai-marketing-agencies</v>
      </c>
      <c r="B410" s="11" t="str">
        <f>IFERROR(__xludf.DUMMYFUNCTION("""COMPUTED_VALUE"""),"Best AI Marketing Agencies 2026 | Top 8 Reviewed | AMW®")</f>
        <v>Best AI Marketing Agencies 2026 | Top 8 Reviewed | AMW®</v>
      </c>
      <c r="C410" s="8" t="str">
        <f>IFERROR(__xludf.DUMMYFUNCTION("""COMPUTED_VALUE"""),"amworldgroup.com")</f>
        <v>amworldgroup.com</v>
      </c>
      <c r="D410" s="11" t="str">
        <f>IFERROR(__xludf.DUMMYFUNCTION("""COMPUTED_VALUE"""),"LISTICLE")</f>
        <v>LISTICLE</v>
      </c>
      <c r="E410" s="11" t="str">
        <f>IFERROR(__xludf.DUMMYFUNCTION("""COMPUTED_VALUE"""),"CORPORATE")</f>
        <v>CORPORATE</v>
      </c>
      <c r="F410" s="11" t="str">
        <f>IFERROR(__xludf.DUMMYFUNCTION("""COMPUTED_VALUE"""),"Listicle")</f>
        <v>Listicle</v>
      </c>
      <c r="G410" s="11" t="b">
        <f>IFERROR(__xludf.DUMMYFUNCTION("""COMPUTED_VALUE"""),FALSE)</f>
        <v>0</v>
      </c>
      <c r="H410" s="11"/>
      <c r="I410" s="11">
        <f>IFERROR(__xludf.DUMMYFUNCTION("""COMPUTED_VALUE"""),1.0)</f>
        <v>1</v>
      </c>
      <c r="J410" s="11">
        <f>IFERROR(__xludf.DUMMYFUNCTION("""COMPUTED_VALUE"""),0.0)</f>
        <v>0</v>
      </c>
      <c r="K410" s="11">
        <f>IFERROR(__xludf.DUMMYFUNCTION("""COMPUTED_VALUE"""),0.0)</f>
        <v>0</v>
      </c>
      <c r="L410" s="11"/>
    </row>
    <row r="411" ht="15.75" customHeight="1">
      <c r="A411" s="8" t="str">
        <f>IFERROR(__xludf.DUMMYFUNCTION("""COMPUTED_VALUE"""),"https://www.arcintermedia.com/knowledge-base/seo-and-organic-reach/what-are-the-top-answer-engine-optimization-aeo-agencies/")</f>
        <v>https://www.arcintermedia.com/knowledge-base/seo-and-organic-reach/what-are-the-top-answer-engine-optimization-aeo-agencies/</v>
      </c>
      <c r="B411" s="11" t="str">
        <f>IFERROR(__xludf.DUMMYFUNCTION("""COMPUTED_VALUE"""),"TOP Answer Engine Optimization (AEO) Agencies")</f>
        <v>TOP Answer Engine Optimization (AEO) Agencies</v>
      </c>
      <c r="C411" s="8" t="str">
        <f>IFERROR(__xludf.DUMMYFUNCTION("""COMPUTED_VALUE"""),"arcintermedia.com")</f>
        <v>arcintermedia.com</v>
      </c>
      <c r="D411" s="11" t="str">
        <f>IFERROR(__xludf.DUMMYFUNCTION("""COMPUTED_VALUE"""),"LISTICLE")</f>
        <v>LISTICLE</v>
      </c>
      <c r="E411" s="11" t="str">
        <f>IFERROR(__xludf.DUMMYFUNCTION("""COMPUTED_VALUE"""),"CORPORATE")</f>
        <v>CORPORATE</v>
      </c>
      <c r="F411" s="11" t="str">
        <f>IFERROR(__xludf.DUMMYFUNCTION("""COMPUTED_VALUE"""),"Listicle")</f>
        <v>Listicle</v>
      </c>
      <c r="G411" s="11" t="b">
        <f>IFERROR(__xludf.DUMMYFUNCTION("""COMPUTED_VALUE"""),FALSE)</f>
        <v>0</v>
      </c>
      <c r="H411" s="11" t="str">
        <f>IFERROR(__xludf.DUMMYFUNCTION("""COMPUTED_VALUE"""),"NoGood")</f>
        <v>NoGood</v>
      </c>
      <c r="I411" s="11">
        <f>IFERROR(__xludf.DUMMYFUNCTION("""COMPUTED_VALUE"""),1.0)</f>
        <v>1</v>
      </c>
      <c r="J411" s="11">
        <f>IFERROR(__xludf.DUMMYFUNCTION("""COMPUTED_VALUE"""),0.0)</f>
        <v>0</v>
      </c>
      <c r="K411" s="11">
        <f>IFERROR(__xludf.DUMMYFUNCTION("""COMPUTED_VALUE"""),1.0)</f>
        <v>1</v>
      </c>
      <c r="L411" s="11"/>
    </row>
    <row r="412" ht="15.75" customHeight="1">
      <c r="A412" s="8" t="str">
        <f>IFERROR(__xludf.DUMMYFUNCTION("""COMPUTED_VALUE"""),"https://awisee.com/blog/marketing-agencies-europe/")</f>
        <v>https://awisee.com/blog/marketing-agencies-europe/</v>
      </c>
      <c r="B412" s="11" t="str">
        <f>IFERROR(__xludf.DUMMYFUNCTION("""COMPUTED_VALUE"""),"The Best 5 Marketing Agencies Europe Guide (2025 Reviews)")</f>
        <v>The Best 5 Marketing Agencies Europe Guide (2025 Reviews)</v>
      </c>
      <c r="C412" s="8" t="str">
        <f>IFERROR(__xludf.DUMMYFUNCTION("""COMPUTED_VALUE"""),"awisee.com")</f>
        <v>awisee.com</v>
      </c>
      <c r="D412" s="11" t="str">
        <f>IFERROR(__xludf.DUMMYFUNCTION("""COMPUTED_VALUE"""),"LISTICLE")</f>
        <v>LISTICLE</v>
      </c>
      <c r="E412" s="11" t="str">
        <f>IFERROR(__xludf.DUMMYFUNCTION("""COMPUTED_VALUE"""),"OTHER")</f>
        <v>OTHER</v>
      </c>
      <c r="F412" s="11" t="str">
        <f>IFERROR(__xludf.DUMMYFUNCTION("""COMPUTED_VALUE"""),"Listicle")</f>
        <v>Listicle</v>
      </c>
      <c r="G412" s="11" t="b">
        <f>IFERROR(__xludf.DUMMYFUNCTION("""COMPUTED_VALUE"""),FALSE)</f>
        <v>0</v>
      </c>
      <c r="H412" s="11" t="str">
        <f>IFERROR(__xludf.DUMMYFUNCTION("""COMPUTED_VALUE"""),"KlickPiloten")</f>
        <v>KlickPiloten</v>
      </c>
      <c r="I412" s="11">
        <f>IFERROR(__xludf.DUMMYFUNCTION("""COMPUTED_VALUE"""),1.0)</f>
        <v>1</v>
      </c>
      <c r="J412" s="11">
        <f>IFERROR(__xludf.DUMMYFUNCTION("""COMPUTED_VALUE"""),0.0)</f>
        <v>0</v>
      </c>
      <c r="K412" s="11">
        <f>IFERROR(__xludf.DUMMYFUNCTION("""COMPUTED_VALUE"""),1.0)</f>
        <v>1</v>
      </c>
      <c r="L412" s="11"/>
    </row>
    <row r="413" ht="15.75" customHeight="1">
      <c r="A413" s="8" t="str">
        <f>IFERROR(__xludf.DUMMYFUNCTION("""COMPUTED_VALUE"""),"https://awisee.com/hu/blog/digital-marketing-agencies-germany/")</f>
        <v>https://awisee.com/hu/blog/digital-marketing-agencies-germany/</v>
      </c>
      <c r="B413" s="11" t="str">
        <f>IFERROR(__xludf.DUMMYFUNCTION("""COMPUTED_VALUE"""),"Top 4 Digital Marketing Agencies Germany In 2025 (Reviews)")</f>
        <v>Top 4 Digital Marketing Agencies Germany In 2025 (Reviews)</v>
      </c>
      <c r="C413" s="8" t="str">
        <f>IFERROR(__xludf.DUMMYFUNCTION("""COMPUTED_VALUE"""),"awisee.com")</f>
        <v>awisee.com</v>
      </c>
      <c r="D413" s="11" t="str">
        <f>IFERROR(__xludf.DUMMYFUNCTION("""COMPUTED_VALUE"""),"LISTICLE")</f>
        <v>LISTICLE</v>
      </c>
      <c r="E413" s="11" t="str">
        <f>IFERROR(__xludf.DUMMYFUNCTION("""COMPUTED_VALUE"""),"OTHER")</f>
        <v>OTHER</v>
      </c>
      <c r="F413" s="11" t="str">
        <f>IFERROR(__xludf.DUMMYFUNCTION("""COMPUTED_VALUE"""),"Listicle")</f>
        <v>Listicle</v>
      </c>
      <c r="G413" s="11" t="b">
        <f>IFERROR(__xludf.DUMMYFUNCTION("""COMPUTED_VALUE"""),FALSE)</f>
        <v>0</v>
      </c>
      <c r="H413" s="11" t="str">
        <f>IFERROR(__xludf.DUMMYFUNCTION("""COMPUTED_VALUE"""),"KlickPiloten")</f>
        <v>KlickPiloten</v>
      </c>
      <c r="I413" s="11">
        <f>IFERROR(__xludf.DUMMYFUNCTION("""COMPUTED_VALUE"""),1.0)</f>
        <v>1</v>
      </c>
      <c r="J413" s="11">
        <f>IFERROR(__xludf.DUMMYFUNCTION("""COMPUTED_VALUE"""),0.0)</f>
        <v>0</v>
      </c>
      <c r="K413" s="11">
        <f>IFERROR(__xludf.DUMMYFUNCTION("""COMPUTED_VALUE"""),4.0)</f>
        <v>4</v>
      </c>
      <c r="L413" s="11"/>
    </row>
    <row r="414" ht="15.75" customHeight="1">
      <c r="A414" s="8" t="str">
        <f>IFERROR(__xludf.DUMMYFUNCTION("""COMPUTED_VALUE"""),"https://www.back9.co.nz/how-to-find-a-certified-google-partner/")</f>
        <v>https://www.back9.co.nz/how-to-find-a-certified-google-partner/</v>
      </c>
      <c r="B414" s="11" t="str">
        <f>IFERROR(__xludf.DUMMYFUNCTION("""COMPUTED_VALUE"""),"Certified Google Partner: How to find the best one for you - Back9 Digital")</f>
        <v>Certified Google Partner: How to find the best one for you - Back9 Digital</v>
      </c>
      <c r="C414" s="8" t="str">
        <f>IFERROR(__xludf.DUMMYFUNCTION("""COMPUTED_VALUE"""),"back9.co.nz")</f>
        <v>back9.co.nz</v>
      </c>
      <c r="D414" s="11" t="str">
        <f>IFERROR(__xludf.DUMMYFUNCTION("""COMPUTED_VALUE"""),"HOW_TO_GUIDE")</f>
        <v>HOW_TO_GUIDE</v>
      </c>
      <c r="E414" s="11" t="str">
        <f>IFERROR(__xludf.DUMMYFUNCTION("""COMPUTED_VALUE"""),"CORPORATE")</f>
        <v>CORPORATE</v>
      </c>
      <c r="F414" s="11" t="str">
        <f>IFERROR(__xludf.DUMMYFUNCTION("""COMPUTED_VALUE"""),"How-To Guide")</f>
        <v>How-To Guide</v>
      </c>
      <c r="G414" s="11" t="b">
        <f>IFERROR(__xludf.DUMMYFUNCTION("""COMPUTED_VALUE"""),FALSE)</f>
        <v>0</v>
      </c>
      <c r="H414" s="11"/>
      <c r="I414" s="11">
        <f>IFERROR(__xludf.DUMMYFUNCTION("""COMPUTED_VALUE"""),1.0)</f>
        <v>1</v>
      </c>
      <c r="J414" s="11">
        <f>IFERROR(__xludf.DUMMYFUNCTION("""COMPUTED_VALUE"""),0.0)</f>
        <v>0</v>
      </c>
      <c r="K414" s="11">
        <f>IFERROR(__xludf.DUMMYFUNCTION("""COMPUTED_VALUE"""),1.0)</f>
        <v>1</v>
      </c>
      <c r="L414" s="11"/>
    </row>
    <row r="415" ht="15.75" customHeight="1">
      <c r="A415" s="8" t="str">
        <f>IFERROR(__xludf.DUMMYFUNCTION("""COMPUTED_VALUE"""),"https://beomniscient.com/blog/growth-marketing-agency/")</f>
        <v>https://beomniscient.com/blog/growth-marketing-agency/</v>
      </c>
      <c r="B415" s="11" t="str">
        <f>IFERROR(__xludf.DUMMYFUNCTION("""COMPUTED_VALUE"""),"The 16 Best Growth Marketing Agencies in 2026 - Omniscient Digital")</f>
        <v>The 16 Best Growth Marketing Agencies in 2026 - Omniscient Digital</v>
      </c>
      <c r="C415" s="8" t="str">
        <f>IFERROR(__xludf.DUMMYFUNCTION("""COMPUTED_VALUE"""),"beomniscient.com")</f>
        <v>beomniscient.com</v>
      </c>
      <c r="D415" s="11" t="str">
        <f>IFERROR(__xludf.DUMMYFUNCTION("""COMPUTED_VALUE"""),"LISTICLE")</f>
        <v>LISTICLE</v>
      </c>
      <c r="E415" s="11" t="str">
        <f>IFERROR(__xludf.DUMMYFUNCTION("""COMPUTED_VALUE"""),"CORPORATE")</f>
        <v>CORPORATE</v>
      </c>
      <c r="F415" s="11" t="str">
        <f>IFERROR(__xludf.DUMMYFUNCTION("""COMPUTED_VALUE"""),"Listicle")</f>
        <v>Listicle</v>
      </c>
      <c r="G415" s="11" t="b">
        <f>IFERROR(__xludf.DUMMYFUNCTION("""COMPUTED_VALUE"""),FALSE)</f>
        <v>0</v>
      </c>
      <c r="H415" s="11" t="str">
        <f>IFERROR(__xludf.DUMMYFUNCTION("""COMPUTED_VALUE"""),"Omniscient Digital, Single Grain, Disruptive Advertising, NoGood, Directive Consulting, Superside, Pilot, Momentum")</f>
        <v>Omniscient Digital, Single Grain, Disruptive Advertising, NoGood, Directive Consulting, Superside, Pilot, Momentum</v>
      </c>
      <c r="I415" s="11">
        <f>IFERROR(__xludf.DUMMYFUNCTION("""COMPUTED_VALUE"""),1.0)</f>
        <v>1</v>
      </c>
      <c r="J415" s="11">
        <f>IFERROR(__xludf.DUMMYFUNCTION("""COMPUTED_VALUE"""),0.0)</f>
        <v>0</v>
      </c>
      <c r="K415" s="11">
        <f>IFERROR(__xludf.DUMMYFUNCTION("""COMPUTED_VALUE"""),0.0)</f>
        <v>0</v>
      </c>
      <c r="L415" s="11"/>
    </row>
    <row r="416" ht="15.75" customHeight="1">
      <c r="A416" s="8" t="str">
        <f>IFERROR(__xludf.DUMMYFUNCTION("""COMPUTED_VALUE"""),"https://beomniscient.com/blog/marketing-agencies/")</f>
        <v>https://beomniscient.com/blog/marketing-agencies/</v>
      </c>
      <c r="B416" s="11" t="str">
        <f>IFERROR(__xludf.DUMMYFUNCTION("""COMPUTED_VALUE"""),"The 6 Best Marketing Agencies in 2026 - Omniscient Digital")</f>
        <v>The 6 Best Marketing Agencies in 2026 - Omniscient Digital</v>
      </c>
      <c r="C416" s="8" t="str">
        <f>IFERROR(__xludf.DUMMYFUNCTION("""COMPUTED_VALUE"""),"beomniscient.com")</f>
        <v>beomniscient.com</v>
      </c>
      <c r="D416" s="11" t="str">
        <f>IFERROR(__xludf.DUMMYFUNCTION("""COMPUTED_VALUE"""),"LISTICLE")</f>
        <v>LISTICLE</v>
      </c>
      <c r="E416" s="11" t="str">
        <f>IFERROR(__xludf.DUMMYFUNCTION("""COMPUTED_VALUE"""),"CORPORATE")</f>
        <v>CORPORATE</v>
      </c>
      <c r="F416" s="11" t="str">
        <f>IFERROR(__xludf.DUMMYFUNCTION("""COMPUTED_VALUE"""),"Listicle")</f>
        <v>Listicle</v>
      </c>
      <c r="G416" s="11" t="b">
        <f>IFERROR(__xludf.DUMMYFUNCTION("""COMPUTED_VALUE"""),FALSE)</f>
        <v>0</v>
      </c>
      <c r="H416" s="11" t="str">
        <f>IFERROR(__xludf.DUMMYFUNCTION("""COMPUTED_VALUE"""),"Omniscient Digital, Disruptive Advertising, NoGood")</f>
        <v>Omniscient Digital, Disruptive Advertising, NoGood</v>
      </c>
      <c r="I416" s="11">
        <f>IFERROR(__xludf.DUMMYFUNCTION("""COMPUTED_VALUE"""),1.0)</f>
        <v>1</v>
      </c>
      <c r="J416" s="11">
        <f>IFERROR(__xludf.DUMMYFUNCTION("""COMPUTED_VALUE"""),0.0)</f>
        <v>0</v>
      </c>
      <c r="K416" s="11">
        <f>IFERROR(__xludf.DUMMYFUNCTION("""COMPUTED_VALUE"""),0.0)</f>
        <v>0</v>
      </c>
      <c r="L416" s="11"/>
    </row>
    <row r="417" ht="15.75" customHeight="1">
      <c r="A417" s="8" t="str">
        <f>IFERROR(__xludf.DUMMYFUNCTION("""COMPUTED_VALUE"""),"https://www.blueconic.com/resources/best-cdps")</f>
        <v>https://www.blueconic.com/resources/best-cdps</v>
      </c>
      <c r="B417" s="11" t="str">
        <f>IFERROR(__xludf.DUMMYFUNCTION("""COMPUTED_VALUE"""),"The 5 Best CDPs of 2026")</f>
        <v>The 5 Best CDPs of 2026</v>
      </c>
      <c r="C417" s="8" t="str">
        <f>IFERROR(__xludf.DUMMYFUNCTION("""COMPUTED_VALUE"""),"blueconic.com")</f>
        <v>blueconic.com</v>
      </c>
      <c r="D417" s="11" t="str">
        <f>IFERROR(__xludf.DUMMYFUNCTION("""COMPUTED_VALUE"""),"LISTICLE")</f>
        <v>LISTICLE</v>
      </c>
      <c r="E417" s="11" t="str">
        <f>IFERROR(__xludf.DUMMYFUNCTION("""COMPUTED_VALUE"""),"CORPORATE")</f>
        <v>CORPORATE</v>
      </c>
      <c r="F417" s="11" t="str">
        <f>IFERROR(__xludf.DUMMYFUNCTION("""COMPUTED_VALUE"""),"Listicle")</f>
        <v>Listicle</v>
      </c>
      <c r="G417" s="11" t="b">
        <f>IFERROR(__xludf.DUMMYFUNCTION("""COMPUTED_VALUE"""),FALSE)</f>
        <v>0</v>
      </c>
      <c r="H417" s="11"/>
      <c r="I417" s="11">
        <f>IFERROR(__xludf.DUMMYFUNCTION("""COMPUTED_VALUE"""),1.0)</f>
        <v>1</v>
      </c>
      <c r="J417" s="11">
        <f>IFERROR(__xludf.DUMMYFUNCTION("""COMPUTED_VALUE"""),0.0)</f>
        <v>0</v>
      </c>
      <c r="K417" s="11">
        <f>IFERROR(__xludf.DUMMYFUNCTION("""COMPUTED_VALUE"""),0.0)</f>
        <v>0</v>
      </c>
      <c r="L417" s="11"/>
    </row>
    <row r="418" ht="15.75" customHeight="1">
      <c r="A418" s="8" t="str">
        <f>IFERROR(__xludf.DUMMYFUNCTION("""COMPUTED_VALUE"""),"https://www.brandigochina.com/the-best-marketing-agencies-in-china--2026")</f>
        <v>https://www.brandigochina.com/the-best-marketing-agencies-in-china--2026</v>
      </c>
      <c r="B418" s="11" t="str">
        <f>IFERROR(__xludf.DUMMYFUNCTION("""COMPUTED_VALUE"""),"Best Marketing Agencies in China 2026")</f>
        <v>Best Marketing Agencies in China 2026</v>
      </c>
      <c r="C418" s="8" t="str">
        <f>IFERROR(__xludf.DUMMYFUNCTION("""COMPUTED_VALUE"""),"brandigochina.com")</f>
        <v>brandigochina.com</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c r="I418" s="11">
        <f>IFERROR(__xludf.DUMMYFUNCTION("""COMPUTED_VALUE"""),1.0)</f>
        <v>1</v>
      </c>
      <c r="J418" s="11">
        <f>IFERROR(__xludf.DUMMYFUNCTION("""COMPUTED_VALUE"""),0.0)</f>
        <v>0</v>
      </c>
      <c r="K418" s="11">
        <f>IFERROR(__xludf.DUMMYFUNCTION("""COMPUTED_VALUE"""),1.0)</f>
        <v>1</v>
      </c>
      <c r="L418" s="11"/>
    </row>
    <row r="419" ht="15.75" customHeight="1">
      <c r="A419" s="8" t="str">
        <f>IFERROR(__xludf.DUMMYFUNCTION("""COMPUTED_VALUE"""),"https://brentonway.com/blog/ai-marketing-agencies")</f>
        <v>https://brentonway.com/blog/ai-marketing-agencies</v>
      </c>
      <c r="B419" s="11" t="str">
        <f>IFERROR(__xludf.DUMMYFUNCTION("""COMPUTED_VALUE"""),"Top AI Marketing Agencies: An AI Market Company Comparison | Brenton Way")</f>
        <v>Top AI Marketing Agencies: An AI Market Company Comparison | Brenton Way</v>
      </c>
      <c r="C419" s="8" t="str">
        <f>IFERROR(__xludf.DUMMYFUNCTION("""COMPUTED_VALUE"""),"brentonway.com")</f>
        <v>brentonway.com</v>
      </c>
      <c r="D419" s="11" t="str">
        <f>IFERROR(__xludf.DUMMYFUNCTION("""COMPUTED_VALUE"""),"LISTICLE")</f>
        <v>LISTICLE</v>
      </c>
      <c r="E419" s="11" t="str">
        <f>IFERROR(__xludf.DUMMYFUNCTION("""COMPUTED_VALUE"""),"CORPORATE")</f>
        <v>CORPORATE</v>
      </c>
      <c r="F419" s="11" t="str">
        <f>IFERROR(__xludf.DUMMYFUNCTION("""COMPUTED_VALUE"""),"Listicle")</f>
        <v>Listicle</v>
      </c>
      <c r="G419" s="11" t="b">
        <f>IFERROR(__xludf.DUMMYFUNCTION("""COMPUTED_VALUE"""),FALSE)</f>
        <v>0</v>
      </c>
      <c r="H419" s="11" t="str">
        <f>IFERROR(__xludf.DUMMYFUNCTION("""COMPUTED_VALUE"""),"Huge, Single Grain, NoGood, SmartSites")</f>
        <v>Huge, Single Grain, NoGood, SmartSites</v>
      </c>
      <c r="I419" s="11">
        <f>IFERROR(__xludf.DUMMYFUNCTION("""COMPUTED_VALUE"""),1.0)</f>
        <v>1</v>
      </c>
      <c r="J419" s="11">
        <f>IFERROR(__xludf.DUMMYFUNCTION("""COMPUTED_VALUE"""),0.0)</f>
        <v>0</v>
      </c>
      <c r="K419" s="11">
        <f>IFERROR(__xludf.DUMMYFUNCTION("""COMPUTED_VALUE"""),0.0)</f>
        <v>0</v>
      </c>
      <c r="L419" s="11"/>
    </row>
    <row r="420" ht="15.75" customHeight="1">
      <c r="A420" s="8" t="str">
        <f>IFERROR(__xludf.DUMMYFUNCTION("""COMPUTED_VALUE"""),"https://www.businessofapps.com/marketplace/ai-marketing/")</f>
        <v>https://www.businessofapps.com/marketplace/ai-marketing/</v>
      </c>
      <c r="B420" s="11" t="str">
        <f>IFERROR(__xludf.DUMMYFUNCTION("""COMPUTED_VALUE"""),"Top AI Marketing Companies (2026) - Business of Apps")</f>
        <v>Top AI Marketing Companies (2026) - Business of Apps</v>
      </c>
      <c r="C420" s="8" t="str">
        <f>IFERROR(__xludf.DUMMYFUNCTION("""COMPUTED_VALUE"""),"businessofapps.com")</f>
        <v>businessofapps.com</v>
      </c>
      <c r="D420" s="11" t="str">
        <f>IFERROR(__xludf.DUMMYFUNCTION("""COMPUTED_VALUE"""),"PROFILE")</f>
        <v>PROFILE</v>
      </c>
      <c r="E420" s="11" t="str">
        <f>IFERROR(__xludf.DUMMYFUNCTION("""COMPUTED_VALUE"""),"EDITORIAL")</f>
        <v>EDITORIAL</v>
      </c>
      <c r="F420" s="11" t="str">
        <f>IFERROR(__xludf.DUMMYFUNCTION("""COMPUTED_VALUE"""),"Profile")</f>
        <v>Profile</v>
      </c>
      <c r="G420" s="11" t="b">
        <f>IFERROR(__xludf.DUMMYFUNCTION("""COMPUTED_VALUE"""),FALSE)</f>
        <v>0</v>
      </c>
      <c r="H420" s="11" t="str">
        <f>IFERROR(__xludf.DUMMYFUNCTION("""COMPUTED_VALUE"""),"Huge")</f>
        <v>Huge</v>
      </c>
      <c r="I420" s="11">
        <f>IFERROR(__xludf.DUMMYFUNCTION("""COMPUTED_VALUE"""),1.0)</f>
        <v>1</v>
      </c>
      <c r="J420" s="11">
        <f>IFERROR(__xludf.DUMMYFUNCTION("""COMPUTED_VALUE"""),0.0)</f>
        <v>0</v>
      </c>
      <c r="K420" s="11">
        <f>IFERROR(__xludf.DUMMYFUNCTION("""COMPUTED_VALUE"""),0.0)</f>
        <v>0</v>
      </c>
      <c r="L420" s="11"/>
    </row>
    <row r="421" ht="15.75" customHeight="1">
      <c r="A421" s="8" t="str">
        <f>IFERROR(__xludf.DUMMYFUNCTION("""COMPUTED_VALUE"""),"https://www.businessofapps.com/marketplace/performance-marketing/")</f>
        <v>https://www.businessofapps.com/marketplace/performance-marketing/</v>
      </c>
      <c r="B421" s="11" t="str">
        <f>IFERROR(__xludf.DUMMYFUNCTION("""COMPUTED_VALUE"""),"Top Performance Marketing Agencies (2026) - Business of Apps")</f>
        <v>Top Performance Marketing Agencies (2026) - Business of Apps</v>
      </c>
      <c r="C421" s="8" t="str">
        <f>IFERROR(__xludf.DUMMYFUNCTION("""COMPUTED_VALUE"""),"businessofapps.com")</f>
        <v>businessofapps.com</v>
      </c>
      <c r="D421" s="11" t="str">
        <f>IFERROR(__xludf.DUMMYFUNCTION("""COMPUTED_VALUE"""),"CATEGORY_PAGE")</f>
        <v>CATEGORY_PAGE</v>
      </c>
      <c r="E421" s="11" t="str">
        <f>IFERROR(__xludf.DUMMYFUNCTION("""COMPUTED_VALUE"""),"EDITORIAL")</f>
        <v>EDITORIAL</v>
      </c>
      <c r="F421" s="11" t="str">
        <f>IFERROR(__xludf.DUMMYFUNCTION("""COMPUTED_VALUE"""),"Category Page")</f>
        <v>Category Page</v>
      </c>
      <c r="G421" s="11" t="b">
        <f>IFERROR(__xludf.DUMMYFUNCTION("""COMPUTED_VALUE"""),TRUE)</f>
        <v>1</v>
      </c>
      <c r="H421" s="11" t="str">
        <f>IFERROR(__xludf.DUMMYFUNCTION("""COMPUTED_VALUE"""),"Measured, Incubeta")</f>
        <v>Measured, Incubeta</v>
      </c>
      <c r="I421" s="11">
        <f>IFERROR(__xludf.DUMMYFUNCTION("""COMPUTED_VALUE"""),1.0)</f>
        <v>1</v>
      </c>
      <c r="J421" s="11">
        <f>IFERROR(__xludf.DUMMYFUNCTION("""COMPUTED_VALUE"""),0.0)</f>
        <v>0</v>
      </c>
      <c r="K421" s="11">
        <f>IFERROR(__xludf.DUMMYFUNCTION("""COMPUTED_VALUE"""),0.0)</f>
        <v>0</v>
      </c>
      <c r="L421" s="11"/>
    </row>
    <row r="422" ht="15.75" customHeight="1">
      <c r="A422" s="8" t="str">
        <f>IFERROR(__xludf.DUMMYFUNCTION("""COMPUTED_VALUE"""),"https://www.clarista.io/blog/top-ai-solution-providers-2026")</f>
        <v>https://www.clarista.io/blog/top-ai-solution-providers-2026</v>
      </c>
      <c r="B422" s="11" t="str">
        <f>IFERROR(__xludf.DUMMYFUNCTION("""COMPUTED_VALUE"""),"Top AI Solution Providers in 2026: 12 Companies Reviewed | Clarista")</f>
        <v>Top AI Solution Providers in 2026: 12 Companies Reviewed | Clarista</v>
      </c>
      <c r="C422" s="8" t="str">
        <f>IFERROR(__xludf.DUMMYFUNCTION("""COMPUTED_VALUE"""),"clarista.io")</f>
        <v>clarista.io</v>
      </c>
      <c r="D422" s="11" t="str">
        <f>IFERROR(__xludf.DUMMYFUNCTION("""COMPUTED_VALUE"""),"LISTICLE")</f>
        <v>LISTICLE</v>
      </c>
      <c r="E422" s="11" t="str">
        <f>IFERROR(__xludf.DUMMYFUNCTION("""COMPUTED_VALUE"""),"CORPORATE")</f>
        <v>CORPORATE</v>
      </c>
      <c r="F422" s="11" t="str">
        <f>IFERROR(__xludf.DUMMYFUNCTION("""COMPUTED_VALUE"""),"Listicle")</f>
        <v>Listicle</v>
      </c>
      <c r="G422" s="11" t="b">
        <f>IFERROR(__xludf.DUMMYFUNCTION("""COMPUTED_VALUE"""),FALSE)</f>
        <v>0</v>
      </c>
      <c r="H422" s="11" t="str">
        <f>IFERROR(__xludf.DUMMYFUNCTION("""COMPUTED_VALUE"""),"Measured")</f>
        <v>Measured</v>
      </c>
      <c r="I422" s="11">
        <f>IFERROR(__xludf.DUMMYFUNCTION("""COMPUTED_VALUE"""),1.0)</f>
        <v>1</v>
      </c>
      <c r="J422" s="11">
        <f>IFERROR(__xludf.DUMMYFUNCTION("""COMPUTED_VALUE"""),0.0)</f>
        <v>0</v>
      </c>
      <c r="K422" s="11">
        <f>IFERROR(__xludf.DUMMYFUNCTION("""COMPUTED_VALUE"""),1.0)</f>
        <v>1</v>
      </c>
      <c r="L422" s="11"/>
    </row>
    <row r="423" ht="15.75" customHeight="1">
      <c r="A423" s="8" t="str">
        <f>IFERROR(__xludf.DUMMYFUNCTION("""COMPUTED_VALUE"""),"https://clicksgeek.com/best-digital-marketing-agency-for-roi/")</f>
        <v>https://clicksgeek.com/best-digital-marketing-agency-for-roi/</v>
      </c>
      <c r="B423" s="11" t="str">
        <f>IFERROR(__xludf.DUMMYFUNCTION("""COMPUTED_VALUE"""),"Best Digital Marketing Agency For ROI: 7 Strategies")</f>
        <v>Best Digital Marketing Agency For ROI: 7 Strategies</v>
      </c>
      <c r="C423" s="8" t="str">
        <f>IFERROR(__xludf.DUMMYFUNCTION("""COMPUTED_VALUE"""),"clicksgeek.com")</f>
        <v>clicksgeek.com</v>
      </c>
      <c r="D423" s="11" t="str">
        <f>IFERROR(__xludf.DUMMYFUNCTION("""COMPUTED_VALUE"""),"HOW_TO_GUIDE")</f>
        <v>HOW_TO_GUIDE</v>
      </c>
      <c r="E423" s="11" t="str">
        <f>IFERROR(__xludf.DUMMYFUNCTION("""COMPUTED_VALUE"""),"CORPORATE")</f>
        <v>CORPORATE</v>
      </c>
      <c r="F423" s="11" t="str">
        <f>IFERROR(__xludf.DUMMYFUNCTION("""COMPUTED_VALUE"""),"How-To Guide")</f>
        <v>How-To Guide</v>
      </c>
      <c r="G423" s="11" t="b">
        <f>IFERROR(__xludf.DUMMYFUNCTION("""COMPUTED_VALUE"""),FALSE)</f>
        <v>0</v>
      </c>
      <c r="H423" s="11"/>
      <c r="I423" s="11">
        <f>IFERROR(__xludf.DUMMYFUNCTION("""COMPUTED_VALUE"""),1.0)</f>
        <v>1</v>
      </c>
      <c r="J423" s="11">
        <f>IFERROR(__xludf.DUMMYFUNCTION("""COMPUTED_VALUE"""),0.0)</f>
        <v>0</v>
      </c>
      <c r="K423" s="11">
        <f>IFERROR(__xludf.DUMMYFUNCTION("""COMPUTED_VALUE"""),1.0)</f>
        <v>1</v>
      </c>
      <c r="L423" s="11"/>
    </row>
    <row r="424" ht="15.75" customHeight="1">
      <c r="A424" s="8" t="str">
        <f>IFERROR(__xludf.DUMMYFUNCTION("""COMPUTED_VALUE"""),"https://clicksgeek.com/best-marketing-agency-for-roi/")</f>
        <v>https://clicksgeek.com/best-marketing-agency-for-roi/</v>
      </c>
      <c r="B424" s="11" t="str">
        <f>IFERROR(__xludf.DUMMYFUNCTION("""COMPUTED_VALUE"""),"Best Marketing Agency For ROI: 7 Proven Strategies")</f>
        <v>Best Marketing Agency For ROI: 7 Proven Strategies</v>
      </c>
      <c r="C424" s="8" t="str">
        <f>IFERROR(__xludf.DUMMYFUNCTION("""COMPUTED_VALUE"""),"clicksgeek.com")</f>
        <v>clicksgeek.com</v>
      </c>
      <c r="D424" s="11" t="str">
        <f>IFERROR(__xludf.DUMMYFUNCTION("""COMPUTED_VALUE"""),"HOW_TO_GUIDE")</f>
        <v>HOW_TO_GUIDE</v>
      </c>
      <c r="E424" s="11" t="str">
        <f>IFERROR(__xludf.DUMMYFUNCTION("""COMPUTED_VALUE"""),"CORPORATE")</f>
        <v>CORPORATE</v>
      </c>
      <c r="F424" s="11" t="str">
        <f>IFERROR(__xludf.DUMMYFUNCTION("""COMPUTED_VALUE"""),"How-To Guide")</f>
        <v>How-To Guide</v>
      </c>
      <c r="G424" s="11" t="b">
        <f>IFERROR(__xludf.DUMMYFUNCTION("""COMPUTED_VALUE"""),FALSE)</f>
        <v>0</v>
      </c>
      <c r="H424" s="11"/>
      <c r="I424" s="11">
        <f>IFERROR(__xludf.DUMMYFUNCTION("""COMPUTED_VALUE"""),1.0)</f>
        <v>1</v>
      </c>
      <c r="J424" s="11">
        <f>IFERROR(__xludf.DUMMYFUNCTION("""COMPUTED_VALUE"""),0.0)</f>
        <v>0</v>
      </c>
      <c r="K424" s="11">
        <f>IFERROR(__xludf.DUMMYFUNCTION("""COMPUTED_VALUE"""),0.0)</f>
        <v>0</v>
      </c>
      <c r="L424" s="11"/>
    </row>
    <row r="425" ht="15.75" customHeight="1">
      <c r="A425" s="8" t="str">
        <f>IFERROR(__xludf.DUMMYFUNCTION("""COMPUTED_VALUE"""),"https://clicksgeek.com/best-paid-advertising-platforms-for-businesses/")</f>
        <v>https://clicksgeek.com/best-paid-advertising-platforms-for-businesses/</v>
      </c>
      <c r="B425" s="11" t="str">
        <f>IFERROR(__xludf.DUMMYFUNCTION("""COMPUTED_VALUE"""),"Best Paid Advertising Platforms For Businesses 2026")</f>
        <v>Best Paid Advertising Platforms For Businesses 2026</v>
      </c>
      <c r="C425" s="8" t="str">
        <f>IFERROR(__xludf.DUMMYFUNCTION("""COMPUTED_VALUE"""),"clicksgeek.com")</f>
        <v>clicksgeek.com</v>
      </c>
      <c r="D425" s="11" t="str">
        <f>IFERROR(__xludf.DUMMYFUNCTION("""COMPUTED_VALUE"""),"LISTICLE")</f>
        <v>LISTICLE</v>
      </c>
      <c r="E425" s="11" t="str">
        <f>IFERROR(__xludf.DUMMYFUNCTION("""COMPUTED_VALUE"""),"CORPORATE")</f>
        <v>CORPORATE</v>
      </c>
      <c r="F425" s="11" t="str">
        <f>IFERROR(__xludf.DUMMYFUNCTION("""COMPUTED_VALUE"""),"Listicle")</f>
        <v>Listicle</v>
      </c>
      <c r="G425" s="11" t="b">
        <f>IFERROR(__xludf.DUMMYFUNCTION("""COMPUTED_VALUE"""),FALSE)</f>
        <v>0</v>
      </c>
      <c r="H425" s="11"/>
      <c r="I425" s="11">
        <f>IFERROR(__xludf.DUMMYFUNCTION("""COMPUTED_VALUE"""),1.0)</f>
        <v>1</v>
      </c>
      <c r="J425" s="11">
        <f>IFERROR(__xludf.DUMMYFUNCTION("""COMPUTED_VALUE"""),0.0)</f>
        <v>0</v>
      </c>
      <c r="K425" s="11">
        <f>IFERROR(__xludf.DUMMYFUNCTION("""COMPUTED_VALUE"""),1.0)</f>
        <v>1</v>
      </c>
      <c r="L425" s="11"/>
    </row>
    <row r="426" ht="15.75" customHeight="1">
      <c r="A426" s="8" t="str">
        <f>IFERROR(__xludf.DUMMYFUNCTION("""COMPUTED_VALUE"""),"https://clicksgeek.com/best-roi-focused-marketing-agency/")</f>
        <v>https://clicksgeek.com/best-roi-focused-marketing-agency/</v>
      </c>
      <c r="B426" s="11" t="str">
        <f>IFERROR(__xludf.DUMMYFUNCTION("""COMPUTED_VALUE"""),"Best ROI Focused Marketing Agency: 7 Proven Strategies")</f>
        <v>Best ROI Focused Marketing Agency: 7 Proven Strategies</v>
      </c>
      <c r="C426" s="8" t="str">
        <f>IFERROR(__xludf.DUMMYFUNCTION("""COMPUTED_VALUE"""),"clicksgeek.com")</f>
        <v>clicksgeek.com</v>
      </c>
      <c r="D426" s="11" t="str">
        <f>IFERROR(__xludf.DUMMYFUNCTION("""COMPUTED_VALUE"""),"LISTICLE")</f>
        <v>LISTICLE</v>
      </c>
      <c r="E426" s="11" t="str">
        <f>IFERROR(__xludf.DUMMYFUNCTION("""COMPUTED_VALUE"""),"CORPORATE")</f>
        <v>CORPORATE</v>
      </c>
      <c r="F426" s="11" t="str">
        <f>IFERROR(__xludf.DUMMYFUNCTION("""COMPUTED_VALUE"""),"Listicle")</f>
        <v>Listicle</v>
      </c>
      <c r="G426" s="11" t="b">
        <f>IFERROR(__xludf.DUMMYFUNCTION("""COMPUTED_VALUE"""),FALSE)</f>
        <v>0</v>
      </c>
      <c r="H426" s="11"/>
      <c r="I426" s="11">
        <f>IFERROR(__xludf.DUMMYFUNCTION("""COMPUTED_VALUE"""),1.0)</f>
        <v>1</v>
      </c>
      <c r="J426" s="11">
        <f>IFERROR(__xludf.DUMMYFUNCTION("""COMPUTED_VALUE"""),0.0)</f>
        <v>0</v>
      </c>
      <c r="K426" s="11">
        <f>IFERROR(__xludf.DUMMYFUNCTION("""COMPUTED_VALUE"""),0.0)</f>
        <v>0</v>
      </c>
      <c r="L426" s="11"/>
    </row>
    <row r="427" ht="15.75" customHeight="1">
      <c r="A427" s="8" t="str">
        <f>IFERROR(__xludf.DUMMYFUNCTION("""COMPUTED_VALUE"""),"https://clicksgeek.com/best-roi-marketing-agencies/")</f>
        <v>https://clicksgeek.com/best-roi-marketing-agencies/</v>
      </c>
      <c r="B427" s="11" t="str">
        <f>IFERROR(__xludf.DUMMYFUNCTION("""COMPUTED_VALUE"""),"Best ROI Marketing Agencies: 7 Proven Strategies 2026")</f>
        <v>Best ROI Marketing Agencies: 7 Proven Strategies 2026</v>
      </c>
      <c r="C427" s="8" t="str">
        <f>IFERROR(__xludf.DUMMYFUNCTION("""COMPUTED_VALUE"""),"clicksgeek.com")</f>
        <v>clicksgeek.com</v>
      </c>
      <c r="D427" s="11" t="str">
        <f>IFERROR(__xludf.DUMMYFUNCTION("""COMPUTED_VALUE"""),"LISTICLE")</f>
        <v>LISTICLE</v>
      </c>
      <c r="E427" s="11" t="str">
        <f>IFERROR(__xludf.DUMMYFUNCTION("""COMPUTED_VALUE"""),"CORPORATE")</f>
        <v>CORPORATE</v>
      </c>
      <c r="F427" s="11" t="str">
        <f>IFERROR(__xludf.DUMMYFUNCTION("""COMPUTED_VALUE"""),"Listicle")</f>
        <v>Listicle</v>
      </c>
      <c r="G427" s="11" t="b">
        <f>IFERROR(__xludf.DUMMYFUNCTION("""COMPUTED_VALUE"""),FALSE)</f>
        <v>0</v>
      </c>
      <c r="H427" s="11" t="str">
        <f>IFERROR(__xludf.DUMMYFUNCTION("""COMPUTED_VALUE"""),"Measured")</f>
        <v>Measured</v>
      </c>
      <c r="I427" s="11">
        <f>IFERROR(__xludf.DUMMYFUNCTION("""COMPUTED_VALUE"""),1.0)</f>
        <v>1</v>
      </c>
      <c r="J427" s="11">
        <f>IFERROR(__xludf.DUMMYFUNCTION("""COMPUTED_VALUE"""),0.0)</f>
        <v>0</v>
      </c>
      <c r="K427" s="11">
        <f>IFERROR(__xludf.DUMMYFUNCTION("""COMPUTED_VALUE"""),0.0)</f>
        <v>0</v>
      </c>
      <c r="L427" s="11"/>
    </row>
    <row r="428" ht="15.75" customHeight="1">
      <c r="A428" s="8" t="str">
        <f>IFERROR(__xludf.DUMMYFUNCTION("""COMPUTED_VALUE"""),"https://clicksgeek.com/marketing-attribution-tracking-services/")</f>
        <v>https://clicksgeek.com/marketing-attribution-tracking-services/</v>
      </c>
      <c r="B428" s="11" t="str">
        <f>IFERROR(__xludf.DUMMYFUNCTION("""COMPUTED_VALUE"""),"9 Best Marketing Attribution Tracking Services 2026")</f>
        <v>9 Best Marketing Attribution Tracking Services 2026</v>
      </c>
      <c r="C428" s="8" t="str">
        <f>IFERROR(__xludf.DUMMYFUNCTION("""COMPUTED_VALUE"""),"clicksgeek.com")</f>
        <v>clicksgeek.com</v>
      </c>
      <c r="D428" s="11" t="str">
        <f>IFERROR(__xludf.DUMMYFUNCTION("""COMPUTED_VALUE"""),"LISTICLE")</f>
        <v>LISTICLE</v>
      </c>
      <c r="E428" s="11" t="str">
        <f>IFERROR(__xludf.DUMMYFUNCTION("""COMPUTED_VALUE"""),"CORPORATE")</f>
        <v>CORPORATE</v>
      </c>
      <c r="F428" s="11" t="str">
        <f>IFERROR(__xludf.DUMMYFUNCTION("""COMPUTED_VALUE"""),"Listicle")</f>
        <v>Listicle</v>
      </c>
      <c r="G428" s="11" t="b">
        <f>IFERROR(__xludf.DUMMYFUNCTION("""COMPUTED_VALUE"""),FALSE)</f>
        <v>0</v>
      </c>
      <c r="H428" s="11" t="str">
        <f>IFERROR(__xludf.DUMMYFUNCTION("""COMPUTED_VALUE"""),"Measured, Triple Whale, Northbeam, Ruler Analytics, Rockerbox")</f>
        <v>Measured, Triple Whale, Northbeam, Ruler Analytics, Rockerbox</v>
      </c>
      <c r="I428" s="11">
        <f>IFERROR(__xludf.DUMMYFUNCTION("""COMPUTED_VALUE"""),1.0)</f>
        <v>1</v>
      </c>
      <c r="J428" s="11">
        <f>IFERROR(__xludf.DUMMYFUNCTION("""COMPUTED_VALUE"""),0.0)</f>
        <v>0</v>
      </c>
      <c r="K428" s="11">
        <f>IFERROR(__xludf.DUMMYFUNCTION("""COMPUTED_VALUE"""),0.0)</f>
        <v>0</v>
      </c>
      <c r="L428" s="11"/>
    </row>
    <row r="429" ht="15.75" customHeight="1">
      <c r="A429" s="8" t="str">
        <f>IFERROR(__xludf.DUMMYFUNCTION("""COMPUTED_VALUE"""),"https://clutch.co/agencies")</f>
        <v>https://clutch.co/agencies</v>
      </c>
      <c r="B429" s="11" t="str">
        <f>IFERROR(__xludf.DUMMYFUNCTION("""COMPUTED_VALUE"""),"Top Advertising Agencies &amp;amp; Marketing Companies - Jul 2026 Rankings | Clutch.co")</f>
        <v>Top Advertising Agencies &amp;amp; Marketing Companies - Jul 2026 Rankings | Clutch.co</v>
      </c>
      <c r="C429" s="8" t="str">
        <f>IFERROR(__xludf.DUMMYFUNCTION("""COMPUTED_VALUE"""),"clutch.co")</f>
        <v>clutch.co</v>
      </c>
      <c r="D429" s="11" t="str">
        <f>IFERROR(__xludf.DUMMYFUNCTION("""COMPUTED_VALUE"""),"CATEGORY_PAGE")</f>
        <v>CATEGORY_PAGE</v>
      </c>
      <c r="E429" s="11" t="str">
        <f>IFERROR(__xludf.DUMMYFUNCTION("""COMPUTED_VALUE"""),"CORPORATE")</f>
        <v>CORPORATE</v>
      </c>
      <c r="F429" s="11" t="str">
        <f>IFERROR(__xludf.DUMMYFUNCTION("""COMPUTED_VALUE"""),"Category Page")</f>
        <v>Category Page</v>
      </c>
      <c r="G429" s="11" t="b">
        <f>IFERROR(__xludf.DUMMYFUNCTION("""COMPUTED_VALUE"""),FALSE)</f>
        <v>0</v>
      </c>
      <c r="H429" s="11" t="str">
        <f>IFERROR(__xludf.DUMMYFUNCTION("""COMPUTED_VALUE"""),"Power Digital, SmartSites, WebFX, KlientBoost, Mediacharge, MONSOON")</f>
        <v>Power Digital, SmartSites, WebFX, KlientBoost, Mediacharge, MONSOON</v>
      </c>
      <c r="I429" s="11">
        <f>IFERROR(__xludf.DUMMYFUNCTION("""COMPUTED_VALUE"""),1.0)</f>
        <v>1</v>
      </c>
      <c r="J429" s="11">
        <f>IFERROR(__xludf.DUMMYFUNCTION("""COMPUTED_VALUE"""),0.0)</f>
        <v>0</v>
      </c>
      <c r="K429" s="11">
        <f>IFERROR(__xludf.DUMMYFUNCTION("""COMPUTED_VALUE"""),0.0)</f>
        <v>0</v>
      </c>
      <c r="L429" s="11"/>
    </row>
    <row r="430" ht="15.75" customHeight="1">
      <c r="A430" s="8" t="str">
        <f>IFERROR(__xludf.DUMMYFUNCTION("""COMPUTED_VALUE"""),"https://clutch.co/agencies/experiential?page=9")</f>
        <v>https://clutch.co/agencies/experiential?page=9</v>
      </c>
      <c r="B430" s="11" t="str">
        <f>IFERROR(__xludf.DUMMYFUNCTION("""COMPUTED_VALUE"""),"Page 9 - Top Experiential Marketing Agencies - Jul 2026 Rankings \| Clutch.co")</f>
        <v>Page 9 - Top Experiential Marketing Agencies - Jul 2026 Rankings \| Clutch.co</v>
      </c>
      <c r="C430" s="8" t="str">
        <f>IFERROR(__xludf.DUMMYFUNCTION("""COMPUTED_VALUE"""),"clutch.co")</f>
        <v>clutch.co</v>
      </c>
      <c r="D430" s="11" t="str">
        <f>IFERROR(__xludf.DUMMYFUNCTION("""COMPUTED_VALUE"""),"CATEGORY_PAGE")</f>
        <v>CATEGORY_PAGE</v>
      </c>
      <c r="E430" s="11" t="str">
        <f>IFERROR(__xludf.DUMMYFUNCTION("""COMPUTED_VALUE"""),"CORPORATE")</f>
        <v>CORPORATE</v>
      </c>
      <c r="F430" s="11" t="str">
        <f>IFERROR(__xludf.DUMMYFUNCTION("""COMPUTED_VALUE"""),"Category Page")</f>
        <v>Category Page</v>
      </c>
      <c r="G430" s="11" t="b">
        <f>IFERROR(__xludf.DUMMYFUNCTION("""COMPUTED_VALUE"""),FALSE)</f>
        <v>0</v>
      </c>
      <c r="H430" s="11"/>
      <c r="I430" s="11">
        <f>IFERROR(__xludf.DUMMYFUNCTION("""COMPUTED_VALUE"""),1.0)</f>
        <v>1</v>
      </c>
      <c r="J430" s="11">
        <f>IFERROR(__xludf.DUMMYFUNCTION("""COMPUTED_VALUE"""),0.0)</f>
        <v>0</v>
      </c>
      <c r="K430" s="11">
        <f>IFERROR(__xludf.DUMMYFUNCTION("""COMPUTED_VALUE"""),1.0)</f>
        <v>1</v>
      </c>
      <c r="L430" s="11"/>
    </row>
    <row r="431" ht="15.75" customHeight="1">
      <c r="A431" s="8" t="str">
        <f>IFERROR(__xludf.DUMMYFUNCTION("""COMPUTED_VALUE"""),"https://clutch.co/agencies/media-buying")</f>
        <v>https://clutch.co/agencies/media-buying</v>
      </c>
      <c r="B431" s="11" t="str">
        <f>IFERROR(__xludf.DUMMYFUNCTION("""COMPUTED_VALUE"""),"Top Media Buying &amp;amp; Planning Agencies - Jul 2026 Rankings | Clutch.co")</f>
        <v>Top Media Buying &amp;amp; Planning Agencies - Jul 2026 Rankings | Clutch.co</v>
      </c>
      <c r="C431" s="8" t="str">
        <f>IFERROR(__xludf.DUMMYFUNCTION("""COMPUTED_VALUE"""),"clutch.co")</f>
        <v>clutch.co</v>
      </c>
      <c r="D431" s="11" t="str">
        <f>IFERROR(__xludf.DUMMYFUNCTION("""COMPUTED_VALUE"""),"CATEGORY_PAGE")</f>
        <v>CATEGORY_PAGE</v>
      </c>
      <c r="E431" s="11" t="str">
        <f>IFERROR(__xludf.DUMMYFUNCTION("""COMPUTED_VALUE"""),"CORPORATE")</f>
        <v>CORPORATE</v>
      </c>
      <c r="F431" s="11" t="str">
        <f>IFERROR(__xludf.DUMMYFUNCTION("""COMPUTED_VALUE"""),"Category Page")</f>
        <v>Category Page</v>
      </c>
      <c r="G431" s="11" t="b">
        <f>IFERROR(__xludf.DUMMYFUNCTION("""COMPUTED_VALUE"""),FALSE)</f>
        <v>0</v>
      </c>
      <c r="H431" s="11" t="str">
        <f>IFERROR(__xludf.DUMMYFUNCTION("""COMPUTED_VALUE"""),"Momentum, REPLUG")</f>
        <v>Momentum, REPLUG</v>
      </c>
      <c r="I431" s="11">
        <f>IFERROR(__xludf.DUMMYFUNCTION("""COMPUTED_VALUE"""),1.0)</f>
        <v>1</v>
      </c>
      <c r="J431" s="11">
        <f>IFERROR(__xludf.DUMMYFUNCTION("""COMPUTED_VALUE"""),0.0)</f>
        <v>0</v>
      </c>
      <c r="K431" s="11">
        <f>IFERROR(__xludf.DUMMYFUNCTION("""COMPUTED_VALUE"""),0.0)</f>
        <v>0</v>
      </c>
      <c r="L431" s="11"/>
    </row>
    <row r="432" ht="15.75" customHeight="1">
      <c r="A432" s="8" t="str">
        <f>IFERROR(__xludf.DUMMYFUNCTION("""COMPUTED_VALUE"""),"https://clutch.co/agencies/performance-marketing")</f>
        <v>https://clutch.co/agencies/performance-marketing</v>
      </c>
      <c r="B432" s="11" t="str">
        <f>IFERROR(__xludf.DUMMYFUNCTION("""COMPUTED_VALUE"""),"Top Performance Marketing Agencies - Jul 2026 Rankings | Clutch.co")</f>
        <v>Top Performance Marketing Agencies - Jul 2026 Rankings | Clutch.co</v>
      </c>
      <c r="C432" s="8" t="str">
        <f>IFERROR(__xludf.DUMMYFUNCTION("""COMPUTED_VALUE"""),"clutch.co")</f>
        <v>clutch.co</v>
      </c>
      <c r="D432" s="11" t="str">
        <f>IFERROR(__xludf.DUMMYFUNCTION("""COMPUTED_VALUE"""),"CATEGORY_PAGE")</f>
        <v>CATEGORY_PAGE</v>
      </c>
      <c r="E432" s="11" t="str">
        <f>IFERROR(__xludf.DUMMYFUNCTION("""COMPUTED_VALUE"""),"CORPORATE")</f>
        <v>CORPORATE</v>
      </c>
      <c r="F432" s="11" t="str">
        <f>IFERROR(__xludf.DUMMYFUNCTION("""COMPUTED_VALUE"""),"Category Page")</f>
        <v>Category Page</v>
      </c>
      <c r="G432" s="11" t="b">
        <f>IFERROR(__xludf.DUMMYFUNCTION("""COMPUTED_VALUE"""),FALSE)</f>
        <v>0</v>
      </c>
      <c r="H432" s="11" t="str">
        <f>IFERROR(__xludf.DUMMYFUNCTION("""COMPUTED_VALUE"""),"Disruptive Advertising, Momentum, REPLUG")</f>
        <v>Disruptive Advertising, Momentum, REPLUG</v>
      </c>
      <c r="I432" s="11">
        <f>IFERROR(__xludf.DUMMYFUNCTION("""COMPUTED_VALUE"""),1.0)</f>
        <v>1</v>
      </c>
      <c r="J432" s="11">
        <f>IFERROR(__xludf.DUMMYFUNCTION("""COMPUTED_VALUE"""),0.0)</f>
        <v>0</v>
      </c>
      <c r="K432" s="11">
        <f>IFERROR(__xludf.DUMMYFUNCTION("""COMPUTED_VALUE"""),3.0)</f>
        <v>3</v>
      </c>
      <c r="L432" s="11"/>
    </row>
    <row r="433" ht="15.75" customHeight="1">
      <c r="A433" s="8" t="str">
        <f>IFERROR(__xludf.DUMMYFUNCTION("""COMPUTED_VALUE"""),"https://clutch.co/agencies/performance-marketing%3Fpage%3D0")</f>
        <v>https://clutch.co/agencies/performance-marketing%3Fpage%3D0</v>
      </c>
      <c r="B433" s="11" t="str">
        <f>IFERROR(__xludf.DUMMYFUNCTION("""COMPUTED_VALUE"""),"Top Performance Marketing Agencies - Jul 2026 Rankings \| Clutch.co")</f>
        <v>Top Performance Marketing Agencies - Jul 2026 Rankings \| Clutch.co</v>
      </c>
      <c r="C433" s="8" t="str">
        <f>IFERROR(__xludf.DUMMYFUNCTION("""COMPUTED_VALUE"""),"clutch.co")</f>
        <v>clutch.co</v>
      </c>
      <c r="D433" s="11" t="str">
        <f>IFERROR(__xludf.DUMMYFUNCTION("""COMPUTED_VALUE"""),"LISTICLE")</f>
        <v>LISTICLE</v>
      </c>
      <c r="E433" s="11" t="str">
        <f>IFERROR(__xludf.DUMMYFUNCTION("""COMPUTED_VALUE"""),"CORPORATE")</f>
        <v>CORPORATE</v>
      </c>
      <c r="F433" s="11" t="str">
        <f>IFERROR(__xludf.DUMMYFUNCTION("""COMPUTED_VALUE"""),"Listicle")</f>
        <v>Listicle</v>
      </c>
      <c r="G433" s="11" t="b">
        <f>IFERROR(__xludf.DUMMYFUNCTION("""COMPUTED_VALUE"""),FALSE)</f>
        <v>0</v>
      </c>
      <c r="H433" s="11" t="str">
        <f>IFERROR(__xludf.DUMMYFUNCTION("""COMPUTED_VALUE"""),"Disruptive Advertising, Momentum, REPLUG")</f>
        <v>Disruptive Advertising, Momentum, REPLUG</v>
      </c>
      <c r="I433" s="11">
        <f>IFERROR(__xludf.DUMMYFUNCTION("""COMPUTED_VALUE"""),1.0)</f>
        <v>1</v>
      </c>
      <c r="J433" s="11">
        <f>IFERROR(__xludf.DUMMYFUNCTION("""COMPUTED_VALUE"""),0.0)</f>
        <v>0</v>
      </c>
      <c r="K433" s="11">
        <f>IFERROR(__xludf.DUMMYFUNCTION("""COMPUTED_VALUE"""),0.0)</f>
        <v>0</v>
      </c>
      <c r="L433" s="11"/>
    </row>
    <row r="434" ht="15.75" customHeight="1">
      <c r="A434" s="8" t="str">
        <f>IFERROR(__xludf.DUMMYFUNCTION("""COMPUTED_VALUE"""),"https://clutch.co/agencies/ppc")</f>
        <v>https://clutch.co/agencies/ppc</v>
      </c>
      <c r="B434" s="11" t="str">
        <f>IFERROR(__xludf.DUMMYFUNCTION("""COMPUTED_VALUE"""),"Top PPC Agencies - Jul 2026 Rankings | Clutch.co")</f>
        <v>Top PPC Agencies - Jul 2026 Rankings | Clutch.co</v>
      </c>
      <c r="C434" s="8" t="str">
        <f>IFERROR(__xludf.DUMMYFUNCTION("""COMPUTED_VALUE"""),"clutch.co")</f>
        <v>clutch.co</v>
      </c>
      <c r="D434" s="11" t="str">
        <f>IFERROR(__xludf.DUMMYFUNCTION("""COMPUTED_VALUE"""),"CATEGORY_PAGE")</f>
        <v>CATEGORY_PAGE</v>
      </c>
      <c r="E434" s="11" t="str">
        <f>IFERROR(__xludf.DUMMYFUNCTION("""COMPUTED_VALUE"""),"CORPORATE")</f>
        <v>CORPORATE</v>
      </c>
      <c r="F434" s="11" t="str">
        <f>IFERROR(__xludf.DUMMYFUNCTION("""COMPUTED_VALUE"""),"Category Page")</f>
        <v>Category Page</v>
      </c>
      <c r="G434" s="11" t="b">
        <f>IFERROR(__xludf.DUMMYFUNCTION("""COMPUTED_VALUE"""),FALSE)</f>
        <v>0</v>
      </c>
      <c r="H434" s="11" t="str">
        <f>IFERROR(__xludf.DUMMYFUNCTION("""COMPUTED_VALUE"""),"Disruptive Advertising, KlientBoost, Single Grain, SmartSites, Mediacharge")</f>
        <v>Disruptive Advertising, KlientBoost, Single Grain, SmartSites, Mediacharge</v>
      </c>
      <c r="I434" s="11">
        <f>IFERROR(__xludf.DUMMYFUNCTION("""COMPUTED_VALUE"""),1.0)</f>
        <v>1</v>
      </c>
      <c r="J434" s="11">
        <f>IFERROR(__xludf.DUMMYFUNCTION("""COMPUTED_VALUE"""),0.0)</f>
        <v>0</v>
      </c>
      <c r="K434" s="11">
        <f>IFERROR(__xludf.DUMMYFUNCTION("""COMPUTED_VALUE"""),0.0)</f>
        <v>0</v>
      </c>
      <c r="L434" s="11"/>
    </row>
    <row r="435" ht="15.75" customHeight="1">
      <c r="A435" s="8" t="str">
        <f>IFERROR(__xludf.DUMMYFUNCTION("""COMPUTED_VALUE"""),"https://clutch.co/de/agencies/app-marketing")</f>
        <v>https://clutch.co/de/agencies/app-marketing</v>
      </c>
      <c r="B435" s="11" t="str">
        <f>IFERROR(__xludf.DUMMYFUNCTION("""COMPUTED_VALUE"""),"Top Mobile Marketing Agencies in Germany - Jul 2026 Rankings | Clutch.co")</f>
        <v>Top Mobile Marketing Agencies in Germany - Jul 2026 Rankings | Clutch.co</v>
      </c>
      <c r="C435" s="8" t="str">
        <f>IFERROR(__xludf.DUMMYFUNCTION("""COMPUTED_VALUE"""),"clutch.co")</f>
        <v>clutch.co</v>
      </c>
      <c r="D435" s="11" t="str">
        <f>IFERROR(__xludf.DUMMYFUNCTION("""COMPUTED_VALUE"""),"CATEGORY_PAGE")</f>
        <v>CATEGORY_PAGE</v>
      </c>
      <c r="E435" s="11" t="str">
        <f>IFERROR(__xludf.DUMMYFUNCTION("""COMPUTED_VALUE"""),"CORPORATE")</f>
        <v>CORPORATE</v>
      </c>
      <c r="F435" s="11" t="str">
        <f>IFERROR(__xludf.DUMMYFUNCTION("""COMPUTED_VALUE"""),"Category Page")</f>
        <v>Category Page</v>
      </c>
      <c r="G435" s="11" t="b">
        <f>IFERROR(__xludf.DUMMYFUNCTION("""COMPUTED_VALUE"""),FALSE)</f>
        <v>0</v>
      </c>
      <c r="H435" s="11" t="str">
        <f>IFERROR(__xludf.DUMMYFUNCTION("""COMPUTED_VALUE"""),"REPLUG, MONSOON, Phiture, Admiral Media, Customlytics, GroupM")</f>
        <v>REPLUG, MONSOON, Phiture, Admiral Media, Customlytics, GroupM</v>
      </c>
      <c r="I435" s="11">
        <f>IFERROR(__xludf.DUMMYFUNCTION("""COMPUTED_VALUE"""),1.0)</f>
        <v>1</v>
      </c>
      <c r="J435" s="11">
        <f>IFERROR(__xludf.DUMMYFUNCTION("""COMPUTED_VALUE"""),0.0)</f>
        <v>0</v>
      </c>
      <c r="K435" s="11">
        <f>IFERROR(__xludf.DUMMYFUNCTION("""COMPUTED_VALUE"""),1.0)</f>
        <v>1</v>
      </c>
      <c r="L435" s="11"/>
    </row>
    <row r="436" ht="15.75" customHeight="1">
      <c r="A436" s="8" t="str">
        <f>IFERROR(__xludf.DUMMYFUNCTION("""COMPUTED_VALUE"""),"https://clutch.co/de/agencies/digital-marketing?page=3")</f>
        <v>https://clutch.co/de/agencies/digital-marketing?page=3</v>
      </c>
      <c r="B436" s="11" t="str">
        <f>IFERROR(__xludf.DUMMYFUNCTION("""COMPUTED_VALUE"""),"Page 3 - Top Digital Marketing Agencies in Germany - Jul 2026 Rankings \| Clutch.co")</f>
        <v>Page 3 - Top Digital Marketing Agencies in Germany - Jul 2026 Rankings \| Clutch.co</v>
      </c>
      <c r="C436" s="8" t="str">
        <f>IFERROR(__xludf.DUMMYFUNCTION("""COMPUTED_VALUE"""),"clutch.co")</f>
        <v>clutch.co</v>
      </c>
      <c r="D436" s="11" t="str">
        <f>IFERROR(__xludf.DUMMYFUNCTION("""COMPUTED_VALUE"""),"CATEGORY_PAGE")</f>
        <v>CATEGORY_PAGE</v>
      </c>
      <c r="E436" s="11" t="str">
        <f>IFERROR(__xludf.DUMMYFUNCTION("""COMPUTED_VALUE"""),"CORPORATE")</f>
        <v>CORPORATE</v>
      </c>
      <c r="F436" s="11" t="str">
        <f>IFERROR(__xludf.DUMMYFUNCTION("""COMPUTED_VALUE"""),"Category Page")</f>
        <v>Category Page</v>
      </c>
      <c r="G436" s="11" t="b">
        <f>IFERROR(__xludf.DUMMYFUNCTION("""COMPUTED_VALUE"""),FALSE)</f>
        <v>0</v>
      </c>
      <c r="H436" s="11" t="str">
        <f>IFERROR(__xludf.DUMMYFUNCTION("""COMPUTED_VALUE"""),"MONSOON, Mediacharge, REPLUG, Claneo, Peak Ace, morefire, Think11, eMinded GmbH, GroupM, Löwenstark, Medialabel, DEPT, Admiral Media, Phiture, HECHT INS GEFECHT, HY.AM STUDIOS")</f>
        <v>MONSOON, Mediacharge, REPLUG, Claneo, Peak Ace, morefire, Think11, eMinded GmbH, GroupM, Löwenstark, Medialabel, DEPT, Admiral Media, Phiture, HECHT INS GEFECHT, HY.AM STUDIOS</v>
      </c>
      <c r="I436" s="11">
        <f>IFERROR(__xludf.DUMMYFUNCTION("""COMPUTED_VALUE"""),1.0)</f>
        <v>1</v>
      </c>
      <c r="J436" s="11">
        <f>IFERROR(__xludf.DUMMYFUNCTION("""COMPUTED_VALUE"""),0.0)</f>
        <v>0</v>
      </c>
      <c r="K436" s="11">
        <f>IFERROR(__xludf.DUMMYFUNCTION("""COMPUTED_VALUE"""),0.0)</f>
        <v>0</v>
      </c>
      <c r="L436" s="11"/>
    </row>
    <row r="437" ht="15.75" customHeight="1">
      <c r="A437" s="8" t="str">
        <f>IFERROR(__xludf.DUMMYFUNCTION("""COMPUTED_VALUE"""),"https://clutch.co/de/agencies/market-research/berlin")</f>
        <v>https://clutch.co/de/agencies/market-research/berlin</v>
      </c>
      <c r="B437" s="11" t="str">
        <f>IFERROR(__xludf.DUMMYFUNCTION("""COMPUTED_VALUE"""),"Top Market Research Companies in Berlin - Jul 2026 Rankings | Clutch.co")</f>
        <v>Top Market Research Companies in Berlin - Jul 2026 Rankings | Clutch.co</v>
      </c>
      <c r="C437" s="8" t="str">
        <f>IFERROR(__xludf.DUMMYFUNCTION("""COMPUTED_VALUE"""),"clutch.co")</f>
        <v>clutch.co</v>
      </c>
      <c r="D437" s="11" t="str">
        <f>IFERROR(__xludf.DUMMYFUNCTION("""COMPUTED_VALUE"""),"CATEGORY_PAGE")</f>
        <v>CATEGORY_PAGE</v>
      </c>
      <c r="E437" s="11" t="str">
        <f>IFERROR(__xludf.DUMMYFUNCTION("""COMPUTED_VALUE"""),"CORPORATE")</f>
        <v>CORPORATE</v>
      </c>
      <c r="F437" s="11" t="str">
        <f>IFERROR(__xludf.DUMMYFUNCTION("""COMPUTED_VALUE"""),"Category Page")</f>
        <v>Category Page</v>
      </c>
      <c r="G437" s="11" t="b">
        <f>IFERROR(__xludf.DUMMYFUNCTION("""COMPUTED_VALUE"""),FALSE)</f>
        <v>0</v>
      </c>
      <c r="H437" s="11" t="str">
        <f>IFERROR(__xludf.DUMMYFUNCTION("""COMPUTED_VALUE"""),"LNQP GmbH")</f>
        <v>LNQP GmbH</v>
      </c>
      <c r="I437" s="11">
        <f>IFERROR(__xludf.DUMMYFUNCTION("""COMPUTED_VALUE"""),1.0)</f>
        <v>1</v>
      </c>
      <c r="J437" s="11">
        <f>IFERROR(__xludf.DUMMYFUNCTION("""COMPUTED_VALUE"""),0.0)</f>
        <v>0</v>
      </c>
      <c r="K437" s="11">
        <f>IFERROR(__xludf.DUMMYFUNCTION("""COMPUTED_VALUE"""),1.0)</f>
        <v>1</v>
      </c>
      <c r="L437" s="11"/>
    </row>
    <row r="438" ht="15.75" customHeight="1">
      <c r="A438" s="8" t="str">
        <f>IFERROR(__xludf.DUMMYFUNCTION("""COMPUTED_VALUE"""),"https://clutch.co/de/agencies/ppc/berlin")</f>
        <v>https://clutch.co/de/agencies/ppc/berlin</v>
      </c>
      <c r="B438" s="11" t="str">
        <f>IFERROR(__xludf.DUMMYFUNCTION("""COMPUTED_VALUE"""),"Top PPC Agencies in Berlin - Jul 2026 Rankings | Clutch.co")</f>
        <v>Top PPC Agencies in Berlin - Jul 2026 Rankings | Clutch.co</v>
      </c>
      <c r="C438" s="8" t="str">
        <f>IFERROR(__xludf.DUMMYFUNCTION("""COMPUTED_VALUE"""),"clutch.co")</f>
        <v>clutch.co</v>
      </c>
      <c r="D438" s="11" t="str">
        <f>IFERROR(__xludf.DUMMYFUNCTION("""COMPUTED_VALUE"""),"CATEGORY_PAGE")</f>
        <v>CATEGORY_PAGE</v>
      </c>
      <c r="E438" s="11" t="str">
        <f>IFERROR(__xludf.DUMMYFUNCTION("""COMPUTED_VALUE"""),"CORPORATE")</f>
        <v>CORPORATE</v>
      </c>
      <c r="F438" s="11" t="str">
        <f>IFERROR(__xludf.DUMMYFUNCTION("""COMPUTED_VALUE"""),"Category Page")</f>
        <v>Category Page</v>
      </c>
      <c r="G438" s="11" t="b">
        <f>IFERROR(__xludf.DUMMYFUNCTION("""COMPUTED_VALUE"""),FALSE)</f>
        <v>0</v>
      </c>
      <c r="H438" s="11" t="str">
        <f>IFERROR(__xludf.DUMMYFUNCTION("""COMPUTED_VALUE"""),"Mediacharge, MONSOON, REPLUG, Smarketer, Peak Ace, Medialabel")</f>
        <v>Mediacharge, MONSOON, REPLUG, Smarketer, Peak Ace, Medialabel</v>
      </c>
      <c r="I438" s="11">
        <f>IFERROR(__xludf.DUMMYFUNCTION("""COMPUTED_VALUE"""),1.0)</f>
        <v>1</v>
      </c>
      <c r="J438" s="11">
        <f>IFERROR(__xludf.DUMMYFUNCTION("""COMPUTED_VALUE"""),0.0)</f>
        <v>0</v>
      </c>
      <c r="K438" s="11">
        <f>IFERROR(__xludf.DUMMYFUNCTION("""COMPUTED_VALUE"""),1.0)</f>
        <v>1</v>
      </c>
      <c r="L438" s="11"/>
    </row>
    <row r="439" ht="15.75" customHeight="1">
      <c r="A439" s="8" t="str">
        <f>IFERROR(__xludf.DUMMYFUNCTION("""COMPUTED_VALUE"""),"https://clutch.co/de/agencies/ppc/google-adwords")</f>
        <v>https://clutch.co/de/agencies/ppc/google-adwords</v>
      </c>
      <c r="B439" s="11" t="str">
        <f>IFERROR(__xludf.DUMMYFUNCTION("""COMPUTED_VALUE"""),"Top Adwords PPC Agencies in Germany - Jul 2026 Rankings \| Clutch.co")</f>
        <v>Top Adwords PPC Agencies in Germany - Jul 2026 Rankings \| Clutch.co</v>
      </c>
      <c r="C439" s="8" t="str">
        <f>IFERROR(__xludf.DUMMYFUNCTION("""COMPUTED_VALUE"""),"clutch.co")</f>
        <v>clutch.co</v>
      </c>
      <c r="D439" s="11" t="str">
        <f>IFERROR(__xludf.DUMMYFUNCTION("""COMPUTED_VALUE"""),"CATEGORY_PAGE")</f>
        <v>CATEGORY_PAGE</v>
      </c>
      <c r="E439" s="11" t="str">
        <f>IFERROR(__xludf.DUMMYFUNCTION("""COMPUTED_VALUE"""),"CORPORATE")</f>
        <v>CORPORATE</v>
      </c>
      <c r="F439" s="11" t="str">
        <f>IFERROR(__xludf.DUMMYFUNCTION("""COMPUTED_VALUE"""),"Category Page")</f>
        <v>Category Page</v>
      </c>
      <c r="G439" s="11" t="b">
        <f>IFERROR(__xludf.DUMMYFUNCTION("""COMPUTED_VALUE"""),FALSE)</f>
        <v>0</v>
      </c>
      <c r="H439" s="11" t="str">
        <f>IFERROR(__xludf.DUMMYFUNCTION("""COMPUTED_VALUE"""),"Mediacharge, MONSOON, Seeders, KlickPiloten, Smarketer, eMinded GmbH, Peak Ace")</f>
        <v>Mediacharge, MONSOON, Seeders, KlickPiloten, Smarketer, eMinded GmbH, Peak Ace</v>
      </c>
      <c r="I439" s="11">
        <f>IFERROR(__xludf.DUMMYFUNCTION("""COMPUTED_VALUE"""),1.0)</f>
        <v>1</v>
      </c>
      <c r="J439" s="11">
        <f>IFERROR(__xludf.DUMMYFUNCTION("""COMPUTED_VALUE"""),0.0)</f>
        <v>0</v>
      </c>
      <c r="K439" s="11">
        <f>IFERROR(__xludf.DUMMYFUNCTION("""COMPUTED_VALUE"""),0.0)</f>
        <v>0</v>
      </c>
      <c r="L439" s="11"/>
    </row>
    <row r="440" ht="15.75" customHeight="1">
      <c r="A440" s="8" t="str">
        <f>IFERROR(__xludf.DUMMYFUNCTION("""COMPUTED_VALUE"""),"https://clutch.co/de/agencies/social-media-marketing/berlin")</f>
        <v>https://clutch.co/de/agencies/social-media-marketing/berlin</v>
      </c>
      <c r="B440" s="11" t="str">
        <f>IFERROR(__xludf.DUMMYFUNCTION("""COMPUTED_VALUE"""),"Top Social Media Marketing Agencies in Berlin - Jul 2026 Rankings \| Clutch.co")</f>
        <v>Top Social Media Marketing Agencies in Berlin - Jul 2026 Rankings \| Clutch.co</v>
      </c>
      <c r="C440" s="8" t="str">
        <f>IFERROR(__xludf.DUMMYFUNCTION("""COMPUTED_VALUE"""),"clutch.co")</f>
        <v>clutch.co</v>
      </c>
      <c r="D440" s="11" t="str">
        <f>IFERROR(__xludf.DUMMYFUNCTION("""COMPUTED_VALUE"""),"CATEGORY_PAGE")</f>
        <v>CATEGORY_PAGE</v>
      </c>
      <c r="E440" s="11" t="str">
        <f>IFERROR(__xludf.DUMMYFUNCTION("""COMPUTED_VALUE"""),"CORPORATE")</f>
        <v>CORPORATE</v>
      </c>
      <c r="F440" s="11" t="str">
        <f>IFERROR(__xludf.DUMMYFUNCTION("""COMPUTED_VALUE"""),"Category Page")</f>
        <v>Category Page</v>
      </c>
      <c r="G440" s="11" t="b">
        <f>IFERROR(__xludf.DUMMYFUNCTION("""COMPUTED_VALUE"""),FALSE)</f>
        <v>0</v>
      </c>
      <c r="H440" s="11" t="str">
        <f>IFERROR(__xludf.DUMMYFUNCTION("""COMPUTED_VALUE"""),"MONSOON, Mediacharge, PANORAMA3000, PwC, HY.AM STUDIOS, Huge, Pulse Advertising, Medialabel")</f>
        <v>MONSOON, Mediacharge, PANORAMA3000, PwC, HY.AM STUDIOS, Huge, Pulse Advertising, Medialabel</v>
      </c>
      <c r="I440" s="11">
        <f>IFERROR(__xludf.DUMMYFUNCTION("""COMPUTED_VALUE"""),1.0)</f>
        <v>1</v>
      </c>
      <c r="J440" s="11">
        <f>IFERROR(__xludf.DUMMYFUNCTION("""COMPUTED_VALUE"""),0.0)</f>
        <v>0</v>
      </c>
      <c r="K440" s="11">
        <f>IFERROR(__xludf.DUMMYFUNCTION("""COMPUTED_VALUE"""),1.0)</f>
        <v>1</v>
      </c>
      <c r="L440" s="11"/>
    </row>
    <row r="441" ht="15.75" customHeight="1">
      <c r="A441" s="8" t="str">
        <f>IFERROR(__xludf.DUMMYFUNCTION("""COMPUTED_VALUE"""),"https://clutch.co/de/agencies/social-media-marketing/influencer/tiktok")</f>
        <v>https://clutch.co/de/agencies/social-media-marketing/influencer/tiktok</v>
      </c>
      <c r="B441" s="11" t="str">
        <f>IFERROR(__xludf.DUMMYFUNCTION("""COMPUTED_VALUE"""),"Top TikTok Influencer Marketing Agencies in Germany - Jul 2026 Rankings \| Clutch.co")</f>
        <v>Top TikTok Influencer Marketing Agencies in Germany - Jul 2026 Rankings \| Clutch.co</v>
      </c>
      <c r="C441" s="8" t="str">
        <f>IFERROR(__xludf.DUMMYFUNCTION("""COMPUTED_VALUE"""),"clutch.co")</f>
        <v>clutch.co</v>
      </c>
      <c r="D441" s="11" t="str">
        <f>IFERROR(__xludf.DUMMYFUNCTION("""COMPUTED_VALUE"""),"CATEGORY_PAGE")</f>
        <v>CATEGORY_PAGE</v>
      </c>
      <c r="E441" s="11" t="str">
        <f>IFERROR(__xludf.DUMMYFUNCTION("""COMPUTED_VALUE"""),"CORPORATE")</f>
        <v>CORPORATE</v>
      </c>
      <c r="F441" s="11" t="str">
        <f>IFERROR(__xludf.DUMMYFUNCTION("""COMPUTED_VALUE"""),"Category Page")</f>
        <v>Category Page</v>
      </c>
      <c r="G441" s="11" t="b">
        <f>IFERROR(__xludf.DUMMYFUNCTION("""COMPUTED_VALUE"""),FALSE)</f>
        <v>0</v>
      </c>
      <c r="H441" s="11" t="str">
        <f>IFERROR(__xludf.DUMMYFUNCTION("""COMPUTED_VALUE"""),"PANORAMA3000, Pulse Advertising, Medialabel, Haus, Mediaplus Group")</f>
        <v>PANORAMA3000, Pulse Advertising, Medialabel, Haus, Mediaplus Group</v>
      </c>
      <c r="I441" s="11">
        <f>IFERROR(__xludf.DUMMYFUNCTION("""COMPUTED_VALUE"""),1.0)</f>
        <v>1</v>
      </c>
      <c r="J441" s="11">
        <f>IFERROR(__xludf.DUMMYFUNCTION("""COMPUTED_VALUE"""),0.0)</f>
        <v>0</v>
      </c>
      <c r="K441" s="11">
        <f>IFERROR(__xludf.DUMMYFUNCTION("""COMPUTED_VALUE"""),0.0)</f>
        <v>0</v>
      </c>
      <c r="L441" s="11"/>
    </row>
    <row r="442" ht="15.75" customHeight="1">
      <c r="A442" s="8" t="str">
        <f>IFERROR(__xludf.DUMMYFUNCTION("""COMPUTED_VALUE"""),"https://clutch.co/de/agencies/social-media-marketing?page=3")</f>
        <v>https://clutch.co/de/agencies/social-media-marketing?page=3</v>
      </c>
      <c r="B442" s="11" t="str">
        <f>IFERROR(__xludf.DUMMYFUNCTION("""COMPUTED_VALUE"""),"Page 3 - Top Social Media Marketing Companies in Germany - Jul 2026 Rankings \| Clutch.co")</f>
        <v>Page 3 - Top Social Media Marketing Companies in Germany - Jul 2026 Rankings \| Clutch.co</v>
      </c>
      <c r="C442" s="8" t="str">
        <f>IFERROR(__xludf.DUMMYFUNCTION("""COMPUTED_VALUE"""),"clutch.co")</f>
        <v>clutch.co</v>
      </c>
      <c r="D442" s="11" t="str">
        <f>IFERROR(__xludf.DUMMYFUNCTION("""COMPUTED_VALUE"""),"CATEGORY_PAGE")</f>
        <v>CATEGORY_PAGE</v>
      </c>
      <c r="E442" s="11" t="str">
        <f>IFERROR(__xludf.DUMMYFUNCTION("""COMPUTED_VALUE"""),"CORPORATE")</f>
        <v>CORPORATE</v>
      </c>
      <c r="F442" s="11" t="str">
        <f>IFERROR(__xludf.DUMMYFUNCTION("""COMPUTED_VALUE"""),"Category Page")</f>
        <v>Category Page</v>
      </c>
      <c r="G442" s="11" t="b">
        <f>IFERROR(__xludf.DUMMYFUNCTION("""COMPUTED_VALUE"""),FALSE)</f>
        <v>0</v>
      </c>
      <c r="H442" s="11" t="str">
        <f>IFERROR(__xludf.DUMMYFUNCTION("""COMPUTED_VALUE"""),"MONSOON, Mediacharge, Haus, HY.AM STUDIOS, PANORAMA3000, Digitalyze, KlickPiloten")</f>
        <v>MONSOON, Mediacharge, Haus, HY.AM STUDIOS, PANORAMA3000, Digitalyze, KlickPiloten</v>
      </c>
      <c r="I442" s="11">
        <f>IFERROR(__xludf.DUMMYFUNCTION("""COMPUTED_VALUE"""),1.0)</f>
        <v>1</v>
      </c>
      <c r="J442" s="11">
        <f>IFERROR(__xludf.DUMMYFUNCTION("""COMPUTED_VALUE"""),0.0)</f>
        <v>0</v>
      </c>
      <c r="K442" s="11">
        <f>IFERROR(__xludf.DUMMYFUNCTION("""COMPUTED_VALUE"""),0.0)</f>
        <v>0</v>
      </c>
      <c r="L442" s="11"/>
    </row>
    <row r="443" ht="15.75" customHeight="1">
      <c r="A443" s="8" t="str">
        <f>IFERROR(__xludf.DUMMYFUNCTION("""COMPUTED_VALUE"""),"https://clutch.co/de/it-services/master-data-management-consulting")</f>
        <v>https://clutch.co/de/it-services/master-data-management-consulting</v>
      </c>
      <c r="B443" s="11" t="str">
        <f>IFERROR(__xludf.DUMMYFUNCTION("""COMPUTED_VALUE"""),"Top MDM Consultants in Germany - Jul 2026 Rankings \| Clutch.co")</f>
        <v>Top MDM Consultants in Germany - Jul 2026 Rankings \| Clutch.co</v>
      </c>
      <c r="C443" s="8" t="str">
        <f>IFERROR(__xludf.DUMMYFUNCTION("""COMPUTED_VALUE"""),"clutch.co")</f>
        <v>clutch.co</v>
      </c>
      <c r="D443" s="11" t="str">
        <f>IFERROR(__xludf.DUMMYFUNCTION("""COMPUTED_VALUE"""),"CATEGORY_PAGE")</f>
        <v>CATEGORY_PAGE</v>
      </c>
      <c r="E443" s="11" t="str">
        <f>IFERROR(__xludf.DUMMYFUNCTION("""COMPUTED_VALUE"""),"CORPORATE")</f>
        <v>CORPORATE</v>
      </c>
      <c r="F443" s="11" t="str">
        <f>IFERROR(__xludf.DUMMYFUNCTION("""COMPUTED_VALUE"""),"Category Page")</f>
        <v>Category Page</v>
      </c>
      <c r="G443" s="11" t="b">
        <f>IFERROR(__xludf.DUMMYFUNCTION("""COMPUTED_VALUE"""),FALSE)</f>
        <v>0</v>
      </c>
      <c r="H443" s="11"/>
      <c r="I443" s="11">
        <f>IFERROR(__xludf.DUMMYFUNCTION("""COMPUTED_VALUE"""),1.0)</f>
        <v>1</v>
      </c>
      <c r="J443" s="11">
        <f>IFERROR(__xludf.DUMMYFUNCTION("""COMPUTED_VALUE"""),0.0)</f>
        <v>0</v>
      </c>
      <c r="K443" s="11">
        <f>IFERROR(__xludf.DUMMYFUNCTION("""COMPUTED_VALUE"""),0.0)</f>
        <v>0</v>
      </c>
      <c r="L443" s="11"/>
    </row>
    <row r="444" ht="15.75" customHeight="1">
      <c r="A444" s="8" t="str">
        <f>IFERROR(__xludf.DUMMYFUNCTION("""COMPUTED_VALUE"""),"https://coefficient.io/marketing-analytics-tools")</f>
        <v>https://coefficient.io/marketing-analytics-tools</v>
      </c>
      <c r="B444" s="11" t="str">
        <f>IFERROR(__xludf.DUMMYFUNCTION("""COMPUTED_VALUE"""),"Top 10 Marketing Analytics Tools and Software for 2026")</f>
        <v>Top 10 Marketing Analytics Tools and Software for 2026</v>
      </c>
      <c r="C444" s="8" t="str">
        <f>IFERROR(__xludf.DUMMYFUNCTION("""COMPUTED_VALUE"""),"coefficient.io")</f>
        <v>coefficient.io</v>
      </c>
      <c r="D444" s="11" t="str">
        <f>IFERROR(__xludf.DUMMYFUNCTION("""COMPUTED_VALUE"""),"LISTICLE")</f>
        <v>LISTICLE</v>
      </c>
      <c r="E444" s="11" t="str">
        <f>IFERROR(__xludf.DUMMYFUNCTION("""COMPUTED_VALUE"""),"CORPORATE")</f>
        <v>CORPORATE</v>
      </c>
      <c r="F444" s="11" t="str">
        <f>IFERROR(__xludf.DUMMYFUNCTION("""COMPUTED_VALUE"""),"Listicle")</f>
        <v>Listicle</v>
      </c>
      <c r="G444" s="11" t="b">
        <f>IFERROR(__xludf.DUMMYFUNCTION("""COMPUTED_VALUE"""),FALSE)</f>
        <v>0</v>
      </c>
      <c r="H444" s="11" t="str">
        <f>IFERROR(__xludf.DUMMYFUNCTION("""COMPUTED_VALUE"""),"Huge")</f>
        <v>Huge</v>
      </c>
      <c r="I444" s="11">
        <f>IFERROR(__xludf.DUMMYFUNCTION("""COMPUTED_VALUE"""),1.0)</f>
        <v>1</v>
      </c>
      <c r="J444" s="11">
        <f>IFERROR(__xludf.DUMMYFUNCTION("""COMPUTED_VALUE"""),0.0)</f>
        <v>0</v>
      </c>
      <c r="K444" s="11">
        <f>IFERROR(__xludf.DUMMYFUNCTION("""COMPUTED_VALUE"""),1.0)</f>
        <v>1</v>
      </c>
      <c r="L444" s="11"/>
    </row>
    <row r="445" ht="15.75" customHeight="1">
      <c r="A445" s="8" t="str">
        <f>IFERROR(__xludf.DUMMYFUNCTION("""COMPUTED_VALUE"""),"https://coinbound.io/top-ai-marketing-agencies/")</f>
        <v>https://coinbound.io/top-ai-marketing-agencies/</v>
      </c>
      <c r="B445" s="11" t="str">
        <f>IFERROR(__xludf.DUMMYFUNCTION("""COMPUTED_VALUE"""),"The Best AI Marketing Agencies for 2026: 5 Top Choices")</f>
        <v>The Best AI Marketing Agencies for 2026: 5 Top Choices</v>
      </c>
      <c r="C445" s="8" t="str">
        <f>IFERROR(__xludf.DUMMYFUNCTION("""COMPUTED_VALUE"""),"coinbound.io")</f>
        <v>coinbound.io</v>
      </c>
      <c r="D445" s="11" t="str">
        <f>IFERROR(__xludf.DUMMYFUNCTION("""COMPUTED_VALUE"""),"LISTICLE")</f>
        <v>LISTICLE</v>
      </c>
      <c r="E445" s="11" t="str">
        <f>IFERROR(__xludf.DUMMYFUNCTION("""COMPUTED_VALUE"""),"CORPORATE")</f>
        <v>CORPORATE</v>
      </c>
      <c r="F445" s="11" t="str">
        <f>IFERROR(__xludf.DUMMYFUNCTION("""COMPUTED_VALUE"""),"Listicle")</f>
        <v>Listicle</v>
      </c>
      <c r="G445" s="11" t="b">
        <f>IFERROR(__xludf.DUMMYFUNCTION("""COMPUTED_VALUE"""),FALSE)</f>
        <v>0</v>
      </c>
      <c r="H445" s="11" t="str">
        <f>IFERROR(__xludf.DUMMYFUNCTION("""COMPUTED_VALUE"""),"NoGood, Single Grain, Momentum")</f>
        <v>NoGood, Single Grain, Momentum</v>
      </c>
      <c r="I445" s="11">
        <f>IFERROR(__xludf.DUMMYFUNCTION("""COMPUTED_VALUE"""),1.0)</f>
        <v>1</v>
      </c>
      <c r="J445" s="11">
        <f>IFERROR(__xludf.DUMMYFUNCTION("""COMPUTED_VALUE"""),0.0)</f>
        <v>0</v>
      </c>
      <c r="K445" s="11">
        <f>IFERROR(__xludf.DUMMYFUNCTION("""COMPUTED_VALUE"""),0.0)</f>
        <v>0</v>
      </c>
      <c r="L445" s="11"/>
    </row>
    <row r="446" ht="15.75" customHeight="1">
      <c r="A446" s="8" t="str">
        <f>IFERROR(__xludf.DUMMYFUNCTION("""COMPUTED_VALUE"""),"https://www.cometly.com/post/agency-marketing-attribution-tools")</f>
        <v>https://www.cometly.com/post/agency-marketing-attribution-tools</v>
      </c>
      <c r="B446" s="11" t="str">
        <f>IFERROR(__xludf.DUMMYFUNCTION("""COMPUTED_VALUE"""),"Top Agency Marketing Attribution Tools for 2026 Tips")</f>
        <v>Top Agency Marketing Attribution Tools for 2026 Tips</v>
      </c>
      <c r="C446" s="8" t="str">
        <f>IFERROR(__xludf.DUMMYFUNCTION("""COMPUTED_VALUE"""),"cometly.com")</f>
        <v>cometly.com</v>
      </c>
      <c r="D446" s="11" t="str">
        <f>IFERROR(__xludf.DUMMYFUNCTION("""COMPUTED_VALUE"""),"LISTICLE")</f>
        <v>LISTICLE</v>
      </c>
      <c r="E446" s="11" t="str">
        <f>IFERROR(__xludf.DUMMYFUNCTION("""COMPUTED_VALUE"""),"COMPETITOR")</f>
        <v>COMPETITOR</v>
      </c>
      <c r="F446" s="11" t="str">
        <f>IFERROR(__xludf.DUMMYFUNCTION("""COMPUTED_VALUE"""),"Listicle")</f>
        <v>Listicle</v>
      </c>
      <c r="G446" s="11" t="b">
        <f>IFERROR(__xludf.DUMMYFUNCTION("""COMPUTED_VALUE"""),FALSE)</f>
        <v>0</v>
      </c>
      <c r="H446" s="11" t="str">
        <f>IFERROR(__xludf.DUMMYFUNCTION("""COMPUTED_VALUE"""),"Cometly, Triple Whale, Northbeam, Rockerbox, Ruler Analytics, Dreamdata")</f>
        <v>Cometly, Triple Whale, Northbeam, Rockerbox, Ruler Analytics, Dreamdata</v>
      </c>
      <c r="I446" s="11">
        <f>IFERROR(__xludf.DUMMYFUNCTION("""COMPUTED_VALUE"""),1.0)</f>
        <v>1</v>
      </c>
      <c r="J446" s="11">
        <f>IFERROR(__xludf.DUMMYFUNCTION("""COMPUTED_VALUE"""),0.0)</f>
        <v>0</v>
      </c>
      <c r="K446" s="11">
        <f>IFERROR(__xludf.DUMMYFUNCTION("""COMPUTED_VALUE"""),1.0)</f>
        <v>1</v>
      </c>
      <c r="L446" s="11"/>
    </row>
    <row r="447" ht="15.75" customHeight="1">
      <c r="A447" s="8" t="str">
        <f>IFERROR(__xludf.DUMMYFUNCTION("""COMPUTED_VALUE"""),"https://www.cometly.com/post/ai-powered-ad-optimization-platform")</f>
        <v>https://www.cometly.com/post/ai-powered-ad-optimization-platform</v>
      </c>
      <c r="B447" s="11" t="str">
        <f>IFERROR(__xludf.DUMMYFUNCTION("""COMPUTED_VALUE"""),"9 Best AI Powered Ad Optimization Platforms 2026 Guide")</f>
        <v>9 Best AI Powered Ad Optimization Platforms 2026 Guide</v>
      </c>
      <c r="C447" s="8" t="str">
        <f>IFERROR(__xludf.DUMMYFUNCTION("""COMPUTED_VALUE"""),"cometly.com")</f>
        <v>cometly.com</v>
      </c>
      <c r="D447" s="11" t="str">
        <f>IFERROR(__xludf.DUMMYFUNCTION("""COMPUTED_VALUE"""),"LISTICLE")</f>
        <v>LISTICLE</v>
      </c>
      <c r="E447" s="11" t="str">
        <f>IFERROR(__xludf.DUMMYFUNCTION("""COMPUTED_VALUE"""),"COMPETITOR")</f>
        <v>COMPETITOR</v>
      </c>
      <c r="F447" s="11" t="str">
        <f>IFERROR(__xludf.DUMMYFUNCTION("""COMPUTED_VALUE"""),"Listicle")</f>
        <v>Listicle</v>
      </c>
      <c r="G447" s="11" t="b">
        <f>IFERROR(__xludf.DUMMYFUNCTION("""COMPUTED_VALUE"""),FALSE)</f>
        <v>0</v>
      </c>
      <c r="H447" s="11" t="str">
        <f>IFERROR(__xludf.DUMMYFUNCTION("""COMPUTED_VALUE"""),"Cometly")</f>
        <v>Cometly</v>
      </c>
      <c r="I447" s="11">
        <f>IFERROR(__xludf.DUMMYFUNCTION("""COMPUTED_VALUE"""),1.0)</f>
        <v>1</v>
      </c>
      <c r="J447" s="11">
        <f>IFERROR(__xludf.DUMMYFUNCTION("""COMPUTED_VALUE"""),0.0)</f>
        <v>0</v>
      </c>
      <c r="K447" s="11">
        <f>IFERROR(__xludf.DUMMYFUNCTION("""COMPUTED_VALUE"""),0.0)</f>
        <v>0</v>
      </c>
      <c r="L447" s="11"/>
    </row>
    <row r="448" ht="15.75" customHeight="1">
      <c r="A448" s="8" t="str">
        <f>IFERROR(__xludf.DUMMYFUNCTION("""COMPUTED_VALUE"""),"https://www.cometly.com/post/ai-powered-marketing-analytics-tools")</f>
        <v>https://www.cometly.com/post/ai-powered-marketing-analytics-tools</v>
      </c>
      <c r="B448" s="11" t="str">
        <f>IFERROR(__xludf.DUMMYFUNCTION("""COMPUTED_VALUE"""),"9 Best AI Powered Marketing Analytics Tools for 2026")</f>
        <v>9 Best AI Powered Marketing Analytics Tools for 2026</v>
      </c>
      <c r="C448" s="8" t="str">
        <f>IFERROR(__xludf.DUMMYFUNCTION("""COMPUTED_VALUE"""),"cometly.com")</f>
        <v>cometly.com</v>
      </c>
      <c r="D448" s="11" t="str">
        <f>IFERROR(__xludf.DUMMYFUNCTION("""COMPUTED_VALUE"""),"LISTICLE")</f>
        <v>LISTICLE</v>
      </c>
      <c r="E448" s="11" t="str">
        <f>IFERROR(__xludf.DUMMYFUNCTION("""COMPUTED_VALUE"""),"COMPETITOR")</f>
        <v>COMPETITOR</v>
      </c>
      <c r="F448" s="11" t="str">
        <f>IFERROR(__xludf.DUMMYFUNCTION("""COMPUTED_VALUE"""),"Listicle")</f>
        <v>Listicle</v>
      </c>
      <c r="G448" s="11" t="b">
        <f>IFERROR(__xludf.DUMMYFUNCTION("""COMPUTED_VALUE"""),FALSE)</f>
        <v>0</v>
      </c>
      <c r="H448" s="11" t="str">
        <f>IFERROR(__xludf.DUMMYFUNCTION("""COMPUTED_VALUE"""),"Cometly, Northbeam")</f>
        <v>Cometly, Northbeam</v>
      </c>
      <c r="I448" s="11">
        <f>IFERROR(__xludf.DUMMYFUNCTION("""COMPUTED_VALUE"""),1.0)</f>
        <v>1</v>
      </c>
      <c r="J448" s="11">
        <f>IFERROR(__xludf.DUMMYFUNCTION("""COMPUTED_VALUE"""),0.0)</f>
        <v>0</v>
      </c>
      <c r="K448" s="11">
        <f>IFERROR(__xludf.DUMMYFUNCTION("""COMPUTED_VALUE"""),1.0)</f>
        <v>1</v>
      </c>
      <c r="L448" s="11"/>
    </row>
    <row r="449" ht="15.75" customHeight="1">
      <c r="A449" s="8" t="str">
        <f>IFERROR(__xludf.DUMMYFUNCTION("""COMPUTED_VALUE"""),"https://www.cometly.com/post/marketing-attribution-companies")</f>
        <v>https://www.cometly.com/post/marketing-attribution-companies</v>
      </c>
      <c r="B449" s="11" t="str">
        <f>IFERROR(__xludf.DUMMYFUNCTION("""COMPUTED_VALUE"""),"11 Best Marketing Attribution Companies to Track ROI")</f>
        <v>11 Best Marketing Attribution Companies to Track ROI</v>
      </c>
      <c r="C449" s="8" t="str">
        <f>IFERROR(__xludf.DUMMYFUNCTION("""COMPUTED_VALUE"""),"cometly.com")</f>
        <v>cometly.com</v>
      </c>
      <c r="D449" s="11" t="str">
        <f>IFERROR(__xludf.DUMMYFUNCTION("""COMPUTED_VALUE"""),"LISTICLE")</f>
        <v>LISTICLE</v>
      </c>
      <c r="E449" s="11" t="str">
        <f>IFERROR(__xludf.DUMMYFUNCTION("""COMPUTED_VALUE"""),"COMPETITOR")</f>
        <v>COMPETITOR</v>
      </c>
      <c r="F449" s="11" t="str">
        <f>IFERROR(__xludf.DUMMYFUNCTION("""COMPUTED_VALUE"""),"Listicle")</f>
        <v>Listicle</v>
      </c>
      <c r="G449" s="11" t="b">
        <f>IFERROR(__xludf.DUMMYFUNCTION("""COMPUTED_VALUE"""),FALSE)</f>
        <v>0</v>
      </c>
      <c r="H449" s="11" t="str">
        <f>IFERROR(__xludf.DUMMYFUNCTION("""COMPUTED_VALUE"""),"Cometly, Triple Whale, Northbeam, Rockerbox, Ruler Analytics, Dreamdata")</f>
        <v>Cometly, Triple Whale, Northbeam, Rockerbox, Ruler Analytics, Dreamdata</v>
      </c>
      <c r="I449" s="11">
        <f>IFERROR(__xludf.DUMMYFUNCTION("""COMPUTED_VALUE"""),1.0)</f>
        <v>1</v>
      </c>
      <c r="J449" s="11">
        <f>IFERROR(__xludf.DUMMYFUNCTION("""COMPUTED_VALUE"""),0.0)</f>
        <v>0</v>
      </c>
      <c r="K449" s="11">
        <f>IFERROR(__xludf.DUMMYFUNCTION("""COMPUTED_VALUE"""),0.0)</f>
        <v>0</v>
      </c>
      <c r="L449" s="11"/>
    </row>
    <row r="450" ht="15.75" customHeight="1">
      <c r="A450" s="8" t="str">
        <f>IFERROR(__xludf.DUMMYFUNCTION("""COMPUTED_VALUE"""),"https://www.cometly.com/post/marketing-attribution-platform-for-agencies")</f>
        <v>https://www.cometly.com/post/marketing-attribution-platform-for-agencies</v>
      </c>
      <c r="B450" s="11" t="str">
        <f>IFERROR(__xludf.DUMMYFUNCTION("""COMPUTED_VALUE"""),"Best Marketing Attribution Platform For Agencies 2026")</f>
        <v>Best Marketing Attribution Platform For Agencies 2026</v>
      </c>
      <c r="C450" s="8" t="str">
        <f>IFERROR(__xludf.DUMMYFUNCTION("""COMPUTED_VALUE"""),"cometly.com")</f>
        <v>cometly.com</v>
      </c>
      <c r="D450" s="11" t="str">
        <f>IFERROR(__xludf.DUMMYFUNCTION("""COMPUTED_VALUE"""),"LISTICLE")</f>
        <v>LISTICLE</v>
      </c>
      <c r="E450" s="11" t="str">
        <f>IFERROR(__xludf.DUMMYFUNCTION("""COMPUTED_VALUE"""),"COMPETITOR")</f>
        <v>COMPETITOR</v>
      </c>
      <c r="F450" s="11" t="str">
        <f>IFERROR(__xludf.DUMMYFUNCTION("""COMPUTED_VALUE"""),"Listicle")</f>
        <v>Listicle</v>
      </c>
      <c r="G450" s="11" t="b">
        <f>IFERROR(__xludf.DUMMYFUNCTION("""COMPUTED_VALUE"""),FALSE)</f>
        <v>0</v>
      </c>
      <c r="H450" s="11" t="str">
        <f>IFERROR(__xludf.DUMMYFUNCTION("""COMPUTED_VALUE"""),"Cometly, Triple Whale, Rockerbox, Northbeam, Ruler Analytics")</f>
        <v>Cometly, Triple Whale, Rockerbox, Northbeam, Ruler Analytics</v>
      </c>
      <c r="I450" s="11">
        <f>IFERROR(__xludf.DUMMYFUNCTION("""COMPUTED_VALUE"""),1.0)</f>
        <v>1</v>
      </c>
      <c r="J450" s="11">
        <f>IFERROR(__xludf.DUMMYFUNCTION("""COMPUTED_VALUE"""),0.0)</f>
        <v>0</v>
      </c>
      <c r="K450" s="11">
        <f>IFERROR(__xludf.DUMMYFUNCTION("""COMPUTED_VALUE"""),1.0)</f>
        <v>1</v>
      </c>
      <c r="L450" s="11"/>
    </row>
    <row r="451" ht="15.75" customHeight="1">
      <c r="A451" s="8" t="str">
        <f>IFERROR(__xludf.DUMMYFUNCTION("""COMPUTED_VALUE"""),"https://www.cometly.com/post/media-buying-optimization-tool")</f>
        <v>https://www.cometly.com/post/media-buying-optimization-tool</v>
      </c>
      <c r="B451" s="11" t="str">
        <f>IFERROR(__xludf.DUMMYFUNCTION("""COMPUTED_VALUE"""),"Best Media Buying Optimization Tool for Ad Teams 2026")</f>
        <v>Best Media Buying Optimization Tool for Ad Teams 2026</v>
      </c>
      <c r="C451" s="8" t="str">
        <f>IFERROR(__xludf.DUMMYFUNCTION("""COMPUTED_VALUE"""),"cometly.com")</f>
        <v>cometly.com</v>
      </c>
      <c r="D451" s="11" t="str">
        <f>IFERROR(__xludf.DUMMYFUNCTION("""COMPUTED_VALUE"""),"LISTICLE")</f>
        <v>LISTICLE</v>
      </c>
      <c r="E451" s="11" t="str">
        <f>IFERROR(__xludf.DUMMYFUNCTION("""COMPUTED_VALUE"""),"COMPETITOR")</f>
        <v>COMPETITOR</v>
      </c>
      <c r="F451" s="11" t="str">
        <f>IFERROR(__xludf.DUMMYFUNCTION("""COMPUTED_VALUE"""),"Listicle")</f>
        <v>Listicle</v>
      </c>
      <c r="G451" s="11" t="b">
        <f>IFERROR(__xludf.DUMMYFUNCTION("""COMPUTED_VALUE"""),FALSE)</f>
        <v>0</v>
      </c>
      <c r="H451" s="11" t="str">
        <f>IFERROR(__xludf.DUMMYFUNCTION("""COMPUTED_VALUE"""),"Cometly, Momentum, Northbeam")</f>
        <v>Cometly, Momentum, Northbeam</v>
      </c>
      <c r="I451" s="11">
        <f>IFERROR(__xludf.DUMMYFUNCTION("""COMPUTED_VALUE"""),1.0)</f>
        <v>1</v>
      </c>
      <c r="J451" s="11">
        <f>IFERROR(__xludf.DUMMYFUNCTION("""COMPUTED_VALUE"""),0.0)</f>
        <v>0</v>
      </c>
      <c r="K451" s="11">
        <f>IFERROR(__xludf.DUMMYFUNCTION("""COMPUTED_VALUE"""),0.0)</f>
        <v>0</v>
      </c>
      <c r="L451" s="11"/>
    </row>
    <row r="452" ht="15.75" customHeight="1">
      <c r="A452" s="8" t="str">
        <f>IFERROR(__xludf.DUMMYFUNCTION("""COMPUTED_VALUE"""),"https://www.consultancy.eu/news/7008/googles-top-emea-premier-partner-digital-marketing-consultancies")</f>
        <v>https://www.consultancy.eu/news/7008/googles-top-emea-premier-partner-digital-marketing-consultancies</v>
      </c>
      <c r="B452" s="11" t="str">
        <f>IFERROR(__xludf.DUMMYFUNCTION("""COMPUTED_VALUE"""),"Google’s top EMEA premier partner digital marketing consultancies")</f>
        <v>Google’s top EMEA premier partner digital marketing consultancies</v>
      </c>
      <c r="C452" s="11" t="str">
        <f>IFERROR(__xludf.DUMMYFUNCTION("""COMPUTED_VALUE"""),"consultancy.eu")</f>
        <v>consultancy.eu</v>
      </c>
      <c r="D452" s="11" t="str">
        <f>IFERROR(__xludf.DUMMYFUNCTION("""COMPUTED_VALUE"""),"ARTICLE")</f>
        <v>ARTICLE</v>
      </c>
      <c r="E452" s="11" t="str">
        <f>IFERROR(__xludf.DUMMYFUNCTION("""COMPUTED_VALUE"""),"REFERENCE")</f>
        <v>REFERENCE</v>
      </c>
      <c r="F452" s="11" t="str">
        <f>IFERROR(__xludf.DUMMYFUNCTION("""COMPUTED_VALUE"""),"Article")</f>
        <v>Article</v>
      </c>
      <c r="G452" s="11" t="b">
        <f>IFERROR(__xludf.DUMMYFUNCTION("""COMPUTED_VALUE"""),FALSE)</f>
        <v>0</v>
      </c>
      <c r="H452" s="11" t="str">
        <f>IFERROR(__xludf.DUMMYFUNCTION("""COMPUTED_VALUE"""),"Merkle, Croud, Labelium, Making Science, iProspect, Smarketer, Jellyfish, appliedAI, Artefact")</f>
        <v>Merkle, Croud, Labelium, Making Science, iProspect, Smarketer, Jellyfish, appliedAI, Artefact</v>
      </c>
      <c r="I452" s="11">
        <f>IFERROR(__xludf.DUMMYFUNCTION("""COMPUTED_VALUE"""),1.0)</f>
        <v>1</v>
      </c>
      <c r="J452" s="11">
        <f>IFERROR(__xludf.DUMMYFUNCTION("""COMPUTED_VALUE"""),0.0)</f>
        <v>0</v>
      </c>
      <c r="K452" s="11">
        <f>IFERROR(__xludf.DUMMYFUNCTION("""COMPUTED_VALUE"""),1.0)</f>
        <v>1</v>
      </c>
      <c r="L452" s="11"/>
    </row>
    <row r="453" ht="15.75" customHeight="1">
      <c r="A453" s="8" t="str">
        <f>IFERROR(__xludf.DUMMYFUNCTION("""COMPUTED_VALUE"""),"https://coolnerdsmarketing.com/top-creative-agencies-us/")</f>
        <v>https://coolnerdsmarketing.com/top-creative-agencies-us/</v>
      </c>
      <c r="B453" s="11" t="str">
        <f>IFERROR(__xludf.DUMMYFUNCTION("""COMPUTED_VALUE"""),"Top 15 Creative Agencies in the U.S. (2026)")</f>
        <v>Top 15 Creative Agencies in the U.S. (2026)</v>
      </c>
      <c r="C453" s="8" t="str">
        <f>IFERROR(__xludf.DUMMYFUNCTION("""COMPUTED_VALUE"""),"coolnerdsmarketing.com")</f>
        <v>coolnerdsmarketing.com</v>
      </c>
      <c r="D453" s="11" t="str">
        <f>IFERROR(__xludf.DUMMYFUNCTION("""COMPUTED_VALUE"""),"LISTICLE")</f>
        <v>LISTICLE</v>
      </c>
      <c r="E453" s="11" t="str">
        <f>IFERROR(__xludf.DUMMYFUNCTION("""COMPUTED_VALUE"""),"CORPORATE")</f>
        <v>CORPORATE</v>
      </c>
      <c r="F453" s="11" t="str">
        <f>IFERROR(__xludf.DUMMYFUNCTION("""COMPUTED_VALUE"""),"Listicle")</f>
        <v>Listicle</v>
      </c>
      <c r="G453" s="11" t="b">
        <f>IFERROR(__xludf.DUMMYFUNCTION("""COMPUTED_VALUE"""),FALSE)</f>
        <v>0</v>
      </c>
      <c r="H453" s="11" t="str">
        <f>IFERROR(__xludf.DUMMYFUNCTION("""COMPUTED_VALUE"""),"Dentsu, Momentum")</f>
        <v>Dentsu, Momentum</v>
      </c>
      <c r="I453" s="11">
        <f>IFERROR(__xludf.DUMMYFUNCTION("""COMPUTED_VALUE"""),1.0)</f>
        <v>1</v>
      </c>
      <c r="J453" s="11">
        <f>IFERROR(__xludf.DUMMYFUNCTION("""COMPUTED_VALUE"""),0.0)</f>
        <v>0</v>
      </c>
      <c r="K453" s="11">
        <f>IFERROR(__xludf.DUMMYFUNCTION("""COMPUTED_VALUE"""),0.0)</f>
        <v>0</v>
      </c>
      <c r="L453" s="11"/>
    </row>
    <row r="454" ht="15.75" customHeight="1">
      <c r="A454" s="8" t="str">
        <f>IFERROR(__xludf.DUMMYFUNCTION("""COMPUTED_VALUE"""),"https://creatif.agency/the-best-web-design-agencies-in-berlin-in-2026/")</f>
        <v>https://creatif.agency/the-best-web-design-agencies-in-berlin-in-2026/</v>
      </c>
      <c r="B454" s="11" t="str">
        <f>IFERROR(__xludf.DUMMYFUNCTION("""COMPUTED_VALUE"""),"The best web design agencies in Berlin in 2026")</f>
        <v>The best web design agencies in Berlin in 2026</v>
      </c>
      <c r="C454" s="11" t="str">
        <f>IFERROR(__xludf.DUMMYFUNCTION("""COMPUTED_VALUE"""),"creatif.agency")</f>
        <v>creatif.agency</v>
      </c>
      <c r="D454" s="11" t="str">
        <f>IFERROR(__xludf.DUMMYFUNCTION("""COMPUTED_VALUE"""),"LISTICLE")</f>
        <v>LISTICLE</v>
      </c>
      <c r="E454" s="11" t="str">
        <f>IFERROR(__xludf.DUMMYFUNCTION("""COMPUTED_VALUE"""),"CORPORATE")</f>
        <v>CORPORATE</v>
      </c>
      <c r="F454" s="11" t="str">
        <f>IFERROR(__xludf.DUMMYFUNCTION("""COMPUTED_VALUE"""),"Listicle")</f>
        <v>Listicle</v>
      </c>
      <c r="G454" s="11" t="b">
        <f>IFERROR(__xludf.DUMMYFUNCTION("""COMPUTED_VALUE"""),FALSE)</f>
        <v>0</v>
      </c>
      <c r="H454" s="11" t="str">
        <f>IFERROR(__xludf.DUMMYFUNCTION("""COMPUTED_VALUE"""),"MetaDesign, DEPT")</f>
        <v>MetaDesign, DEPT</v>
      </c>
      <c r="I454" s="11">
        <f>IFERROR(__xludf.DUMMYFUNCTION("""COMPUTED_VALUE"""),1.0)</f>
        <v>1</v>
      </c>
      <c r="J454" s="11">
        <f>IFERROR(__xludf.DUMMYFUNCTION("""COMPUTED_VALUE"""),0.0)</f>
        <v>0</v>
      </c>
      <c r="K454" s="11">
        <f>IFERROR(__xludf.DUMMYFUNCTION("""COMPUTED_VALUE"""),3.0)</f>
        <v>3</v>
      </c>
      <c r="L454" s="11"/>
    </row>
    <row r="455" ht="15.75" customHeight="1">
      <c r="A455" s="8" t="str">
        <f>IFERROR(__xludf.DUMMYFUNCTION("""COMPUTED_VALUE"""),"https://www.darkroomagency.com/observatory/best-performance-marketing-agencies-in-2026")</f>
        <v>https://www.darkroomagency.com/observatory/best-performance-marketing-agencies-in-2026</v>
      </c>
      <c r="B455" s="11" t="str">
        <f>IFERROR(__xludf.DUMMYFUNCTION("""COMPUTED_VALUE"""),"Best Performance Marketing Agencies for Ecommerce in 2026")</f>
        <v>Best Performance Marketing Agencies for Ecommerce in 2026</v>
      </c>
      <c r="C455" s="8" t="str">
        <f>IFERROR(__xludf.DUMMYFUNCTION("""COMPUTED_VALUE"""),"darkroomagency.com")</f>
        <v>darkroomagency.com</v>
      </c>
      <c r="D455" s="11" t="str">
        <f>IFERROR(__xludf.DUMMYFUNCTION("""COMPUTED_VALUE"""),"LISTICLE")</f>
        <v>LISTICLE</v>
      </c>
      <c r="E455" s="11" t="str">
        <f>IFERROR(__xludf.DUMMYFUNCTION("""COMPUTED_VALUE"""),"COMPETITOR")</f>
        <v>COMPETITOR</v>
      </c>
      <c r="F455" s="11" t="str">
        <f>IFERROR(__xludf.DUMMYFUNCTION("""COMPUTED_VALUE"""),"Listicle")</f>
        <v>Listicle</v>
      </c>
      <c r="G455" s="11" t="b">
        <f>IFERROR(__xludf.DUMMYFUNCTION("""COMPUTED_VALUE"""),FALSE)</f>
        <v>0</v>
      </c>
      <c r="H455" s="11" t="str">
        <f>IFERROR(__xludf.DUMMYFUNCTION("""COMPUTED_VALUE"""),"Darkroom, Tinuiti, Wpromote, Power Digital, Common Thread Collective, Disruptive Advertising, WebFX, Measured, Pilot")</f>
        <v>Darkroom, Tinuiti, Wpromote, Power Digital, Common Thread Collective, Disruptive Advertising, WebFX, Measured, Pilot</v>
      </c>
      <c r="I455" s="11">
        <f>IFERROR(__xludf.DUMMYFUNCTION("""COMPUTED_VALUE"""),1.0)</f>
        <v>1</v>
      </c>
      <c r="J455" s="11">
        <f>IFERROR(__xludf.DUMMYFUNCTION("""COMPUTED_VALUE"""),0.0)</f>
        <v>0</v>
      </c>
      <c r="K455" s="11">
        <f>IFERROR(__xludf.DUMMYFUNCTION("""COMPUTED_VALUE"""),1.0)</f>
        <v>1</v>
      </c>
      <c r="L455" s="11"/>
    </row>
    <row r="456" ht="15.75" customHeight="1">
      <c r="A456" s="8" t="str">
        <f>IFERROR(__xludf.DUMMYFUNCTION("""COMPUTED_VALUE"""),"https://www.dataally.ai/blog/top-paid-media-agencies")</f>
        <v>https://www.dataally.ai/blog/top-paid-media-agencies</v>
      </c>
      <c r="B456" s="11" t="str">
        <f>IFERROR(__xludf.DUMMYFUNCTION("""COMPUTED_VALUE"""),"Top 15 Paid Media Agencies in 2026")</f>
        <v>Top 15 Paid Media Agencies in 2026</v>
      </c>
      <c r="C456" s="8" t="str">
        <f>IFERROR(__xludf.DUMMYFUNCTION("""COMPUTED_VALUE"""),"dataally.ai")</f>
        <v>dataally.ai</v>
      </c>
      <c r="D456" s="11" t="str">
        <f>IFERROR(__xludf.DUMMYFUNCTION("""COMPUTED_VALUE"""),"LISTICLE")</f>
        <v>LISTICLE</v>
      </c>
      <c r="E456" s="11" t="str">
        <f>IFERROR(__xludf.DUMMYFUNCTION("""COMPUTED_VALUE"""),"CORPORATE")</f>
        <v>CORPORATE</v>
      </c>
      <c r="F456" s="11" t="str">
        <f>IFERROR(__xludf.DUMMYFUNCTION("""COMPUTED_VALUE"""),"Listicle")</f>
        <v>Listicle</v>
      </c>
      <c r="G456" s="11" t="b">
        <f>IFERROR(__xludf.DUMMYFUNCTION("""COMPUTED_VALUE"""),FALSE)</f>
        <v>0</v>
      </c>
      <c r="H456" s="11" t="str">
        <f>IFERROR(__xludf.DUMMYFUNCTION("""COMPUTED_VALUE"""),"inBeat, Darkroom, KlientBoost, Disruptive Advertising, WebFX, Pilot")</f>
        <v>inBeat, Darkroom, KlientBoost, Disruptive Advertising, WebFX, Pilot</v>
      </c>
      <c r="I456" s="11">
        <f>IFERROR(__xludf.DUMMYFUNCTION("""COMPUTED_VALUE"""),1.0)</f>
        <v>1</v>
      </c>
      <c r="J456" s="11">
        <f>IFERROR(__xludf.DUMMYFUNCTION("""COMPUTED_VALUE"""),0.0)</f>
        <v>0</v>
      </c>
      <c r="K456" s="11">
        <f>IFERROR(__xludf.DUMMYFUNCTION("""COMPUTED_VALUE"""),0.0)</f>
        <v>0</v>
      </c>
      <c r="L456" s="11"/>
    </row>
    <row r="457" ht="15.75" customHeight="1">
      <c r="A457" s="8" t="str">
        <f>IFERROR(__xludf.DUMMYFUNCTION("""COMPUTED_VALUE"""),"https://dejanmarketing.com/best-ai-seo-agencies/")</f>
        <v>https://dejanmarketing.com/best-ai-seo-agencies/</v>
      </c>
      <c r="B457" s="11" t="str">
        <f>IFERROR(__xludf.DUMMYFUNCTION("""COMPUTED_VALUE"""),"Best AI SEO agencies to watch out for in 2026")</f>
        <v>Best AI SEO agencies to watch out for in 2026</v>
      </c>
      <c r="C457" s="8" t="str">
        <f>IFERROR(__xludf.DUMMYFUNCTION("""COMPUTED_VALUE"""),"dejanmarketing.com")</f>
        <v>dejanmarketing.com</v>
      </c>
      <c r="D457" s="11" t="str">
        <f>IFERROR(__xludf.DUMMYFUNCTION("""COMPUTED_VALUE"""),"LISTICLE")</f>
        <v>LISTICLE</v>
      </c>
      <c r="E457" s="11" t="str">
        <f>IFERROR(__xludf.DUMMYFUNCTION("""COMPUTED_VALUE"""),"CORPORATE")</f>
        <v>CORPORATE</v>
      </c>
      <c r="F457" s="11" t="str">
        <f>IFERROR(__xludf.DUMMYFUNCTION("""COMPUTED_VALUE"""),"Listicle")</f>
        <v>Listicle</v>
      </c>
      <c r="G457" s="11" t="b">
        <f>IFERROR(__xludf.DUMMYFUNCTION("""COMPUTED_VALUE"""),FALSE)</f>
        <v>0</v>
      </c>
      <c r="H457" s="11" t="str">
        <f>IFERROR(__xludf.DUMMYFUNCTION("""COMPUTED_VALUE"""),"Kosch Klink Performance, iPullRank, Huge, Aufgesang, appliedAI")</f>
        <v>Kosch Klink Performance, iPullRank, Huge, Aufgesang, appliedAI</v>
      </c>
      <c r="I457" s="11">
        <f>IFERROR(__xludf.DUMMYFUNCTION("""COMPUTED_VALUE"""),1.0)</f>
        <v>1</v>
      </c>
      <c r="J457" s="11">
        <f>IFERROR(__xludf.DUMMYFUNCTION("""COMPUTED_VALUE"""),0.0)</f>
        <v>0</v>
      </c>
      <c r="K457" s="11">
        <f>IFERROR(__xludf.DUMMYFUNCTION("""COMPUTED_VALUE"""),1.0)</f>
        <v>1</v>
      </c>
      <c r="L457" s="11"/>
    </row>
    <row r="458" ht="15.75" customHeight="1">
      <c r="A458" s="8" t="str">
        <f>IFERROR(__xludf.DUMMYFUNCTION("""COMPUTED_VALUE"""),"https://www.designrush.com/agency/digital-marketing/analytics")</f>
        <v>https://www.designrush.com/agency/digital-marketing/analytics</v>
      </c>
      <c r="B458" s="11" t="str">
        <f>IFERROR(__xludf.DUMMYFUNCTION("""COMPUTED_VALUE"""),"Top Marketing Analytics Agencies in 2026")</f>
        <v>Top Marketing Analytics Agencies in 2026</v>
      </c>
      <c r="C458" s="8" t="str">
        <f>IFERROR(__xludf.DUMMYFUNCTION("""COMPUTED_VALUE"""),"designrush.com")</f>
        <v>designrush.com</v>
      </c>
      <c r="D458" s="11" t="str">
        <f>IFERROR(__xludf.DUMMYFUNCTION("""COMPUTED_VALUE"""),"CATEGORY_PAGE")</f>
        <v>CATEGORY_PAGE</v>
      </c>
      <c r="E458" s="11" t="str">
        <f>IFERROR(__xludf.DUMMYFUNCTION("""COMPUTED_VALUE"""),"CORPORATE")</f>
        <v>CORPORATE</v>
      </c>
      <c r="F458" s="11" t="str">
        <f>IFERROR(__xludf.DUMMYFUNCTION("""COMPUTED_VALUE"""),"Category Page")</f>
        <v>Category Page</v>
      </c>
      <c r="G458" s="11" t="b">
        <f>IFERROR(__xludf.DUMMYFUNCTION("""COMPUTED_VALUE"""),FALSE)</f>
        <v>0</v>
      </c>
      <c r="H458" s="11" t="str">
        <f>IFERROR(__xludf.DUMMYFUNCTION("""COMPUTED_VALUE"""),"SmartSites, Huge, KlientBoost, Monks, Ruler Analytics")</f>
        <v>SmartSites, Huge, KlientBoost, Monks, Ruler Analytics</v>
      </c>
      <c r="I458" s="11">
        <f>IFERROR(__xludf.DUMMYFUNCTION("""COMPUTED_VALUE"""),1.0)</f>
        <v>1</v>
      </c>
      <c r="J458" s="11">
        <f>IFERROR(__xludf.DUMMYFUNCTION("""COMPUTED_VALUE"""),0.0)</f>
        <v>0</v>
      </c>
      <c r="K458" s="11">
        <f>IFERROR(__xludf.DUMMYFUNCTION("""COMPUTED_VALUE"""),0.0)</f>
        <v>0</v>
      </c>
      <c r="L458" s="11"/>
    </row>
    <row r="459" ht="15.75" customHeight="1">
      <c r="A459" s="8" t="str">
        <f>IFERROR(__xludf.DUMMYFUNCTION("""COMPUTED_VALUE"""),"https://www.designrush.com/agency/digital-marketing/performance-marketing-agencies")</f>
        <v>https://www.designrush.com/agency/digital-marketing/performance-marketing-agencies</v>
      </c>
      <c r="B459" s="11" t="str">
        <f>IFERROR(__xludf.DUMMYFUNCTION("""COMPUTED_VALUE"""),"Top Performance Marketing Agencies in 2026")</f>
        <v>Top Performance Marketing Agencies in 2026</v>
      </c>
      <c r="C459" s="8" t="str">
        <f>IFERROR(__xludf.DUMMYFUNCTION("""COMPUTED_VALUE"""),"designrush.com")</f>
        <v>designrush.com</v>
      </c>
      <c r="D459" s="11" t="str">
        <f>IFERROR(__xludf.DUMMYFUNCTION("""COMPUTED_VALUE"""),"LISTICLE")</f>
        <v>LISTICLE</v>
      </c>
      <c r="E459" s="11" t="str">
        <f>IFERROR(__xludf.DUMMYFUNCTION("""COMPUTED_VALUE"""),"CORPORATE")</f>
        <v>CORPORATE</v>
      </c>
      <c r="F459" s="11" t="str">
        <f>IFERROR(__xludf.DUMMYFUNCTION("""COMPUTED_VALUE"""),"Listicle")</f>
        <v>Listicle</v>
      </c>
      <c r="G459" s="11" t="b">
        <f>IFERROR(__xludf.DUMMYFUNCTION("""COMPUTED_VALUE"""),FALSE)</f>
        <v>0</v>
      </c>
      <c r="H459" s="11" t="str">
        <f>IFERROR(__xludf.DUMMYFUNCTION("""COMPUTED_VALUE"""),"Wpromote, NoGood, Power Digital, Huge, SmartSites, Disruptive Advertising, PwC, REPLUG, KlientBoost, DEPT")</f>
        <v>Wpromote, NoGood, Power Digital, Huge, SmartSites, Disruptive Advertising, PwC, REPLUG, KlientBoost, DEPT</v>
      </c>
      <c r="I459" s="11">
        <f>IFERROR(__xludf.DUMMYFUNCTION("""COMPUTED_VALUE"""),1.0)</f>
        <v>1</v>
      </c>
      <c r="J459" s="11">
        <f>IFERROR(__xludf.DUMMYFUNCTION("""COMPUTED_VALUE"""),0.0)</f>
        <v>0</v>
      </c>
      <c r="K459" s="11">
        <f>IFERROR(__xludf.DUMMYFUNCTION("""COMPUTED_VALUE"""),0.0)</f>
        <v>0</v>
      </c>
      <c r="L459" s="11"/>
    </row>
    <row r="460" ht="15.75" customHeight="1">
      <c r="A460" s="8" t="str">
        <f>IFERROR(__xludf.DUMMYFUNCTION("""COMPUTED_VALUE"""),"https://digitalagencynetwork.com/agencies/berlin/social-media-marketing/")</f>
        <v>https://digitalagencynetwork.com/agencies/berlin/social-media-marketing/</v>
      </c>
      <c r="B460" s="11" t="str">
        <f>IFERROR(__xludf.DUMMYFUNCTION("""COMPUTED_VALUE"""),"Best Social Media Marketing Agencies in Berlin | Digital Agency Network")</f>
        <v>Best Social Media Marketing Agencies in Berlin | Digital Agency Network</v>
      </c>
      <c r="C460" s="8" t="str">
        <f>IFERROR(__xludf.DUMMYFUNCTION("""COMPUTED_VALUE"""),"digitalagencynetwork.com")</f>
        <v>digitalagencynetwork.com</v>
      </c>
      <c r="D460" s="11" t="str">
        <f>IFERROR(__xludf.DUMMYFUNCTION("""COMPUTED_VALUE"""),"CATEGORY_PAGE")</f>
        <v>CATEGORY_PAGE</v>
      </c>
      <c r="E460" s="11" t="str">
        <f>IFERROR(__xludf.DUMMYFUNCTION("""COMPUTED_VALUE"""),"REFERENCE")</f>
        <v>REFERENCE</v>
      </c>
      <c r="F460" s="11" t="str">
        <f>IFERROR(__xludf.DUMMYFUNCTION("""COMPUTED_VALUE"""),"Category Page")</f>
        <v>Category Page</v>
      </c>
      <c r="G460" s="11" t="b">
        <f>IFERROR(__xludf.DUMMYFUNCTION("""COMPUTED_VALUE"""),FALSE)</f>
        <v>0</v>
      </c>
      <c r="H460" s="11" t="str">
        <f>IFERROR(__xludf.DUMMYFUNCTION("""COMPUTED_VALUE"""),"MONSOON, Momentum, Measured, PANORAMA3000, HY.AM STUDIOS")</f>
        <v>MONSOON, Momentum, Measured, PANORAMA3000, HY.AM STUDIOS</v>
      </c>
      <c r="I460" s="11">
        <f>IFERROR(__xludf.DUMMYFUNCTION("""COMPUTED_VALUE"""),1.0)</f>
        <v>1</v>
      </c>
      <c r="J460" s="11">
        <f>IFERROR(__xludf.DUMMYFUNCTION("""COMPUTED_VALUE"""),0.0)</f>
        <v>0</v>
      </c>
      <c r="K460" s="11">
        <f>IFERROR(__xludf.DUMMYFUNCTION("""COMPUTED_VALUE"""),1.0)</f>
        <v>1</v>
      </c>
      <c r="L460" s="11"/>
    </row>
    <row r="461" ht="15.75" customHeight="1">
      <c r="A461" s="8" t="str">
        <f>IFERROR(__xludf.DUMMYFUNCTION("""COMPUTED_VALUE"""),"https://digitalagencynetwork.com/agencies/europe/ai-marketing/")</f>
        <v>https://digitalagencynetwork.com/agencies/europe/ai-marketing/</v>
      </c>
      <c r="B461" s="11" t="str">
        <f>IFERROR(__xludf.DUMMYFUNCTION("""COMPUTED_VALUE"""),"Top AI Marketing Agencies in Europe (2026)")</f>
        <v>Top AI Marketing Agencies in Europe (2026)</v>
      </c>
      <c r="C461" s="8" t="str">
        <f>IFERROR(__xludf.DUMMYFUNCTION("""COMPUTED_VALUE"""),"digitalagencynetwork.com")</f>
        <v>digitalagencynetwork.com</v>
      </c>
      <c r="D461" s="11" t="str">
        <f>IFERROR(__xludf.DUMMYFUNCTION("""COMPUTED_VALUE"""),"CATEGORY_PAGE")</f>
        <v>CATEGORY_PAGE</v>
      </c>
      <c r="E461" s="11" t="str">
        <f>IFERROR(__xludf.DUMMYFUNCTION("""COMPUTED_VALUE"""),"REFERENCE")</f>
        <v>REFERENCE</v>
      </c>
      <c r="F461" s="11" t="str">
        <f>IFERROR(__xludf.DUMMYFUNCTION("""COMPUTED_VALUE"""),"Category Page")</f>
        <v>Category Page</v>
      </c>
      <c r="G461" s="11" t="b">
        <f>IFERROR(__xludf.DUMMYFUNCTION("""COMPUTED_VALUE"""),FALSE)</f>
        <v>0</v>
      </c>
      <c r="H461" s="11" t="str">
        <f>IFERROR(__xludf.DUMMYFUNCTION("""COMPUTED_VALUE"""),"AKQA, Haus, DEPT")</f>
        <v>AKQA, Haus, DEPT</v>
      </c>
      <c r="I461" s="11">
        <f>IFERROR(__xludf.DUMMYFUNCTION("""COMPUTED_VALUE"""),1.0)</f>
        <v>1</v>
      </c>
      <c r="J461" s="11">
        <f>IFERROR(__xludf.DUMMYFUNCTION("""COMPUTED_VALUE"""),0.0)</f>
        <v>0</v>
      </c>
      <c r="K461" s="11">
        <f>IFERROR(__xludf.DUMMYFUNCTION("""COMPUTED_VALUE"""),1.0)</f>
        <v>1</v>
      </c>
      <c r="L461" s="11"/>
    </row>
    <row r="462" ht="15.75" customHeight="1">
      <c r="A462" s="8" t="str">
        <f>IFERROR(__xludf.DUMMYFUNCTION("""COMPUTED_VALUE"""),"https://digitalagencynetwork.com/agencies/europe/geo/")</f>
        <v>https://digitalagencynetwork.com/agencies/europe/geo/</v>
      </c>
      <c r="B462" s="11" t="str">
        <f>IFERROR(__xludf.DUMMYFUNCTION("""COMPUTED_VALUE"""),"Top GEO Agencies in Europe for Generative Engine Optimization (2026)")</f>
        <v>Top GEO Agencies in Europe for Generative Engine Optimization (2026)</v>
      </c>
      <c r="C462" s="8" t="str">
        <f>IFERROR(__xludf.DUMMYFUNCTION("""COMPUTED_VALUE"""),"digitalagencynetwork.com")</f>
        <v>digitalagencynetwork.com</v>
      </c>
      <c r="D462" s="11" t="str">
        <f>IFERROR(__xludf.DUMMYFUNCTION("""COMPUTED_VALUE"""),"PROFILE")</f>
        <v>PROFILE</v>
      </c>
      <c r="E462" s="11" t="str">
        <f>IFERROR(__xludf.DUMMYFUNCTION("""COMPUTED_VALUE"""),"REFERENCE")</f>
        <v>REFERENCE</v>
      </c>
      <c r="F462" s="11" t="str">
        <f>IFERROR(__xludf.DUMMYFUNCTION("""COMPUTED_VALUE"""),"Profile")</f>
        <v>Profile</v>
      </c>
      <c r="G462" s="11" t="b">
        <f>IFERROR(__xludf.DUMMYFUNCTION("""COMPUTED_VALUE"""),FALSE)</f>
        <v>0</v>
      </c>
      <c r="H462" s="11" t="str">
        <f>IFERROR(__xludf.DUMMYFUNCTION("""COMPUTED_VALUE"""),"AKQA, Capgemini")</f>
        <v>AKQA, Capgemini</v>
      </c>
      <c r="I462" s="11">
        <f>IFERROR(__xludf.DUMMYFUNCTION("""COMPUTED_VALUE"""),1.0)</f>
        <v>1</v>
      </c>
      <c r="J462" s="11">
        <f>IFERROR(__xludf.DUMMYFUNCTION("""COMPUTED_VALUE"""),0.0)</f>
        <v>0</v>
      </c>
      <c r="K462" s="11">
        <f>IFERROR(__xludf.DUMMYFUNCTION("""COMPUTED_VALUE"""),0.0)</f>
        <v>0</v>
      </c>
      <c r="L462" s="11"/>
    </row>
    <row r="463" ht="15.75" customHeight="1">
      <c r="A463" s="8" t="str">
        <f>IFERROR(__xludf.DUMMYFUNCTION("""COMPUTED_VALUE"""),"https://digitalmarketingsupermarket.com/blog/best-ai-marketing-agencies/")</f>
        <v>https://digitalmarketingsupermarket.com/blog/best-ai-marketing-agencies/</v>
      </c>
      <c r="B463"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463" s="8" t="str">
        <f>IFERROR(__xludf.DUMMYFUNCTION("""COMPUTED_VALUE"""),"digitalmarketingsupermarket.com")</f>
        <v>digitalmarketingsupermarket.com</v>
      </c>
      <c r="D463" s="11" t="str">
        <f>IFERROR(__xludf.DUMMYFUNCTION("""COMPUTED_VALUE"""),"LISTICLE")</f>
        <v>LISTICLE</v>
      </c>
      <c r="E463" s="11" t="str">
        <f>IFERROR(__xludf.DUMMYFUNCTION("""COMPUTED_VALUE"""),"REFERENCE")</f>
        <v>REFERENCE</v>
      </c>
      <c r="F463" s="11" t="str">
        <f>IFERROR(__xludf.DUMMYFUNCTION("""COMPUTED_VALUE"""),"Listicle")</f>
        <v>Listicle</v>
      </c>
      <c r="G463" s="11" t="b">
        <f>IFERROR(__xludf.DUMMYFUNCTION("""COMPUTED_VALUE"""),FALSE)</f>
        <v>0</v>
      </c>
      <c r="H463" s="11" t="str">
        <f>IFERROR(__xludf.DUMMYFUNCTION("""COMPUTED_VALUE"""),"SmartSites, Superside, Single Grain, DEPT, Pilot, NoGood")</f>
        <v>SmartSites, Superside, Single Grain, DEPT, Pilot, NoGood</v>
      </c>
      <c r="I463" s="11">
        <f>IFERROR(__xludf.DUMMYFUNCTION("""COMPUTED_VALUE"""),1.0)</f>
        <v>1</v>
      </c>
      <c r="J463" s="11">
        <f>IFERROR(__xludf.DUMMYFUNCTION("""COMPUTED_VALUE"""),0.0)</f>
        <v>0</v>
      </c>
      <c r="K463" s="11">
        <f>IFERROR(__xludf.DUMMYFUNCTION("""COMPUTED_VALUE"""),0.0)</f>
        <v>0</v>
      </c>
      <c r="L463" s="11"/>
    </row>
    <row r="464" ht="15.75" customHeight="1">
      <c r="A464" s="8" t="str">
        <f>IFERROR(__xludf.DUMMYFUNCTION("""COMPUTED_VALUE"""),"https://directiveconsulting.com/blog/25-best-paid-media-agencies-that-turn-ad-spend-into-revenue/")</f>
        <v>https://directiveconsulting.com/blog/25-best-paid-media-agencies-that-turn-ad-spend-into-revenue/</v>
      </c>
      <c r="B464" s="11" t="str">
        <f>IFERROR(__xludf.DUMMYFUNCTION("""COMPUTED_VALUE"""),"25 Best Paid Media Agencies For B2B - Directive")</f>
        <v>25 Best Paid Media Agencies For B2B - Directive</v>
      </c>
      <c r="C464" s="8" t="str">
        <f>IFERROR(__xludf.DUMMYFUNCTION("""COMPUTED_VALUE"""),"directiveconsulting.com")</f>
        <v>directiveconsulting.com</v>
      </c>
      <c r="D464" s="11" t="str">
        <f>IFERROR(__xludf.DUMMYFUNCTION("""COMPUTED_VALUE"""),"LISTICLE")</f>
        <v>LISTICLE</v>
      </c>
      <c r="E464" s="11" t="str">
        <f>IFERROR(__xludf.DUMMYFUNCTION("""COMPUTED_VALUE"""),"COMPETITOR")</f>
        <v>COMPETITOR</v>
      </c>
      <c r="F464" s="11" t="str">
        <f>IFERROR(__xludf.DUMMYFUNCTION("""COMPUTED_VALUE"""),"Listicle")</f>
        <v>Listicle</v>
      </c>
      <c r="G464" s="11" t="b">
        <f>IFERROR(__xludf.DUMMYFUNCTION("""COMPUTED_VALUE"""),FALSE)</f>
        <v>0</v>
      </c>
      <c r="H464" s="11" t="str">
        <f>IFERROR(__xludf.DUMMYFUNCTION("""COMPUTED_VALUE"""),"Directive Consulting, Jellyfish, Brainlabs, DEPT, Wpromote, Merkle, WebFX, KlientBoost, Disruptive Advertising, Dentsu")</f>
        <v>Directive Consulting, Jellyfish, Brainlabs, DEPT, Wpromote, Merkle, WebFX, KlientBoost, Disruptive Advertising, Dentsu</v>
      </c>
      <c r="I464" s="11">
        <f>IFERROR(__xludf.DUMMYFUNCTION("""COMPUTED_VALUE"""),1.0)</f>
        <v>1</v>
      </c>
      <c r="J464" s="11">
        <f>IFERROR(__xludf.DUMMYFUNCTION("""COMPUTED_VALUE"""),0.0)</f>
        <v>0</v>
      </c>
      <c r="K464" s="11">
        <f>IFERROR(__xludf.DUMMYFUNCTION("""COMPUTED_VALUE"""),0.0)</f>
        <v>0</v>
      </c>
      <c r="L464" s="11"/>
    </row>
    <row r="465" ht="15.75" customHeight="1">
      <c r="A465" s="8" t="str">
        <f>IFERROR(__xludf.DUMMYFUNCTION("""COMPUTED_VALUE"""),"https://directiveconsulting.com/blog/best-marketing-data-agency/")</f>
        <v>https://directiveconsulting.com/blog/best-marketing-data-agency/</v>
      </c>
      <c r="B465" s="11" t="str">
        <f>IFERROR(__xludf.DUMMYFUNCTION("""COMPUTED_VALUE"""),"18 Best Marketing Data Agencies for B2B - Directive")</f>
        <v>18 Best Marketing Data Agencies for B2B - Directive</v>
      </c>
      <c r="C465" s="8" t="str">
        <f>IFERROR(__xludf.DUMMYFUNCTION("""COMPUTED_VALUE"""),"directiveconsulting.com")</f>
        <v>directiveconsulting.com</v>
      </c>
      <c r="D465" s="11" t="str">
        <f>IFERROR(__xludf.DUMMYFUNCTION("""COMPUTED_VALUE"""),"LISTICLE")</f>
        <v>LISTICLE</v>
      </c>
      <c r="E465" s="11" t="str">
        <f>IFERROR(__xludf.DUMMYFUNCTION("""COMPUTED_VALUE"""),"COMPETITOR")</f>
        <v>COMPETITOR</v>
      </c>
      <c r="F465" s="11" t="str">
        <f>IFERROR(__xludf.DUMMYFUNCTION("""COMPUTED_VALUE"""),"Listicle")</f>
        <v>Listicle</v>
      </c>
      <c r="G465" s="11" t="b">
        <f>IFERROR(__xludf.DUMMYFUNCTION("""COMPUTED_VALUE"""),FALSE)</f>
        <v>0</v>
      </c>
      <c r="H465" s="11" t="str">
        <f>IFERROR(__xludf.DUMMYFUNCTION("""COMPUTED_VALUE"""),"Directive Consulting, KlientBoost, Brainlabs, Power Digital, Measured")</f>
        <v>Directive Consulting, KlientBoost, Brainlabs, Power Digital, Measured</v>
      </c>
      <c r="I465" s="11">
        <f>IFERROR(__xludf.DUMMYFUNCTION("""COMPUTED_VALUE"""),1.0)</f>
        <v>1</v>
      </c>
      <c r="J465" s="11">
        <f>IFERROR(__xludf.DUMMYFUNCTION("""COMPUTED_VALUE"""),0.0)</f>
        <v>0</v>
      </c>
      <c r="K465" s="11">
        <f>IFERROR(__xludf.DUMMYFUNCTION("""COMPUTED_VALUE"""),1.0)</f>
        <v>1</v>
      </c>
      <c r="L465" s="11"/>
    </row>
    <row r="466" ht="15.75" customHeight="1">
      <c r="A466" s="8" t="str">
        <f>IFERROR(__xludf.DUMMYFUNCTION("""COMPUTED_VALUE"""),"https://directiveconsulting.com/blog/creative-strategy-agency/")</f>
        <v>https://directiveconsulting.com/blog/creative-strategy-agency/</v>
      </c>
      <c r="B466" s="11" t="str">
        <f>IFERROR(__xludf.DUMMYFUNCTION("""COMPUTED_VALUE"""),"17 Best Creative Strategy Agencies For B2B - Directive")</f>
        <v>17 Best Creative Strategy Agencies For B2B - Directive</v>
      </c>
      <c r="C466" s="8" t="str">
        <f>IFERROR(__xludf.DUMMYFUNCTION("""COMPUTED_VALUE"""),"directiveconsulting.com")</f>
        <v>directiveconsulting.com</v>
      </c>
      <c r="D466" s="11" t="str">
        <f>IFERROR(__xludf.DUMMYFUNCTION("""COMPUTED_VALUE"""),"ARTICLE")</f>
        <v>ARTICLE</v>
      </c>
      <c r="E466" s="11" t="str">
        <f>IFERROR(__xludf.DUMMYFUNCTION("""COMPUTED_VALUE"""),"COMPETITOR")</f>
        <v>COMPETITOR</v>
      </c>
      <c r="F466" s="11" t="str">
        <f>IFERROR(__xludf.DUMMYFUNCTION("""COMPUTED_VALUE"""),"Article")</f>
        <v>Article</v>
      </c>
      <c r="G466" s="11" t="b">
        <f>IFERROR(__xludf.DUMMYFUNCTION("""COMPUTED_VALUE"""),FALSE)</f>
        <v>0</v>
      </c>
      <c r="H466" s="11" t="str">
        <f>IFERROR(__xludf.DUMMYFUNCTION("""COMPUTED_VALUE"""),"Directive Consulting, Merkle, Dentsu, Momentum, Measured")</f>
        <v>Directive Consulting, Merkle, Dentsu, Momentum, Measured</v>
      </c>
      <c r="I466" s="11">
        <f>IFERROR(__xludf.DUMMYFUNCTION("""COMPUTED_VALUE"""),1.0)</f>
        <v>1</v>
      </c>
      <c r="J466" s="11">
        <f>IFERROR(__xludf.DUMMYFUNCTION("""COMPUTED_VALUE"""),0.0)</f>
        <v>0</v>
      </c>
      <c r="K466" s="11">
        <f>IFERROR(__xludf.DUMMYFUNCTION("""COMPUTED_VALUE"""),1.0)</f>
        <v>1</v>
      </c>
      <c r="L466" s="11"/>
    </row>
    <row r="467" ht="15.75" customHeight="1">
      <c r="A467" s="8" t="str">
        <f>IFERROR(__xludf.DUMMYFUNCTION("""COMPUTED_VALUE"""),"https://directiveconsulting.com/uk/blog/25-best-advertising-agencies-built-for-media-momentum/")</f>
        <v>https://directiveconsulting.com/uk/blog/25-best-advertising-agencies-built-for-media-momentum/</v>
      </c>
      <c r="B467" s="11" t="str">
        <f>IFERROR(__xludf.DUMMYFUNCTION("""COMPUTED_VALUE"""),"25 Best Advertising Agencies For B2B - Directive")</f>
        <v>25 Best Advertising Agencies For B2B - Directive</v>
      </c>
      <c r="C467" s="8" t="str">
        <f>IFERROR(__xludf.DUMMYFUNCTION("""COMPUTED_VALUE"""),"directiveconsulting.com")</f>
        <v>directiveconsulting.com</v>
      </c>
      <c r="D467" s="11" t="str">
        <f>IFERROR(__xludf.DUMMYFUNCTION("""COMPUTED_VALUE"""),"LISTICLE")</f>
        <v>LISTICLE</v>
      </c>
      <c r="E467" s="11" t="str">
        <f>IFERROR(__xludf.DUMMYFUNCTION("""COMPUTED_VALUE"""),"COMPETITOR")</f>
        <v>COMPETITOR</v>
      </c>
      <c r="F467" s="11" t="str">
        <f>IFERROR(__xludf.DUMMYFUNCTION("""COMPUTED_VALUE"""),"Listicle")</f>
        <v>Listicle</v>
      </c>
      <c r="G467" s="11" t="b">
        <f>IFERROR(__xludf.DUMMYFUNCTION("""COMPUTED_VALUE"""),FALSE)</f>
        <v>0</v>
      </c>
      <c r="H467"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467" s="11">
        <f>IFERROR(__xludf.DUMMYFUNCTION("""COMPUTED_VALUE"""),1.0)</f>
        <v>1</v>
      </c>
      <c r="J467" s="11">
        <f>IFERROR(__xludf.DUMMYFUNCTION("""COMPUTED_VALUE"""),0.0)</f>
        <v>0</v>
      </c>
      <c r="K467" s="11">
        <f>IFERROR(__xludf.DUMMYFUNCTION("""COMPUTED_VALUE"""),3.0)</f>
        <v>3</v>
      </c>
      <c r="L467" s="11"/>
    </row>
    <row r="468" ht="15.75" customHeight="1">
      <c r="A468" s="8" t="str">
        <f>IFERROR(__xludf.DUMMYFUNCTION("""COMPUTED_VALUE"""),"https://dwao.in/blog/best-gcp-partner")</f>
        <v>https://dwao.in/blog/best-gcp-partner</v>
      </c>
      <c r="B468" s="11" t="str">
        <f>IFERROR(__xludf.DUMMYFUNCTION("""COMPUTED_VALUE"""),"Best GCP Partner – Top Picks &amp;amp; Selection Guide | DWAO")</f>
        <v>Best GCP Partner – Top Picks &amp;amp; Selection Guide | DWAO</v>
      </c>
      <c r="C468" s="8" t="str">
        <f>IFERROR(__xludf.DUMMYFUNCTION("""COMPUTED_VALUE"""),"dwao.in")</f>
        <v>dwao.in</v>
      </c>
      <c r="D468" s="11" t="str">
        <f>IFERROR(__xludf.DUMMYFUNCTION("""COMPUTED_VALUE"""),"OTHER")</f>
        <v>OTHER</v>
      </c>
      <c r="E468" s="11" t="str">
        <f>IFERROR(__xludf.DUMMYFUNCTION("""COMPUTED_VALUE"""),"CORPORATE")</f>
        <v>CORPORATE</v>
      </c>
      <c r="F468" s="11" t="str">
        <f>IFERROR(__xludf.DUMMYFUNCTION("""COMPUTED_VALUE"""),"Other")</f>
        <v>Other</v>
      </c>
      <c r="G468" s="11" t="b">
        <f>IFERROR(__xludf.DUMMYFUNCTION("""COMPUTED_VALUE"""),FALSE)</f>
        <v>0</v>
      </c>
      <c r="H468" s="11"/>
      <c r="I468" s="11">
        <f>IFERROR(__xludf.DUMMYFUNCTION("""COMPUTED_VALUE"""),1.0)</f>
        <v>1</v>
      </c>
      <c r="J468" s="11">
        <f>IFERROR(__xludf.DUMMYFUNCTION("""COMPUTED_VALUE"""),0.0)</f>
        <v>0</v>
      </c>
      <c r="K468" s="11">
        <f>IFERROR(__xludf.DUMMYFUNCTION("""COMPUTED_VALUE"""),1.0)</f>
        <v>1</v>
      </c>
      <c r="L468" s="11"/>
    </row>
    <row r="469" ht="15.75" customHeight="1">
      <c r="A469" s="8" t="str">
        <f>IFERROR(__xludf.DUMMYFUNCTION("""COMPUTED_VALUE"""),"https://ecommercefastlane.com/best-geo-agencies-dach-region-expert-guide/")</f>
        <v>https://ecommercefastlane.com/best-geo-agencies-dach-region-expert-guide/</v>
      </c>
      <c r="B469" s="11" t="str">
        <f>IFERROR(__xludf.DUMMYFUNCTION("""COMPUTED_VALUE"""),"Best GEO Agencies In The DACH Region 2026: Expert Guide | Ecommerce Fastlane")</f>
        <v>Best GEO Agencies In The DACH Region 2026: Expert Guide | Ecommerce Fastlane</v>
      </c>
      <c r="C469" s="8" t="str">
        <f>IFERROR(__xludf.DUMMYFUNCTION("""COMPUTED_VALUE"""),"ecommercefastlane.com")</f>
        <v>ecommercefastlane.com</v>
      </c>
      <c r="D469" s="11" t="str">
        <f>IFERROR(__xludf.DUMMYFUNCTION("""COMPUTED_VALUE"""),"LISTICLE")</f>
        <v>LISTICLE</v>
      </c>
      <c r="E469" s="11" t="str">
        <f>IFERROR(__xludf.DUMMYFUNCTION("""COMPUTED_VALUE"""),"OTHER")</f>
        <v>OTHER</v>
      </c>
      <c r="F469" s="11" t="str">
        <f>IFERROR(__xludf.DUMMYFUNCTION("""COMPUTED_VALUE"""),"Listicle")</f>
        <v>Listicle</v>
      </c>
      <c r="G469" s="11" t="b">
        <f>IFERROR(__xludf.DUMMYFUNCTION("""COMPUTED_VALUE"""),FALSE)</f>
        <v>0</v>
      </c>
      <c r="H469" s="11" t="str">
        <f>IFERROR(__xludf.DUMMYFUNCTION("""COMPUTED_VALUE"""),"Claneo, Aufgesang")</f>
        <v>Claneo, Aufgesang</v>
      </c>
      <c r="I469" s="11">
        <f>IFERROR(__xludf.DUMMYFUNCTION("""COMPUTED_VALUE"""),1.0)</f>
        <v>1</v>
      </c>
      <c r="J469" s="11">
        <f>IFERROR(__xludf.DUMMYFUNCTION("""COMPUTED_VALUE"""),0.0)</f>
        <v>0</v>
      </c>
      <c r="K469" s="11">
        <f>IFERROR(__xludf.DUMMYFUNCTION("""COMPUTED_VALUE"""),3.0)</f>
        <v>3</v>
      </c>
      <c r="L469" s="11"/>
    </row>
    <row r="470" ht="15.75" customHeight="1">
      <c r="A470" s="8" t="str">
        <f>IFERROR(__xludf.DUMMYFUNCTION("""COMPUTED_VALUE"""),"https://ecommercegermany.com/blog/top-29-german-saas-companies-in-2021/")</f>
        <v>https://ecommercegermany.com/blog/top-29-german-saas-companies-in-2021/</v>
      </c>
      <c r="B470" s="11" t="str">
        <f>IFERROR(__xludf.DUMMYFUNCTION("""COMPUTED_VALUE"""),"Top 29 German SaaS Companies in 2023 - E-commerce Germany News")</f>
        <v>Top 29 German SaaS Companies in 2023 - E-commerce Germany News</v>
      </c>
      <c r="C470" s="8" t="str">
        <f>IFERROR(__xludf.DUMMYFUNCTION("""COMPUTED_VALUE"""),"ecommercegermany.com")</f>
        <v>ecommercegermany.com</v>
      </c>
      <c r="D470" s="11" t="str">
        <f>IFERROR(__xludf.DUMMYFUNCTION("""COMPUTED_VALUE"""),"LISTICLE")</f>
        <v>LISTICLE</v>
      </c>
      <c r="E470" s="11" t="str">
        <f>IFERROR(__xludf.DUMMYFUNCTION("""COMPUTED_VALUE"""),"EDITORIAL")</f>
        <v>EDITORIAL</v>
      </c>
      <c r="F470" s="11" t="str">
        <f>IFERROR(__xludf.DUMMYFUNCTION("""COMPUTED_VALUE"""),"Listicle")</f>
        <v>Listicle</v>
      </c>
      <c r="G470" s="11" t="b">
        <f>IFERROR(__xludf.DUMMYFUNCTION("""COMPUTED_VALUE"""),FALSE)</f>
        <v>0</v>
      </c>
      <c r="H470" s="11" t="str">
        <f>IFERROR(__xludf.DUMMYFUNCTION("""COMPUTED_VALUE"""),"Huge")</f>
        <v>Huge</v>
      </c>
      <c r="I470" s="11">
        <f>IFERROR(__xludf.DUMMYFUNCTION("""COMPUTED_VALUE"""),1.0)</f>
        <v>1</v>
      </c>
      <c r="J470" s="11">
        <f>IFERROR(__xludf.DUMMYFUNCTION("""COMPUTED_VALUE"""),0.0)</f>
        <v>0</v>
      </c>
      <c r="K470" s="11">
        <f>IFERROR(__xludf.DUMMYFUNCTION("""COMPUTED_VALUE"""),1.0)</f>
        <v>1</v>
      </c>
      <c r="L470" s="11"/>
    </row>
    <row r="471" ht="15.75" customHeight="1">
      <c r="A471" s="8" t="str">
        <f>IFERROR(__xludf.DUMMYFUNCTION("""COMPUTED_VALUE"""),"https://ecommercegermany.com/blog/top-ecommerce-startups-in-dach/")</f>
        <v>https://ecommercegermany.com/blog/top-ecommerce-startups-in-dach/</v>
      </c>
      <c r="B471" s="11" t="str">
        <f>IFERROR(__xludf.DUMMYFUNCTION("""COMPUTED_VALUE"""),"Top 30 E-Commerce Startups in the DACH Region - E-commerce Germany News")</f>
        <v>Top 30 E-Commerce Startups in the DACH Region - E-commerce Germany News</v>
      </c>
      <c r="C471" s="8" t="str">
        <f>IFERROR(__xludf.DUMMYFUNCTION("""COMPUTED_VALUE"""),"ecommercegermany.com")</f>
        <v>ecommercegermany.com</v>
      </c>
      <c r="D471" s="11" t="str">
        <f>IFERROR(__xludf.DUMMYFUNCTION("""COMPUTED_VALUE"""),"LISTICLE")</f>
        <v>LISTICLE</v>
      </c>
      <c r="E471" s="11" t="str">
        <f>IFERROR(__xludf.DUMMYFUNCTION("""COMPUTED_VALUE"""),"EDITORIAL")</f>
        <v>EDITORIAL</v>
      </c>
      <c r="F471" s="11" t="str">
        <f>IFERROR(__xludf.DUMMYFUNCTION("""COMPUTED_VALUE"""),"Listicle")</f>
        <v>Listicle</v>
      </c>
      <c r="G471" s="11" t="b">
        <f>IFERROR(__xludf.DUMMYFUNCTION("""COMPUTED_VALUE"""),FALSE)</f>
        <v>0</v>
      </c>
      <c r="H471" s="11" t="str">
        <f>IFERROR(__xludf.DUMMYFUNCTION("""COMPUTED_VALUE"""),"Huge")</f>
        <v>Huge</v>
      </c>
      <c r="I471" s="11">
        <f>IFERROR(__xludf.DUMMYFUNCTION("""COMPUTED_VALUE"""),1.0)</f>
        <v>1</v>
      </c>
      <c r="J471" s="11">
        <f>IFERROR(__xludf.DUMMYFUNCTION("""COMPUTED_VALUE"""),0.0)</f>
        <v>0</v>
      </c>
      <c r="K471" s="11">
        <f>IFERROR(__xludf.DUMMYFUNCTION("""COMPUTED_VALUE"""),1.0)</f>
        <v>1</v>
      </c>
      <c r="L471" s="11"/>
    </row>
    <row r="472" ht="15.75" customHeight="1">
      <c r="A472" s="8" t="str">
        <f>IFERROR(__xludf.DUMMYFUNCTION("""COMPUTED_VALUE"""),"https://elementor.com/blog/best-seo-geo-agencies/#:~:text=Agencies%20like%20Majdra%2C%20which%20provide,for%20all%20future%20search%20success.")</f>
        <v>https://elementor.com/blog/best-seo-geo-agencies/#:~:text=Agencies%20like%20Majdra%2C%20which%20provide,for%20all%20future%20search%20success.</v>
      </c>
      <c r="B472" s="11" t="str">
        <f>IFERROR(__xludf.DUMMYFUNCTION("""COMPUTED_VALUE"""),"15 Best SEO &amp;amp; GEO Agencies In 2026")</f>
        <v>15 Best SEO &amp;amp; GEO Agencies In 2026</v>
      </c>
      <c r="C472" s="8" t="str">
        <f>IFERROR(__xludf.DUMMYFUNCTION("""COMPUTED_VALUE"""),"elementor.com")</f>
        <v>elementor.com</v>
      </c>
      <c r="D472" s="11" t="str">
        <f>IFERROR(__xludf.DUMMYFUNCTION("""COMPUTED_VALUE"""),"LISTICLE")</f>
        <v>LISTICLE</v>
      </c>
      <c r="E472" s="11" t="str">
        <f>IFERROR(__xludf.DUMMYFUNCTION("""COMPUTED_VALUE"""),"CORPORATE")</f>
        <v>CORPORATE</v>
      </c>
      <c r="F472" s="11" t="str">
        <f>IFERROR(__xludf.DUMMYFUNCTION("""COMPUTED_VALUE"""),"Listicle")</f>
        <v>Listicle</v>
      </c>
      <c r="G472" s="11" t="b">
        <f>IFERROR(__xludf.DUMMYFUNCTION("""COMPUTED_VALUE"""),FALSE)</f>
        <v>0</v>
      </c>
      <c r="H472" s="11" t="str">
        <f>IFERROR(__xludf.DUMMYFUNCTION("""COMPUTED_VALUE"""),"Wpromote, Tinuiti, Hawke Media, Huge, Common Thread Collective, Momentum")</f>
        <v>Wpromote, Tinuiti, Hawke Media, Huge, Common Thread Collective, Momentum</v>
      </c>
      <c r="I472" s="11">
        <f>IFERROR(__xludf.DUMMYFUNCTION("""COMPUTED_VALUE"""),1.0)</f>
        <v>1</v>
      </c>
      <c r="J472" s="11">
        <f>IFERROR(__xludf.DUMMYFUNCTION("""COMPUTED_VALUE"""),0.0)</f>
        <v>0</v>
      </c>
      <c r="K472" s="11">
        <f>IFERROR(__xludf.DUMMYFUNCTION("""COMPUTED_VALUE"""),3.0)</f>
        <v>3</v>
      </c>
      <c r="L472" s="11"/>
    </row>
    <row r="473" ht="15.75" customHeight="1">
      <c r="A473" s="8" t="str">
        <f>IFERROR(__xludf.DUMMYFUNCTION("""COMPUTED_VALUE"""),"https://ensun.io/search/ab-testing/germany")</f>
        <v>https://ensun.io/search/ab-testing/germany</v>
      </c>
      <c r="B473" s="11" t="str">
        <f>IFERROR(__xludf.DUMMYFUNCTION("""COMPUTED_VALUE"""),"Top 100 A/B Testing Companies in Germany (2026) \| ensun")</f>
        <v>Top 100 A/B Testing Companies in Germany (2026) \| ensun</v>
      </c>
      <c r="C473" s="8" t="str">
        <f>IFERROR(__xludf.DUMMYFUNCTION("""COMPUTED_VALUE"""),"ensun.io")</f>
        <v>ensun.io</v>
      </c>
      <c r="D473" s="11" t="str">
        <f>IFERROR(__xludf.DUMMYFUNCTION("""COMPUTED_VALUE"""),"OTHER")</f>
        <v>OTHER</v>
      </c>
      <c r="E473" s="11" t="str">
        <f>IFERROR(__xludf.DUMMYFUNCTION("""COMPUTED_VALUE"""),"OTHER")</f>
        <v>OTHER</v>
      </c>
      <c r="F473" s="11" t="str">
        <f>IFERROR(__xludf.DUMMYFUNCTION("""COMPUTED_VALUE"""),"Other")</f>
        <v>Other</v>
      </c>
      <c r="G473" s="11" t="b">
        <f>IFERROR(__xludf.DUMMYFUNCTION("""COMPUTED_VALUE"""),FALSE)</f>
        <v>0</v>
      </c>
      <c r="H473" s="11"/>
      <c r="I473" s="11">
        <f>IFERROR(__xludf.DUMMYFUNCTION("""COMPUTED_VALUE"""),1.0)</f>
        <v>1</v>
      </c>
      <c r="J473" s="11">
        <f>IFERROR(__xludf.DUMMYFUNCTION("""COMPUTED_VALUE"""),0.0)</f>
        <v>0</v>
      </c>
      <c r="K473" s="11">
        <f>IFERROR(__xludf.DUMMYFUNCTION("""COMPUTED_VALUE"""),0.0)</f>
        <v>0</v>
      </c>
      <c r="L473" s="11"/>
    </row>
    <row r="474" ht="15.75" customHeight="1">
      <c r="A474" s="8" t="str">
        <f>IFERROR(__xludf.DUMMYFUNCTION("""COMPUTED_VALUE"""),"https://ensun.io/search/data-analytics/germany")</f>
        <v>https://ensun.io/search/data-analytics/germany</v>
      </c>
      <c r="B474" s="11" t="str">
        <f>IFERROR(__xludf.DUMMYFUNCTION("""COMPUTED_VALUE"""),"Top 100 Data Analytics Companies in Germany (2026) \| ensun")</f>
        <v>Top 100 Data Analytics Companies in Germany (2026) \| ensun</v>
      </c>
      <c r="C474" s="8" t="str">
        <f>IFERROR(__xludf.DUMMYFUNCTION("""COMPUTED_VALUE"""),"ensun.io")</f>
        <v>ensun.io</v>
      </c>
      <c r="D474" s="11" t="str">
        <f>IFERROR(__xludf.DUMMYFUNCTION("""COMPUTED_VALUE"""),"CATEGORY_PAGE")</f>
        <v>CATEGORY_PAGE</v>
      </c>
      <c r="E474" s="11" t="str">
        <f>IFERROR(__xludf.DUMMYFUNCTION("""COMPUTED_VALUE"""),"OTHER")</f>
        <v>OTHER</v>
      </c>
      <c r="F474" s="11" t="str">
        <f>IFERROR(__xludf.DUMMYFUNCTION("""COMPUTED_VALUE"""),"Category Page")</f>
        <v>Category Page</v>
      </c>
      <c r="G474" s="11" t="b">
        <f>IFERROR(__xludf.DUMMYFUNCTION("""COMPUTED_VALUE"""),FALSE)</f>
        <v>0</v>
      </c>
      <c r="H474" s="11" t="str">
        <f>IFERROR(__xludf.DUMMYFUNCTION("""COMPUTED_VALUE"""),"Kantar")</f>
        <v>Kantar</v>
      </c>
      <c r="I474" s="11">
        <f>IFERROR(__xludf.DUMMYFUNCTION("""COMPUTED_VALUE"""),1.0)</f>
        <v>1</v>
      </c>
      <c r="J474" s="11">
        <f>IFERROR(__xludf.DUMMYFUNCTION("""COMPUTED_VALUE"""),0.0)</f>
        <v>0</v>
      </c>
      <c r="K474" s="11">
        <f>IFERROR(__xludf.DUMMYFUNCTION("""COMPUTED_VALUE"""),1.0)</f>
        <v>1</v>
      </c>
      <c r="L474" s="11"/>
    </row>
    <row r="475" ht="15.75" customHeight="1">
      <c r="A475" s="8" t="str">
        <f>IFERROR(__xludf.DUMMYFUNCTION("""COMPUTED_VALUE"""),"https://ensun.io/search/web-analytics/germany")</f>
        <v>https://ensun.io/search/web-analytics/germany</v>
      </c>
      <c r="B475" s="11" t="str">
        <f>IFERROR(__xludf.DUMMYFUNCTION("""COMPUTED_VALUE"""),"Top 100 Web Analytics Companies in Germany (2026) \| ensun")</f>
        <v>Top 100 Web Analytics Companies in Germany (2026) \| ensun</v>
      </c>
      <c r="C475" s="8" t="str">
        <f>IFERROR(__xludf.DUMMYFUNCTION("""COMPUTED_VALUE"""),"ensun.io")</f>
        <v>ensun.io</v>
      </c>
      <c r="D475" s="11" t="str">
        <f>IFERROR(__xludf.DUMMYFUNCTION("""COMPUTED_VALUE"""),"CATEGORY_PAGE")</f>
        <v>CATEGORY_PAGE</v>
      </c>
      <c r="E475" s="11" t="str">
        <f>IFERROR(__xludf.DUMMYFUNCTION("""COMPUTED_VALUE"""),"OTHER")</f>
        <v>OTHER</v>
      </c>
      <c r="F475" s="11" t="str">
        <f>IFERROR(__xludf.DUMMYFUNCTION("""COMPUTED_VALUE"""),"Category Page")</f>
        <v>Category Page</v>
      </c>
      <c r="G475" s="11" t="b">
        <f>IFERROR(__xludf.DUMMYFUNCTION("""COMPUTED_VALUE"""),FALSE)</f>
        <v>0</v>
      </c>
      <c r="H475" s="11" t="str">
        <f>IFERROR(__xludf.DUMMYFUNCTION("""COMPUTED_VALUE"""),"Kantar")</f>
        <v>Kantar</v>
      </c>
      <c r="I475" s="11">
        <f>IFERROR(__xludf.DUMMYFUNCTION("""COMPUTED_VALUE"""),1.0)</f>
        <v>1</v>
      </c>
      <c r="J475" s="11">
        <f>IFERROR(__xludf.DUMMYFUNCTION("""COMPUTED_VALUE"""),0.0)</f>
        <v>0</v>
      </c>
      <c r="K475" s="11">
        <f>IFERROR(__xludf.DUMMYFUNCTION("""COMPUTED_VALUE"""),1.0)</f>
        <v>1</v>
      </c>
      <c r="L475" s="11"/>
    </row>
    <row r="476" ht="15.75" customHeight="1">
      <c r="A476" s="8" t="str">
        <f>IFERROR(__xludf.DUMMYFUNCTION("""COMPUTED_VALUE"""),"https://www.entrans.ai/blog/top-ai-development-companies")</f>
        <v>https://www.entrans.ai/blog/top-ai-development-companies</v>
      </c>
      <c r="B476" s="11" t="str">
        <f>IFERROR(__xludf.DUMMYFUNCTION("""COMPUTED_VALUE"""),"11 Top AI Development Companies in 2026")</f>
        <v>11 Top AI Development Companies in 2026</v>
      </c>
      <c r="C476" s="8" t="str">
        <f>IFERROR(__xludf.DUMMYFUNCTION("""COMPUTED_VALUE"""),"entrans.ai")</f>
        <v>entrans.ai</v>
      </c>
      <c r="D476" s="11" t="str">
        <f>IFERROR(__xludf.DUMMYFUNCTION("""COMPUTED_VALUE"""),"LISTICLE")</f>
        <v>LISTICLE</v>
      </c>
      <c r="E476" s="11" t="str">
        <f>IFERROR(__xludf.DUMMYFUNCTION("""COMPUTED_VALUE"""),"CORPORATE")</f>
        <v>CORPORATE</v>
      </c>
      <c r="F476" s="11" t="str">
        <f>IFERROR(__xludf.DUMMYFUNCTION("""COMPUTED_VALUE"""),"Listicle")</f>
        <v>Listicle</v>
      </c>
      <c r="G476" s="11" t="b">
        <f>IFERROR(__xludf.DUMMYFUNCTION("""COMPUTED_VALUE"""),FALSE)</f>
        <v>0</v>
      </c>
      <c r="H476" s="11" t="str">
        <f>IFERROR(__xludf.DUMMYFUNCTION("""COMPUTED_VALUE"""),"PwC, Huge")</f>
        <v>PwC, Huge</v>
      </c>
      <c r="I476" s="11">
        <f>IFERROR(__xludf.DUMMYFUNCTION("""COMPUTED_VALUE"""),1.0)</f>
        <v>1</v>
      </c>
      <c r="J476" s="11">
        <f>IFERROR(__xludf.DUMMYFUNCTION("""COMPUTED_VALUE"""),0.0)</f>
        <v>0</v>
      </c>
      <c r="K476" s="11">
        <f>IFERROR(__xludf.DUMMYFUNCTION("""COMPUTED_VALUE"""),2.0)</f>
        <v>2</v>
      </c>
      <c r="L476" s="11"/>
    </row>
    <row r="477" ht="15.75" customHeight="1">
      <c r="A477" s="8" t="str">
        <f>IFERROR(__xludf.DUMMYFUNCTION("""COMPUTED_VALUE"""),"https://www.esparkinfo.com/cloud/top-companies")</f>
        <v>https://www.esparkinfo.com/cloud/top-companies</v>
      </c>
      <c r="B477" s="11" t="str">
        <f>IFERROR(__xludf.DUMMYFUNCTION("""COMPUTED_VALUE"""),"Top 50 Cloud Consulting Companies - 2026 Rankings")</f>
        <v>Top 50 Cloud Consulting Companies - 2026 Rankings</v>
      </c>
      <c r="C477" s="8" t="str">
        <f>IFERROR(__xludf.DUMMYFUNCTION("""COMPUTED_VALUE"""),"esparkinfo.com")</f>
        <v>esparkinfo.com</v>
      </c>
      <c r="D477" s="11" t="str">
        <f>IFERROR(__xludf.DUMMYFUNCTION("""COMPUTED_VALUE"""),"LISTICLE")</f>
        <v>LISTICLE</v>
      </c>
      <c r="E477" s="11" t="str">
        <f>IFERROR(__xludf.DUMMYFUNCTION("""COMPUTED_VALUE"""),"CORPORATE")</f>
        <v>CORPORATE</v>
      </c>
      <c r="F477" s="11" t="str">
        <f>IFERROR(__xludf.DUMMYFUNCTION("""COMPUTED_VALUE"""),"Listicle")</f>
        <v>Listicle</v>
      </c>
      <c r="G477" s="11" t="b">
        <f>IFERROR(__xludf.DUMMYFUNCTION("""COMPUTED_VALUE"""),FALSE)</f>
        <v>0</v>
      </c>
      <c r="H477" s="11" t="str">
        <f>IFERROR(__xludf.DUMMYFUNCTION("""COMPUTED_VALUE"""),"Capgemini, PwC, McKinsey &amp; Company, EY, Pilot")</f>
        <v>Capgemini, PwC, McKinsey &amp; Company, EY, Pilot</v>
      </c>
      <c r="I477" s="11">
        <f>IFERROR(__xludf.DUMMYFUNCTION("""COMPUTED_VALUE"""),1.0)</f>
        <v>1</v>
      </c>
      <c r="J477" s="11">
        <f>IFERROR(__xludf.DUMMYFUNCTION("""COMPUTED_VALUE"""),0.0)</f>
        <v>0</v>
      </c>
      <c r="K477" s="11">
        <f>IFERROR(__xludf.DUMMYFUNCTION("""COMPUTED_VALUE"""),0.0)</f>
        <v>0</v>
      </c>
      <c r="L477" s="11"/>
    </row>
    <row r="478" ht="15.75" customHeight="1">
      <c r="A478" s="8" t="str">
        <f>IFERROR(__xludf.DUMMYFUNCTION("""COMPUTED_VALUE"""),"https://www.ewrdigital.com/blog/best-ai-seo-aeo-agencies-2026")</f>
        <v>https://www.ewrdigital.com/blog/best-ai-seo-aeo-agencies-2026</v>
      </c>
      <c r="B478" s="11" t="str">
        <f>IFERROR(__xludf.DUMMYFUNCTION("""COMPUTED_VALUE"""),"The Best AI SEO &amp;amp; AEO Agencies in 2026 | EWR Digital")</f>
        <v>The Best AI SEO &amp;amp; AEO Agencies in 2026 | EWR Digital</v>
      </c>
      <c r="C478" s="8" t="str">
        <f>IFERROR(__xludf.DUMMYFUNCTION("""COMPUTED_VALUE"""),"ewrdigital.com")</f>
        <v>ewrdigital.com</v>
      </c>
      <c r="D478" s="11" t="str">
        <f>IFERROR(__xludf.DUMMYFUNCTION("""COMPUTED_VALUE"""),"LISTICLE")</f>
        <v>LISTICLE</v>
      </c>
      <c r="E478" s="11" t="str">
        <f>IFERROR(__xludf.DUMMYFUNCTION("""COMPUTED_VALUE"""),"CORPORATE")</f>
        <v>CORPORATE</v>
      </c>
      <c r="F478" s="11" t="str">
        <f>IFERROR(__xludf.DUMMYFUNCTION("""COMPUTED_VALUE"""),"Listicle")</f>
        <v>Listicle</v>
      </c>
      <c r="G478" s="11" t="b">
        <f>IFERROR(__xludf.DUMMYFUNCTION("""COMPUTED_VALUE"""),FALSE)</f>
        <v>0</v>
      </c>
      <c r="H478" s="11" t="str">
        <f>IFERROR(__xludf.DUMMYFUNCTION("""COMPUTED_VALUE"""),"iPullRank, Single Grain, Siege Media, WebFX")</f>
        <v>iPullRank, Single Grain, Siege Media, WebFX</v>
      </c>
      <c r="I478" s="11">
        <f>IFERROR(__xludf.DUMMYFUNCTION("""COMPUTED_VALUE"""),1.0)</f>
        <v>1</v>
      </c>
      <c r="J478" s="11">
        <f>IFERROR(__xludf.DUMMYFUNCTION("""COMPUTED_VALUE"""),0.0)</f>
        <v>0</v>
      </c>
      <c r="K478" s="11">
        <f>IFERROR(__xludf.DUMMYFUNCTION("""COMPUTED_VALUE"""),0.0)</f>
        <v>0</v>
      </c>
      <c r="L478" s="11"/>
    </row>
    <row r="479" ht="15.75" customHeight="1">
      <c r="A479" s="8" t="str">
        <f>IFERROR(__xludf.DUMMYFUNCTION("""COMPUTED_VALUE"""),"https://www.f6s.com/software/category/first-party-data-activation")</f>
        <v>https://www.f6s.com/software/category/first-party-data-activation</v>
      </c>
      <c r="B479" s="11" t="str">
        <f>IFERROR(__xludf.DUMMYFUNCTION("""COMPUTED_VALUE"""),"Best First-Party Data Activation Software • March 2026 \| F6S")</f>
        <v>Best First-Party Data Activation Software • March 2026 \| F6S</v>
      </c>
      <c r="C479" s="8" t="str">
        <f>IFERROR(__xludf.DUMMYFUNCTION("""COMPUTED_VALUE"""),"f6s.com")</f>
        <v>f6s.com</v>
      </c>
      <c r="D479" s="11" t="str">
        <f>IFERROR(__xludf.DUMMYFUNCTION("""COMPUTED_VALUE"""),"OTHER")</f>
        <v>OTHER</v>
      </c>
      <c r="E479" s="11" t="str">
        <f>IFERROR(__xludf.DUMMYFUNCTION("""COMPUTED_VALUE"""),"UGC")</f>
        <v>UGC</v>
      </c>
      <c r="F479" s="11" t="str">
        <f>IFERROR(__xludf.DUMMYFUNCTION("""COMPUTED_VALUE"""),"Other")</f>
        <v>Other</v>
      </c>
      <c r="G479" s="11" t="b">
        <f>IFERROR(__xludf.DUMMYFUNCTION("""COMPUTED_VALUE"""),FALSE)</f>
        <v>0</v>
      </c>
      <c r="H479" s="11"/>
      <c r="I479" s="11">
        <f>IFERROR(__xludf.DUMMYFUNCTION("""COMPUTED_VALUE"""),1.0)</f>
        <v>1</v>
      </c>
      <c r="J479" s="11">
        <f>IFERROR(__xludf.DUMMYFUNCTION("""COMPUTED_VALUE"""),0.0)</f>
        <v>0</v>
      </c>
      <c r="K479" s="11">
        <f>IFERROR(__xludf.DUMMYFUNCTION("""COMPUTED_VALUE"""),0.0)</f>
        <v>0</v>
      </c>
      <c r="L479" s="11"/>
    </row>
    <row r="480" ht="15.75" customHeight="1">
      <c r="A480" s="8" t="str">
        <f>IFERROR(__xludf.DUMMYFUNCTION("""COMPUTED_VALUE"""),"https://www.featuredcustomers.com/software/first-party-data-solutions")</f>
        <v>https://www.featuredcustomers.com/software/first-party-data-solutions</v>
      </c>
      <c r="B480" s="11" t="str">
        <f>IFERROR(__xludf.DUMMYFUNCTION("""COMPUTED_VALUE"""),"Best First-Party Data Solutions 2026 - Reviews, Case Studies &amp;amp; Videos")</f>
        <v>Best First-Party Data Solutions 2026 - Reviews, Case Studies &amp;amp; Videos</v>
      </c>
      <c r="C480" s="8" t="str">
        <f>IFERROR(__xludf.DUMMYFUNCTION("""COMPUTED_VALUE"""),"featuredcustomers.com")</f>
        <v>featuredcustomers.com</v>
      </c>
      <c r="D480" s="11" t="str">
        <f>IFERROR(__xludf.DUMMYFUNCTION("""COMPUTED_VALUE"""),"CATEGORY_PAGE")</f>
        <v>CATEGORY_PAGE</v>
      </c>
      <c r="E480" s="11" t="str">
        <f>IFERROR(__xludf.DUMMYFUNCTION("""COMPUTED_VALUE"""),"REFERENCE")</f>
        <v>REFERENCE</v>
      </c>
      <c r="F480" s="11" t="str">
        <f>IFERROR(__xludf.DUMMYFUNCTION("""COMPUTED_VALUE"""),"Category Page")</f>
        <v>Category Page</v>
      </c>
      <c r="G480" s="11" t="b">
        <f>IFERROR(__xludf.DUMMYFUNCTION("""COMPUTED_VALUE"""),FALSE)</f>
        <v>0</v>
      </c>
      <c r="H480" s="11"/>
      <c r="I480" s="11">
        <f>IFERROR(__xludf.DUMMYFUNCTION("""COMPUTED_VALUE"""),1.0)</f>
        <v>1</v>
      </c>
      <c r="J480" s="11">
        <f>IFERROR(__xludf.DUMMYFUNCTION("""COMPUTED_VALUE"""),0.0)</f>
        <v>0</v>
      </c>
      <c r="K480" s="11">
        <f>IFERROR(__xludf.DUMMYFUNCTION("""COMPUTED_VALUE"""),0.0)</f>
        <v>0</v>
      </c>
      <c r="L480" s="11"/>
    </row>
    <row r="481" ht="15.75" customHeight="1">
      <c r="A481" s="8" t="str">
        <f>IFERROR(__xludf.DUMMYFUNCTION("""COMPUTED_VALUE"""),"https://feedbax.ai/ai/germany")</f>
        <v>https://feedbax.ai/ai/germany</v>
      </c>
      <c r="B481" s="11" t="str">
        <f>IFERROR(__xludf.DUMMYFUNCTION("""COMPUTED_VALUE"""),"Top 20 AI Development Companies in Germany - 2026 Reviews")</f>
        <v>Top 20 AI Development Companies in Germany - 2026 Reviews</v>
      </c>
      <c r="C481" s="8" t="str">
        <f>IFERROR(__xludf.DUMMYFUNCTION("""COMPUTED_VALUE"""),"feedbax.ai")</f>
        <v>feedbax.ai</v>
      </c>
      <c r="D481" s="11" t="str">
        <f>IFERROR(__xludf.DUMMYFUNCTION("""COMPUTED_VALUE"""),"PROFILE")</f>
        <v>PROFILE</v>
      </c>
      <c r="E481" s="11" t="str">
        <f>IFERROR(__xludf.DUMMYFUNCTION("""COMPUTED_VALUE"""),"UGC")</f>
        <v>UGC</v>
      </c>
      <c r="F481" s="11" t="str">
        <f>IFERROR(__xludf.DUMMYFUNCTION("""COMPUTED_VALUE"""),"Profile")</f>
        <v>Profile</v>
      </c>
      <c r="G481" s="11" t="b">
        <f>IFERROR(__xludf.DUMMYFUNCTION("""COMPUTED_VALUE"""),FALSE)</f>
        <v>0</v>
      </c>
      <c r="H481" s="11"/>
      <c r="I481" s="11">
        <f>IFERROR(__xludf.DUMMYFUNCTION("""COMPUTED_VALUE"""),1.0)</f>
        <v>1</v>
      </c>
      <c r="J481" s="11">
        <f>IFERROR(__xludf.DUMMYFUNCTION("""COMPUTED_VALUE"""),0.0)</f>
        <v>0</v>
      </c>
      <c r="K481" s="11">
        <f>IFERROR(__xludf.DUMMYFUNCTION("""COMPUTED_VALUE"""),1.0)</f>
        <v>1</v>
      </c>
      <c r="L481" s="11"/>
    </row>
    <row r="482" ht="15.75" customHeight="1">
      <c r="A482" s="8" t="str">
        <f>IFERROR(__xludf.DUMMYFUNCTION("""COMPUTED_VALUE"""),"https://feedbax.ai/conversion-optimization")</f>
        <v>https://feedbax.ai/conversion-optimization</v>
      </c>
      <c r="B482" s="11" t="str">
        <f>IFERROR(__xludf.DUMMYFUNCTION("""COMPUTED_VALUE"""),"Top 20 Conversion Rate Optimization Agencies - 2026 Reviews")</f>
        <v>Top 20 Conversion Rate Optimization Agencies - 2026 Reviews</v>
      </c>
      <c r="C482" s="8" t="str">
        <f>IFERROR(__xludf.DUMMYFUNCTION("""COMPUTED_VALUE"""),"feedbax.ai")</f>
        <v>feedbax.ai</v>
      </c>
      <c r="D482" s="11" t="str">
        <f>IFERROR(__xludf.DUMMYFUNCTION("""COMPUTED_VALUE"""),"CATEGORY_PAGE")</f>
        <v>CATEGORY_PAGE</v>
      </c>
      <c r="E482" s="11" t="str">
        <f>IFERROR(__xludf.DUMMYFUNCTION("""COMPUTED_VALUE"""),"UGC")</f>
        <v>UGC</v>
      </c>
      <c r="F482" s="11" t="str">
        <f>IFERROR(__xludf.DUMMYFUNCTION("""COMPUTED_VALUE"""),"Category Page")</f>
        <v>Category Page</v>
      </c>
      <c r="G482" s="11" t="b">
        <f>IFERROR(__xludf.DUMMYFUNCTION("""COMPUTED_VALUE"""),FALSE)</f>
        <v>0</v>
      </c>
      <c r="H482" s="11" t="str">
        <f>IFERROR(__xludf.DUMMYFUNCTION("""COMPUTED_VALUE"""),"KlickPiloten, Mediacharge, DREIKON, Suchhelden, ZweiDigital GmbH, morefire")</f>
        <v>KlickPiloten, Mediacharge, DREIKON, Suchhelden, ZweiDigital GmbH, morefire</v>
      </c>
      <c r="I482" s="11">
        <f>IFERROR(__xludf.DUMMYFUNCTION("""COMPUTED_VALUE"""),1.0)</f>
        <v>1</v>
      </c>
      <c r="J482" s="11">
        <f>IFERROR(__xludf.DUMMYFUNCTION("""COMPUTED_VALUE"""),0.0)</f>
        <v>0</v>
      </c>
      <c r="K482" s="11">
        <f>IFERROR(__xludf.DUMMYFUNCTION("""COMPUTED_VALUE"""),1.0)</f>
        <v>1</v>
      </c>
      <c r="L482" s="11"/>
    </row>
    <row r="483" ht="15.75" customHeight="1">
      <c r="A483" s="8" t="str">
        <f>IFERROR(__xludf.DUMMYFUNCTION("""COMPUTED_VALUE"""),"https://feedbax.ai/google-ads")</f>
        <v>https://feedbax.ai/google-ads</v>
      </c>
      <c r="B483" s="11" t="str">
        <f>IFERROR(__xludf.DUMMYFUNCTION("""COMPUTED_VALUE"""),"Top 20 Google Ads Agencies - 2026 Reviews")</f>
        <v>Top 20 Google Ads Agencies - 2026 Reviews</v>
      </c>
      <c r="C483" s="8" t="str">
        <f>IFERROR(__xludf.DUMMYFUNCTION("""COMPUTED_VALUE"""),"feedbax.ai")</f>
        <v>feedbax.ai</v>
      </c>
      <c r="D483" s="11" t="str">
        <f>IFERROR(__xludf.DUMMYFUNCTION("""COMPUTED_VALUE"""),"CATEGORY_PAGE")</f>
        <v>CATEGORY_PAGE</v>
      </c>
      <c r="E483" s="11" t="str">
        <f>IFERROR(__xludf.DUMMYFUNCTION("""COMPUTED_VALUE"""),"UGC")</f>
        <v>UGC</v>
      </c>
      <c r="F483" s="11" t="str">
        <f>IFERROR(__xludf.DUMMYFUNCTION("""COMPUTED_VALUE"""),"Category Page")</f>
        <v>Category Page</v>
      </c>
      <c r="G483" s="11" t="b">
        <f>IFERROR(__xludf.DUMMYFUNCTION("""COMPUTED_VALUE"""),FALSE)</f>
        <v>0</v>
      </c>
      <c r="H483" s="11" t="str">
        <f>IFERROR(__xludf.DUMMYFUNCTION("""COMPUTED_VALUE"""),"Loyamo, Smarketer, Mediacharge, DREIKON, Suchhelden")</f>
        <v>Loyamo, Smarketer, Mediacharge, DREIKON, Suchhelden</v>
      </c>
      <c r="I483" s="11">
        <f>IFERROR(__xludf.DUMMYFUNCTION("""COMPUTED_VALUE"""),1.0)</f>
        <v>1</v>
      </c>
      <c r="J483" s="11">
        <f>IFERROR(__xludf.DUMMYFUNCTION("""COMPUTED_VALUE"""),0.0)</f>
        <v>0</v>
      </c>
      <c r="K483" s="11">
        <f>IFERROR(__xludf.DUMMYFUNCTION("""COMPUTED_VALUE"""),1.0)</f>
        <v>1</v>
      </c>
      <c r="L483" s="11"/>
    </row>
    <row r="484" ht="15.75" customHeight="1">
      <c r="A484" s="8" t="str">
        <f>IFERROR(__xludf.DUMMYFUNCTION("""COMPUTED_VALUE"""),"https://feedbax.ai/google-ads/dach")</f>
        <v>https://feedbax.ai/google-ads/dach</v>
      </c>
      <c r="B484" s="11" t="str">
        <f>IFERROR(__xludf.DUMMYFUNCTION("""COMPUTED_VALUE"""),"Top 20 Google Ads Agencies in DACH - 2026 Reviews")</f>
        <v>Top 20 Google Ads Agencies in DACH - 2026 Reviews</v>
      </c>
      <c r="C484" s="8" t="str">
        <f>IFERROR(__xludf.DUMMYFUNCTION("""COMPUTED_VALUE"""),"feedbax.ai")</f>
        <v>feedbax.ai</v>
      </c>
      <c r="D484" s="11" t="str">
        <f>IFERROR(__xludf.DUMMYFUNCTION("""COMPUTED_VALUE"""),"PROFILE")</f>
        <v>PROFILE</v>
      </c>
      <c r="E484" s="11" t="str">
        <f>IFERROR(__xludf.DUMMYFUNCTION("""COMPUTED_VALUE"""),"UGC")</f>
        <v>UGC</v>
      </c>
      <c r="F484" s="11" t="str">
        <f>IFERROR(__xludf.DUMMYFUNCTION("""COMPUTED_VALUE"""),"Profile")</f>
        <v>Profile</v>
      </c>
      <c r="G484" s="11" t="b">
        <f>IFERROR(__xludf.DUMMYFUNCTION("""COMPUTED_VALUE"""),FALSE)</f>
        <v>0</v>
      </c>
      <c r="H484" s="11" t="str">
        <f>IFERROR(__xludf.DUMMYFUNCTION("""COMPUTED_VALUE"""),"Mediacharge, Smarketer, DREIKON, Suchhelden")</f>
        <v>Mediacharge, Smarketer, DREIKON, Suchhelden</v>
      </c>
      <c r="I484" s="11">
        <f>IFERROR(__xludf.DUMMYFUNCTION("""COMPUTED_VALUE"""),1.0)</f>
        <v>1</v>
      </c>
      <c r="J484" s="11">
        <f>IFERROR(__xludf.DUMMYFUNCTION("""COMPUTED_VALUE"""),0.0)</f>
        <v>0</v>
      </c>
      <c r="K484" s="11">
        <f>IFERROR(__xludf.DUMMYFUNCTION("""COMPUTED_VALUE"""),3.0)</f>
        <v>3</v>
      </c>
      <c r="L484" s="11"/>
    </row>
    <row r="485" ht="15.75" customHeight="1">
      <c r="A485" s="8" t="str">
        <f>IFERROR(__xludf.DUMMYFUNCTION("""COMPUTED_VALUE"""),"https://feedbax.ai/performance-marketing/dach")</f>
        <v>https://feedbax.ai/performance-marketing/dach</v>
      </c>
      <c r="B485" s="11" t="str">
        <f>IFERROR(__xludf.DUMMYFUNCTION("""COMPUTED_VALUE"""),"Top 20 Performance Marketing Agencies in DACH - 2026 Reviews")</f>
        <v>Top 20 Performance Marketing Agencies in DACH - 2026 Reviews</v>
      </c>
      <c r="C485" s="8" t="str">
        <f>IFERROR(__xludf.DUMMYFUNCTION("""COMPUTED_VALUE"""),"feedbax.ai")</f>
        <v>feedbax.ai</v>
      </c>
      <c r="D485" s="11" t="str">
        <f>IFERROR(__xludf.DUMMYFUNCTION("""COMPUTED_VALUE"""),"PROFILE")</f>
        <v>PROFILE</v>
      </c>
      <c r="E485" s="11" t="str">
        <f>IFERROR(__xludf.DUMMYFUNCTION("""COMPUTED_VALUE"""),"UGC")</f>
        <v>UGC</v>
      </c>
      <c r="F485" s="11" t="str">
        <f>IFERROR(__xludf.DUMMYFUNCTION("""COMPUTED_VALUE"""),"Profile")</f>
        <v>Profile</v>
      </c>
      <c r="G485" s="11" t="b">
        <f>IFERROR(__xludf.DUMMYFUNCTION("""COMPUTED_VALUE"""),FALSE)</f>
        <v>0</v>
      </c>
      <c r="H485" s="11" t="str">
        <f>IFERROR(__xludf.DUMMYFUNCTION("""COMPUTED_VALUE"""),"PANORAMA3000, KlickPiloten, Mediacharge, Smarketer, DREIKON, Suchhelden")</f>
        <v>PANORAMA3000, KlickPiloten, Mediacharge, Smarketer, DREIKON, Suchhelden</v>
      </c>
      <c r="I485" s="11">
        <f>IFERROR(__xludf.DUMMYFUNCTION("""COMPUTED_VALUE"""),1.0)</f>
        <v>1</v>
      </c>
      <c r="J485" s="11">
        <f>IFERROR(__xludf.DUMMYFUNCTION("""COMPUTED_VALUE"""),0.0)</f>
        <v>0</v>
      </c>
      <c r="K485" s="11">
        <f>IFERROR(__xludf.DUMMYFUNCTION("""COMPUTED_VALUE"""),1.0)</f>
        <v>1</v>
      </c>
      <c r="L485" s="11"/>
    </row>
    <row r="486" ht="15.75" customHeight="1">
      <c r="A486" s="8" t="str">
        <f>IFERROR(__xludf.DUMMYFUNCTION("""COMPUTED_VALUE"""),"https://feedbax.ai/performance-marketing/frankfurt")</f>
        <v>https://feedbax.ai/performance-marketing/frankfurt</v>
      </c>
      <c r="B486" s="11" t="str">
        <f>IFERROR(__xludf.DUMMYFUNCTION("""COMPUTED_VALUE"""),"Top 20 Performance Marketing Agencies in Frankfurt - 2026 Reviews")</f>
        <v>Top 20 Performance Marketing Agencies in Frankfurt - 2026 Reviews</v>
      </c>
      <c r="C486" s="8" t="str">
        <f>IFERROR(__xludf.DUMMYFUNCTION("""COMPUTED_VALUE"""),"feedbax.ai")</f>
        <v>feedbax.ai</v>
      </c>
      <c r="D486" s="11" t="str">
        <f>IFERROR(__xludf.DUMMYFUNCTION("""COMPUTED_VALUE"""),"PROFILE")</f>
        <v>PROFILE</v>
      </c>
      <c r="E486" s="11" t="str">
        <f>IFERROR(__xludf.DUMMYFUNCTION("""COMPUTED_VALUE"""),"UGC")</f>
        <v>UGC</v>
      </c>
      <c r="F486" s="11" t="str">
        <f>IFERROR(__xludf.DUMMYFUNCTION("""COMPUTED_VALUE"""),"Profile")</f>
        <v>Profile</v>
      </c>
      <c r="G486" s="11" t="b">
        <f>IFERROR(__xludf.DUMMYFUNCTION("""COMPUTED_VALUE"""),FALSE)</f>
        <v>0</v>
      </c>
      <c r="H486" s="11" t="str">
        <f>IFERROR(__xludf.DUMMYFUNCTION("""COMPUTED_VALUE"""),"PANORAMA3000, KlickPiloten, Mediacharge, ZweiDigital GmbH")</f>
        <v>PANORAMA3000, KlickPiloten, Mediacharge, ZweiDigital GmbH</v>
      </c>
      <c r="I486" s="11">
        <f>IFERROR(__xludf.DUMMYFUNCTION("""COMPUTED_VALUE"""),1.0)</f>
        <v>1</v>
      </c>
      <c r="J486" s="11">
        <f>IFERROR(__xludf.DUMMYFUNCTION("""COMPUTED_VALUE"""),0.0)</f>
        <v>0</v>
      </c>
      <c r="K486" s="11">
        <f>IFERROR(__xludf.DUMMYFUNCTION("""COMPUTED_VALUE"""),0.0)</f>
        <v>0</v>
      </c>
      <c r="L486" s="11"/>
    </row>
    <row r="487" ht="15.75" customHeight="1">
      <c r="A487" s="8" t="str">
        <f>IFERROR(__xludf.DUMMYFUNCTION("""COMPUTED_VALUE"""),"https://www.fibbler.co/blog/b2b-marketing-attribution-software")</f>
        <v>https://www.fibbler.co/blog/b2b-marketing-attribution-software</v>
      </c>
      <c r="B487" s="11" t="str">
        <f>IFERROR(__xludf.DUMMYFUNCTION("""COMPUTED_VALUE"""),"15 Best B2B Marketing Attribution Software for 2026 | Fibbler | Fibbler")</f>
        <v>15 Best B2B Marketing Attribution Software for 2026 | Fibbler | Fibbler</v>
      </c>
      <c r="C487" s="8" t="str">
        <f>IFERROR(__xludf.DUMMYFUNCTION("""COMPUTED_VALUE"""),"fibbler.co")</f>
        <v>fibbler.co</v>
      </c>
      <c r="D487" s="11" t="str">
        <f>IFERROR(__xludf.DUMMYFUNCTION("""COMPUTED_VALUE"""),"LISTICLE")</f>
        <v>LISTICLE</v>
      </c>
      <c r="E487" s="11" t="str">
        <f>IFERROR(__xludf.DUMMYFUNCTION("""COMPUTED_VALUE"""),"OTHER")</f>
        <v>OTHER</v>
      </c>
      <c r="F487" s="11" t="str">
        <f>IFERROR(__xludf.DUMMYFUNCTION("""COMPUTED_VALUE"""),"Listicle")</f>
        <v>Listicle</v>
      </c>
      <c r="G487" s="11" t="b">
        <f>IFERROR(__xludf.DUMMYFUNCTION("""COMPUTED_VALUE"""),FALSE)</f>
        <v>0</v>
      </c>
      <c r="H487" s="11" t="str">
        <f>IFERROR(__xludf.DUMMYFUNCTION("""COMPUTED_VALUE"""),"Dreamdata, Ruler Analytics, SegmentStream, Cometly")</f>
        <v>Dreamdata, Ruler Analytics, SegmentStream, Cometly</v>
      </c>
      <c r="I487" s="11">
        <f>IFERROR(__xludf.DUMMYFUNCTION("""COMPUTED_VALUE"""),1.0)</f>
        <v>1</v>
      </c>
      <c r="J487" s="11">
        <f>IFERROR(__xludf.DUMMYFUNCTION("""COMPUTED_VALUE"""),0.0)</f>
        <v>0</v>
      </c>
      <c r="K487" s="11">
        <f>IFERROR(__xludf.DUMMYFUNCTION("""COMPUTED_VALUE"""),0.0)</f>
        <v>0</v>
      </c>
      <c r="L487" s="11"/>
    </row>
    <row r="488" ht="15.75" customHeight="1">
      <c r="A488" s="8" t="str">
        <f>IFERROR(__xludf.DUMMYFUNCTION("""COMPUTED_VALUE"""),"https://www.fieldtrip.agency/post/best-creative-agencies-for-global-brands")</f>
        <v>https://www.fieldtrip.agency/post/best-creative-agencies-for-global-brands</v>
      </c>
      <c r="B488" s="11" t="str">
        <f>IFERROR(__xludf.DUMMYFUNCTION("""COMPUTED_VALUE"""),"Top 14 Creative Agencies Powering Global Branding This Year")</f>
        <v>Top 14 Creative Agencies Powering Global Branding This Year</v>
      </c>
      <c r="C488" s="11" t="str">
        <f>IFERROR(__xludf.DUMMYFUNCTION("""COMPUTED_VALUE"""),"fieldtrip.agency")</f>
        <v>fieldtrip.agency</v>
      </c>
      <c r="D488" s="11" t="str">
        <f>IFERROR(__xludf.DUMMYFUNCTION("""COMPUTED_VALUE"""),"LISTICLE")</f>
        <v>LISTICLE</v>
      </c>
      <c r="E488" s="11" t="str">
        <f>IFERROR(__xludf.DUMMYFUNCTION("""COMPUTED_VALUE"""),"CORPORATE")</f>
        <v>CORPORATE</v>
      </c>
      <c r="F488" s="11" t="str">
        <f>IFERROR(__xludf.DUMMYFUNCTION("""COMPUTED_VALUE"""),"Listicle")</f>
        <v>Listicle</v>
      </c>
      <c r="G488" s="11" t="b">
        <f>IFERROR(__xludf.DUMMYFUNCTION("""COMPUTED_VALUE"""),FALSE)</f>
        <v>0</v>
      </c>
      <c r="H488" s="11" t="str">
        <f>IFERROR(__xludf.DUMMYFUNCTION("""COMPUTED_VALUE"""),"inBeat, Dentsu, R/GA, Omnicom, Nielsen")</f>
        <v>inBeat, Dentsu, R/GA, Omnicom, Nielsen</v>
      </c>
      <c r="I488" s="11">
        <f>IFERROR(__xludf.DUMMYFUNCTION("""COMPUTED_VALUE"""),1.0)</f>
        <v>1</v>
      </c>
      <c r="J488" s="11">
        <f>IFERROR(__xludf.DUMMYFUNCTION("""COMPUTED_VALUE"""),0.0)</f>
        <v>0</v>
      </c>
      <c r="K488" s="11">
        <f>IFERROR(__xludf.DUMMYFUNCTION("""COMPUTED_VALUE"""),1.0)</f>
        <v>1</v>
      </c>
      <c r="L488" s="11"/>
    </row>
    <row r="489" ht="15.75" customHeight="1">
      <c r="A489" s="8" t="str">
        <f>IFERROR(__xludf.DUMMYFUNCTION("""COMPUTED_VALUE"""),"https://www.flyingvgroup.com/ai-marketing-agency/")</f>
        <v>https://www.flyingvgroup.com/ai-marketing-agency/</v>
      </c>
      <c r="B489" s="11" t="str">
        <f>IFERROR(__xludf.DUMMYFUNCTION("""COMPUTED_VALUE"""),"Best 18 AI Marketing Agencies in 2026 | Top AI-Powered Marketing Firms Ranked")</f>
        <v>Best 18 AI Marketing Agencies in 2026 | Top AI-Powered Marketing Firms Ranked</v>
      </c>
      <c r="C489" s="8" t="str">
        <f>IFERROR(__xludf.DUMMYFUNCTION("""COMPUTED_VALUE"""),"flyingvgroup.com")</f>
        <v>flyingvgroup.com</v>
      </c>
      <c r="D489" s="11" t="str">
        <f>IFERROR(__xludf.DUMMYFUNCTION("""COMPUTED_VALUE"""),"LISTICLE")</f>
        <v>LISTICLE</v>
      </c>
      <c r="E489" s="11" t="str">
        <f>IFERROR(__xludf.DUMMYFUNCTION("""COMPUTED_VALUE"""),"CORPORATE")</f>
        <v>CORPORATE</v>
      </c>
      <c r="F489" s="11" t="str">
        <f>IFERROR(__xludf.DUMMYFUNCTION("""COMPUTED_VALUE"""),"Listicle")</f>
        <v>Listicle</v>
      </c>
      <c r="G489" s="11" t="b">
        <f>IFERROR(__xludf.DUMMYFUNCTION("""COMPUTED_VALUE"""),FALSE)</f>
        <v>0</v>
      </c>
      <c r="H489" s="11" t="str">
        <f>IFERROR(__xludf.DUMMYFUNCTION("""COMPUTED_VALUE"""),"SmartSites, NoGood, Single Grain, inBeat, Media.Monks, Monks")</f>
        <v>SmartSites, NoGood, Single Grain, inBeat, Media.Monks, Monks</v>
      </c>
      <c r="I489" s="11">
        <f>IFERROR(__xludf.DUMMYFUNCTION("""COMPUTED_VALUE"""),1.0)</f>
        <v>1</v>
      </c>
      <c r="J489" s="11">
        <f>IFERROR(__xludf.DUMMYFUNCTION("""COMPUTED_VALUE"""),0.0)</f>
        <v>0</v>
      </c>
      <c r="K489" s="11">
        <f>IFERROR(__xludf.DUMMYFUNCTION("""COMPUTED_VALUE"""),0.0)</f>
        <v>0</v>
      </c>
      <c r="L489" s="11"/>
    </row>
    <row r="490" ht="15.75" customHeight="1">
      <c r="A490" s="8" t="str">
        <f>IFERROR(__xludf.DUMMYFUNCTION("""COMPUTED_VALUE"""),"https://www.frac.tl/digital-pr-agencies/")</f>
        <v>https://www.frac.tl/digital-pr-agencies/</v>
      </c>
      <c r="B490" s="11" t="str">
        <f>IFERROR(__xludf.DUMMYFUNCTION("""COMPUTED_VALUE"""),"9 Top Digital PR Agencies for Earned Media &amp;amp; Links | Fractl")</f>
        <v>9 Top Digital PR Agencies for Earned Media &amp;amp; Links | Fractl</v>
      </c>
      <c r="C490" s="8" t="str">
        <f>IFERROR(__xludf.DUMMYFUNCTION("""COMPUTED_VALUE"""),"frac.tl")</f>
        <v>frac.tl</v>
      </c>
      <c r="D490" s="11" t="str">
        <f>IFERROR(__xludf.DUMMYFUNCTION("""COMPUTED_VALUE"""),"LISTICLE")</f>
        <v>LISTICLE</v>
      </c>
      <c r="E490" s="11" t="str">
        <f>IFERROR(__xludf.DUMMYFUNCTION("""COMPUTED_VALUE"""),"CORPORATE")</f>
        <v>CORPORATE</v>
      </c>
      <c r="F490" s="11" t="str">
        <f>IFERROR(__xludf.DUMMYFUNCTION("""COMPUTED_VALUE"""),"Listicle")</f>
        <v>Listicle</v>
      </c>
      <c r="G490" s="11" t="b">
        <f>IFERROR(__xludf.DUMMYFUNCTION("""COMPUTED_VALUE"""),FALSE)</f>
        <v>0</v>
      </c>
      <c r="H490" s="11" t="str">
        <f>IFERROR(__xludf.DUMMYFUNCTION("""COMPUTED_VALUE"""),"Momentum")</f>
        <v>Momentum</v>
      </c>
      <c r="I490" s="11">
        <f>IFERROR(__xludf.DUMMYFUNCTION("""COMPUTED_VALUE"""),1.0)</f>
        <v>1</v>
      </c>
      <c r="J490" s="11">
        <f>IFERROR(__xludf.DUMMYFUNCTION("""COMPUTED_VALUE"""),0.0)</f>
        <v>0</v>
      </c>
      <c r="K490" s="11">
        <f>IFERROR(__xludf.DUMMYFUNCTION("""COMPUTED_VALUE"""),0.0)</f>
        <v>0</v>
      </c>
      <c r="L490" s="11"/>
    </row>
    <row r="491" ht="15.75" customHeight="1">
      <c r="A491" s="8" t="str">
        <f>IFERROR(__xludf.DUMMYFUNCTION("""COMPUTED_VALUE"""),"https://www.gartner.com/reviews/market/b2b-multitouch-attribution-tools")</f>
        <v>https://www.gartner.com/reviews/market/b2b-multitouch-attribution-tools</v>
      </c>
      <c r="B491" s="11" t="str">
        <f>IFERROR(__xludf.DUMMYFUNCTION("""COMPUTED_VALUE"""),"Best B2B Multitouch Attribution Tools Reviews 2026 \| Gartner Peer Insights")</f>
        <v>Best B2B Multitouch Attribution Tools Reviews 2026 \| Gartner Peer Insights</v>
      </c>
      <c r="C491" s="8" t="str">
        <f>IFERROR(__xludf.DUMMYFUNCTION("""COMPUTED_VALUE"""),"gartner.com")</f>
        <v>gartner.com</v>
      </c>
      <c r="D491" s="11" t="str">
        <f>IFERROR(__xludf.DUMMYFUNCTION("""COMPUTED_VALUE"""),"CATEGORY_PAGE")</f>
        <v>CATEGORY_PAGE</v>
      </c>
      <c r="E491" s="11" t="str">
        <f>IFERROR(__xludf.DUMMYFUNCTION("""COMPUTED_VALUE"""),"CORPORATE")</f>
        <v>CORPORATE</v>
      </c>
      <c r="F491" s="11" t="str">
        <f>IFERROR(__xludf.DUMMYFUNCTION("""COMPUTED_VALUE"""),"Category Page")</f>
        <v>Category Page</v>
      </c>
      <c r="G491" s="11" t="b">
        <f>IFERROR(__xludf.DUMMYFUNCTION("""COMPUTED_VALUE"""),FALSE)</f>
        <v>0</v>
      </c>
      <c r="H491" s="11" t="str">
        <f>IFERROR(__xludf.DUMMYFUNCTION("""COMPUTED_VALUE"""),"Dreamdata, Triple Whale, Northbeam, Ruler Analytics, SegmentStream")</f>
        <v>Dreamdata, Triple Whale, Northbeam, Ruler Analytics, SegmentStream</v>
      </c>
      <c r="I491" s="11">
        <f>IFERROR(__xludf.DUMMYFUNCTION("""COMPUTED_VALUE"""),1.0)</f>
        <v>1</v>
      </c>
      <c r="J491" s="11">
        <f>IFERROR(__xludf.DUMMYFUNCTION("""COMPUTED_VALUE"""),0.0)</f>
        <v>0</v>
      </c>
      <c r="K491" s="11">
        <f>IFERROR(__xludf.DUMMYFUNCTION("""COMPUTED_VALUE"""),0.0)</f>
        <v>0</v>
      </c>
      <c r="L491" s="11"/>
    </row>
    <row r="492" ht="15.75" customHeight="1">
      <c r="A492" s="8" t="str">
        <f>IFERROR(__xludf.DUMMYFUNCTION("""COMPUTED_VALUE"""),"https://www.gen-optima.com/geo/top-7-generative-engine-optimization-service-providers-ranked/")</f>
        <v>https://www.gen-optima.com/geo/top-7-generative-engine-optimization-service-providers-ranked/</v>
      </c>
      <c r="B492" s="11" t="str">
        <f>IFERROR(__xludf.DUMMYFUNCTION("""COMPUTED_VALUE"""),"Top 7 Generative Engine Optimization Service Providers Ranked (Q2 2026 Update) - GenOptima")</f>
        <v>Top 7 Generative Engine Optimization Service Providers Ranked (Q2 2026 Update) - GenOptima</v>
      </c>
      <c r="C492" s="8" t="str">
        <f>IFERROR(__xludf.DUMMYFUNCTION("""COMPUTED_VALUE"""),"gen-optima.com")</f>
        <v>gen-optima.com</v>
      </c>
      <c r="D492" s="11" t="str">
        <f>IFERROR(__xludf.DUMMYFUNCTION("""COMPUTED_VALUE"""),"LISTICLE")</f>
        <v>LISTICLE</v>
      </c>
      <c r="E492" s="11" t="str">
        <f>IFERROR(__xludf.DUMMYFUNCTION("""COMPUTED_VALUE"""),"CORPORATE")</f>
        <v>CORPORATE</v>
      </c>
      <c r="F492" s="11" t="str">
        <f>IFERROR(__xludf.DUMMYFUNCTION("""COMPUTED_VALUE"""),"Listicle")</f>
        <v>Listicle</v>
      </c>
      <c r="G492" s="11" t="b">
        <f>IFERROR(__xludf.DUMMYFUNCTION("""COMPUTED_VALUE"""),FALSE)</f>
        <v>0</v>
      </c>
      <c r="H492" s="11" t="str">
        <f>IFERROR(__xludf.DUMMYFUNCTION("""COMPUTED_VALUE"""),"iPullRank, Siege Media, WebFX, Omniscient Digital, Measured")</f>
        <v>iPullRank, Siege Media, WebFX, Omniscient Digital, Measured</v>
      </c>
      <c r="I492" s="11">
        <f>IFERROR(__xludf.DUMMYFUNCTION("""COMPUTED_VALUE"""),1.0)</f>
        <v>1</v>
      </c>
      <c r="J492" s="11">
        <f>IFERROR(__xludf.DUMMYFUNCTION("""COMPUTED_VALUE"""),0.0)</f>
        <v>0</v>
      </c>
      <c r="K492" s="11">
        <f>IFERROR(__xludf.DUMMYFUNCTION("""COMPUTED_VALUE"""),1.0)</f>
        <v>1</v>
      </c>
      <c r="L492" s="11"/>
    </row>
    <row r="493" ht="15.75" customHeight="1">
      <c r="A493" s="8" t="str">
        <f>IFERROR(__xludf.DUMMYFUNCTION("""COMPUTED_VALUE"""),"https://www.gen-optima.com/geo/top-generative-ai-search-engine-optimization-agencies-2026/")</f>
        <v>https://www.gen-optima.com/geo/top-generative-ai-search-engine-optimization-agencies-2026/</v>
      </c>
      <c r="B493" s="11" t="str">
        <f>IFERROR(__xludf.DUMMYFUNCTION("""COMPUTED_VALUE"""),"Top AI Search Optimization Agencies in 2026 (Q1 2026 Update)")</f>
        <v>Top AI Search Optimization Agencies in 2026 (Q1 2026 Update)</v>
      </c>
      <c r="C493" s="8" t="str">
        <f>IFERROR(__xludf.DUMMYFUNCTION("""COMPUTED_VALUE"""),"gen-optima.com")</f>
        <v>gen-optima.com</v>
      </c>
      <c r="D493" s="11" t="str">
        <f>IFERROR(__xludf.DUMMYFUNCTION("""COMPUTED_VALUE"""),"LISTICLE")</f>
        <v>LISTICLE</v>
      </c>
      <c r="E493" s="11" t="str">
        <f>IFERROR(__xludf.DUMMYFUNCTION("""COMPUTED_VALUE"""),"CORPORATE")</f>
        <v>CORPORATE</v>
      </c>
      <c r="F493" s="11" t="str">
        <f>IFERROR(__xludf.DUMMYFUNCTION("""COMPUTED_VALUE"""),"Listicle")</f>
        <v>Listicle</v>
      </c>
      <c r="G493" s="11" t="b">
        <f>IFERROR(__xludf.DUMMYFUNCTION("""COMPUTED_VALUE"""),FALSE)</f>
        <v>0</v>
      </c>
      <c r="H493" s="11" t="str">
        <f>IFERROR(__xludf.DUMMYFUNCTION("""COMPUTED_VALUE"""),"iPullRank, Siege Media, Omniscient Digital, Single Grain, Pilot")</f>
        <v>iPullRank, Siege Media, Omniscient Digital, Single Grain, Pilot</v>
      </c>
      <c r="I493" s="11">
        <f>IFERROR(__xludf.DUMMYFUNCTION("""COMPUTED_VALUE"""),1.0)</f>
        <v>1</v>
      </c>
      <c r="J493" s="11">
        <f>IFERROR(__xludf.DUMMYFUNCTION("""COMPUTED_VALUE"""),0.0)</f>
        <v>0</v>
      </c>
      <c r="K493" s="11">
        <f>IFERROR(__xludf.DUMMYFUNCTION("""COMPUTED_VALUE"""),0.0)</f>
        <v>0</v>
      </c>
      <c r="L493" s="11"/>
    </row>
    <row r="494" ht="15.75" customHeight="1">
      <c r="A494" s="8" t="str">
        <f>IFERROR(__xludf.DUMMYFUNCTION("""COMPUTED_VALUE"""),"https://gigawattgroup.com/insights/best-geo-agencies-in-2026-who-actually-drives-ai-visibility-and-citations/")</f>
        <v>https://gigawattgroup.com/insights/best-geo-agencies-in-2026-who-actually-drives-ai-visibility-and-citations/</v>
      </c>
      <c r="B494" s="11" t="str">
        <f>IFERROR(__xludf.DUMMYFUNCTION("""COMPUTED_VALUE"""),"Best GEO Agencies in 2026: Who Actually Drives AI Visibility and Citations - Gigawatt Group")</f>
        <v>Best GEO Agencies in 2026: Who Actually Drives AI Visibility and Citations - Gigawatt Group</v>
      </c>
      <c r="C494" s="8" t="str">
        <f>IFERROR(__xludf.DUMMYFUNCTION("""COMPUTED_VALUE"""),"gigawattgroup.com")</f>
        <v>gigawattgroup.com</v>
      </c>
      <c r="D494" s="11" t="str">
        <f>IFERROR(__xludf.DUMMYFUNCTION("""COMPUTED_VALUE"""),"LISTICLE")</f>
        <v>LISTICLE</v>
      </c>
      <c r="E494" s="11" t="str">
        <f>IFERROR(__xludf.DUMMYFUNCTION("""COMPUTED_VALUE"""),"CORPORATE")</f>
        <v>CORPORATE</v>
      </c>
      <c r="F494" s="11" t="str">
        <f>IFERROR(__xludf.DUMMYFUNCTION("""COMPUTED_VALUE"""),"Listicle")</f>
        <v>Listicle</v>
      </c>
      <c r="G494" s="11" t="b">
        <f>IFERROR(__xludf.DUMMYFUNCTION("""COMPUTED_VALUE"""),FALSE)</f>
        <v>0</v>
      </c>
      <c r="H494" s="11"/>
      <c r="I494" s="11">
        <f>IFERROR(__xludf.DUMMYFUNCTION("""COMPUTED_VALUE"""),1.0)</f>
        <v>1</v>
      </c>
      <c r="J494" s="11">
        <f>IFERROR(__xludf.DUMMYFUNCTION("""COMPUTED_VALUE"""),0.0)</f>
        <v>0</v>
      </c>
      <c r="K494" s="11">
        <f>IFERROR(__xludf.DUMMYFUNCTION("""COMPUTED_VALUE"""),0.0)</f>
        <v>0</v>
      </c>
      <c r="L494" s="11"/>
    </row>
    <row r="495" ht="15.75" customHeight="1">
      <c r="A495" s="8" t="str">
        <f>IFERROR(__xludf.DUMMYFUNCTION("""COMPUTED_VALUE"""),"https://www.glassix.com/article/best-seo-geo-aeo-agencies-saas")</f>
        <v>https://www.glassix.com/article/best-seo-geo-aeo-agencies-saas</v>
      </c>
      <c r="B495" s="11" t="str">
        <f>IFERROR(__xludf.DUMMYFUNCTION("""COMPUTED_VALUE"""),"18 Best SEO, GEO &amp;amp; AEO Agencies for SaaS Companies in 2026")</f>
        <v>18 Best SEO, GEO &amp;amp; AEO Agencies for SaaS Companies in 2026</v>
      </c>
      <c r="C495" s="8" t="str">
        <f>IFERROR(__xludf.DUMMYFUNCTION("""COMPUTED_VALUE"""),"glassix.com")</f>
        <v>glassix.com</v>
      </c>
      <c r="D495" s="11" t="str">
        <f>IFERROR(__xludf.DUMMYFUNCTION("""COMPUTED_VALUE"""),"LISTICLE")</f>
        <v>LISTICLE</v>
      </c>
      <c r="E495" s="11" t="str">
        <f>IFERROR(__xludf.DUMMYFUNCTION("""COMPUTED_VALUE"""),"UGC")</f>
        <v>UGC</v>
      </c>
      <c r="F495" s="11" t="str">
        <f>IFERROR(__xludf.DUMMYFUNCTION("""COMPUTED_VALUE"""),"Listicle")</f>
        <v>Listicle</v>
      </c>
      <c r="G495" s="11" t="b">
        <f>IFERROR(__xludf.DUMMYFUNCTION("""COMPUTED_VALUE"""),FALSE)</f>
        <v>0</v>
      </c>
      <c r="H495" s="11" t="str">
        <f>IFERROR(__xludf.DUMMYFUNCTION("""COMPUTED_VALUE"""),"Siege Media, Single Grain, Directive Consulting, Omniscient Digital")</f>
        <v>Siege Media, Single Grain, Directive Consulting, Omniscient Digital</v>
      </c>
      <c r="I495" s="11">
        <f>IFERROR(__xludf.DUMMYFUNCTION("""COMPUTED_VALUE"""),1.0)</f>
        <v>1</v>
      </c>
      <c r="J495" s="11">
        <f>IFERROR(__xludf.DUMMYFUNCTION("""COMPUTED_VALUE"""),0.0)</f>
        <v>0</v>
      </c>
      <c r="K495" s="11">
        <f>IFERROR(__xludf.DUMMYFUNCTION("""COMPUTED_VALUE"""),1.0)</f>
        <v>1</v>
      </c>
      <c r="L495" s="11"/>
    </row>
    <row r="496" ht="15.75" customHeight="1">
      <c r="A496" s="8" t="str">
        <f>IFERROR(__xludf.DUMMYFUNCTION("""COMPUTED_VALUE"""),"https://www.goodfirms.co/directory/city/top-digital-marketing-companies/hamburg")</f>
        <v>https://www.goodfirms.co/directory/city/top-digital-marketing-companies/hamburg</v>
      </c>
      <c r="B496" s="11" t="str">
        <f>IFERROR(__xludf.DUMMYFUNCTION("""COMPUTED_VALUE"""),"Top Digital Marketing Agencies in Hamburg - 2026 Reviews | Goodfirms")</f>
        <v>Top Digital Marketing Agencies in Hamburg - 2026 Reviews | Goodfirms</v>
      </c>
      <c r="C496" s="8" t="str">
        <f>IFERROR(__xludf.DUMMYFUNCTION("""COMPUTED_VALUE"""),"goodfirms.co")</f>
        <v>goodfirms.co</v>
      </c>
      <c r="D496" s="11" t="str">
        <f>IFERROR(__xludf.DUMMYFUNCTION("""COMPUTED_VALUE"""),"CATEGORY_PAGE")</f>
        <v>CATEGORY_PAGE</v>
      </c>
      <c r="E496" s="11" t="str">
        <f>IFERROR(__xludf.DUMMYFUNCTION("""COMPUTED_VALUE"""),"UGC")</f>
        <v>UGC</v>
      </c>
      <c r="F496" s="11" t="str">
        <f>IFERROR(__xludf.DUMMYFUNCTION("""COMPUTED_VALUE"""),"Category Page")</f>
        <v>Category Page</v>
      </c>
      <c r="G496" s="11" t="b">
        <f>IFERROR(__xludf.DUMMYFUNCTION("""COMPUTED_VALUE"""),FALSE)</f>
        <v>0</v>
      </c>
      <c r="H496" s="11" t="str">
        <f>IFERROR(__xludf.DUMMYFUNCTION("""COMPUTED_VALUE"""),"Scholz &amp; Friends, Merkle, Dentsu")</f>
        <v>Scholz &amp; Friends, Merkle, Dentsu</v>
      </c>
      <c r="I496" s="11">
        <f>IFERROR(__xludf.DUMMYFUNCTION("""COMPUTED_VALUE"""),1.0)</f>
        <v>1</v>
      </c>
      <c r="J496" s="11">
        <f>IFERROR(__xludf.DUMMYFUNCTION("""COMPUTED_VALUE"""),0.0)</f>
        <v>0</v>
      </c>
      <c r="K496" s="11">
        <f>IFERROR(__xludf.DUMMYFUNCTION("""COMPUTED_VALUE"""),0.0)</f>
        <v>0</v>
      </c>
      <c r="L496" s="11"/>
    </row>
    <row r="497" ht="15.75" customHeight="1">
      <c r="A497" s="8" t="str">
        <f>IFERROR(__xludf.DUMMYFUNCTION("""COMPUTED_VALUE"""),"https://growffic.com/blog/generative-engine-optimization-agencies/#:~:text=Siege%20Media%20is%20a%20well,likely%20to%20trust%20and%20reference.")</f>
        <v>https://growffic.com/blog/generative-engine-optimization-agencies/#:~:text=Siege%20Media%20is%20a%20well,likely%20to%20trust%20and%20reference.</v>
      </c>
      <c r="B497" s="11" t="str">
        <f>IFERROR(__xludf.DUMMYFUNCTION("""COMPUTED_VALUE"""),"10 Best Generative Engine Optimization (GEO) Agencies (2026)")</f>
        <v>10 Best Generative Engine Optimization (GEO) Agencies (2026)</v>
      </c>
      <c r="C497" s="8" t="str">
        <f>IFERROR(__xludf.DUMMYFUNCTION("""COMPUTED_VALUE"""),"growffic.com")</f>
        <v>growffic.com</v>
      </c>
      <c r="D497" s="11" t="str">
        <f>IFERROR(__xludf.DUMMYFUNCTION("""COMPUTED_VALUE"""),"LISTICLE")</f>
        <v>LISTICLE</v>
      </c>
      <c r="E497" s="11" t="str">
        <f>IFERROR(__xludf.DUMMYFUNCTION("""COMPUTED_VALUE"""),"CORPORATE")</f>
        <v>CORPORATE</v>
      </c>
      <c r="F497" s="11" t="str">
        <f>IFERROR(__xludf.DUMMYFUNCTION("""COMPUTED_VALUE"""),"Listicle")</f>
        <v>Listicle</v>
      </c>
      <c r="G497" s="11" t="b">
        <f>IFERROR(__xludf.DUMMYFUNCTION("""COMPUTED_VALUE"""),FALSE)</f>
        <v>0</v>
      </c>
      <c r="H497" s="11" t="str">
        <f>IFERROR(__xludf.DUMMYFUNCTION("""COMPUTED_VALUE"""),"Siege Media, Omniscient Digital")</f>
        <v>Siege Media, Omniscient Digital</v>
      </c>
      <c r="I497" s="11">
        <f>IFERROR(__xludf.DUMMYFUNCTION("""COMPUTED_VALUE"""),1.0)</f>
        <v>1</v>
      </c>
      <c r="J497" s="11">
        <f>IFERROR(__xludf.DUMMYFUNCTION("""COMPUTED_VALUE"""),0.0)</f>
        <v>0</v>
      </c>
      <c r="K497" s="11">
        <f>IFERROR(__xludf.DUMMYFUNCTION("""COMPUTED_VALUE"""),2.0)</f>
        <v>2</v>
      </c>
      <c r="L497" s="11"/>
    </row>
    <row r="498" ht="15.75" customHeight="1">
      <c r="A498" s="8" t="str">
        <f>IFERROR(__xludf.DUMMYFUNCTION("""COMPUTED_VALUE"""),"https://growthcurve.co/agency/digital-marketing-agency/best-new-york-digital-agency")</f>
        <v>https://growthcurve.co/agency/digital-marketing-agency/best-new-york-digital-agency</v>
      </c>
      <c r="B498" s="11" t="str">
        <f>IFERROR(__xludf.DUMMYFUNCTION("""COMPUTED_VALUE"""),"Best New York Digital Agency | Growthcurve")</f>
        <v>Best New York Digital Agency | Growthcurve</v>
      </c>
      <c r="C498" s="8" t="str">
        <f>IFERROR(__xludf.DUMMYFUNCTION("""COMPUTED_VALUE"""),"growthcurve.co")</f>
        <v>growthcurve.co</v>
      </c>
      <c r="D498" s="11" t="str">
        <f>IFERROR(__xludf.DUMMYFUNCTION("""COMPUTED_VALUE"""),"PRODUCT_PAGE")</f>
        <v>PRODUCT_PAGE</v>
      </c>
      <c r="E498" s="11" t="str">
        <f>IFERROR(__xludf.DUMMYFUNCTION("""COMPUTED_VALUE"""),"CORPORATE")</f>
        <v>CORPORATE</v>
      </c>
      <c r="F498" s="11" t="str">
        <f>IFERROR(__xludf.DUMMYFUNCTION("""COMPUTED_VALUE"""),"Product Page")</f>
        <v>Product Page</v>
      </c>
      <c r="G498" s="11" t="b">
        <f>IFERROR(__xludf.DUMMYFUNCTION("""COMPUTED_VALUE"""),FALSE)</f>
        <v>0</v>
      </c>
      <c r="H498" s="11" t="str">
        <f>IFERROR(__xludf.DUMMYFUNCTION("""COMPUTED_VALUE"""),"Momentum")</f>
        <v>Momentum</v>
      </c>
      <c r="I498" s="11">
        <f>IFERROR(__xludf.DUMMYFUNCTION("""COMPUTED_VALUE"""),1.0)</f>
        <v>1</v>
      </c>
      <c r="J498" s="11">
        <f>IFERROR(__xludf.DUMMYFUNCTION("""COMPUTED_VALUE"""),0.0)</f>
        <v>0</v>
      </c>
      <c r="K498" s="11">
        <f>IFERROR(__xludf.DUMMYFUNCTION("""COMPUTED_VALUE"""),1.0)</f>
        <v>1</v>
      </c>
      <c r="L498" s="11"/>
    </row>
    <row r="499" ht="15.75" customHeight="1">
      <c r="A499" s="8" t="str">
        <f>IFERROR(__xludf.DUMMYFUNCTION("""COMPUTED_VALUE"""),"https://growthmanager.ai/best-aeo-agency/in/munich")</f>
        <v>https://growthmanager.ai/best-aeo-agency/in/munich</v>
      </c>
      <c r="B499" s="11" t="str">
        <f>IFERROR(__xludf.DUMMYFUNCTION("""COMPUTED_VALUE"""),"Best AEO agencies in Munich (2026, reviewed)")</f>
        <v>Best AEO agencies in Munich (2026, reviewed)</v>
      </c>
      <c r="C499" s="8" t="str">
        <f>IFERROR(__xludf.DUMMYFUNCTION("""COMPUTED_VALUE"""),"growthmanager.ai")</f>
        <v>growthmanager.ai</v>
      </c>
      <c r="D499" s="11" t="str">
        <f>IFERROR(__xludf.DUMMYFUNCTION("""COMPUTED_VALUE"""),"OTHER")</f>
        <v>OTHER</v>
      </c>
      <c r="E499" s="11" t="str">
        <f>IFERROR(__xludf.DUMMYFUNCTION("""COMPUTED_VALUE"""),"CORPORATE")</f>
        <v>CORPORATE</v>
      </c>
      <c r="F499" s="11" t="str">
        <f>IFERROR(__xludf.DUMMYFUNCTION("""COMPUTED_VALUE"""),"Other")</f>
        <v>Other</v>
      </c>
      <c r="G499" s="11" t="b">
        <f>IFERROR(__xludf.DUMMYFUNCTION("""COMPUTED_VALUE"""),FALSE)</f>
        <v>0</v>
      </c>
      <c r="H499" s="11" t="str">
        <f>IFERROR(__xludf.DUMMYFUNCTION("""COMPUTED_VALUE"""),"Momentum")</f>
        <v>Momentum</v>
      </c>
      <c r="I499" s="11">
        <f>IFERROR(__xludf.DUMMYFUNCTION("""COMPUTED_VALUE"""),1.0)</f>
        <v>1</v>
      </c>
      <c r="J499" s="11">
        <f>IFERROR(__xludf.DUMMYFUNCTION("""COMPUTED_VALUE"""),0.0)</f>
        <v>0</v>
      </c>
      <c r="K499" s="11">
        <f>IFERROR(__xludf.DUMMYFUNCTION("""COMPUTED_VALUE"""),0.0)</f>
        <v>0</v>
      </c>
      <c r="L499" s="11"/>
    </row>
    <row r="500" ht="15.75" customHeight="1">
      <c r="A500" s="8" t="str">
        <f>IFERROR(__xludf.DUMMYFUNCTION("""COMPUTED_VALUE"""),"https://growthmanager.ai/best-ai-seo-agency/in/berlin")</f>
        <v>https://growthmanager.ai/best-ai-seo-agency/in/berlin</v>
      </c>
      <c r="B500" s="11" t="str">
        <f>IFERROR(__xludf.DUMMYFUNCTION("""COMPUTED_VALUE"""),"Best AI SEO agencies in Berlin (2026, reviewed)")</f>
        <v>Best AI SEO agencies in Berlin (2026, reviewed)</v>
      </c>
      <c r="C500" s="8" t="str">
        <f>IFERROR(__xludf.DUMMYFUNCTION("""COMPUTED_VALUE"""),"growthmanager.ai")</f>
        <v>growthmanager.ai</v>
      </c>
      <c r="D500" s="11" t="str">
        <f>IFERROR(__xludf.DUMMYFUNCTION("""COMPUTED_VALUE"""),"OTHER")</f>
        <v>OTHER</v>
      </c>
      <c r="E500" s="11" t="str">
        <f>IFERROR(__xludf.DUMMYFUNCTION("""COMPUTED_VALUE"""),"CORPORATE")</f>
        <v>CORPORATE</v>
      </c>
      <c r="F500" s="11" t="str">
        <f>IFERROR(__xludf.DUMMYFUNCTION("""COMPUTED_VALUE"""),"Other")</f>
        <v>Other</v>
      </c>
      <c r="G500" s="11" t="b">
        <f>IFERROR(__xludf.DUMMYFUNCTION("""COMPUTED_VALUE"""),FALSE)</f>
        <v>0</v>
      </c>
      <c r="H500" s="11" t="str">
        <f>IFERROR(__xludf.DUMMYFUNCTION("""COMPUTED_VALUE"""),"Claneo, Peak Ace, McKinsey &amp; Company, Publicis Groupe")</f>
        <v>Claneo, Peak Ace, McKinsey &amp; Company, Publicis Groupe</v>
      </c>
      <c r="I500" s="11">
        <f>IFERROR(__xludf.DUMMYFUNCTION("""COMPUTED_VALUE"""),1.0)</f>
        <v>1</v>
      </c>
      <c r="J500" s="11">
        <f>IFERROR(__xludf.DUMMYFUNCTION("""COMPUTED_VALUE"""),0.0)</f>
        <v>0</v>
      </c>
      <c r="K500" s="11">
        <f>IFERROR(__xludf.DUMMYFUNCTION("""COMPUTED_VALUE"""),0.0)</f>
        <v>0</v>
      </c>
      <c r="L500" s="11"/>
    </row>
    <row r="501" ht="15.75" customHeight="1">
      <c r="A501" s="8" t="str">
        <f>IFERROR(__xludf.DUMMYFUNCTION("""COMPUTED_VALUE"""),"https://www.growthspreeofficial.com/blogs/top-6-ai-powered-b2b-saas-marketing-agencies-in-the-united-states-2026")</f>
        <v>https://www.growthspreeofficial.com/blogs/top-6-ai-powered-b2b-saas-marketing-agencies-in-the-united-states-2026</v>
      </c>
      <c r="B501" s="11" t="str">
        <f>IFERROR(__xludf.DUMMYFUNCTION("""COMPUTED_VALUE"""),"Top 6 AI-Powered B2B SaaS Marketing Agencies USA 2026")</f>
        <v>Top 6 AI-Powered B2B SaaS Marketing Agencies USA 2026</v>
      </c>
      <c r="C501" s="8" t="str">
        <f>IFERROR(__xludf.DUMMYFUNCTION("""COMPUTED_VALUE"""),"growthspreeofficial.com")</f>
        <v>growthspreeofficial.com</v>
      </c>
      <c r="D501" s="11" t="str">
        <f>IFERROR(__xludf.DUMMYFUNCTION("""COMPUTED_VALUE"""),"LISTICLE")</f>
        <v>LISTICLE</v>
      </c>
      <c r="E501" s="11" t="str">
        <f>IFERROR(__xludf.DUMMYFUNCTION("""COMPUTED_VALUE"""),"CORPORATE")</f>
        <v>CORPORATE</v>
      </c>
      <c r="F501" s="11" t="str">
        <f>IFERROR(__xludf.DUMMYFUNCTION("""COMPUTED_VALUE"""),"Listicle")</f>
        <v>Listicle</v>
      </c>
      <c r="G501" s="11" t="b">
        <f>IFERROR(__xludf.DUMMYFUNCTION("""COMPUTED_VALUE"""),FALSE)</f>
        <v>0</v>
      </c>
      <c r="H501" s="11" t="str">
        <f>IFERROR(__xludf.DUMMYFUNCTION("""COMPUTED_VALUE"""),"GrowthSpree, Measured")</f>
        <v>GrowthSpree, Measured</v>
      </c>
      <c r="I501" s="11">
        <f>IFERROR(__xludf.DUMMYFUNCTION("""COMPUTED_VALUE"""),1.0)</f>
        <v>1</v>
      </c>
      <c r="J501" s="11">
        <f>IFERROR(__xludf.DUMMYFUNCTION("""COMPUTED_VALUE"""),0.0)</f>
        <v>0</v>
      </c>
      <c r="K501" s="11">
        <f>IFERROR(__xludf.DUMMYFUNCTION("""COMPUTED_VALUE"""),1.0)</f>
        <v>1</v>
      </c>
      <c r="L501" s="11"/>
    </row>
    <row r="502" ht="15.75" customHeight="1">
      <c r="A502" s="8" t="str">
        <f>IFERROR(__xludf.DUMMYFUNCTION("""COMPUTED_VALUE"""),"https://haus.io/blog/choosing-the-best-incrementality-testing-tool")</f>
        <v>https://haus.io/blog/choosing-the-best-incrementality-testing-tool</v>
      </c>
      <c r="B502" s="11" t="str">
        <f>IFERROR(__xludf.DUMMYFUNCTION("""COMPUTED_VALUE"""),"Incrementality Testing: How to Choose the Best Tool")</f>
        <v>Incrementality Testing: How to Choose the Best Tool</v>
      </c>
      <c r="C502" s="8" t="str">
        <f>IFERROR(__xludf.DUMMYFUNCTION("""COMPUTED_VALUE"""),"haus.io")</f>
        <v>haus.io</v>
      </c>
      <c r="D502" s="11" t="str">
        <f>IFERROR(__xludf.DUMMYFUNCTION("""COMPUTED_VALUE"""),"HOW_TO_GUIDE")</f>
        <v>HOW_TO_GUIDE</v>
      </c>
      <c r="E502" s="11" t="str">
        <f>IFERROR(__xludf.DUMMYFUNCTION("""COMPUTED_VALUE"""),"COMPETITOR")</f>
        <v>COMPETITOR</v>
      </c>
      <c r="F502" s="11" t="str">
        <f>IFERROR(__xludf.DUMMYFUNCTION("""COMPUTED_VALUE"""),"How-To Guide")</f>
        <v>How-To Guide</v>
      </c>
      <c r="G502" s="11" t="b">
        <f>IFERROR(__xludf.DUMMYFUNCTION("""COMPUTED_VALUE"""),FALSE)</f>
        <v>0</v>
      </c>
      <c r="H502" s="11" t="str">
        <f>IFERROR(__xludf.DUMMYFUNCTION("""COMPUTED_VALUE"""),"Haus")</f>
        <v>Haus</v>
      </c>
      <c r="I502" s="11">
        <f>IFERROR(__xludf.DUMMYFUNCTION("""COMPUTED_VALUE"""),1.0)</f>
        <v>1</v>
      </c>
      <c r="J502" s="11">
        <f>IFERROR(__xludf.DUMMYFUNCTION("""COMPUTED_VALUE"""),0.0)</f>
        <v>0</v>
      </c>
      <c r="K502" s="11">
        <f>IFERROR(__xludf.DUMMYFUNCTION("""COMPUTED_VALUE"""),0.0)</f>
        <v>0</v>
      </c>
      <c r="L502" s="11"/>
    </row>
    <row r="503" ht="15.75" customHeight="1">
      <c r="A503" s="8" t="str">
        <f>IFERROR(__xludf.DUMMYFUNCTION("""COMPUTED_VALUE"""),"https://hawkemedia.com/insights/top-performance-marketing-agencies/")</f>
        <v>https://hawkemedia.com/insights/top-performance-marketing-agencies/</v>
      </c>
      <c r="B503" s="11" t="str">
        <f>IFERROR(__xludf.DUMMYFUNCTION("""COMPUTED_VALUE"""),"Top 25 Performance Marketing Agencies In The U.S. 2026 | Hawke Media")</f>
        <v>Top 25 Performance Marketing Agencies In The U.S. 2026 | Hawke Media</v>
      </c>
      <c r="C503" s="8" t="str">
        <f>IFERROR(__xludf.DUMMYFUNCTION("""COMPUTED_VALUE"""),"hawkemedia.com")</f>
        <v>hawkemedia.com</v>
      </c>
      <c r="D503" s="11" t="str">
        <f>IFERROR(__xludf.DUMMYFUNCTION("""COMPUTED_VALUE"""),"LISTICLE")</f>
        <v>LISTICLE</v>
      </c>
      <c r="E503" s="11" t="str">
        <f>IFERROR(__xludf.DUMMYFUNCTION("""COMPUTED_VALUE"""),"COMPETITOR")</f>
        <v>COMPETITOR</v>
      </c>
      <c r="F503" s="11" t="str">
        <f>IFERROR(__xludf.DUMMYFUNCTION("""COMPUTED_VALUE"""),"Listicle")</f>
        <v>Listicle</v>
      </c>
      <c r="G503" s="11" t="b">
        <f>IFERROR(__xludf.DUMMYFUNCTION("""COMPUTED_VALUE"""),FALSE)</f>
        <v>0</v>
      </c>
      <c r="H503" s="11" t="str">
        <f>IFERROR(__xludf.DUMMYFUNCTION("""COMPUTED_VALUE"""),"Hawke Media, Tinuiti, Wpromote, Power Digital, WebFX, KlientBoost, Measured, Disruptive Advertising, New Engen, SmartSites, NoGood, R/GA, Ogilvy, Monks, Merkle, Siege Media")</f>
        <v>Hawke Media, Tinuiti, Wpromote, Power Digital, WebFX, KlientBoost, Measured, Disruptive Advertising, New Engen, SmartSites, NoGood, R/GA, Ogilvy, Monks, Merkle, Siege Media</v>
      </c>
      <c r="I503" s="11">
        <f>IFERROR(__xludf.DUMMYFUNCTION("""COMPUTED_VALUE"""),1.0)</f>
        <v>1</v>
      </c>
      <c r="J503" s="11">
        <f>IFERROR(__xludf.DUMMYFUNCTION("""COMPUTED_VALUE"""),0.0)</f>
        <v>0</v>
      </c>
      <c r="K503" s="11">
        <f>IFERROR(__xludf.DUMMYFUNCTION("""COMPUTED_VALUE"""),1.0)</f>
        <v>1</v>
      </c>
      <c r="L503" s="11"/>
    </row>
    <row r="504" ht="15.75" customHeight="1">
      <c r="A504" s="8" t="str">
        <f>IFERROR(__xludf.DUMMYFUNCTION("""COMPUTED_VALUE"""),"https://hawksem.com/blog/performance-marketing-agency-list/")</f>
        <v>https://hawksem.com/blog/performance-marketing-agency-list/</v>
      </c>
      <c r="B504" s="11" t="str">
        <f>IFERROR(__xludf.DUMMYFUNCTION("""COMPUTED_VALUE"""),"Top 10 Performance Marketing Agencies in 2026")</f>
        <v>Top 10 Performance Marketing Agencies in 2026</v>
      </c>
      <c r="C504" s="8" t="str">
        <f>IFERROR(__xludf.DUMMYFUNCTION("""COMPUTED_VALUE"""),"hawksem.com")</f>
        <v>hawksem.com</v>
      </c>
      <c r="D504" s="11" t="str">
        <f>IFERROR(__xludf.DUMMYFUNCTION("""COMPUTED_VALUE"""),"LISTICLE")</f>
        <v>LISTICLE</v>
      </c>
      <c r="E504" s="11" t="str">
        <f>IFERROR(__xludf.DUMMYFUNCTION("""COMPUTED_VALUE"""),"CORPORATE")</f>
        <v>CORPORATE</v>
      </c>
      <c r="F504" s="11" t="str">
        <f>IFERROR(__xludf.DUMMYFUNCTION("""COMPUTED_VALUE"""),"Listicle")</f>
        <v>Listicle</v>
      </c>
      <c r="G504" s="11" t="b">
        <f>IFERROR(__xludf.DUMMYFUNCTION("""COMPUTED_VALUE"""),FALSE)</f>
        <v>0</v>
      </c>
      <c r="H504" s="11" t="str">
        <f>IFERROR(__xludf.DUMMYFUNCTION("""COMPUTED_VALUE"""),"Tinuiti, Merkle, Wpromote")</f>
        <v>Tinuiti, Merkle, Wpromote</v>
      </c>
      <c r="I504" s="11">
        <f>IFERROR(__xludf.DUMMYFUNCTION("""COMPUTED_VALUE"""),1.0)</f>
        <v>1</v>
      </c>
      <c r="J504" s="11">
        <f>IFERROR(__xludf.DUMMYFUNCTION("""COMPUTED_VALUE"""),0.0)</f>
        <v>0</v>
      </c>
      <c r="K504" s="11">
        <f>IFERROR(__xludf.DUMMYFUNCTION("""COMPUTED_VALUE"""),0.0)</f>
        <v>0</v>
      </c>
      <c r="L504" s="11"/>
    </row>
    <row r="505" ht="15.75" customHeight="1">
      <c r="A505" s="8" t="str">
        <f>IFERROR(__xludf.DUMMYFUNCTION("""COMPUTED_VALUE"""),"https://www.heeet.io/blog/15-best-multi-touch-marketing-attribution-platforms-in-2026-compared-in-depth")</f>
        <v>https://www.heeet.io/blog/15-best-multi-touch-marketing-attribution-platforms-in-2026-compared-in-depth</v>
      </c>
      <c r="B505" s="11" t="str">
        <f>IFERROR(__xludf.DUMMYFUNCTION("""COMPUTED_VALUE"""),"15 Best Marketing Attribution Software in 2026 - Reviewed &amp;amp; Ranked")</f>
        <v>15 Best Marketing Attribution Software in 2026 - Reviewed &amp;amp; Ranked</v>
      </c>
      <c r="C505" s="8" t="str">
        <f>IFERROR(__xludf.DUMMYFUNCTION("""COMPUTED_VALUE"""),"heeet.io")</f>
        <v>heeet.io</v>
      </c>
      <c r="D505" s="11" t="str">
        <f>IFERROR(__xludf.DUMMYFUNCTION("""COMPUTED_VALUE"""),"COMPARISON")</f>
        <v>COMPARISON</v>
      </c>
      <c r="E505" s="11" t="str">
        <f>IFERROR(__xludf.DUMMYFUNCTION("""COMPUTED_VALUE"""),"CORPORATE")</f>
        <v>CORPORATE</v>
      </c>
      <c r="F505" s="11" t="str">
        <f>IFERROR(__xludf.DUMMYFUNCTION("""COMPUTED_VALUE"""),"Comparison")</f>
        <v>Comparison</v>
      </c>
      <c r="G505" s="11" t="b">
        <f>IFERROR(__xludf.DUMMYFUNCTION("""COMPUTED_VALUE"""),FALSE)</f>
        <v>0</v>
      </c>
      <c r="H505" s="11" t="str">
        <f>IFERROR(__xludf.DUMMYFUNCTION("""COMPUTED_VALUE"""),"Dreamdata, Ruler Analytics, Triple Whale, Cometly, Northbeam")</f>
        <v>Dreamdata, Ruler Analytics, Triple Whale, Cometly, Northbeam</v>
      </c>
      <c r="I505" s="11">
        <f>IFERROR(__xludf.DUMMYFUNCTION("""COMPUTED_VALUE"""),1.0)</f>
        <v>1</v>
      </c>
      <c r="J505" s="11">
        <f>IFERROR(__xludf.DUMMYFUNCTION("""COMPUTED_VALUE"""),0.0)</f>
        <v>0</v>
      </c>
      <c r="K505" s="11">
        <f>IFERROR(__xludf.DUMMYFUNCTION("""COMPUTED_VALUE"""),0.0)</f>
        <v>0</v>
      </c>
      <c r="L505" s="11"/>
    </row>
    <row r="506" ht="15.75" customHeight="1">
      <c r="A506" s="8" t="str">
        <f>IFERROR(__xludf.DUMMYFUNCTION("""COMPUTED_VALUE"""),"https://www.herohunt.ai/recruitment-agency-countries/germany/")</f>
        <v>https://www.herohunt.ai/recruitment-agency-countries/germany/</v>
      </c>
      <c r="B506" s="11" t="str">
        <f>IFERROR(__xludf.DUMMYFUNCTION("""COMPUTED_VALUE"""),"The best recruitment agencies in Germany")</f>
        <v>The best recruitment agencies in Germany</v>
      </c>
      <c r="C506" s="8" t="str">
        <f>IFERROR(__xludf.DUMMYFUNCTION("""COMPUTED_VALUE"""),"herohunt.ai")</f>
        <v>herohunt.ai</v>
      </c>
      <c r="D506" s="11" t="str">
        <f>IFERROR(__xludf.DUMMYFUNCTION("""COMPUTED_VALUE"""),"OTHER")</f>
        <v>OTHER</v>
      </c>
      <c r="E506" s="11" t="str">
        <f>IFERROR(__xludf.DUMMYFUNCTION("""COMPUTED_VALUE"""),"CORPORATE")</f>
        <v>CORPORATE</v>
      </c>
      <c r="F506" s="11" t="str">
        <f>IFERROR(__xludf.DUMMYFUNCTION("""COMPUTED_VALUE"""),"Other")</f>
        <v>Other</v>
      </c>
      <c r="G506" s="11" t="b">
        <f>IFERROR(__xludf.DUMMYFUNCTION("""COMPUTED_VALUE"""),FALSE)</f>
        <v>0</v>
      </c>
      <c r="H506" s="11"/>
      <c r="I506" s="11">
        <f>IFERROR(__xludf.DUMMYFUNCTION("""COMPUTED_VALUE"""),1.0)</f>
        <v>1</v>
      </c>
      <c r="J506" s="11">
        <f>IFERROR(__xludf.DUMMYFUNCTION("""COMPUTED_VALUE"""),0.0)</f>
        <v>0</v>
      </c>
      <c r="K506" s="11">
        <f>IFERROR(__xludf.DUMMYFUNCTION("""COMPUTED_VALUE"""),1.0)</f>
        <v>1</v>
      </c>
      <c r="L506" s="11"/>
    </row>
    <row r="507" ht="15.75" customHeight="1">
      <c r="A507" s="8" t="str">
        <f>IFERROR(__xludf.DUMMYFUNCTION("""COMPUTED_VALUE"""),"https://www.heydigital.co/blog/best-saas-performance-marketing-agencies")</f>
        <v>https://www.heydigital.co/blog/best-saas-performance-marketing-agencies</v>
      </c>
      <c r="B507" s="11" t="str">
        <f>IFERROR(__xludf.DUMMYFUNCTION("""COMPUTED_VALUE"""),"13 Best SaaS Performance Marketing Agencies | Hey Digital")</f>
        <v>13 Best SaaS Performance Marketing Agencies | Hey Digital</v>
      </c>
      <c r="C507" s="8" t="str">
        <f>IFERROR(__xludf.DUMMYFUNCTION("""COMPUTED_VALUE"""),"heydigital.co")</f>
        <v>heydigital.co</v>
      </c>
      <c r="D507" s="11" t="str">
        <f>IFERROR(__xludf.DUMMYFUNCTION("""COMPUTED_VALUE"""),"LISTICLE")</f>
        <v>LISTICLE</v>
      </c>
      <c r="E507" s="11" t="str">
        <f>IFERROR(__xludf.DUMMYFUNCTION("""COMPUTED_VALUE"""),"CORPORATE")</f>
        <v>CORPORATE</v>
      </c>
      <c r="F507" s="11" t="str">
        <f>IFERROR(__xludf.DUMMYFUNCTION("""COMPUTED_VALUE"""),"Listicle")</f>
        <v>Listicle</v>
      </c>
      <c r="G507" s="11" t="b">
        <f>IFERROR(__xludf.DUMMYFUNCTION("""COMPUTED_VALUE"""),FALSE)</f>
        <v>0</v>
      </c>
      <c r="H507" s="11" t="str">
        <f>IFERROR(__xludf.DUMMYFUNCTION("""COMPUTED_VALUE"""),"Refine Labs, NoGood, Single Grain, KlientBoost, Measured")</f>
        <v>Refine Labs, NoGood, Single Grain, KlientBoost, Measured</v>
      </c>
      <c r="I507" s="11">
        <f>IFERROR(__xludf.DUMMYFUNCTION("""COMPUTED_VALUE"""),1.0)</f>
        <v>1</v>
      </c>
      <c r="J507" s="11">
        <f>IFERROR(__xludf.DUMMYFUNCTION("""COMPUTED_VALUE"""),0.0)</f>
        <v>0</v>
      </c>
      <c r="K507" s="11">
        <f>IFERROR(__xludf.DUMMYFUNCTION("""COMPUTED_VALUE"""),1.0)</f>
        <v>1</v>
      </c>
      <c r="L507" s="11"/>
    </row>
    <row r="508" ht="15.75" customHeight="1">
      <c r="A508" s="8" t="str">
        <f>IFERROR(__xludf.DUMMYFUNCTION("""COMPUTED_VALUE"""),"https://www.heydigital.co/blog/saas-marketing-agencies")</f>
        <v>https://www.heydigital.co/blog/saas-marketing-agencies</v>
      </c>
      <c r="B508" s="11" t="str">
        <f>IFERROR(__xludf.DUMMYFUNCTION("""COMPUTED_VALUE"""),"The 16 Best SaaS Marketing Agencies in 2026 | Hey Digital")</f>
        <v>The 16 Best SaaS Marketing Agencies in 2026 | Hey Digital</v>
      </c>
      <c r="C508" s="8" t="str">
        <f>IFERROR(__xludf.DUMMYFUNCTION("""COMPUTED_VALUE"""),"heydigital.co")</f>
        <v>heydigital.co</v>
      </c>
      <c r="D508" s="11" t="str">
        <f>IFERROR(__xludf.DUMMYFUNCTION("""COMPUTED_VALUE"""),"LISTICLE")</f>
        <v>LISTICLE</v>
      </c>
      <c r="E508" s="11" t="str">
        <f>IFERROR(__xludf.DUMMYFUNCTION("""COMPUTED_VALUE"""),"CORPORATE")</f>
        <v>CORPORATE</v>
      </c>
      <c r="F508" s="11" t="str">
        <f>IFERROR(__xludf.DUMMYFUNCTION("""COMPUTED_VALUE"""),"Listicle")</f>
        <v>Listicle</v>
      </c>
      <c r="G508" s="11" t="b">
        <f>IFERROR(__xludf.DUMMYFUNCTION("""COMPUTED_VALUE"""),FALSE)</f>
        <v>0</v>
      </c>
      <c r="H508" s="11" t="str">
        <f>IFERROR(__xludf.DUMMYFUNCTION("""COMPUTED_VALUE"""),"Directive Consulting, NoGood, Single Grain, Omniscient Digital, Siege Media, Refine Labs")</f>
        <v>Directive Consulting, NoGood, Single Grain, Omniscient Digital, Siege Media, Refine Labs</v>
      </c>
      <c r="I508" s="11">
        <f>IFERROR(__xludf.DUMMYFUNCTION("""COMPUTED_VALUE"""),1.0)</f>
        <v>1</v>
      </c>
      <c r="J508" s="11">
        <f>IFERROR(__xludf.DUMMYFUNCTION("""COMPUTED_VALUE"""),0.0)</f>
        <v>0</v>
      </c>
      <c r="K508" s="11">
        <f>IFERROR(__xludf.DUMMYFUNCTION("""COMPUTED_VALUE"""),0.0)</f>
        <v>0</v>
      </c>
      <c r="L508" s="11"/>
    </row>
    <row r="509" ht="15.75" customHeight="1">
      <c r="A509" s="8" t="str">
        <f>IFERROR(__xludf.DUMMYFUNCTION("""COMPUTED_VALUE"""),"https://higoodie.com/blog/ai-search-visibility-services/")</f>
        <v>https://higoodie.com/blog/ai-search-visibility-services/</v>
      </c>
      <c r="B509" s="11" t="str">
        <f>IFERROR(__xludf.DUMMYFUNCTION("""COMPUTED_VALUE"""),"AI Search Visibility Services &amp;amp; Top Providers | Goodie")</f>
        <v>AI Search Visibility Services &amp;amp; Top Providers | Goodie</v>
      </c>
      <c r="C509" s="8" t="str">
        <f>IFERROR(__xludf.DUMMYFUNCTION("""COMPUTED_VALUE"""),"higoodie.com")</f>
        <v>higoodie.com</v>
      </c>
      <c r="D509" s="11" t="str">
        <f>IFERROR(__xludf.DUMMYFUNCTION("""COMPUTED_VALUE"""),"LISTICLE")</f>
        <v>LISTICLE</v>
      </c>
      <c r="E509" s="11" t="str">
        <f>IFERROR(__xludf.DUMMYFUNCTION("""COMPUTED_VALUE"""),"OTHER")</f>
        <v>OTHER</v>
      </c>
      <c r="F509" s="11" t="str">
        <f>IFERROR(__xludf.DUMMYFUNCTION("""COMPUTED_VALUE"""),"Listicle")</f>
        <v>Listicle</v>
      </c>
      <c r="G509" s="11" t="b">
        <f>IFERROR(__xludf.DUMMYFUNCTION("""COMPUTED_VALUE"""),FALSE)</f>
        <v>0</v>
      </c>
      <c r="H509" s="11" t="str">
        <f>IFERROR(__xludf.DUMMYFUNCTION("""COMPUTED_VALUE"""),"Measured, NoGood")</f>
        <v>Measured, NoGood</v>
      </c>
      <c r="I509" s="11">
        <f>IFERROR(__xludf.DUMMYFUNCTION("""COMPUTED_VALUE"""),1.0)</f>
        <v>1</v>
      </c>
      <c r="J509" s="11">
        <f>IFERROR(__xludf.DUMMYFUNCTION("""COMPUTED_VALUE"""),0.0)</f>
        <v>0</v>
      </c>
      <c r="K509" s="11">
        <f>IFERROR(__xludf.DUMMYFUNCTION("""COMPUTED_VALUE"""),1.0)</f>
        <v>1</v>
      </c>
      <c r="L509" s="11"/>
    </row>
    <row r="510" ht="15.75" customHeight="1">
      <c r="A510" s="8" t="str">
        <f>IFERROR(__xludf.DUMMYFUNCTION("""COMPUTED_VALUE"""),"https://hikemytraffic.com/ppc-agencies-in-germany/")</f>
        <v>https://hikemytraffic.com/ppc-agencies-in-germany/</v>
      </c>
      <c r="B510" s="11" t="str">
        <f>IFERROR(__xludf.DUMMYFUNCTION("""COMPUTED_VALUE"""),"10 Best PPC Agencies in Germany (2026)")</f>
        <v>10 Best PPC Agencies in Germany (2026)</v>
      </c>
      <c r="C510" s="8" t="str">
        <f>IFERROR(__xludf.DUMMYFUNCTION("""COMPUTED_VALUE"""),"hikemytraffic.com")</f>
        <v>hikemytraffic.com</v>
      </c>
      <c r="D510" s="11" t="str">
        <f>IFERROR(__xludf.DUMMYFUNCTION("""COMPUTED_VALUE"""),"LISTICLE")</f>
        <v>LISTICLE</v>
      </c>
      <c r="E510" s="11" t="str">
        <f>IFERROR(__xludf.DUMMYFUNCTION("""COMPUTED_VALUE"""),"COMPETITOR")</f>
        <v>COMPETITOR</v>
      </c>
      <c r="F510" s="11" t="str">
        <f>IFERROR(__xludf.DUMMYFUNCTION("""COMPUTED_VALUE"""),"Listicle")</f>
        <v>Listicle</v>
      </c>
      <c r="G510" s="11" t="b">
        <f>IFERROR(__xludf.DUMMYFUNCTION("""COMPUTED_VALUE"""),FALSE)</f>
        <v>0</v>
      </c>
      <c r="H510" s="11" t="str">
        <f>IFERROR(__xludf.DUMMYFUNCTION("""COMPUTED_VALUE"""),"HikeMyTraffic")</f>
        <v>HikeMyTraffic</v>
      </c>
      <c r="I510" s="11">
        <f>IFERROR(__xludf.DUMMYFUNCTION("""COMPUTED_VALUE"""),1.0)</f>
        <v>1</v>
      </c>
      <c r="J510" s="11">
        <f>IFERROR(__xludf.DUMMYFUNCTION("""COMPUTED_VALUE"""),0.0)</f>
        <v>0</v>
      </c>
      <c r="K510" s="11">
        <f>IFERROR(__xludf.DUMMYFUNCTION("""COMPUTED_VALUE"""),1.0)</f>
        <v>1</v>
      </c>
      <c r="L510" s="11"/>
    </row>
    <row r="511" ht="15.75" customHeight="1">
      <c r="A511" s="8" t="str">
        <f>IFERROR(__xludf.DUMMYFUNCTION("""COMPUTED_VALUE"""),"https://www.hirefrontenddeveloperindia.com/best-ai-powered-frontend-development-companies-italy")</f>
        <v>https://www.hirefrontenddeveloperindia.com/best-ai-powered-frontend-development-companies-italy</v>
      </c>
      <c r="B511" s="11" t="str">
        <f>IFERROR(__xludf.DUMMYFUNCTION("""COMPUTED_VALUE"""),"Best AI-Powered FrontEnd Development Companies in Italy")</f>
        <v>Best AI-Powered FrontEnd Development Companies in Italy</v>
      </c>
      <c r="C511" s="8" t="str">
        <f>IFERROR(__xludf.DUMMYFUNCTION("""COMPUTED_VALUE"""),"hirefrontenddeveloperindia.com")</f>
        <v>hirefrontenddeveloperindia.com</v>
      </c>
      <c r="D511" s="11" t="str">
        <f>IFERROR(__xludf.DUMMYFUNCTION("""COMPUTED_VALUE"""),"LISTICLE")</f>
        <v>LISTICLE</v>
      </c>
      <c r="E511" s="11" t="str">
        <f>IFERROR(__xludf.DUMMYFUNCTION("""COMPUTED_VALUE"""),"CORPORATE")</f>
        <v>CORPORATE</v>
      </c>
      <c r="F511" s="11" t="str">
        <f>IFERROR(__xludf.DUMMYFUNCTION("""COMPUTED_VALUE"""),"Listicle")</f>
        <v>Listicle</v>
      </c>
      <c r="G511" s="11" t="b">
        <f>IFERROR(__xludf.DUMMYFUNCTION("""COMPUTED_VALUE"""),FALSE)</f>
        <v>0</v>
      </c>
      <c r="H511" s="11" t="str">
        <f>IFERROR(__xludf.DUMMYFUNCTION("""COMPUTED_VALUE"""),"Pilot")</f>
        <v>Pilot</v>
      </c>
      <c r="I511" s="11">
        <f>IFERROR(__xludf.DUMMYFUNCTION("""COMPUTED_VALUE"""),1.0)</f>
        <v>1</v>
      </c>
      <c r="J511" s="11">
        <f>IFERROR(__xludf.DUMMYFUNCTION("""COMPUTED_VALUE"""),0.0)</f>
        <v>0</v>
      </c>
      <c r="K511" s="11">
        <f>IFERROR(__xludf.DUMMYFUNCTION("""COMPUTED_VALUE"""),0.0)</f>
        <v>0</v>
      </c>
      <c r="L511" s="11"/>
    </row>
    <row r="512" ht="15.75" customHeight="1">
      <c r="A512" s="8" t="str">
        <f>IFERROR(__xludf.DUMMYFUNCTION("""COMPUTED_VALUE"""),"https://hourlydeveloper.io/blog/best-ai-powered-machine-learning-development-firms-in-germany")</f>
        <v>https://hourlydeveloper.io/blog/best-ai-powered-machine-learning-development-firms-in-germany</v>
      </c>
      <c r="B512" s="11" t="str">
        <f>IFERROR(__xludf.DUMMYFUNCTION("""COMPUTED_VALUE"""),"Best AI-Powered Machine Learning Development Firms in Germany")</f>
        <v>Best AI-Powered Machine Learning Development Firms in Germany</v>
      </c>
      <c r="C512" s="8" t="str">
        <f>IFERROR(__xludf.DUMMYFUNCTION("""COMPUTED_VALUE"""),"hourlydeveloper.io")</f>
        <v>hourlydeveloper.io</v>
      </c>
      <c r="D512" s="11" t="str">
        <f>IFERROR(__xludf.DUMMYFUNCTION("""COMPUTED_VALUE"""),"LISTICLE")</f>
        <v>LISTICLE</v>
      </c>
      <c r="E512" s="11" t="str">
        <f>IFERROR(__xludf.DUMMYFUNCTION("""COMPUTED_VALUE"""),"CORPORATE")</f>
        <v>CORPORATE</v>
      </c>
      <c r="F512" s="11" t="str">
        <f>IFERROR(__xludf.DUMMYFUNCTION("""COMPUTED_VALUE"""),"Listicle")</f>
        <v>Listicle</v>
      </c>
      <c r="G512" s="11" t="b">
        <f>IFERROR(__xludf.DUMMYFUNCTION("""COMPUTED_VALUE"""),FALSE)</f>
        <v>0</v>
      </c>
      <c r="H512" s="11" t="str">
        <f>IFERROR(__xludf.DUMMYFUNCTION("""COMPUTED_VALUE"""),"appliedAI, Pilot")</f>
        <v>appliedAI, Pilot</v>
      </c>
      <c r="I512" s="11">
        <f>IFERROR(__xludf.DUMMYFUNCTION("""COMPUTED_VALUE"""),1.0)</f>
        <v>1</v>
      </c>
      <c r="J512" s="11">
        <f>IFERROR(__xludf.DUMMYFUNCTION("""COMPUTED_VALUE"""),0.0)</f>
        <v>0</v>
      </c>
      <c r="K512" s="11">
        <f>IFERROR(__xludf.DUMMYFUNCTION("""COMPUTED_VALUE"""),0.0)</f>
        <v>0</v>
      </c>
      <c r="L512" s="11"/>
    </row>
    <row r="513" ht="15.75" customHeight="1">
      <c r="A513" s="8" t="str">
        <f>IFERROR(__xludf.DUMMYFUNCTION("""COMPUTED_VALUE"""),"https://www.housesofgrowth.com/post/ai-digital-marketing-agencies")</f>
        <v>https://www.housesofgrowth.com/post/ai-digital-marketing-agencies</v>
      </c>
      <c r="B513" s="11" t="str">
        <f>IFERROR(__xludf.DUMMYFUNCTION("""COMPUTED_VALUE"""),"10 Best AI Digital Marketing Agencies (2026)")</f>
        <v>10 Best AI Digital Marketing Agencies (2026)</v>
      </c>
      <c r="C513" s="8" t="str">
        <f>IFERROR(__xludf.DUMMYFUNCTION("""COMPUTED_VALUE"""),"housesofgrowth.com")</f>
        <v>housesofgrowth.com</v>
      </c>
      <c r="D513" s="11" t="str">
        <f>IFERROR(__xludf.DUMMYFUNCTION("""COMPUTED_VALUE"""),"LISTICLE")</f>
        <v>LISTICLE</v>
      </c>
      <c r="E513" s="11" t="str">
        <f>IFERROR(__xludf.DUMMYFUNCTION("""COMPUTED_VALUE"""),"CORPORATE")</f>
        <v>CORPORATE</v>
      </c>
      <c r="F513" s="11" t="str">
        <f>IFERROR(__xludf.DUMMYFUNCTION("""COMPUTED_VALUE"""),"Listicle")</f>
        <v>Listicle</v>
      </c>
      <c r="G513" s="11" t="b">
        <f>IFERROR(__xludf.DUMMYFUNCTION("""COMPUTED_VALUE"""),FALSE)</f>
        <v>0</v>
      </c>
      <c r="H513" s="11" t="str">
        <f>IFERROR(__xludf.DUMMYFUNCTION("""COMPUTED_VALUE"""),"NoGood, Single Grain, Power Digital, Wpromote, Omniscient Digital, Superside")</f>
        <v>NoGood, Single Grain, Power Digital, Wpromote, Omniscient Digital, Superside</v>
      </c>
      <c r="I513" s="11">
        <f>IFERROR(__xludf.DUMMYFUNCTION("""COMPUTED_VALUE"""),1.0)</f>
        <v>1</v>
      </c>
      <c r="J513" s="11">
        <f>IFERROR(__xludf.DUMMYFUNCTION("""COMPUTED_VALUE"""),0.0)</f>
        <v>0</v>
      </c>
      <c r="K513" s="11">
        <f>IFERROR(__xludf.DUMMYFUNCTION("""COMPUTED_VALUE"""),1.0)</f>
        <v>1</v>
      </c>
      <c r="L513" s="11"/>
    </row>
    <row r="514" ht="15.75" customHeight="1">
      <c r="A514" s="8" t="str">
        <f>IFERROR(__xludf.DUMMYFUNCTION("""COMPUTED_VALUE"""),"https://www.hustlermarketing.com/best-email-marketing-agencies-2026-comparison-guide/")</f>
        <v>https://www.hustlermarketing.com/best-email-marketing-agencies-2026-comparison-guide/</v>
      </c>
      <c r="B514" s="11" t="str">
        <f>IFERROR(__xludf.DUMMYFUNCTION("""COMPUTED_VALUE"""),"Best Email Marketing Agencies in 2026 (Reviewed &amp;amp; Ranked)")</f>
        <v>Best Email Marketing Agencies in 2026 (Reviewed &amp;amp; Ranked)</v>
      </c>
      <c r="C514" s="8" t="str">
        <f>IFERROR(__xludf.DUMMYFUNCTION("""COMPUTED_VALUE"""),"hustlermarketing.com")</f>
        <v>hustlermarketing.com</v>
      </c>
      <c r="D514" s="11" t="str">
        <f>IFERROR(__xludf.DUMMYFUNCTION("""COMPUTED_VALUE"""),"LISTICLE")</f>
        <v>LISTICLE</v>
      </c>
      <c r="E514" s="11" t="str">
        <f>IFERROR(__xludf.DUMMYFUNCTION("""COMPUTED_VALUE"""),"CORPORATE")</f>
        <v>CORPORATE</v>
      </c>
      <c r="F514" s="11" t="str">
        <f>IFERROR(__xludf.DUMMYFUNCTION("""COMPUTED_VALUE"""),"Listicle")</f>
        <v>Listicle</v>
      </c>
      <c r="G514" s="11" t="b">
        <f>IFERROR(__xludf.DUMMYFUNCTION("""COMPUTED_VALUE"""),FALSE)</f>
        <v>0</v>
      </c>
      <c r="H514" s="11"/>
      <c r="I514" s="11">
        <f>IFERROR(__xludf.DUMMYFUNCTION("""COMPUTED_VALUE"""),1.0)</f>
        <v>1</v>
      </c>
      <c r="J514" s="11">
        <f>IFERROR(__xludf.DUMMYFUNCTION("""COMPUTED_VALUE"""),0.0)</f>
        <v>0</v>
      </c>
      <c r="K514" s="11">
        <f>IFERROR(__xludf.DUMMYFUNCTION("""COMPUTED_VALUE"""),0.0)</f>
        <v>0</v>
      </c>
      <c r="L514" s="11"/>
    </row>
    <row r="515" ht="15.75" customHeight="1">
      <c r="A515" s="8" t="str">
        <f>IFERROR(__xludf.DUMMYFUNCTION("""COMPUTED_VALUE"""),"https://icoda.io/de/ai/best-ai-digital-marketing-agencies/")</f>
        <v>https://icoda.io/de/ai/best-ai-digital-marketing-agencies/</v>
      </c>
      <c r="B515" s="11" t="str">
        <f>IFERROR(__xludf.DUMMYFUNCTION("""COMPUTED_VALUE"""),"Top 10 KI-Agenturen für digitales Marketing [2026]")</f>
        <v>Top 10 KI-Agenturen für digitales Marketing [2026]</v>
      </c>
      <c r="C515" s="8" t="str">
        <f>IFERROR(__xludf.DUMMYFUNCTION("""COMPUTED_VALUE"""),"icoda.io")</f>
        <v>icoda.io</v>
      </c>
      <c r="D515" s="11" t="str">
        <f>IFERROR(__xludf.DUMMYFUNCTION("""COMPUTED_VALUE"""),"LISTICLE")</f>
        <v>LISTICLE</v>
      </c>
      <c r="E515" s="11" t="str">
        <f>IFERROR(__xludf.DUMMYFUNCTION("""COMPUTED_VALUE"""),"CORPORATE")</f>
        <v>CORPORATE</v>
      </c>
      <c r="F515" s="11" t="str">
        <f>IFERROR(__xludf.DUMMYFUNCTION("""COMPUTED_VALUE"""),"Listicle")</f>
        <v>Listicle</v>
      </c>
      <c r="G515" s="11" t="b">
        <f>IFERROR(__xludf.DUMMYFUNCTION("""COMPUTED_VALUE"""),FALSE)</f>
        <v>0</v>
      </c>
      <c r="H515" s="11" t="str">
        <f>IFERROR(__xludf.DUMMYFUNCTION("""COMPUTED_VALUE"""),"Wpromote, Brainlabs, Tinuiti, Directive Consulting, Jellyfish, Single Grain")</f>
        <v>Wpromote, Brainlabs, Tinuiti, Directive Consulting, Jellyfish, Single Grain</v>
      </c>
      <c r="I515" s="11">
        <f>IFERROR(__xludf.DUMMYFUNCTION("""COMPUTED_VALUE"""),1.0)</f>
        <v>1</v>
      </c>
      <c r="J515" s="11">
        <f>IFERROR(__xludf.DUMMYFUNCTION("""COMPUTED_VALUE"""),0.0)</f>
        <v>0</v>
      </c>
      <c r="K515" s="11">
        <f>IFERROR(__xludf.DUMMYFUNCTION("""COMPUTED_VALUE"""),0.0)</f>
        <v>0</v>
      </c>
      <c r="L515" s="11"/>
    </row>
    <row r="516" ht="15.75" customHeight="1">
      <c r="A516" s="8" t="str">
        <f>IFERROR(__xludf.DUMMYFUNCTION("""COMPUTED_VALUE"""),"https://www.inbeat.co/articles/top-performance-marketing-agencies/")</f>
        <v>https://www.inbeat.co/articles/top-performance-marketing-agencies/</v>
      </c>
      <c r="B516" s="11" t="str">
        <f>IFERROR(__xludf.DUMMYFUNCTION("""COMPUTED_VALUE"""),"Top 30 Performance Marketing Agencies for 2026 and Beyond")</f>
        <v>Top 30 Performance Marketing Agencies for 2026 and Beyond</v>
      </c>
      <c r="C516" s="8" t="str">
        <f>IFERROR(__xludf.DUMMYFUNCTION("""COMPUTED_VALUE"""),"inbeat.co")</f>
        <v>inbeat.co</v>
      </c>
      <c r="D516" s="11" t="str">
        <f>IFERROR(__xludf.DUMMYFUNCTION("""COMPUTED_VALUE"""),"LISTICLE")</f>
        <v>LISTICLE</v>
      </c>
      <c r="E516" s="11" t="str">
        <f>IFERROR(__xludf.DUMMYFUNCTION("""COMPUTED_VALUE"""),"CORPORATE")</f>
        <v>CORPORATE</v>
      </c>
      <c r="F516" s="11" t="str">
        <f>IFERROR(__xludf.DUMMYFUNCTION("""COMPUTED_VALUE"""),"Listicle")</f>
        <v>Listicle</v>
      </c>
      <c r="G516" s="11" t="b">
        <f>IFERROR(__xludf.DUMMYFUNCTION("""COMPUTED_VALUE"""),FALSE)</f>
        <v>0</v>
      </c>
      <c r="H516" s="11" t="str">
        <f>IFERROR(__xludf.DUMMYFUNCTION("""COMPUTED_VALUE"""),"inBeat, Momentum, Tinuiti, Bark London, Single Grain, Mediacharge")</f>
        <v>inBeat, Momentum, Tinuiti, Bark London, Single Grain, Mediacharge</v>
      </c>
      <c r="I516" s="11">
        <f>IFERROR(__xludf.DUMMYFUNCTION("""COMPUTED_VALUE"""),1.0)</f>
        <v>1</v>
      </c>
      <c r="J516" s="11">
        <f>IFERROR(__xludf.DUMMYFUNCTION("""COMPUTED_VALUE"""),0.0)</f>
        <v>0</v>
      </c>
      <c r="K516" s="11">
        <f>IFERROR(__xludf.DUMMYFUNCTION("""COMPUTED_VALUE"""),0.0)</f>
        <v>0</v>
      </c>
      <c r="L516" s="11"/>
    </row>
    <row r="517" ht="15.75" customHeight="1">
      <c r="A517" s="8" t="str">
        <f>IFERROR(__xludf.DUMMYFUNCTION("""COMPUTED_VALUE"""),"https://www.incrmntal.com/resources/incrementality-software")</f>
        <v>https://www.incrmntal.com/resources/incrementality-software</v>
      </c>
      <c r="B517" s="11" t="str">
        <f>IFERROR(__xludf.DUMMYFUNCTION("""COMPUTED_VALUE"""),"Best Software for Measuring Incrementality Impact")</f>
        <v>Best Software for Measuring Incrementality Impact</v>
      </c>
      <c r="C517" s="8" t="str">
        <f>IFERROR(__xludf.DUMMYFUNCTION("""COMPUTED_VALUE"""),"incrmntal.com")</f>
        <v>incrmntal.com</v>
      </c>
      <c r="D517" s="11" t="str">
        <f>IFERROR(__xludf.DUMMYFUNCTION("""COMPUTED_VALUE"""),"ARTICLE")</f>
        <v>ARTICLE</v>
      </c>
      <c r="E517" s="11" t="str">
        <f>IFERROR(__xludf.DUMMYFUNCTION("""COMPUTED_VALUE"""),"COMPETITOR")</f>
        <v>COMPETITOR</v>
      </c>
      <c r="F517" s="11" t="str">
        <f>IFERROR(__xludf.DUMMYFUNCTION("""COMPUTED_VALUE"""),"Article")</f>
        <v>Article</v>
      </c>
      <c r="G517" s="11" t="b">
        <f>IFERROR(__xludf.DUMMYFUNCTION("""COMPUTED_VALUE"""),FALSE)</f>
        <v>0</v>
      </c>
      <c r="H517" s="11" t="str">
        <f>IFERROR(__xludf.DUMMYFUNCTION("""COMPUTED_VALUE"""),"INCRMNTAL")</f>
        <v>INCRMNTAL</v>
      </c>
      <c r="I517" s="11">
        <f>IFERROR(__xludf.DUMMYFUNCTION("""COMPUTED_VALUE"""),1.0)</f>
        <v>1</v>
      </c>
      <c r="J517" s="11">
        <f>IFERROR(__xludf.DUMMYFUNCTION("""COMPUTED_VALUE"""),0.0)</f>
        <v>0</v>
      </c>
      <c r="K517" s="11">
        <f>IFERROR(__xludf.DUMMYFUNCTION("""COMPUTED_VALUE"""),1.0)</f>
        <v>1</v>
      </c>
      <c r="L517" s="11"/>
    </row>
    <row r="518" ht="15.75" customHeight="1">
      <c r="A518" s="8" t="str">
        <f>IFERROR(__xludf.DUMMYFUNCTION("""COMPUTED_VALUE"""),"https://www.influencer-hero.com/de/blogs/top-digital-marketing-agencies-in-germany")</f>
        <v>https://www.influencer-hero.com/de/blogs/top-digital-marketing-agencies-in-germany</v>
      </c>
      <c r="B518" s="11" t="str">
        <f>IFERROR(__xludf.DUMMYFUNCTION("""COMPUTED_VALUE"""),"Top 10 Digital-Marketing-Agenturen in Deutschland")</f>
        <v>Top 10 Digital-Marketing-Agenturen in Deutschland</v>
      </c>
      <c r="C518" s="8" t="str">
        <f>IFERROR(__xludf.DUMMYFUNCTION("""COMPUTED_VALUE"""),"influencer-hero.com")</f>
        <v>influencer-hero.com</v>
      </c>
      <c r="D518" s="11" t="str">
        <f>IFERROR(__xludf.DUMMYFUNCTION("""COMPUTED_VALUE"""),"LISTICLE")</f>
        <v>LISTICLE</v>
      </c>
      <c r="E518" s="11" t="str">
        <f>IFERROR(__xludf.DUMMYFUNCTION("""COMPUTED_VALUE"""),"CORPORATE")</f>
        <v>CORPORATE</v>
      </c>
      <c r="F518" s="11" t="str">
        <f>IFERROR(__xludf.DUMMYFUNCTION("""COMPUTED_VALUE"""),"Listicle")</f>
        <v>Listicle</v>
      </c>
      <c r="G518" s="11" t="b">
        <f>IFERROR(__xludf.DUMMYFUNCTION("""COMPUTED_VALUE"""),FALSE)</f>
        <v>0</v>
      </c>
      <c r="H518" s="11" t="str">
        <f>IFERROR(__xludf.DUMMYFUNCTION("""COMPUTED_VALUE"""),"Serviceplan Group, Mawave, Globalist, Haus, Brandtech, McKinsey &amp; Company, Medialabel")</f>
        <v>Serviceplan Group, Mawave, Globalist, Haus, Brandtech, McKinsey &amp; Company, Medialabel</v>
      </c>
      <c r="I518" s="11">
        <f>IFERROR(__xludf.DUMMYFUNCTION("""COMPUTED_VALUE"""),1.0)</f>
        <v>1</v>
      </c>
      <c r="J518" s="11">
        <f>IFERROR(__xludf.DUMMYFUNCTION("""COMPUTED_VALUE"""),0.0)</f>
        <v>0</v>
      </c>
      <c r="K518" s="11">
        <f>IFERROR(__xludf.DUMMYFUNCTION("""COMPUTED_VALUE"""),2.0)</f>
        <v>2</v>
      </c>
      <c r="L518" s="11"/>
    </row>
    <row r="519" ht="15.75" customHeight="1">
      <c r="A519" s="8" t="str">
        <f>IFERROR(__xludf.DUMMYFUNCTION("""COMPUTED_VALUE"""),"https://www.influencer-hero.com/fr/blogs/top-advertising-agencies-in-germany")</f>
        <v>https://www.influencer-hero.com/fr/blogs/top-advertising-agencies-in-germany</v>
      </c>
      <c r="B519" s="11" t="str">
        <f>IFERROR(__xludf.DUMMYFUNCTION("""COMPUTED_VALUE"""),"Top 10 Agences Publicitaires en Allemagne")</f>
        <v>Top 10 Agences Publicitaires en Allemagne</v>
      </c>
      <c r="C519" s="8" t="str">
        <f>IFERROR(__xludf.DUMMYFUNCTION("""COMPUTED_VALUE"""),"influencer-hero.com")</f>
        <v>influencer-hero.com</v>
      </c>
      <c r="D519" s="11" t="str">
        <f>IFERROR(__xludf.DUMMYFUNCTION("""COMPUTED_VALUE"""),"LISTICLE")</f>
        <v>LISTICLE</v>
      </c>
      <c r="E519" s="11" t="str">
        <f>IFERROR(__xludf.DUMMYFUNCTION("""COMPUTED_VALUE"""),"CORPORATE")</f>
        <v>CORPORATE</v>
      </c>
      <c r="F519" s="11" t="str">
        <f>IFERROR(__xludf.DUMMYFUNCTION("""COMPUTED_VALUE"""),"Listicle")</f>
        <v>Listicle</v>
      </c>
      <c r="G519" s="11" t="b">
        <f>IFERROR(__xludf.DUMMYFUNCTION("""COMPUTED_VALUE"""),FALSE)</f>
        <v>0</v>
      </c>
      <c r="H519" s="11" t="str">
        <f>IFERROR(__xludf.DUMMYFUNCTION("""COMPUTED_VALUE"""),"Pilot, Mawave, MONSOON, Globalist, Social Media Pirates, Medialabel")</f>
        <v>Pilot, Mawave, MONSOON, Globalist, Social Media Pirates, Medialabel</v>
      </c>
      <c r="I519" s="11">
        <f>IFERROR(__xludf.DUMMYFUNCTION("""COMPUTED_VALUE"""),1.0)</f>
        <v>1</v>
      </c>
      <c r="J519" s="11">
        <f>IFERROR(__xludf.DUMMYFUNCTION("""COMPUTED_VALUE"""),0.0)</f>
        <v>0</v>
      </c>
      <c r="K519" s="11">
        <f>IFERROR(__xludf.DUMMYFUNCTION("""COMPUTED_VALUE"""),1.0)</f>
        <v>1</v>
      </c>
      <c r="L519" s="11"/>
    </row>
    <row r="520" ht="15.75" customHeight="1">
      <c r="A520" s="8" t="str">
        <f>IFERROR(__xludf.DUMMYFUNCTION("""COMPUTED_VALUE"""),"https://influencermarketinghub.com/de/social-media-marketing-agenturen/")</f>
        <v>https://influencermarketinghub.com/de/social-media-marketing-agenturen/</v>
      </c>
      <c r="B520" s="11" t="str">
        <f>IFERROR(__xludf.DUMMYFUNCTION("""COMPUTED_VALUE"""),"Top 48 Social Media Marketing Agenturen (Aktualisiert)")</f>
        <v>Top 48 Social Media Marketing Agenturen (Aktualisiert)</v>
      </c>
      <c r="C520" s="8" t="str">
        <f>IFERROR(__xludf.DUMMYFUNCTION("""COMPUTED_VALUE"""),"influencermarketinghub.com")</f>
        <v>influencermarketinghub.com</v>
      </c>
      <c r="D520" s="11" t="str">
        <f>IFERROR(__xludf.DUMMYFUNCTION("""COMPUTED_VALUE"""),"LISTICLE")</f>
        <v>LISTICLE</v>
      </c>
      <c r="E520" s="11" t="str">
        <f>IFERROR(__xludf.DUMMYFUNCTION("""COMPUTED_VALUE"""),"REFERENCE")</f>
        <v>REFERENCE</v>
      </c>
      <c r="F520" s="11" t="str">
        <f>IFERROR(__xludf.DUMMYFUNCTION("""COMPUTED_VALUE"""),"Listicle")</f>
        <v>Listicle</v>
      </c>
      <c r="G520" s="11" t="b">
        <f>IFERROR(__xludf.DUMMYFUNCTION("""COMPUTED_VALUE"""),FALSE)</f>
        <v>0</v>
      </c>
      <c r="H520" s="11" t="str">
        <f>IFERROR(__xludf.DUMMYFUNCTION("""COMPUTED_VALUE"""),"KlientBoost, WebFX, Tinuiti, Convertiv")</f>
        <v>KlientBoost, WebFX, Tinuiti, Convertiv</v>
      </c>
      <c r="I520" s="11">
        <f>IFERROR(__xludf.DUMMYFUNCTION("""COMPUTED_VALUE"""),1.0)</f>
        <v>1</v>
      </c>
      <c r="J520" s="11">
        <f>IFERROR(__xludf.DUMMYFUNCTION("""COMPUTED_VALUE"""),0.0)</f>
        <v>0</v>
      </c>
      <c r="K520" s="11">
        <f>IFERROR(__xludf.DUMMYFUNCTION("""COMPUTED_VALUE"""),1.0)</f>
        <v>1</v>
      </c>
      <c r="L520" s="11"/>
    </row>
    <row r="521" ht="15.75" customHeight="1">
      <c r="A521" s="8" t="str">
        <f>IFERROR(__xludf.DUMMYFUNCTION("""COMPUTED_VALUE"""),"https://www.intellectyx.com/ai-agent-development-companies-in-usa/")</f>
        <v>https://www.intellectyx.com/ai-agent-development-companies-in-usa/</v>
      </c>
      <c r="B521" s="11" t="str">
        <f>IFERROR(__xludf.DUMMYFUNCTION("""COMPUTED_VALUE"""),"Top AI Agent Development Companies in USA (2026)")</f>
        <v>Top AI Agent Development Companies in USA (2026)</v>
      </c>
      <c r="C521" s="8" t="str">
        <f>IFERROR(__xludf.DUMMYFUNCTION("""COMPUTED_VALUE"""),"intellectyx.com")</f>
        <v>intellectyx.com</v>
      </c>
      <c r="D521" s="11" t="str">
        <f>IFERROR(__xludf.DUMMYFUNCTION("""COMPUTED_VALUE"""),"LISTICLE")</f>
        <v>LISTICLE</v>
      </c>
      <c r="E521" s="11" t="str">
        <f>IFERROR(__xludf.DUMMYFUNCTION("""COMPUTED_VALUE"""),"UGC")</f>
        <v>UGC</v>
      </c>
      <c r="F521" s="11" t="str">
        <f>IFERROR(__xludf.DUMMYFUNCTION("""COMPUTED_VALUE"""),"Listicle")</f>
        <v>Listicle</v>
      </c>
      <c r="G521" s="11" t="b">
        <f>IFERROR(__xludf.DUMMYFUNCTION("""COMPUTED_VALUE"""),FALSE)</f>
        <v>0</v>
      </c>
      <c r="H521" s="11" t="str">
        <f>IFERROR(__xludf.DUMMYFUNCTION("""COMPUTED_VALUE"""),"Pilot")</f>
        <v>Pilot</v>
      </c>
      <c r="I521" s="11">
        <f>IFERROR(__xludf.DUMMYFUNCTION("""COMPUTED_VALUE"""),1.0)</f>
        <v>1</v>
      </c>
      <c r="J521" s="11">
        <f>IFERROR(__xludf.DUMMYFUNCTION("""COMPUTED_VALUE"""),0.0)</f>
        <v>0</v>
      </c>
      <c r="K521" s="11">
        <f>IFERROR(__xludf.DUMMYFUNCTION("""COMPUTED_VALUE"""),0.0)</f>
        <v>0</v>
      </c>
      <c r="L521" s="11"/>
    </row>
    <row r="522" ht="15.75" customHeight="1">
      <c r="A522" s="8" t="str">
        <f>IFERROR(__xludf.DUMMYFUNCTION("""COMPUTED_VALUE"""),"https://invademarketing.com/best-rated-media-planning-agencies-in-performance-marketing/")</f>
        <v>https://invademarketing.com/best-rated-media-planning-agencies-in-performance-marketing/</v>
      </c>
      <c r="B522" s="11" t="str">
        <f>IFERROR(__xludf.DUMMYFUNCTION("""COMPUTED_VALUE"""),"Best Rated Media Planning Agencies in Performance Marketing")</f>
        <v>Best Rated Media Planning Agencies in Performance Marketing</v>
      </c>
      <c r="C522" s="8" t="str">
        <f>IFERROR(__xludf.DUMMYFUNCTION("""COMPUTED_VALUE"""),"invademarketing.com")</f>
        <v>invademarketing.com</v>
      </c>
      <c r="D522" s="11" t="str">
        <f>IFERROR(__xludf.DUMMYFUNCTION("""COMPUTED_VALUE"""),"PRODUCT_PAGE")</f>
        <v>PRODUCT_PAGE</v>
      </c>
      <c r="E522" s="11" t="str">
        <f>IFERROR(__xludf.DUMMYFUNCTION("""COMPUTED_VALUE"""),"CORPORATE")</f>
        <v>CORPORATE</v>
      </c>
      <c r="F522" s="11" t="str">
        <f>IFERROR(__xludf.DUMMYFUNCTION("""COMPUTED_VALUE"""),"Product Page")</f>
        <v>Product Page</v>
      </c>
      <c r="G522" s="11" t="b">
        <f>IFERROR(__xludf.DUMMYFUNCTION("""COMPUTED_VALUE"""),FALSE)</f>
        <v>0</v>
      </c>
      <c r="H522" s="11" t="str">
        <f>IFERROR(__xludf.DUMMYFUNCTION("""COMPUTED_VALUE"""),"Measured")</f>
        <v>Measured</v>
      </c>
      <c r="I522" s="11">
        <f>IFERROR(__xludf.DUMMYFUNCTION("""COMPUTED_VALUE"""),1.0)</f>
        <v>1</v>
      </c>
      <c r="J522" s="11">
        <f>IFERROR(__xludf.DUMMYFUNCTION("""COMPUTED_VALUE"""),0.0)</f>
        <v>0</v>
      </c>
      <c r="K522" s="11">
        <f>IFERROR(__xludf.DUMMYFUNCTION("""COMPUTED_VALUE"""),1.0)</f>
        <v>1</v>
      </c>
      <c r="L522" s="11"/>
    </row>
    <row r="523" ht="15.75" customHeight="1">
      <c r="A523" s="8" t="str">
        <f>IFERROR(__xludf.DUMMYFUNCTION("""COMPUTED_VALUE"""),"https://www.kingfluencers.com/en/blog/top-50-social-media-agenturen-in-europa-in-2025")</f>
        <v>https://www.kingfluencers.com/en/blog/top-50-social-media-agenturen-in-europa-in-2025</v>
      </c>
      <c r="B523" s="11" t="str">
        <f>IFERROR(__xludf.DUMMYFUNCTION("""COMPUTED_VALUE"""),"The Top 50+ Social Media Agencies in Europe in 2025 | Kingfluencers")</f>
        <v>The Top 50+ Social Media Agencies in Europe in 2025 | Kingfluencers</v>
      </c>
      <c r="C523" s="8" t="str">
        <f>IFERROR(__xludf.DUMMYFUNCTION("""COMPUTED_VALUE"""),"kingfluencers.com")</f>
        <v>kingfluencers.com</v>
      </c>
      <c r="D523" s="11" t="str">
        <f>IFERROR(__xludf.DUMMYFUNCTION("""COMPUTED_VALUE"""),"LISTICLE")</f>
        <v>LISTICLE</v>
      </c>
      <c r="E523" s="11" t="str">
        <f>IFERROR(__xludf.DUMMYFUNCTION("""COMPUTED_VALUE"""),"CORPORATE")</f>
        <v>CORPORATE</v>
      </c>
      <c r="F523" s="11" t="str">
        <f>IFERROR(__xludf.DUMMYFUNCTION("""COMPUTED_VALUE"""),"Listicle")</f>
        <v>Listicle</v>
      </c>
      <c r="G523" s="11" t="b">
        <f>IFERROR(__xludf.DUMMYFUNCTION("""COMPUTED_VALUE"""),FALSE)</f>
        <v>0</v>
      </c>
      <c r="H523" s="11" t="str">
        <f>IFERROR(__xludf.DUMMYFUNCTION("""COMPUTED_VALUE"""),"MONSOON, Admiral Media, KlickPiloten, Digitalyze")</f>
        <v>MONSOON, Admiral Media, KlickPiloten, Digitalyze</v>
      </c>
      <c r="I523" s="11">
        <f>IFERROR(__xludf.DUMMYFUNCTION("""COMPUTED_VALUE"""),1.0)</f>
        <v>1</v>
      </c>
      <c r="J523" s="11">
        <f>IFERROR(__xludf.DUMMYFUNCTION("""COMPUTED_VALUE"""),0.0)</f>
        <v>0</v>
      </c>
      <c r="K523" s="11">
        <f>IFERROR(__xludf.DUMMYFUNCTION("""COMPUTED_VALUE"""),1.0)</f>
        <v>1</v>
      </c>
      <c r="L523" s="11"/>
    </row>
    <row r="524" ht="15.75" customHeight="1">
      <c r="A524" s="8" t="str">
        <f>IFERROR(__xludf.DUMMYFUNCTION("""COMPUTED_VALUE"""),"https://kunalkankaria.com/best-ai-consultant-germany/")</f>
        <v>https://kunalkankaria.com/best-ai-consultant-germany/</v>
      </c>
      <c r="B524" s="11" t="str">
        <f>IFERROR(__xludf.DUMMYFUNCTION("""COMPUTED_VALUE"""),"Best AI Consultant In Germany Kunal Kankaria")</f>
        <v>Best AI Consultant In Germany Kunal Kankaria</v>
      </c>
      <c r="C524" s="8" t="str">
        <f>IFERROR(__xludf.DUMMYFUNCTION("""COMPUTED_VALUE"""),"kunalkankaria.com")</f>
        <v>kunalkankaria.com</v>
      </c>
      <c r="D524" s="11" t="str">
        <f>IFERROR(__xludf.DUMMYFUNCTION("""COMPUTED_VALUE"""),"OTHER")</f>
        <v>OTHER</v>
      </c>
      <c r="E524" s="11" t="str">
        <f>IFERROR(__xludf.DUMMYFUNCTION("""COMPUTED_VALUE"""),"CORPORATE")</f>
        <v>CORPORATE</v>
      </c>
      <c r="F524" s="11" t="str">
        <f>IFERROR(__xludf.DUMMYFUNCTION("""COMPUTED_VALUE"""),"Other")</f>
        <v>Other</v>
      </c>
      <c r="G524" s="11" t="b">
        <f>IFERROR(__xludf.DUMMYFUNCTION("""COMPUTED_VALUE"""),FALSE)</f>
        <v>0</v>
      </c>
      <c r="H524" s="11"/>
      <c r="I524" s="11">
        <f>IFERROR(__xludf.DUMMYFUNCTION("""COMPUTED_VALUE"""),1.0)</f>
        <v>1</v>
      </c>
      <c r="J524" s="11">
        <f>IFERROR(__xludf.DUMMYFUNCTION("""COMPUTED_VALUE"""),0.0)</f>
        <v>0</v>
      </c>
      <c r="K524" s="11">
        <f>IFERROR(__xludf.DUMMYFUNCTION("""COMPUTED_VALUE"""),3.0)</f>
        <v>3</v>
      </c>
      <c r="L524" s="11"/>
    </row>
    <row r="525" ht="15.75" customHeight="1">
      <c r="A525" s="8" t="str">
        <f>IFERROR(__xludf.DUMMYFUNCTION("""COMPUTED_VALUE"""),"https://www.leewayhertz.com/top-enterprise-ai-development-companies/")</f>
        <v>https://www.leewayhertz.com/top-enterprise-ai-development-companies/</v>
      </c>
      <c r="B525" s="11" t="str">
        <f>IFERROR(__xludf.DUMMYFUNCTION("""COMPUTED_VALUE"""),"Top Enterprise AI Development Companies 2026")</f>
        <v>Top Enterprise AI Development Companies 2026</v>
      </c>
      <c r="C525" s="8" t="str">
        <f>IFERROR(__xludf.DUMMYFUNCTION("""COMPUTED_VALUE"""),"leewayhertz.com")</f>
        <v>leewayhertz.com</v>
      </c>
      <c r="D525" s="11" t="str">
        <f>IFERROR(__xludf.DUMMYFUNCTION("""COMPUTED_VALUE"""),"LISTICLE")</f>
        <v>LISTICLE</v>
      </c>
      <c r="E525" s="11" t="str">
        <f>IFERROR(__xludf.DUMMYFUNCTION("""COMPUTED_VALUE"""),"CORPORATE")</f>
        <v>CORPORATE</v>
      </c>
      <c r="F525" s="11" t="str">
        <f>IFERROR(__xludf.DUMMYFUNCTION("""COMPUTED_VALUE"""),"Listicle")</f>
        <v>Listicle</v>
      </c>
      <c r="G525" s="11" t="b">
        <f>IFERROR(__xludf.DUMMYFUNCTION("""COMPUTED_VALUE"""),FALSE)</f>
        <v>0</v>
      </c>
      <c r="H525" s="11"/>
      <c r="I525" s="11">
        <f>IFERROR(__xludf.DUMMYFUNCTION("""COMPUTED_VALUE"""),1.0)</f>
        <v>1</v>
      </c>
      <c r="J525" s="11">
        <f>IFERROR(__xludf.DUMMYFUNCTION("""COMPUTED_VALUE"""),0.0)</f>
        <v>0</v>
      </c>
      <c r="K525" s="11">
        <f>IFERROR(__xludf.DUMMYFUNCTION("""COMPUTED_VALUE"""),3.0)</f>
        <v>3</v>
      </c>
      <c r="L525" s="11"/>
    </row>
    <row r="526" ht="15.75" customHeight="1">
      <c r="A526" s="8" t="str">
        <f>IFERROR(__xludf.DUMMYFUNCTION("""COMPUTED_VALUE"""),"https://lengreo.com/germany-leipzig-aeo-geo-llmo-companies/")</f>
        <v>https://lengreo.com/germany-leipzig-aeo-geo-llmo-companies/</v>
      </c>
      <c r="B526" s="11" t="str">
        <f>IFERROR(__xludf.DUMMYFUNCTION("""COMPUTED_VALUE"""),"Top AEO, GEO &amp;amp; LLMO Firms in Leipzig, Germany")</f>
        <v>Top AEO, GEO &amp;amp; LLMO Firms in Leipzig, Germany</v>
      </c>
      <c r="C526" s="8" t="str">
        <f>IFERROR(__xludf.DUMMYFUNCTION("""COMPUTED_VALUE"""),"lengreo.com")</f>
        <v>lengreo.com</v>
      </c>
      <c r="D526" s="11" t="str">
        <f>IFERROR(__xludf.DUMMYFUNCTION("""COMPUTED_VALUE"""),"LISTICLE")</f>
        <v>LISTICLE</v>
      </c>
      <c r="E526" s="11" t="str">
        <f>IFERROR(__xludf.DUMMYFUNCTION("""COMPUTED_VALUE"""),"CORPORATE")</f>
        <v>CORPORATE</v>
      </c>
      <c r="F526" s="11" t="str">
        <f>IFERROR(__xludf.DUMMYFUNCTION("""COMPUTED_VALUE"""),"Listicle")</f>
        <v>Listicle</v>
      </c>
      <c r="G526" s="11" t="b">
        <f>IFERROR(__xludf.DUMMYFUNCTION("""COMPUTED_VALUE"""),FALSE)</f>
        <v>0</v>
      </c>
      <c r="H526" s="11" t="str">
        <f>IFERROR(__xludf.DUMMYFUNCTION("""COMPUTED_VALUE"""),"Löwenstark, Suchhelden")</f>
        <v>Löwenstark, Suchhelden</v>
      </c>
      <c r="I526" s="11">
        <f>IFERROR(__xludf.DUMMYFUNCTION("""COMPUTED_VALUE"""),1.0)</f>
        <v>1</v>
      </c>
      <c r="J526" s="11">
        <f>IFERROR(__xludf.DUMMYFUNCTION("""COMPUTED_VALUE"""),0.0)</f>
        <v>0</v>
      </c>
      <c r="K526" s="11">
        <f>IFERROR(__xludf.DUMMYFUNCTION("""COMPUTED_VALUE"""),1.0)</f>
        <v>1</v>
      </c>
      <c r="L526" s="11"/>
    </row>
    <row r="527" ht="15.75" customHeight="1">
      <c r="A527" s="8" t="str">
        <f>IFERROR(__xludf.DUMMYFUNCTION("""COMPUTED_VALUE"""),"https://www.leonar.app/blog/gem-alternatives/")</f>
        <v>https://www.leonar.app/blog/gem-alternatives/</v>
      </c>
      <c r="B527" s="11" t="str">
        <f>IFERROR(__xludf.DUMMYFUNCTION("""COMPUTED_VALUE"""),"5 of the Top GEM alternatives for recruiters | Leonar")</f>
        <v>5 of the Top GEM alternatives for recruiters | Leonar</v>
      </c>
      <c r="C527" s="11" t="str">
        <f>IFERROR(__xludf.DUMMYFUNCTION("""COMPUTED_VALUE"""),"leonar.app")</f>
        <v>leonar.app</v>
      </c>
      <c r="D527" s="11" t="str">
        <f>IFERROR(__xludf.DUMMYFUNCTION("""COMPUTED_VALUE"""),"ALTERNATIVE")</f>
        <v>ALTERNATIVE</v>
      </c>
      <c r="E527" s="11" t="str">
        <f>IFERROR(__xludf.DUMMYFUNCTION("""COMPUTED_VALUE"""),"CORPORATE")</f>
        <v>CORPORATE</v>
      </c>
      <c r="F527" s="11" t="str">
        <f>IFERROR(__xludf.DUMMYFUNCTION("""COMPUTED_VALUE"""),"Alternative")</f>
        <v>Alternative</v>
      </c>
      <c r="G527" s="11" t="b">
        <f>IFERROR(__xludf.DUMMYFUNCTION("""COMPUTED_VALUE"""),FALSE)</f>
        <v>0</v>
      </c>
      <c r="H527" s="11"/>
      <c r="I527" s="11">
        <f>IFERROR(__xludf.DUMMYFUNCTION("""COMPUTED_VALUE"""),1.0)</f>
        <v>1</v>
      </c>
      <c r="J527" s="11">
        <f>IFERROR(__xludf.DUMMYFUNCTION("""COMPUTED_VALUE"""),0.0)</f>
        <v>0</v>
      </c>
      <c r="K527" s="11">
        <f>IFERROR(__xludf.DUMMYFUNCTION("""COMPUTED_VALUE"""),1.0)</f>
        <v>1</v>
      </c>
      <c r="L527" s="11"/>
    </row>
    <row r="528" ht="15.75" customHeight="1">
      <c r="A528" s="8" t="str">
        <f>IFERROR(__xludf.DUMMYFUNCTION("""COMPUTED_VALUE"""),"https://lifesight.io/blog/marketing-mix-modeling-software/")</f>
        <v>https://lifesight.io/blog/marketing-mix-modeling-software/</v>
      </c>
      <c r="B528" s="11" t="str">
        <f>IFERROR(__xludf.DUMMYFUNCTION("""COMPUTED_VALUE"""),"Best Marketing Mix Modeling Software Tools in 2026 [UPDATED]")</f>
        <v>Best Marketing Mix Modeling Software Tools in 2026 [UPDATED]</v>
      </c>
      <c r="C528" s="8" t="str">
        <f>IFERROR(__xludf.DUMMYFUNCTION("""COMPUTED_VALUE"""),"lifesight.io")</f>
        <v>lifesight.io</v>
      </c>
      <c r="D528" s="11" t="str">
        <f>IFERROR(__xludf.DUMMYFUNCTION("""COMPUTED_VALUE"""),"LISTICLE")</f>
        <v>LISTICLE</v>
      </c>
      <c r="E528" s="11" t="str">
        <f>IFERROR(__xludf.DUMMYFUNCTION("""COMPUTED_VALUE"""),"COMPETITOR")</f>
        <v>COMPETITOR</v>
      </c>
      <c r="F528" s="11" t="str">
        <f>IFERROR(__xludf.DUMMYFUNCTION("""COMPUTED_VALUE"""),"Listicle")</f>
        <v>Listicle</v>
      </c>
      <c r="G528" s="11" t="b">
        <f>IFERROR(__xludf.DUMMYFUNCTION("""COMPUTED_VALUE"""),FALSE)</f>
        <v>0</v>
      </c>
      <c r="H528" s="11" t="str">
        <f>IFERROR(__xludf.DUMMYFUNCTION("""COMPUTED_VALUE"""),"LifeSight, Measured, Sellforte, Recast, Rockerbox, Northbeam, Haus")</f>
        <v>LifeSight, Measured, Sellforte, Recast, Rockerbox, Northbeam, Haus</v>
      </c>
      <c r="I528" s="11">
        <f>IFERROR(__xludf.DUMMYFUNCTION("""COMPUTED_VALUE"""),1.0)</f>
        <v>1</v>
      </c>
      <c r="J528" s="11">
        <f>IFERROR(__xludf.DUMMYFUNCTION("""COMPUTED_VALUE"""),0.0)</f>
        <v>0</v>
      </c>
      <c r="K528" s="11">
        <f>IFERROR(__xludf.DUMMYFUNCTION("""COMPUTED_VALUE"""),1.0)</f>
        <v>1</v>
      </c>
      <c r="L528" s="11"/>
    </row>
    <row r="529" ht="15.75" customHeight="1">
      <c r="A529" s="8" t="str">
        <f>IFERROR(__xludf.DUMMYFUNCTION("""COMPUTED_VALUE"""),"https://www.linkedin.com/pulse/google-ads-marketing-companies-farhan-ali-tbtwf")</f>
        <v>https://www.linkedin.com/pulse/google-ads-marketing-companies-farhan-ali-tbtwf</v>
      </c>
      <c r="B529" s="11" t="str">
        <f>IFERROR(__xludf.DUMMYFUNCTION("""COMPUTED_VALUE"""),"Top 10 Google Ads Marketing Companies in the World in 2025")</f>
        <v>Top 10 Google Ads Marketing Companies in the World in 2025</v>
      </c>
      <c r="C529" s="8" t="str">
        <f>IFERROR(__xludf.DUMMYFUNCTION("""COMPUTED_VALUE"""),"linkedin.com")</f>
        <v>linkedin.com</v>
      </c>
      <c r="D529" s="11" t="str">
        <f>IFERROR(__xludf.DUMMYFUNCTION("""COMPUTED_VALUE"""),"LISTICLE")</f>
        <v>LISTICLE</v>
      </c>
      <c r="E529" s="11" t="str">
        <f>IFERROR(__xludf.DUMMYFUNCTION("""COMPUTED_VALUE"""),"UGC")</f>
        <v>UGC</v>
      </c>
      <c r="F529" s="11" t="str">
        <f>IFERROR(__xludf.DUMMYFUNCTION("""COMPUTED_VALUE"""),"Listicle")</f>
        <v>Listicle</v>
      </c>
      <c r="G529" s="11" t="b">
        <f>IFERROR(__xludf.DUMMYFUNCTION("""COMPUTED_VALUE"""),FALSE)</f>
        <v>0</v>
      </c>
      <c r="H529" s="11" t="str">
        <f>IFERROR(__xludf.DUMMYFUNCTION("""COMPUTED_VALUE"""),"SmartSites, Disruptive Advertising, WebFX")</f>
        <v>SmartSites, Disruptive Advertising, WebFX</v>
      </c>
      <c r="I529" s="11">
        <f>IFERROR(__xludf.DUMMYFUNCTION("""COMPUTED_VALUE"""),1.0)</f>
        <v>1</v>
      </c>
      <c r="J529" s="11">
        <f>IFERROR(__xludf.DUMMYFUNCTION("""COMPUTED_VALUE"""),0.0)</f>
        <v>0</v>
      </c>
      <c r="K529" s="11">
        <f>IFERROR(__xludf.DUMMYFUNCTION("""COMPUTED_VALUE"""),1.0)</f>
        <v>1</v>
      </c>
      <c r="L529" s="11"/>
    </row>
    <row r="530" ht="15.75" customHeight="1">
      <c r="A530" s="8" t="str">
        <f>IFERROR(__xludf.DUMMYFUNCTION("""COMPUTED_VALUE"""),"https://www.linkedin.com/pulse/top-15-performance-marketing-companies-clutch-global-spring-kbaae")</f>
        <v>https://www.linkedin.com/pulse/top-15-performance-marketing-companies-clutch-global-spring-kbaae</v>
      </c>
      <c r="B530" s="11" t="str">
        <f>IFERROR(__xludf.DUMMYFUNCTION("""COMPUTED_VALUE"""),"Top 15 Performance Marketing Companies: Clutch Global Spring 2026")</f>
        <v>Top 15 Performance Marketing Companies: Clutch Global Spring 2026</v>
      </c>
      <c r="C530" s="8" t="str">
        <f>IFERROR(__xludf.DUMMYFUNCTION("""COMPUTED_VALUE"""),"linkedin.com")</f>
        <v>linkedin.com</v>
      </c>
      <c r="D530" s="11" t="str">
        <f>IFERROR(__xludf.DUMMYFUNCTION("""COMPUTED_VALUE"""),"LISTICLE")</f>
        <v>LISTICLE</v>
      </c>
      <c r="E530" s="11" t="str">
        <f>IFERROR(__xludf.DUMMYFUNCTION("""COMPUTED_VALUE"""),"UGC")</f>
        <v>UGC</v>
      </c>
      <c r="F530" s="11" t="str">
        <f>IFERROR(__xludf.DUMMYFUNCTION("""COMPUTED_VALUE"""),"Listicle")</f>
        <v>Listicle</v>
      </c>
      <c r="G530" s="11" t="b">
        <f>IFERROR(__xludf.DUMMYFUNCTION("""COMPUTED_VALUE"""),FALSE)</f>
        <v>0</v>
      </c>
      <c r="H530" s="11" t="str">
        <f>IFERROR(__xludf.DUMMYFUNCTION("""COMPUTED_VALUE"""),"REPLUG")</f>
        <v>REPLUG</v>
      </c>
      <c r="I530" s="11">
        <f>IFERROR(__xludf.DUMMYFUNCTION("""COMPUTED_VALUE"""),1.0)</f>
        <v>1</v>
      </c>
      <c r="J530" s="11">
        <f>IFERROR(__xludf.DUMMYFUNCTION("""COMPUTED_VALUE"""),0.0)</f>
        <v>0</v>
      </c>
      <c r="K530" s="11">
        <f>IFERROR(__xludf.DUMMYFUNCTION("""COMPUTED_VALUE"""),0.0)</f>
        <v>0</v>
      </c>
      <c r="L530" s="11"/>
    </row>
    <row r="531" ht="15.75" customHeight="1">
      <c r="A531" s="8" t="str">
        <f>IFERROR(__xludf.DUMMYFUNCTION("""COMPUTED_VALUE"""),"https://lunarailab.com/blog/2026/03/04/top-5-ai-agent-adoption-agencies-in-2026/")</f>
        <v>https://lunarailab.com/blog/2026/03/04/top-5-ai-agent-adoption-agencies-in-2026/</v>
      </c>
      <c r="B531" s="11" t="str">
        <f>IFERROR(__xludf.DUMMYFUNCTION("""COMPUTED_VALUE"""),"Top 5 AI Agent Adoption Agencies in 2026 - Lunar AI Lab")</f>
        <v>Top 5 AI Agent Adoption Agencies in 2026 - Lunar AI Lab</v>
      </c>
      <c r="C531" s="8" t="str">
        <f>IFERROR(__xludf.DUMMYFUNCTION("""COMPUTED_VALUE"""),"lunarailab.com")</f>
        <v>lunarailab.com</v>
      </c>
      <c r="D531" s="11" t="str">
        <f>IFERROR(__xludf.DUMMYFUNCTION("""COMPUTED_VALUE"""),"LISTICLE")</f>
        <v>LISTICLE</v>
      </c>
      <c r="E531" s="11" t="str">
        <f>IFERROR(__xludf.DUMMYFUNCTION("""COMPUTED_VALUE"""),"CORPORATE")</f>
        <v>CORPORATE</v>
      </c>
      <c r="F531" s="11" t="str">
        <f>IFERROR(__xludf.DUMMYFUNCTION("""COMPUTED_VALUE"""),"Listicle")</f>
        <v>Listicle</v>
      </c>
      <c r="G531" s="11" t="b">
        <f>IFERROR(__xludf.DUMMYFUNCTION("""COMPUTED_VALUE"""),FALSE)</f>
        <v>0</v>
      </c>
      <c r="H531" s="11" t="str">
        <f>IFERROR(__xludf.DUMMYFUNCTION("""COMPUTED_VALUE"""),"Measured")</f>
        <v>Measured</v>
      </c>
      <c r="I531" s="11">
        <f>IFERROR(__xludf.DUMMYFUNCTION("""COMPUTED_VALUE"""),1.0)</f>
        <v>1</v>
      </c>
      <c r="J531" s="11">
        <f>IFERROR(__xludf.DUMMYFUNCTION("""COMPUTED_VALUE"""),0.0)</f>
        <v>0</v>
      </c>
      <c r="K531" s="11">
        <f>IFERROR(__xludf.DUMMYFUNCTION("""COMPUTED_VALUE"""),2.0)</f>
        <v>2</v>
      </c>
      <c r="L531" s="11"/>
    </row>
    <row r="532" ht="15.75" customHeight="1">
      <c r="A532" s="8" t="str">
        <f>IFERROR(__xludf.DUMMYFUNCTION("""COMPUTED_VALUE"""),"https://www.lyfemarketing.com/blog/top-performance-marketing-agencies-us/")</f>
        <v>https://www.lyfemarketing.com/blog/top-performance-marketing-agencies-us/</v>
      </c>
      <c r="B532" s="11" t="str">
        <f>IFERROR(__xludf.DUMMYFUNCTION("""COMPUTED_VALUE"""),"Top 36 Performance Marketing Agencies In The US 2026")</f>
        <v>Top 36 Performance Marketing Agencies In The US 2026</v>
      </c>
      <c r="C532" s="8" t="str">
        <f>IFERROR(__xludf.DUMMYFUNCTION("""COMPUTED_VALUE"""),"lyfemarketing.com")</f>
        <v>lyfemarketing.com</v>
      </c>
      <c r="D532" s="11" t="str">
        <f>IFERROR(__xludf.DUMMYFUNCTION("""COMPUTED_VALUE"""),"LISTICLE")</f>
        <v>LISTICLE</v>
      </c>
      <c r="E532" s="11" t="str">
        <f>IFERROR(__xludf.DUMMYFUNCTION("""COMPUTED_VALUE"""),"CORPORATE")</f>
        <v>CORPORATE</v>
      </c>
      <c r="F532" s="11" t="str">
        <f>IFERROR(__xludf.DUMMYFUNCTION("""COMPUTED_VALUE"""),"Listicle")</f>
        <v>Listicle</v>
      </c>
      <c r="G532" s="11" t="b">
        <f>IFERROR(__xludf.DUMMYFUNCTION("""COMPUTED_VALUE"""),FALSE)</f>
        <v>0</v>
      </c>
      <c r="H532" s="11" t="str">
        <f>IFERROR(__xludf.DUMMYFUNCTION("""COMPUTED_VALUE"""),"Tinuiti, Power Digital, Wpromote, Disruptive Advertising, Brainlabs, WPP, Omnicom, Publicis Groupe")</f>
        <v>Tinuiti, Power Digital, Wpromote, Disruptive Advertising, Brainlabs, WPP, Omnicom, Publicis Groupe</v>
      </c>
      <c r="I532" s="11">
        <f>IFERROR(__xludf.DUMMYFUNCTION("""COMPUTED_VALUE"""),1.0)</f>
        <v>1</v>
      </c>
      <c r="J532" s="11">
        <f>IFERROR(__xludf.DUMMYFUNCTION("""COMPUTED_VALUE"""),0.0)</f>
        <v>0</v>
      </c>
      <c r="K532" s="11">
        <f>IFERROR(__xludf.DUMMYFUNCTION("""COMPUTED_VALUE"""),0.0)</f>
        <v>0</v>
      </c>
      <c r="L532" s="11"/>
    </row>
    <row r="533" ht="15.75" customHeight="1">
      <c r="A533" s="8" t="str">
        <f>IFERROR(__xludf.DUMMYFUNCTION("""COMPUTED_VALUE"""),"https://madebyevoke.com/blog/top-web-design-agencies-berlin#:~:text=Jung%20von%20Matt%20is%20one,for%20major%20German%20consumer%20brands.")</f>
        <v>https://madebyevoke.com/blog/top-web-design-agencies-berlin#:~:text=Jung%20von%20Matt%20is%20one,for%20major%20German%20consumer%20brands.</v>
      </c>
      <c r="B533" s="11" t="str">
        <f>IFERROR(__xludf.DUMMYFUNCTION("""COMPUTED_VALUE"""),"Top 10 Web Design Agencies in Berlin, Germany (2027) — Ranked | Evoke Studio")</f>
        <v>Top 10 Web Design Agencies in Berlin, Germany (2027) — Ranked | Evoke Studio</v>
      </c>
      <c r="C533" s="8" t="str">
        <f>IFERROR(__xludf.DUMMYFUNCTION("""COMPUTED_VALUE"""),"madebyevoke.com")</f>
        <v>madebyevoke.com</v>
      </c>
      <c r="D533" s="11" t="str">
        <f>IFERROR(__xludf.DUMMYFUNCTION("""COMPUTED_VALUE"""),"OTHER")</f>
        <v>OTHER</v>
      </c>
      <c r="E533" s="11" t="str">
        <f>IFERROR(__xludf.DUMMYFUNCTION("""COMPUTED_VALUE"""),"CORPORATE")</f>
        <v>CORPORATE</v>
      </c>
      <c r="F533" s="11" t="str">
        <f>IFERROR(__xludf.DUMMYFUNCTION("""COMPUTED_VALUE"""),"Other")</f>
        <v>Other</v>
      </c>
      <c r="G533" s="11" t="b">
        <f>IFERROR(__xludf.DUMMYFUNCTION("""COMPUTED_VALUE"""),FALSE)</f>
        <v>0</v>
      </c>
      <c r="H533" s="11" t="str">
        <f>IFERROR(__xludf.DUMMYFUNCTION("""COMPUTED_VALUE"""),"Jung von Matt, Scholz &amp; Friends")</f>
        <v>Jung von Matt, Scholz &amp; Friends</v>
      </c>
      <c r="I533" s="11">
        <f>IFERROR(__xludf.DUMMYFUNCTION("""COMPUTED_VALUE"""),1.0)</f>
        <v>1</v>
      </c>
      <c r="J533" s="11">
        <f>IFERROR(__xludf.DUMMYFUNCTION("""COMPUTED_VALUE"""),0.0)</f>
        <v>0</v>
      </c>
      <c r="K533" s="11">
        <f>IFERROR(__xludf.DUMMYFUNCTION("""COMPUTED_VALUE"""),1.0)</f>
        <v>1</v>
      </c>
      <c r="L533" s="11"/>
    </row>
    <row r="534" ht="15.75" customHeight="1">
      <c r="A534" s="8" t="str">
        <f>IFERROR(__xludf.DUMMYFUNCTION("""COMPUTED_VALUE"""),"https://madgicx.com/blog/ai-powered-marketing-tools-performance-ads")</f>
        <v>https://madgicx.com/blog/ai-powered-marketing-tools-performance-ads</v>
      </c>
      <c r="B534" s="11" t="str">
        <f>IFERROR(__xludf.DUMMYFUNCTION("""COMPUTED_VALUE"""),"Top AI-Powered Marketing Platforms for Performance Ads")</f>
        <v>Top AI-Powered Marketing Platforms for Performance Ads</v>
      </c>
      <c r="C534" s="8" t="str">
        <f>IFERROR(__xludf.DUMMYFUNCTION("""COMPUTED_VALUE"""),"madgicx.com")</f>
        <v>madgicx.com</v>
      </c>
      <c r="D534" s="11" t="str">
        <f>IFERROR(__xludf.DUMMYFUNCTION("""COMPUTED_VALUE"""),"HOW_TO_GUIDE")</f>
        <v>HOW_TO_GUIDE</v>
      </c>
      <c r="E534" s="11" t="str">
        <f>IFERROR(__xludf.DUMMYFUNCTION("""COMPUTED_VALUE"""),"UGC")</f>
        <v>UGC</v>
      </c>
      <c r="F534" s="11" t="str">
        <f>IFERROR(__xludf.DUMMYFUNCTION("""COMPUTED_VALUE"""),"How-To Guide")</f>
        <v>How-To Guide</v>
      </c>
      <c r="G534" s="11" t="b">
        <f>IFERROR(__xludf.DUMMYFUNCTION("""COMPUTED_VALUE"""),FALSE)</f>
        <v>0</v>
      </c>
      <c r="H534" s="11" t="str">
        <f>IFERROR(__xludf.DUMMYFUNCTION("""COMPUTED_VALUE"""),"Triple Whale")</f>
        <v>Triple Whale</v>
      </c>
      <c r="I534" s="11">
        <f>IFERROR(__xludf.DUMMYFUNCTION("""COMPUTED_VALUE"""),1.0)</f>
        <v>1</v>
      </c>
      <c r="J534" s="11">
        <f>IFERROR(__xludf.DUMMYFUNCTION("""COMPUTED_VALUE"""),0.0)</f>
        <v>0</v>
      </c>
      <c r="K534" s="11">
        <f>IFERROR(__xludf.DUMMYFUNCTION("""COMPUTED_VALUE"""),1.0)</f>
        <v>1</v>
      </c>
      <c r="L534" s="11"/>
    </row>
    <row r="535" ht="15.75" customHeight="1">
      <c r="A535" s="8" t="str">
        <f>IFERROR(__xludf.DUMMYFUNCTION("""COMPUTED_VALUE"""),"https://www.magier.com/blog/best-creative-agency#:~:text=The%2015%20best%20creative%20agencies%20(2026),for%20a%20fixed%20monthly%20fee.")</f>
        <v>https://www.magier.com/blog/best-creative-agency#:~:text=The%2015%20best%20creative%20agencies%20(2026),for%20a%20fixed%20monthly%20fee.</v>
      </c>
      <c r="B535" s="11" t="str">
        <f>IFERROR(__xludf.DUMMYFUNCTION("""COMPUTED_VALUE"""),"15 Best Creative Agencies for Branding, Ads, and UX (2026)")</f>
        <v>15 Best Creative Agencies for Branding, Ads, and UX (2026)</v>
      </c>
      <c r="C535" s="8" t="str">
        <f>IFERROR(__xludf.DUMMYFUNCTION("""COMPUTED_VALUE"""),"magier.com")</f>
        <v>magier.com</v>
      </c>
      <c r="D535" s="11" t="str">
        <f>IFERROR(__xludf.DUMMYFUNCTION("""COMPUTED_VALUE"""),"LISTICLE")</f>
        <v>LISTICLE</v>
      </c>
      <c r="E535" s="11" t="str">
        <f>IFERROR(__xludf.DUMMYFUNCTION("""COMPUTED_VALUE"""),"OTHER")</f>
        <v>OTHER</v>
      </c>
      <c r="F535" s="11" t="str">
        <f>IFERROR(__xludf.DUMMYFUNCTION("""COMPUTED_VALUE"""),"Listicle")</f>
        <v>Listicle</v>
      </c>
      <c r="G535" s="11" t="b">
        <f>IFERROR(__xludf.DUMMYFUNCTION("""COMPUTED_VALUE"""),FALSE)</f>
        <v>0</v>
      </c>
      <c r="H535" s="11" t="str">
        <f>IFERROR(__xludf.DUMMYFUNCTION("""COMPUTED_VALUE"""),"R/GA, AKQA, Ogilvy, WPP, Omnicom, Accenture Song, Momentum, Huge, Superside")</f>
        <v>R/GA, AKQA, Ogilvy, WPP, Omnicom, Accenture Song, Momentum, Huge, Superside</v>
      </c>
      <c r="I535" s="11">
        <f>IFERROR(__xludf.DUMMYFUNCTION("""COMPUTED_VALUE"""),1.0)</f>
        <v>1</v>
      </c>
      <c r="J535" s="11">
        <f>IFERROR(__xludf.DUMMYFUNCTION("""COMPUTED_VALUE"""),0.0)</f>
        <v>0</v>
      </c>
      <c r="K535" s="11">
        <f>IFERROR(__xludf.DUMMYFUNCTION("""COMPUTED_VALUE"""),1.0)</f>
        <v>1</v>
      </c>
      <c r="L535" s="11"/>
    </row>
    <row r="536" ht="15.75" customHeight="1">
      <c r="A536" s="8" t="str">
        <f>IFERROR(__xludf.DUMMYFUNCTION("""COMPUTED_VALUE"""),"https://marketerhire.com/blog/ai-content-marketing-tools")</f>
        <v>https://marketerhire.com/blog/ai-content-marketing-tools</v>
      </c>
      <c r="B536" s="11" t="str">
        <f>IFERROR(__xludf.DUMMYFUNCTION("""COMPUTED_VALUE"""),"Top AI Content Marketing Tools in 2025")</f>
        <v>Top AI Content Marketing Tools in 2025</v>
      </c>
      <c r="C536" s="8" t="str">
        <f>IFERROR(__xludf.DUMMYFUNCTION("""COMPUTED_VALUE"""),"marketerhire.com")</f>
        <v>marketerhire.com</v>
      </c>
      <c r="D536" s="11" t="str">
        <f>IFERROR(__xludf.DUMMYFUNCTION("""COMPUTED_VALUE"""),"LISTICLE")</f>
        <v>LISTICLE</v>
      </c>
      <c r="E536" s="11" t="str">
        <f>IFERROR(__xludf.DUMMYFUNCTION("""COMPUTED_VALUE"""),"CORPORATE")</f>
        <v>CORPORATE</v>
      </c>
      <c r="F536" s="11" t="str">
        <f>IFERROR(__xludf.DUMMYFUNCTION("""COMPUTED_VALUE"""),"Listicle")</f>
        <v>Listicle</v>
      </c>
      <c r="G536" s="11" t="b">
        <f>IFERROR(__xludf.DUMMYFUNCTION("""COMPUTED_VALUE"""),FALSE)</f>
        <v>0</v>
      </c>
      <c r="H536" s="11"/>
      <c r="I536" s="11">
        <f>IFERROR(__xludf.DUMMYFUNCTION("""COMPUTED_VALUE"""),1.0)</f>
        <v>1</v>
      </c>
      <c r="J536" s="11">
        <f>IFERROR(__xludf.DUMMYFUNCTION("""COMPUTED_VALUE"""),0.0)</f>
        <v>0</v>
      </c>
      <c r="K536" s="11">
        <f>IFERROR(__xludf.DUMMYFUNCTION("""COMPUTED_VALUE"""),1.0)</f>
        <v>1</v>
      </c>
      <c r="L536" s="11"/>
    </row>
    <row r="537" ht="15.75" customHeight="1">
      <c r="A537" s="8" t="str">
        <f>IFERROR(__xludf.DUMMYFUNCTION("""COMPUTED_VALUE"""),"https://www.marketingattributionsoftware.com/")</f>
        <v>https://www.marketingattributionsoftware.com/</v>
      </c>
      <c r="B537" s="11" t="str">
        <f>IFERROR(__xludf.DUMMYFUNCTION("""COMPUTED_VALUE"""),"Best Marketing Attribution Software 2026 — Full Comparison of 18 Tools")</f>
        <v>Best Marketing Attribution Software 2026 — Full Comparison of 18 Tools</v>
      </c>
      <c r="C537" s="8" t="str">
        <f>IFERROR(__xludf.DUMMYFUNCTION("""COMPUTED_VALUE"""),"marketingattributionsoftware.com")</f>
        <v>marketingattributionsoftware.com</v>
      </c>
      <c r="D537" s="11" t="str">
        <f>IFERROR(__xludf.DUMMYFUNCTION("""COMPUTED_VALUE"""),"HOMEPAGE")</f>
        <v>HOMEPAGE</v>
      </c>
      <c r="E537" s="11" t="str">
        <f>IFERROR(__xludf.DUMMYFUNCTION("""COMPUTED_VALUE"""),"EDITORIAL")</f>
        <v>EDITORIAL</v>
      </c>
      <c r="F537" s="11" t="str">
        <f>IFERROR(__xludf.DUMMYFUNCTION("""COMPUTED_VALUE"""),"Homepage")</f>
        <v>Homepage</v>
      </c>
      <c r="G537" s="11" t="b">
        <f>IFERROR(__xludf.DUMMYFUNCTION("""COMPUTED_VALUE"""),FALSE)</f>
        <v>0</v>
      </c>
      <c r="H537" s="11" t="str">
        <f>IFERROR(__xludf.DUMMYFUNCTION("""COMPUTED_VALUE"""),"Triple Whale, Northbeam, Dreamdata, Rockerbox, Cometly, Huge")</f>
        <v>Triple Whale, Northbeam, Dreamdata, Rockerbox, Cometly, Huge</v>
      </c>
      <c r="I537" s="11">
        <f>IFERROR(__xludf.DUMMYFUNCTION("""COMPUTED_VALUE"""),1.0)</f>
        <v>1</v>
      </c>
      <c r="J537" s="11">
        <f>IFERROR(__xludf.DUMMYFUNCTION("""COMPUTED_VALUE"""),0.0)</f>
        <v>0</v>
      </c>
      <c r="K537" s="11">
        <f>IFERROR(__xludf.DUMMYFUNCTION("""COMPUTED_VALUE"""),0.0)</f>
        <v>0</v>
      </c>
      <c r="L537" s="11"/>
    </row>
    <row r="538" ht="15.75" customHeight="1">
      <c r="A538" s="8" t="str">
        <f>IFERROR(__xludf.DUMMYFUNCTION("""COMPUTED_VALUE"""),"https://www.markt-kom.com/en/dexat/adc-kreativranking-das-sind-deutschlands-top-agenturen/")</f>
        <v>https://www.markt-kom.com/en/dexat/adc-kreativranking-das-sind-deutschlands-top-agenturen/</v>
      </c>
      <c r="B538" s="11" t="str">
        <f>IFERROR(__xludf.DUMMYFUNCTION("""COMPUTED_VALUE"""),"ADC Kreativranking: Das sind Deutschlands Top-Agenturen - m&amp;amp;k")</f>
        <v>ADC Kreativranking: Das sind Deutschlands Top-Agenturen - m&amp;amp;k</v>
      </c>
      <c r="C538" s="8" t="str">
        <f>IFERROR(__xludf.DUMMYFUNCTION("""COMPUTED_VALUE"""),"markt-kom.com")</f>
        <v>markt-kom.com</v>
      </c>
      <c r="D538" s="11" t="str">
        <f>IFERROR(__xludf.DUMMYFUNCTION("""COMPUTED_VALUE"""),"LISTICLE")</f>
        <v>LISTICLE</v>
      </c>
      <c r="E538" s="11" t="str">
        <f>IFERROR(__xludf.DUMMYFUNCTION("""COMPUTED_VALUE"""),"OTHER")</f>
        <v>OTHER</v>
      </c>
      <c r="F538" s="11" t="str">
        <f>IFERROR(__xludf.DUMMYFUNCTION("""COMPUTED_VALUE"""),"Listicle")</f>
        <v>Listicle</v>
      </c>
      <c r="G538" s="11" t="b">
        <f>IFERROR(__xludf.DUMMYFUNCTION("""COMPUTED_VALUE"""),FALSE)</f>
        <v>0</v>
      </c>
      <c r="H538" s="11" t="str">
        <f>IFERROR(__xludf.DUMMYFUNCTION("""COMPUTED_VALUE"""),"Jung von Matt, Accenture Song, Ogilvy, Scholz &amp; Friends, Publicis Media, Publicis Groupe")</f>
        <v>Jung von Matt, Accenture Song, Ogilvy, Scholz &amp; Friends, Publicis Media, Publicis Groupe</v>
      </c>
      <c r="I538" s="11">
        <f>IFERROR(__xludf.DUMMYFUNCTION("""COMPUTED_VALUE"""),1.0)</f>
        <v>1</v>
      </c>
      <c r="J538" s="11">
        <f>IFERROR(__xludf.DUMMYFUNCTION("""COMPUTED_VALUE"""),0.0)</f>
        <v>0</v>
      </c>
      <c r="K538" s="11">
        <f>IFERROR(__xludf.DUMMYFUNCTION("""COMPUTED_VALUE"""),0.0)</f>
        <v>0</v>
      </c>
      <c r="L538" s="11"/>
    </row>
    <row r="539" ht="15.75" customHeight="1">
      <c r="A539" s="8" t="str">
        <f>IFERROR(__xludf.DUMMYFUNCTION("""COMPUTED_VALUE"""),"https://www.measured.com/faq/top-11-best-media-mix-modeling-companies-software-for-2026/")</f>
        <v>https://www.measured.com/faq/top-11-best-media-mix-modeling-companies-software-for-2026/</v>
      </c>
      <c r="B539" s="11" t="str">
        <f>IFERROR(__xludf.DUMMYFUNCTION("""COMPUTED_VALUE"""),"Top 11 Best Media Mix Modeling Companies &amp;amp; Software for 2026 | Measured®")</f>
        <v>Top 11 Best Media Mix Modeling Companies &amp;amp; Software for 2026 | Measured®</v>
      </c>
      <c r="C539" s="8" t="str">
        <f>IFERROR(__xludf.DUMMYFUNCTION("""COMPUTED_VALUE"""),"measured.com")</f>
        <v>measured.com</v>
      </c>
      <c r="D539" s="11" t="str">
        <f>IFERROR(__xludf.DUMMYFUNCTION("""COMPUTED_VALUE"""),"LISTICLE")</f>
        <v>LISTICLE</v>
      </c>
      <c r="E539" s="11" t="str">
        <f>IFERROR(__xludf.DUMMYFUNCTION("""COMPUTED_VALUE"""),"COMPETITOR")</f>
        <v>COMPETITOR</v>
      </c>
      <c r="F539" s="11" t="str">
        <f>IFERROR(__xludf.DUMMYFUNCTION("""COMPUTED_VALUE"""),"Listicle")</f>
        <v>Listicle</v>
      </c>
      <c r="G539" s="11" t="b">
        <f>IFERROR(__xludf.DUMMYFUNCTION("""COMPUTED_VALUE"""),FALSE)</f>
        <v>0</v>
      </c>
      <c r="H539" s="11" t="str">
        <f>IFERROR(__xludf.DUMMYFUNCTION("""COMPUTED_VALUE"""),"Measured, Nielsen, Analytic Partners, Kantar, Neustar, WPP, Recast, Haus, Rockerbox")</f>
        <v>Measured, Nielsen, Analytic Partners, Kantar, Neustar, WPP, Recast, Haus, Rockerbox</v>
      </c>
      <c r="I539" s="11">
        <f>IFERROR(__xludf.DUMMYFUNCTION("""COMPUTED_VALUE"""),1.0)</f>
        <v>1</v>
      </c>
      <c r="J539" s="11">
        <f>IFERROR(__xludf.DUMMYFUNCTION("""COMPUTED_VALUE"""),0.0)</f>
        <v>0</v>
      </c>
      <c r="K539" s="11">
        <f>IFERROR(__xludf.DUMMYFUNCTION("""COMPUTED_VALUE"""),1.0)</f>
        <v>1</v>
      </c>
      <c r="L539" s="11"/>
    </row>
    <row r="540" ht="15.75" customHeight="1">
      <c r="A540" s="8" t="str">
        <f>IFERROR(__xludf.DUMMYFUNCTION("""COMPUTED_VALUE"""),"https://metehan.ai/articles/best-aeo-geo-agencies/")</f>
        <v>https://metehan.ai/articles/best-aeo-geo-agencies/</v>
      </c>
      <c r="B540" s="11" t="str">
        <f>IFERROR(__xludf.DUMMYFUNCTION("""COMPUTED_VALUE"""),"Best AEO &amp;amp; GEO Agencies in 2026: 30 Agencies Compared | metehan.ai")</f>
        <v>Best AEO &amp;amp; GEO Agencies in 2026: 30 Agencies Compared | metehan.ai</v>
      </c>
      <c r="C540" s="8" t="str">
        <f>IFERROR(__xludf.DUMMYFUNCTION("""COMPUTED_VALUE"""),"metehan.ai")</f>
        <v>metehan.ai</v>
      </c>
      <c r="D540" s="11" t="str">
        <f>IFERROR(__xludf.DUMMYFUNCTION("""COMPUTED_VALUE"""),"LISTICLE")</f>
        <v>LISTICLE</v>
      </c>
      <c r="E540" s="11" t="str">
        <f>IFERROR(__xludf.DUMMYFUNCTION("""COMPUTED_VALUE"""),"EDITORIAL")</f>
        <v>EDITORIAL</v>
      </c>
      <c r="F540" s="11" t="str">
        <f>IFERROR(__xludf.DUMMYFUNCTION("""COMPUTED_VALUE"""),"Listicle")</f>
        <v>Listicle</v>
      </c>
      <c r="G540" s="11" t="b">
        <f>IFERROR(__xludf.DUMMYFUNCTION("""COMPUTED_VALUE"""),FALSE)</f>
        <v>0</v>
      </c>
      <c r="H540" s="11" t="str">
        <f>IFERROR(__xludf.DUMMYFUNCTION("""COMPUTED_VALUE"""),"iPullRank, Radyant, DEPT, Monks, Peak Ace")</f>
        <v>iPullRank, Radyant, DEPT, Monks, Peak Ace</v>
      </c>
      <c r="I540" s="11">
        <f>IFERROR(__xludf.DUMMYFUNCTION("""COMPUTED_VALUE"""),1.0)</f>
        <v>1</v>
      </c>
      <c r="J540" s="11">
        <f>IFERROR(__xludf.DUMMYFUNCTION("""COMPUTED_VALUE"""),0.0)</f>
        <v>0</v>
      </c>
      <c r="K540" s="11">
        <f>IFERROR(__xludf.DUMMYFUNCTION("""COMPUTED_VALUE"""),1.0)</f>
        <v>1</v>
      </c>
      <c r="L540" s="11"/>
    </row>
    <row r="541" ht="15.75" customHeight="1">
      <c r="A541" s="8" t="str">
        <f>IFERROR(__xludf.DUMMYFUNCTION("""COMPUTED_VALUE"""),"https://mingma.io/compare/ai-automation-agencies/")</f>
        <v>https://mingma.io/compare/ai-automation-agencies/</v>
      </c>
      <c r="B541" s="11" t="str">
        <f>IFERROR(__xludf.DUMMYFUNCTION("""COMPUTED_VALUE"""),"Best AI Automation Agencies for Mid-Market Companies [2026 Comparison] | Mingma")</f>
        <v>Best AI Automation Agencies for Mid-Market Companies [2026 Comparison] | Mingma</v>
      </c>
      <c r="C541" s="8" t="str">
        <f>IFERROR(__xludf.DUMMYFUNCTION("""COMPUTED_VALUE"""),"mingma.io")</f>
        <v>mingma.io</v>
      </c>
      <c r="D541" s="11" t="str">
        <f>IFERROR(__xludf.DUMMYFUNCTION("""COMPUTED_VALUE"""),"COMPARISON")</f>
        <v>COMPARISON</v>
      </c>
      <c r="E541" s="11" t="str">
        <f>IFERROR(__xludf.DUMMYFUNCTION("""COMPUTED_VALUE"""),"CORPORATE")</f>
        <v>CORPORATE</v>
      </c>
      <c r="F541" s="11" t="str">
        <f>IFERROR(__xludf.DUMMYFUNCTION("""COMPUTED_VALUE"""),"Comparison")</f>
        <v>Comparison</v>
      </c>
      <c r="G541" s="11" t="b">
        <f>IFERROR(__xludf.DUMMYFUNCTION("""COMPUTED_VALUE"""),FALSE)</f>
        <v>0</v>
      </c>
      <c r="H541" s="11"/>
      <c r="I541" s="11">
        <f>IFERROR(__xludf.DUMMYFUNCTION("""COMPUTED_VALUE"""),1.0)</f>
        <v>1</v>
      </c>
      <c r="J541" s="11">
        <f>IFERROR(__xludf.DUMMYFUNCTION("""COMPUTED_VALUE"""),0.0)</f>
        <v>0</v>
      </c>
      <c r="K541" s="11">
        <f>IFERROR(__xludf.DUMMYFUNCTION("""COMPUTED_VALUE"""),3.0)</f>
        <v>3</v>
      </c>
      <c r="L541" s="11"/>
    </row>
    <row r="542" ht="15.75" customHeight="1">
      <c r="A542" s="8" t="str">
        <f>IFERROR(__xludf.DUMMYFUNCTION("""COMPUTED_VALUE"""),"https://mingma.io/journal/best-ai-automation-agencies-mid-market/")</f>
        <v>https://mingma.io/journal/best-ai-automation-agencies-mid-market/</v>
      </c>
      <c r="B542" s="11" t="str">
        <f>IFERROR(__xludf.DUMMYFUNCTION("""COMPUTED_VALUE"""),"Best AI Automation Agencies for Mid-Market Companies 2026 | Honest Comparison")</f>
        <v>Best AI Automation Agencies for Mid-Market Companies 2026 | Honest Comparison</v>
      </c>
      <c r="C542" s="8" t="str">
        <f>IFERROR(__xludf.DUMMYFUNCTION("""COMPUTED_VALUE"""),"mingma.io")</f>
        <v>mingma.io</v>
      </c>
      <c r="D542" s="11" t="str">
        <f>IFERROR(__xludf.DUMMYFUNCTION("""COMPUTED_VALUE"""),"LISTICLE")</f>
        <v>LISTICLE</v>
      </c>
      <c r="E542" s="11" t="str">
        <f>IFERROR(__xludf.DUMMYFUNCTION("""COMPUTED_VALUE"""),"CORPORATE")</f>
        <v>CORPORATE</v>
      </c>
      <c r="F542" s="11" t="str">
        <f>IFERROR(__xludf.DUMMYFUNCTION("""COMPUTED_VALUE"""),"Listicle")</f>
        <v>Listicle</v>
      </c>
      <c r="G542" s="11" t="b">
        <f>IFERROR(__xludf.DUMMYFUNCTION("""COMPUTED_VALUE"""),FALSE)</f>
        <v>0</v>
      </c>
      <c r="H542" s="11" t="str">
        <f>IFERROR(__xludf.DUMMYFUNCTION("""COMPUTED_VALUE"""),"Measured, Pilot")</f>
        <v>Measured, Pilot</v>
      </c>
      <c r="I542" s="11">
        <f>IFERROR(__xludf.DUMMYFUNCTION("""COMPUTED_VALUE"""),1.0)</f>
        <v>1</v>
      </c>
      <c r="J542" s="11">
        <f>IFERROR(__xludf.DUMMYFUNCTION("""COMPUTED_VALUE"""),0.0)</f>
        <v>0</v>
      </c>
      <c r="K542" s="11">
        <f>IFERROR(__xludf.DUMMYFUNCTION("""COMPUTED_VALUE"""),3.0)</f>
        <v>3</v>
      </c>
      <c r="L542" s="11"/>
    </row>
    <row r="543" ht="15.75" customHeight="1">
      <c r="A543" s="8" t="str">
        <f>IFERROR(__xludf.DUMMYFUNCTION("""COMPUTED_VALUE"""),"https://www.mintcopywritingstudios.com/blog/ai-search-optimization-geo-agencies")</f>
        <v>https://www.mintcopywritingstudios.com/blog/ai-search-optimization-geo-agencies</v>
      </c>
      <c r="B543" s="11" t="str">
        <f>IFERROR(__xludf.DUMMYFUNCTION("""COMPUTED_VALUE"""),"Top Generative Engine Optimization (GEO) Agencies in 2026: 10+ AI Search Specialists Compared | Mint Studios")</f>
        <v>Top Generative Engine Optimization (GEO) Agencies in 2026: 10+ AI Search Specialists Compared | Mint Studios</v>
      </c>
      <c r="C543" s="8" t="str">
        <f>IFERROR(__xludf.DUMMYFUNCTION("""COMPUTED_VALUE"""),"mintcopywritingstudios.com")</f>
        <v>mintcopywritingstudios.com</v>
      </c>
      <c r="D543" s="11" t="str">
        <f>IFERROR(__xludf.DUMMYFUNCTION("""COMPUTED_VALUE"""),"LISTICLE")</f>
        <v>LISTICLE</v>
      </c>
      <c r="E543" s="11" t="str">
        <f>IFERROR(__xludf.DUMMYFUNCTION("""COMPUTED_VALUE"""),"CORPORATE")</f>
        <v>CORPORATE</v>
      </c>
      <c r="F543" s="11" t="str">
        <f>IFERROR(__xludf.DUMMYFUNCTION("""COMPUTED_VALUE"""),"Listicle")</f>
        <v>Listicle</v>
      </c>
      <c r="G543" s="11" t="b">
        <f>IFERROR(__xludf.DUMMYFUNCTION("""COMPUTED_VALUE"""),FALSE)</f>
        <v>0</v>
      </c>
      <c r="H543" s="11" t="str">
        <f>IFERROR(__xludf.DUMMYFUNCTION("""COMPUTED_VALUE"""),"NoGood, WebFX, Siege Media, Omniscient Digital, Single Grain, Huge, Pilot, Measured")</f>
        <v>NoGood, WebFX, Siege Media, Omniscient Digital, Single Grain, Huge, Pilot, Measured</v>
      </c>
      <c r="I543" s="11">
        <f>IFERROR(__xludf.DUMMYFUNCTION("""COMPUTED_VALUE"""),1.0)</f>
        <v>1</v>
      </c>
      <c r="J543" s="11">
        <f>IFERROR(__xludf.DUMMYFUNCTION("""COMPUTED_VALUE"""),0.0)</f>
        <v>0</v>
      </c>
      <c r="K543" s="11">
        <f>IFERROR(__xludf.DUMMYFUNCTION("""COMPUTED_VALUE"""),1.0)</f>
        <v>1</v>
      </c>
      <c r="L543" s="11"/>
    </row>
    <row r="544" ht="15.75" customHeight="1">
      <c r="A544" s="8" t="str">
        <f>IFERROR(__xludf.DUMMYFUNCTION("""COMPUTED_VALUE"""),"https://www.mintzoro.com/ai-marketing-agency-in-germany/")</f>
        <v>https://www.mintzoro.com/ai-marketing-agency-in-germany/</v>
      </c>
      <c r="B544" s="11" t="str">
        <f>IFERROR(__xludf.DUMMYFUNCTION("""COMPUTED_VALUE"""),"Best AI Marketing, Agents &amp;amp; Automation Agency in Germany | Mintzoro")</f>
        <v>Best AI Marketing, Agents &amp;amp; Automation Agency in Germany | Mintzoro</v>
      </c>
      <c r="C544" s="8" t="str">
        <f>IFERROR(__xludf.DUMMYFUNCTION("""COMPUTED_VALUE"""),"mintzoro.com")</f>
        <v>mintzoro.com</v>
      </c>
      <c r="D544" s="11" t="str">
        <f>IFERROR(__xludf.DUMMYFUNCTION("""COMPUTED_VALUE"""),"OTHER")</f>
        <v>OTHER</v>
      </c>
      <c r="E544" s="11" t="str">
        <f>IFERROR(__xludf.DUMMYFUNCTION("""COMPUTED_VALUE"""),"CORPORATE")</f>
        <v>CORPORATE</v>
      </c>
      <c r="F544" s="11" t="str">
        <f>IFERROR(__xludf.DUMMYFUNCTION("""COMPUTED_VALUE"""),"Other")</f>
        <v>Other</v>
      </c>
      <c r="G544" s="11" t="b">
        <f>IFERROR(__xludf.DUMMYFUNCTION("""COMPUTED_VALUE"""),FALSE)</f>
        <v>0</v>
      </c>
      <c r="H544" s="11"/>
      <c r="I544" s="11">
        <f>IFERROR(__xludf.DUMMYFUNCTION("""COMPUTED_VALUE"""),1.0)</f>
        <v>1</v>
      </c>
      <c r="J544" s="11">
        <f>IFERROR(__xludf.DUMMYFUNCTION("""COMPUTED_VALUE"""),0.0)</f>
        <v>0</v>
      </c>
      <c r="K544" s="11">
        <f>IFERROR(__xludf.DUMMYFUNCTION("""COMPUTED_VALUE"""),0.0)</f>
        <v>0</v>
      </c>
      <c r="L544" s="11"/>
    </row>
    <row r="545" ht="15.75" customHeight="1">
      <c r="A545" s="8" t="str">
        <f>IFERROR(__xludf.DUMMYFUNCTION("""COMPUTED_VALUE"""),"https://minuttia.com/best-aeo-agencies/")</f>
        <v>https://minuttia.com/best-aeo-agencies/</v>
      </c>
      <c r="B545" s="11" t="str">
        <f>IFERROR(__xludf.DUMMYFUNCTION("""COMPUTED_VALUE"""),"10 Best Answer Engine Optimization (AEO) Agencies in July, 2026")</f>
        <v>10 Best Answer Engine Optimization (AEO) Agencies in July, 2026</v>
      </c>
      <c r="C545" s="8" t="str">
        <f>IFERROR(__xludf.DUMMYFUNCTION("""COMPUTED_VALUE"""),"minuttia.com")</f>
        <v>minuttia.com</v>
      </c>
      <c r="D545" s="11" t="str">
        <f>IFERROR(__xludf.DUMMYFUNCTION("""COMPUTED_VALUE"""),"LISTICLE")</f>
        <v>LISTICLE</v>
      </c>
      <c r="E545" s="11" t="str">
        <f>IFERROR(__xludf.DUMMYFUNCTION("""COMPUTED_VALUE"""),"CORPORATE")</f>
        <v>CORPORATE</v>
      </c>
      <c r="F545" s="11" t="str">
        <f>IFERROR(__xludf.DUMMYFUNCTION("""COMPUTED_VALUE"""),"Listicle")</f>
        <v>Listicle</v>
      </c>
      <c r="G545" s="11" t="b">
        <f>IFERROR(__xludf.DUMMYFUNCTION("""COMPUTED_VALUE"""),FALSE)</f>
        <v>0</v>
      </c>
      <c r="H545" s="11" t="str">
        <f>IFERROR(__xludf.DUMMYFUNCTION("""COMPUTED_VALUE"""),"Single Grain, Siege Media, iPullRank, NoGood")</f>
        <v>Single Grain, Siege Media, iPullRank, NoGood</v>
      </c>
      <c r="I545" s="11">
        <f>IFERROR(__xludf.DUMMYFUNCTION("""COMPUTED_VALUE"""),1.0)</f>
        <v>1</v>
      </c>
      <c r="J545" s="11">
        <f>IFERROR(__xludf.DUMMYFUNCTION("""COMPUTED_VALUE"""),0.0)</f>
        <v>0</v>
      </c>
      <c r="K545" s="11">
        <f>IFERROR(__xludf.DUMMYFUNCTION("""COMPUTED_VALUE"""),1.0)</f>
        <v>1</v>
      </c>
      <c r="L545" s="11"/>
    </row>
    <row r="546" ht="15.75" customHeight="1">
      <c r="A546" s="8" t="str">
        <f>IFERROR(__xludf.DUMMYFUNCTION("""COMPUTED_VALUE"""),"https://modall.ca/blog/top-ai-software-development-integration-agencies")</f>
        <v>https://modall.ca/blog/top-ai-software-development-integration-agencies</v>
      </c>
      <c r="B546" s="11" t="str">
        <f>IFERROR(__xludf.DUMMYFUNCTION("""COMPUTED_VALUE"""),"Top AI Software Development &amp;amp; Integration Agencies in 2026 - Modall")</f>
        <v>Top AI Software Development &amp;amp; Integration Agencies in 2026 - Modall</v>
      </c>
      <c r="C546" s="8" t="str">
        <f>IFERROR(__xludf.DUMMYFUNCTION("""COMPUTED_VALUE"""),"modall.ca")</f>
        <v>modall.ca</v>
      </c>
      <c r="D546" s="11" t="str">
        <f>IFERROR(__xludf.DUMMYFUNCTION("""COMPUTED_VALUE"""),"LISTICLE")</f>
        <v>LISTICLE</v>
      </c>
      <c r="E546" s="11" t="str">
        <f>IFERROR(__xludf.DUMMYFUNCTION("""COMPUTED_VALUE"""),"CORPORATE")</f>
        <v>CORPORATE</v>
      </c>
      <c r="F546" s="11" t="str">
        <f>IFERROR(__xludf.DUMMYFUNCTION("""COMPUTED_VALUE"""),"Listicle")</f>
        <v>Listicle</v>
      </c>
      <c r="G546" s="11" t="b">
        <f>IFERROR(__xludf.DUMMYFUNCTION("""COMPUTED_VALUE"""),FALSE)</f>
        <v>0</v>
      </c>
      <c r="H546" s="11" t="str">
        <f>IFERROR(__xludf.DUMMYFUNCTION("""COMPUTED_VALUE"""),"Pilot")</f>
        <v>Pilot</v>
      </c>
      <c r="I546" s="11">
        <f>IFERROR(__xludf.DUMMYFUNCTION("""COMPUTED_VALUE"""),1.0)</f>
        <v>1</v>
      </c>
      <c r="J546" s="11">
        <f>IFERROR(__xludf.DUMMYFUNCTION("""COMPUTED_VALUE"""),0.0)</f>
        <v>0</v>
      </c>
      <c r="K546" s="11">
        <f>IFERROR(__xludf.DUMMYFUNCTION("""COMPUTED_VALUE"""),1.0)</f>
        <v>1</v>
      </c>
      <c r="L546" s="11"/>
    </row>
    <row r="547" ht="15.75" customHeight="1">
      <c r="A547" s="8" t="str">
        <f>IFERROR(__xludf.DUMMYFUNCTION("""COMPUTED_VALUE"""),"https://www.munro.agency/top-10-paid-media-agencies/")</f>
        <v>https://www.munro.agency/top-10-paid-media-agencies/</v>
      </c>
      <c r="B547" s="11" t="str">
        <f>IFERROR(__xludf.DUMMYFUNCTION("""COMPUTED_VALUE"""),"Top 10 Paid Media Agencies for 2026")</f>
        <v>Top 10 Paid Media Agencies for 2026</v>
      </c>
      <c r="C547" s="11" t="str">
        <f>IFERROR(__xludf.DUMMYFUNCTION("""COMPUTED_VALUE"""),"munro.agency")</f>
        <v>munro.agency</v>
      </c>
      <c r="D547" s="11" t="str">
        <f>IFERROR(__xludf.DUMMYFUNCTION("""COMPUTED_VALUE"""),"LISTICLE")</f>
        <v>LISTICLE</v>
      </c>
      <c r="E547" s="11" t="str">
        <f>IFERROR(__xludf.DUMMYFUNCTION("""COMPUTED_VALUE"""),"CORPORATE")</f>
        <v>CORPORATE</v>
      </c>
      <c r="F547" s="11" t="str">
        <f>IFERROR(__xludf.DUMMYFUNCTION("""COMPUTED_VALUE"""),"Listicle")</f>
        <v>Listicle</v>
      </c>
      <c r="G547" s="11" t="b">
        <f>IFERROR(__xludf.DUMMYFUNCTION("""COMPUTED_VALUE"""),FALSE)</f>
        <v>0</v>
      </c>
      <c r="H547" s="11" t="str">
        <f>IFERROR(__xludf.DUMMYFUNCTION("""COMPUTED_VALUE"""),"inBeat, Power Digital")</f>
        <v>inBeat, Power Digital</v>
      </c>
      <c r="I547" s="11">
        <f>IFERROR(__xludf.DUMMYFUNCTION("""COMPUTED_VALUE"""),1.0)</f>
        <v>1</v>
      </c>
      <c r="J547" s="11">
        <f>IFERROR(__xludf.DUMMYFUNCTION("""COMPUTED_VALUE"""),0.0)</f>
        <v>0</v>
      </c>
      <c r="K547" s="11">
        <f>IFERROR(__xludf.DUMMYFUNCTION("""COMPUTED_VALUE"""),0.0)</f>
        <v>0</v>
      </c>
      <c r="L547" s="11"/>
    </row>
    <row r="548" ht="15.75" customHeight="1">
      <c r="A548" s="8" t="str">
        <f>IFERROR(__xludf.DUMMYFUNCTION("""COMPUTED_VALUE"""),"https://www.munro.agency/top-marketing-data-science-agencies/")</f>
        <v>https://www.munro.agency/top-marketing-data-science-agencies/</v>
      </c>
      <c r="B548" s="11" t="str">
        <f>IFERROR(__xludf.DUMMYFUNCTION("""COMPUTED_VALUE"""),"Top 17 Marketing Data Science Agencies")</f>
        <v>Top 17 Marketing Data Science Agencies</v>
      </c>
      <c r="C548" s="11" t="str">
        <f>IFERROR(__xludf.DUMMYFUNCTION("""COMPUTED_VALUE"""),"munro.agency")</f>
        <v>munro.agency</v>
      </c>
      <c r="D548" s="11" t="str">
        <f>IFERROR(__xludf.DUMMYFUNCTION("""COMPUTED_VALUE"""),"LISTICLE")</f>
        <v>LISTICLE</v>
      </c>
      <c r="E548" s="11" t="str">
        <f>IFERROR(__xludf.DUMMYFUNCTION("""COMPUTED_VALUE"""),"CORPORATE")</f>
        <v>CORPORATE</v>
      </c>
      <c r="F548" s="11" t="str">
        <f>IFERROR(__xludf.DUMMYFUNCTION("""COMPUTED_VALUE"""),"Listicle")</f>
        <v>Listicle</v>
      </c>
      <c r="G548" s="11" t="b">
        <f>IFERROR(__xludf.DUMMYFUNCTION("""COMPUTED_VALUE"""),FALSE)</f>
        <v>0</v>
      </c>
      <c r="H548" s="11" t="str">
        <f>IFERROR(__xludf.DUMMYFUNCTION("""COMPUTED_VALUE"""),"Measured, Artefact, BCG, Boston Consulting Group, PwC, Capgemini, Merkle, Analytic Partners")</f>
        <v>Measured, Artefact, BCG, Boston Consulting Group, PwC, Capgemini, Merkle, Analytic Partners</v>
      </c>
      <c r="I548" s="11">
        <f>IFERROR(__xludf.DUMMYFUNCTION("""COMPUTED_VALUE"""),1.0)</f>
        <v>1</v>
      </c>
      <c r="J548" s="11">
        <f>IFERROR(__xludf.DUMMYFUNCTION("""COMPUTED_VALUE"""),0.0)</f>
        <v>0</v>
      </c>
      <c r="K548" s="11">
        <f>IFERROR(__xludf.DUMMYFUNCTION("""COMPUTED_VALUE"""),1.0)</f>
        <v>1</v>
      </c>
      <c r="L548" s="11"/>
    </row>
    <row r="549" ht="15.75" customHeight="1">
      <c r="A549" s="8" t="str">
        <f>IFERROR(__xludf.DUMMYFUNCTION("""COMPUTED_VALUE"""),"https://nativz.io/best-ai-seo-tools-2025-top-10-platforms-for-aeo-chatgpt-llm-visibility/")</f>
        <v>https://nativz.io/best-ai-seo-tools-2025-top-10-platforms-for-aeo-chatgpt-llm-visibility/</v>
      </c>
      <c r="B549" s="11" t="str">
        <f>IFERROR(__xludf.DUMMYFUNCTION("""COMPUTED_VALUE"""),"Best AI SEO Tools 2025 – Top 10 Platforms for AEO, ChatGPT &amp;amp; LLM")</f>
        <v>Best AI SEO Tools 2025 – Top 10 Platforms for AEO, ChatGPT &amp;amp; LLM</v>
      </c>
      <c r="C549" s="8" t="str">
        <f>IFERROR(__xludf.DUMMYFUNCTION("""COMPUTED_VALUE"""),"nativz.io")</f>
        <v>nativz.io</v>
      </c>
      <c r="D549" s="11" t="str">
        <f>IFERROR(__xludf.DUMMYFUNCTION("""COMPUTED_VALUE"""),"LISTICLE")</f>
        <v>LISTICLE</v>
      </c>
      <c r="E549" s="11" t="str">
        <f>IFERROR(__xludf.DUMMYFUNCTION("""COMPUTED_VALUE"""),"CORPORATE")</f>
        <v>CORPORATE</v>
      </c>
      <c r="F549" s="11" t="str">
        <f>IFERROR(__xludf.DUMMYFUNCTION("""COMPUTED_VALUE"""),"Listicle")</f>
        <v>Listicle</v>
      </c>
      <c r="G549" s="11" t="b">
        <f>IFERROR(__xludf.DUMMYFUNCTION("""COMPUTED_VALUE"""),FALSE)</f>
        <v>0</v>
      </c>
      <c r="H549" s="11"/>
      <c r="I549" s="11">
        <f>IFERROR(__xludf.DUMMYFUNCTION("""COMPUTED_VALUE"""),1.0)</f>
        <v>1</v>
      </c>
      <c r="J549" s="11">
        <f>IFERROR(__xludf.DUMMYFUNCTION("""COMPUTED_VALUE"""),0.0)</f>
        <v>0</v>
      </c>
      <c r="K549" s="11">
        <f>IFERROR(__xludf.DUMMYFUNCTION("""COMPUTED_VALUE"""),1.0)</f>
        <v>1</v>
      </c>
      <c r="L549" s="11"/>
    </row>
    <row r="550" ht="15.75" customHeight="1">
      <c r="A550" s="8" t="str">
        <f>IFERROR(__xludf.DUMMYFUNCTION("""COMPUTED_VALUE"""),"https://nealschaffer.com/ai-marketing-agency/")</f>
        <v>https://nealschaffer.com/ai-marketing-agency/</v>
      </c>
      <c r="B550" s="11" t="str">
        <f>IFERROR(__xludf.DUMMYFUNCTION("""COMPUTED_VALUE"""),"15 Best AI Marketing Agencies Helping Brands Grow in 2026")</f>
        <v>15 Best AI Marketing Agencies Helping Brands Grow in 2026</v>
      </c>
      <c r="C550" s="8" t="str">
        <f>IFERROR(__xludf.DUMMYFUNCTION("""COMPUTED_VALUE"""),"nealschaffer.com")</f>
        <v>nealschaffer.com</v>
      </c>
      <c r="D550" s="11" t="str">
        <f>IFERROR(__xludf.DUMMYFUNCTION("""COMPUTED_VALUE"""),"LISTICLE")</f>
        <v>LISTICLE</v>
      </c>
      <c r="E550" s="11" t="str">
        <f>IFERROR(__xludf.DUMMYFUNCTION("""COMPUTED_VALUE"""),"CORPORATE")</f>
        <v>CORPORATE</v>
      </c>
      <c r="F550" s="11" t="str">
        <f>IFERROR(__xludf.DUMMYFUNCTION("""COMPUTED_VALUE"""),"Listicle")</f>
        <v>Listicle</v>
      </c>
      <c r="G550" s="11" t="b">
        <f>IFERROR(__xludf.DUMMYFUNCTION("""COMPUTED_VALUE"""),FALSE)</f>
        <v>0</v>
      </c>
      <c r="H550" s="11" t="str">
        <f>IFERROR(__xludf.DUMMYFUNCTION("""COMPUTED_VALUE"""),"Pilot, Measured, appliedAI")</f>
        <v>Pilot, Measured, appliedAI</v>
      </c>
      <c r="I550" s="11">
        <f>IFERROR(__xludf.DUMMYFUNCTION("""COMPUTED_VALUE"""),1.0)</f>
        <v>1</v>
      </c>
      <c r="J550" s="11">
        <f>IFERROR(__xludf.DUMMYFUNCTION("""COMPUTED_VALUE"""),0.0)</f>
        <v>0</v>
      </c>
      <c r="K550" s="11">
        <f>IFERROR(__xludf.DUMMYFUNCTION("""COMPUTED_VALUE"""),0.0)</f>
        <v>0</v>
      </c>
      <c r="L550" s="11"/>
    </row>
    <row r="551" ht="15.75" customHeight="1">
      <c r="A551" s="8" t="str">
        <f>IFERROR(__xludf.DUMMYFUNCTION("""COMPUTED_VALUE"""),"https://nealschaffer.com/digital-marketing-agencies/")</f>
        <v>https://nealschaffer.com/digital-marketing-agencies/</v>
      </c>
      <c r="B551" s="11" t="str">
        <f>IFERROR(__xludf.DUMMYFUNCTION("""COMPUTED_VALUE"""),"15 Best Digital Marketing Agencies That Deliver Results in 2026")</f>
        <v>15 Best Digital Marketing Agencies That Deliver Results in 2026</v>
      </c>
      <c r="C551" s="8" t="str">
        <f>IFERROR(__xludf.DUMMYFUNCTION("""COMPUTED_VALUE"""),"nealschaffer.com")</f>
        <v>nealschaffer.com</v>
      </c>
      <c r="D551" s="11" t="str">
        <f>IFERROR(__xludf.DUMMYFUNCTION("""COMPUTED_VALUE"""),"LISTICLE")</f>
        <v>LISTICLE</v>
      </c>
      <c r="E551" s="11" t="str">
        <f>IFERROR(__xludf.DUMMYFUNCTION("""COMPUTED_VALUE"""),"CORPORATE")</f>
        <v>CORPORATE</v>
      </c>
      <c r="F551" s="11" t="str">
        <f>IFERROR(__xludf.DUMMYFUNCTION("""COMPUTED_VALUE"""),"Listicle")</f>
        <v>Listicle</v>
      </c>
      <c r="G551" s="11" t="b">
        <f>IFERROR(__xludf.DUMMYFUNCTION("""COMPUTED_VALUE"""),FALSE)</f>
        <v>0</v>
      </c>
      <c r="H551" s="11" t="str">
        <f>IFERROR(__xludf.DUMMYFUNCTION("""COMPUTED_VALUE"""),"WebFX, SmartSites, Power Digital")</f>
        <v>WebFX, SmartSites, Power Digital</v>
      </c>
      <c r="I551" s="11">
        <f>IFERROR(__xludf.DUMMYFUNCTION("""COMPUTED_VALUE"""),1.0)</f>
        <v>1</v>
      </c>
      <c r="J551" s="11">
        <f>IFERROR(__xludf.DUMMYFUNCTION("""COMPUTED_VALUE"""),0.0)</f>
        <v>0</v>
      </c>
      <c r="K551" s="11">
        <f>IFERROR(__xludf.DUMMYFUNCTION("""COMPUTED_VALUE"""),1.0)</f>
        <v>1</v>
      </c>
      <c r="L551" s="11"/>
    </row>
    <row r="552" ht="15.75" customHeight="1">
      <c r="A552" s="8" t="str">
        <f>IFERROR(__xludf.DUMMYFUNCTION("""COMPUTED_VALUE"""),"https://www.nikaconsulting.co.nz/advertising-agencies-auckland/")</f>
        <v>https://www.nikaconsulting.co.nz/advertising-agencies-auckland/</v>
      </c>
      <c r="B552" s="11" t="str">
        <f>IFERROR(__xludf.DUMMYFUNCTION("""COMPUTED_VALUE"""),"7 Best Advertising Agencies Auckland Offers in 2025 » Award-Winning Creative Digital Marketing Agency NZ")</f>
        <v>7 Best Advertising Agencies Auckland Offers in 2025 » Award-Winning Creative Digital Marketing Agency NZ</v>
      </c>
      <c r="C552" s="8" t="str">
        <f>IFERROR(__xludf.DUMMYFUNCTION("""COMPUTED_VALUE"""),"nikaconsulting.co.nz")</f>
        <v>nikaconsulting.co.nz</v>
      </c>
      <c r="D552" s="11" t="str">
        <f>IFERROR(__xludf.DUMMYFUNCTION("""COMPUTED_VALUE"""),"LISTICLE")</f>
        <v>LISTICLE</v>
      </c>
      <c r="E552" s="11" t="str">
        <f>IFERROR(__xludf.DUMMYFUNCTION("""COMPUTED_VALUE"""),"CORPORATE")</f>
        <v>CORPORATE</v>
      </c>
      <c r="F552" s="11" t="str">
        <f>IFERROR(__xludf.DUMMYFUNCTION("""COMPUTED_VALUE"""),"Listicle")</f>
        <v>Listicle</v>
      </c>
      <c r="G552" s="11" t="b">
        <f>IFERROR(__xludf.DUMMYFUNCTION("""COMPUTED_VALUE"""),FALSE)</f>
        <v>0</v>
      </c>
      <c r="H552" s="11"/>
      <c r="I552" s="11">
        <f>IFERROR(__xludf.DUMMYFUNCTION("""COMPUTED_VALUE"""),1.0)</f>
        <v>1</v>
      </c>
      <c r="J552" s="11">
        <f>IFERROR(__xludf.DUMMYFUNCTION("""COMPUTED_VALUE"""),0.0)</f>
        <v>0</v>
      </c>
      <c r="K552" s="11">
        <f>IFERROR(__xludf.DUMMYFUNCTION("""COMPUTED_VALUE"""),1.0)</f>
        <v>1</v>
      </c>
      <c r="L552" s="11"/>
    </row>
    <row r="553" ht="15.75" customHeight="1">
      <c r="A553" s="8" t="str">
        <f>IFERROR(__xludf.DUMMYFUNCTION("""COMPUTED_VALUE"""),"https://ninjapromo.io/best-ai-marketing-agencies")</f>
        <v>https://ninjapromo.io/best-ai-marketing-agencies</v>
      </c>
      <c r="B553" s="11" t="str">
        <f>IFERROR(__xludf.DUMMYFUNCTION("""COMPUTED_VALUE"""),"Top 8 AI Marketing Agencies for AI-Driven Digital Campaigns in 2026")</f>
        <v>Top 8 AI Marketing Agencies for AI-Driven Digital Campaigns in 2026</v>
      </c>
      <c r="C553" s="8" t="str">
        <f>IFERROR(__xludf.DUMMYFUNCTION("""COMPUTED_VALUE"""),"ninjapromo.io")</f>
        <v>ninjapromo.io</v>
      </c>
      <c r="D553" s="11" t="str">
        <f>IFERROR(__xludf.DUMMYFUNCTION("""COMPUTED_VALUE"""),"LISTICLE")</f>
        <v>LISTICLE</v>
      </c>
      <c r="E553" s="11" t="str">
        <f>IFERROR(__xludf.DUMMYFUNCTION("""COMPUTED_VALUE"""),"CORPORATE")</f>
        <v>CORPORATE</v>
      </c>
      <c r="F553" s="11" t="str">
        <f>IFERROR(__xludf.DUMMYFUNCTION("""COMPUTED_VALUE"""),"Listicle")</f>
        <v>Listicle</v>
      </c>
      <c r="G553" s="11" t="b">
        <f>IFERROR(__xludf.DUMMYFUNCTION("""COMPUTED_VALUE"""),FALSE)</f>
        <v>0</v>
      </c>
      <c r="H553" s="11" t="str">
        <f>IFERROR(__xludf.DUMMYFUNCTION("""COMPUTED_VALUE"""),"Pilot")</f>
        <v>Pilot</v>
      </c>
      <c r="I553" s="11">
        <f>IFERROR(__xludf.DUMMYFUNCTION("""COMPUTED_VALUE"""),1.0)</f>
        <v>1</v>
      </c>
      <c r="J553" s="11">
        <f>IFERROR(__xludf.DUMMYFUNCTION("""COMPUTED_VALUE"""),0.0)</f>
        <v>0</v>
      </c>
      <c r="K553" s="11">
        <f>IFERROR(__xludf.DUMMYFUNCTION("""COMPUTED_VALUE"""),0.0)</f>
        <v>0</v>
      </c>
      <c r="L553" s="11"/>
    </row>
    <row r="554" ht="15.75" customHeight="1">
      <c r="A554" s="8" t="str">
        <f>IFERROR(__xludf.DUMMYFUNCTION("""COMPUTED_VALUE"""),"https://nogood.io/blog/performance-marketing-agencies/")</f>
        <v>https://nogood.io/blog/performance-marketing-agencies/</v>
      </c>
      <c r="B554" s="11" t="str">
        <f>IFERROR(__xludf.DUMMYFUNCTION("""COMPUTED_VALUE"""),"Top Performance Marketing Agencies in 2026 | NoGood")</f>
        <v>Top Performance Marketing Agencies in 2026 | NoGood</v>
      </c>
      <c r="C554" s="8" t="str">
        <f>IFERROR(__xludf.DUMMYFUNCTION("""COMPUTED_VALUE"""),"nogood.io")</f>
        <v>nogood.io</v>
      </c>
      <c r="D554" s="11" t="str">
        <f>IFERROR(__xludf.DUMMYFUNCTION("""COMPUTED_VALUE"""),"LISTICLE")</f>
        <v>LISTICLE</v>
      </c>
      <c r="E554" s="11" t="str">
        <f>IFERROR(__xludf.DUMMYFUNCTION("""COMPUTED_VALUE"""),"CORPORATE")</f>
        <v>CORPORATE</v>
      </c>
      <c r="F554" s="11" t="str">
        <f>IFERROR(__xludf.DUMMYFUNCTION("""COMPUTED_VALUE"""),"Listicle")</f>
        <v>Listicle</v>
      </c>
      <c r="G554" s="11" t="b">
        <f>IFERROR(__xludf.DUMMYFUNCTION("""COMPUTED_VALUE"""),FALSE)</f>
        <v>0</v>
      </c>
      <c r="H554" s="11" t="str">
        <f>IFERROR(__xludf.DUMMYFUNCTION("""COMPUTED_VALUE"""),"NoGood, inBeat, Disruptive Advertising, Wpromote, Power Digital, Monks, Media.Monks, Measured, Directive Consulting, Huge")</f>
        <v>NoGood, inBeat, Disruptive Advertising, Wpromote, Power Digital, Monks, Media.Monks, Measured, Directive Consulting, Huge</v>
      </c>
      <c r="I554" s="11">
        <f>IFERROR(__xludf.DUMMYFUNCTION("""COMPUTED_VALUE"""),1.0)</f>
        <v>1</v>
      </c>
      <c r="J554" s="11">
        <f>IFERROR(__xludf.DUMMYFUNCTION("""COMPUTED_VALUE"""),0.0)</f>
        <v>0</v>
      </c>
      <c r="K554" s="11">
        <f>IFERROR(__xludf.DUMMYFUNCTION("""COMPUTED_VALUE"""),0.0)</f>
        <v>0</v>
      </c>
      <c r="L554" s="11"/>
    </row>
    <row r="555" ht="15.75" customHeight="1">
      <c r="A555" s="8" t="str">
        <f>IFERROR(__xludf.DUMMYFUNCTION("""COMPUTED_VALUE"""),"https://www.novusvistatech.com/blog/digital-transformation-companies.html")</f>
        <v>https://www.novusvistatech.com/blog/digital-transformation-companies.html</v>
      </c>
      <c r="B555" s="11" t="str">
        <f>IFERROR(__xludf.DUMMYFUNCTION("""COMPUTED_VALUE"""),"Top 10 Digital Transformation Companies in the World in 2026")</f>
        <v>Top 10 Digital Transformation Companies in the World in 2026</v>
      </c>
      <c r="C555" s="8" t="str">
        <f>IFERROR(__xludf.DUMMYFUNCTION("""COMPUTED_VALUE"""),"novusvistatech.com")</f>
        <v>novusvistatech.com</v>
      </c>
      <c r="D555" s="11" t="str">
        <f>IFERROR(__xludf.DUMMYFUNCTION("""COMPUTED_VALUE"""),"LISTICLE")</f>
        <v>LISTICLE</v>
      </c>
      <c r="E555" s="11" t="str">
        <f>IFERROR(__xludf.DUMMYFUNCTION("""COMPUTED_VALUE"""),"CORPORATE")</f>
        <v>CORPORATE</v>
      </c>
      <c r="F555" s="11" t="str">
        <f>IFERROR(__xludf.DUMMYFUNCTION("""COMPUTED_VALUE"""),"Listicle")</f>
        <v>Listicle</v>
      </c>
      <c r="G555" s="11" t="b">
        <f>IFERROR(__xludf.DUMMYFUNCTION("""COMPUTED_VALUE"""),FALSE)</f>
        <v>0</v>
      </c>
      <c r="H555" s="11"/>
      <c r="I555" s="11">
        <f>IFERROR(__xludf.DUMMYFUNCTION("""COMPUTED_VALUE"""),1.0)</f>
        <v>1</v>
      </c>
      <c r="J555" s="11">
        <f>IFERROR(__xludf.DUMMYFUNCTION("""COMPUTED_VALUE"""),0.0)</f>
        <v>0</v>
      </c>
      <c r="K555" s="11">
        <f>IFERROR(__xludf.DUMMYFUNCTION("""COMPUTED_VALUE"""),2.0)</f>
        <v>2</v>
      </c>
      <c r="L555" s="11"/>
    </row>
    <row r="556" ht="15.75" customHeight="1">
      <c r="A556" s="8" t="str">
        <f>IFERROR(__xludf.DUMMYFUNCTION("""COMPUTED_VALUE"""),"https://www.nutshell.com/blog/top-geo-agencies")</f>
        <v>https://www.nutshell.com/blog/top-geo-agencies</v>
      </c>
      <c r="B556" s="11" t="str">
        <f>IFERROR(__xludf.DUMMYFUNCTION("""COMPUTED_VALUE"""),"The 10 Top GEO Agencies of 2026 (Reviewed)")</f>
        <v>The 10 Top GEO Agencies of 2026 (Reviewed)</v>
      </c>
      <c r="C556" s="8" t="str">
        <f>IFERROR(__xludf.DUMMYFUNCTION("""COMPUTED_VALUE"""),"nutshell.com")</f>
        <v>nutshell.com</v>
      </c>
      <c r="D556" s="11" t="str">
        <f>IFERROR(__xludf.DUMMYFUNCTION("""COMPUTED_VALUE"""),"LISTICLE")</f>
        <v>LISTICLE</v>
      </c>
      <c r="E556" s="11" t="str">
        <f>IFERROR(__xludf.DUMMYFUNCTION("""COMPUTED_VALUE"""),"CORPORATE")</f>
        <v>CORPORATE</v>
      </c>
      <c r="F556" s="11" t="str">
        <f>IFERROR(__xludf.DUMMYFUNCTION("""COMPUTED_VALUE"""),"Listicle")</f>
        <v>Listicle</v>
      </c>
      <c r="G556" s="11" t="b">
        <f>IFERROR(__xludf.DUMMYFUNCTION("""COMPUTED_VALUE"""),FALSE)</f>
        <v>0</v>
      </c>
      <c r="H556" s="11" t="str">
        <f>IFERROR(__xludf.DUMMYFUNCTION("""COMPUTED_VALUE"""),"WebFX, Siege Media")</f>
        <v>WebFX, Siege Media</v>
      </c>
      <c r="I556" s="11">
        <f>IFERROR(__xludf.DUMMYFUNCTION("""COMPUTED_VALUE"""),1.0)</f>
        <v>1</v>
      </c>
      <c r="J556" s="11">
        <f>IFERROR(__xludf.DUMMYFUNCTION("""COMPUTED_VALUE"""),0.0)</f>
        <v>0</v>
      </c>
      <c r="K556" s="11">
        <f>IFERROR(__xludf.DUMMYFUNCTION("""COMPUTED_VALUE"""),0.0)</f>
        <v>0</v>
      </c>
      <c r="L556" s="11"/>
    </row>
    <row r="557" ht="15.75" customHeight="1">
      <c r="A557" s="8" t="str">
        <f>IFERROR(__xludf.DUMMYFUNCTION("""COMPUTED_VALUE"""),"https://oakpool.xyz/drift/top-10-geo-aeo-ai-search-agencies/")</f>
        <v>https://oakpool.xyz/drift/top-10-geo-aeo-ai-search-agencies/</v>
      </c>
      <c r="B557" s="11" t="str">
        <f>IFERROR(__xludf.DUMMYFUNCTION("""COMPUTED_VALUE"""),"Top 10 GEO Agencies for AI Search in 2026")</f>
        <v>Top 10 GEO Agencies for AI Search in 2026</v>
      </c>
      <c r="C557" s="8" t="str">
        <f>IFERROR(__xludf.DUMMYFUNCTION("""COMPUTED_VALUE"""),"oakpool.xyz")</f>
        <v>oakpool.xyz</v>
      </c>
      <c r="D557" s="11" t="str">
        <f>IFERROR(__xludf.DUMMYFUNCTION("""COMPUTED_VALUE"""),"LISTICLE")</f>
        <v>LISTICLE</v>
      </c>
      <c r="E557" s="11" t="str">
        <f>IFERROR(__xludf.DUMMYFUNCTION("""COMPUTED_VALUE"""),"CORPORATE")</f>
        <v>CORPORATE</v>
      </c>
      <c r="F557" s="11" t="str">
        <f>IFERROR(__xludf.DUMMYFUNCTION("""COMPUTED_VALUE"""),"Listicle")</f>
        <v>Listicle</v>
      </c>
      <c r="G557" s="11" t="b">
        <f>IFERROR(__xludf.DUMMYFUNCTION("""COMPUTED_VALUE"""),FALSE)</f>
        <v>0</v>
      </c>
      <c r="H557" s="11" t="str">
        <f>IFERROR(__xludf.DUMMYFUNCTION("""COMPUTED_VALUE"""),"iPullRank, NoGood, Omnius")</f>
        <v>iPullRank, NoGood, Omnius</v>
      </c>
      <c r="I557" s="11">
        <f>IFERROR(__xludf.DUMMYFUNCTION("""COMPUTED_VALUE"""),1.0)</f>
        <v>1</v>
      </c>
      <c r="J557" s="11">
        <f>IFERROR(__xludf.DUMMYFUNCTION("""COMPUTED_VALUE"""),0.0)</f>
        <v>0</v>
      </c>
      <c r="K557" s="11">
        <f>IFERROR(__xludf.DUMMYFUNCTION("""COMPUTED_VALUE"""),0.0)</f>
        <v>0</v>
      </c>
      <c r="L557" s="11"/>
    </row>
    <row r="558" ht="15.75" customHeight="1">
      <c r="A558" s="8" t="str">
        <f>IFERROR(__xludf.DUMMYFUNCTION("""COMPUTED_VALUE"""),"https://omr.com/de/reviews/service-category/google-ads-agencies")</f>
        <v>https://omr.com/de/reviews/service-category/google-ads-agencies</v>
      </c>
      <c r="B558" s="11" t="str">
        <f>IFERROR(__xludf.DUMMYFUNCTION("""COMPUTED_VALUE"""),"Top Google Ads Agenturen in Deutschland, Österreich und Schweiz")</f>
        <v>Top Google Ads Agenturen in Deutschland, Österreich und Schweiz</v>
      </c>
      <c r="C558" s="8" t="str">
        <f>IFERROR(__xludf.DUMMYFUNCTION("""COMPUTED_VALUE"""),"omr.com")</f>
        <v>omr.com</v>
      </c>
      <c r="D558" s="11" t="str">
        <f>IFERROR(__xludf.DUMMYFUNCTION("""COMPUTED_VALUE"""),"CATEGORY_PAGE")</f>
        <v>CATEGORY_PAGE</v>
      </c>
      <c r="E558" s="11" t="str">
        <f>IFERROR(__xludf.DUMMYFUNCTION("""COMPUTED_VALUE"""),"OTHER")</f>
        <v>OTHER</v>
      </c>
      <c r="F558" s="11" t="str">
        <f>IFERROR(__xludf.DUMMYFUNCTION("""COMPUTED_VALUE"""),"Category Page")</f>
        <v>Category Page</v>
      </c>
      <c r="G558" s="11" t="b">
        <f>IFERROR(__xludf.DUMMYFUNCTION("""COMPUTED_VALUE"""),FALSE)</f>
        <v>0</v>
      </c>
      <c r="H558" s="11" t="str">
        <f>IFERROR(__xludf.DUMMYFUNCTION("""COMPUTED_VALUE"""),"Jung von Matt, Smarketer, Löwenstark, WeLikeWeb GmbH, DREIKON, morefire")</f>
        <v>Jung von Matt, Smarketer, Löwenstark, WeLikeWeb GmbH, DREIKON, morefire</v>
      </c>
      <c r="I558" s="11">
        <f>IFERROR(__xludf.DUMMYFUNCTION("""COMPUTED_VALUE"""),1.0)</f>
        <v>1</v>
      </c>
      <c r="J558" s="11">
        <f>IFERROR(__xludf.DUMMYFUNCTION("""COMPUTED_VALUE"""),0.0)</f>
        <v>0</v>
      </c>
      <c r="K558" s="11">
        <f>IFERROR(__xludf.DUMMYFUNCTION("""COMPUTED_VALUE"""),0.0)</f>
        <v>0</v>
      </c>
      <c r="L558" s="11"/>
    </row>
    <row r="559" ht="15.75" customHeight="1">
      <c r="A559" s="8" t="str">
        <f>IFERROR(__xludf.DUMMYFUNCTION("""COMPUTED_VALUE"""),"https://omr.com/de/reviews/service-category/performance-marketing-agenturen/berlin")</f>
        <v>https://omr.com/de/reviews/service-category/performance-marketing-agenturen/berlin</v>
      </c>
      <c r="B559" s="11" t="str">
        <f>IFERROR(__xludf.DUMMYFUNCTION("""COMPUTED_VALUE"""),"Top Performance Marketing Agenturen in Deutschland, Österreich und Schweiz")</f>
        <v>Top Performance Marketing Agenturen in Deutschland, Österreich und Schweiz</v>
      </c>
      <c r="C559" s="8" t="str">
        <f>IFERROR(__xludf.DUMMYFUNCTION("""COMPUTED_VALUE"""),"omr.com")</f>
        <v>omr.com</v>
      </c>
      <c r="D559" s="11" t="str">
        <f>IFERROR(__xludf.DUMMYFUNCTION("""COMPUTED_VALUE"""),"CATEGORY_PAGE")</f>
        <v>CATEGORY_PAGE</v>
      </c>
      <c r="E559" s="11" t="str">
        <f>IFERROR(__xludf.DUMMYFUNCTION("""COMPUTED_VALUE"""),"OTHER")</f>
        <v>OTHER</v>
      </c>
      <c r="F559" s="11" t="str">
        <f>IFERROR(__xludf.DUMMYFUNCTION("""COMPUTED_VALUE"""),"Category Page")</f>
        <v>Category Page</v>
      </c>
      <c r="G559" s="11" t="b">
        <f>IFERROR(__xludf.DUMMYFUNCTION("""COMPUTED_VALUE"""),FALSE)</f>
        <v>0</v>
      </c>
      <c r="H559" s="11" t="str">
        <f>IFERROR(__xludf.DUMMYFUNCTION("""COMPUTED_VALUE"""),"KlickPiloten, Löwenstark, Smarketer")</f>
        <v>KlickPiloten, Löwenstark, Smarketer</v>
      </c>
      <c r="I559" s="11">
        <f>IFERROR(__xludf.DUMMYFUNCTION("""COMPUTED_VALUE"""),1.0)</f>
        <v>1</v>
      </c>
      <c r="J559" s="11">
        <f>IFERROR(__xludf.DUMMYFUNCTION("""COMPUTED_VALUE"""),0.0)</f>
        <v>0</v>
      </c>
      <c r="K559" s="11">
        <f>IFERROR(__xludf.DUMMYFUNCTION("""COMPUTED_VALUE"""),0.0)</f>
        <v>0</v>
      </c>
      <c r="L559" s="11"/>
    </row>
    <row r="560" ht="15.75" customHeight="1">
      <c r="A560" s="8" t="str">
        <f>IFERROR(__xludf.DUMMYFUNCTION("""COMPUTED_VALUE"""),"https://www.onely.com/blog/best-b2b-seo-agencies/")</f>
        <v>https://www.onely.com/blog/best-b2b-seo-agencies/</v>
      </c>
      <c r="B560" s="11" t="str">
        <f>IFERROR(__xludf.DUMMYFUNCTION("""COMPUTED_VALUE"""),"Top 10 Best B2B SEO Agencies in 2026 - Onely")</f>
        <v>Top 10 Best B2B SEO Agencies in 2026 - Onely</v>
      </c>
      <c r="C560" s="8" t="str">
        <f>IFERROR(__xludf.DUMMYFUNCTION("""COMPUTED_VALUE"""),"onely.com")</f>
        <v>onely.com</v>
      </c>
      <c r="D560" s="11" t="str">
        <f>IFERROR(__xludf.DUMMYFUNCTION("""COMPUTED_VALUE"""),"LISTICLE")</f>
        <v>LISTICLE</v>
      </c>
      <c r="E560" s="11" t="str">
        <f>IFERROR(__xludf.DUMMYFUNCTION("""COMPUTED_VALUE"""),"CORPORATE")</f>
        <v>CORPORATE</v>
      </c>
      <c r="F560" s="11" t="str">
        <f>IFERROR(__xludf.DUMMYFUNCTION("""COMPUTED_VALUE"""),"Listicle")</f>
        <v>Listicle</v>
      </c>
      <c r="G560" s="11" t="b">
        <f>IFERROR(__xludf.DUMMYFUNCTION("""COMPUTED_VALUE"""),FALSE)</f>
        <v>0</v>
      </c>
      <c r="H560" s="11" t="str">
        <f>IFERROR(__xludf.DUMMYFUNCTION("""COMPUTED_VALUE"""),"Directive Consulting, Siege Media, Omniscient Digital")</f>
        <v>Directive Consulting, Siege Media, Omniscient Digital</v>
      </c>
      <c r="I560" s="11">
        <f>IFERROR(__xludf.DUMMYFUNCTION("""COMPUTED_VALUE"""),1.0)</f>
        <v>1</v>
      </c>
      <c r="J560" s="11">
        <f>IFERROR(__xludf.DUMMYFUNCTION("""COMPUTED_VALUE"""),0.0)</f>
        <v>0</v>
      </c>
      <c r="K560" s="11">
        <f>IFERROR(__xludf.DUMMYFUNCTION("""COMPUTED_VALUE"""),1.0)</f>
        <v>1</v>
      </c>
      <c r="L560" s="11"/>
    </row>
    <row r="561" ht="15.75" customHeight="1">
      <c r="A561" s="8" t="str">
        <f>IFERROR(__xludf.DUMMYFUNCTION("""COMPUTED_VALUE"""),"https://www.onely.com/blog/best-digital-marketing-agencies/")</f>
        <v>https://www.onely.com/blog/best-digital-marketing-agencies/</v>
      </c>
      <c r="B561" s="11"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561" s="8" t="str">
        <f>IFERROR(__xludf.DUMMYFUNCTION("""COMPUTED_VALUE"""),"onely.com")</f>
        <v>onely.com</v>
      </c>
      <c r="D561" s="11" t="str">
        <f>IFERROR(__xludf.DUMMYFUNCTION("""COMPUTED_VALUE"""),"LISTICLE")</f>
        <v>LISTICLE</v>
      </c>
      <c r="E561" s="11" t="str">
        <f>IFERROR(__xludf.DUMMYFUNCTION("""COMPUTED_VALUE"""),"CORPORATE")</f>
        <v>CORPORATE</v>
      </c>
      <c r="F561" s="11" t="str">
        <f>IFERROR(__xludf.DUMMYFUNCTION("""COMPUTED_VALUE"""),"Listicle")</f>
        <v>Listicle</v>
      </c>
      <c r="G561" s="11" t="b">
        <f>IFERROR(__xludf.DUMMYFUNCTION("""COMPUTED_VALUE"""),FALSE)</f>
        <v>0</v>
      </c>
      <c r="H561" s="11" t="str">
        <f>IFERROR(__xludf.DUMMYFUNCTION("""COMPUTED_VALUE"""),"Directive Consulting, Siege Media, Power Digital, Disruptive Advertising, Single Grain, WebFX, SmartSites, KlientBoost")</f>
        <v>Directive Consulting, Siege Media, Power Digital, Disruptive Advertising, Single Grain, WebFX, SmartSites, KlientBoost</v>
      </c>
      <c r="I561" s="11">
        <f>IFERROR(__xludf.DUMMYFUNCTION("""COMPUTED_VALUE"""),1.0)</f>
        <v>1</v>
      </c>
      <c r="J561" s="11">
        <f>IFERROR(__xludf.DUMMYFUNCTION("""COMPUTED_VALUE"""),0.0)</f>
        <v>0</v>
      </c>
      <c r="K561" s="11">
        <f>IFERROR(__xludf.DUMMYFUNCTION("""COMPUTED_VALUE"""),0.0)</f>
        <v>0</v>
      </c>
      <c r="L561" s="11"/>
    </row>
    <row r="562" ht="15.75" customHeight="1">
      <c r="A562" s="8" t="str">
        <f>IFERROR(__xludf.DUMMYFUNCTION("""COMPUTED_VALUE"""),"https://www.openassistantgpt.io/blogs/aeo-geo-llm-ranking-tool-enterprise")</f>
        <v>https://www.openassistantgpt.io/blogs/aeo-geo-llm-ranking-tool-enterprise</v>
      </c>
      <c r="B562" s="11" t="str">
        <f>IFERROR(__xludf.DUMMYFUNCTION("""COMPUTED_VALUE"""),"Top 10 AEO, GEO and LLM Ranking tool for your enterprise")</f>
        <v>Top 10 AEO, GEO and LLM Ranking tool for your enterprise</v>
      </c>
      <c r="C562" s="8" t="str">
        <f>IFERROR(__xludf.DUMMYFUNCTION("""COMPUTED_VALUE"""),"openassistantgpt.io")</f>
        <v>openassistantgpt.io</v>
      </c>
      <c r="D562" s="11" t="str">
        <f>IFERROR(__xludf.DUMMYFUNCTION("""COMPUTED_VALUE"""),"LISTICLE")</f>
        <v>LISTICLE</v>
      </c>
      <c r="E562" s="11" t="str">
        <f>IFERROR(__xludf.DUMMYFUNCTION("""COMPUTED_VALUE"""),"OTHER")</f>
        <v>OTHER</v>
      </c>
      <c r="F562" s="11" t="str">
        <f>IFERROR(__xludf.DUMMYFUNCTION("""COMPUTED_VALUE"""),"Listicle")</f>
        <v>Listicle</v>
      </c>
      <c r="G562" s="11" t="b">
        <f>IFERROR(__xludf.DUMMYFUNCTION("""COMPUTED_VALUE"""),FALSE)</f>
        <v>0</v>
      </c>
      <c r="H562" s="11" t="str">
        <f>IFERROR(__xludf.DUMMYFUNCTION("""COMPUTED_VALUE"""),"weDiscover")</f>
        <v>weDiscover</v>
      </c>
      <c r="I562" s="11">
        <f>IFERROR(__xludf.DUMMYFUNCTION("""COMPUTED_VALUE"""),1.0)</f>
        <v>1</v>
      </c>
      <c r="J562" s="11">
        <f>IFERROR(__xludf.DUMMYFUNCTION("""COMPUTED_VALUE"""),0.0)</f>
        <v>0</v>
      </c>
      <c r="K562" s="11">
        <f>IFERROR(__xludf.DUMMYFUNCTION("""COMPUTED_VALUE"""),1.0)</f>
        <v>1</v>
      </c>
      <c r="L562" s="11"/>
    </row>
    <row r="563" ht="15.75" customHeight="1">
      <c r="A563" s="8" t="str">
        <f>IFERROR(__xludf.DUMMYFUNCTION("""COMPUTED_VALUE"""),"https://origami.chat/blog/best-ai-marketing-analytics-tools")</f>
        <v>https://origami.chat/blog/best-ai-marketing-analytics-tools</v>
      </c>
      <c r="B563" s="11" t="str">
        <f>IFERROR(__xludf.DUMMYFUNCTION("""COMPUTED_VALUE"""),"Best AI Marketing Analytics Tools in 2026: 12 Platforms Reviewed")</f>
        <v>Best AI Marketing Analytics Tools in 2026: 12 Platforms Reviewed</v>
      </c>
      <c r="C563" s="11" t="str">
        <f>IFERROR(__xludf.DUMMYFUNCTION("""COMPUTED_VALUE"""),"origami.chat")</f>
        <v>origami.chat</v>
      </c>
      <c r="D563" s="11" t="str">
        <f>IFERROR(__xludf.DUMMYFUNCTION("""COMPUTED_VALUE"""),"LISTICLE")</f>
        <v>LISTICLE</v>
      </c>
      <c r="E563" s="11" t="str">
        <f>IFERROR(__xludf.DUMMYFUNCTION("""COMPUTED_VALUE"""),"CORPORATE")</f>
        <v>CORPORATE</v>
      </c>
      <c r="F563" s="11" t="str">
        <f>IFERROR(__xludf.DUMMYFUNCTION("""COMPUTED_VALUE"""),"Listicle")</f>
        <v>Listicle</v>
      </c>
      <c r="G563" s="11" t="b">
        <f>IFERROR(__xludf.DUMMYFUNCTION("""COMPUTED_VALUE"""),FALSE)</f>
        <v>0</v>
      </c>
      <c r="H563" s="11" t="str">
        <f>IFERROR(__xludf.DUMMYFUNCTION("""COMPUTED_VALUE"""),"Cometly, Northbeam")</f>
        <v>Cometly, Northbeam</v>
      </c>
      <c r="I563" s="11">
        <f>IFERROR(__xludf.DUMMYFUNCTION("""COMPUTED_VALUE"""),1.0)</f>
        <v>1</v>
      </c>
      <c r="J563" s="11">
        <f>IFERROR(__xludf.DUMMYFUNCTION("""COMPUTED_VALUE"""),0.0)</f>
        <v>0</v>
      </c>
      <c r="K563" s="11">
        <f>IFERROR(__xludf.DUMMYFUNCTION("""COMPUTED_VALUE"""),1.0)</f>
        <v>1</v>
      </c>
      <c r="L563" s="11"/>
    </row>
    <row r="564" ht="15.75" customHeight="1">
      <c r="A564" s="8" t="str">
        <f>IFERROR(__xludf.DUMMYFUNCTION("""COMPUTED_VALUE"""),"https://oski.site/blog/analytics-strategy-consulting-companies-germany/#:~:text=Get%20Expert%20Consultation,more%20structured%20data%2Ddriven%20operations.")</f>
        <v>https://oski.site/blog/analytics-strategy-consulting-companies-germany/#:~:text=Get%20Expert%20Consultation,more%20structured%20data%2Ddriven%20operations.</v>
      </c>
      <c r="B564" s="11" t="str">
        <f>IFERROR(__xludf.DUMMYFUNCTION("""COMPUTED_VALUE"""),"Best 14 Analytics Strategy Consulting Firms in Germany")</f>
        <v>Best 14 Analytics Strategy Consulting Firms in Germany</v>
      </c>
      <c r="C564" s="11" t="str">
        <f>IFERROR(__xludf.DUMMYFUNCTION("""COMPUTED_VALUE"""),"oski.site")</f>
        <v>oski.site</v>
      </c>
      <c r="D564" s="11" t="str">
        <f>IFERROR(__xludf.DUMMYFUNCTION("""COMPUTED_VALUE"""),"LISTICLE")</f>
        <v>LISTICLE</v>
      </c>
      <c r="E564" s="11" t="str">
        <f>IFERROR(__xludf.DUMMYFUNCTION("""COMPUTED_VALUE"""),"OTHER")</f>
        <v>OTHER</v>
      </c>
      <c r="F564" s="11" t="str">
        <f>IFERROR(__xludf.DUMMYFUNCTION("""COMPUTED_VALUE"""),"Listicle")</f>
        <v>Listicle</v>
      </c>
      <c r="G564" s="11" t="b">
        <f>IFERROR(__xludf.DUMMYFUNCTION("""COMPUTED_VALUE"""),FALSE)</f>
        <v>0</v>
      </c>
      <c r="H564" s="11"/>
      <c r="I564" s="11">
        <f>IFERROR(__xludf.DUMMYFUNCTION("""COMPUTED_VALUE"""),1.0)</f>
        <v>1</v>
      </c>
      <c r="J564" s="11">
        <f>IFERROR(__xludf.DUMMYFUNCTION("""COMPUTED_VALUE"""),0.0)</f>
        <v>0</v>
      </c>
      <c r="K564" s="11">
        <f>IFERROR(__xludf.DUMMYFUNCTION("""COMPUTED_VALUE"""),1.0)</f>
        <v>1</v>
      </c>
      <c r="L564" s="11"/>
    </row>
    <row r="565" ht="15.75" customHeight="1">
      <c r="A565" s="8" t="str">
        <f>IFERROR(__xludf.DUMMYFUNCTION("""COMPUTED_VALUE"""),"https://outreachz.com/blog/best-ai-marketing-agencies-2026/")</f>
        <v>https://outreachz.com/blog/best-ai-marketing-agencies-2026/</v>
      </c>
      <c r="B565" s="11" t="str">
        <f>IFERROR(__xludf.DUMMYFUNCTION("""COMPUTED_VALUE"""),"Best AI Marketing Agencies (2026): 10 Top Picks for Brands That Want Smarter Growth")</f>
        <v>Best AI Marketing Agencies (2026): 10 Top Picks for Brands That Want Smarter Growth</v>
      </c>
      <c r="C565" s="8" t="str">
        <f>IFERROR(__xludf.DUMMYFUNCTION("""COMPUTED_VALUE"""),"outreachz.com")</f>
        <v>outreachz.com</v>
      </c>
      <c r="D565" s="11" t="str">
        <f>IFERROR(__xludf.DUMMYFUNCTION("""COMPUTED_VALUE"""),"LISTICLE")</f>
        <v>LISTICLE</v>
      </c>
      <c r="E565" s="11" t="str">
        <f>IFERROR(__xludf.DUMMYFUNCTION("""COMPUTED_VALUE"""),"CORPORATE")</f>
        <v>CORPORATE</v>
      </c>
      <c r="F565" s="11" t="str">
        <f>IFERROR(__xludf.DUMMYFUNCTION("""COMPUTED_VALUE"""),"Listicle")</f>
        <v>Listicle</v>
      </c>
      <c r="G565" s="11" t="b">
        <f>IFERROR(__xludf.DUMMYFUNCTION("""COMPUTED_VALUE"""),FALSE)</f>
        <v>0</v>
      </c>
      <c r="H565" s="11" t="str">
        <f>IFERROR(__xludf.DUMMYFUNCTION("""COMPUTED_VALUE"""),"NoGood, Single Grain, Hawke Media, Huge")</f>
        <v>NoGood, Single Grain, Hawke Media, Huge</v>
      </c>
      <c r="I565" s="11">
        <f>IFERROR(__xludf.DUMMYFUNCTION("""COMPUTED_VALUE"""),1.0)</f>
        <v>1</v>
      </c>
      <c r="J565" s="11">
        <f>IFERROR(__xludf.DUMMYFUNCTION("""COMPUTED_VALUE"""),0.0)</f>
        <v>0</v>
      </c>
      <c r="K565" s="11">
        <f>IFERROR(__xludf.DUMMYFUNCTION("""COMPUTED_VALUE"""),1.0)</f>
        <v>1</v>
      </c>
      <c r="L565" s="11"/>
    </row>
    <row r="566" ht="15.75" customHeight="1">
      <c r="A566" s="8" t="str">
        <f>IFERROR(__xludf.DUMMYFUNCTION("""COMPUTED_VALUE"""),"https://www.outrightcrm.com/blog/roi-focused-digital-marketing-agencies/")</f>
        <v>https://www.outrightcrm.com/blog/roi-focused-digital-marketing-agencies/</v>
      </c>
      <c r="B566" s="11" t="str">
        <f>IFERROR(__xludf.DUMMYFUNCTION("""COMPUTED_VALUE"""),"15 Best ROI-Focused Digital Marketing Firms in 2026 | OutrightCRM")</f>
        <v>15 Best ROI-Focused Digital Marketing Firms in 2026 | OutrightCRM</v>
      </c>
      <c r="C566" s="8" t="str">
        <f>IFERROR(__xludf.DUMMYFUNCTION("""COMPUTED_VALUE"""),"outrightcrm.com")</f>
        <v>outrightcrm.com</v>
      </c>
      <c r="D566" s="11" t="str">
        <f>IFERROR(__xludf.DUMMYFUNCTION("""COMPUTED_VALUE"""),"LISTICLE")</f>
        <v>LISTICLE</v>
      </c>
      <c r="E566" s="11" t="str">
        <f>IFERROR(__xludf.DUMMYFUNCTION("""COMPUTED_VALUE"""),"CORPORATE")</f>
        <v>CORPORATE</v>
      </c>
      <c r="F566" s="11" t="str">
        <f>IFERROR(__xludf.DUMMYFUNCTION("""COMPUTED_VALUE"""),"Listicle")</f>
        <v>Listicle</v>
      </c>
      <c r="G566" s="11" t="b">
        <f>IFERROR(__xludf.DUMMYFUNCTION("""COMPUTED_VALUE"""),FALSE)</f>
        <v>0</v>
      </c>
      <c r="H566" s="11" t="str">
        <f>IFERROR(__xludf.DUMMYFUNCTION("""COMPUTED_VALUE"""),"Disruptive Advertising, KlientBoost, SmartSites, Power Digital, Wpromote, Directive Consulting, Jellyfish, Merkle, Huge, Pilot")</f>
        <v>Disruptive Advertising, KlientBoost, SmartSites, Power Digital, Wpromote, Directive Consulting, Jellyfish, Merkle, Huge, Pilot</v>
      </c>
      <c r="I566" s="11">
        <f>IFERROR(__xludf.DUMMYFUNCTION("""COMPUTED_VALUE"""),1.0)</f>
        <v>1</v>
      </c>
      <c r="J566" s="11">
        <f>IFERROR(__xludf.DUMMYFUNCTION("""COMPUTED_VALUE"""),0.0)</f>
        <v>0</v>
      </c>
      <c r="K566" s="11">
        <f>IFERROR(__xludf.DUMMYFUNCTION("""COMPUTED_VALUE"""),0.0)</f>
        <v>0</v>
      </c>
      <c r="L566" s="11"/>
    </row>
    <row r="567" ht="15.75" customHeight="1">
      <c r="A567" s="8" t="str">
        <f>IFERROR(__xludf.DUMMYFUNCTION("""COMPUTED_VALUE"""),"https://p3adaptive.com/the-10-best-ai-consulting-companies-for-enterprise-in-2026/")</f>
        <v>https://p3adaptive.com/the-10-best-ai-consulting-companies-for-enterprise-in-2026/</v>
      </c>
      <c r="B567" s="11" t="str">
        <f>IFERROR(__xludf.DUMMYFUNCTION("""COMPUTED_VALUE"""),"10 Best AI Consulting Companies for Enterprise in 2026'")</f>
        <v>10 Best AI Consulting Companies for Enterprise in 2026'</v>
      </c>
      <c r="C567" s="8" t="str">
        <f>IFERROR(__xludf.DUMMYFUNCTION("""COMPUTED_VALUE"""),"p3adaptive.com")</f>
        <v>p3adaptive.com</v>
      </c>
      <c r="D567" s="11" t="str">
        <f>IFERROR(__xludf.DUMMYFUNCTION("""COMPUTED_VALUE"""),"LISTICLE")</f>
        <v>LISTICLE</v>
      </c>
      <c r="E567" s="11" t="str">
        <f>IFERROR(__xludf.DUMMYFUNCTION("""COMPUTED_VALUE"""),"CORPORATE")</f>
        <v>CORPORATE</v>
      </c>
      <c r="F567" s="11" t="str">
        <f>IFERROR(__xludf.DUMMYFUNCTION("""COMPUTED_VALUE"""),"Listicle")</f>
        <v>Listicle</v>
      </c>
      <c r="G567" s="11" t="b">
        <f>IFERROR(__xludf.DUMMYFUNCTION("""COMPUTED_VALUE"""),FALSE)</f>
        <v>0</v>
      </c>
      <c r="H567" s="11" t="str">
        <f>IFERROR(__xludf.DUMMYFUNCTION("""COMPUTED_VALUE"""),"McKinsey &amp; Company, EY, BCG")</f>
        <v>McKinsey &amp; Company, EY, BCG</v>
      </c>
      <c r="I567" s="11">
        <f>IFERROR(__xludf.DUMMYFUNCTION("""COMPUTED_VALUE"""),1.0)</f>
        <v>1</v>
      </c>
      <c r="J567" s="11">
        <f>IFERROR(__xludf.DUMMYFUNCTION("""COMPUTED_VALUE"""),0.0)</f>
        <v>0</v>
      </c>
      <c r="K567" s="11">
        <f>IFERROR(__xludf.DUMMYFUNCTION("""COMPUTED_VALUE"""),0.0)</f>
        <v>0</v>
      </c>
      <c r="L567" s="11"/>
    </row>
    <row r="568" ht="15.75" customHeight="1">
      <c r="A568" s="8" t="str">
        <f>IFERROR(__xludf.DUMMYFUNCTION("""COMPUTED_VALUE"""),"https://pikaseo.com/articles/best-ai-seo-agencies")</f>
        <v>https://pikaseo.com/articles/best-ai-seo-agencies</v>
      </c>
      <c r="B568" s="11" t="str">
        <f>IFERROR(__xludf.DUMMYFUNCTION("""COMPUTED_VALUE"""),"10 Best AI SEO Agencies (GEO &amp;amp; AEO) in 2026 | PikaSEO")</f>
        <v>10 Best AI SEO Agencies (GEO &amp;amp; AEO) in 2026 | PikaSEO</v>
      </c>
      <c r="C568" s="8" t="str">
        <f>IFERROR(__xludf.DUMMYFUNCTION("""COMPUTED_VALUE"""),"pikaseo.com")</f>
        <v>pikaseo.com</v>
      </c>
      <c r="D568" s="11" t="str">
        <f>IFERROR(__xludf.DUMMYFUNCTION("""COMPUTED_VALUE"""),"LISTICLE")</f>
        <v>LISTICLE</v>
      </c>
      <c r="E568" s="11" t="str">
        <f>IFERROR(__xludf.DUMMYFUNCTION("""COMPUTED_VALUE"""),"CORPORATE")</f>
        <v>CORPORATE</v>
      </c>
      <c r="F568" s="11" t="str">
        <f>IFERROR(__xludf.DUMMYFUNCTION("""COMPUTED_VALUE"""),"Listicle")</f>
        <v>Listicle</v>
      </c>
      <c r="G568" s="11" t="b">
        <f>IFERROR(__xludf.DUMMYFUNCTION("""COMPUTED_VALUE"""),FALSE)</f>
        <v>0</v>
      </c>
      <c r="H568" s="11" t="str">
        <f>IFERROR(__xludf.DUMMYFUNCTION("""COMPUTED_VALUE"""),"iPullRank, Single Grain, NoGood, Omniscient Digital, Siege Media, WebFX, Directive Consulting, Measured, Pilot")</f>
        <v>iPullRank, Single Grain, NoGood, Omniscient Digital, Siege Media, WebFX, Directive Consulting, Measured, Pilot</v>
      </c>
      <c r="I568" s="11">
        <f>IFERROR(__xludf.DUMMYFUNCTION("""COMPUTED_VALUE"""),1.0)</f>
        <v>1</v>
      </c>
      <c r="J568" s="11">
        <f>IFERROR(__xludf.DUMMYFUNCTION("""COMPUTED_VALUE"""),0.0)</f>
        <v>0</v>
      </c>
      <c r="K568" s="11">
        <f>IFERROR(__xludf.DUMMYFUNCTION("""COMPUTED_VALUE"""),0.0)</f>
        <v>0</v>
      </c>
      <c r="L568" s="11"/>
    </row>
    <row r="569" ht="15.75" customHeight="1">
      <c r="A569" s="8" t="str">
        <f>IFERROR(__xludf.DUMMYFUNCTION("""COMPUTED_VALUE"""),"https://pipeline.zoominfo.com/sales/intent-data-platform")</f>
        <v>https://pipeline.zoominfo.com/sales/intent-data-platform</v>
      </c>
      <c r="B569" s="11" t="str">
        <f>IFERROR(__xludf.DUMMYFUNCTION("""COMPUTED_VALUE"""),"Best Intent Data Platforms in 2026: Identify In-Market B2B Accounts Fast")</f>
        <v>Best Intent Data Platforms in 2026: Identify In-Market B2B Accounts Fast</v>
      </c>
      <c r="C569" s="8" t="str">
        <f>IFERROR(__xludf.DUMMYFUNCTION("""COMPUTED_VALUE"""),"zoominfo.com")</f>
        <v>zoominfo.com</v>
      </c>
      <c r="D569" s="11" t="str">
        <f>IFERROR(__xludf.DUMMYFUNCTION("""COMPUTED_VALUE"""),"LISTICLE")</f>
        <v>LISTICLE</v>
      </c>
      <c r="E569" s="11" t="str">
        <f>IFERROR(__xludf.DUMMYFUNCTION("""COMPUTED_VALUE"""),"CORPORATE")</f>
        <v>CORPORATE</v>
      </c>
      <c r="F569" s="11" t="str">
        <f>IFERROR(__xludf.DUMMYFUNCTION("""COMPUTED_VALUE"""),"Listicle")</f>
        <v>Listicle</v>
      </c>
      <c r="G569" s="11" t="b">
        <f>IFERROR(__xludf.DUMMYFUNCTION("""COMPUTED_VALUE"""),FALSE)</f>
        <v>0</v>
      </c>
      <c r="H569" s="11"/>
      <c r="I569" s="11">
        <f>IFERROR(__xludf.DUMMYFUNCTION("""COMPUTED_VALUE"""),1.0)</f>
        <v>1</v>
      </c>
      <c r="J569" s="11">
        <f>IFERROR(__xludf.DUMMYFUNCTION("""COMPUTED_VALUE"""),0.0)</f>
        <v>0</v>
      </c>
      <c r="K569" s="11">
        <f>IFERROR(__xludf.DUMMYFUNCTION("""COMPUTED_VALUE"""),0.0)</f>
        <v>0</v>
      </c>
      <c r="L569" s="11"/>
    </row>
    <row r="570" ht="15.75" customHeight="1">
      <c r="A570" s="8" t="str">
        <f>IFERROR(__xludf.DUMMYFUNCTION("""COMPUTED_VALUE"""),"https://www.pixelmojo.io/best-ai-visibility-agencies#:~:text=Why%20Pixelmojo%20is%20different,systems%20(Vector%2C%20Hive).")</f>
        <v>https://www.pixelmojo.io/best-ai-visibility-agencies#:~:text=Why%20Pixelmojo%20is%20different,systems%20(Vector%2C%20Hive).</v>
      </c>
      <c r="B570" s="11" t="str">
        <f>IFERROR(__xludf.DUMMYFUNCTION("""COMPUTED_VALUE"""),"Best AI Visibility Agencies in 2026 | GEO and AEO Agencies Compared")</f>
        <v>Best AI Visibility Agencies in 2026 | GEO and AEO Agencies Compared</v>
      </c>
      <c r="C570" s="8" t="str">
        <f>IFERROR(__xludf.DUMMYFUNCTION("""COMPUTED_VALUE"""),"pixelmojo.io")</f>
        <v>pixelmojo.io</v>
      </c>
      <c r="D570" s="11" t="str">
        <f>IFERROR(__xludf.DUMMYFUNCTION("""COMPUTED_VALUE"""),"LISTICLE")</f>
        <v>LISTICLE</v>
      </c>
      <c r="E570" s="11" t="str">
        <f>IFERROR(__xludf.DUMMYFUNCTION("""COMPUTED_VALUE"""),"CORPORATE")</f>
        <v>CORPORATE</v>
      </c>
      <c r="F570" s="11" t="str">
        <f>IFERROR(__xludf.DUMMYFUNCTION("""COMPUTED_VALUE"""),"Listicle")</f>
        <v>Listicle</v>
      </c>
      <c r="G570" s="11" t="b">
        <f>IFERROR(__xludf.DUMMYFUNCTION("""COMPUTED_VALUE"""),FALSE)</f>
        <v>0</v>
      </c>
      <c r="H570" s="11" t="str">
        <f>IFERROR(__xludf.DUMMYFUNCTION("""COMPUTED_VALUE"""),"WebFX, iPullRank, NoGood, Siege Media, Directive Consulting, Measured")</f>
        <v>WebFX, iPullRank, NoGood, Siege Media, Directive Consulting, Measured</v>
      </c>
      <c r="I570" s="11">
        <f>IFERROR(__xludf.DUMMYFUNCTION("""COMPUTED_VALUE"""),1.0)</f>
        <v>1</v>
      </c>
      <c r="J570" s="11">
        <f>IFERROR(__xludf.DUMMYFUNCTION("""COMPUTED_VALUE"""),0.0)</f>
        <v>0</v>
      </c>
      <c r="K570" s="11">
        <f>IFERROR(__xludf.DUMMYFUNCTION("""COMPUTED_VALUE"""),2.0)</f>
        <v>2</v>
      </c>
      <c r="L570" s="11"/>
    </row>
    <row r="571" ht="15.75" customHeight="1">
      <c r="A571" s="8" t="str">
        <f>IFERROR(__xludf.DUMMYFUNCTION("""COMPUTED_VALUE"""),"https://platypusseo.com/blog/best-european-seo-agencies/")</f>
        <v>https://platypusseo.com/blog/best-european-seo-agencies/</v>
      </c>
      <c r="B571" s="11" t="str">
        <f>IFERROR(__xludf.DUMMYFUNCTION("""COMPUTED_VALUE"""),"10 Best European SEO Agencies in 2026")</f>
        <v>10 Best European SEO Agencies in 2026</v>
      </c>
      <c r="C571" s="8" t="str">
        <f>IFERROR(__xludf.DUMMYFUNCTION("""COMPUTED_VALUE"""),"platypusseo.com")</f>
        <v>platypusseo.com</v>
      </c>
      <c r="D571" s="11" t="str">
        <f>IFERROR(__xludf.DUMMYFUNCTION("""COMPUTED_VALUE"""),"LISTICLE")</f>
        <v>LISTICLE</v>
      </c>
      <c r="E571" s="11" t="str">
        <f>IFERROR(__xludf.DUMMYFUNCTION("""COMPUTED_VALUE"""),"CORPORATE")</f>
        <v>CORPORATE</v>
      </c>
      <c r="F571" s="11" t="str">
        <f>IFERROR(__xludf.DUMMYFUNCTION("""COMPUTED_VALUE"""),"Listicle")</f>
        <v>Listicle</v>
      </c>
      <c r="G571" s="11" t="b">
        <f>IFERROR(__xludf.DUMMYFUNCTION("""COMPUTED_VALUE"""),FALSE)</f>
        <v>0</v>
      </c>
      <c r="H571" s="11" t="str">
        <f>IFERROR(__xludf.DUMMYFUNCTION("""COMPUTED_VALUE"""),"Peak Ace, Huge")</f>
        <v>Peak Ace, Huge</v>
      </c>
      <c r="I571" s="11">
        <f>IFERROR(__xludf.DUMMYFUNCTION("""COMPUTED_VALUE"""),1.0)</f>
        <v>1</v>
      </c>
      <c r="J571" s="11">
        <f>IFERROR(__xludf.DUMMYFUNCTION("""COMPUTED_VALUE"""),0.0)</f>
        <v>0</v>
      </c>
      <c r="K571" s="11">
        <f>IFERROR(__xludf.DUMMYFUNCTION("""COMPUTED_VALUE"""),1.0)</f>
        <v>1</v>
      </c>
      <c r="L571" s="11"/>
    </row>
    <row r="572" ht="15.75" customHeight="1">
      <c r="A572" s="8" t="str">
        <f>IFERROR(__xludf.DUMMYFUNCTION("""COMPUTED_VALUE"""),"https://www.promodo.com/blog/best-geo-agencies")</f>
        <v>https://www.promodo.com/blog/best-geo-agencies</v>
      </c>
      <c r="B572" s="11" t="str">
        <f>IFERROR(__xludf.DUMMYFUNCTION("""COMPUTED_VALUE"""),"Top GEO Agencies in 2026: Get Your Brand Cited by AI Search")</f>
        <v>Top GEO Agencies in 2026: Get Your Brand Cited by AI Search</v>
      </c>
      <c r="C572" s="8" t="str">
        <f>IFERROR(__xludf.DUMMYFUNCTION("""COMPUTED_VALUE"""),"promodo.com")</f>
        <v>promodo.com</v>
      </c>
      <c r="D572" s="11" t="str">
        <f>IFERROR(__xludf.DUMMYFUNCTION("""COMPUTED_VALUE"""),"LISTICLE")</f>
        <v>LISTICLE</v>
      </c>
      <c r="E572" s="11" t="str">
        <f>IFERROR(__xludf.DUMMYFUNCTION("""COMPUTED_VALUE"""),"CORPORATE")</f>
        <v>CORPORATE</v>
      </c>
      <c r="F572" s="11" t="str">
        <f>IFERROR(__xludf.DUMMYFUNCTION("""COMPUTED_VALUE"""),"Listicle")</f>
        <v>Listicle</v>
      </c>
      <c r="G572" s="11" t="b">
        <f>IFERROR(__xludf.DUMMYFUNCTION("""COMPUTED_VALUE"""),FALSE)</f>
        <v>0</v>
      </c>
      <c r="H572" s="11" t="str">
        <f>IFERROR(__xludf.DUMMYFUNCTION("""COMPUTED_VALUE"""),"Directive Consulting, Siege Media, Measured")</f>
        <v>Directive Consulting, Siege Media, Measured</v>
      </c>
      <c r="I572" s="11">
        <f>IFERROR(__xludf.DUMMYFUNCTION("""COMPUTED_VALUE"""),1.0)</f>
        <v>1</v>
      </c>
      <c r="J572" s="11">
        <f>IFERROR(__xludf.DUMMYFUNCTION("""COMPUTED_VALUE"""),0.0)</f>
        <v>0</v>
      </c>
      <c r="K572" s="11">
        <f>IFERROR(__xludf.DUMMYFUNCTION("""COMPUTED_VALUE"""),0.0)</f>
        <v>0</v>
      </c>
      <c r="L572" s="11"/>
    </row>
    <row r="573" ht="15.75" customHeight="1">
      <c r="A573" s="8" t="str">
        <f>IFERROR(__xludf.DUMMYFUNCTION("""COMPUTED_VALUE"""),"https://qoulomb.com/best-answer-engine-optimization-agencies/")</f>
        <v>https://qoulomb.com/best-answer-engine-optimization-agencies/</v>
      </c>
      <c r="B573" s="11" t="str">
        <f>IFERROR(__xludf.DUMMYFUNCTION("""COMPUTED_VALUE"""),"Best Answer Engine Optimization \[AEO\] Agencies")</f>
        <v>Best Answer Engine Optimization \[AEO\] Agencies</v>
      </c>
      <c r="C573" s="8" t="str">
        <f>IFERROR(__xludf.DUMMYFUNCTION("""COMPUTED_VALUE"""),"qoulomb.com")</f>
        <v>qoulomb.com</v>
      </c>
      <c r="D573" s="11" t="str">
        <f>IFERROR(__xludf.DUMMYFUNCTION("""COMPUTED_VALUE"""),"LISTICLE")</f>
        <v>LISTICLE</v>
      </c>
      <c r="E573" s="11" t="str">
        <f>IFERROR(__xludf.DUMMYFUNCTION("""COMPUTED_VALUE"""),"CORPORATE")</f>
        <v>CORPORATE</v>
      </c>
      <c r="F573" s="11" t="str">
        <f>IFERROR(__xludf.DUMMYFUNCTION("""COMPUTED_VALUE"""),"Listicle")</f>
        <v>Listicle</v>
      </c>
      <c r="G573" s="11" t="b">
        <f>IFERROR(__xludf.DUMMYFUNCTION("""COMPUTED_VALUE"""),FALSE)</f>
        <v>0</v>
      </c>
      <c r="H573" s="11" t="str">
        <f>IFERROR(__xludf.DUMMYFUNCTION("""COMPUTED_VALUE"""),"Siege Media")</f>
        <v>Siege Media</v>
      </c>
      <c r="I573" s="11">
        <f>IFERROR(__xludf.DUMMYFUNCTION("""COMPUTED_VALUE"""),1.0)</f>
        <v>1</v>
      </c>
      <c r="J573" s="11">
        <f>IFERROR(__xludf.DUMMYFUNCTION("""COMPUTED_VALUE"""),0.0)</f>
        <v>0</v>
      </c>
      <c r="K573" s="11">
        <f>IFERROR(__xludf.DUMMYFUNCTION("""COMPUTED_VALUE"""),1.0)</f>
        <v>1</v>
      </c>
      <c r="L573" s="11"/>
    </row>
    <row r="574" ht="15.75" customHeight="1">
      <c r="A574" s="8" t="str">
        <f>IFERROR(__xludf.DUMMYFUNCTION("""COMPUTED_VALUE"""),"https://www.quoleady.com/growth-marketing-agencies/")</f>
        <v>https://www.quoleady.com/growth-marketing-agencies/</v>
      </c>
      <c r="B574" s="11" t="str">
        <f>IFERROR(__xludf.DUMMYFUNCTION("""COMPUTED_VALUE"""),"Top 12 Growth Marketing Agencies in 2026 - Quoleady")</f>
        <v>Top 12 Growth Marketing Agencies in 2026 - Quoleady</v>
      </c>
      <c r="C574" s="8" t="str">
        <f>IFERROR(__xludf.DUMMYFUNCTION("""COMPUTED_VALUE"""),"quoleady.com")</f>
        <v>quoleady.com</v>
      </c>
      <c r="D574" s="11" t="str">
        <f>IFERROR(__xludf.DUMMYFUNCTION("""COMPUTED_VALUE"""),"LISTICLE")</f>
        <v>LISTICLE</v>
      </c>
      <c r="E574" s="11" t="str">
        <f>IFERROR(__xludf.DUMMYFUNCTION("""COMPUTED_VALUE"""),"CORPORATE")</f>
        <v>CORPORATE</v>
      </c>
      <c r="F574" s="11" t="str">
        <f>IFERROR(__xludf.DUMMYFUNCTION("""COMPUTED_VALUE"""),"Listicle")</f>
        <v>Listicle</v>
      </c>
      <c r="G574" s="11" t="b">
        <f>IFERROR(__xludf.DUMMYFUNCTION("""COMPUTED_VALUE"""),FALSE)</f>
        <v>0</v>
      </c>
      <c r="H574" s="11" t="str">
        <f>IFERROR(__xludf.DUMMYFUNCTION("""COMPUTED_VALUE"""),"Darkroom, NoGood, Disruptive Advertising, SmartSites, Momentum")</f>
        <v>Darkroom, NoGood, Disruptive Advertising, SmartSites, Momentum</v>
      </c>
      <c r="I574" s="11">
        <f>IFERROR(__xludf.DUMMYFUNCTION("""COMPUTED_VALUE"""),1.0)</f>
        <v>1</v>
      </c>
      <c r="J574" s="11">
        <f>IFERROR(__xludf.DUMMYFUNCTION("""COMPUTED_VALUE"""),0.0)</f>
        <v>0</v>
      </c>
      <c r="K574" s="11">
        <f>IFERROR(__xludf.DUMMYFUNCTION("""COMPUTED_VALUE"""),0.0)</f>
        <v>0</v>
      </c>
      <c r="L574" s="11"/>
    </row>
    <row r="575" ht="15.75" customHeight="1">
      <c r="A575" s="8" t="str">
        <f>IFERROR(__xludf.DUMMYFUNCTION("""COMPUTED_VALUE"""),"https://www.radyant.io/comparison/the-6-best-ai-seo-agencies-for-b2b-startups")</f>
        <v>https://www.radyant.io/comparison/the-6-best-ai-seo-agencies-for-b2b-startups</v>
      </c>
      <c r="B575" s="11" t="str">
        <f>IFERROR(__xludf.DUMMYFUNCTION("""COMPUTED_VALUE"""),"The 6 best AI SEO agencies for B2B startups · Radyant")</f>
        <v>The 6 best AI SEO agencies for B2B startups · Radyant</v>
      </c>
      <c r="C575" s="8" t="str">
        <f>IFERROR(__xludf.DUMMYFUNCTION("""COMPUTED_VALUE"""),"radyant.io")</f>
        <v>radyant.io</v>
      </c>
      <c r="D575" s="11" t="str">
        <f>IFERROR(__xludf.DUMMYFUNCTION("""COMPUTED_VALUE"""),"LISTICLE")</f>
        <v>LISTICLE</v>
      </c>
      <c r="E575" s="11" t="str">
        <f>IFERROR(__xludf.DUMMYFUNCTION("""COMPUTED_VALUE"""),"COMPETITOR")</f>
        <v>COMPETITOR</v>
      </c>
      <c r="F575" s="11" t="str">
        <f>IFERROR(__xludf.DUMMYFUNCTION("""COMPUTED_VALUE"""),"Listicle")</f>
        <v>Listicle</v>
      </c>
      <c r="G575" s="11" t="b">
        <f>IFERROR(__xludf.DUMMYFUNCTION("""COMPUTED_VALUE"""),FALSE)</f>
        <v>0</v>
      </c>
      <c r="H575" s="11" t="str">
        <f>IFERROR(__xludf.DUMMYFUNCTION("""COMPUTED_VALUE"""),"Radyant, Claneo, Omniscient Digital")</f>
        <v>Radyant, Claneo, Omniscient Digital</v>
      </c>
      <c r="I575" s="11">
        <f>IFERROR(__xludf.DUMMYFUNCTION("""COMPUTED_VALUE"""),1.0)</f>
        <v>1</v>
      </c>
      <c r="J575" s="11">
        <f>IFERROR(__xludf.DUMMYFUNCTION("""COMPUTED_VALUE"""),0.0)</f>
        <v>0</v>
      </c>
      <c r="K575" s="11">
        <f>IFERROR(__xludf.DUMMYFUNCTION("""COMPUTED_VALUE"""),1.0)</f>
        <v>1</v>
      </c>
      <c r="L575" s="11"/>
    </row>
    <row r="576" ht="15.75" customHeight="1">
      <c r="A576" s="8" t="str">
        <f>IFERROR(__xludf.DUMMYFUNCTION("""COMPUTED_VALUE"""),"https://www.reddit.com/r/DigitalMarketing/comments/1tn7zll/which_digital_marketing_agencies_are_best_at/")</f>
        <v>https://www.reddit.com/r/DigitalMarketing/comments/1tn7zll/which_digital_marketing_agencies_are_best_at/</v>
      </c>
      <c r="B576" s="11" t="str">
        <f>IFERROR(__xludf.DUMMYFUNCTION("""COMPUTED_VALUE"""),"Which digital marketing agencies are best at helping brands show up in AI assistants like ChatGPT and Perplexity?")</f>
        <v>Which digital marketing agencies are best at helping brands show up in AI assistants like ChatGPT and Perplexity?</v>
      </c>
      <c r="C576" s="8" t="str">
        <f>IFERROR(__xludf.DUMMYFUNCTION("""COMPUTED_VALUE"""),"reddit.com")</f>
        <v>reddit.com</v>
      </c>
      <c r="D576" s="11" t="str">
        <f>IFERROR(__xludf.DUMMYFUNCTION("""COMPUTED_VALUE"""),"DISCUSSION")</f>
        <v>DISCUSSION</v>
      </c>
      <c r="E576" s="11" t="str">
        <f>IFERROR(__xludf.DUMMYFUNCTION("""COMPUTED_VALUE"""),"UGC")</f>
        <v>UGC</v>
      </c>
      <c r="F576" s="11" t="str">
        <f>IFERROR(__xludf.DUMMYFUNCTION("""COMPUTED_VALUE"""),"Discussion")</f>
        <v>Discussion</v>
      </c>
      <c r="G576" s="11" t="b">
        <f>IFERROR(__xludf.DUMMYFUNCTION("""COMPUTED_VALUE"""),FALSE)</f>
        <v>0</v>
      </c>
      <c r="H576" s="11" t="str">
        <f>IFERROR(__xludf.DUMMYFUNCTION("""COMPUTED_VALUE"""),"Huge, NoGood, Omniscient Digital, Siege Media")</f>
        <v>Huge, NoGood, Omniscient Digital, Siege Media</v>
      </c>
      <c r="I576" s="11">
        <f>IFERROR(__xludf.DUMMYFUNCTION("""COMPUTED_VALUE"""),1.0)</f>
        <v>1</v>
      </c>
      <c r="J576" s="11">
        <f>IFERROR(__xludf.DUMMYFUNCTION("""COMPUTED_VALUE"""),0.0)</f>
        <v>0</v>
      </c>
      <c r="K576" s="11">
        <f>IFERROR(__xludf.DUMMYFUNCTION("""COMPUTED_VALUE"""),2.0)</f>
        <v>2</v>
      </c>
      <c r="L576" s="11"/>
    </row>
    <row r="577" ht="15.75" customHeight="1">
      <c r="A577" s="8" t="str">
        <f>IFERROR(__xludf.DUMMYFUNCTION("""COMPUTED_VALUE"""),"https://www.reddit.com/r/Topagencies/comments/1spi6ov/top_ppc_agencies_in_berlin_packages_pricing_cost/")</f>
        <v>https://www.reddit.com/r/Topagencies/comments/1spi6ov/top_ppc_agencies_in_berlin_packages_pricing_cost/</v>
      </c>
      <c r="B577" s="11" t="str">
        <f>IFERROR(__xludf.DUMMYFUNCTION("""COMPUTED_VALUE"""),"Top PPC Agencies in Berlin — Packages, Pricing, Cost &amp;amp; Services Guide")</f>
        <v>Top PPC Agencies in Berlin — Packages, Pricing, Cost &amp;amp; Services Guide</v>
      </c>
      <c r="C577" s="8" t="str">
        <f>IFERROR(__xludf.DUMMYFUNCTION("""COMPUTED_VALUE"""),"reddit.com")</f>
        <v>reddit.com</v>
      </c>
      <c r="D577" s="11" t="str">
        <f>IFERROR(__xludf.DUMMYFUNCTION("""COMPUTED_VALUE"""),"DISCUSSION")</f>
        <v>DISCUSSION</v>
      </c>
      <c r="E577" s="11" t="str">
        <f>IFERROR(__xludf.DUMMYFUNCTION("""COMPUTED_VALUE"""),"UGC")</f>
        <v>UGC</v>
      </c>
      <c r="F577" s="11" t="str">
        <f>IFERROR(__xludf.DUMMYFUNCTION("""COMPUTED_VALUE"""),"Discussion")</f>
        <v>Discussion</v>
      </c>
      <c r="G577" s="11" t="b">
        <f>IFERROR(__xludf.DUMMYFUNCTION("""COMPUTED_VALUE"""),FALSE)</f>
        <v>0</v>
      </c>
      <c r="H577" s="11" t="str">
        <f>IFERROR(__xludf.DUMMYFUNCTION("""COMPUTED_VALUE"""),"Mediacharge, PwC, MONSOON, REPLUG, Aufgesang, Measured")</f>
        <v>Mediacharge, PwC, MONSOON, REPLUG, Aufgesang, Measured</v>
      </c>
      <c r="I577" s="11">
        <f>IFERROR(__xludf.DUMMYFUNCTION("""COMPUTED_VALUE"""),1.0)</f>
        <v>1</v>
      </c>
      <c r="J577" s="11">
        <f>IFERROR(__xludf.DUMMYFUNCTION("""COMPUTED_VALUE"""),0.0)</f>
        <v>0</v>
      </c>
      <c r="K577" s="11">
        <f>IFERROR(__xludf.DUMMYFUNCTION("""COMPUTED_VALUE"""),2.0)</f>
        <v>2</v>
      </c>
      <c r="L577" s="11"/>
    </row>
    <row r="578" ht="15.75" customHeight="1">
      <c r="A578" s="8" t="str">
        <f>IFERROR(__xludf.DUMMYFUNCTION("""COMPUTED_VALUE"""),"https://www.reddit.com/r/Topagencies/comments/1srfjwq/top_ppc_services_agencies_in_frankfurt_package/")</f>
        <v>https://www.reddit.com/r/Topagencies/comments/1srfjwq/top_ppc_services_agencies_in_frankfurt_package/</v>
      </c>
      <c r="B578" s="11" t="str">
        <f>IFERROR(__xludf.DUMMYFUNCTION("""COMPUTED_VALUE"""),"Top PPC Services Agencies in Frankfurt - Package, Pricing &amp;amp; Cost Guide")</f>
        <v>Top PPC Services Agencies in Frankfurt - Package, Pricing &amp;amp; Cost Guide</v>
      </c>
      <c r="C578" s="8" t="str">
        <f>IFERROR(__xludf.DUMMYFUNCTION("""COMPUTED_VALUE"""),"reddit.com")</f>
        <v>reddit.com</v>
      </c>
      <c r="D578" s="11" t="str">
        <f>IFERROR(__xludf.DUMMYFUNCTION("""COMPUTED_VALUE"""),"DISCUSSION")</f>
        <v>DISCUSSION</v>
      </c>
      <c r="E578" s="11" t="str">
        <f>IFERROR(__xludf.DUMMYFUNCTION("""COMPUTED_VALUE"""),"UGC")</f>
        <v>UGC</v>
      </c>
      <c r="F578" s="11" t="str">
        <f>IFERROR(__xludf.DUMMYFUNCTION("""COMPUTED_VALUE"""),"Discussion")</f>
        <v>Discussion</v>
      </c>
      <c r="G578" s="11" t="b">
        <f>IFERROR(__xludf.DUMMYFUNCTION("""COMPUTED_VALUE"""),FALSE)</f>
        <v>0</v>
      </c>
      <c r="H578" s="11" t="str">
        <f>IFERROR(__xludf.DUMMYFUNCTION("""COMPUTED_VALUE"""),"Mediacharge")</f>
        <v>Mediacharge</v>
      </c>
      <c r="I578" s="11">
        <f>IFERROR(__xludf.DUMMYFUNCTION("""COMPUTED_VALUE"""),1.0)</f>
        <v>1</v>
      </c>
      <c r="J578" s="11">
        <f>IFERROR(__xludf.DUMMYFUNCTION("""COMPUTED_VALUE"""),0.0)</f>
        <v>0</v>
      </c>
      <c r="K578" s="11">
        <f>IFERROR(__xludf.DUMMYFUNCTION("""COMPUTED_VALUE"""),1.0)</f>
        <v>1</v>
      </c>
      <c r="L578" s="11"/>
    </row>
    <row r="579" ht="15.75" customHeight="1">
      <c r="A579" s="8" t="str">
        <f>IFERROR(__xludf.DUMMYFUNCTION("""COMPUTED_VALUE"""),"https://www.reddit.com/r/analytics/comments/1q5d8wc/advice_for_the_best_customer_data_platforms_2026/")</f>
        <v>https://www.reddit.com/r/analytics/comments/1q5d8wc/advice_for_the_best_customer_data_platforms_2026/</v>
      </c>
      <c r="B579" s="11" t="str">
        <f>IFERROR(__xludf.DUMMYFUNCTION("""COMPUTED_VALUE"""),"advice for the best customer data platforms 2026 for unifying customer data")</f>
        <v>advice for the best customer data platforms 2026 for unifying customer data</v>
      </c>
      <c r="C579" s="8" t="str">
        <f>IFERROR(__xludf.DUMMYFUNCTION("""COMPUTED_VALUE"""),"reddit.com")</f>
        <v>reddit.com</v>
      </c>
      <c r="D579" s="11" t="str">
        <f>IFERROR(__xludf.DUMMYFUNCTION("""COMPUTED_VALUE"""),"DISCUSSION")</f>
        <v>DISCUSSION</v>
      </c>
      <c r="E579" s="11" t="str">
        <f>IFERROR(__xludf.DUMMYFUNCTION("""COMPUTED_VALUE"""),"UGC")</f>
        <v>UGC</v>
      </c>
      <c r="F579" s="11" t="str">
        <f>IFERROR(__xludf.DUMMYFUNCTION("""COMPUTED_VALUE"""),"Discussion")</f>
        <v>Discussion</v>
      </c>
      <c r="G579" s="11" t="b">
        <f>IFERROR(__xludf.DUMMYFUNCTION("""COMPUTED_VALUE"""),FALSE)</f>
        <v>0</v>
      </c>
      <c r="H579" s="11" t="str">
        <f>IFERROR(__xludf.DUMMYFUNCTION("""COMPUTED_VALUE"""),"Huge")</f>
        <v>Huge</v>
      </c>
      <c r="I579" s="11">
        <f>IFERROR(__xludf.DUMMYFUNCTION("""COMPUTED_VALUE"""),1.0)</f>
        <v>1</v>
      </c>
      <c r="J579" s="11">
        <f>IFERROR(__xludf.DUMMYFUNCTION("""COMPUTED_VALUE"""),0.0)</f>
        <v>0</v>
      </c>
      <c r="K579" s="11">
        <f>IFERROR(__xludf.DUMMYFUNCTION("""COMPUTED_VALUE"""),2.0)</f>
        <v>2</v>
      </c>
      <c r="L579" s="11"/>
    </row>
    <row r="580" ht="15.75" customHeight="1">
      <c r="A580" s="8" t="str">
        <f>IFERROR(__xludf.DUMMYFUNCTION("""COMPUTED_VALUE"""),"https://www.reddit.com/r/b2bmarketing/comments/1rl47cr/the_10_best_visibility_companies_and_agencies_for/")</f>
        <v>https://www.reddit.com/r/b2bmarketing/comments/1rl47cr/the_10_best_visibility_companies_and_agencies_for/</v>
      </c>
      <c r="B580" s="11" t="str">
        <f>IFERROR(__xludf.DUMMYFUNCTION("""COMPUTED_VALUE"""),"The 10 Best Visibility Companies and Agencies for SEO and GEO?")</f>
        <v>The 10 Best Visibility Companies and Agencies for SEO and GEO?</v>
      </c>
      <c r="C580" s="8" t="str">
        <f>IFERROR(__xludf.DUMMYFUNCTION("""COMPUTED_VALUE"""),"reddit.com")</f>
        <v>reddit.com</v>
      </c>
      <c r="D580" s="11" t="str">
        <f>IFERROR(__xludf.DUMMYFUNCTION("""COMPUTED_VALUE"""),"DISCUSSION")</f>
        <v>DISCUSSION</v>
      </c>
      <c r="E580" s="11" t="str">
        <f>IFERROR(__xludf.DUMMYFUNCTION("""COMPUTED_VALUE"""),"UGC")</f>
        <v>UGC</v>
      </c>
      <c r="F580" s="11" t="str">
        <f>IFERROR(__xludf.DUMMYFUNCTION("""COMPUTED_VALUE"""),"Discussion")</f>
        <v>Discussion</v>
      </c>
      <c r="G580" s="11" t="b">
        <f>IFERROR(__xludf.DUMMYFUNCTION("""COMPUTED_VALUE"""),FALSE)</f>
        <v>0</v>
      </c>
      <c r="H580" s="11" t="str">
        <f>IFERROR(__xludf.DUMMYFUNCTION("""COMPUTED_VALUE"""),"Huge, Omnius, Siege Media, Single Grain, iPullRank")</f>
        <v>Huge, Omnius, Siege Media, Single Grain, iPullRank</v>
      </c>
      <c r="I580" s="11">
        <f>IFERROR(__xludf.DUMMYFUNCTION("""COMPUTED_VALUE"""),1.0)</f>
        <v>1</v>
      </c>
      <c r="J580" s="11">
        <f>IFERROR(__xludf.DUMMYFUNCTION("""COMPUTED_VALUE"""),0.0)</f>
        <v>0</v>
      </c>
      <c r="K580" s="11">
        <f>IFERROR(__xludf.DUMMYFUNCTION("""COMPUTED_VALUE"""),1.0)</f>
        <v>1</v>
      </c>
      <c r="L580" s="11"/>
    </row>
    <row r="581" ht="15.75" customHeight="1">
      <c r="A581" s="8" t="str">
        <f>IFERROR(__xludf.DUMMYFUNCTION("""COMPUTED_VALUE"""),"https://www.reddit.com/r/u_Emkutis/comments/1u2d4ma/the_best_geo_ai_search_agencies_in_europe_in_2026/")</f>
        <v>https://www.reddit.com/r/u_Emkutis/comments/1u2d4ma/the_best_geo_ai_search_agencies_in_europe_in_2026/</v>
      </c>
      <c r="B581" s="11" t="str">
        <f>IFERROR(__xludf.DUMMYFUNCTION("""COMPUTED_VALUE"""),"The best GEO (AI search) agencies in Europe in 2026, ranked")</f>
        <v>The best GEO (AI search) agencies in Europe in 2026, ranked</v>
      </c>
      <c r="C581" s="8" t="str">
        <f>IFERROR(__xludf.DUMMYFUNCTION("""COMPUTED_VALUE"""),"reddit.com")</f>
        <v>reddit.com</v>
      </c>
      <c r="D581" s="11" t="str">
        <f>IFERROR(__xludf.DUMMYFUNCTION("""COMPUTED_VALUE"""),"DISCUSSION")</f>
        <v>DISCUSSION</v>
      </c>
      <c r="E581" s="11" t="str">
        <f>IFERROR(__xludf.DUMMYFUNCTION("""COMPUTED_VALUE"""),"UGC")</f>
        <v>UGC</v>
      </c>
      <c r="F581" s="11" t="str">
        <f>IFERROR(__xludf.DUMMYFUNCTION("""COMPUTED_VALUE"""),"Discussion")</f>
        <v>Discussion</v>
      </c>
      <c r="G581" s="11" t="b">
        <f>IFERROR(__xludf.DUMMYFUNCTION("""COMPUTED_VALUE"""),FALSE)</f>
        <v>0</v>
      </c>
      <c r="H581" s="11" t="str">
        <f>IFERROR(__xludf.DUMMYFUNCTION("""COMPUTED_VALUE"""),"Radyant, Omnius, Peak Ace, Measured")</f>
        <v>Radyant, Omnius, Peak Ace, Measured</v>
      </c>
      <c r="I581" s="11">
        <f>IFERROR(__xludf.DUMMYFUNCTION("""COMPUTED_VALUE"""),1.0)</f>
        <v>1</v>
      </c>
      <c r="J581" s="11">
        <f>IFERROR(__xludf.DUMMYFUNCTION("""COMPUTED_VALUE"""),0.0)</f>
        <v>0</v>
      </c>
      <c r="K581" s="11">
        <f>IFERROR(__xludf.DUMMYFUNCTION("""COMPUTED_VALUE"""),1.0)</f>
        <v>1</v>
      </c>
      <c r="L581" s="11"/>
    </row>
    <row r="582" ht="15.75" customHeight="1">
      <c r="A582" s="8" t="str">
        <f>IFERROR(__xludf.DUMMYFUNCTION("""COMPUTED_VALUE"""),"https://revenuezen.com/top-answer-engine-optimization-aeo-agencies/")</f>
        <v>https://revenuezen.com/top-answer-engine-optimization-aeo-agencies/</v>
      </c>
      <c r="B582" s="11" t="str">
        <f>IFERROR(__xludf.DUMMYFUNCTION("""COMPUTED_VALUE"""),"Top Answer Engine Optimization Agencies in 2026 | RevenueZen")</f>
        <v>Top Answer Engine Optimization Agencies in 2026 | RevenueZen</v>
      </c>
      <c r="C582" s="8" t="str">
        <f>IFERROR(__xludf.DUMMYFUNCTION("""COMPUTED_VALUE"""),"revenuezen.com")</f>
        <v>revenuezen.com</v>
      </c>
      <c r="D582" s="11" t="str">
        <f>IFERROR(__xludf.DUMMYFUNCTION("""COMPUTED_VALUE"""),"LISTICLE")</f>
        <v>LISTICLE</v>
      </c>
      <c r="E582" s="11" t="str">
        <f>IFERROR(__xludf.DUMMYFUNCTION("""COMPUTED_VALUE"""),"CORPORATE")</f>
        <v>CORPORATE</v>
      </c>
      <c r="F582" s="11" t="str">
        <f>IFERROR(__xludf.DUMMYFUNCTION("""COMPUTED_VALUE"""),"Listicle")</f>
        <v>Listicle</v>
      </c>
      <c r="G582" s="11" t="b">
        <f>IFERROR(__xludf.DUMMYFUNCTION("""COMPUTED_VALUE"""),FALSE)</f>
        <v>0</v>
      </c>
      <c r="H582" s="11" t="str">
        <f>IFERROR(__xludf.DUMMYFUNCTION("""COMPUTED_VALUE"""),"Omniscient Digital, iPullRank, WebFX, Huge")</f>
        <v>Omniscient Digital, iPullRank, WebFX, Huge</v>
      </c>
      <c r="I582" s="11">
        <f>IFERROR(__xludf.DUMMYFUNCTION("""COMPUTED_VALUE"""),1.0)</f>
        <v>1</v>
      </c>
      <c r="J582" s="11">
        <f>IFERROR(__xludf.DUMMYFUNCTION("""COMPUTED_VALUE"""),0.0)</f>
        <v>0</v>
      </c>
      <c r="K582" s="11">
        <f>IFERROR(__xludf.DUMMYFUNCTION("""COMPUTED_VALUE"""),0.0)</f>
        <v>0</v>
      </c>
      <c r="L582" s="11"/>
    </row>
    <row r="583" ht="15.75" customHeight="1">
      <c r="A583" s="8" t="str">
        <f>IFERROR(__xludf.DUMMYFUNCTION("""COMPUTED_VALUE"""),"https://s-pro.io/generative-ai-development-companies")</f>
        <v>https://s-pro.io/generative-ai-development-companies</v>
      </c>
      <c r="B583" s="11" t="str">
        <f>IFERROR(__xludf.DUMMYFUNCTION("""COMPUTED_VALUE"""),"Top Generative AI Development Companies | 21 Best Generative AI Integration Companies")</f>
        <v>Top Generative AI Development Companies | 21 Best Generative AI Integration Companies</v>
      </c>
      <c r="C583" s="8" t="str">
        <f>IFERROR(__xludf.DUMMYFUNCTION("""COMPUTED_VALUE"""),"s-pro.io")</f>
        <v>s-pro.io</v>
      </c>
      <c r="D583" s="11" t="str">
        <f>IFERROR(__xludf.DUMMYFUNCTION("""COMPUTED_VALUE"""),"LISTICLE")</f>
        <v>LISTICLE</v>
      </c>
      <c r="E583" s="11" t="str">
        <f>IFERROR(__xludf.DUMMYFUNCTION("""COMPUTED_VALUE"""),"CORPORATE")</f>
        <v>CORPORATE</v>
      </c>
      <c r="F583" s="11" t="str">
        <f>IFERROR(__xludf.DUMMYFUNCTION("""COMPUTED_VALUE"""),"Listicle")</f>
        <v>Listicle</v>
      </c>
      <c r="G583" s="11" t="b">
        <f>IFERROR(__xludf.DUMMYFUNCTION("""COMPUTED_VALUE"""),FALSE)</f>
        <v>0</v>
      </c>
      <c r="H583" s="11" t="str">
        <f>IFERROR(__xludf.DUMMYFUNCTION("""COMPUTED_VALUE"""),"PwC, Croud, Momentum")</f>
        <v>PwC, Croud, Momentum</v>
      </c>
      <c r="I583" s="11">
        <f>IFERROR(__xludf.DUMMYFUNCTION("""COMPUTED_VALUE"""),1.0)</f>
        <v>1</v>
      </c>
      <c r="J583" s="11">
        <f>IFERROR(__xludf.DUMMYFUNCTION("""COMPUTED_VALUE"""),0.0)</f>
        <v>0</v>
      </c>
      <c r="K583" s="11">
        <f>IFERROR(__xludf.DUMMYFUNCTION("""COMPUTED_VALUE"""),1.0)</f>
        <v>1</v>
      </c>
      <c r="L583" s="11"/>
    </row>
    <row r="584" ht="15.75" customHeight="1">
      <c r="A584" s="8" t="str">
        <f>IFERROR(__xludf.DUMMYFUNCTION("""COMPUTED_VALUE"""),"https://sageitinc.com/reference-center/best-ai-consulting-companies")</f>
        <v>https://sageitinc.com/reference-center/best-ai-consulting-companies</v>
      </c>
      <c r="B584" s="11" t="str">
        <f>IFERROR(__xludf.DUMMYFUNCTION("""COMPUTED_VALUE"""),"10 Best AI Consulting Companies to De-Risk Your AI Adoption")</f>
        <v>10 Best AI Consulting Companies to De-Risk Your AI Adoption</v>
      </c>
      <c r="C584" s="8" t="str">
        <f>IFERROR(__xludf.DUMMYFUNCTION("""COMPUTED_VALUE"""),"sageitinc.com")</f>
        <v>sageitinc.com</v>
      </c>
      <c r="D584" s="11" t="str">
        <f>IFERROR(__xludf.DUMMYFUNCTION("""COMPUTED_VALUE"""),"LISTICLE")</f>
        <v>LISTICLE</v>
      </c>
      <c r="E584" s="11" t="str">
        <f>IFERROR(__xludf.DUMMYFUNCTION("""COMPUTED_VALUE"""),"CORPORATE")</f>
        <v>CORPORATE</v>
      </c>
      <c r="F584" s="11" t="str">
        <f>IFERROR(__xludf.DUMMYFUNCTION("""COMPUTED_VALUE"""),"Listicle")</f>
        <v>Listicle</v>
      </c>
      <c r="G584" s="11" t="b">
        <f>IFERROR(__xludf.DUMMYFUNCTION("""COMPUTED_VALUE"""),FALSE)</f>
        <v>0</v>
      </c>
      <c r="H584" s="11" t="str">
        <f>IFERROR(__xludf.DUMMYFUNCTION("""COMPUTED_VALUE"""),"Pilot")</f>
        <v>Pilot</v>
      </c>
      <c r="I584" s="11">
        <f>IFERROR(__xludf.DUMMYFUNCTION("""COMPUTED_VALUE"""),1.0)</f>
        <v>1</v>
      </c>
      <c r="J584" s="11">
        <f>IFERROR(__xludf.DUMMYFUNCTION("""COMPUTED_VALUE"""),0.0)</f>
        <v>0</v>
      </c>
      <c r="K584" s="11">
        <f>IFERROR(__xludf.DUMMYFUNCTION("""COMPUTED_VALUE"""),0.0)</f>
        <v>0</v>
      </c>
      <c r="L584" s="11"/>
    </row>
    <row r="585" ht="15.75" customHeight="1">
      <c r="A585" s="8" t="str">
        <f>IFERROR(__xludf.DUMMYFUNCTION("""COMPUTED_VALUE"""),"https://www.sanmiguel.io/en/the-best-b2b-brand-agencies-for-smes/")</f>
        <v>https://www.sanmiguel.io/en/the-best-b2b-brand-agencies-for-smes/</v>
      </c>
      <c r="B585" s="11" t="str">
        <f>IFERROR(__xludf.DUMMYFUNCTION("""COMPUTED_VALUE"""),"The best B2B brand agencies in Germany &amp;amp; the DACH region")</f>
        <v>The best B2B brand agencies in Germany &amp;amp; the DACH region</v>
      </c>
      <c r="C585" s="8" t="str">
        <f>IFERROR(__xludf.DUMMYFUNCTION("""COMPUTED_VALUE"""),"sanmiguel.io")</f>
        <v>sanmiguel.io</v>
      </c>
      <c r="D585" s="11" t="str">
        <f>IFERROR(__xludf.DUMMYFUNCTION("""COMPUTED_VALUE"""),"LISTICLE")</f>
        <v>LISTICLE</v>
      </c>
      <c r="E585" s="11" t="str">
        <f>IFERROR(__xludf.DUMMYFUNCTION("""COMPUTED_VALUE"""),"CORPORATE")</f>
        <v>CORPORATE</v>
      </c>
      <c r="F585" s="11" t="str">
        <f>IFERROR(__xludf.DUMMYFUNCTION("""COMPUTED_VALUE"""),"Listicle")</f>
        <v>Listicle</v>
      </c>
      <c r="G585" s="11" t="b">
        <f>IFERROR(__xludf.DUMMYFUNCTION("""COMPUTED_VALUE"""),FALSE)</f>
        <v>0</v>
      </c>
      <c r="H585" s="11" t="str">
        <f>IFERROR(__xludf.DUMMYFUNCTION("""COMPUTED_VALUE"""),"MetaDesign, Publicis Groupe, Jung von Matt, Omnicom")</f>
        <v>MetaDesign, Publicis Groupe, Jung von Matt, Omnicom</v>
      </c>
      <c r="I585" s="11">
        <f>IFERROR(__xludf.DUMMYFUNCTION("""COMPUTED_VALUE"""),1.0)</f>
        <v>1</v>
      </c>
      <c r="J585" s="11">
        <f>IFERROR(__xludf.DUMMYFUNCTION("""COMPUTED_VALUE"""),0.0)</f>
        <v>0</v>
      </c>
      <c r="K585" s="11">
        <f>IFERROR(__xludf.DUMMYFUNCTION("""COMPUTED_VALUE"""),1.0)</f>
        <v>1</v>
      </c>
      <c r="L585" s="11"/>
    </row>
    <row r="586" ht="15.75" customHeight="1">
      <c r="A586" s="8" t="str">
        <f>IFERROR(__xludf.DUMMYFUNCTION("""COMPUTED_VALUE"""),"https://www.scaled2c.com/services/germany/geo-services-germany")</f>
        <v>https://www.scaled2c.com/services/germany/geo-services-germany</v>
      </c>
      <c r="B586" s="11" t="str">
        <f>IFERROR(__xludf.DUMMYFUNCTION("""COMPUTED_VALUE"""),"Best Generative Engine Optimisation (GEO) Agency in Germany | Top German Generative Engine Optimisation (GEO) Agency — SCALE D2C")</f>
        <v>Best Generative Engine Optimisation (GEO) Agency in Germany | Top German Generative Engine Optimisation (GEO) Agency — SCALE D2C</v>
      </c>
      <c r="C586" s="8" t="str">
        <f>IFERROR(__xludf.DUMMYFUNCTION("""COMPUTED_VALUE"""),"scaled2c.com")</f>
        <v>scaled2c.com</v>
      </c>
      <c r="D586" s="11" t="str">
        <f>IFERROR(__xludf.DUMMYFUNCTION("""COMPUTED_VALUE"""),"PRODUCT_PAGE")</f>
        <v>PRODUCT_PAGE</v>
      </c>
      <c r="E586" s="11" t="str">
        <f>IFERROR(__xludf.DUMMYFUNCTION("""COMPUTED_VALUE"""),"CORPORATE")</f>
        <v>CORPORATE</v>
      </c>
      <c r="F586" s="11" t="str">
        <f>IFERROR(__xludf.DUMMYFUNCTION("""COMPUTED_VALUE"""),"Product Page")</f>
        <v>Product Page</v>
      </c>
      <c r="G586" s="11" t="b">
        <f>IFERROR(__xludf.DUMMYFUNCTION("""COMPUTED_VALUE"""),FALSE)</f>
        <v>0</v>
      </c>
      <c r="H586" s="11"/>
      <c r="I586" s="11">
        <f>IFERROR(__xludf.DUMMYFUNCTION("""COMPUTED_VALUE"""),1.0)</f>
        <v>1</v>
      </c>
      <c r="J586" s="11">
        <f>IFERROR(__xludf.DUMMYFUNCTION("""COMPUTED_VALUE"""),0.0)</f>
        <v>0</v>
      </c>
      <c r="K586" s="11">
        <f>IFERROR(__xludf.DUMMYFUNCTION("""COMPUTED_VALUE"""),0.0)</f>
        <v>0</v>
      </c>
      <c r="L586" s="11"/>
    </row>
    <row r="587" ht="15.75" customHeight="1">
      <c r="A587" s="8" t="str">
        <f>IFERROR(__xludf.DUMMYFUNCTION("""COMPUTED_VALUE"""),"https://scandiweb.com/blog/top-ai-agencies/")</f>
        <v>https://scandiweb.com/blog/top-ai-agencies/</v>
      </c>
      <c r="B587" s="11" t="str">
        <f>IFERROR(__xludf.DUMMYFUNCTION("""COMPUTED_VALUE"""),"Top AI Agencies in 2026 for GenAI Optimization - scandiweb")</f>
        <v>Top AI Agencies in 2026 for GenAI Optimization - scandiweb</v>
      </c>
      <c r="C587" s="8" t="str">
        <f>IFERROR(__xludf.DUMMYFUNCTION("""COMPUTED_VALUE"""),"scandiweb.com")</f>
        <v>scandiweb.com</v>
      </c>
      <c r="D587" s="11" t="str">
        <f>IFERROR(__xludf.DUMMYFUNCTION("""COMPUTED_VALUE"""),"LISTICLE")</f>
        <v>LISTICLE</v>
      </c>
      <c r="E587" s="11" t="str">
        <f>IFERROR(__xludf.DUMMYFUNCTION("""COMPUTED_VALUE"""),"CORPORATE")</f>
        <v>CORPORATE</v>
      </c>
      <c r="F587" s="11" t="str">
        <f>IFERROR(__xludf.DUMMYFUNCTION("""COMPUTED_VALUE"""),"Listicle")</f>
        <v>Listicle</v>
      </c>
      <c r="G587" s="11" t="b">
        <f>IFERROR(__xludf.DUMMYFUNCTION("""COMPUTED_VALUE"""),FALSE)</f>
        <v>0</v>
      </c>
      <c r="H587" s="11" t="str">
        <f>IFERROR(__xludf.DUMMYFUNCTION("""COMPUTED_VALUE"""),"appliedAI")</f>
        <v>appliedAI</v>
      </c>
      <c r="I587" s="11">
        <f>IFERROR(__xludf.DUMMYFUNCTION("""COMPUTED_VALUE"""),1.0)</f>
        <v>1</v>
      </c>
      <c r="J587" s="11">
        <f>IFERROR(__xludf.DUMMYFUNCTION("""COMPUTED_VALUE"""),0.0)</f>
        <v>0</v>
      </c>
      <c r="K587" s="11">
        <f>IFERROR(__xludf.DUMMYFUNCTION("""COMPUTED_VALUE"""),1.0)</f>
        <v>1</v>
      </c>
      <c r="L587" s="11"/>
    </row>
    <row r="588" ht="15.75" customHeight="1">
      <c r="A588" s="8" t="str">
        <f>IFERROR(__xludf.DUMMYFUNCTION("""COMPUTED_VALUE"""),"https://www.schalk-and-friends.de/en/magazine/modern-marketing-winners/")</f>
        <v>https://www.schalk-and-friends.de/en/magazine/modern-marketing-winners/</v>
      </c>
      <c r="B588" s="11" t="str">
        <f>IFERROR(__xludf.DUMMYFUNCTION("""COMPUTED_VALUE"""),"Top 70 German digital agencies | schalk&amp;amp;friends")</f>
        <v>Top 70 German digital agencies | schalk&amp;amp;friends</v>
      </c>
      <c r="C588" s="8" t="str">
        <f>IFERROR(__xludf.DUMMYFUNCTION("""COMPUTED_VALUE"""),"schalk-and-friends.de")</f>
        <v>schalk-and-friends.de</v>
      </c>
      <c r="D588" s="11" t="str">
        <f>IFERROR(__xludf.DUMMYFUNCTION("""COMPUTED_VALUE"""),"ARTICLE")</f>
        <v>ARTICLE</v>
      </c>
      <c r="E588" s="11" t="str">
        <f>IFERROR(__xludf.DUMMYFUNCTION("""COMPUTED_VALUE"""),"CORPORATE")</f>
        <v>CORPORATE</v>
      </c>
      <c r="F588" s="11" t="str">
        <f>IFERROR(__xludf.DUMMYFUNCTION("""COMPUTED_VALUE"""),"Article")</f>
        <v>Article</v>
      </c>
      <c r="G588" s="11" t="b">
        <f>IFERROR(__xludf.DUMMYFUNCTION("""COMPUTED_VALUE"""),FALSE)</f>
        <v>0</v>
      </c>
      <c r="H588" s="11"/>
      <c r="I588" s="11">
        <f>IFERROR(__xludf.DUMMYFUNCTION("""COMPUTED_VALUE"""),1.0)</f>
        <v>1</v>
      </c>
      <c r="J588" s="11">
        <f>IFERROR(__xludf.DUMMYFUNCTION("""COMPUTED_VALUE"""),0.0)</f>
        <v>0</v>
      </c>
      <c r="K588" s="11">
        <f>IFERROR(__xludf.DUMMYFUNCTION("""COMPUTED_VALUE"""),2.0)</f>
        <v>2</v>
      </c>
      <c r="L588" s="11"/>
    </row>
    <row r="589" ht="15.75" customHeight="1">
      <c r="A589" s="8" t="str">
        <f>IFERROR(__xludf.DUMMYFUNCTION("""COMPUTED_VALUE"""),"https://scopicstudios.com/blog/top-performance-marketing-agencies/")</f>
        <v>https://scopicstudios.com/blog/top-performance-marketing-agencies/</v>
      </c>
      <c r="B589" s="11" t="str">
        <f>IFERROR(__xludf.DUMMYFUNCTION("""COMPUTED_VALUE"""),"Top 10 Performance Marketing Agencies for ROI in 2025")</f>
        <v>Top 10 Performance Marketing Agencies for ROI in 2025</v>
      </c>
      <c r="C589" s="8" t="str">
        <f>IFERROR(__xludf.DUMMYFUNCTION("""COMPUTED_VALUE"""),"scopicstudios.com")</f>
        <v>scopicstudios.com</v>
      </c>
      <c r="D589" s="11" t="str">
        <f>IFERROR(__xludf.DUMMYFUNCTION("""COMPUTED_VALUE"""),"LISTICLE")</f>
        <v>LISTICLE</v>
      </c>
      <c r="E589" s="11" t="str">
        <f>IFERROR(__xludf.DUMMYFUNCTION("""COMPUTED_VALUE"""),"CORPORATE")</f>
        <v>CORPORATE</v>
      </c>
      <c r="F589" s="11" t="str">
        <f>IFERROR(__xludf.DUMMYFUNCTION("""COMPUTED_VALUE"""),"Listicle")</f>
        <v>Listicle</v>
      </c>
      <c r="G589" s="11" t="b">
        <f>IFERROR(__xludf.DUMMYFUNCTION("""COMPUTED_VALUE"""),FALSE)</f>
        <v>0</v>
      </c>
      <c r="H589" s="11" t="str">
        <f>IFERROR(__xludf.DUMMYFUNCTION("""COMPUTED_VALUE"""),"Measured")</f>
        <v>Measured</v>
      </c>
      <c r="I589" s="11">
        <f>IFERROR(__xludf.DUMMYFUNCTION("""COMPUTED_VALUE"""),1.0)</f>
        <v>1</v>
      </c>
      <c r="J589" s="11">
        <f>IFERROR(__xludf.DUMMYFUNCTION("""COMPUTED_VALUE"""),0.0)</f>
        <v>0</v>
      </c>
      <c r="K589" s="11">
        <f>IFERROR(__xludf.DUMMYFUNCTION("""COMPUTED_VALUE"""),0.0)</f>
        <v>0</v>
      </c>
      <c r="L589" s="11"/>
    </row>
    <row r="590" ht="15.75" customHeight="1">
      <c r="A590" s="8" t="str">
        <f>IFERROR(__xludf.DUMMYFUNCTION("""COMPUTED_VALUE"""),"https://www.searchbloom.com/strategy/best-ai-seo-agency-companies-services-usa/")</f>
        <v>https://www.searchbloom.com/strategy/best-ai-seo-agency-companies-services-usa/</v>
      </c>
      <c r="B590" s="11" t="str">
        <f>IFERROR(__xludf.DUMMYFUNCTION("""COMPUTED_VALUE"""),"Best AI SEO Companies + Services in the US 2026 (AEO/GEO) - Best AEO Agencies in USA")</f>
        <v>Best AI SEO Companies + Services in the US 2026 (AEO/GEO) - Best AEO Agencies in USA</v>
      </c>
      <c r="C590" s="8" t="str">
        <f>IFERROR(__xludf.DUMMYFUNCTION("""COMPUTED_VALUE"""),"searchbloom.com")</f>
        <v>searchbloom.com</v>
      </c>
      <c r="D590" s="11" t="str">
        <f>IFERROR(__xludf.DUMMYFUNCTION("""COMPUTED_VALUE"""),"LISTICLE")</f>
        <v>LISTICLE</v>
      </c>
      <c r="E590" s="11" t="str">
        <f>IFERROR(__xludf.DUMMYFUNCTION("""COMPUTED_VALUE"""),"CORPORATE")</f>
        <v>CORPORATE</v>
      </c>
      <c r="F590" s="11" t="str">
        <f>IFERROR(__xludf.DUMMYFUNCTION("""COMPUTED_VALUE"""),"Listicle")</f>
        <v>Listicle</v>
      </c>
      <c r="G590" s="11" t="b">
        <f>IFERROR(__xludf.DUMMYFUNCTION("""COMPUTED_VALUE"""),FALSE)</f>
        <v>0</v>
      </c>
      <c r="H590" s="11" t="str">
        <f>IFERROR(__xludf.DUMMYFUNCTION("""COMPUTED_VALUE"""),"Tinuiti, Omniscient Digital, iPullRank, Single Grain, Siege Media")</f>
        <v>Tinuiti, Omniscient Digital, iPullRank, Single Grain, Siege Media</v>
      </c>
      <c r="I590" s="11">
        <f>IFERROR(__xludf.DUMMYFUNCTION("""COMPUTED_VALUE"""),1.0)</f>
        <v>1</v>
      </c>
      <c r="J590" s="11">
        <f>IFERROR(__xludf.DUMMYFUNCTION("""COMPUTED_VALUE"""),0.0)</f>
        <v>0</v>
      </c>
      <c r="K590" s="11">
        <f>IFERROR(__xludf.DUMMYFUNCTION("""COMPUTED_VALUE"""),4.0)</f>
        <v>4</v>
      </c>
      <c r="L590" s="11"/>
    </row>
    <row r="591" ht="15.75" customHeight="1">
      <c r="A591" s="8" t="str">
        <f>IFERROR(__xludf.DUMMYFUNCTION("""COMPUTED_VALUE"""),"https://www.secureleap.tech/blog/best-penetration-testing-companies-europe-startups")</f>
        <v>https://www.secureleap.tech/blog/best-penetration-testing-companies-europe-startups</v>
      </c>
      <c r="B591" s="11" t="str">
        <f>IFERROR(__xludf.DUMMYFUNCTION("""COMPUTED_VALUE"""),"Best Penetration Testing Companies in Europe for Startups (2026)")</f>
        <v>Best Penetration Testing Companies in Europe for Startups (2026)</v>
      </c>
      <c r="C591" s="11" t="str">
        <f>IFERROR(__xludf.DUMMYFUNCTION("""COMPUTED_VALUE"""),"secureleap.tech")</f>
        <v>secureleap.tech</v>
      </c>
      <c r="D591" s="11" t="str">
        <f>IFERROR(__xludf.DUMMYFUNCTION("""COMPUTED_VALUE"""),"LISTICLE")</f>
        <v>LISTICLE</v>
      </c>
      <c r="E591" s="11" t="str">
        <f>IFERROR(__xludf.DUMMYFUNCTION("""COMPUTED_VALUE"""),"CORPORATE")</f>
        <v>CORPORATE</v>
      </c>
      <c r="F591" s="11" t="str">
        <f>IFERROR(__xludf.DUMMYFUNCTION("""COMPUTED_VALUE"""),"Listicle")</f>
        <v>Listicle</v>
      </c>
      <c r="G591" s="11" t="b">
        <f>IFERROR(__xludf.DUMMYFUNCTION("""COMPUTED_VALUE"""),FALSE)</f>
        <v>0</v>
      </c>
      <c r="H591" s="11"/>
      <c r="I591" s="11">
        <f>IFERROR(__xludf.DUMMYFUNCTION("""COMPUTED_VALUE"""),1.0)</f>
        <v>1</v>
      </c>
      <c r="J591" s="11">
        <f>IFERROR(__xludf.DUMMYFUNCTION("""COMPUTED_VALUE"""),0.0)</f>
        <v>0</v>
      </c>
      <c r="K591" s="11">
        <f>IFERROR(__xludf.DUMMYFUNCTION("""COMPUTED_VALUE"""),1.0)</f>
        <v>1</v>
      </c>
      <c r="L591" s="11"/>
    </row>
    <row r="592" ht="15.75" customHeight="1">
      <c r="A592" s="8" t="str">
        <f>IFERROR(__xludf.DUMMYFUNCTION("""COMPUTED_VALUE"""),"https://seeders.com/blog/10-best-link-building-agencies-in-germany-2026-ranked/")</f>
        <v>https://seeders.com/blog/10-best-link-building-agencies-in-germany-2026-ranked/</v>
      </c>
      <c r="B592" s="11" t="str">
        <f>IFERROR(__xludf.DUMMYFUNCTION("""COMPUTED_VALUE"""),"10 best link building agencies in Germany [2026 ranked] | Seeders")</f>
        <v>10 best link building agencies in Germany [2026 ranked] | Seeders</v>
      </c>
      <c r="C592" s="8" t="str">
        <f>IFERROR(__xludf.DUMMYFUNCTION("""COMPUTED_VALUE"""),"seeders.com")</f>
        <v>seeders.com</v>
      </c>
      <c r="D592" s="11" t="str">
        <f>IFERROR(__xludf.DUMMYFUNCTION("""COMPUTED_VALUE"""),"LISTICLE")</f>
        <v>LISTICLE</v>
      </c>
      <c r="E592" s="11" t="str">
        <f>IFERROR(__xludf.DUMMYFUNCTION("""COMPUTED_VALUE"""),"COMPETITOR")</f>
        <v>COMPETITOR</v>
      </c>
      <c r="F592" s="11" t="str">
        <f>IFERROR(__xludf.DUMMYFUNCTION("""COMPUTED_VALUE"""),"Listicle")</f>
        <v>Listicle</v>
      </c>
      <c r="G592" s="11" t="b">
        <f>IFERROR(__xludf.DUMMYFUNCTION("""COMPUTED_VALUE"""),FALSE)</f>
        <v>0</v>
      </c>
      <c r="H592" s="11" t="str">
        <f>IFERROR(__xludf.DUMMYFUNCTION("""COMPUTED_VALUE"""),"Seeders, Peak Ace, Claneo, Löwenstark, Suchhelden")</f>
        <v>Seeders, Peak Ace, Claneo, Löwenstark, Suchhelden</v>
      </c>
      <c r="I592" s="11">
        <f>IFERROR(__xludf.DUMMYFUNCTION("""COMPUTED_VALUE"""),1.0)</f>
        <v>1</v>
      </c>
      <c r="J592" s="11">
        <f>IFERROR(__xludf.DUMMYFUNCTION("""COMPUTED_VALUE"""),0.0)</f>
        <v>0</v>
      </c>
      <c r="K592" s="11">
        <f>IFERROR(__xludf.DUMMYFUNCTION("""COMPUTED_VALUE"""),1.0)</f>
        <v>1</v>
      </c>
      <c r="L592" s="11"/>
    </row>
    <row r="593" ht="15.75" customHeight="1">
      <c r="A593" s="8" t="str">
        <f>IFERROR(__xludf.DUMMYFUNCTION("""COMPUTED_VALUE"""),"https://segmentstream.com/blog/articles/northbeam-alternatives")</f>
        <v>https://segmentstream.com/blog/articles/northbeam-alternatives</v>
      </c>
      <c r="B593" s="11" t="str">
        <f>IFERROR(__xludf.DUMMYFUNCTION("""COMPUTED_VALUE"""),"10 Best Northbeam Alternatives for DTC Attribution in 2026 — SegmentStream")</f>
        <v>10 Best Northbeam Alternatives for DTC Attribution in 2026 — SegmentStream</v>
      </c>
      <c r="C593" s="8" t="str">
        <f>IFERROR(__xludf.DUMMYFUNCTION("""COMPUTED_VALUE"""),"segmentstream.com")</f>
        <v>segmentstream.com</v>
      </c>
      <c r="D593" s="11" t="str">
        <f>IFERROR(__xludf.DUMMYFUNCTION("""COMPUTED_VALUE"""),"ALTERNATIVE")</f>
        <v>ALTERNATIVE</v>
      </c>
      <c r="E593" s="11" t="str">
        <f>IFERROR(__xludf.DUMMYFUNCTION("""COMPUTED_VALUE"""),"COMPETITOR")</f>
        <v>COMPETITOR</v>
      </c>
      <c r="F593" s="11" t="str">
        <f>IFERROR(__xludf.DUMMYFUNCTION("""COMPUTED_VALUE"""),"Alternative")</f>
        <v>Alternative</v>
      </c>
      <c r="G593" s="11" t="b">
        <f>IFERROR(__xludf.DUMMYFUNCTION("""COMPUTED_VALUE"""),FALSE)</f>
        <v>0</v>
      </c>
      <c r="H593" s="11" t="str">
        <f>IFERROR(__xludf.DUMMYFUNCTION("""COMPUTED_VALUE"""),"SegmentStream, Northbeam, Triple Whale, Rockerbox, Cometly, Measured, Momentum")</f>
        <v>SegmentStream, Northbeam, Triple Whale, Rockerbox, Cometly, Measured, Momentum</v>
      </c>
      <c r="I593" s="11">
        <f>IFERROR(__xludf.DUMMYFUNCTION("""COMPUTED_VALUE"""),1.0)</f>
        <v>1</v>
      </c>
      <c r="J593" s="11">
        <f>IFERROR(__xludf.DUMMYFUNCTION("""COMPUTED_VALUE"""),0.0)</f>
        <v>0</v>
      </c>
      <c r="K593" s="11">
        <f>IFERROR(__xludf.DUMMYFUNCTION("""COMPUTED_VALUE"""),1.0)</f>
        <v>1</v>
      </c>
      <c r="L593" s="11"/>
    </row>
    <row r="594" ht="15.75" customHeight="1">
      <c r="A594" s="8" t="str">
        <f>IFERROR(__xludf.DUMMYFUNCTION("""COMPUTED_VALUE"""),"https://sellforte.com/blog/real-time-mmm-tools-ecommerce")</f>
        <v>https://sellforte.com/blog/real-time-mmm-tools-ecommerce</v>
      </c>
      <c r="B594" s="11" t="str">
        <f>IFERROR(__xludf.DUMMYFUNCTION("""COMPUTED_VALUE"""),"Best Real-Time MMM Tools for Ecommerce Brands: Software That Delivers Instant Marketing Insights")</f>
        <v>Best Real-Time MMM Tools for Ecommerce Brands: Software That Delivers Instant Marketing Insights</v>
      </c>
      <c r="C594" s="8" t="str">
        <f>IFERROR(__xludf.DUMMYFUNCTION("""COMPUTED_VALUE"""),"sellforte.com")</f>
        <v>sellforte.com</v>
      </c>
      <c r="D594" s="11" t="str">
        <f>IFERROR(__xludf.DUMMYFUNCTION("""COMPUTED_VALUE"""),"LISTICLE")</f>
        <v>LISTICLE</v>
      </c>
      <c r="E594" s="11" t="str">
        <f>IFERROR(__xludf.DUMMYFUNCTION("""COMPUTED_VALUE"""),"COMPETITOR")</f>
        <v>COMPETITOR</v>
      </c>
      <c r="F594" s="11" t="str">
        <f>IFERROR(__xludf.DUMMYFUNCTION("""COMPUTED_VALUE"""),"Listicle")</f>
        <v>Listicle</v>
      </c>
      <c r="G594" s="11" t="b">
        <f>IFERROR(__xludf.DUMMYFUNCTION("""COMPUTED_VALUE"""),FALSE)</f>
        <v>0</v>
      </c>
      <c r="H594" s="11" t="str">
        <f>IFERROR(__xludf.DUMMYFUNCTION("""COMPUTED_VALUE"""),"Sellforte, Triple Whale, Measured, Recast, Northbeam, Pilot, Boston Consulting Group")</f>
        <v>Sellforte, Triple Whale, Measured, Recast, Northbeam, Pilot, Boston Consulting Group</v>
      </c>
      <c r="I594" s="11">
        <f>IFERROR(__xludf.DUMMYFUNCTION("""COMPUTED_VALUE"""),1.0)</f>
        <v>1</v>
      </c>
      <c r="J594" s="11">
        <f>IFERROR(__xludf.DUMMYFUNCTION("""COMPUTED_VALUE"""),0.0)</f>
        <v>0</v>
      </c>
      <c r="K594" s="11">
        <f>IFERROR(__xludf.DUMMYFUNCTION("""COMPUTED_VALUE"""),2.0)</f>
        <v>2</v>
      </c>
      <c r="L594" s="11"/>
    </row>
    <row r="595" ht="15.75" customHeight="1">
      <c r="A595" s="8" t="str">
        <f>IFERROR(__xludf.DUMMYFUNCTION("""COMPUTED_VALUE"""),"https://semnexus.com/the-top-10-aeo-agencies-in-2026-dominating-ai-search")</f>
        <v>https://semnexus.com/the-top-10-aeo-agencies-in-2026-dominating-ai-search</v>
      </c>
      <c r="B595" s="11" t="str">
        <f>IFERROR(__xludf.DUMMYFUNCTION("""COMPUTED_VALUE"""),"The Top 10 AEO Agencies in 2026: Dominating AI Search | SEM Nexus")</f>
        <v>The Top 10 AEO Agencies in 2026: Dominating AI Search | SEM Nexus</v>
      </c>
      <c r="C595" s="8" t="str">
        <f>IFERROR(__xludf.DUMMYFUNCTION("""COMPUTED_VALUE"""),"semnexus.com")</f>
        <v>semnexus.com</v>
      </c>
      <c r="D595" s="11" t="str">
        <f>IFERROR(__xludf.DUMMYFUNCTION("""COMPUTED_VALUE"""),"LISTICLE")</f>
        <v>LISTICLE</v>
      </c>
      <c r="E595" s="11" t="str">
        <f>IFERROR(__xludf.DUMMYFUNCTION("""COMPUTED_VALUE"""),"OTHER")</f>
        <v>OTHER</v>
      </c>
      <c r="F595" s="11" t="str">
        <f>IFERROR(__xludf.DUMMYFUNCTION("""COMPUTED_VALUE"""),"Listicle")</f>
        <v>Listicle</v>
      </c>
      <c r="G595" s="11" t="b">
        <f>IFERROR(__xludf.DUMMYFUNCTION("""COMPUTED_VALUE"""),FALSE)</f>
        <v>0</v>
      </c>
      <c r="H595" s="11" t="str">
        <f>IFERROR(__xludf.DUMMYFUNCTION("""COMPUTED_VALUE"""),"WebFX, Directive Consulting, Brainlabs, Siege Media")</f>
        <v>WebFX, Directive Consulting, Brainlabs, Siege Media</v>
      </c>
      <c r="I595" s="11">
        <f>IFERROR(__xludf.DUMMYFUNCTION("""COMPUTED_VALUE"""),1.0)</f>
        <v>1</v>
      </c>
      <c r="J595" s="11">
        <f>IFERROR(__xludf.DUMMYFUNCTION("""COMPUTED_VALUE"""),0.0)</f>
        <v>0</v>
      </c>
      <c r="K595" s="11">
        <f>IFERROR(__xludf.DUMMYFUNCTION("""COMPUTED_VALUE"""),0.0)</f>
        <v>0</v>
      </c>
      <c r="L595" s="11"/>
    </row>
    <row r="596" ht="15.75" customHeight="1">
      <c r="A596" s="8" t="str">
        <f>IFERROR(__xludf.DUMMYFUNCTION("""COMPUTED_VALUE"""),"https://www.seoworks.com/lists/the-20-best-geo-agencies/")</f>
        <v>https://www.seoworks.com/lists/the-20-best-geo-agencies/</v>
      </c>
      <c r="B596" s="11" t="str">
        <f>IFERROR(__xludf.DUMMYFUNCTION("""COMPUTED_VALUE"""),"20 Best GEO Agencies (2026) | The SEO Works")</f>
        <v>20 Best GEO Agencies (2026) | The SEO Works</v>
      </c>
      <c r="C596" s="8" t="str">
        <f>IFERROR(__xludf.DUMMYFUNCTION("""COMPUTED_VALUE"""),"seoworks.com")</f>
        <v>seoworks.com</v>
      </c>
      <c r="D596" s="11" t="str">
        <f>IFERROR(__xludf.DUMMYFUNCTION("""COMPUTED_VALUE"""),"LISTICLE")</f>
        <v>LISTICLE</v>
      </c>
      <c r="E596" s="11" t="str">
        <f>IFERROR(__xludf.DUMMYFUNCTION("""COMPUTED_VALUE"""),"CORPORATE")</f>
        <v>CORPORATE</v>
      </c>
      <c r="F596" s="11" t="str">
        <f>IFERROR(__xludf.DUMMYFUNCTION("""COMPUTED_VALUE"""),"Listicle")</f>
        <v>Listicle</v>
      </c>
      <c r="G596" s="11" t="b">
        <f>IFERROR(__xludf.DUMMYFUNCTION("""COMPUTED_VALUE"""),FALSE)</f>
        <v>0</v>
      </c>
      <c r="H596" s="11" t="str">
        <f>IFERROR(__xludf.DUMMYFUNCTION("""COMPUTED_VALUE"""),"Omniscient Digital, Pilot")</f>
        <v>Omniscient Digital, Pilot</v>
      </c>
      <c r="I596" s="11">
        <f>IFERROR(__xludf.DUMMYFUNCTION("""COMPUTED_VALUE"""),1.0)</f>
        <v>1</v>
      </c>
      <c r="J596" s="11">
        <f>IFERROR(__xludf.DUMMYFUNCTION("""COMPUTED_VALUE"""),0.0)</f>
        <v>0</v>
      </c>
      <c r="K596" s="11">
        <f>IFERROR(__xludf.DUMMYFUNCTION("""COMPUTED_VALUE"""),0.0)</f>
        <v>0</v>
      </c>
      <c r="L596" s="11"/>
    </row>
    <row r="597" ht="15.75" customHeight="1">
      <c r="A597" s="8" t="str">
        <f>IFERROR(__xludf.DUMMYFUNCTION("""COMPUTED_VALUE"""),"https://www.siegemedia.com/strategy/best-content-marketing-agencies")</f>
        <v>https://www.siegemedia.com/strategy/best-content-marketing-agencies</v>
      </c>
      <c r="B597" s="11" t="str">
        <f>IFERROR(__xludf.DUMMYFUNCTION("""COMPUTED_VALUE"""),"The 13 Best Content Marketing Agencies in 2026")</f>
        <v>The 13 Best Content Marketing Agencies in 2026</v>
      </c>
      <c r="C597" s="8" t="str">
        <f>IFERROR(__xludf.DUMMYFUNCTION("""COMPUTED_VALUE"""),"siegemedia.com")</f>
        <v>siegemedia.com</v>
      </c>
      <c r="D597" s="11" t="str">
        <f>IFERROR(__xludf.DUMMYFUNCTION("""COMPUTED_VALUE"""),"LISTICLE")</f>
        <v>LISTICLE</v>
      </c>
      <c r="E597" s="11" t="str">
        <f>IFERROR(__xludf.DUMMYFUNCTION("""COMPUTED_VALUE"""),"COMPETITOR")</f>
        <v>COMPETITOR</v>
      </c>
      <c r="F597" s="11" t="str">
        <f>IFERROR(__xludf.DUMMYFUNCTION("""COMPUTED_VALUE"""),"Listicle")</f>
        <v>Listicle</v>
      </c>
      <c r="G597" s="11" t="b">
        <f>IFERROR(__xludf.DUMMYFUNCTION("""COMPUTED_VALUE"""),FALSE)</f>
        <v>0</v>
      </c>
      <c r="H597" s="11" t="str">
        <f>IFERROR(__xludf.DUMMYFUNCTION("""COMPUTED_VALUE"""),"Siege Media, Power Digital, Single Grain, McKinsey &amp; Company")</f>
        <v>Siege Media, Power Digital, Single Grain, McKinsey &amp; Company</v>
      </c>
      <c r="I597" s="11">
        <f>IFERROR(__xludf.DUMMYFUNCTION("""COMPUTED_VALUE"""),1.0)</f>
        <v>1</v>
      </c>
      <c r="J597" s="11">
        <f>IFERROR(__xludf.DUMMYFUNCTION("""COMPUTED_VALUE"""),0.0)</f>
        <v>0</v>
      </c>
      <c r="K597" s="11">
        <f>IFERROR(__xludf.DUMMYFUNCTION("""COMPUTED_VALUE"""),0.0)</f>
        <v>0</v>
      </c>
      <c r="L597" s="11"/>
    </row>
    <row r="598" ht="15.75" customHeight="1">
      <c r="A598" s="8" t="str">
        <f>IFERROR(__xludf.DUMMYFUNCTION("""COMPUTED_VALUE"""),"https://www.singlegrain.com/artificial-intelligence/top-14-ai-marketing-agencies-in-2025/")</f>
        <v>https://www.singlegrain.com/artificial-intelligence/top-14-ai-marketing-agencies-in-2025/</v>
      </c>
      <c r="B598" s="11" t="str">
        <f>IFERROR(__xludf.DUMMYFUNCTION("""COMPUTED_VALUE"""),"Top 14 AI Marketing Agencies in 2025: Expert Analysis &amp;amp; Rankings")</f>
        <v>Top 14 AI Marketing Agencies in 2025: Expert Analysis &amp;amp; Rankings</v>
      </c>
      <c r="C598" s="8" t="str">
        <f>IFERROR(__xludf.DUMMYFUNCTION("""COMPUTED_VALUE"""),"singlegrain.com")</f>
        <v>singlegrain.com</v>
      </c>
      <c r="D598" s="11" t="str">
        <f>IFERROR(__xludf.DUMMYFUNCTION("""COMPUTED_VALUE"""),"LISTICLE")</f>
        <v>LISTICLE</v>
      </c>
      <c r="E598" s="11" t="str">
        <f>IFERROR(__xludf.DUMMYFUNCTION("""COMPUTED_VALUE"""),"COMPETITOR")</f>
        <v>COMPETITOR</v>
      </c>
      <c r="F598" s="11" t="str">
        <f>IFERROR(__xludf.DUMMYFUNCTION("""COMPUTED_VALUE"""),"Listicle")</f>
        <v>Listicle</v>
      </c>
      <c r="G598" s="11" t="b">
        <f>IFERROR(__xludf.DUMMYFUNCTION("""COMPUTED_VALUE"""),FALSE)</f>
        <v>0</v>
      </c>
      <c r="H598" s="11" t="str">
        <f>IFERROR(__xludf.DUMMYFUNCTION("""COMPUTED_VALUE"""),"Single Grain, Superside, Pilot")</f>
        <v>Single Grain, Superside, Pilot</v>
      </c>
      <c r="I598" s="11">
        <f>IFERROR(__xludf.DUMMYFUNCTION("""COMPUTED_VALUE"""),1.0)</f>
        <v>1</v>
      </c>
      <c r="J598" s="11">
        <f>IFERROR(__xludf.DUMMYFUNCTION("""COMPUTED_VALUE"""),0.0)</f>
        <v>0</v>
      </c>
      <c r="K598" s="11">
        <f>IFERROR(__xludf.DUMMYFUNCTION("""COMPUTED_VALUE"""),0.0)</f>
        <v>0</v>
      </c>
      <c r="L598" s="11"/>
    </row>
    <row r="599" ht="15.75" customHeight="1">
      <c r="A599" s="8" t="str">
        <f>IFERROR(__xludf.DUMMYFUNCTION("""COMPUTED_VALUE"""),"https://www.sixpathsconsulting.com/top-ai-consulting-companies/")</f>
        <v>https://www.sixpathsconsulting.com/top-ai-consulting-companies/</v>
      </c>
      <c r="B599" s="11" t="str">
        <f>IFERROR(__xludf.DUMMYFUNCTION("""COMPUTED_VALUE"""),"Top 7 AI Consulting Companies to Watch in 2026 - Six Paths Consulting")</f>
        <v>Top 7 AI Consulting Companies to Watch in 2026 - Six Paths Consulting</v>
      </c>
      <c r="C599" s="8" t="str">
        <f>IFERROR(__xludf.DUMMYFUNCTION("""COMPUTED_VALUE"""),"sixpathsconsulting.com")</f>
        <v>sixpathsconsulting.com</v>
      </c>
      <c r="D599" s="11" t="str">
        <f>IFERROR(__xludf.DUMMYFUNCTION("""COMPUTED_VALUE"""),"LISTICLE")</f>
        <v>LISTICLE</v>
      </c>
      <c r="E599" s="11" t="str">
        <f>IFERROR(__xludf.DUMMYFUNCTION("""COMPUTED_VALUE"""),"CORPORATE")</f>
        <v>CORPORATE</v>
      </c>
      <c r="F599" s="11" t="str">
        <f>IFERROR(__xludf.DUMMYFUNCTION("""COMPUTED_VALUE"""),"Listicle")</f>
        <v>Listicle</v>
      </c>
      <c r="G599" s="11" t="b">
        <f>IFERROR(__xludf.DUMMYFUNCTION("""COMPUTED_VALUE"""),FALSE)</f>
        <v>0</v>
      </c>
      <c r="H599" s="11" t="str">
        <f>IFERROR(__xludf.DUMMYFUNCTION("""COMPUTED_VALUE"""),"Pilot")</f>
        <v>Pilot</v>
      </c>
      <c r="I599" s="11">
        <f>IFERROR(__xludf.DUMMYFUNCTION("""COMPUTED_VALUE"""),1.0)</f>
        <v>1</v>
      </c>
      <c r="J599" s="11">
        <f>IFERROR(__xludf.DUMMYFUNCTION("""COMPUTED_VALUE"""),0.0)</f>
        <v>0</v>
      </c>
      <c r="K599" s="11">
        <f>IFERROR(__xludf.DUMMYFUNCTION("""COMPUTED_VALUE"""),0.0)</f>
        <v>0</v>
      </c>
      <c r="L599" s="11"/>
    </row>
    <row r="600" ht="15.75" customHeight="1">
      <c r="A600" s="8" t="str">
        <f>IFERROR(__xludf.DUMMYFUNCTION("""COMPUTED_VALUE"""),"https://socialsamurai.de/blog/top-marketing-branding-agenturen-deutschlands/")</f>
        <v>https://socialsamurai.de/blog/top-marketing-branding-agenturen-deutschlands/</v>
      </c>
      <c r="B600" s="11" t="str">
        <f>IFERROR(__xludf.DUMMYFUNCTION("""COMPUTED_VALUE"""),"Top Marketing &amp;amp; Branding Agenturen Deutschlands | socialsamurai")</f>
        <v>Top Marketing &amp;amp; Branding Agenturen Deutschlands | socialsamurai</v>
      </c>
      <c r="C600" s="8" t="str">
        <f>IFERROR(__xludf.DUMMYFUNCTION("""COMPUTED_VALUE"""),"socialsamurai.de")</f>
        <v>socialsamurai.de</v>
      </c>
      <c r="D600" s="11" t="str">
        <f>IFERROR(__xludf.DUMMYFUNCTION("""COMPUTED_VALUE"""),"LISTICLE")</f>
        <v>LISTICLE</v>
      </c>
      <c r="E600" s="11" t="str">
        <f>IFERROR(__xludf.DUMMYFUNCTION("""COMPUTED_VALUE"""),"CORPORATE")</f>
        <v>CORPORATE</v>
      </c>
      <c r="F600" s="11" t="str">
        <f>IFERROR(__xludf.DUMMYFUNCTION("""COMPUTED_VALUE"""),"Listicle")</f>
        <v>Listicle</v>
      </c>
      <c r="G600" s="11" t="b">
        <f>IFERROR(__xludf.DUMMYFUNCTION("""COMPUTED_VALUE"""),FALSE)</f>
        <v>0</v>
      </c>
      <c r="H600" s="11" t="str">
        <f>IFERROR(__xludf.DUMMYFUNCTION("""COMPUTED_VALUE"""),"Serviceplan Group, Jung von Matt, Scholz &amp; Friends, Ogilvy, DDB Germany, Accenture Song, DEPT")</f>
        <v>Serviceplan Group, Jung von Matt, Scholz &amp; Friends, Ogilvy, DDB Germany, Accenture Song, DEPT</v>
      </c>
      <c r="I600" s="11">
        <f>IFERROR(__xludf.DUMMYFUNCTION("""COMPUTED_VALUE"""),1.0)</f>
        <v>1</v>
      </c>
      <c r="J600" s="11">
        <f>IFERROR(__xludf.DUMMYFUNCTION("""COMPUTED_VALUE"""),0.0)</f>
        <v>0</v>
      </c>
      <c r="K600" s="11">
        <f>IFERROR(__xludf.DUMMYFUNCTION("""COMPUTED_VALUE"""),0.0)</f>
        <v>0</v>
      </c>
      <c r="L600" s="11"/>
    </row>
    <row r="601" ht="15.75" customHeight="1">
      <c r="A601" s="8" t="str">
        <f>IFERROR(__xludf.DUMMYFUNCTION("""COMPUTED_VALUE"""),"https://www.soenkesproll.de/blog/die-besten-social-media-agenturen")</f>
        <v>https://www.soenkesproll.de/blog/die-besten-social-media-agenturen</v>
      </c>
      <c r="B601" s="11" t="str">
        <f>IFERROR(__xludf.DUMMYFUNCTION("""COMPUTED_VALUE"""),"Top 5 Social Media Agenturen in Deutschland 2026 | Sönke Sproll")</f>
        <v>Top 5 Social Media Agenturen in Deutschland 2026 | Sönke Sproll</v>
      </c>
      <c r="C601" s="8" t="str">
        <f>IFERROR(__xludf.DUMMYFUNCTION("""COMPUTED_VALUE"""),"soenkesproll.de")</f>
        <v>soenkesproll.de</v>
      </c>
      <c r="D601" s="11" t="str">
        <f>IFERROR(__xludf.DUMMYFUNCTION("""COMPUTED_VALUE"""),"LISTICLE")</f>
        <v>LISTICLE</v>
      </c>
      <c r="E601" s="11" t="str">
        <f>IFERROR(__xludf.DUMMYFUNCTION("""COMPUTED_VALUE"""),"CORPORATE")</f>
        <v>CORPORATE</v>
      </c>
      <c r="F601" s="11" t="str">
        <f>IFERROR(__xludf.DUMMYFUNCTION("""COMPUTED_VALUE"""),"Listicle")</f>
        <v>Listicle</v>
      </c>
      <c r="G601" s="11" t="b">
        <f>IFERROR(__xludf.DUMMYFUNCTION("""COMPUTED_VALUE"""),FALSE)</f>
        <v>0</v>
      </c>
      <c r="H601" s="11" t="str">
        <f>IFERROR(__xludf.DUMMYFUNCTION("""COMPUTED_VALUE"""),"Mawave")</f>
        <v>Mawave</v>
      </c>
      <c r="I601" s="11">
        <f>IFERROR(__xludf.DUMMYFUNCTION("""COMPUTED_VALUE"""),1.0)</f>
        <v>1</v>
      </c>
      <c r="J601" s="11">
        <f>IFERROR(__xludf.DUMMYFUNCTION("""COMPUTED_VALUE"""),0.0)</f>
        <v>0</v>
      </c>
      <c r="K601" s="11">
        <f>IFERROR(__xludf.DUMMYFUNCTION("""COMPUTED_VALUE"""),0.0)</f>
        <v>0</v>
      </c>
      <c r="L601" s="11"/>
    </row>
    <row r="602" ht="15.75" customHeight="1">
      <c r="A602" s="8" t="str">
        <f>IFERROR(__xludf.DUMMYFUNCTION("""COMPUTED_VALUE"""),"https://www.softwareadvice.com/marketing-attribution/")</f>
        <v>https://www.softwareadvice.com/marketing-attribution/</v>
      </c>
      <c r="B602" s="11" t="str">
        <f>IFERROR(__xludf.DUMMYFUNCTION("""COMPUTED_VALUE"""),"Best Marketing Attribution Software - 2026 Reviews &amp;amp; Pricing")</f>
        <v>Best Marketing Attribution Software - 2026 Reviews &amp;amp; Pricing</v>
      </c>
      <c r="C602" s="8" t="str">
        <f>IFERROR(__xludf.DUMMYFUNCTION("""COMPUTED_VALUE"""),"softwareadvice.com")</f>
        <v>softwareadvice.com</v>
      </c>
      <c r="D602" s="11" t="str">
        <f>IFERROR(__xludf.DUMMYFUNCTION("""COMPUTED_VALUE"""),"OTHER")</f>
        <v>OTHER</v>
      </c>
      <c r="E602" s="11" t="str">
        <f>IFERROR(__xludf.DUMMYFUNCTION("""COMPUTED_VALUE"""),"REFERENCE")</f>
        <v>REFERENCE</v>
      </c>
      <c r="F602" s="11" t="str">
        <f>IFERROR(__xludf.DUMMYFUNCTION("""COMPUTED_VALUE"""),"Other")</f>
        <v>Other</v>
      </c>
      <c r="G602" s="11" t="b">
        <f>IFERROR(__xludf.DUMMYFUNCTION("""COMPUTED_VALUE"""),FALSE)</f>
        <v>0</v>
      </c>
      <c r="H602" s="11" t="str">
        <f>IFERROR(__xludf.DUMMYFUNCTION("""COMPUTED_VALUE"""),"Dreamdata, Measured")</f>
        <v>Dreamdata, Measured</v>
      </c>
      <c r="I602" s="11">
        <f>IFERROR(__xludf.DUMMYFUNCTION("""COMPUTED_VALUE"""),1.0)</f>
        <v>1</v>
      </c>
      <c r="J602" s="11">
        <f>IFERROR(__xludf.DUMMYFUNCTION("""COMPUTED_VALUE"""),0.0)</f>
        <v>0</v>
      </c>
      <c r="K602" s="11">
        <f>IFERROR(__xludf.DUMMYFUNCTION("""COMPUTED_VALUE"""),0.0)</f>
        <v>0</v>
      </c>
      <c r="L602" s="11"/>
    </row>
    <row r="603" ht="15.75" customHeight="1">
      <c r="A603" s="8" t="str">
        <f>IFERROR(__xludf.DUMMYFUNCTION("""COMPUTED_VALUE"""),"https://www.sortlist.com/i/branding/germany-de")</f>
        <v>https://www.sortlist.com/i/branding/germany-de</v>
      </c>
      <c r="B603" s="11" t="str">
        <f>IFERROR(__xludf.DUMMYFUNCTION("""COMPUTED_VALUE"""),"The 10 Best Branding Agencies in Germany - 2026 Reviews")</f>
        <v>The 10 Best Branding Agencies in Germany - 2026 Reviews</v>
      </c>
      <c r="C603" s="8" t="str">
        <f>IFERROR(__xludf.DUMMYFUNCTION("""COMPUTED_VALUE"""),"sortlist.com")</f>
        <v>sortlist.com</v>
      </c>
      <c r="D603" s="11" t="str">
        <f>IFERROR(__xludf.DUMMYFUNCTION("""COMPUTED_VALUE"""),"CATEGORY_PAGE")</f>
        <v>CATEGORY_PAGE</v>
      </c>
      <c r="E603" s="11" t="str">
        <f>IFERROR(__xludf.DUMMYFUNCTION("""COMPUTED_VALUE"""),"CORPORATE")</f>
        <v>CORPORATE</v>
      </c>
      <c r="F603" s="11" t="str">
        <f>IFERROR(__xludf.DUMMYFUNCTION("""COMPUTED_VALUE"""),"Category Page")</f>
        <v>Category Page</v>
      </c>
      <c r="G603" s="11" t="b">
        <f>IFERROR(__xludf.DUMMYFUNCTION("""COMPUTED_VALUE"""),FALSE)</f>
        <v>0</v>
      </c>
      <c r="H603" s="11" t="str">
        <f>IFERROR(__xludf.DUMMYFUNCTION("""COMPUTED_VALUE"""),"lehof, Measured")</f>
        <v>lehof, Measured</v>
      </c>
      <c r="I603" s="11">
        <f>IFERROR(__xludf.DUMMYFUNCTION("""COMPUTED_VALUE"""),1.0)</f>
        <v>1</v>
      </c>
      <c r="J603" s="11">
        <f>IFERROR(__xludf.DUMMYFUNCTION("""COMPUTED_VALUE"""),0.0)</f>
        <v>0</v>
      </c>
      <c r="K603" s="11">
        <f>IFERROR(__xludf.DUMMYFUNCTION("""COMPUTED_VALUE"""),0.0)</f>
        <v>0</v>
      </c>
      <c r="L603" s="11"/>
    </row>
    <row r="604" ht="15.75" customHeight="1">
      <c r="A604" s="8" t="str">
        <f>IFERROR(__xludf.DUMMYFUNCTION("""COMPUTED_VALUE"""),"https://www.sortlist.com/i/s/big-data-analytics/germany-de")</f>
        <v>https://www.sortlist.com/i/s/big-data-analytics/germany-de</v>
      </c>
      <c r="B604" s="11" t="str">
        <f>IFERROR(__xludf.DUMMYFUNCTION("""COMPUTED_VALUE"""),"The 10 Best Big Data Analytics Companies in Germany - 2026 Reviews")</f>
        <v>The 10 Best Big Data Analytics Companies in Germany - 2026 Reviews</v>
      </c>
      <c r="C604" s="8" t="str">
        <f>IFERROR(__xludf.DUMMYFUNCTION("""COMPUTED_VALUE"""),"sortlist.com")</f>
        <v>sortlist.com</v>
      </c>
      <c r="D604" s="11" t="str">
        <f>IFERROR(__xludf.DUMMYFUNCTION("""COMPUTED_VALUE"""),"CATEGORY_PAGE")</f>
        <v>CATEGORY_PAGE</v>
      </c>
      <c r="E604" s="11" t="str">
        <f>IFERROR(__xludf.DUMMYFUNCTION("""COMPUTED_VALUE"""),"CORPORATE")</f>
        <v>CORPORATE</v>
      </c>
      <c r="F604" s="11" t="str">
        <f>IFERROR(__xludf.DUMMYFUNCTION("""COMPUTED_VALUE"""),"Category Page")</f>
        <v>Category Page</v>
      </c>
      <c r="G604" s="11" t="b">
        <f>IFERROR(__xludf.DUMMYFUNCTION("""COMPUTED_VALUE"""),FALSE)</f>
        <v>0</v>
      </c>
      <c r="H604" s="11"/>
      <c r="I604" s="11">
        <f>IFERROR(__xludf.DUMMYFUNCTION("""COMPUTED_VALUE"""),1.0)</f>
        <v>1</v>
      </c>
      <c r="J604" s="11">
        <f>IFERROR(__xludf.DUMMYFUNCTION("""COMPUTED_VALUE"""),0.0)</f>
        <v>0</v>
      </c>
      <c r="K604" s="11">
        <f>IFERROR(__xludf.DUMMYFUNCTION("""COMPUTED_VALUE"""),1.0)</f>
        <v>1</v>
      </c>
      <c r="L604" s="11"/>
    </row>
    <row r="605" ht="15.75" customHeight="1">
      <c r="A605" s="8" t="str">
        <f>IFERROR(__xludf.DUMMYFUNCTION("""COMPUTED_VALUE"""),"https://www.sortlist.com/i/s/linkedin-advertising/germany-de")</f>
        <v>https://www.sortlist.com/i/s/linkedin-advertising/germany-de</v>
      </c>
      <c r="B605" s="11" t="str">
        <f>IFERROR(__xludf.DUMMYFUNCTION("""COMPUTED_VALUE"""),"The 10 Best LinkedIn Ads Agencies in Germany - 2026 Reviews")</f>
        <v>The 10 Best LinkedIn Ads Agencies in Germany - 2026 Reviews</v>
      </c>
      <c r="C605" s="8" t="str">
        <f>IFERROR(__xludf.DUMMYFUNCTION("""COMPUTED_VALUE"""),"sortlist.com")</f>
        <v>sortlist.com</v>
      </c>
      <c r="D605" s="11" t="str">
        <f>IFERROR(__xludf.DUMMYFUNCTION("""COMPUTED_VALUE"""),"CATEGORY_PAGE")</f>
        <v>CATEGORY_PAGE</v>
      </c>
      <c r="E605" s="11" t="str">
        <f>IFERROR(__xludf.DUMMYFUNCTION("""COMPUTED_VALUE"""),"CORPORATE")</f>
        <v>CORPORATE</v>
      </c>
      <c r="F605" s="11" t="str">
        <f>IFERROR(__xludf.DUMMYFUNCTION("""COMPUTED_VALUE"""),"Category Page")</f>
        <v>Category Page</v>
      </c>
      <c r="G605" s="11" t="b">
        <f>IFERROR(__xludf.DUMMYFUNCTION("""COMPUTED_VALUE"""),FALSE)</f>
        <v>0</v>
      </c>
      <c r="H605" s="11" t="str">
        <f>IFERROR(__xludf.DUMMYFUNCTION("""COMPUTED_VALUE"""),"MONSOON, Triple Whale, Northbeam, Dreamdata, lehof")</f>
        <v>MONSOON, Triple Whale, Northbeam, Dreamdata, lehof</v>
      </c>
      <c r="I605" s="11">
        <f>IFERROR(__xludf.DUMMYFUNCTION("""COMPUTED_VALUE"""),1.0)</f>
        <v>1</v>
      </c>
      <c r="J605" s="11">
        <f>IFERROR(__xludf.DUMMYFUNCTION("""COMPUTED_VALUE"""),0.0)</f>
        <v>0</v>
      </c>
      <c r="K605" s="11">
        <f>IFERROR(__xludf.DUMMYFUNCTION("""COMPUTED_VALUE"""),0.0)</f>
        <v>0</v>
      </c>
      <c r="L605" s="11"/>
    </row>
    <row r="606" ht="15.75" customHeight="1">
      <c r="A606" s="8" t="str">
        <f>IFERROR(__xludf.DUMMYFUNCTION("""COMPUTED_VALUE"""),"https://www.sortlist.com/i/s/ppc-marketing/germany-de")</f>
        <v>https://www.sortlist.com/i/s/ppc-marketing/germany-de</v>
      </c>
      <c r="B606" s="11" t="str">
        <f>IFERROR(__xludf.DUMMYFUNCTION("""COMPUTED_VALUE"""),"The 10 Best Pay-Per-Click Agencies in Germany - 2026 Reviews")</f>
        <v>The 10 Best Pay-Per-Click Agencies in Germany - 2026 Reviews</v>
      </c>
      <c r="C606" s="8" t="str">
        <f>IFERROR(__xludf.DUMMYFUNCTION("""COMPUTED_VALUE"""),"sortlist.com")</f>
        <v>sortlist.com</v>
      </c>
      <c r="D606" s="11" t="str">
        <f>IFERROR(__xludf.DUMMYFUNCTION("""COMPUTED_VALUE"""),"CATEGORY_PAGE")</f>
        <v>CATEGORY_PAGE</v>
      </c>
      <c r="E606" s="11" t="str">
        <f>IFERROR(__xludf.DUMMYFUNCTION("""COMPUTED_VALUE"""),"CORPORATE")</f>
        <v>CORPORATE</v>
      </c>
      <c r="F606" s="11" t="str">
        <f>IFERROR(__xludf.DUMMYFUNCTION("""COMPUTED_VALUE"""),"Category Page")</f>
        <v>Category Page</v>
      </c>
      <c r="G606" s="11" t="b">
        <f>IFERROR(__xludf.DUMMYFUNCTION("""COMPUTED_VALUE"""),FALSE)</f>
        <v>0</v>
      </c>
      <c r="H606" s="11" t="str">
        <f>IFERROR(__xludf.DUMMYFUNCTION("""COMPUTED_VALUE"""),"MONSOON, Mediacharge")</f>
        <v>MONSOON, Mediacharge</v>
      </c>
      <c r="I606" s="11">
        <f>IFERROR(__xludf.DUMMYFUNCTION("""COMPUTED_VALUE"""),1.0)</f>
        <v>1</v>
      </c>
      <c r="J606" s="11">
        <f>IFERROR(__xludf.DUMMYFUNCTION("""COMPUTED_VALUE"""),0.0)</f>
        <v>0</v>
      </c>
      <c r="K606" s="11">
        <f>IFERROR(__xludf.DUMMYFUNCTION("""COMPUTED_VALUE"""),1.0)</f>
        <v>1</v>
      </c>
      <c r="L606" s="11"/>
    </row>
    <row r="607" ht="15.75" customHeight="1">
      <c r="A607" s="8" t="str">
        <f>IFERROR(__xludf.DUMMYFUNCTION("""COMPUTED_VALUE"""),"https://www.sortlist.com/media-planning")</f>
        <v>https://www.sortlist.com/media-planning</v>
      </c>
      <c r="B607" s="11" t="str">
        <f>IFERROR(__xludf.DUMMYFUNCTION("""COMPUTED_VALUE"""),"The 100 Best Media Agencies - 2026 Reviews")</f>
        <v>The 100 Best Media Agencies - 2026 Reviews</v>
      </c>
      <c r="C607" s="8" t="str">
        <f>IFERROR(__xludf.DUMMYFUNCTION("""COMPUTED_VALUE"""),"sortlist.com")</f>
        <v>sortlist.com</v>
      </c>
      <c r="D607" s="11" t="str">
        <f>IFERROR(__xludf.DUMMYFUNCTION("""COMPUTED_VALUE"""),"CATEGORY_PAGE")</f>
        <v>CATEGORY_PAGE</v>
      </c>
      <c r="E607" s="11" t="str">
        <f>IFERROR(__xludf.DUMMYFUNCTION("""COMPUTED_VALUE"""),"CORPORATE")</f>
        <v>CORPORATE</v>
      </c>
      <c r="F607" s="11" t="str">
        <f>IFERROR(__xludf.DUMMYFUNCTION("""COMPUTED_VALUE"""),"Category Page")</f>
        <v>Category Page</v>
      </c>
      <c r="G607" s="11" t="b">
        <f>IFERROR(__xludf.DUMMYFUNCTION("""COMPUTED_VALUE"""),FALSE)</f>
        <v>0</v>
      </c>
      <c r="H607" s="11" t="str">
        <f>IFERROR(__xludf.DUMMYFUNCTION("""COMPUTED_VALUE"""),"lehof")</f>
        <v>lehof</v>
      </c>
      <c r="I607" s="11">
        <f>IFERROR(__xludf.DUMMYFUNCTION("""COMPUTED_VALUE"""),1.0)</f>
        <v>1</v>
      </c>
      <c r="J607" s="11">
        <f>IFERROR(__xludf.DUMMYFUNCTION("""COMPUTED_VALUE"""),0.0)</f>
        <v>0</v>
      </c>
      <c r="K607" s="11">
        <f>IFERROR(__xludf.DUMMYFUNCTION("""COMPUTED_VALUE"""),0.0)</f>
        <v>0</v>
      </c>
      <c r="L607" s="11"/>
    </row>
    <row r="608" ht="15.75" customHeight="1">
      <c r="A608" s="8" t="str">
        <f>IFERROR(__xludf.DUMMYFUNCTION("""COMPUTED_VALUE"""),"https://www.sortlist.com/s/ai-agents/germany-de")</f>
        <v>https://www.sortlist.com/s/ai-agents/germany-de</v>
      </c>
      <c r="B608" s="11" t="str">
        <f>IFERROR(__xludf.DUMMYFUNCTION("""COMPUTED_VALUE"""),"The 10 Best AI Agents Companies in Germany - 2026 Reviews")</f>
        <v>The 10 Best AI Agents Companies in Germany - 2026 Reviews</v>
      </c>
      <c r="C608" s="8" t="str">
        <f>IFERROR(__xludf.DUMMYFUNCTION("""COMPUTED_VALUE"""),"sortlist.com")</f>
        <v>sortlist.com</v>
      </c>
      <c r="D608" s="11" t="str">
        <f>IFERROR(__xludf.DUMMYFUNCTION("""COMPUTED_VALUE"""),"CATEGORY_PAGE")</f>
        <v>CATEGORY_PAGE</v>
      </c>
      <c r="E608" s="11" t="str">
        <f>IFERROR(__xludf.DUMMYFUNCTION("""COMPUTED_VALUE"""),"CORPORATE")</f>
        <v>CORPORATE</v>
      </c>
      <c r="F608" s="11" t="str">
        <f>IFERROR(__xludf.DUMMYFUNCTION("""COMPUTED_VALUE"""),"Category Page")</f>
        <v>Category Page</v>
      </c>
      <c r="G608" s="11" t="b">
        <f>IFERROR(__xludf.DUMMYFUNCTION("""COMPUTED_VALUE"""),FALSE)</f>
        <v>0</v>
      </c>
      <c r="H608" s="11" t="str">
        <f>IFERROR(__xludf.DUMMYFUNCTION("""COMPUTED_VALUE"""),"Momentum, Measured")</f>
        <v>Momentum, Measured</v>
      </c>
      <c r="I608" s="11">
        <f>IFERROR(__xludf.DUMMYFUNCTION("""COMPUTED_VALUE"""),1.0)</f>
        <v>1</v>
      </c>
      <c r="J608" s="11">
        <f>IFERROR(__xludf.DUMMYFUNCTION("""COMPUTED_VALUE"""),0.0)</f>
        <v>0</v>
      </c>
      <c r="K608" s="11">
        <f>IFERROR(__xludf.DUMMYFUNCTION("""COMPUTED_VALUE"""),1.0)</f>
        <v>1</v>
      </c>
      <c r="L608" s="11"/>
    </row>
    <row r="609" ht="15.75" customHeight="1">
      <c r="A609" s="8" t="str">
        <f>IFERROR(__xludf.DUMMYFUNCTION("""COMPUTED_VALUE"""),"https://www.sortlist.com/s/artificial-intelligence/hamburg-de")</f>
        <v>https://www.sortlist.com/s/artificial-intelligence/hamburg-de</v>
      </c>
      <c r="B609" s="11" t="str">
        <f>IFERROR(__xludf.DUMMYFUNCTION("""COMPUTED_VALUE"""),"The 10 Best Artificial Intelligence Agencies in Hamburg - 2026 Reviews")</f>
        <v>The 10 Best Artificial Intelligence Agencies in Hamburg - 2026 Reviews</v>
      </c>
      <c r="C609" s="8" t="str">
        <f>IFERROR(__xludf.DUMMYFUNCTION("""COMPUTED_VALUE"""),"sortlist.com")</f>
        <v>sortlist.com</v>
      </c>
      <c r="D609" s="11" t="str">
        <f>IFERROR(__xludf.DUMMYFUNCTION("""COMPUTED_VALUE"""),"CATEGORY_PAGE")</f>
        <v>CATEGORY_PAGE</v>
      </c>
      <c r="E609" s="11" t="str">
        <f>IFERROR(__xludf.DUMMYFUNCTION("""COMPUTED_VALUE"""),"CORPORATE")</f>
        <v>CORPORATE</v>
      </c>
      <c r="F609" s="11" t="str">
        <f>IFERROR(__xludf.DUMMYFUNCTION("""COMPUTED_VALUE"""),"Category Page")</f>
        <v>Category Page</v>
      </c>
      <c r="G609" s="11" t="b">
        <f>IFERROR(__xludf.DUMMYFUNCTION("""COMPUTED_VALUE"""),FALSE)</f>
        <v>0</v>
      </c>
      <c r="H609" s="11" t="str">
        <f>IFERROR(__xludf.DUMMYFUNCTION("""COMPUTED_VALUE"""),"Momentum, Measured")</f>
        <v>Momentum, Measured</v>
      </c>
      <c r="I609" s="11">
        <f>IFERROR(__xludf.DUMMYFUNCTION("""COMPUTED_VALUE"""),1.0)</f>
        <v>1</v>
      </c>
      <c r="J609" s="11">
        <f>IFERROR(__xludf.DUMMYFUNCTION("""COMPUTED_VALUE"""),0.0)</f>
        <v>0</v>
      </c>
      <c r="K609" s="11">
        <f>IFERROR(__xludf.DUMMYFUNCTION("""COMPUTED_VALUE"""),0.0)</f>
        <v>0</v>
      </c>
      <c r="L609" s="11"/>
    </row>
    <row r="610" ht="15.75" customHeight="1">
      <c r="A610" s="8" t="str">
        <f>IFERROR(__xludf.DUMMYFUNCTION("""COMPUTED_VALUE"""),"https://www.sortlist.com/s/brand-experience/germany-de")</f>
        <v>https://www.sortlist.com/s/brand-experience/germany-de</v>
      </c>
      <c r="B610" s="11" t="str">
        <f>IFERROR(__xludf.DUMMYFUNCTION("""COMPUTED_VALUE"""),"The 10 Best Brand Experience Agencies in Germany - 2026 Reviews")</f>
        <v>The 10 Best Brand Experience Agencies in Germany - 2026 Reviews</v>
      </c>
      <c r="C610" s="8" t="str">
        <f>IFERROR(__xludf.DUMMYFUNCTION("""COMPUTED_VALUE"""),"sortlist.com")</f>
        <v>sortlist.com</v>
      </c>
      <c r="D610" s="11" t="str">
        <f>IFERROR(__xludf.DUMMYFUNCTION("""COMPUTED_VALUE"""),"CATEGORY_PAGE")</f>
        <v>CATEGORY_PAGE</v>
      </c>
      <c r="E610" s="11" t="str">
        <f>IFERROR(__xludf.DUMMYFUNCTION("""COMPUTED_VALUE"""),"CORPORATE")</f>
        <v>CORPORATE</v>
      </c>
      <c r="F610" s="11" t="str">
        <f>IFERROR(__xludf.DUMMYFUNCTION("""COMPUTED_VALUE"""),"Category Page")</f>
        <v>Category Page</v>
      </c>
      <c r="G610" s="11" t="b">
        <f>IFERROR(__xludf.DUMMYFUNCTION("""COMPUTED_VALUE"""),FALSE)</f>
        <v>0</v>
      </c>
      <c r="H610" s="11" t="str">
        <f>IFERROR(__xludf.DUMMYFUNCTION("""COMPUTED_VALUE"""),"lehof, PANORAMA3000, Measured")</f>
        <v>lehof, PANORAMA3000, Measured</v>
      </c>
      <c r="I610" s="11">
        <f>IFERROR(__xludf.DUMMYFUNCTION("""COMPUTED_VALUE"""),1.0)</f>
        <v>1</v>
      </c>
      <c r="J610" s="11">
        <f>IFERROR(__xludf.DUMMYFUNCTION("""COMPUTED_VALUE"""),0.0)</f>
        <v>0</v>
      </c>
      <c r="K610" s="11">
        <f>IFERROR(__xludf.DUMMYFUNCTION("""COMPUTED_VALUE"""),5.0)</f>
        <v>5</v>
      </c>
      <c r="L610" s="11"/>
    </row>
    <row r="611" ht="15.75" customHeight="1">
      <c r="A611" s="8" t="str">
        <f>IFERROR(__xludf.DUMMYFUNCTION("""COMPUTED_VALUE"""),"https://www.sortlist.com/s/data-driven-marketing/berlin-de")</f>
        <v>https://www.sortlist.com/s/data-driven-marketing/berlin-de</v>
      </c>
      <c r="B611" s="11" t="str">
        <f>IFERROR(__xludf.DUMMYFUNCTION("""COMPUTED_VALUE"""),"The 10 Best Data Driven Marketing Agencies in Berlin - 2026 Reviews")</f>
        <v>The 10 Best Data Driven Marketing Agencies in Berlin - 2026 Reviews</v>
      </c>
      <c r="C611" s="8" t="str">
        <f>IFERROR(__xludf.DUMMYFUNCTION("""COMPUTED_VALUE"""),"sortlist.com")</f>
        <v>sortlist.com</v>
      </c>
      <c r="D611" s="11" t="str">
        <f>IFERROR(__xludf.DUMMYFUNCTION("""COMPUTED_VALUE"""),"CATEGORY_PAGE")</f>
        <v>CATEGORY_PAGE</v>
      </c>
      <c r="E611" s="11" t="str">
        <f>IFERROR(__xludf.DUMMYFUNCTION("""COMPUTED_VALUE"""),"CORPORATE")</f>
        <v>CORPORATE</v>
      </c>
      <c r="F611" s="11" t="str">
        <f>IFERROR(__xludf.DUMMYFUNCTION("""COMPUTED_VALUE"""),"Category Page")</f>
        <v>Category Page</v>
      </c>
      <c r="G611" s="11" t="b">
        <f>IFERROR(__xludf.DUMMYFUNCTION("""COMPUTED_VALUE"""),FALSE)</f>
        <v>0</v>
      </c>
      <c r="H611" s="11" t="str">
        <f>IFERROR(__xludf.DUMMYFUNCTION("""COMPUTED_VALUE"""),"MONSOON, lehof, Triple Whale, Northbeam, Dreamdata, KlickPiloten")</f>
        <v>MONSOON, lehof, Triple Whale, Northbeam, Dreamdata, KlickPiloten</v>
      </c>
      <c r="I611" s="11">
        <f>IFERROR(__xludf.DUMMYFUNCTION("""COMPUTED_VALUE"""),1.0)</f>
        <v>1</v>
      </c>
      <c r="J611" s="11">
        <f>IFERROR(__xludf.DUMMYFUNCTION("""COMPUTED_VALUE"""),0.0)</f>
        <v>0</v>
      </c>
      <c r="K611" s="11">
        <f>IFERROR(__xludf.DUMMYFUNCTION("""COMPUTED_VALUE"""),1.0)</f>
        <v>1</v>
      </c>
      <c r="L611" s="11"/>
    </row>
    <row r="612" ht="15.75" customHeight="1">
      <c r="A612" s="8" t="str">
        <f>IFERROR(__xludf.DUMMYFUNCTION("""COMPUTED_VALUE"""),"https://www.sortlist.com/s/international-marketing/hamburg-de")</f>
        <v>https://www.sortlist.com/s/international-marketing/hamburg-de</v>
      </c>
      <c r="B612" s="11" t="str">
        <f>IFERROR(__xludf.DUMMYFUNCTION("""COMPUTED_VALUE"""),"The 10 Best International Marketing Agencies in Hamburg - 2026 Reviews")</f>
        <v>The 10 Best International Marketing Agencies in Hamburg - 2026 Reviews</v>
      </c>
      <c r="C612" s="8" t="str">
        <f>IFERROR(__xludf.DUMMYFUNCTION("""COMPUTED_VALUE"""),"sortlist.com")</f>
        <v>sortlist.com</v>
      </c>
      <c r="D612" s="11" t="str">
        <f>IFERROR(__xludf.DUMMYFUNCTION("""COMPUTED_VALUE"""),"CATEGORY_PAGE")</f>
        <v>CATEGORY_PAGE</v>
      </c>
      <c r="E612" s="11" t="str">
        <f>IFERROR(__xludf.DUMMYFUNCTION("""COMPUTED_VALUE"""),"CORPORATE")</f>
        <v>CORPORATE</v>
      </c>
      <c r="F612" s="11" t="str">
        <f>IFERROR(__xludf.DUMMYFUNCTION("""COMPUTED_VALUE"""),"Category Page")</f>
        <v>Category Page</v>
      </c>
      <c r="G612" s="11" t="b">
        <f>IFERROR(__xludf.DUMMYFUNCTION("""COMPUTED_VALUE"""),FALSE)</f>
        <v>0</v>
      </c>
      <c r="H612" s="11" t="str">
        <f>IFERROR(__xludf.DUMMYFUNCTION("""COMPUTED_VALUE"""),"MONSOON, Measured, KlickPiloten")</f>
        <v>MONSOON, Measured, KlickPiloten</v>
      </c>
      <c r="I612" s="11">
        <f>IFERROR(__xludf.DUMMYFUNCTION("""COMPUTED_VALUE"""),1.0)</f>
        <v>1</v>
      </c>
      <c r="J612" s="11">
        <f>IFERROR(__xludf.DUMMYFUNCTION("""COMPUTED_VALUE"""),0.0)</f>
        <v>0</v>
      </c>
      <c r="K612" s="11">
        <f>IFERROR(__xludf.DUMMYFUNCTION("""COMPUTED_VALUE"""),0.0)</f>
        <v>0</v>
      </c>
      <c r="L612" s="11"/>
    </row>
    <row r="613" ht="15.75" customHeight="1">
      <c r="A613" s="8" t="str">
        <f>IFERROR(__xludf.DUMMYFUNCTION("""COMPUTED_VALUE"""),"https://www.sortlist.com/s/paid-media/munich-by-de")</f>
        <v>https://www.sortlist.com/s/paid-media/munich-by-de</v>
      </c>
      <c r="B613" s="11" t="str">
        <f>IFERROR(__xludf.DUMMYFUNCTION("""COMPUTED_VALUE"""),"The 10 Best Paid Media Agencies in Munich - 2026 Reviews")</f>
        <v>The 10 Best Paid Media Agencies in Munich - 2026 Reviews</v>
      </c>
      <c r="C613" s="8" t="str">
        <f>IFERROR(__xludf.DUMMYFUNCTION("""COMPUTED_VALUE"""),"sortlist.com")</f>
        <v>sortlist.com</v>
      </c>
      <c r="D613" s="11" t="str">
        <f>IFERROR(__xludf.DUMMYFUNCTION("""COMPUTED_VALUE"""),"CATEGORY_PAGE")</f>
        <v>CATEGORY_PAGE</v>
      </c>
      <c r="E613" s="11" t="str">
        <f>IFERROR(__xludf.DUMMYFUNCTION("""COMPUTED_VALUE"""),"CORPORATE")</f>
        <v>CORPORATE</v>
      </c>
      <c r="F613" s="11" t="str">
        <f>IFERROR(__xludf.DUMMYFUNCTION("""COMPUTED_VALUE"""),"Category Page")</f>
        <v>Category Page</v>
      </c>
      <c r="G613" s="11" t="b">
        <f>IFERROR(__xludf.DUMMYFUNCTION("""COMPUTED_VALUE"""),FALSE)</f>
        <v>0</v>
      </c>
      <c r="H613" s="11" t="str">
        <f>IFERROR(__xludf.DUMMYFUNCTION("""COMPUTED_VALUE"""),"Measured, lehof, Triple Whale, Northbeam, Dreamdata, Mediacharge, MONSOON, Loyamo")</f>
        <v>Measured, lehof, Triple Whale, Northbeam, Dreamdata, Mediacharge, MONSOON, Loyamo</v>
      </c>
      <c r="I613" s="11">
        <f>IFERROR(__xludf.DUMMYFUNCTION("""COMPUTED_VALUE"""),1.0)</f>
        <v>1</v>
      </c>
      <c r="J613" s="11">
        <f>IFERROR(__xludf.DUMMYFUNCTION("""COMPUTED_VALUE"""),0.0)</f>
        <v>0</v>
      </c>
      <c r="K613" s="11">
        <f>IFERROR(__xludf.DUMMYFUNCTION("""COMPUTED_VALUE"""),1.0)</f>
        <v>1</v>
      </c>
      <c r="L613" s="11"/>
    </row>
    <row r="614" ht="15.75" customHeight="1">
      <c r="A614" s="8" t="str">
        <f>IFERROR(__xludf.DUMMYFUNCTION("""COMPUTED_VALUE"""),"https://www.sortlist.com/s/performance-marketing/frankfurt-he-de")</f>
        <v>https://www.sortlist.com/s/performance-marketing/frankfurt-he-de</v>
      </c>
      <c r="B614" s="11" t="str">
        <f>IFERROR(__xludf.DUMMYFUNCTION("""COMPUTED_VALUE"""),"The 10 Best Performance Marketing Agencies in Frankfurt - 2026 Reviews")</f>
        <v>The 10 Best Performance Marketing Agencies in Frankfurt - 2026 Reviews</v>
      </c>
      <c r="C614" s="8" t="str">
        <f>IFERROR(__xludf.DUMMYFUNCTION("""COMPUTED_VALUE"""),"sortlist.com")</f>
        <v>sortlist.com</v>
      </c>
      <c r="D614" s="11" t="str">
        <f>IFERROR(__xludf.DUMMYFUNCTION("""COMPUTED_VALUE"""),"CATEGORY_PAGE")</f>
        <v>CATEGORY_PAGE</v>
      </c>
      <c r="E614" s="11" t="str">
        <f>IFERROR(__xludf.DUMMYFUNCTION("""COMPUTED_VALUE"""),"CORPORATE")</f>
        <v>CORPORATE</v>
      </c>
      <c r="F614" s="11" t="str">
        <f>IFERROR(__xludf.DUMMYFUNCTION("""COMPUTED_VALUE"""),"Category Page")</f>
        <v>Category Page</v>
      </c>
      <c r="G614" s="11" t="b">
        <f>IFERROR(__xludf.DUMMYFUNCTION("""COMPUTED_VALUE"""),FALSE)</f>
        <v>0</v>
      </c>
      <c r="H614" s="11" t="str">
        <f>IFERROR(__xludf.DUMMYFUNCTION("""COMPUTED_VALUE"""),"lehof, Mediacharge, MONSOON, ZweiDigital GmbH, Measured, Triple Whale, Northbeam, Dreamdata")</f>
        <v>lehof, Mediacharge, MONSOON, ZweiDigital GmbH, Measured, Triple Whale, Northbeam, Dreamdata</v>
      </c>
      <c r="I614" s="11">
        <f>IFERROR(__xludf.DUMMYFUNCTION("""COMPUTED_VALUE"""),1.0)</f>
        <v>1</v>
      </c>
      <c r="J614" s="11">
        <f>IFERROR(__xludf.DUMMYFUNCTION("""COMPUTED_VALUE"""),0.0)</f>
        <v>0</v>
      </c>
      <c r="K614" s="11">
        <f>IFERROR(__xludf.DUMMYFUNCTION("""COMPUTED_VALUE"""),0.0)</f>
        <v>0</v>
      </c>
      <c r="L614" s="11"/>
    </row>
    <row r="615" ht="15.75" customHeight="1">
      <c r="A615" s="8" t="str">
        <f>IFERROR(__xludf.DUMMYFUNCTION("""COMPUTED_VALUE"""),"https://www.sortlist.com/s/performance-marketing/munich-by-de")</f>
        <v>https://www.sortlist.com/s/performance-marketing/munich-by-de</v>
      </c>
      <c r="B615" s="11" t="str">
        <f>IFERROR(__xludf.DUMMYFUNCTION("""COMPUTED_VALUE"""),"The 10 Best Performance Marketing Agencies in Munich - 2026 Reviews")</f>
        <v>The 10 Best Performance Marketing Agencies in Munich - 2026 Reviews</v>
      </c>
      <c r="C615" s="8" t="str">
        <f>IFERROR(__xludf.DUMMYFUNCTION("""COMPUTED_VALUE"""),"sortlist.com")</f>
        <v>sortlist.com</v>
      </c>
      <c r="D615" s="11" t="str">
        <f>IFERROR(__xludf.DUMMYFUNCTION("""COMPUTED_VALUE"""),"CATEGORY_PAGE")</f>
        <v>CATEGORY_PAGE</v>
      </c>
      <c r="E615" s="11" t="str">
        <f>IFERROR(__xludf.DUMMYFUNCTION("""COMPUTED_VALUE"""),"CORPORATE")</f>
        <v>CORPORATE</v>
      </c>
      <c r="F615" s="11" t="str">
        <f>IFERROR(__xludf.DUMMYFUNCTION("""COMPUTED_VALUE"""),"Category Page")</f>
        <v>Category Page</v>
      </c>
      <c r="G615" s="11" t="b">
        <f>IFERROR(__xludf.DUMMYFUNCTION("""COMPUTED_VALUE"""),FALSE)</f>
        <v>0</v>
      </c>
      <c r="H615" s="11" t="str">
        <f>IFERROR(__xludf.DUMMYFUNCTION("""COMPUTED_VALUE"""),"lehof, Mediacharge, MONSOON, Triple Whale, Northbeam, Dreamdata, Loyamo")</f>
        <v>lehof, Mediacharge, MONSOON, Triple Whale, Northbeam, Dreamdata, Loyamo</v>
      </c>
      <c r="I615" s="11">
        <f>IFERROR(__xludf.DUMMYFUNCTION("""COMPUTED_VALUE"""),1.0)</f>
        <v>1</v>
      </c>
      <c r="J615" s="11">
        <f>IFERROR(__xludf.DUMMYFUNCTION("""COMPUTED_VALUE"""),0.0)</f>
        <v>0</v>
      </c>
      <c r="K615" s="11">
        <f>IFERROR(__xludf.DUMMYFUNCTION("""COMPUTED_VALUE"""),1.0)</f>
        <v>1</v>
      </c>
      <c r="L615" s="11"/>
    </row>
    <row r="616" ht="15.75" customHeight="1">
      <c r="A616" s="8" t="str">
        <f>IFERROR(__xludf.DUMMYFUNCTION("""COMPUTED_VALUE"""),"https://www.sortlist.com/s/programmatic-advertising/berlin-de#:~:text=%F0%9F%87%AC%F0%9F%87%A7%20below%20%F0%9F%87%AC%F0%9F%87%A7%20Say%20hi%20to%20Digital,we%20support%20you%20in%20digitizing%20your%20business.")</f>
        <v>https://www.sortlist.com/s/programmatic-advertising/berlin-de#:~:text=%F0%9F%87%AC%F0%9F%87%A7%20below%20%F0%9F%87%AC%F0%9F%87%A7%20Say%20hi%20to%20Digital,we%20support%20you%20in%20digitizing%20your%20business.</v>
      </c>
      <c r="B616" s="11" t="str">
        <f>IFERROR(__xludf.DUMMYFUNCTION("""COMPUTED_VALUE"""),"The 10 Best Programmatic Advertising Companies in Berlin - 2026 Reviews")</f>
        <v>The 10 Best Programmatic Advertising Companies in Berlin - 2026 Reviews</v>
      </c>
      <c r="C616" s="8" t="str">
        <f>IFERROR(__xludf.DUMMYFUNCTION("""COMPUTED_VALUE"""),"sortlist.com")</f>
        <v>sortlist.com</v>
      </c>
      <c r="D616" s="11" t="str">
        <f>IFERROR(__xludf.DUMMYFUNCTION("""COMPUTED_VALUE"""),"OTHER")</f>
        <v>OTHER</v>
      </c>
      <c r="E616" s="11" t="str">
        <f>IFERROR(__xludf.DUMMYFUNCTION("""COMPUTED_VALUE"""),"CORPORATE")</f>
        <v>CORPORATE</v>
      </c>
      <c r="F616" s="11" t="str">
        <f>IFERROR(__xludf.DUMMYFUNCTION("""COMPUTED_VALUE"""),"Other")</f>
        <v>Other</v>
      </c>
      <c r="G616" s="11" t="b">
        <f>IFERROR(__xludf.DUMMYFUNCTION("""COMPUTED_VALUE"""),FALSE)</f>
        <v>0</v>
      </c>
      <c r="H616" s="11" t="str">
        <f>IFERROR(__xludf.DUMMYFUNCTION("""COMPUTED_VALUE"""),"MONSOON, Triple Whale, Northbeam, Dreamdata, KlickPiloten, Medialabel, lehof")</f>
        <v>MONSOON, Triple Whale, Northbeam, Dreamdata, KlickPiloten, Medialabel, lehof</v>
      </c>
      <c r="I616" s="11">
        <f>IFERROR(__xludf.DUMMYFUNCTION("""COMPUTED_VALUE"""),1.0)</f>
        <v>1</v>
      </c>
      <c r="J616" s="11">
        <f>IFERROR(__xludf.DUMMYFUNCTION("""COMPUTED_VALUE"""),0.0)</f>
        <v>0</v>
      </c>
      <c r="K616" s="11">
        <f>IFERROR(__xludf.DUMMYFUNCTION("""COMPUTED_VALUE"""),1.0)</f>
        <v>1</v>
      </c>
      <c r="L616" s="11"/>
    </row>
    <row r="617" ht="15.75" customHeight="1">
      <c r="A617" s="8" t="str">
        <f>IFERROR(__xludf.DUMMYFUNCTION("""COMPUTED_VALUE"""),"https://www.sortlist.com/s/roi-optimization/germany-de")</f>
        <v>https://www.sortlist.com/s/roi-optimization/germany-de</v>
      </c>
      <c r="B617" s="11" t="str">
        <f>IFERROR(__xludf.DUMMYFUNCTION("""COMPUTED_VALUE"""),"The 10 Best ROI Optimization Companies in Germany - 2026 Reviews")</f>
        <v>The 10 Best ROI Optimization Companies in Germany - 2026 Reviews</v>
      </c>
      <c r="C617" s="8" t="str">
        <f>IFERROR(__xludf.DUMMYFUNCTION("""COMPUTED_VALUE"""),"sortlist.com")</f>
        <v>sortlist.com</v>
      </c>
      <c r="D617" s="11" t="str">
        <f>IFERROR(__xludf.DUMMYFUNCTION("""COMPUTED_VALUE"""),"CATEGORY_PAGE")</f>
        <v>CATEGORY_PAGE</v>
      </c>
      <c r="E617" s="11" t="str">
        <f>IFERROR(__xludf.DUMMYFUNCTION("""COMPUTED_VALUE"""),"CORPORATE")</f>
        <v>CORPORATE</v>
      </c>
      <c r="F617" s="11" t="str">
        <f>IFERROR(__xludf.DUMMYFUNCTION("""COMPUTED_VALUE"""),"Category Page")</f>
        <v>Category Page</v>
      </c>
      <c r="G617" s="11" t="b">
        <f>IFERROR(__xludf.DUMMYFUNCTION("""COMPUTED_VALUE"""),FALSE)</f>
        <v>0</v>
      </c>
      <c r="H617" s="11" t="str">
        <f>IFERROR(__xludf.DUMMYFUNCTION("""COMPUTED_VALUE"""),"MONSOON, Measured, Triple Whale, Northbeam, Dreamdata, PANORAMA3000, ZweiDigital GmbH")</f>
        <v>MONSOON, Measured, Triple Whale, Northbeam, Dreamdata, PANORAMA3000, ZweiDigital GmbH</v>
      </c>
      <c r="I617" s="11">
        <f>IFERROR(__xludf.DUMMYFUNCTION("""COMPUTED_VALUE"""),1.0)</f>
        <v>1</v>
      </c>
      <c r="J617" s="11">
        <f>IFERROR(__xludf.DUMMYFUNCTION("""COMPUTED_VALUE"""),0.0)</f>
        <v>0</v>
      </c>
      <c r="K617" s="11">
        <f>IFERROR(__xludf.DUMMYFUNCTION("""COMPUTED_VALUE"""),0.0)</f>
        <v>0</v>
      </c>
      <c r="L617" s="11"/>
    </row>
    <row r="618" ht="15.75" customHeight="1">
      <c r="A618" s="8" t="str">
        <f>IFERROR(__xludf.DUMMYFUNCTION("""COMPUTED_VALUE"""),"https://www.sortlist.com/social-media-optimization")</f>
        <v>https://www.sortlist.com/social-media-optimization</v>
      </c>
      <c r="B618" s="11" t="str">
        <f>IFERROR(__xludf.DUMMYFUNCTION("""COMPUTED_VALUE"""),"The 100 Best Social Media Optimization Agencies - 2026 Reviews")</f>
        <v>The 100 Best Social Media Optimization Agencies - 2026 Reviews</v>
      </c>
      <c r="C618" s="8" t="str">
        <f>IFERROR(__xludf.DUMMYFUNCTION("""COMPUTED_VALUE"""),"sortlist.com")</f>
        <v>sortlist.com</v>
      </c>
      <c r="D618" s="11" t="str">
        <f>IFERROR(__xludf.DUMMYFUNCTION("""COMPUTED_VALUE"""),"CATEGORY_PAGE")</f>
        <v>CATEGORY_PAGE</v>
      </c>
      <c r="E618" s="11" t="str">
        <f>IFERROR(__xludf.DUMMYFUNCTION("""COMPUTED_VALUE"""),"CORPORATE")</f>
        <v>CORPORATE</v>
      </c>
      <c r="F618" s="11" t="str">
        <f>IFERROR(__xludf.DUMMYFUNCTION("""COMPUTED_VALUE"""),"Category Page")</f>
        <v>Category Page</v>
      </c>
      <c r="G618" s="11" t="b">
        <f>IFERROR(__xludf.DUMMYFUNCTION("""COMPUTED_VALUE"""),FALSE)</f>
        <v>0</v>
      </c>
      <c r="H618" s="11"/>
      <c r="I618" s="11">
        <f>IFERROR(__xludf.DUMMYFUNCTION("""COMPUTED_VALUE"""),1.0)</f>
        <v>1</v>
      </c>
      <c r="J618" s="11">
        <f>IFERROR(__xludf.DUMMYFUNCTION("""COMPUTED_VALUE"""),0.0)</f>
        <v>0</v>
      </c>
      <c r="K618" s="11">
        <f>IFERROR(__xludf.DUMMYFUNCTION("""COMPUTED_VALUE"""),0.0)</f>
        <v>0</v>
      </c>
      <c r="L618" s="11"/>
    </row>
    <row r="619" ht="15.75" customHeight="1">
      <c r="A619" s="8" t="str">
        <f>IFERROR(__xludf.DUMMYFUNCTION("""COMPUTED_VALUE"""),"https://sourceforge.net/software/incrementality-testing/europe/")</f>
        <v>https://sourceforge.net/software/incrementality-testing/europe/</v>
      </c>
      <c r="B619" s="11" t="str">
        <f>IFERROR(__xludf.DUMMYFUNCTION("""COMPUTED_VALUE"""),"Best Incrementality Testing Tools in Europe of 2026 - Reviews &amp;amp; Comparison")</f>
        <v>Best Incrementality Testing Tools in Europe of 2026 - Reviews &amp;amp; Comparison</v>
      </c>
      <c r="C619" s="8" t="str">
        <f>IFERROR(__xludf.DUMMYFUNCTION("""COMPUTED_VALUE"""),"sourceforge.net")</f>
        <v>sourceforge.net</v>
      </c>
      <c r="D619" s="11" t="str">
        <f>IFERROR(__xludf.DUMMYFUNCTION("""COMPUTED_VALUE"""),"LISTICLE")</f>
        <v>LISTICLE</v>
      </c>
      <c r="E619" s="11" t="str">
        <f>IFERROR(__xludf.DUMMYFUNCTION("""COMPUTED_VALUE"""),"OTHER")</f>
        <v>OTHER</v>
      </c>
      <c r="F619" s="11" t="str">
        <f>IFERROR(__xludf.DUMMYFUNCTION("""COMPUTED_VALUE"""),"Listicle")</f>
        <v>Listicle</v>
      </c>
      <c r="G619" s="11" t="b">
        <f>IFERROR(__xludf.DUMMYFUNCTION("""COMPUTED_VALUE"""),FALSE)</f>
        <v>0</v>
      </c>
      <c r="H619" s="11" t="str">
        <f>IFERROR(__xludf.DUMMYFUNCTION("""COMPUTED_VALUE"""),"Measured, LifeSight, Sellforte, Rockerbox, Recast, Haus, Analytic Partners")</f>
        <v>Measured, LifeSight, Sellforte, Rockerbox, Recast, Haus, Analytic Partners</v>
      </c>
      <c r="I619" s="11">
        <f>IFERROR(__xludf.DUMMYFUNCTION("""COMPUTED_VALUE"""),1.0)</f>
        <v>1</v>
      </c>
      <c r="J619" s="11">
        <f>IFERROR(__xludf.DUMMYFUNCTION("""COMPUTED_VALUE"""),0.0)</f>
        <v>0</v>
      </c>
      <c r="K619" s="11">
        <f>IFERROR(__xludf.DUMMYFUNCTION("""COMPUTED_VALUE"""),0.0)</f>
        <v>0</v>
      </c>
      <c r="L619" s="11"/>
    </row>
    <row r="620" ht="15.75" customHeight="1">
      <c r="A620" s="8" t="str">
        <f>IFERROR(__xludf.DUMMYFUNCTION("""COMPUTED_VALUE"""),"https://strativera.com/insights/best-seo-aeo-geo-marketing-agencies/")</f>
        <v>https://strativera.com/insights/best-seo-aeo-geo-marketing-agencies/</v>
      </c>
      <c r="B620" s="11" t="str">
        <f>IFERROR(__xludf.DUMMYFUNCTION("""COMPUTED_VALUE"""),"Best SEO AEO GEO Marketing Agencies: Top Firms (2026)")</f>
        <v>Best SEO AEO GEO Marketing Agencies: Top Firms (2026)</v>
      </c>
      <c r="C620" s="8" t="str">
        <f>IFERROR(__xludf.DUMMYFUNCTION("""COMPUTED_VALUE"""),"strativera.com")</f>
        <v>strativera.com</v>
      </c>
      <c r="D620" s="11" t="str">
        <f>IFERROR(__xludf.DUMMYFUNCTION("""COMPUTED_VALUE"""),"LISTICLE")</f>
        <v>LISTICLE</v>
      </c>
      <c r="E620" s="11" t="str">
        <f>IFERROR(__xludf.DUMMYFUNCTION("""COMPUTED_VALUE"""),"CORPORATE")</f>
        <v>CORPORATE</v>
      </c>
      <c r="F620" s="11" t="str">
        <f>IFERROR(__xludf.DUMMYFUNCTION("""COMPUTED_VALUE"""),"Listicle")</f>
        <v>Listicle</v>
      </c>
      <c r="G620" s="11" t="b">
        <f>IFERROR(__xludf.DUMMYFUNCTION("""COMPUTED_VALUE"""),FALSE)</f>
        <v>0</v>
      </c>
      <c r="H620" s="11" t="str">
        <f>IFERROR(__xludf.DUMMYFUNCTION("""COMPUTED_VALUE"""),"WebFX")</f>
        <v>WebFX</v>
      </c>
      <c r="I620" s="11">
        <f>IFERROR(__xludf.DUMMYFUNCTION("""COMPUTED_VALUE"""),1.0)</f>
        <v>1</v>
      </c>
      <c r="J620" s="11">
        <f>IFERROR(__xludf.DUMMYFUNCTION("""COMPUTED_VALUE"""),0.0)</f>
        <v>0</v>
      </c>
      <c r="K620" s="11">
        <f>IFERROR(__xludf.DUMMYFUNCTION("""COMPUTED_VALUE"""),2.0)</f>
        <v>2</v>
      </c>
      <c r="L620" s="11"/>
    </row>
    <row r="621" ht="15.75" customHeight="1">
      <c r="A621" s="8" t="str">
        <f>IFERROR(__xludf.DUMMYFUNCTION("""COMPUTED_VALUE"""),"https://www.suchhelden.de/beste-geo-agenturen-deutschlands.php")</f>
        <v>https://www.suchhelden.de/beste-geo-agenturen-deutschlands.php</v>
      </c>
      <c r="B621" s="11" t="str">
        <f>IFERROR(__xludf.DUMMYFUNCTION("""COMPUTED_VALUE"""),"Beste GEO-Agenturen 2026: Top-Liste für KI-Sichtbarkeit")</f>
        <v>Beste GEO-Agenturen 2026: Top-Liste für KI-Sichtbarkeit</v>
      </c>
      <c r="C621" s="8" t="str">
        <f>IFERROR(__xludf.DUMMYFUNCTION("""COMPUTED_VALUE"""),"suchhelden.de")</f>
        <v>suchhelden.de</v>
      </c>
      <c r="D621" s="11" t="str">
        <f>IFERROR(__xludf.DUMMYFUNCTION("""COMPUTED_VALUE"""),"LISTICLE")</f>
        <v>LISTICLE</v>
      </c>
      <c r="E621" s="11" t="str">
        <f>IFERROR(__xludf.DUMMYFUNCTION("""COMPUTED_VALUE"""),"COMPETITOR")</f>
        <v>COMPETITOR</v>
      </c>
      <c r="F621" s="11" t="str">
        <f>IFERROR(__xludf.DUMMYFUNCTION("""COMPUTED_VALUE"""),"Listicle")</f>
        <v>Listicle</v>
      </c>
      <c r="G621" s="11" t="b">
        <f>IFERROR(__xludf.DUMMYFUNCTION("""COMPUTED_VALUE"""),FALSE)</f>
        <v>0</v>
      </c>
      <c r="H621" s="11" t="str">
        <f>IFERROR(__xludf.DUMMYFUNCTION("""COMPUTED_VALUE"""),"Suchhelden, Aufgesang, Claneo, iPullRank, WebFX, Omnius")</f>
        <v>Suchhelden, Aufgesang, Claneo, iPullRank, WebFX, Omnius</v>
      </c>
      <c r="I621" s="11">
        <f>IFERROR(__xludf.DUMMYFUNCTION("""COMPUTED_VALUE"""),1.0)</f>
        <v>1</v>
      </c>
      <c r="J621" s="11">
        <f>IFERROR(__xludf.DUMMYFUNCTION("""COMPUTED_VALUE"""),0.0)</f>
        <v>0</v>
      </c>
      <c r="K621" s="11">
        <f>IFERROR(__xludf.DUMMYFUNCTION("""COMPUTED_VALUE"""),2.0)</f>
        <v>2</v>
      </c>
      <c r="L621" s="11"/>
    </row>
    <row r="622" ht="15.75" customHeight="1">
      <c r="A622" s="8" t="str">
        <f>IFERROR(__xludf.DUMMYFUNCTION("""COMPUTED_VALUE"""),"https://superbcompanies.com/categories/advertising-agencies-in-germany/")</f>
        <v>https://superbcompanies.com/categories/advertising-agencies-in-germany/</v>
      </c>
      <c r="B622" s="11" t="str">
        <f>IFERROR(__xludf.DUMMYFUNCTION("""COMPUTED_VALUE"""),"Top 20 Advertising Agencies in Germany - Jul 2026 | Ranking | SuperbCompanies")</f>
        <v>Top 20 Advertising Agencies in Germany - Jul 2026 | Ranking | SuperbCompanies</v>
      </c>
      <c r="C622" s="8" t="str">
        <f>IFERROR(__xludf.DUMMYFUNCTION("""COMPUTED_VALUE"""),"superbcompanies.com")</f>
        <v>superbcompanies.com</v>
      </c>
      <c r="D622" s="11" t="str">
        <f>IFERROR(__xludf.DUMMYFUNCTION("""COMPUTED_VALUE"""),"LISTICLE")</f>
        <v>LISTICLE</v>
      </c>
      <c r="E622" s="11" t="str">
        <f>IFERROR(__xludf.DUMMYFUNCTION("""COMPUTED_VALUE"""),"REFERENCE")</f>
        <v>REFERENCE</v>
      </c>
      <c r="F622" s="11" t="str">
        <f>IFERROR(__xludf.DUMMYFUNCTION("""COMPUTED_VALUE"""),"Listicle")</f>
        <v>Listicle</v>
      </c>
      <c r="G622" s="11" t="b">
        <f>IFERROR(__xludf.DUMMYFUNCTION("""COMPUTED_VALUE"""),FALSE)</f>
        <v>0</v>
      </c>
      <c r="H622" s="11" t="str">
        <f>IFERROR(__xludf.DUMMYFUNCTION("""COMPUTED_VALUE"""),"KlickPiloten, Mediacharge")</f>
        <v>KlickPiloten, Mediacharge</v>
      </c>
      <c r="I622" s="11">
        <f>IFERROR(__xludf.DUMMYFUNCTION("""COMPUTED_VALUE"""),1.0)</f>
        <v>1</v>
      </c>
      <c r="J622" s="11">
        <f>IFERROR(__xludf.DUMMYFUNCTION("""COMPUTED_VALUE"""),0.0)</f>
        <v>0</v>
      </c>
      <c r="K622" s="11">
        <f>IFERROR(__xludf.DUMMYFUNCTION("""COMPUTED_VALUE"""),1.0)</f>
        <v>1</v>
      </c>
      <c r="L622" s="11"/>
    </row>
    <row r="623" ht="15.75" customHeight="1">
      <c r="A623" s="8" t="str">
        <f>IFERROR(__xludf.DUMMYFUNCTION("""COMPUTED_VALUE"""),"https://superbcompanies.com/categories/digital-marketing-companies-in-germany/")</f>
        <v>https://superbcompanies.com/categories/digital-marketing-companies-in-germany/</v>
      </c>
      <c r="B623" s="11" t="str">
        <f>IFERROR(__xludf.DUMMYFUNCTION("""COMPUTED_VALUE"""),"Top 50 Digital Marketing Companies in Germany - Jul 2026 | Ranking | SuperbCompanies")</f>
        <v>Top 50 Digital Marketing Companies in Germany - Jul 2026 | Ranking | SuperbCompanies</v>
      </c>
      <c r="C623" s="8" t="str">
        <f>IFERROR(__xludf.DUMMYFUNCTION("""COMPUTED_VALUE"""),"superbcompanies.com")</f>
        <v>superbcompanies.com</v>
      </c>
      <c r="D623" s="11" t="str">
        <f>IFERROR(__xludf.DUMMYFUNCTION("""COMPUTED_VALUE"""),"CATEGORY_PAGE")</f>
        <v>CATEGORY_PAGE</v>
      </c>
      <c r="E623" s="11" t="str">
        <f>IFERROR(__xludf.DUMMYFUNCTION("""COMPUTED_VALUE"""),"REFERENCE")</f>
        <v>REFERENCE</v>
      </c>
      <c r="F623" s="11" t="str">
        <f>IFERROR(__xludf.DUMMYFUNCTION("""COMPUTED_VALUE"""),"Category Page")</f>
        <v>Category Page</v>
      </c>
      <c r="G623" s="11" t="b">
        <f>IFERROR(__xludf.DUMMYFUNCTION("""COMPUTED_VALUE"""),FALSE)</f>
        <v>0</v>
      </c>
      <c r="H623" s="11" t="str">
        <f>IFERROR(__xludf.DUMMYFUNCTION("""COMPUTED_VALUE"""),"HECHT INS GEFECHT, KlickPiloten, The Boutique Agency, Mediacharge")</f>
        <v>HECHT INS GEFECHT, KlickPiloten, The Boutique Agency, Mediacharge</v>
      </c>
      <c r="I623" s="11">
        <f>IFERROR(__xludf.DUMMYFUNCTION("""COMPUTED_VALUE"""),1.0)</f>
        <v>1</v>
      </c>
      <c r="J623" s="11">
        <f>IFERROR(__xludf.DUMMYFUNCTION("""COMPUTED_VALUE"""),0.0)</f>
        <v>0</v>
      </c>
      <c r="K623" s="11">
        <f>IFERROR(__xludf.DUMMYFUNCTION("""COMPUTED_VALUE"""),0.0)</f>
        <v>0</v>
      </c>
      <c r="L623" s="11"/>
    </row>
    <row r="624" ht="15.75" customHeight="1">
      <c r="A624" s="8" t="str">
        <f>IFERROR(__xludf.DUMMYFUNCTION("""COMPUTED_VALUE"""),"https://www.superside.com/blog/ad-creative-agencies")</f>
        <v>https://www.superside.com/blog/ad-creative-agencies</v>
      </c>
      <c r="B624" s="11" t="str">
        <f>IFERROR(__xludf.DUMMYFUNCTION("""COMPUTED_VALUE"""),"12 Top Ad Creative Agencies for Enterprises &amp;amp; Brands (2026)")</f>
        <v>12 Top Ad Creative Agencies for Enterprises &amp;amp; Brands (2026)</v>
      </c>
      <c r="C624" s="8" t="str">
        <f>IFERROR(__xludf.DUMMYFUNCTION("""COMPUTED_VALUE"""),"superside.com")</f>
        <v>superside.com</v>
      </c>
      <c r="D624" s="11" t="str">
        <f>IFERROR(__xludf.DUMMYFUNCTION("""COMPUTED_VALUE"""),"LISTICLE")</f>
        <v>LISTICLE</v>
      </c>
      <c r="E624" s="11" t="str">
        <f>IFERROR(__xludf.DUMMYFUNCTION("""COMPUTED_VALUE"""),"COMPETITOR")</f>
        <v>COMPETITOR</v>
      </c>
      <c r="F624" s="11" t="str">
        <f>IFERROR(__xludf.DUMMYFUNCTION("""COMPUTED_VALUE"""),"Listicle")</f>
        <v>Listicle</v>
      </c>
      <c r="G624" s="11" t="b">
        <f>IFERROR(__xludf.DUMMYFUNCTION("""COMPUTED_VALUE"""),FALSE)</f>
        <v>0</v>
      </c>
      <c r="H624" s="11" t="str">
        <f>IFERROR(__xludf.DUMMYFUNCTION("""COMPUTED_VALUE"""),"Superside, Ogilvy, Accenture Song")</f>
        <v>Superside, Ogilvy, Accenture Song</v>
      </c>
      <c r="I624" s="11">
        <f>IFERROR(__xludf.DUMMYFUNCTION("""COMPUTED_VALUE"""),1.0)</f>
        <v>1</v>
      </c>
      <c r="J624" s="11">
        <f>IFERROR(__xludf.DUMMYFUNCTION("""COMPUTED_VALUE"""),0.0)</f>
        <v>0</v>
      </c>
      <c r="K624" s="11">
        <f>IFERROR(__xludf.DUMMYFUNCTION("""COMPUTED_VALUE"""),1.0)</f>
        <v>1</v>
      </c>
      <c r="L624" s="11"/>
    </row>
    <row r="625" ht="15.75" customHeight="1">
      <c r="A625" s="8" t="str">
        <f>IFERROR(__xludf.DUMMYFUNCTION("""COMPUTED_VALUE"""),"https://www.superside.com/blog/creative-strategy-agencies-examples")</f>
        <v>https://www.superside.com/blog/creative-strategy-agencies-examples</v>
      </c>
      <c r="B625" s="11" t="str">
        <f>IFERROR(__xludf.DUMMYFUNCTION("""COMPUTED_VALUE"""),"5 Best Creative Strategy Agencies (5+ Top Campaign Examples)")</f>
        <v>5 Best Creative Strategy Agencies (5+ Top Campaign Examples)</v>
      </c>
      <c r="C625" s="8" t="str">
        <f>IFERROR(__xludf.DUMMYFUNCTION("""COMPUTED_VALUE"""),"superside.com")</f>
        <v>superside.com</v>
      </c>
      <c r="D625" s="11" t="str">
        <f>IFERROR(__xludf.DUMMYFUNCTION("""COMPUTED_VALUE"""),"LISTICLE")</f>
        <v>LISTICLE</v>
      </c>
      <c r="E625" s="11" t="str">
        <f>IFERROR(__xludf.DUMMYFUNCTION("""COMPUTED_VALUE"""),"COMPETITOR")</f>
        <v>COMPETITOR</v>
      </c>
      <c r="F625" s="11" t="str">
        <f>IFERROR(__xludf.DUMMYFUNCTION("""COMPUTED_VALUE"""),"Listicle")</f>
        <v>Listicle</v>
      </c>
      <c r="G625" s="11" t="b">
        <f>IFERROR(__xludf.DUMMYFUNCTION("""COMPUTED_VALUE"""),FALSE)</f>
        <v>0</v>
      </c>
      <c r="H625" s="11" t="str">
        <f>IFERROR(__xludf.DUMMYFUNCTION("""COMPUTED_VALUE"""),"Superside, Momentum, Pilot")</f>
        <v>Superside, Momentum, Pilot</v>
      </c>
      <c r="I625" s="11">
        <f>IFERROR(__xludf.DUMMYFUNCTION("""COMPUTED_VALUE"""),1.0)</f>
        <v>1</v>
      </c>
      <c r="J625" s="11">
        <f>IFERROR(__xludf.DUMMYFUNCTION("""COMPUTED_VALUE"""),0.0)</f>
        <v>0</v>
      </c>
      <c r="K625" s="11">
        <f>IFERROR(__xludf.DUMMYFUNCTION("""COMPUTED_VALUE"""),1.0)</f>
        <v>1</v>
      </c>
      <c r="L625" s="11"/>
    </row>
    <row r="626" ht="15.75" customHeight="1">
      <c r="A626" s="8" t="str">
        <f>IFERROR(__xludf.DUMMYFUNCTION("""COMPUTED_VALUE"""),"https://syncgtm.com/blog/best-gtm-agencies-in-germany")</f>
        <v>https://syncgtm.com/blog/best-gtm-agencies-in-germany</v>
      </c>
      <c r="B626" s="11" t="str">
        <f>IFERROR(__xludf.DUMMYFUNCTION("""COMPUTED_VALUE"""),"6 Best GTM Agencies in Germany for Enterprise B2B (2026) | SyncGTM | SyncGTM")</f>
        <v>6 Best GTM Agencies in Germany for Enterprise B2B (2026) | SyncGTM | SyncGTM</v>
      </c>
      <c r="C626" s="8" t="str">
        <f>IFERROR(__xludf.DUMMYFUNCTION("""COMPUTED_VALUE"""),"syncgtm.com")</f>
        <v>syncgtm.com</v>
      </c>
      <c r="D626" s="11" t="str">
        <f>IFERROR(__xludf.DUMMYFUNCTION("""COMPUTED_VALUE"""),"LISTICLE")</f>
        <v>LISTICLE</v>
      </c>
      <c r="E626" s="11" t="str">
        <f>IFERROR(__xludf.DUMMYFUNCTION("""COMPUTED_VALUE"""),"CORPORATE")</f>
        <v>CORPORATE</v>
      </c>
      <c r="F626" s="11" t="str">
        <f>IFERROR(__xludf.DUMMYFUNCTION("""COMPUTED_VALUE"""),"Listicle")</f>
        <v>Listicle</v>
      </c>
      <c r="G626" s="11" t="b">
        <f>IFERROR(__xludf.DUMMYFUNCTION("""COMPUTED_VALUE"""),FALSE)</f>
        <v>0</v>
      </c>
      <c r="H626" s="11" t="str">
        <f>IFERROR(__xludf.DUMMYFUNCTION("""COMPUTED_VALUE"""),"Mediacharge")</f>
        <v>Mediacharge</v>
      </c>
      <c r="I626" s="11">
        <f>IFERROR(__xludf.DUMMYFUNCTION("""COMPUTED_VALUE"""),1.0)</f>
        <v>1</v>
      </c>
      <c r="J626" s="11">
        <f>IFERROR(__xludf.DUMMYFUNCTION("""COMPUTED_VALUE"""),0.0)</f>
        <v>0</v>
      </c>
      <c r="K626" s="11">
        <f>IFERROR(__xludf.DUMMYFUNCTION("""COMPUTED_VALUE"""),0.0)</f>
        <v>0</v>
      </c>
      <c r="L626" s="11"/>
    </row>
    <row r="627" ht="15.75" customHeight="1">
      <c r="A627" s="8" t="str">
        <f>IFERROR(__xludf.DUMMYFUNCTION("""COMPUTED_VALUE"""),"https://teamai.com/blog/generative-ai-and-business/top-geo-agencies-for-ai-visibility/")</f>
        <v>https://teamai.com/blog/generative-ai-and-business/top-geo-agencies-for-ai-visibility/</v>
      </c>
      <c r="B627" s="11" t="str">
        <f>IFERROR(__xludf.DUMMYFUNCTION("""COMPUTED_VALUE"""),"The Best GEO Agencies to Explore in 2026")</f>
        <v>The Best GEO Agencies to Explore in 2026</v>
      </c>
      <c r="C627" s="8" t="str">
        <f>IFERROR(__xludf.DUMMYFUNCTION("""COMPUTED_VALUE"""),"teamai.com")</f>
        <v>teamai.com</v>
      </c>
      <c r="D627" s="11" t="str">
        <f>IFERROR(__xludf.DUMMYFUNCTION("""COMPUTED_VALUE"""),"LISTICLE")</f>
        <v>LISTICLE</v>
      </c>
      <c r="E627" s="11" t="str">
        <f>IFERROR(__xludf.DUMMYFUNCTION("""COMPUTED_VALUE"""),"CORPORATE")</f>
        <v>CORPORATE</v>
      </c>
      <c r="F627" s="11" t="str">
        <f>IFERROR(__xludf.DUMMYFUNCTION("""COMPUTED_VALUE"""),"Listicle")</f>
        <v>Listicle</v>
      </c>
      <c r="G627" s="11" t="b">
        <f>IFERROR(__xludf.DUMMYFUNCTION("""COMPUTED_VALUE"""),FALSE)</f>
        <v>0</v>
      </c>
      <c r="H627" s="11" t="str">
        <f>IFERROR(__xludf.DUMMYFUNCTION("""COMPUTED_VALUE"""),"WebFX, Siege Media")</f>
        <v>WebFX, Siege Media</v>
      </c>
      <c r="I627" s="11">
        <f>IFERROR(__xludf.DUMMYFUNCTION("""COMPUTED_VALUE"""),1.0)</f>
        <v>1</v>
      </c>
      <c r="J627" s="11">
        <f>IFERROR(__xludf.DUMMYFUNCTION("""COMPUTED_VALUE"""),0.0)</f>
        <v>0</v>
      </c>
      <c r="K627" s="11">
        <f>IFERROR(__xludf.DUMMYFUNCTION("""COMPUTED_VALUE"""),0.0)</f>
        <v>0</v>
      </c>
      <c r="L627" s="11"/>
    </row>
    <row r="628" ht="15.75" customHeight="1">
      <c r="A628" s="8" t="str">
        <f>IFERROR(__xludf.DUMMYFUNCTION("""COMPUTED_VALUE"""),"https://tech-now.io/en/blogs/top-10-app-development-companies-in-germany/")</f>
        <v>https://tech-now.io/en/blogs/top-10-app-development-companies-in-germany/</v>
      </c>
      <c r="B628" s="11" t="str">
        <f>IFERROR(__xludf.DUMMYFUNCTION("""COMPUTED_VALUE"""),"Top 10 App Development Companies in Germany - TechNow")</f>
        <v>Top 10 App Development Companies in Germany - TechNow</v>
      </c>
      <c r="C628" s="8" t="str">
        <f>IFERROR(__xludf.DUMMYFUNCTION("""COMPUTED_VALUE"""),"tech-now.io")</f>
        <v>tech-now.io</v>
      </c>
      <c r="D628" s="11" t="str">
        <f>IFERROR(__xludf.DUMMYFUNCTION("""COMPUTED_VALUE"""),"LISTICLE")</f>
        <v>LISTICLE</v>
      </c>
      <c r="E628" s="11" t="str">
        <f>IFERROR(__xludf.DUMMYFUNCTION("""COMPUTED_VALUE"""),"EDITORIAL")</f>
        <v>EDITORIAL</v>
      </c>
      <c r="F628" s="11" t="str">
        <f>IFERROR(__xludf.DUMMYFUNCTION("""COMPUTED_VALUE"""),"Listicle")</f>
        <v>Listicle</v>
      </c>
      <c r="G628" s="11" t="b">
        <f>IFERROR(__xludf.DUMMYFUNCTION("""COMPUTED_VALUE"""),FALSE)</f>
        <v>0</v>
      </c>
      <c r="H628" s="11"/>
      <c r="I628" s="11">
        <f>IFERROR(__xludf.DUMMYFUNCTION("""COMPUTED_VALUE"""),1.0)</f>
        <v>1</v>
      </c>
      <c r="J628" s="11">
        <f>IFERROR(__xludf.DUMMYFUNCTION("""COMPUTED_VALUE"""),0.0)</f>
        <v>0</v>
      </c>
      <c r="K628" s="11">
        <f>IFERROR(__xludf.DUMMYFUNCTION("""COMPUTED_VALUE"""),0.0)</f>
        <v>0</v>
      </c>
      <c r="L628" s="11"/>
    </row>
    <row r="629" ht="15.75" customHeight="1">
      <c r="A629" s="8" t="str">
        <f>IFERROR(__xludf.DUMMYFUNCTION("""COMPUTED_VALUE"""),"https://tech-now.io/en/blogs/top-10-best-it-companies-in-dusseldorf/")</f>
        <v>https://tech-now.io/en/blogs/top-10-best-it-companies-in-dusseldorf/</v>
      </c>
      <c r="B629" s="11" t="str">
        <f>IFERROR(__xludf.DUMMYFUNCTION("""COMPUTED_VALUE"""),"Top 10 Best IT Companies in Düsseldorf (2026) - TechNow")</f>
        <v>Top 10 Best IT Companies in Düsseldorf (2026) - TechNow</v>
      </c>
      <c r="C629" s="8" t="str">
        <f>IFERROR(__xludf.DUMMYFUNCTION("""COMPUTED_VALUE"""),"tech-now.io")</f>
        <v>tech-now.io</v>
      </c>
      <c r="D629" s="11" t="str">
        <f>IFERROR(__xludf.DUMMYFUNCTION("""COMPUTED_VALUE"""),"LISTICLE")</f>
        <v>LISTICLE</v>
      </c>
      <c r="E629" s="11" t="str">
        <f>IFERROR(__xludf.DUMMYFUNCTION("""COMPUTED_VALUE"""),"EDITORIAL")</f>
        <v>EDITORIAL</v>
      </c>
      <c r="F629" s="11" t="str">
        <f>IFERROR(__xludf.DUMMYFUNCTION("""COMPUTED_VALUE"""),"Listicle")</f>
        <v>Listicle</v>
      </c>
      <c r="G629" s="11" t="b">
        <f>IFERROR(__xludf.DUMMYFUNCTION("""COMPUTED_VALUE"""),FALSE)</f>
        <v>0</v>
      </c>
      <c r="H629" s="11" t="str">
        <f>IFERROR(__xludf.DUMMYFUNCTION("""COMPUTED_VALUE"""),"Capgemini")</f>
        <v>Capgemini</v>
      </c>
      <c r="I629" s="11">
        <f>IFERROR(__xludf.DUMMYFUNCTION("""COMPUTED_VALUE"""),1.0)</f>
        <v>1</v>
      </c>
      <c r="J629" s="11">
        <f>IFERROR(__xludf.DUMMYFUNCTION("""COMPUTED_VALUE"""),0.0)</f>
        <v>0</v>
      </c>
      <c r="K629" s="11">
        <f>IFERROR(__xludf.DUMMYFUNCTION("""COMPUTED_VALUE"""),0.0)</f>
        <v>0</v>
      </c>
      <c r="L629" s="11"/>
    </row>
    <row r="630" ht="15.75" customHeight="1">
      <c r="A630" s="8" t="str">
        <f>IFERROR(__xludf.DUMMYFUNCTION("""COMPUTED_VALUE"""),"https://tech.us/blog/top-ai-agent-development-companies-usa")</f>
        <v>https://tech.us/blog/top-ai-agent-development-companies-usa</v>
      </c>
      <c r="B630" s="11" t="str">
        <f>IFERROR(__xludf.DUMMYFUNCTION("""COMPUTED_VALUE"""),"Top 10 Trusted AI Agent Development Companies in USA 2026")</f>
        <v>Top 10 Trusted AI Agent Development Companies in USA 2026</v>
      </c>
      <c r="C630" s="8" t="str">
        <f>IFERROR(__xludf.DUMMYFUNCTION("""COMPUTED_VALUE"""),"tech.us")</f>
        <v>tech.us</v>
      </c>
      <c r="D630" s="11" t="str">
        <f>IFERROR(__xludf.DUMMYFUNCTION("""COMPUTED_VALUE"""),"LISTICLE")</f>
        <v>LISTICLE</v>
      </c>
      <c r="E630" s="11" t="str">
        <f>IFERROR(__xludf.DUMMYFUNCTION("""COMPUTED_VALUE"""),"CORPORATE")</f>
        <v>CORPORATE</v>
      </c>
      <c r="F630" s="11" t="str">
        <f>IFERROR(__xludf.DUMMYFUNCTION("""COMPUTED_VALUE"""),"Listicle")</f>
        <v>Listicle</v>
      </c>
      <c r="G630" s="11" t="b">
        <f>IFERROR(__xludf.DUMMYFUNCTION("""COMPUTED_VALUE"""),FALSE)</f>
        <v>0</v>
      </c>
      <c r="H630" s="11"/>
      <c r="I630" s="11">
        <f>IFERROR(__xludf.DUMMYFUNCTION("""COMPUTED_VALUE"""),1.0)</f>
        <v>1</v>
      </c>
      <c r="J630" s="11">
        <f>IFERROR(__xludf.DUMMYFUNCTION("""COMPUTED_VALUE"""),0.0)</f>
        <v>0</v>
      </c>
      <c r="K630" s="11">
        <f>IFERROR(__xludf.DUMMYFUNCTION("""COMPUTED_VALUE"""),1.0)</f>
        <v>1</v>
      </c>
      <c r="L630" s="11"/>
    </row>
    <row r="631" ht="15.75" customHeight="1">
      <c r="A631" s="8" t="str">
        <f>IFERROR(__xludf.DUMMYFUNCTION("""COMPUTED_VALUE"""),"https://www.techaheadcorp.com/services/ai-development/")</f>
        <v>https://www.techaheadcorp.com/services/ai-development/</v>
      </c>
      <c r="B631" s="11" t="str">
        <f>IFERROR(__xludf.DUMMYFUNCTION("""COMPUTED_VALUE"""),"Top AI Development Company in USA")</f>
        <v>Top AI Development Company in USA</v>
      </c>
      <c r="C631" s="8" t="str">
        <f>IFERROR(__xludf.DUMMYFUNCTION("""COMPUTED_VALUE"""),"techaheadcorp.com")</f>
        <v>techaheadcorp.com</v>
      </c>
      <c r="D631" s="11" t="str">
        <f>IFERROR(__xludf.DUMMYFUNCTION("""COMPUTED_VALUE"""),"PRODUCT_PAGE")</f>
        <v>PRODUCT_PAGE</v>
      </c>
      <c r="E631" s="11" t="str">
        <f>IFERROR(__xludf.DUMMYFUNCTION("""COMPUTED_VALUE"""),"CORPORATE")</f>
        <v>CORPORATE</v>
      </c>
      <c r="F631" s="11" t="str">
        <f>IFERROR(__xludf.DUMMYFUNCTION("""COMPUTED_VALUE"""),"Product Page")</f>
        <v>Product Page</v>
      </c>
      <c r="G631" s="11" t="b">
        <f>IFERROR(__xludf.DUMMYFUNCTION("""COMPUTED_VALUE"""),FALSE)</f>
        <v>0</v>
      </c>
      <c r="H631" s="11" t="str">
        <f>IFERROR(__xludf.DUMMYFUNCTION("""COMPUTED_VALUE"""),"Pilot, Measured")</f>
        <v>Pilot, Measured</v>
      </c>
      <c r="I631" s="11">
        <f>IFERROR(__xludf.DUMMYFUNCTION("""COMPUTED_VALUE"""),1.0)</f>
        <v>1</v>
      </c>
      <c r="J631" s="11">
        <f>IFERROR(__xludf.DUMMYFUNCTION("""COMPUTED_VALUE"""),0.0)</f>
        <v>0</v>
      </c>
      <c r="K631" s="11">
        <f>IFERROR(__xludf.DUMMYFUNCTION("""COMPUTED_VALUE"""),1.0)</f>
        <v>1</v>
      </c>
      <c r="L631" s="11"/>
    </row>
    <row r="632" ht="15.75" customHeight="1">
      <c r="A632" s="8" t="str">
        <f>IFERROR(__xludf.DUMMYFUNCTION("""COMPUTED_VALUE"""),"https://techbehemoths.com/companies/outdoor-advertising/germany")</f>
        <v>https://techbehemoths.com/companies/outdoor-advertising/germany</v>
      </c>
      <c r="B632" s="11" t="str">
        <f>IFERROR(__xludf.DUMMYFUNCTION("""COMPUTED_VALUE"""),"Top 20+ Outdoor Advertising Agencies in Germany (2026) - TechBehemoths")</f>
        <v>Top 20+ Outdoor Advertising Agencies in Germany (2026) - TechBehemoths</v>
      </c>
      <c r="C632" s="8" t="str">
        <f>IFERROR(__xludf.DUMMYFUNCTION("""COMPUTED_VALUE"""),"techbehemoths.com")</f>
        <v>techbehemoths.com</v>
      </c>
      <c r="D632" s="11" t="str">
        <f>IFERROR(__xludf.DUMMYFUNCTION("""COMPUTED_VALUE"""),"PROFILE")</f>
        <v>PROFILE</v>
      </c>
      <c r="E632" s="11" t="str">
        <f>IFERROR(__xludf.DUMMYFUNCTION("""COMPUTED_VALUE"""),"REFERENCE")</f>
        <v>REFERENCE</v>
      </c>
      <c r="F632" s="11" t="str">
        <f>IFERROR(__xludf.DUMMYFUNCTION("""COMPUTED_VALUE"""),"Profile")</f>
        <v>Profile</v>
      </c>
      <c r="G632" s="11" t="b">
        <f>IFERROR(__xludf.DUMMYFUNCTION("""COMPUTED_VALUE"""),FALSE)</f>
        <v>0</v>
      </c>
      <c r="H632" s="11" t="str">
        <f>IFERROR(__xludf.DUMMYFUNCTION("""COMPUTED_VALUE"""),"Huge")</f>
        <v>Huge</v>
      </c>
      <c r="I632" s="11">
        <f>IFERROR(__xludf.DUMMYFUNCTION("""COMPUTED_VALUE"""),1.0)</f>
        <v>1</v>
      </c>
      <c r="J632" s="11">
        <f>IFERROR(__xludf.DUMMYFUNCTION("""COMPUTED_VALUE"""),0.0)</f>
        <v>0</v>
      </c>
      <c r="K632" s="11">
        <f>IFERROR(__xludf.DUMMYFUNCTION("""COMPUTED_VALUE"""),1.0)</f>
        <v>1</v>
      </c>
      <c r="L632" s="11"/>
    </row>
    <row r="633" ht="15.75" customHeight="1">
      <c r="A633" s="8" t="str">
        <f>IFERROR(__xludf.DUMMYFUNCTION("""COMPUTED_VALUE"""),"https://techradiant.co/agencies/generative-engine-optimization/")</f>
        <v>https://techradiant.co/agencies/generative-engine-optimization/</v>
      </c>
      <c r="B633" s="11" t="str">
        <f>IFERROR(__xludf.DUMMYFUNCTION("""COMPUTED_VALUE"""),"Best Generative Engine Optimization Companies 2026 | Top GEO Experts - Techradiant")</f>
        <v>Best Generative Engine Optimization Companies 2026 | Top GEO Experts - Techradiant</v>
      </c>
      <c r="C633" s="8" t="str">
        <f>IFERROR(__xludf.DUMMYFUNCTION("""COMPUTED_VALUE"""),"techradiant.co")</f>
        <v>techradiant.co</v>
      </c>
      <c r="D633" s="11" t="str">
        <f>IFERROR(__xludf.DUMMYFUNCTION("""COMPUTED_VALUE"""),"CATEGORY_PAGE")</f>
        <v>CATEGORY_PAGE</v>
      </c>
      <c r="E633" s="11" t="str">
        <f>IFERROR(__xludf.DUMMYFUNCTION("""COMPUTED_VALUE"""),"REFERENCE")</f>
        <v>REFERENCE</v>
      </c>
      <c r="F633" s="11" t="str">
        <f>IFERROR(__xludf.DUMMYFUNCTION("""COMPUTED_VALUE"""),"Category Page")</f>
        <v>Category Page</v>
      </c>
      <c r="G633" s="11" t="b">
        <f>IFERROR(__xludf.DUMMYFUNCTION("""COMPUTED_VALUE"""),FALSE)</f>
        <v>0</v>
      </c>
      <c r="H633" s="11" t="str">
        <f>IFERROR(__xludf.DUMMYFUNCTION("""COMPUTED_VALUE"""),"Directive Consulting")</f>
        <v>Directive Consulting</v>
      </c>
      <c r="I633" s="11">
        <f>IFERROR(__xludf.DUMMYFUNCTION("""COMPUTED_VALUE"""),1.0)</f>
        <v>1</v>
      </c>
      <c r="J633" s="11">
        <f>IFERROR(__xludf.DUMMYFUNCTION("""COMPUTED_VALUE"""),0.0)</f>
        <v>0</v>
      </c>
      <c r="K633" s="11">
        <f>IFERROR(__xludf.DUMMYFUNCTION("""COMPUTED_VALUE"""),0.0)</f>
        <v>0</v>
      </c>
      <c r="L633" s="11"/>
    </row>
    <row r="634" ht="15.75" customHeight="1">
      <c r="A634" s="8" t="str">
        <f>IFERROR(__xludf.DUMMYFUNCTION("""COMPUTED_VALUE"""),"https://terratern.com/blog/civil-engineering-companies-in-germany/")</f>
        <v>https://terratern.com/blog/civil-engineering-companies-in-germany/</v>
      </c>
      <c r="B634" s="11" t="str">
        <f>IFERROR(__xludf.DUMMYFUNCTION("""COMPUTED_VALUE"""),"Top Civil Engineering Companies in Germany: Latest List 2025")</f>
        <v>Top Civil Engineering Companies in Germany: Latest List 2025</v>
      </c>
      <c r="C634" s="8" t="str">
        <f>IFERROR(__xludf.DUMMYFUNCTION("""COMPUTED_VALUE"""),"terratern.com")</f>
        <v>terratern.com</v>
      </c>
      <c r="D634" s="11" t="str">
        <f>IFERROR(__xludf.DUMMYFUNCTION("""COMPUTED_VALUE"""),"LISTICLE")</f>
        <v>LISTICLE</v>
      </c>
      <c r="E634" s="11" t="str">
        <f>IFERROR(__xludf.DUMMYFUNCTION("""COMPUTED_VALUE"""),"CORPORATE")</f>
        <v>CORPORATE</v>
      </c>
      <c r="F634" s="11" t="str">
        <f>IFERROR(__xludf.DUMMYFUNCTION("""COMPUTED_VALUE"""),"Listicle")</f>
        <v>Listicle</v>
      </c>
      <c r="G634" s="11" t="b">
        <f>IFERROR(__xludf.DUMMYFUNCTION("""COMPUTED_VALUE"""),FALSE)</f>
        <v>0</v>
      </c>
      <c r="H634" s="11"/>
      <c r="I634" s="11">
        <f>IFERROR(__xludf.DUMMYFUNCTION("""COMPUTED_VALUE"""),1.0)</f>
        <v>1</v>
      </c>
      <c r="J634" s="11">
        <f>IFERROR(__xludf.DUMMYFUNCTION("""COMPUTED_VALUE"""),0.0)</f>
        <v>0</v>
      </c>
      <c r="K634" s="11">
        <f>IFERROR(__xludf.DUMMYFUNCTION("""COMPUTED_VALUE"""),1.0)</f>
        <v>1</v>
      </c>
      <c r="L634" s="11"/>
    </row>
    <row r="635" ht="15.75" customHeight="1">
      <c r="A635" s="8" t="str">
        <f>IFERROR(__xludf.DUMMYFUNCTION("""COMPUTED_VALUE"""),"https://www.theadfirm.net/ai-seo/")</f>
        <v>https://www.theadfirm.net/ai-seo/</v>
      </c>
      <c r="B635" s="11" t="str">
        <f>IFERROR(__xludf.DUMMYFUNCTION("""COMPUTED_VALUE"""),"AI SEO Agency: Top-Rated AI SEO Services \| The Ad Firm")</f>
        <v>AI SEO Agency: Top-Rated AI SEO Services \| The Ad Firm</v>
      </c>
      <c r="C635" s="8" t="str">
        <f>IFERROR(__xludf.DUMMYFUNCTION("""COMPUTED_VALUE"""),"theadfirm.net")</f>
        <v>theadfirm.net</v>
      </c>
      <c r="D635" s="11" t="str">
        <f>IFERROR(__xludf.DUMMYFUNCTION("""COMPUTED_VALUE"""),"HOMEPAGE")</f>
        <v>HOMEPAGE</v>
      </c>
      <c r="E635" s="11" t="str">
        <f>IFERROR(__xludf.DUMMYFUNCTION("""COMPUTED_VALUE"""),"OTHER")</f>
        <v>OTHER</v>
      </c>
      <c r="F635" s="11" t="str">
        <f>IFERROR(__xludf.DUMMYFUNCTION("""COMPUTED_VALUE"""),"Homepage")</f>
        <v>Homepage</v>
      </c>
      <c r="G635" s="11" t="b">
        <f>IFERROR(__xludf.DUMMYFUNCTION("""COMPUTED_VALUE"""),FALSE)</f>
        <v>0</v>
      </c>
      <c r="H635" s="11" t="str">
        <f>IFERROR(__xludf.DUMMYFUNCTION("""COMPUTED_VALUE"""),"Measured, Huge")</f>
        <v>Measured, Huge</v>
      </c>
      <c r="I635" s="11">
        <f>IFERROR(__xludf.DUMMYFUNCTION("""COMPUTED_VALUE"""),1.0)</f>
        <v>1</v>
      </c>
      <c r="J635" s="11">
        <f>IFERROR(__xludf.DUMMYFUNCTION("""COMPUTED_VALUE"""),0.0)</f>
        <v>0</v>
      </c>
      <c r="K635" s="11">
        <f>IFERROR(__xludf.DUMMYFUNCTION("""COMPUTED_VALUE"""),1.0)</f>
        <v>1</v>
      </c>
      <c r="L635" s="11"/>
    </row>
    <row r="636" ht="15.75" customHeight="1">
      <c r="A636" s="8" t="str">
        <f>IFERROR(__xludf.DUMMYFUNCTION("""COMPUTED_VALUE"""),"https://www.thebusinessrover.com/blog/media-buying-agencies")</f>
        <v>https://www.thebusinessrover.com/blog/media-buying-agencies</v>
      </c>
      <c r="B636" s="11" t="str">
        <f>IFERROR(__xludf.DUMMYFUNCTION("""COMPUTED_VALUE"""),"13 Best Media Buying Agencies in 2026 | The Business Rover")</f>
        <v>13 Best Media Buying Agencies in 2026 | The Business Rover</v>
      </c>
      <c r="C636" s="8" t="str">
        <f>IFERROR(__xludf.DUMMYFUNCTION("""COMPUTED_VALUE"""),"thebusinessrover.com")</f>
        <v>thebusinessrover.com</v>
      </c>
      <c r="D636" s="11" t="str">
        <f>IFERROR(__xludf.DUMMYFUNCTION("""COMPUTED_VALUE"""),"LISTICLE")</f>
        <v>LISTICLE</v>
      </c>
      <c r="E636" s="11" t="str">
        <f>IFERROR(__xludf.DUMMYFUNCTION("""COMPUTED_VALUE"""),"CORPORATE")</f>
        <v>CORPORATE</v>
      </c>
      <c r="F636" s="11" t="str">
        <f>IFERROR(__xludf.DUMMYFUNCTION("""COMPUTED_VALUE"""),"Listicle")</f>
        <v>Listicle</v>
      </c>
      <c r="G636" s="11" t="b">
        <f>IFERROR(__xludf.DUMMYFUNCTION("""COMPUTED_VALUE"""),FALSE)</f>
        <v>0</v>
      </c>
      <c r="H636" s="11" t="str">
        <f>IFERROR(__xludf.DUMMYFUNCTION("""COMPUTED_VALUE"""),"Measured, Tinuiti, Darkroom, Common Thread Collective, Disruptive Advertising, Power Digital, Hawke Media, New Engen, PMG, Wpromote, Brainlabs, Directive Consulting")</f>
        <v>Measured, Tinuiti, Darkroom, Common Thread Collective, Disruptive Advertising, Power Digital, Hawke Media, New Engen, PMG, Wpromote, Brainlabs, Directive Consulting</v>
      </c>
      <c r="I636" s="11">
        <f>IFERROR(__xludf.DUMMYFUNCTION("""COMPUTED_VALUE"""),1.0)</f>
        <v>1</v>
      </c>
      <c r="J636" s="11">
        <f>IFERROR(__xludf.DUMMYFUNCTION("""COMPUTED_VALUE"""),0.0)</f>
        <v>0</v>
      </c>
      <c r="K636" s="11">
        <f>IFERROR(__xludf.DUMMYFUNCTION("""COMPUTED_VALUE"""),0.0)</f>
        <v>0</v>
      </c>
      <c r="L636" s="11"/>
    </row>
    <row r="637" ht="15.75" customHeight="1">
      <c r="A637" s="8" t="str">
        <f>IFERROR(__xludf.DUMMYFUNCTION("""COMPUTED_VALUE"""),"https://www.thebusinessrover.com/de/blog/growth-marketing-agencies")</f>
        <v>https://www.thebusinessrover.com/de/blog/growth-marketing-agencies</v>
      </c>
      <c r="B637" s="11" t="str">
        <f>IFERROR(__xludf.DUMMYFUNCTION("""COMPUTED_VALUE"""),"15 Best Growth Marketing Agencies in | Der Business Rover")</f>
        <v>15 Best Growth Marketing Agencies in | Der Business Rover</v>
      </c>
      <c r="C637" s="8" t="str">
        <f>IFERROR(__xludf.DUMMYFUNCTION("""COMPUTED_VALUE"""),"thebusinessrover.com")</f>
        <v>thebusinessrover.com</v>
      </c>
      <c r="D637" s="11" t="str">
        <f>IFERROR(__xludf.DUMMYFUNCTION("""COMPUTED_VALUE"""),"LISTICLE")</f>
        <v>LISTICLE</v>
      </c>
      <c r="E637" s="11" t="str">
        <f>IFERROR(__xludf.DUMMYFUNCTION("""COMPUTED_VALUE"""),"CORPORATE")</f>
        <v>CORPORATE</v>
      </c>
      <c r="F637" s="11" t="str">
        <f>IFERROR(__xludf.DUMMYFUNCTION("""COMPUTED_VALUE"""),"Listicle")</f>
        <v>Listicle</v>
      </c>
      <c r="G637" s="11" t="b">
        <f>IFERROR(__xludf.DUMMYFUNCTION("""COMPUTED_VALUE"""),FALSE)</f>
        <v>0</v>
      </c>
      <c r="H637" s="11" t="str">
        <f>IFERROR(__xludf.DUMMYFUNCTION("""COMPUTED_VALUE"""),"NoGood, Wpromote, Omniscient Digital, Single Grain, Refine Labs")</f>
        <v>NoGood, Wpromote, Omniscient Digital, Single Grain, Refine Labs</v>
      </c>
      <c r="I637" s="11">
        <f>IFERROR(__xludf.DUMMYFUNCTION("""COMPUTED_VALUE"""),1.0)</f>
        <v>1</v>
      </c>
      <c r="J637" s="11">
        <f>IFERROR(__xludf.DUMMYFUNCTION("""COMPUTED_VALUE"""),0.0)</f>
        <v>0</v>
      </c>
      <c r="K637" s="11">
        <f>IFERROR(__xludf.DUMMYFUNCTION("""COMPUTED_VALUE"""),1.0)</f>
        <v>1</v>
      </c>
      <c r="L637" s="11"/>
    </row>
    <row r="638" ht="15.75" customHeight="1">
      <c r="A638" s="8" t="str">
        <f>IFERROR(__xludf.DUMMYFUNCTION("""COMPUTED_VALUE"""),"https://thecxlead.com/services/best-customer-data-platform-consulting/")</f>
        <v>https://thecxlead.com/services/best-customer-data-platform-consulting/</v>
      </c>
      <c r="B638" s="11" t="str">
        <f>IFERROR(__xludf.DUMMYFUNCTION("""COMPUTED_VALUE"""),"10 Best Customer Data Platform Consultants in 2026")</f>
        <v>10 Best Customer Data Platform Consultants in 2026</v>
      </c>
      <c r="C638" s="8" t="str">
        <f>IFERROR(__xludf.DUMMYFUNCTION("""COMPUTED_VALUE"""),"thecxlead.com")</f>
        <v>thecxlead.com</v>
      </c>
      <c r="D638" s="11" t="str">
        <f>IFERROR(__xludf.DUMMYFUNCTION("""COMPUTED_VALUE"""),"PRODUCT_PAGE")</f>
        <v>PRODUCT_PAGE</v>
      </c>
      <c r="E638" s="11" t="str">
        <f>IFERROR(__xludf.DUMMYFUNCTION("""COMPUTED_VALUE"""),"OTHER")</f>
        <v>OTHER</v>
      </c>
      <c r="F638" s="11" t="str">
        <f>IFERROR(__xludf.DUMMYFUNCTION("""COMPUTED_VALUE"""),"Product Page")</f>
        <v>Product Page</v>
      </c>
      <c r="G638" s="11" t="b">
        <f>IFERROR(__xludf.DUMMYFUNCTION("""COMPUTED_VALUE"""),FALSE)</f>
        <v>0</v>
      </c>
      <c r="H638" s="11" t="str">
        <f>IFERROR(__xludf.DUMMYFUNCTION("""COMPUTED_VALUE"""),"Brandtech, Pilot, PwC")</f>
        <v>Brandtech, Pilot, PwC</v>
      </c>
      <c r="I638" s="11">
        <f>IFERROR(__xludf.DUMMYFUNCTION("""COMPUTED_VALUE"""),1.0)</f>
        <v>1</v>
      </c>
      <c r="J638" s="11">
        <f>IFERROR(__xludf.DUMMYFUNCTION("""COMPUTED_VALUE"""),0.0)</f>
        <v>0</v>
      </c>
      <c r="K638" s="11">
        <f>IFERROR(__xludf.DUMMYFUNCTION("""COMPUTED_VALUE"""),0.0)</f>
        <v>0</v>
      </c>
      <c r="L638" s="11"/>
    </row>
    <row r="639" ht="15.75" customHeight="1">
      <c r="A639" s="8" t="str">
        <f>IFERROR(__xludf.DUMMYFUNCTION("""COMPUTED_VALUE"""),"https://www.thedrum.com/news/world-creative-rankings-2023-adland-s-top-independent-agencies-revealed")</f>
        <v>https://www.thedrum.com/news/world-creative-rankings-2023-adland-s-top-independent-agencies-revealed</v>
      </c>
      <c r="B639" s="11" t="str">
        <f>IFERROR(__xludf.DUMMYFUNCTION("""COMPUTED_VALUE"""),"World Creative Rankings 2023: adland’s top independent agencies revealed | The Drum")</f>
        <v>World Creative Rankings 2023: adland’s top independent agencies revealed | The Drum</v>
      </c>
      <c r="C639" s="8" t="str">
        <f>IFERROR(__xludf.DUMMYFUNCTION("""COMPUTED_VALUE"""),"thedrum.com")</f>
        <v>thedrum.com</v>
      </c>
      <c r="D639" s="11" t="str">
        <f>IFERROR(__xludf.DUMMYFUNCTION("""COMPUTED_VALUE"""),"LISTICLE")</f>
        <v>LISTICLE</v>
      </c>
      <c r="E639" s="11" t="str">
        <f>IFERROR(__xludf.DUMMYFUNCTION("""COMPUTED_VALUE"""),"EDITORIAL")</f>
        <v>EDITORIAL</v>
      </c>
      <c r="F639" s="11" t="str">
        <f>IFERROR(__xludf.DUMMYFUNCTION("""COMPUTED_VALUE"""),"Listicle")</f>
        <v>Listicle</v>
      </c>
      <c r="G639" s="11" t="b">
        <f>IFERROR(__xludf.DUMMYFUNCTION("""COMPUTED_VALUE"""),FALSE)</f>
        <v>0</v>
      </c>
      <c r="H639" s="11" t="str">
        <f>IFERROR(__xludf.DUMMYFUNCTION("""COMPUTED_VALUE"""),"Ogilvy")</f>
        <v>Ogilvy</v>
      </c>
      <c r="I639" s="11">
        <f>IFERROR(__xludf.DUMMYFUNCTION("""COMPUTED_VALUE"""),1.0)</f>
        <v>1</v>
      </c>
      <c r="J639" s="11">
        <f>IFERROR(__xludf.DUMMYFUNCTION("""COMPUTED_VALUE"""),0.0)</f>
        <v>0</v>
      </c>
      <c r="K639" s="11">
        <f>IFERROR(__xludf.DUMMYFUNCTION("""COMPUTED_VALUE"""),1.0)</f>
        <v>1</v>
      </c>
      <c r="L639" s="11"/>
    </row>
    <row r="640" ht="15.75" customHeight="1">
      <c r="A640" s="8" t="str">
        <f>IFERROR(__xludf.DUMMYFUNCTION("""COMPUTED_VALUE"""),"https://www.thekeenfolks.com/blog-article/best-performance-marketing-agencies")</f>
        <v>https://www.thekeenfolks.com/blog-article/best-performance-marketing-agencies</v>
      </c>
      <c r="B640" s="11" t="str">
        <f>IFERROR(__xludf.DUMMYFUNCTION("""COMPUTED_VALUE"""),"The Best Performance Marketing Agencies for Enterprise Growth")</f>
        <v>The Best Performance Marketing Agencies for Enterprise Growth</v>
      </c>
      <c r="C640" s="8" t="str">
        <f>IFERROR(__xludf.DUMMYFUNCTION("""COMPUTED_VALUE"""),"thekeenfolks.com")</f>
        <v>thekeenfolks.com</v>
      </c>
      <c r="D640" s="11" t="str">
        <f>IFERROR(__xludf.DUMMYFUNCTION("""COMPUTED_VALUE"""),"LISTICLE")</f>
        <v>LISTICLE</v>
      </c>
      <c r="E640" s="11" t="str">
        <f>IFERROR(__xludf.DUMMYFUNCTION("""COMPUTED_VALUE"""),"EDITORIAL")</f>
        <v>EDITORIAL</v>
      </c>
      <c r="F640" s="11" t="str">
        <f>IFERROR(__xludf.DUMMYFUNCTION("""COMPUTED_VALUE"""),"Listicle")</f>
        <v>Listicle</v>
      </c>
      <c r="G640" s="11" t="b">
        <f>IFERROR(__xludf.DUMMYFUNCTION("""COMPUTED_VALUE"""),FALSE)</f>
        <v>0</v>
      </c>
      <c r="H640" s="11" t="str">
        <f>IFERROR(__xludf.DUMMYFUNCTION("""COMPUTED_VALUE"""),"Tinuiti, DEPT, Croud, Disruptive Advertising, WebFX")</f>
        <v>Tinuiti, DEPT, Croud, Disruptive Advertising, WebFX</v>
      </c>
      <c r="I640" s="11">
        <f>IFERROR(__xludf.DUMMYFUNCTION("""COMPUTED_VALUE"""),1.0)</f>
        <v>1</v>
      </c>
      <c r="J640" s="11">
        <f>IFERROR(__xludf.DUMMYFUNCTION("""COMPUTED_VALUE"""),0.0)</f>
        <v>0</v>
      </c>
      <c r="K640" s="11">
        <f>IFERROR(__xludf.DUMMYFUNCTION("""COMPUTED_VALUE"""),0.0)</f>
        <v>0</v>
      </c>
      <c r="L640" s="11"/>
    </row>
    <row r="641" ht="15.75" customHeight="1">
      <c r="A641" s="8" t="str">
        <f>IFERROR(__xludf.DUMMYFUNCTION("""COMPUTED_VALUE"""),"https://themanifest.com/de/artificial-intelligence/companies")</f>
        <v>https://themanifest.com/de/artificial-intelligence/companies</v>
      </c>
      <c r="B641" s="11" t="str">
        <f>IFERROR(__xludf.DUMMYFUNCTION("""COMPUTED_VALUE"""),"Top-Rated Artificial Intelligence &amp;amp; AI Companies for Healthcare, FinTech, eCommerce in Germany, Berlin, Munich | Vetted &amp;amp; Reviewed July 2026 | The Manifest")</f>
        <v>Top-Rated Artificial Intelligence &amp;amp; AI Companies for Healthcare, FinTech, eCommerce in Germany, Berlin, Munich | Vetted &amp;amp; Reviewed July 2026 | The Manifest</v>
      </c>
      <c r="C641" s="8" t="str">
        <f>IFERROR(__xludf.DUMMYFUNCTION("""COMPUTED_VALUE"""),"themanifest.com")</f>
        <v>themanifest.com</v>
      </c>
      <c r="D641" s="11" t="str">
        <f>IFERROR(__xludf.DUMMYFUNCTION("""COMPUTED_VALUE"""),"OTHER")</f>
        <v>OTHER</v>
      </c>
      <c r="E641" s="11" t="str">
        <f>IFERROR(__xludf.DUMMYFUNCTION("""COMPUTED_VALUE"""),"REFERENCE")</f>
        <v>REFERENCE</v>
      </c>
      <c r="F641" s="11" t="str">
        <f>IFERROR(__xludf.DUMMYFUNCTION("""COMPUTED_VALUE"""),"Other")</f>
        <v>Other</v>
      </c>
      <c r="G641" s="11" t="b">
        <f>IFERROR(__xludf.DUMMYFUNCTION("""COMPUTED_VALUE"""),FALSE)</f>
        <v>0</v>
      </c>
      <c r="H641" s="11" t="str">
        <f>IFERROR(__xludf.DUMMYFUNCTION("""COMPUTED_VALUE"""),"Admiral Media")</f>
        <v>Admiral Media</v>
      </c>
      <c r="I641" s="11">
        <f>IFERROR(__xludf.DUMMYFUNCTION("""COMPUTED_VALUE"""),1.0)</f>
        <v>1</v>
      </c>
      <c r="J641" s="11">
        <f>IFERROR(__xludf.DUMMYFUNCTION("""COMPUTED_VALUE"""),0.0)</f>
        <v>0</v>
      </c>
      <c r="K641" s="11">
        <f>IFERROR(__xludf.DUMMYFUNCTION("""COMPUTED_VALUE"""),0.0)</f>
        <v>0</v>
      </c>
      <c r="L641" s="11"/>
    </row>
    <row r="642" ht="15.75" customHeight="1">
      <c r="A642" s="8" t="str">
        <f>IFERROR(__xludf.DUMMYFUNCTION("""COMPUTED_VALUE"""),"https://themanifest.com/de/social-media/linkedin/agencies")</f>
        <v>https://themanifest.com/de/social-media/linkedin/agencies</v>
      </c>
      <c r="B642" s="11" t="str">
        <f>IFERROR(__xludf.DUMMYFUNCTION("""COMPUTED_VALUE"""),"The Best LinkedIn Advertising Companies in Germany - Jul 2026 | The Manifest")</f>
        <v>The Best LinkedIn Advertising Companies in Germany - Jul 2026 | The Manifest</v>
      </c>
      <c r="C642" s="8" t="str">
        <f>IFERROR(__xludf.DUMMYFUNCTION("""COMPUTED_VALUE"""),"themanifest.com")</f>
        <v>themanifest.com</v>
      </c>
      <c r="D642" s="11" t="str">
        <f>IFERROR(__xludf.DUMMYFUNCTION("""COMPUTED_VALUE"""),"CATEGORY_PAGE")</f>
        <v>CATEGORY_PAGE</v>
      </c>
      <c r="E642" s="11" t="str">
        <f>IFERROR(__xludf.DUMMYFUNCTION("""COMPUTED_VALUE"""),"REFERENCE")</f>
        <v>REFERENCE</v>
      </c>
      <c r="F642" s="11" t="str">
        <f>IFERROR(__xludf.DUMMYFUNCTION("""COMPUTED_VALUE"""),"Category Page")</f>
        <v>Category Page</v>
      </c>
      <c r="G642" s="11" t="b">
        <f>IFERROR(__xludf.DUMMYFUNCTION("""COMPUTED_VALUE"""),FALSE)</f>
        <v>0</v>
      </c>
      <c r="H642" s="11" t="str">
        <f>IFERROR(__xludf.DUMMYFUNCTION("""COMPUTED_VALUE"""),"MONSOON, HY.AM STUDIOS, PANORAMA3000, KlickPiloten, Pulse Advertising")</f>
        <v>MONSOON, HY.AM STUDIOS, PANORAMA3000, KlickPiloten, Pulse Advertising</v>
      </c>
      <c r="I642" s="11">
        <f>IFERROR(__xludf.DUMMYFUNCTION("""COMPUTED_VALUE"""),1.0)</f>
        <v>1</v>
      </c>
      <c r="J642" s="11">
        <f>IFERROR(__xludf.DUMMYFUNCTION("""COMPUTED_VALUE"""),0.0)</f>
        <v>0</v>
      </c>
      <c r="K642" s="11">
        <f>IFERROR(__xludf.DUMMYFUNCTION("""COMPUTED_VALUE"""),0.0)</f>
        <v>0</v>
      </c>
      <c r="L642" s="11"/>
    </row>
    <row r="643" ht="15.75" customHeight="1">
      <c r="A643" s="8" t="str">
        <f>IFERROR(__xludf.DUMMYFUNCTION("""COMPUTED_VALUE"""),"https://themanifest.com/de/social-media/tiktok/agencies")</f>
        <v>https://themanifest.com/de/social-media/tiktok/agencies</v>
      </c>
      <c r="B643" s="11" t="str">
        <f>IFERROR(__xludf.DUMMYFUNCTION("""COMPUTED_VALUE"""),"The Best TikTok Advertising Companies in Germany - Jul 2026 | The Manifest")</f>
        <v>The Best TikTok Advertising Companies in Germany - Jul 2026 | The Manifest</v>
      </c>
      <c r="C643" s="8" t="str">
        <f>IFERROR(__xludf.DUMMYFUNCTION("""COMPUTED_VALUE"""),"themanifest.com")</f>
        <v>themanifest.com</v>
      </c>
      <c r="D643" s="11" t="str">
        <f>IFERROR(__xludf.DUMMYFUNCTION("""COMPUTED_VALUE"""),"LISTICLE")</f>
        <v>LISTICLE</v>
      </c>
      <c r="E643" s="11" t="str">
        <f>IFERROR(__xludf.DUMMYFUNCTION("""COMPUTED_VALUE"""),"REFERENCE")</f>
        <v>REFERENCE</v>
      </c>
      <c r="F643" s="11" t="str">
        <f>IFERROR(__xludf.DUMMYFUNCTION("""COMPUTED_VALUE"""),"Listicle")</f>
        <v>Listicle</v>
      </c>
      <c r="G643" s="11" t="b">
        <f>IFERROR(__xludf.DUMMYFUNCTION("""COMPUTED_VALUE"""),FALSE)</f>
        <v>0</v>
      </c>
      <c r="H643" s="11" t="str">
        <f>IFERROR(__xludf.DUMMYFUNCTION("""COMPUTED_VALUE"""),"MONSOON, HY.AM STUDIOS, Pulse Advertising, Medialabel")</f>
        <v>MONSOON, HY.AM STUDIOS, Pulse Advertising, Medialabel</v>
      </c>
      <c r="I643" s="11">
        <f>IFERROR(__xludf.DUMMYFUNCTION("""COMPUTED_VALUE"""),1.0)</f>
        <v>1</v>
      </c>
      <c r="J643" s="11">
        <f>IFERROR(__xludf.DUMMYFUNCTION("""COMPUTED_VALUE"""),0.0)</f>
        <v>0</v>
      </c>
      <c r="K643" s="11">
        <f>IFERROR(__xludf.DUMMYFUNCTION("""COMPUTED_VALUE"""),0.0)</f>
        <v>0</v>
      </c>
      <c r="L643" s="11"/>
    </row>
    <row r="644" ht="15.75" customHeight="1">
      <c r="A644" s="8" t="str">
        <f>IFERROR(__xludf.DUMMYFUNCTION("""COMPUTED_VALUE"""),"https://www.therankmasters.com/insights/vendors/best-aeo-agencies")</f>
        <v>https://www.therankmasters.com/insights/vendors/best-aeo-agencies</v>
      </c>
      <c r="B644" s="11" t="str">
        <f>IFERROR(__xludf.DUMMYFUNCTION("""COMPUTED_VALUE"""),"Best AEO Agencies for AI Search in 2026")</f>
        <v>Best AEO Agencies for AI Search in 2026</v>
      </c>
      <c r="C644" s="8" t="str">
        <f>IFERROR(__xludf.DUMMYFUNCTION("""COMPUTED_VALUE"""),"therankmasters.com")</f>
        <v>therankmasters.com</v>
      </c>
      <c r="D644" s="11" t="str">
        <f>IFERROR(__xludf.DUMMYFUNCTION("""COMPUTED_VALUE"""),"LISTICLE")</f>
        <v>LISTICLE</v>
      </c>
      <c r="E644" s="11" t="str">
        <f>IFERROR(__xludf.DUMMYFUNCTION("""COMPUTED_VALUE"""),"CORPORATE")</f>
        <v>CORPORATE</v>
      </c>
      <c r="F644" s="11" t="str">
        <f>IFERROR(__xludf.DUMMYFUNCTION("""COMPUTED_VALUE"""),"Listicle")</f>
        <v>Listicle</v>
      </c>
      <c r="G644" s="11" t="b">
        <f>IFERROR(__xludf.DUMMYFUNCTION("""COMPUTED_VALUE"""),FALSE)</f>
        <v>0</v>
      </c>
      <c r="H644" s="11" t="str">
        <f>IFERROR(__xludf.DUMMYFUNCTION("""COMPUTED_VALUE"""),"NoGood, iPullRank, Omniscient Digital")</f>
        <v>NoGood, iPullRank, Omniscient Digital</v>
      </c>
      <c r="I644" s="11">
        <f>IFERROR(__xludf.DUMMYFUNCTION("""COMPUTED_VALUE"""),1.0)</f>
        <v>1</v>
      </c>
      <c r="J644" s="11">
        <f>IFERROR(__xludf.DUMMYFUNCTION("""COMPUTED_VALUE"""),0.0)</f>
        <v>0</v>
      </c>
      <c r="K644" s="11">
        <f>IFERROR(__xludf.DUMMYFUNCTION("""COMPUTED_VALUE"""),0.0)</f>
        <v>0</v>
      </c>
      <c r="L644" s="11"/>
    </row>
    <row r="645" ht="15.75" customHeight="1">
      <c r="A645" s="8" t="str">
        <f>IFERROR(__xludf.DUMMYFUNCTION("""COMPUTED_VALUE"""),"https://thesocialshepherd.com/blog/top-creative-agencies-us")</f>
        <v>https://thesocialshepherd.com/blog/top-creative-agencies-us</v>
      </c>
      <c r="B645" s="11" t="str">
        <f>IFERROR(__xludf.DUMMYFUNCTION("""COMPUTED_VALUE"""),"The Social Shepherd | Top 17 Creative Agencies in the U.S. (2026)")</f>
        <v>The Social Shepherd | Top 17 Creative Agencies in the U.S. (2026)</v>
      </c>
      <c r="C645" s="8" t="str">
        <f>IFERROR(__xludf.DUMMYFUNCTION("""COMPUTED_VALUE"""),"thesocialshepherd.com")</f>
        <v>thesocialshepherd.com</v>
      </c>
      <c r="D645" s="11" t="str">
        <f>IFERROR(__xludf.DUMMYFUNCTION("""COMPUTED_VALUE"""),"LISTICLE")</f>
        <v>LISTICLE</v>
      </c>
      <c r="E645" s="11" t="str">
        <f>IFERROR(__xludf.DUMMYFUNCTION("""COMPUTED_VALUE"""),"CORPORATE")</f>
        <v>CORPORATE</v>
      </c>
      <c r="F645" s="11" t="str">
        <f>IFERROR(__xludf.DUMMYFUNCTION("""COMPUTED_VALUE"""),"Listicle")</f>
        <v>Listicle</v>
      </c>
      <c r="G645" s="11" t="b">
        <f>IFERROR(__xludf.DUMMYFUNCTION("""COMPUTED_VALUE"""),FALSE)</f>
        <v>0</v>
      </c>
      <c r="H645" s="11" t="str">
        <f>IFERROR(__xludf.DUMMYFUNCTION("""COMPUTED_VALUE"""),"inBeat, Dentsu")</f>
        <v>inBeat, Dentsu</v>
      </c>
      <c r="I645" s="11">
        <f>IFERROR(__xludf.DUMMYFUNCTION("""COMPUTED_VALUE"""),1.0)</f>
        <v>1</v>
      </c>
      <c r="J645" s="11">
        <f>IFERROR(__xludf.DUMMYFUNCTION("""COMPUTED_VALUE"""),0.0)</f>
        <v>0</v>
      </c>
      <c r="K645" s="11">
        <f>IFERROR(__xludf.DUMMYFUNCTION("""COMPUTED_VALUE"""),2.0)</f>
        <v>2</v>
      </c>
      <c r="L645" s="11"/>
    </row>
    <row r="646" ht="15.75" customHeight="1">
      <c r="A646" s="8" t="str">
        <f>IFERROR(__xludf.DUMMYFUNCTION("""COMPUTED_VALUE"""),"https://thetechfounders.co.uk/guides/10-best-ai-readiness-assessment-platforms-available-in-2026/")</f>
        <v>https://thetechfounders.co.uk/guides/10-best-ai-readiness-assessment-platforms-available-in-2026/</v>
      </c>
      <c r="B646" s="11" t="str">
        <f>IFERROR(__xludf.DUMMYFUNCTION("""COMPUTED_VALUE"""),"10 Best AI Readiness Assessment Platforms Available in 2026 | The Tech Founders")</f>
        <v>10 Best AI Readiness Assessment Platforms Available in 2026 | The Tech Founders</v>
      </c>
      <c r="C646" s="8" t="str">
        <f>IFERROR(__xludf.DUMMYFUNCTION("""COMPUTED_VALUE"""),"thetechfounders.co.uk")</f>
        <v>thetechfounders.co.uk</v>
      </c>
      <c r="D646" s="11" t="str">
        <f>IFERROR(__xludf.DUMMYFUNCTION("""COMPUTED_VALUE"""),"LISTICLE")</f>
        <v>LISTICLE</v>
      </c>
      <c r="E646" s="11" t="str">
        <f>IFERROR(__xludf.DUMMYFUNCTION("""COMPUTED_VALUE"""),"UGC")</f>
        <v>UGC</v>
      </c>
      <c r="F646" s="11" t="str">
        <f>IFERROR(__xludf.DUMMYFUNCTION("""COMPUTED_VALUE"""),"Listicle")</f>
        <v>Listicle</v>
      </c>
      <c r="G646" s="11" t="b">
        <f>IFERROR(__xludf.DUMMYFUNCTION("""COMPUTED_VALUE"""),FALSE)</f>
        <v>0</v>
      </c>
      <c r="H646" s="11"/>
      <c r="I646" s="11">
        <f>IFERROR(__xludf.DUMMYFUNCTION("""COMPUTED_VALUE"""),1.0)</f>
        <v>1</v>
      </c>
      <c r="J646" s="11">
        <f>IFERROR(__xludf.DUMMYFUNCTION("""COMPUTED_VALUE"""),0.0)</f>
        <v>0</v>
      </c>
      <c r="K646" s="11">
        <f>IFERROR(__xludf.DUMMYFUNCTION("""COMPUTED_VALUE"""),1.0)</f>
        <v>1</v>
      </c>
      <c r="L646" s="11"/>
    </row>
    <row r="647" ht="15.75" customHeight="1">
      <c r="A647" s="8" t="str">
        <f>IFERROR(__xludf.DUMMYFUNCTION("""COMPUTED_VALUE"""),"https://thinkwithalec.com/2025/03/02/best-marketing-platforms-for-tracking-first-party-data/")</f>
        <v>https://thinkwithalec.com/2025/03/02/best-marketing-platforms-for-tracking-first-party-data/</v>
      </c>
      <c r="B647" s="11" t="str">
        <f>IFERROR(__xludf.DUMMYFUNCTION("""COMPUTED_VALUE"""),"Best Marketing Platforms for Tracking First-Party Data – THINK WITH ALEC")</f>
        <v>Best Marketing Platforms for Tracking First-Party Data – THINK WITH ALEC</v>
      </c>
      <c r="C647" s="8" t="str">
        <f>IFERROR(__xludf.DUMMYFUNCTION("""COMPUTED_VALUE"""),"thinkwithalec.com")</f>
        <v>thinkwithalec.com</v>
      </c>
      <c r="D647" s="11" t="str">
        <f>IFERROR(__xludf.DUMMYFUNCTION("""COMPUTED_VALUE"""),"LISTICLE")</f>
        <v>LISTICLE</v>
      </c>
      <c r="E647" s="11" t="str">
        <f>IFERROR(__xludf.DUMMYFUNCTION("""COMPUTED_VALUE"""),"EDITORIAL")</f>
        <v>EDITORIAL</v>
      </c>
      <c r="F647" s="11" t="str">
        <f>IFERROR(__xludf.DUMMYFUNCTION("""COMPUTED_VALUE"""),"Listicle")</f>
        <v>Listicle</v>
      </c>
      <c r="G647" s="11" t="b">
        <f>IFERROR(__xludf.DUMMYFUNCTION("""COMPUTED_VALUE"""),FALSE)</f>
        <v>0</v>
      </c>
      <c r="H647" s="11"/>
      <c r="I647" s="11">
        <f>IFERROR(__xludf.DUMMYFUNCTION("""COMPUTED_VALUE"""),1.0)</f>
        <v>1</v>
      </c>
      <c r="J647" s="11">
        <f>IFERROR(__xludf.DUMMYFUNCTION("""COMPUTED_VALUE"""),0.0)</f>
        <v>0</v>
      </c>
      <c r="K647" s="11">
        <f>IFERROR(__xludf.DUMMYFUNCTION("""COMPUTED_VALUE"""),0.0)</f>
        <v>0</v>
      </c>
      <c r="L647" s="11"/>
    </row>
    <row r="648" ht="15.75" customHeight="1">
      <c r="A648" s="8" t="str">
        <f>IFERROR(__xludf.DUMMYFUNCTION("""COMPUTED_VALUE"""),"https://threebestrated.de/advertising-agencies-in-frankfurt#:~:text=1,and%20Creatives%20%E2%9C%93%20Tracking%20Integration")</f>
        <v>https://threebestrated.de/advertising-agencies-in-frankfurt#:~:text=1,and%20Creatives%20%E2%9C%93%20Tracking%20Integration</v>
      </c>
      <c r="B648" s="11" t="str">
        <f>IFERROR(__xludf.DUMMYFUNCTION("""COMPUTED_VALUE"""),"3 Best Advertising Agencies in Frankfurt - Expert Recommendations")</f>
        <v>3 Best Advertising Agencies in Frankfurt - Expert Recommendations</v>
      </c>
      <c r="C648" s="8" t="str">
        <f>IFERROR(__xludf.DUMMYFUNCTION("""COMPUTED_VALUE"""),"threebestrated.de")</f>
        <v>threebestrated.de</v>
      </c>
      <c r="D648" s="11" t="str">
        <f>IFERROR(__xludf.DUMMYFUNCTION("""COMPUTED_VALUE"""),"PROFILE")</f>
        <v>PROFILE</v>
      </c>
      <c r="E648" s="11" t="str">
        <f>IFERROR(__xludf.DUMMYFUNCTION("""COMPUTED_VALUE"""),"REFERENCE")</f>
        <v>REFERENCE</v>
      </c>
      <c r="F648" s="11" t="str">
        <f>IFERROR(__xludf.DUMMYFUNCTION("""COMPUTED_VALUE"""),"Profile")</f>
        <v>Profile</v>
      </c>
      <c r="G648" s="11" t="b">
        <f>IFERROR(__xludf.DUMMYFUNCTION("""COMPUTED_VALUE"""),FALSE)</f>
        <v>0</v>
      </c>
      <c r="H648" s="11" t="str">
        <f>IFERROR(__xludf.DUMMYFUNCTION("""COMPUTED_VALUE"""),"ZweiDigital GmbH")</f>
        <v>ZweiDigital GmbH</v>
      </c>
      <c r="I648" s="11">
        <f>IFERROR(__xludf.DUMMYFUNCTION("""COMPUTED_VALUE"""),1.0)</f>
        <v>1</v>
      </c>
      <c r="J648" s="11">
        <f>IFERROR(__xludf.DUMMYFUNCTION("""COMPUTED_VALUE"""),0.0)</f>
        <v>0</v>
      </c>
      <c r="K648" s="11">
        <f>IFERROR(__xludf.DUMMYFUNCTION("""COMPUTED_VALUE"""),1.0)</f>
        <v>1</v>
      </c>
      <c r="L648" s="11"/>
    </row>
    <row r="649" ht="15.75" customHeight="1">
      <c r="A649" s="8" t="str">
        <f>IFERROR(__xludf.DUMMYFUNCTION("""COMPUTED_VALUE"""),"https://www.todaymade.com/blog/top-creative-agencies")</f>
        <v>https://www.todaymade.com/blog/top-creative-agencies</v>
      </c>
      <c r="B649" s="11" t="str">
        <f>IFERROR(__xludf.DUMMYFUNCTION("""COMPUTED_VALUE"""),"Top Creative Agencies in 2025. Ranked &amp;amp; Matched to Your Goals")</f>
        <v>Top Creative Agencies in 2025. Ranked &amp;amp; Matched to Your Goals</v>
      </c>
      <c r="C649" s="8" t="str">
        <f>IFERROR(__xludf.DUMMYFUNCTION("""COMPUTED_VALUE"""),"todaymade.com")</f>
        <v>todaymade.com</v>
      </c>
      <c r="D649" s="11" t="str">
        <f>IFERROR(__xludf.DUMMYFUNCTION("""COMPUTED_VALUE"""),"LISTICLE")</f>
        <v>LISTICLE</v>
      </c>
      <c r="E649" s="11" t="str">
        <f>IFERROR(__xludf.DUMMYFUNCTION("""COMPUTED_VALUE"""),"CORPORATE")</f>
        <v>CORPORATE</v>
      </c>
      <c r="F649" s="11" t="str">
        <f>IFERROR(__xludf.DUMMYFUNCTION("""COMPUTED_VALUE"""),"Listicle")</f>
        <v>Listicle</v>
      </c>
      <c r="G649" s="11" t="b">
        <f>IFERROR(__xludf.DUMMYFUNCTION("""COMPUTED_VALUE"""),FALSE)</f>
        <v>0</v>
      </c>
      <c r="H649" s="11" t="str">
        <f>IFERROR(__xludf.DUMMYFUNCTION("""COMPUTED_VALUE"""),"Ogilvy, WPP, Omnicom, Huge, Superside, R/GA, AKQA, Accenture Song, Publicis Groupe, Dentsu, Jung von Matt, Scholz &amp; Friends, Media.Monks, Monks, Momentum")</f>
        <v>Ogilvy, WPP, Omnicom, Huge, Superside, R/GA, AKQA, Accenture Song, Publicis Groupe, Dentsu, Jung von Matt, Scholz &amp; Friends, Media.Monks, Monks, Momentum</v>
      </c>
      <c r="I649" s="11">
        <f>IFERROR(__xludf.DUMMYFUNCTION("""COMPUTED_VALUE"""),1.0)</f>
        <v>1</v>
      </c>
      <c r="J649" s="11">
        <f>IFERROR(__xludf.DUMMYFUNCTION("""COMPUTED_VALUE"""),0.0)</f>
        <v>0</v>
      </c>
      <c r="K649" s="11">
        <f>IFERROR(__xludf.DUMMYFUNCTION("""COMPUTED_VALUE"""),1.0)</f>
        <v>1</v>
      </c>
      <c r="L649" s="11"/>
    </row>
    <row r="650" ht="15.75" customHeight="1">
      <c r="A650" s="8" t="str">
        <f>IFERROR(__xludf.DUMMYFUNCTION("""COMPUTED_VALUE"""),"https://toolradar.com/best/attribution")</f>
        <v>https://toolradar.com/best/attribution</v>
      </c>
      <c r="B650" s="11" t="str">
        <f>IFERROR(__xludf.DUMMYFUNCTION("""COMPUTED_VALUE"""),"Best Attribution Tools in 2026 | Toolradar")</f>
        <v>Best Attribution Tools in 2026 | Toolradar</v>
      </c>
      <c r="C650" s="8" t="str">
        <f>IFERROR(__xludf.DUMMYFUNCTION("""COMPUTED_VALUE"""),"toolradar.com")</f>
        <v>toolradar.com</v>
      </c>
      <c r="D650" s="11" t="str">
        <f>IFERROR(__xludf.DUMMYFUNCTION("""COMPUTED_VALUE"""),"LISTICLE")</f>
        <v>LISTICLE</v>
      </c>
      <c r="E650" s="11" t="str">
        <f>IFERROR(__xludf.DUMMYFUNCTION("""COMPUTED_VALUE"""),"CORPORATE")</f>
        <v>CORPORATE</v>
      </c>
      <c r="F650" s="11" t="str">
        <f>IFERROR(__xludf.DUMMYFUNCTION("""COMPUTED_VALUE"""),"Listicle")</f>
        <v>Listicle</v>
      </c>
      <c r="G650" s="11" t="b">
        <f>IFERROR(__xludf.DUMMYFUNCTION("""COMPUTED_VALUE"""),FALSE)</f>
        <v>0</v>
      </c>
      <c r="H650" s="11" t="str">
        <f>IFERROR(__xludf.DUMMYFUNCTION("""COMPUTED_VALUE"""),"Triple Whale, Northbeam, Rockerbox, Dreamdata, Cometly")</f>
        <v>Triple Whale, Northbeam, Rockerbox, Dreamdata, Cometly</v>
      </c>
      <c r="I650" s="11">
        <f>IFERROR(__xludf.DUMMYFUNCTION("""COMPUTED_VALUE"""),1.0)</f>
        <v>1</v>
      </c>
      <c r="J650" s="11">
        <f>IFERROR(__xludf.DUMMYFUNCTION("""COMPUTED_VALUE"""),0.0)</f>
        <v>0</v>
      </c>
      <c r="K650" s="11">
        <f>IFERROR(__xludf.DUMMYFUNCTION("""COMPUTED_VALUE"""),0.0)</f>
        <v>0</v>
      </c>
      <c r="L650" s="11"/>
    </row>
    <row r="651" ht="15.75" customHeight="1">
      <c r="A651" s="8" t="str">
        <f>IFERROR(__xludf.DUMMYFUNCTION("""COMPUTED_VALUE"""),"https://www.topinteractiveagencies.com/digital/agency/profile/europe/germany-deutschland/munich/serviceplan-group/")</f>
        <v>https://www.topinteractiveagencies.com/digital/agency/profile/europe/germany-deutschland/munich/serviceplan-group/</v>
      </c>
      <c r="B651" s="11" t="str">
        <f>IFERROR(__xludf.DUMMYFUNCTION("""COMPUTED_VALUE"""),"Serviceplan Group | Top Interactive Agencies")</f>
        <v>Serviceplan Group | Top Interactive Agencies</v>
      </c>
      <c r="C651" s="8" t="str">
        <f>IFERROR(__xludf.DUMMYFUNCTION("""COMPUTED_VALUE"""),"topinteractiveagencies.com")</f>
        <v>topinteractiveagencies.com</v>
      </c>
      <c r="D651" s="11" t="str">
        <f>IFERROR(__xludf.DUMMYFUNCTION("""COMPUTED_VALUE"""),"PROFILE")</f>
        <v>PROFILE</v>
      </c>
      <c r="E651" s="11" t="str">
        <f>IFERROR(__xludf.DUMMYFUNCTION("""COMPUTED_VALUE"""),"REFERENCE")</f>
        <v>REFERENCE</v>
      </c>
      <c r="F651" s="11" t="str">
        <f>IFERROR(__xludf.DUMMYFUNCTION("""COMPUTED_VALUE"""),"Profile")</f>
        <v>Profile</v>
      </c>
      <c r="G651" s="11" t="b">
        <f>IFERROR(__xludf.DUMMYFUNCTION("""COMPUTED_VALUE"""),FALSE)</f>
        <v>0</v>
      </c>
      <c r="H651" s="11" t="str">
        <f>IFERROR(__xludf.DUMMYFUNCTION("""COMPUTED_VALUE"""),"Serviceplan Group, Huge, Monks")</f>
        <v>Serviceplan Group, Huge, Monks</v>
      </c>
      <c r="I651" s="11">
        <f>IFERROR(__xludf.DUMMYFUNCTION("""COMPUTED_VALUE"""),1.0)</f>
        <v>1</v>
      </c>
      <c r="J651" s="11">
        <f>IFERROR(__xludf.DUMMYFUNCTION("""COMPUTED_VALUE"""),0.0)</f>
        <v>0</v>
      </c>
      <c r="K651" s="11">
        <f>IFERROR(__xludf.DUMMYFUNCTION("""COMPUTED_VALUE"""),1.0)</f>
        <v>1</v>
      </c>
      <c r="L651" s="11"/>
    </row>
    <row r="652" ht="15.75" customHeight="1">
      <c r="A652" s="8" t="str">
        <f>IFERROR(__xludf.DUMMYFUNCTION("""COMPUTED_VALUE"""),"https://touchstoneresearch.com/top-10-global-market-research-companies/")</f>
        <v>https://touchstoneresearch.com/top-10-global-market-research-companies/</v>
      </c>
      <c r="B652" s="11" t="str">
        <f>IFERROR(__xludf.DUMMYFUNCTION("""COMPUTED_VALUE"""),"Top 10 Global Market Research Companies in 2026")</f>
        <v>Top 10 Global Market Research Companies in 2026</v>
      </c>
      <c r="C652" s="8" t="str">
        <f>IFERROR(__xludf.DUMMYFUNCTION("""COMPUTED_VALUE"""),"touchstoneresearch.com")</f>
        <v>touchstoneresearch.com</v>
      </c>
      <c r="D652" s="11" t="str">
        <f>IFERROR(__xludf.DUMMYFUNCTION("""COMPUTED_VALUE"""),"LISTICLE")</f>
        <v>LISTICLE</v>
      </c>
      <c r="E652" s="11" t="str">
        <f>IFERROR(__xludf.DUMMYFUNCTION("""COMPUTED_VALUE"""),"CORPORATE")</f>
        <v>CORPORATE</v>
      </c>
      <c r="F652" s="11" t="str">
        <f>IFERROR(__xludf.DUMMYFUNCTION("""COMPUTED_VALUE"""),"Listicle")</f>
        <v>Listicle</v>
      </c>
      <c r="G652" s="11" t="b">
        <f>IFERROR(__xludf.DUMMYFUNCTION("""COMPUTED_VALUE"""),FALSE)</f>
        <v>0</v>
      </c>
      <c r="H652" s="11" t="str">
        <f>IFERROR(__xludf.DUMMYFUNCTION("""COMPUTED_VALUE"""),"Kantar")</f>
        <v>Kantar</v>
      </c>
      <c r="I652" s="11">
        <f>IFERROR(__xludf.DUMMYFUNCTION("""COMPUTED_VALUE"""),1.0)</f>
        <v>1</v>
      </c>
      <c r="J652" s="11">
        <f>IFERROR(__xludf.DUMMYFUNCTION("""COMPUTED_VALUE"""),0.0)</f>
        <v>0</v>
      </c>
      <c r="K652" s="11">
        <f>IFERROR(__xludf.DUMMYFUNCTION("""COMPUTED_VALUE"""),1.0)</f>
        <v>1</v>
      </c>
      <c r="L652" s="11"/>
    </row>
    <row r="653" ht="15.75" customHeight="1">
      <c r="A653" s="8" t="str">
        <f>IFERROR(__xludf.DUMMYFUNCTION("""COMPUTED_VALUE"""),"https://www.traqer.ai/blog/ai-visibility-tool")</f>
        <v>https://www.traqer.ai/blog/ai-visibility-tool</v>
      </c>
      <c r="B653" s="11" t="str">
        <f>IFERROR(__xludf.DUMMYFUNCTION("""COMPUTED_VALUE"""),"How to choose the best AI visibility tool for your business")</f>
        <v>How to choose the best AI visibility tool for your business</v>
      </c>
      <c r="C653" s="8" t="str">
        <f>IFERROR(__xludf.DUMMYFUNCTION("""COMPUTED_VALUE"""),"traqer.ai")</f>
        <v>traqer.ai</v>
      </c>
      <c r="D653" s="11" t="str">
        <f>IFERROR(__xludf.DUMMYFUNCTION("""COMPUTED_VALUE"""),"OTHER")</f>
        <v>OTHER</v>
      </c>
      <c r="E653" s="11" t="str">
        <f>IFERROR(__xludf.DUMMYFUNCTION("""COMPUTED_VALUE"""),"CORPORATE")</f>
        <v>CORPORATE</v>
      </c>
      <c r="F653" s="11" t="str">
        <f>IFERROR(__xludf.DUMMYFUNCTION("""COMPUTED_VALUE"""),"Other")</f>
        <v>Other</v>
      </c>
      <c r="G653" s="11" t="b">
        <f>IFERROR(__xludf.DUMMYFUNCTION("""COMPUTED_VALUE"""),FALSE)</f>
        <v>0</v>
      </c>
      <c r="H653" s="11" t="str">
        <f>IFERROR(__xludf.DUMMYFUNCTION("""COMPUTED_VALUE"""),"Measured")</f>
        <v>Measured</v>
      </c>
      <c r="I653" s="11">
        <f>IFERROR(__xludf.DUMMYFUNCTION("""COMPUTED_VALUE"""),1.0)</f>
        <v>1</v>
      </c>
      <c r="J653" s="11">
        <f>IFERROR(__xludf.DUMMYFUNCTION("""COMPUTED_VALUE"""),0.0)</f>
        <v>0</v>
      </c>
      <c r="K653" s="11">
        <f>IFERROR(__xludf.DUMMYFUNCTION("""COMPUTED_VALUE"""),1.0)</f>
        <v>1</v>
      </c>
      <c r="L653" s="11"/>
    </row>
    <row r="654" ht="15.75" customHeight="1">
      <c r="A654" s="8" t="str">
        <f>IFERROR(__xludf.DUMMYFUNCTION("""COMPUTED_VALUE"""),"https://www.tripledart.com/ai-seo/best-aeo-agencies")</f>
        <v>https://www.tripledart.com/ai-seo/best-aeo-agencies</v>
      </c>
      <c r="B654" s="11" t="str">
        <f>IFERROR(__xludf.DUMMYFUNCTION("""COMPUTED_VALUE"""),"14 Best AEO Agencies in 2026 (Vetted &amp;amp; Ranked)")</f>
        <v>14 Best AEO Agencies in 2026 (Vetted &amp;amp; Ranked)</v>
      </c>
      <c r="C654" s="8" t="str">
        <f>IFERROR(__xludf.DUMMYFUNCTION("""COMPUTED_VALUE"""),"tripledart.com")</f>
        <v>tripledart.com</v>
      </c>
      <c r="D654" s="11" t="str">
        <f>IFERROR(__xludf.DUMMYFUNCTION("""COMPUTED_VALUE"""),"LISTICLE")</f>
        <v>LISTICLE</v>
      </c>
      <c r="E654" s="11" t="str">
        <f>IFERROR(__xludf.DUMMYFUNCTION("""COMPUTED_VALUE"""),"OTHER")</f>
        <v>OTHER</v>
      </c>
      <c r="F654" s="11" t="str">
        <f>IFERROR(__xludf.DUMMYFUNCTION("""COMPUTED_VALUE"""),"Listicle")</f>
        <v>Listicle</v>
      </c>
      <c r="G654" s="11" t="b">
        <f>IFERROR(__xludf.DUMMYFUNCTION("""COMPUTED_VALUE"""),FALSE)</f>
        <v>0</v>
      </c>
      <c r="H654" s="11"/>
      <c r="I654" s="11">
        <f>IFERROR(__xludf.DUMMYFUNCTION("""COMPUTED_VALUE"""),1.0)</f>
        <v>1</v>
      </c>
      <c r="J654" s="11">
        <f>IFERROR(__xludf.DUMMYFUNCTION("""COMPUTED_VALUE"""),0.0)</f>
        <v>0</v>
      </c>
      <c r="K654" s="11">
        <f>IFERROR(__xludf.DUMMYFUNCTION("""COMPUTED_VALUE"""),0.0)</f>
        <v>0</v>
      </c>
      <c r="L654" s="11"/>
    </row>
    <row r="655" ht="15.75" customHeight="1">
      <c r="A655" s="8" t="str">
        <f>IFERROR(__xludf.DUMMYFUNCTION("""COMPUTED_VALUE"""),"https://www.tripledart.com/ai-seo/best-generative-engine-optimization-agencies")</f>
        <v>https://www.tripledart.com/ai-seo/best-generative-engine-optimization-agencies</v>
      </c>
      <c r="B655" s="11" t="str">
        <f>IFERROR(__xludf.DUMMYFUNCTION("""COMPUTED_VALUE"""),"17 Best GEO Agencies in 2026")</f>
        <v>17 Best GEO Agencies in 2026</v>
      </c>
      <c r="C655" s="8" t="str">
        <f>IFERROR(__xludf.DUMMYFUNCTION("""COMPUTED_VALUE"""),"tripledart.com")</f>
        <v>tripledart.com</v>
      </c>
      <c r="D655" s="11" t="str">
        <f>IFERROR(__xludf.DUMMYFUNCTION("""COMPUTED_VALUE"""),"LISTICLE")</f>
        <v>LISTICLE</v>
      </c>
      <c r="E655" s="11" t="str">
        <f>IFERROR(__xludf.DUMMYFUNCTION("""COMPUTED_VALUE"""),"OTHER")</f>
        <v>OTHER</v>
      </c>
      <c r="F655" s="11" t="str">
        <f>IFERROR(__xludf.DUMMYFUNCTION("""COMPUTED_VALUE"""),"Listicle")</f>
        <v>Listicle</v>
      </c>
      <c r="G655" s="11" t="b">
        <f>IFERROR(__xludf.DUMMYFUNCTION("""COMPUTED_VALUE"""),FALSE)</f>
        <v>0</v>
      </c>
      <c r="H655" s="11" t="str">
        <f>IFERROR(__xludf.DUMMYFUNCTION("""COMPUTED_VALUE"""),"Omnius, iPullRank, WebFX, NoGood, Siege Media")</f>
        <v>Omnius, iPullRank, WebFX, NoGood, Siege Media</v>
      </c>
      <c r="I655" s="11">
        <f>IFERROR(__xludf.DUMMYFUNCTION("""COMPUTED_VALUE"""),1.0)</f>
        <v>1</v>
      </c>
      <c r="J655" s="11">
        <f>IFERROR(__xludf.DUMMYFUNCTION("""COMPUTED_VALUE"""),0.0)</f>
        <v>0</v>
      </c>
      <c r="K655" s="11">
        <f>IFERROR(__xludf.DUMMYFUNCTION("""COMPUTED_VALUE"""),1.0)</f>
        <v>1</v>
      </c>
      <c r="L655" s="11"/>
    </row>
    <row r="656" ht="15.75" customHeight="1">
      <c r="A656" s="8" t="str">
        <f>IFERROR(__xludf.DUMMYFUNCTION("""COMPUTED_VALUE"""),"https://www.tripledart.com/blog/best-aeo-agencies")</f>
        <v>https://www.tripledart.com/blog/best-aeo-agencies</v>
      </c>
      <c r="B656" s="11" t="str">
        <f>IFERROR(__xludf.DUMMYFUNCTION("""COMPUTED_VALUE"""),"14 Best AEO Agencies in 2026 (Vetted &amp;amp; Ranked)")</f>
        <v>14 Best AEO Agencies in 2026 (Vetted &amp;amp; Ranked)</v>
      </c>
      <c r="C656" s="8" t="str">
        <f>IFERROR(__xludf.DUMMYFUNCTION("""COMPUTED_VALUE"""),"tripledart.com")</f>
        <v>tripledart.com</v>
      </c>
      <c r="D656" s="11" t="str">
        <f>IFERROR(__xludf.DUMMYFUNCTION("""COMPUTED_VALUE"""),"OTHER")</f>
        <v>OTHER</v>
      </c>
      <c r="E656" s="11" t="str">
        <f>IFERROR(__xludf.DUMMYFUNCTION("""COMPUTED_VALUE"""),"OTHER")</f>
        <v>OTHER</v>
      </c>
      <c r="F656" s="11" t="str">
        <f>IFERROR(__xludf.DUMMYFUNCTION("""COMPUTED_VALUE"""),"Other")</f>
        <v>Other</v>
      </c>
      <c r="G656" s="11" t="b">
        <f>IFERROR(__xludf.DUMMYFUNCTION("""COMPUTED_VALUE"""),FALSE)</f>
        <v>0</v>
      </c>
      <c r="H656" s="11"/>
      <c r="I656" s="11">
        <f>IFERROR(__xludf.DUMMYFUNCTION("""COMPUTED_VALUE"""),1.0)</f>
        <v>1</v>
      </c>
      <c r="J656" s="11">
        <f>IFERROR(__xludf.DUMMYFUNCTION("""COMPUTED_VALUE"""),0.0)</f>
        <v>0</v>
      </c>
      <c r="K656" s="11">
        <f>IFERROR(__xludf.DUMMYFUNCTION("""COMPUTED_VALUE"""),0.0)</f>
        <v>0</v>
      </c>
      <c r="L656" s="11"/>
    </row>
    <row r="657" ht="15.75" customHeight="1">
      <c r="A657" s="8" t="str">
        <f>IFERROR(__xludf.DUMMYFUNCTION("""COMPUTED_VALUE"""),"https://www.tryseo.de/en/online-marketing-en/best-b2b-seo-agencies-germany/")</f>
        <v>https://www.tryseo.de/en/online-marketing-en/best-b2b-seo-agencies-germany/</v>
      </c>
      <c r="B657" s="11" t="str">
        <f>IFERROR(__xludf.DUMMYFUNCTION("""COMPUTED_VALUE"""),"Best B2B SEO Agency in Germany: 10 Agencies Compared")</f>
        <v>Best B2B SEO Agency in Germany: 10 Agencies Compared</v>
      </c>
      <c r="C657" s="8" t="str">
        <f>IFERROR(__xludf.DUMMYFUNCTION("""COMPUTED_VALUE"""),"tryseo.de")</f>
        <v>tryseo.de</v>
      </c>
      <c r="D657" s="11" t="str">
        <f>IFERROR(__xludf.DUMMYFUNCTION("""COMPUTED_VALUE"""),"LISTICLE")</f>
        <v>LISTICLE</v>
      </c>
      <c r="E657" s="11" t="str">
        <f>IFERROR(__xludf.DUMMYFUNCTION("""COMPUTED_VALUE"""),"COMPETITOR")</f>
        <v>COMPETITOR</v>
      </c>
      <c r="F657" s="11" t="str">
        <f>IFERROR(__xludf.DUMMYFUNCTION("""COMPUTED_VALUE"""),"Listicle")</f>
        <v>Listicle</v>
      </c>
      <c r="G657" s="11" t="b">
        <f>IFERROR(__xludf.DUMMYFUNCTION("""COMPUTED_VALUE"""),FALSE)</f>
        <v>0</v>
      </c>
      <c r="H657" s="11" t="str">
        <f>IFERROR(__xludf.DUMMYFUNCTION("""COMPUTED_VALUE"""),"TRYSEO, DREIKON, performanceLiebe, McKinsey &amp; Company")</f>
        <v>TRYSEO, DREIKON, performanceLiebe, McKinsey &amp; Company</v>
      </c>
      <c r="I657" s="11">
        <f>IFERROR(__xludf.DUMMYFUNCTION("""COMPUTED_VALUE"""),1.0)</f>
        <v>1</v>
      </c>
      <c r="J657" s="11">
        <f>IFERROR(__xludf.DUMMYFUNCTION("""COMPUTED_VALUE"""),0.0)</f>
        <v>0</v>
      </c>
      <c r="K657" s="11">
        <f>IFERROR(__xludf.DUMMYFUNCTION("""COMPUTED_VALUE"""),1.0)</f>
        <v>1</v>
      </c>
      <c r="L657" s="11"/>
    </row>
    <row r="658" ht="15.75" customHeight="1">
      <c r="A658" s="8" t="str">
        <f>IFERROR(__xludf.DUMMYFUNCTION("""COMPUTED_VALUE"""),"https://www.unfoldmart.com/blogs/top-branding-agencies-germany-2026")</f>
        <v>https://www.unfoldmart.com/blogs/top-branding-agencies-germany-2026</v>
      </c>
      <c r="B658" s="11" t="str">
        <f>IFERROR(__xludf.DUMMYFUNCTION("""COMPUTED_VALUE"""),"Top Branding Agencies in Germany 2026: Complete Guide")</f>
        <v>Top Branding Agencies in Germany 2026: Complete Guide</v>
      </c>
      <c r="C658" s="8" t="str">
        <f>IFERROR(__xludf.DUMMYFUNCTION("""COMPUTED_VALUE"""),"unfoldmart.com")</f>
        <v>unfoldmart.com</v>
      </c>
      <c r="D658" s="11" t="str">
        <f>IFERROR(__xludf.DUMMYFUNCTION("""COMPUTED_VALUE"""),"LISTICLE")</f>
        <v>LISTICLE</v>
      </c>
      <c r="E658" s="11" t="str">
        <f>IFERROR(__xludf.DUMMYFUNCTION("""COMPUTED_VALUE"""),"CORPORATE")</f>
        <v>CORPORATE</v>
      </c>
      <c r="F658" s="11" t="str">
        <f>IFERROR(__xludf.DUMMYFUNCTION("""COMPUTED_VALUE"""),"Listicle")</f>
        <v>Listicle</v>
      </c>
      <c r="G658" s="11" t="b">
        <f>IFERROR(__xludf.DUMMYFUNCTION("""COMPUTED_VALUE"""),FALSE)</f>
        <v>0</v>
      </c>
      <c r="H658" s="11" t="str">
        <f>IFERROR(__xludf.DUMMYFUNCTION("""COMPUTED_VALUE"""),"Scholz &amp; Friends, MetaDesign")</f>
        <v>Scholz &amp; Friends, MetaDesign</v>
      </c>
      <c r="I658" s="11">
        <f>IFERROR(__xludf.DUMMYFUNCTION("""COMPUTED_VALUE"""),1.0)</f>
        <v>1</v>
      </c>
      <c r="J658" s="11">
        <f>IFERROR(__xludf.DUMMYFUNCTION("""COMPUTED_VALUE"""),0.0)</f>
        <v>0</v>
      </c>
      <c r="K658" s="11">
        <f>IFERROR(__xludf.DUMMYFUNCTION("""COMPUTED_VALUE"""),3.0)</f>
        <v>3</v>
      </c>
      <c r="L658" s="11"/>
    </row>
    <row r="659" ht="15.75" customHeight="1">
      <c r="A659" s="8" t="str">
        <f>IFERROR(__xludf.DUMMYFUNCTION("""COMPUTED_VALUE"""),"https://www.uptech.team/blog/ai-development-companies")</f>
        <v>https://www.uptech.team/blog/ai-development-companies</v>
      </c>
      <c r="B659" s="11" t="str">
        <f>IFERROR(__xludf.DUMMYFUNCTION("""COMPUTED_VALUE"""),"13 Best AI Development Companies in 2026 | Uptech")</f>
        <v>13 Best AI Development Companies in 2026 | Uptech</v>
      </c>
      <c r="C659" s="11" t="str">
        <f>IFERROR(__xludf.DUMMYFUNCTION("""COMPUTED_VALUE"""),"uptech.team")</f>
        <v>uptech.team</v>
      </c>
      <c r="D659" s="11" t="str">
        <f>IFERROR(__xludf.DUMMYFUNCTION("""COMPUTED_VALUE"""),"LISTICLE")</f>
        <v>LISTICLE</v>
      </c>
      <c r="E659" s="11" t="str">
        <f>IFERROR(__xludf.DUMMYFUNCTION("""COMPUTED_VALUE"""),"CORPORATE")</f>
        <v>CORPORATE</v>
      </c>
      <c r="F659" s="11" t="str">
        <f>IFERROR(__xludf.DUMMYFUNCTION("""COMPUTED_VALUE"""),"Listicle")</f>
        <v>Listicle</v>
      </c>
      <c r="G659" s="11" t="b">
        <f>IFERROR(__xludf.DUMMYFUNCTION("""COMPUTED_VALUE"""),FALSE)</f>
        <v>0</v>
      </c>
      <c r="H659" s="11"/>
      <c r="I659" s="11">
        <f>IFERROR(__xludf.DUMMYFUNCTION("""COMPUTED_VALUE"""),1.0)</f>
        <v>1</v>
      </c>
      <c r="J659" s="11">
        <f>IFERROR(__xludf.DUMMYFUNCTION("""COMPUTED_VALUE"""),0.0)</f>
        <v>0</v>
      </c>
      <c r="K659" s="11">
        <f>IFERROR(__xludf.DUMMYFUNCTION("""COMPUTED_VALUE"""),1.0)</f>
        <v>1</v>
      </c>
      <c r="L659" s="11"/>
    </row>
    <row r="660" ht="15.75" customHeight="1">
      <c r="A660" s="8" t="str">
        <f>IFERROR(__xludf.DUMMYFUNCTION("""COMPUTED_VALUE"""),"https://www.upwork.com/resources/generative-ai-applications")</f>
        <v>https://www.upwork.com/resources/generative-ai-applications</v>
      </c>
      <c r="B660" s="11" t="str">
        <f>IFERROR(__xludf.DUMMYFUNCTION("""COMPUTED_VALUE"""),"The Top 18 Generative AI Applications for Businesses - Upwork")</f>
        <v>The Top 18 Generative AI Applications for Businesses - Upwork</v>
      </c>
      <c r="C660" s="8" t="str">
        <f>IFERROR(__xludf.DUMMYFUNCTION("""COMPUTED_VALUE"""),"upwork.com")</f>
        <v>upwork.com</v>
      </c>
      <c r="D660" s="11" t="str">
        <f>IFERROR(__xludf.DUMMYFUNCTION("""COMPUTED_VALUE"""),"LISTICLE")</f>
        <v>LISTICLE</v>
      </c>
      <c r="E660" s="11" t="str">
        <f>IFERROR(__xludf.DUMMYFUNCTION("""COMPUTED_VALUE"""),"CORPORATE")</f>
        <v>CORPORATE</v>
      </c>
      <c r="F660" s="11" t="str">
        <f>IFERROR(__xludf.DUMMYFUNCTION("""COMPUTED_VALUE"""),"Listicle")</f>
        <v>Listicle</v>
      </c>
      <c r="G660" s="11" t="b">
        <f>IFERROR(__xludf.DUMMYFUNCTION("""COMPUTED_VALUE"""),FALSE)</f>
        <v>0</v>
      </c>
      <c r="H660" s="11"/>
      <c r="I660" s="11">
        <f>IFERROR(__xludf.DUMMYFUNCTION("""COMPUTED_VALUE"""),1.0)</f>
        <v>1</v>
      </c>
      <c r="J660" s="11">
        <f>IFERROR(__xludf.DUMMYFUNCTION("""COMPUTED_VALUE"""),0.0)</f>
        <v>0</v>
      </c>
      <c r="K660" s="11">
        <f>IFERROR(__xludf.DUMMYFUNCTION("""COMPUTED_VALUE"""),1.0)</f>
        <v>1</v>
      </c>
      <c r="L660" s="11"/>
    </row>
    <row r="661" ht="15.75" customHeight="1">
      <c r="A661" s="8" t="str">
        <f>IFERROR(__xludf.DUMMYFUNCTION("""COMPUTED_VALUE"""),"https://varify.io/en/blog/cro-agencies/")</f>
        <v>https://varify.io/en/blog/cro-agencies/</v>
      </c>
      <c r="B661" s="11" t="str">
        <f>IFERROR(__xludf.DUMMYFUNCTION("""COMPUTED_VALUE"""),"Top CRO agencies 2026: Conversion optimization in Germany")</f>
        <v>Top CRO agencies 2026: Conversion optimization in Germany</v>
      </c>
      <c r="C661" s="8" t="str">
        <f>IFERROR(__xludf.DUMMYFUNCTION("""COMPUTED_VALUE"""),"varify.io")</f>
        <v>varify.io</v>
      </c>
      <c r="D661" s="11" t="str">
        <f>IFERROR(__xludf.DUMMYFUNCTION("""COMPUTED_VALUE"""),"LISTICLE")</f>
        <v>LISTICLE</v>
      </c>
      <c r="E661" s="11" t="str">
        <f>IFERROR(__xludf.DUMMYFUNCTION("""COMPUTED_VALUE"""),"CORPORATE")</f>
        <v>CORPORATE</v>
      </c>
      <c r="F661" s="11" t="str">
        <f>IFERROR(__xludf.DUMMYFUNCTION("""COMPUTED_VALUE"""),"Listicle")</f>
        <v>Listicle</v>
      </c>
      <c r="G661" s="11" t="b">
        <f>IFERROR(__xludf.DUMMYFUNCTION("""COMPUTED_VALUE"""),FALSE)</f>
        <v>0</v>
      </c>
      <c r="H661" s="11" t="str">
        <f>IFERROR(__xludf.DUMMYFUNCTION("""COMPUTED_VALUE"""),"Smarketer")</f>
        <v>Smarketer</v>
      </c>
      <c r="I661" s="11">
        <f>IFERROR(__xludf.DUMMYFUNCTION("""COMPUTED_VALUE"""),1.0)</f>
        <v>1</v>
      </c>
      <c r="J661" s="11">
        <f>IFERROR(__xludf.DUMMYFUNCTION("""COMPUTED_VALUE"""),0.0)</f>
        <v>0</v>
      </c>
      <c r="K661" s="11">
        <f>IFERROR(__xludf.DUMMYFUNCTION("""COMPUTED_VALUE"""),0.0)</f>
        <v>0</v>
      </c>
      <c r="L661" s="11"/>
    </row>
    <row r="662" ht="15.75" customHeight="1">
      <c r="A662" s="8" t="str">
        <f>IFERROR(__xludf.DUMMYFUNCTION("""COMPUTED_VALUE"""),"https://venngage.com/blog/ai-marketing-tools/")</f>
        <v>https://venngage.com/blog/ai-marketing-tools/</v>
      </c>
      <c r="B662" s="11" t="str">
        <f>IFERROR(__xludf.DUMMYFUNCTION("""COMPUTED_VALUE"""),"Top 30+ AI Marketing Tools for Growth in 2026")</f>
        <v>Top 30+ AI Marketing Tools for Growth in 2026</v>
      </c>
      <c r="C662" s="8" t="str">
        <f>IFERROR(__xludf.DUMMYFUNCTION("""COMPUTED_VALUE"""),"venngage.com")</f>
        <v>venngage.com</v>
      </c>
      <c r="D662" s="11" t="str">
        <f>IFERROR(__xludf.DUMMYFUNCTION("""COMPUTED_VALUE"""),"LISTICLE")</f>
        <v>LISTICLE</v>
      </c>
      <c r="E662" s="11" t="str">
        <f>IFERROR(__xludf.DUMMYFUNCTION("""COMPUTED_VALUE"""),"CORPORATE")</f>
        <v>CORPORATE</v>
      </c>
      <c r="F662" s="11" t="str">
        <f>IFERROR(__xludf.DUMMYFUNCTION("""COMPUTED_VALUE"""),"Listicle")</f>
        <v>Listicle</v>
      </c>
      <c r="G662" s="11" t="b">
        <f>IFERROR(__xludf.DUMMYFUNCTION("""COMPUTED_VALUE"""),FALSE)</f>
        <v>0</v>
      </c>
      <c r="H662" s="11" t="str">
        <f>IFERROR(__xludf.DUMMYFUNCTION("""COMPUTED_VALUE"""),"Huge")</f>
        <v>Huge</v>
      </c>
      <c r="I662" s="11">
        <f>IFERROR(__xludf.DUMMYFUNCTION("""COMPUTED_VALUE"""),1.0)</f>
        <v>1</v>
      </c>
      <c r="J662" s="11">
        <f>IFERROR(__xludf.DUMMYFUNCTION("""COMPUTED_VALUE"""),0.0)</f>
        <v>0</v>
      </c>
      <c r="K662" s="11">
        <f>IFERROR(__xludf.DUMMYFUNCTION("""COMPUTED_VALUE"""),1.0)</f>
        <v>1</v>
      </c>
      <c r="L662" s="11"/>
    </row>
    <row r="663" ht="15.75" customHeight="1">
      <c r="A663" s="8" t="str">
        <f>IFERROR(__xludf.DUMMYFUNCTION("""COMPUTED_VALUE"""),"https://vertriebspilot.ai/en/blog/best-german-ai-automation-agencies-2026.html#:~:text=CET%20overlaps%20with%20both%20US,callbacks%20%2B%20WhatsApp%20qualification%20%2B%20calendar%20booking")</f>
        <v>https://vertriebspilot.ai/en/blog/best-german-ai-automation-agencies-2026.html#:~:text=CET%20overlaps%20with%20both%20US,callbacks%20%2B%20WhatsApp%20qualification%20%2B%20calendar%20booking</v>
      </c>
      <c r="B663" s="11" t="str">
        <f>IFERROR(__xludf.DUMMYFUNCTION("""COMPUTED_VALUE"""),"The Best German AI Automation Agencies in 2026 — An Honest Comparison | Vertriebspilot.ai")</f>
        <v>The Best German AI Automation Agencies in 2026 — An Honest Comparison | Vertriebspilot.ai</v>
      </c>
      <c r="C663" s="8" t="str">
        <f>IFERROR(__xludf.DUMMYFUNCTION("""COMPUTED_VALUE"""),"vertriebspilot.ai")</f>
        <v>vertriebspilot.ai</v>
      </c>
      <c r="D663" s="11" t="str">
        <f>IFERROR(__xludf.DUMMYFUNCTION("""COMPUTED_VALUE"""),"COMPARISON")</f>
        <v>COMPARISON</v>
      </c>
      <c r="E663" s="11" t="str">
        <f>IFERROR(__xludf.DUMMYFUNCTION("""COMPUTED_VALUE"""),"CORPORATE")</f>
        <v>CORPORATE</v>
      </c>
      <c r="F663" s="11" t="str">
        <f>IFERROR(__xludf.DUMMYFUNCTION("""COMPUTED_VALUE"""),"Comparison")</f>
        <v>Comparison</v>
      </c>
      <c r="G663" s="11" t="b">
        <f>IFERROR(__xludf.DUMMYFUNCTION("""COMPUTED_VALUE"""),FALSE)</f>
        <v>0</v>
      </c>
      <c r="H663" s="11" t="str">
        <f>IFERROR(__xludf.DUMMYFUNCTION("""COMPUTED_VALUE"""),"b.telligent")</f>
        <v>b.telligent</v>
      </c>
      <c r="I663" s="11">
        <f>IFERROR(__xludf.DUMMYFUNCTION("""COMPUTED_VALUE"""),1.0)</f>
        <v>1</v>
      </c>
      <c r="J663" s="11">
        <f>IFERROR(__xludf.DUMMYFUNCTION("""COMPUTED_VALUE"""),0.0)</f>
        <v>0</v>
      </c>
      <c r="K663" s="11">
        <f>IFERROR(__xludf.DUMMYFUNCTION("""COMPUTED_VALUE"""),3.0)</f>
        <v>3</v>
      </c>
      <c r="L663" s="11"/>
    </row>
    <row r="664" ht="15.75" customHeight="1">
      <c r="A664" s="8" t="str">
        <f>IFERROR(__xludf.DUMMYFUNCTION("""COMPUTED_VALUE"""),"https://vibebranding.com/blog/best-performance-marketing-agencies/")</f>
        <v>https://vibebranding.com/blog/best-performance-marketing-agencies/</v>
      </c>
      <c r="B664" s="11" t="str">
        <f>IFERROR(__xludf.DUMMYFUNCTION("""COMPUTED_VALUE"""),"Best Performance Marketing Agencies for ROI Growth 2025")</f>
        <v>Best Performance Marketing Agencies for ROI Growth 2025</v>
      </c>
      <c r="C664" s="8" t="str">
        <f>IFERROR(__xludf.DUMMYFUNCTION("""COMPUTED_VALUE"""),"vibebranding.com")</f>
        <v>vibebranding.com</v>
      </c>
      <c r="D664" s="11" t="str">
        <f>IFERROR(__xludf.DUMMYFUNCTION("""COMPUTED_VALUE"""),"LISTICLE")</f>
        <v>LISTICLE</v>
      </c>
      <c r="E664" s="11" t="str">
        <f>IFERROR(__xludf.DUMMYFUNCTION("""COMPUTED_VALUE"""),"CORPORATE")</f>
        <v>CORPORATE</v>
      </c>
      <c r="F664" s="11" t="str">
        <f>IFERROR(__xludf.DUMMYFUNCTION("""COMPUTED_VALUE"""),"Listicle")</f>
        <v>Listicle</v>
      </c>
      <c r="G664" s="11" t="b">
        <f>IFERROR(__xludf.DUMMYFUNCTION("""COMPUTED_VALUE"""),FALSE)</f>
        <v>0</v>
      </c>
      <c r="H664" s="11" t="str">
        <f>IFERROR(__xludf.DUMMYFUNCTION("""COMPUTED_VALUE"""),"Momentum")</f>
        <v>Momentum</v>
      </c>
      <c r="I664" s="11">
        <f>IFERROR(__xludf.DUMMYFUNCTION("""COMPUTED_VALUE"""),1.0)</f>
        <v>1</v>
      </c>
      <c r="J664" s="11">
        <f>IFERROR(__xludf.DUMMYFUNCTION("""COMPUTED_VALUE"""),0.0)</f>
        <v>0</v>
      </c>
      <c r="K664" s="11">
        <f>IFERROR(__xludf.DUMMYFUNCTION("""COMPUTED_VALUE"""),0.0)</f>
        <v>0</v>
      </c>
      <c r="L664" s="11"/>
    </row>
    <row r="665" ht="15.75" customHeight="1">
      <c r="A665" s="8" t="str">
        <f>IFERROR(__xludf.DUMMYFUNCTION("""COMPUTED_VALUE"""),"https://viston.tech/top-10-ai-integration-consulting-firms-in-germany-for-2026/")</f>
        <v>https://viston.tech/top-10-ai-integration-consulting-firms-in-germany-for-2026/</v>
      </c>
      <c r="B665" s="11" t="str">
        <f>IFERROR(__xludf.DUMMYFUNCTION("""COMPUTED_VALUE"""),"Top 10 AI Integration Consulting Firms in Germany for 2026")</f>
        <v>Top 10 AI Integration Consulting Firms in Germany for 2026</v>
      </c>
      <c r="C665" s="11" t="str">
        <f>IFERROR(__xludf.DUMMYFUNCTION("""COMPUTED_VALUE"""),"viston.tech")</f>
        <v>viston.tech</v>
      </c>
      <c r="D665" s="11" t="str">
        <f>IFERROR(__xludf.DUMMYFUNCTION("""COMPUTED_VALUE"""),"LISTICLE")</f>
        <v>LISTICLE</v>
      </c>
      <c r="E665" s="11" t="str">
        <f>IFERROR(__xludf.DUMMYFUNCTION("""COMPUTED_VALUE"""),"CORPORATE")</f>
        <v>CORPORATE</v>
      </c>
      <c r="F665" s="11" t="str">
        <f>IFERROR(__xludf.DUMMYFUNCTION("""COMPUTED_VALUE"""),"Listicle")</f>
        <v>Listicle</v>
      </c>
      <c r="G665" s="11" t="b">
        <f>IFERROR(__xludf.DUMMYFUNCTION("""COMPUTED_VALUE"""),FALSE)</f>
        <v>0</v>
      </c>
      <c r="H665" s="11" t="str">
        <f>IFERROR(__xludf.DUMMYFUNCTION("""COMPUTED_VALUE"""),"PwC, Capgemini")</f>
        <v>PwC, Capgemini</v>
      </c>
      <c r="I665" s="11">
        <f>IFERROR(__xludf.DUMMYFUNCTION("""COMPUTED_VALUE"""),1.0)</f>
        <v>1</v>
      </c>
      <c r="J665" s="11">
        <f>IFERROR(__xludf.DUMMYFUNCTION("""COMPUTED_VALUE"""),0.0)</f>
        <v>0</v>
      </c>
      <c r="K665" s="11">
        <f>IFERROR(__xludf.DUMMYFUNCTION("""COMPUTED_VALUE"""),1.0)</f>
        <v>1</v>
      </c>
      <c r="L665" s="11"/>
    </row>
    <row r="666" ht="15.75" customHeight="1">
      <c r="A666" s="8" t="str">
        <f>IFERROR(__xludf.DUMMYFUNCTION("""COMPUTED_VALUE"""),"https://vitasoft.co/best/geo-agentur-deutschland")</f>
        <v>https://vitasoft.co/best/geo-agentur-deutschland</v>
      </c>
      <c r="B666" s="11" t="str">
        <f>IFERROR(__xludf.DUMMYFUNCTION("""COMPUTED_VALUE"""),"Vitasoft Index — the best software &amp;amp; AI vendors, scored for AI search")</f>
        <v>Vitasoft Index — the best software &amp;amp; AI vendors, scored for AI search</v>
      </c>
      <c r="C666" s="8" t="str">
        <f>IFERROR(__xludf.DUMMYFUNCTION("""COMPUTED_VALUE"""),"vitasoft.co")</f>
        <v>vitasoft.co</v>
      </c>
      <c r="D666" s="11" t="str">
        <f>IFERROR(__xludf.DUMMYFUNCTION("""COMPUTED_VALUE"""),"OTHER")</f>
        <v>OTHER</v>
      </c>
      <c r="E666" s="11" t="str">
        <f>IFERROR(__xludf.DUMMYFUNCTION("""COMPUTED_VALUE"""),"REFERENCE")</f>
        <v>REFERENCE</v>
      </c>
      <c r="F666" s="11" t="str">
        <f>IFERROR(__xludf.DUMMYFUNCTION("""COMPUTED_VALUE"""),"Other")</f>
        <v>Other</v>
      </c>
      <c r="G666" s="11" t="b">
        <f>IFERROR(__xludf.DUMMYFUNCTION("""COMPUTED_VALUE"""),FALSE)</f>
        <v>0</v>
      </c>
      <c r="H666" s="11" t="str">
        <f>IFERROR(__xludf.DUMMYFUNCTION("""COMPUTED_VALUE"""),"WebFX, Disruptive Advertising, Power Digital, Digital Delight, Peak Ace")</f>
        <v>WebFX, Disruptive Advertising, Power Digital, Digital Delight, Peak Ace</v>
      </c>
      <c r="I666" s="11">
        <f>IFERROR(__xludf.DUMMYFUNCTION("""COMPUTED_VALUE"""),1.0)</f>
        <v>1</v>
      </c>
      <c r="J666" s="11">
        <f>IFERROR(__xludf.DUMMYFUNCTION("""COMPUTED_VALUE"""),0.0)</f>
        <v>0</v>
      </c>
      <c r="K666" s="11">
        <f>IFERROR(__xludf.DUMMYFUNCTION("""COMPUTED_VALUE"""),0.0)</f>
        <v>0</v>
      </c>
      <c r="L666" s="11"/>
    </row>
    <row r="667" ht="15.75" customHeight="1">
      <c r="A667" s="8" t="str">
        <f>IFERROR(__xludf.DUMMYFUNCTION("""COMPUTED_VALUE"""),"https://vitasoft.co/de/best/geo-agentur-deutschland/")</f>
        <v>https://vitasoft.co/de/best/geo-agentur-deutschland/</v>
      </c>
      <c r="B667" s="11" t="str">
        <f>IFERROR(__xludf.DUMMYFUNCTION("""COMPUTED_VALUE"""),"Vitasoft Index — the best software &amp;amp; AI vendors, scored for AI search")</f>
        <v>Vitasoft Index — the best software &amp;amp; AI vendors, scored for AI search</v>
      </c>
      <c r="C667" s="8" t="str">
        <f>IFERROR(__xludf.DUMMYFUNCTION("""COMPUTED_VALUE"""),"vitasoft.co")</f>
        <v>vitasoft.co</v>
      </c>
      <c r="D667" s="11" t="str">
        <f>IFERROR(__xludf.DUMMYFUNCTION("""COMPUTED_VALUE"""),"LISTICLE")</f>
        <v>LISTICLE</v>
      </c>
      <c r="E667" s="11" t="str">
        <f>IFERROR(__xludf.DUMMYFUNCTION("""COMPUTED_VALUE"""),"REFERENCE")</f>
        <v>REFERENCE</v>
      </c>
      <c r="F667" s="11" t="str">
        <f>IFERROR(__xludf.DUMMYFUNCTION("""COMPUTED_VALUE"""),"Listicle")</f>
        <v>Listicle</v>
      </c>
      <c r="G667" s="11" t="b">
        <f>IFERROR(__xludf.DUMMYFUNCTION("""COMPUTED_VALUE"""),FALSE)</f>
        <v>0</v>
      </c>
      <c r="H667" s="11" t="str">
        <f>IFERROR(__xludf.DUMMYFUNCTION("""COMPUTED_VALUE"""),"Power Digital, WebFX, Peak Ace")</f>
        <v>Power Digital, WebFX, Peak Ace</v>
      </c>
      <c r="I667" s="11">
        <f>IFERROR(__xludf.DUMMYFUNCTION("""COMPUTED_VALUE"""),1.0)</f>
        <v>1</v>
      </c>
      <c r="J667" s="11">
        <f>IFERROR(__xludf.DUMMYFUNCTION("""COMPUTED_VALUE"""),0.0)</f>
        <v>0</v>
      </c>
      <c r="K667" s="11">
        <f>IFERROR(__xludf.DUMMYFUNCTION("""COMPUTED_VALUE"""),4.0)</f>
        <v>4</v>
      </c>
      <c r="L667" s="11"/>
    </row>
    <row r="668" ht="15.75" customHeight="1">
      <c r="A668" s="8" t="str">
        <f>IFERROR(__xludf.DUMMYFUNCTION("""COMPUTED_VALUE"""),"https://www.weareqry.com/blog/best-paid-media-agencies")</f>
        <v>https://www.weareqry.com/blog/best-paid-media-agencies</v>
      </c>
      <c r="B668" s="11" t="str">
        <f>IFERROR(__xludf.DUMMYFUNCTION("""COMPUTED_VALUE"""),"Best Paid Media Agencies for 2026 | QRY")</f>
        <v>Best Paid Media Agencies for 2026 | QRY</v>
      </c>
      <c r="C668" s="8" t="str">
        <f>IFERROR(__xludf.DUMMYFUNCTION("""COMPUTED_VALUE"""),"weareqry.com")</f>
        <v>weareqry.com</v>
      </c>
      <c r="D668" s="11" t="str">
        <f>IFERROR(__xludf.DUMMYFUNCTION("""COMPUTED_VALUE"""),"LISTICLE")</f>
        <v>LISTICLE</v>
      </c>
      <c r="E668" s="11" t="str">
        <f>IFERROR(__xludf.DUMMYFUNCTION("""COMPUTED_VALUE"""),"CORPORATE")</f>
        <v>CORPORATE</v>
      </c>
      <c r="F668" s="11" t="str">
        <f>IFERROR(__xludf.DUMMYFUNCTION("""COMPUTED_VALUE"""),"Listicle")</f>
        <v>Listicle</v>
      </c>
      <c r="G668" s="11" t="b">
        <f>IFERROR(__xludf.DUMMYFUNCTION("""COMPUTED_VALUE"""),FALSE)</f>
        <v>0</v>
      </c>
      <c r="H668" s="11" t="str">
        <f>IFERROR(__xludf.DUMMYFUNCTION("""COMPUTED_VALUE"""),"Wpromote, Power Digital, WebFX, Single Grain, Omnicom, Tinuiti")</f>
        <v>Wpromote, Power Digital, WebFX, Single Grain, Omnicom, Tinuiti</v>
      </c>
      <c r="I668" s="11">
        <f>IFERROR(__xludf.DUMMYFUNCTION("""COMPUTED_VALUE"""),1.0)</f>
        <v>1</v>
      </c>
      <c r="J668" s="11">
        <f>IFERROR(__xludf.DUMMYFUNCTION("""COMPUTED_VALUE"""),0.0)</f>
        <v>0</v>
      </c>
      <c r="K668" s="11">
        <f>IFERROR(__xludf.DUMMYFUNCTION("""COMPUTED_VALUE"""),4.0)</f>
        <v>4</v>
      </c>
      <c r="L668" s="11"/>
    </row>
    <row r="669" ht="15.75" customHeight="1">
      <c r="A669" s="8" t="str">
        <f>IFERROR(__xludf.DUMMYFUNCTION("""COMPUTED_VALUE"""),"https://www.weareqry.com/blog/best-performance-marketing-agencies")</f>
        <v>https://www.weareqry.com/blog/best-performance-marketing-agencies</v>
      </c>
      <c r="B669" s="11" t="str">
        <f>IFERROR(__xludf.DUMMYFUNCTION("""COMPUTED_VALUE"""),"Best Performance Marketing Agencies for 2026 | QRY")</f>
        <v>Best Performance Marketing Agencies for 2026 | QRY</v>
      </c>
      <c r="C669" s="8" t="str">
        <f>IFERROR(__xludf.DUMMYFUNCTION("""COMPUTED_VALUE"""),"weareqry.com")</f>
        <v>weareqry.com</v>
      </c>
      <c r="D669" s="11" t="str">
        <f>IFERROR(__xludf.DUMMYFUNCTION("""COMPUTED_VALUE"""),"LISTICLE")</f>
        <v>LISTICLE</v>
      </c>
      <c r="E669" s="11" t="str">
        <f>IFERROR(__xludf.DUMMYFUNCTION("""COMPUTED_VALUE"""),"CORPORATE")</f>
        <v>CORPORATE</v>
      </c>
      <c r="F669" s="11" t="str">
        <f>IFERROR(__xludf.DUMMYFUNCTION("""COMPUTED_VALUE"""),"Listicle")</f>
        <v>Listicle</v>
      </c>
      <c r="G669" s="11" t="b">
        <f>IFERROR(__xludf.DUMMYFUNCTION("""COMPUTED_VALUE"""),FALSE)</f>
        <v>0</v>
      </c>
      <c r="H669" s="11" t="str">
        <f>IFERROR(__xludf.DUMMYFUNCTION("""COMPUTED_VALUE"""),"Measured, Tinuiti, Power Digital, NoGood, Hawke Media")</f>
        <v>Measured, Tinuiti, Power Digital, NoGood, Hawke Media</v>
      </c>
      <c r="I669" s="11">
        <f>IFERROR(__xludf.DUMMYFUNCTION("""COMPUTED_VALUE"""),1.0)</f>
        <v>1</v>
      </c>
      <c r="J669" s="11">
        <f>IFERROR(__xludf.DUMMYFUNCTION("""COMPUTED_VALUE"""),0.0)</f>
        <v>0</v>
      </c>
      <c r="K669" s="11">
        <f>IFERROR(__xludf.DUMMYFUNCTION("""COMPUTED_VALUE"""),0.0)</f>
        <v>0</v>
      </c>
      <c r="L669" s="11"/>
    </row>
    <row r="670" ht="15.75" customHeight="1">
      <c r="A670" s="8" t="str">
        <f>IFERROR(__xludf.DUMMYFUNCTION("""COMPUTED_VALUE"""),"https://www.wearetenet.com/blog/best-ai-seo-agencies")</f>
        <v>https://www.wearetenet.com/blog/best-ai-seo-agencies</v>
      </c>
      <c r="B670" s="11" t="str">
        <f>IFERROR(__xludf.DUMMYFUNCTION("""COMPUTED_VALUE"""),"10 Best AI SEO Agencies to Win in AI Overviews and LLMs")</f>
        <v>10 Best AI SEO Agencies to Win in AI Overviews and LLMs</v>
      </c>
      <c r="C670" s="8" t="str">
        <f>IFERROR(__xludf.DUMMYFUNCTION("""COMPUTED_VALUE"""),"wearetenet.com")</f>
        <v>wearetenet.com</v>
      </c>
      <c r="D670" s="11" t="str">
        <f>IFERROR(__xludf.DUMMYFUNCTION("""COMPUTED_VALUE"""),"LISTICLE")</f>
        <v>LISTICLE</v>
      </c>
      <c r="E670" s="11" t="str">
        <f>IFERROR(__xludf.DUMMYFUNCTION("""COMPUTED_VALUE"""),"CORPORATE")</f>
        <v>CORPORATE</v>
      </c>
      <c r="F670" s="11" t="str">
        <f>IFERROR(__xludf.DUMMYFUNCTION("""COMPUTED_VALUE"""),"Listicle")</f>
        <v>Listicle</v>
      </c>
      <c r="G670" s="11" t="b">
        <f>IFERROR(__xludf.DUMMYFUNCTION("""COMPUTED_VALUE"""),FALSE)</f>
        <v>0</v>
      </c>
      <c r="H670" s="11"/>
      <c r="I670" s="11">
        <f>IFERROR(__xludf.DUMMYFUNCTION("""COMPUTED_VALUE"""),1.0)</f>
        <v>1</v>
      </c>
      <c r="J670" s="11">
        <f>IFERROR(__xludf.DUMMYFUNCTION("""COMPUTED_VALUE"""),0.0)</f>
        <v>0</v>
      </c>
      <c r="K670" s="11">
        <f>IFERROR(__xludf.DUMMYFUNCTION("""COMPUTED_VALUE"""),1.0)</f>
        <v>1</v>
      </c>
      <c r="L670" s="11"/>
    </row>
    <row r="671" ht="15.75" customHeight="1">
      <c r="A671" s="8" t="str">
        <f>IFERROR(__xludf.DUMMYFUNCTION("""COMPUTED_VALUE"""),"https://www.webfx.com/digital-marketing/learn/top-martech-companies/")</f>
        <v>https://www.webfx.com/digital-marketing/learn/top-martech-companies/</v>
      </c>
      <c r="B671" s="11" t="str">
        <f>IFERROR(__xludf.DUMMYFUNCTION("""COMPUTED_VALUE"""),"9 Top Martech Companies of 2026 in the World")</f>
        <v>9 Top Martech Companies of 2026 in the World</v>
      </c>
      <c r="C671" s="8" t="str">
        <f>IFERROR(__xludf.DUMMYFUNCTION("""COMPUTED_VALUE"""),"webfx.com")</f>
        <v>webfx.com</v>
      </c>
      <c r="D671" s="11" t="str">
        <f>IFERROR(__xludf.DUMMYFUNCTION("""COMPUTED_VALUE"""),"LISTICLE")</f>
        <v>LISTICLE</v>
      </c>
      <c r="E671" s="11" t="str">
        <f>IFERROR(__xludf.DUMMYFUNCTION("""COMPUTED_VALUE"""),"COMPETITOR")</f>
        <v>COMPETITOR</v>
      </c>
      <c r="F671" s="11" t="str">
        <f>IFERROR(__xludf.DUMMYFUNCTION("""COMPUTED_VALUE"""),"Listicle")</f>
        <v>Listicle</v>
      </c>
      <c r="G671" s="11" t="b">
        <f>IFERROR(__xludf.DUMMYFUNCTION("""COMPUTED_VALUE"""),FALSE)</f>
        <v>0</v>
      </c>
      <c r="H671" s="11" t="str">
        <f>IFERROR(__xludf.DUMMYFUNCTION("""COMPUTED_VALUE"""),"WebFX")</f>
        <v>WebFX</v>
      </c>
      <c r="I671" s="11">
        <f>IFERROR(__xludf.DUMMYFUNCTION("""COMPUTED_VALUE"""),1.0)</f>
        <v>1</v>
      </c>
      <c r="J671" s="11">
        <f>IFERROR(__xludf.DUMMYFUNCTION("""COMPUTED_VALUE"""),0.0)</f>
        <v>0</v>
      </c>
      <c r="K671" s="11">
        <f>IFERROR(__xludf.DUMMYFUNCTION("""COMPUTED_VALUE"""),1.0)</f>
        <v>1</v>
      </c>
      <c r="L671" s="11"/>
    </row>
    <row r="672" ht="15.75" customHeight="1">
      <c r="A672" s="8" t="str">
        <f>IFERROR(__xludf.DUMMYFUNCTION("""COMPUTED_VALUE"""),"https://webguruz.in/blog/best-google-ads-agencies-india")</f>
        <v>https://webguruz.in/blog/best-google-ads-agencies-india</v>
      </c>
      <c r="B672" s="11" t="str">
        <f>IFERROR(__xludf.DUMMYFUNCTION("""COMPUTED_VALUE"""),"Top 5 Google Ads Agencies in India for Lead Generation")</f>
        <v>Top 5 Google Ads Agencies in India for Lead Generation</v>
      </c>
      <c r="C672" s="8" t="str">
        <f>IFERROR(__xludf.DUMMYFUNCTION("""COMPUTED_VALUE"""),"webguruz.in")</f>
        <v>webguruz.in</v>
      </c>
      <c r="D672" s="11" t="str">
        <f>IFERROR(__xludf.DUMMYFUNCTION("""COMPUTED_VALUE"""),"LISTICLE")</f>
        <v>LISTICLE</v>
      </c>
      <c r="E672" s="11" t="str">
        <f>IFERROR(__xludf.DUMMYFUNCTION("""COMPUTED_VALUE"""),"CORPORATE")</f>
        <v>CORPORATE</v>
      </c>
      <c r="F672" s="11" t="str">
        <f>IFERROR(__xludf.DUMMYFUNCTION("""COMPUTED_VALUE"""),"Listicle")</f>
        <v>Listicle</v>
      </c>
      <c r="G672" s="11" t="b">
        <f>IFERROR(__xludf.DUMMYFUNCTION("""COMPUTED_VALUE"""),FALSE)</f>
        <v>0</v>
      </c>
      <c r="H672" s="11" t="str">
        <f>IFERROR(__xludf.DUMMYFUNCTION("""COMPUTED_VALUE"""),"Publicis Groupe, Measured")</f>
        <v>Publicis Groupe, Measured</v>
      </c>
      <c r="I672" s="11">
        <f>IFERROR(__xludf.DUMMYFUNCTION("""COMPUTED_VALUE"""),1.0)</f>
        <v>1</v>
      </c>
      <c r="J672" s="11">
        <f>IFERROR(__xludf.DUMMYFUNCTION("""COMPUTED_VALUE"""),0.0)</f>
        <v>0</v>
      </c>
      <c r="K672" s="11">
        <f>IFERROR(__xludf.DUMMYFUNCTION("""COMPUTED_VALUE"""),0.0)</f>
        <v>0</v>
      </c>
      <c r="L672" s="11"/>
    </row>
    <row r="673" ht="15.75" customHeight="1">
      <c r="A673" s="8" t="str">
        <f>IFERROR(__xludf.DUMMYFUNCTION("""COMPUTED_VALUE"""),"https://www.webtonic.io/blog/best-performance-marketing-agencies-2026")</f>
        <v>https://www.webtonic.io/blog/best-performance-marketing-agencies-2026</v>
      </c>
      <c r="B673" s="11" t="str">
        <f>IFERROR(__xludf.DUMMYFUNCTION("""COMPUTED_VALUE"""),"28 Best Performance Marketing Agencies for 2026")</f>
        <v>28 Best Performance Marketing Agencies for 2026</v>
      </c>
      <c r="C673" s="8" t="str">
        <f>IFERROR(__xludf.DUMMYFUNCTION("""COMPUTED_VALUE"""),"webtonic.io")</f>
        <v>webtonic.io</v>
      </c>
      <c r="D673" s="11" t="str">
        <f>IFERROR(__xludf.DUMMYFUNCTION("""COMPUTED_VALUE"""),"LISTICLE")</f>
        <v>LISTICLE</v>
      </c>
      <c r="E673" s="11" t="str">
        <f>IFERROR(__xludf.DUMMYFUNCTION("""COMPUTED_VALUE"""),"CORPORATE")</f>
        <v>CORPORATE</v>
      </c>
      <c r="F673" s="11" t="str">
        <f>IFERROR(__xludf.DUMMYFUNCTION("""COMPUTED_VALUE"""),"Listicle")</f>
        <v>Listicle</v>
      </c>
      <c r="G673" s="11" t="b">
        <f>IFERROR(__xludf.DUMMYFUNCTION("""COMPUTED_VALUE"""),FALSE)</f>
        <v>0</v>
      </c>
      <c r="H673" s="11" t="str">
        <f>IFERROR(__xludf.DUMMYFUNCTION("""COMPUTED_VALUE"""),"Wpromote, Tinuiti, Brainlabs, Jellyfish, Croud, KlientBoost, Disruptive Advertising, NoGood, Power Digital, Directive Consulting, Hawke Media, Single Grain")</f>
        <v>Wpromote, Tinuiti, Brainlabs, Jellyfish, Croud, KlientBoost, Disruptive Advertising, NoGood, Power Digital, Directive Consulting, Hawke Media, Single Grain</v>
      </c>
      <c r="I673" s="11">
        <f>IFERROR(__xludf.DUMMYFUNCTION("""COMPUTED_VALUE"""),1.0)</f>
        <v>1</v>
      </c>
      <c r="J673" s="11">
        <f>IFERROR(__xludf.DUMMYFUNCTION("""COMPUTED_VALUE"""),0.0)</f>
        <v>0</v>
      </c>
      <c r="K673" s="11">
        <f>IFERROR(__xludf.DUMMYFUNCTION("""COMPUTED_VALUE"""),0.0)</f>
        <v>0</v>
      </c>
      <c r="L673" s="11"/>
    </row>
    <row r="674" ht="15.75" customHeight="1">
      <c r="A674" s="8" t="str">
        <f>IFERROR(__xludf.DUMMYFUNCTION("""COMPUTED_VALUE"""),"https://weframetech.com/blog/top-ai-seo-agencies-in-berlin-7-firms-leading-in-2026")</f>
        <v>https://weframetech.com/blog/top-ai-seo-agencies-in-berlin-7-firms-leading-in-2026</v>
      </c>
      <c r="B674" s="11" t="str">
        <f>IFERROR(__xludf.DUMMYFUNCTION("""COMPUTED_VALUE"""),"Top 7 AI SEO Agencies in Berlin 2026 Proof? I got you, bruh")</f>
        <v>Top 7 AI SEO Agencies in Berlin 2026 Proof? I got you, bruh</v>
      </c>
      <c r="C674" s="8" t="str">
        <f>IFERROR(__xludf.DUMMYFUNCTION("""COMPUTED_VALUE"""),"weframetech.com")</f>
        <v>weframetech.com</v>
      </c>
      <c r="D674" s="11" t="str">
        <f>IFERROR(__xludf.DUMMYFUNCTION("""COMPUTED_VALUE"""),"LISTICLE")</f>
        <v>LISTICLE</v>
      </c>
      <c r="E674" s="11" t="str">
        <f>IFERROR(__xludf.DUMMYFUNCTION("""COMPUTED_VALUE"""),"CORPORATE")</f>
        <v>CORPORATE</v>
      </c>
      <c r="F674" s="11" t="str">
        <f>IFERROR(__xludf.DUMMYFUNCTION("""COMPUTED_VALUE"""),"Listicle")</f>
        <v>Listicle</v>
      </c>
      <c r="G674" s="11" t="b">
        <f>IFERROR(__xludf.DUMMYFUNCTION("""COMPUTED_VALUE"""),FALSE)</f>
        <v>0</v>
      </c>
      <c r="H674" s="11" t="str">
        <f>IFERROR(__xludf.DUMMYFUNCTION("""COMPUTED_VALUE"""),"Claneo")</f>
        <v>Claneo</v>
      </c>
      <c r="I674" s="11">
        <f>IFERROR(__xludf.DUMMYFUNCTION("""COMPUTED_VALUE"""),1.0)</f>
        <v>1</v>
      </c>
      <c r="J674" s="11">
        <f>IFERROR(__xludf.DUMMYFUNCTION("""COMPUTED_VALUE"""),0.0)</f>
        <v>0</v>
      </c>
      <c r="K674" s="11">
        <f>IFERROR(__xludf.DUMMYFUNCTION("""COMPUTED_VALUE"""),0.0)</f>
        <v>0</v>
      </c>
      <c r="L674" s="11"/>
    </row>
    <row r="675" ht="15.75" customHeight="1">
      <c r="A675" s="8" t="str">
        <f>IFERROR(__xludf.DUMMYFUNCTION("""COMPUTED_VALUE"""),"https://wellows.com/blog/top-ai-seo-agencies/")</f>
        <v>https://wellows.com/blog/top-ai-seo-agencies/</v>
      </c>
      <c r="B675" s="11" t="str">
        <f>IFERROR(__xludf.DUMMYFUNCTION("""COMPUTED_VALUE"""),"17 Top AI SEO agencies in 2026")</f>
        <v>17 Top AI SEO agencies in 2026</v>
      </c>
      <c r="C675" s="8" t="str">
        <f>IFERROR(__xludf.DUMMYFUNCTION("""COMPUTED_VALUE"""),"wellows.com")</f>
        <v>wellows.com</v>
      </c>
      <c r="D675" s="11" t="str">
        <f>IFERROR(__xludf.DUMMYFUNCTION("""COMPUTED_VALUE"""),"LISTICLE")</f>
        <v>LISTICLE</v>
      </c>
      <c r="E675" s="11" t="str">
        <f>IFERROR(__xludf.DUMMYFUNCTION("""COMPUTED_VALUE"""),"CORPORATE")</f>
        <v>CORPORATE</v>
      </c>
      <c r="F675" s="11" t="str">
        <f>IFERROR(__xludf.DUMMYFUNCTION("""COMPUTED_VALUE"""),"Listicle")</f>
        <v>Listicle</v>
      </c>
      <c r="G675" s="11" t="b">
        <f>IFERROR(__xludf.DUMMYFUNCTION("""COMPUTED_VALUE"""),FALSE)</f>
        <v>0</v>
      </c>
      <c r="H675" s="11" t="str">
        <f>IFERROR(__xludf.DUMMYFUNCTION("""COMPUTED_VALUE"""),"iPullRank, Omnius, WebFX, NoGood, Measured")</f>
        <v>iPullRank, Omnius, WebFX, NoGood, Measured</v>
      </c>
      <c r="I675" s="11">
        <f>IFERROR(__xludf.DUMMYFUNCTION("""COMPUTED_VALUE"""),1.0)</f>
        <v>1</v>
      </c>
      <c r="J675" s="11">
        <f>IFERROR(__xludf.DUMMYFUNCTION("""COMPUTED_VALUE"""),0.0)</f>
        <v>0</v>
      </c>
      <c r="K675" s="11">
        <f>IFERROR(__xludf.DUMMYFUNCTION("""COMPUTED_VALUE"""),1.0)</f>
        <v>1</v>
      </c>
      <c r="L675" s="11"/>
    </row>
    <row r="676" ht="15.75" customHeight="1">
      <c r="A676" s="8" t="str">
        <f>IFERROR(__xludf.DUMMYFUNCTION("""COMPUTED_VALUE"""),"https://www.werbeagentur.de/de/scoring/ab-testing")</f>
        <v>https://www.werbeagentur.de/de/scoring/ab-testing</v>
      </c>
      <c r="B676" s="11" t="str">
        <f>IFERROR(__xludf.DUMMYFUNCTION("""COMPUTED_VALUE"""),"29 Top Agenturen für AB Testing. Hier vergleichen")</f>
        <v>29 Top Agenturen für AB Testing. Hier vergleichen</v>
      </c>
      <c r="C676" s="8" t="str">
        <f>IFERROR(__xludf.DUMMYFUNCTION("""COMPUTED_VALUE"""),"werbeagentur.de")</f>
        <v>werbeagentur.de</v>
      </c>
      <c r="D676" s="11" t="str">
        <f>IFERROR(__xludf.DUMMYFUNCTION("""COMPUTED_VALUE"""),"PROFILE")</f>
        <v>PROFILE</v>
      </c>
      <c r="E676" s="11" t="str">
        <f>IFERROR(__xludf.DUMMYFUNCTION("""COMPUTED_VALUE"""),"REFERENCE")</f>
        <v>REFERENCE</v>
      </c>
      <c r="F676" s="11" t="str">
        <f>IFERROR(__xludf.DUMMYFUNCTION("""COMPUTED_VALUE"""),"Profile")</f>
        <v>Profile</v>
      </c>
      <c r="G676" s="11" t="b">
        <f>IFERROR(__xludf.DUMMYFUNCTION("""COMPUTED_VALUE"""),FALSE)</f>
        <v>0</v>
      </c>
      <c r="H676" s="11" t="str">
        <f>IFERROR(__xludf.DUMMYFUNCTION("""COMPUTED_VALUE"""),"morefire, Digital Masters GmbH")</f>
        <v>morefire, Digital Masters GmbH</v>
      </c>
      <c r="I676" s="11">
        <f>IFERROR(__xludf.DUMMYFUNCTION("""COMPUTED_VALUE"""),1.0)</f>
        <v>1</v>
      </c>
      <c r="J676" s="11">
        <f>IFERROR(__xludf.DUMMYFUNCTION("""COMPUTED_VALUE"""),0.0)</f>
        <v>0</v>
      </c>
      <c r="K676" s="11">
        <f>IFERROR(__xludf.DUMMYFUNCTION("""COMPUTED_VALUE"""),0.0)</f>
        <v>0</v>
      </c>
      <c r="L676" s="11"/>
    </row>
    <row r="677" ht="15.75" customHeight="1">
      <c r="A677" s="8" t="str">
        <f>IFERROR(__xludf.DUMMYFUNCTION("""COMPUTED_VALUE"""),"https://www.werbeagentur.de/de/scoring/digital-online-agentur")</f>
        <v>https://www.werbeagentur.de/de/scoring/digital-online-agentur</v>
      </c>
      <c r="B677" s="11" t="str">
        <f>IFERROR(__xludf.DUMMYFUNCTION("""COMPUTED_VALUE"""),"1068 Top Digital / Online Agenturen. Hier vergleichen")</f>
        <v>1068 Top Digital / Online Agenturen. Hier vergleichen</v>
      </c>
      <c r="C677" s="8" t="str">
        <f>IFERROR(__xludf.DUMMYFUNCTION("""COMPUTED_VALUE"""),"werbeagentur.de")</f>
        <v>werbeagentur.de</v>
      </c>
      <c r="D677" s="11" t="str">
        <f>IFERROR(__xludf.DUMMYFUNCTION("""COMPUTED_VALUE"""),"LISTICLE")</f>
        <v>LISTICLE</v>
      </c>
      <c r="E677" s="11" t="str">
        <f>IFERROR(__xludf.DUMMYFUNCTION("""COMPUTED_VALUE"""),"REFERENCE")</f>
        <v>REFERENCE</v>
      </c>
      <c r="F677" s="11" t="str">
        <f>IFERROR(__xludf.DUMMYFUNCTION("""COMPUTED_VALUE"""),"Listicle")</f>
        <v>Listicle</v>
      </c>
      <c r="G677" s="11" t="b">
        <f>IFERROR(__xludf.DUMMYFUNCTION("""COMPUTED_VALUE"""),FALSE)</f>
        <v>0</v>
      </c>
      <c r="H677" s="11" t="str">
        <f>IFERROR(__xludf.DUMMYFUNCTION("""COMPUTED_VALUE"""),"Artefact, Smarketer, Seiten-Werk, ZweiDigital GmbH, Digital Masters GmbH, Löwenstark, Baseplus DIGITAL MEDIA GmbH, eMinded GmbH, morefire, Loyamo, Aufgesang, PANORAMA3000")</f>
        <v>Artefact, Smarketer, Seiten-Werk, ZweiDigital GmbH, Digital Masters GmbH, Löwenstark, Baseplus DIGITAL MEDIA GmbH, eMinded GmbH, morefire, Loyamo, Aufgesang, PANORAMA3000</v>
      </c>
      <c r="I677" s="11">
        <f>IFERROR(__xludf.DUMMYFUNCTION("""COMPUTED_VALUE"""),1.0)</f>
        <v>1</v>
      </c>
      <c r="J677" s="11">
        <f>IFERROR(__xludf.DUMMYFUNCTION("""COMPUTED_VALUE"""),0.0)</f>
        <v>0</v>
      </c>
      <c r="K677" s="11">
        <f>IFERROR(__xludf.DUMMYFUNCTION("""COMPUTED_VALUE"""),1.0)</f>
        <v>1</v>
      </c>
      <c r="L677" s="11"/>
    </row>
    <row r="678" ht="15.75" customHeight="1">
      <c r="A678" s="8" t="str">
        <f>IFERROR(__xludf.DUMMYFUNCTION("""COMPUTED_VALUE"""),"https://westoperators.com/blog/top-7-aeo-agencies")</f>
        <v>https://westoperators.com/blog/top-7-aeo-agencies</v>
      </c>
      <c r="B678" s="11" t="str">
        <f>IFERROR(__xludf.DUMMYFUNCTION("""COMPUTED_VALUE"""),"Top AI search optimization agencies (AEO) in 2025-2026 | West Operators")</f>
        <v>Top AI search optimization agencies (AEO) in 2025-2026 | West Operators</v>
      </c>
      <c r="C678" s="8" t="str">
        <f>IFERROR(__xludf.DUMMYFUNCTION("""COMPUTED_VALUE"""),"westoperators.com")</f>
        <v>westoperators.com</v>
      </c>
      <c r="D678" s="11" t="str">
        <f>IFERROR(__xludf.DUMMYFUNCTION("""COMPUTED_VALUE"""),"LISTICLE")</f>
        <v>LISTICLE</v>
      </c>
      <c r="E678" s="11" t="str">
        <f>IFERROR(__xludf.DUMMYFUNCTION("""COMPUTED_VALUE"""),"CORPORATE")</f>
        <v>CORPORATE</v>
      </c>
      <c r="F678" s="11" t="str">
        <f>IFERROR(__xludf.DUMMYFUNCTION("""COMPUTED_VALUE"""),"Listicle")</f>
        <v>Listicle</v>
      </c>
      <c r="G678" s="11" t="b">
        <f>IFERROR(__xludf.DUMMYFUNCTION("""COMPUTED_VALUE"""),FALSE)</f>
        <v>0</v>
      </c>
      <c r="H678" s="11" t="str">
        <f>IFERROR(__xludf.DUMMYFUNCTION("""COMPUTED_VALUE"""),"Omniscient Digital, iPullRank, Siege Media, Single Grain")</f>
        <v>Omniscient Digital, iPullRank, Siege Media, Single Grain</v>
      </c>
      <c r="I678" s="11">
        <f>IFERROR(__xludf.DUMMYFUNCTION("""COMPUTED_VALUE"""),1.0)</f>
        <v>1</v>
      </c>
      <c r="J678" s="11">
        <f>IFERROR(__xludf.DUMMYFUNCTION("""COMPUTED_VALUE"""),0.0)</f>
        <v>0</v>
      </c>
      <c r="K678" s="11">
        <f>IFERROR(__xludf.DUMMYFUNCTION("""COMPUTED_VALUE"""),0.0)</f>
        <v>0</v>
      </c>
      <c r="L678" s="11"/>
    </row>
    <row r="679" ht="15.75" customHeight="1">
      <c r="A679" s="8" t="str">
        <f>IFERROR(__xludf.DUMMYFUNCTION("""COMPUTED_VALUE"""),"https://wifitalents.com/service/ai-adoption/")</f>
        <v>https://wifitalents.com/service/ai-adoption/</v>
      </c>
      <c r="B679" s="11" t="str">
        <f>IFERROR(__xludf.DUMMYFUNCTION("""COMPUTED_VALUE"""),"Top AI Adoption Services (2026)")</f>
        <v>Top AI Adoption Services (2026)</v>
      </c>
      <c r="C679" s="8" t="str">
        <f>IFERROR(__xludf.DUMMYFUNCTION("""COMPUTED_VALUE"""),"wifitalents.com")</f>
        <v>wifitalents.com</v>
      </c>
      <c r="D679" s="11" t="str">
        <f>IFERROR(__xludf.DUMMYFUNCTION("""COMPUTED_VALUE"""),"LISTICLE")</f>
        <v>LISTICLE</v>
      </c>
      <c r="E679" s="11" t="str">
        <f>IFERROR(__xludf.DUMMYFUNCTION("""COMPUTED_VALUE"""),"REFERENCE")</f>
        <v>REFERENCE</v>
      </c>
      <c r="F679" s="11" t="str">
        <f>IFERROR(__xludf.DUMMYFUNCTION("""COMPUTED_VALUE"""),"Listicle")</f>
        <v>Listicle</v>
      </c>
      <c r="G679" s="11" t="b">
        <f>IFERROR(__xludf.DUMMYFUNCTION("""COMPUTED_VALUE"""),FALSE)</f>
        <v>0</v>
      </c>
      <c r="H679" s="11" t="str">
        <f>IFERROR(__xludf.DUMMYFUNCTION("""COMPUTED_VALUE"""),"PwC, Capgemini, Pilot, appliedAI, Momentum")</f>
        <v>PwC, Capgemini, Pilot, appliedAI, Momentum</v>
      </c>
      <c r="I679" s="11">
        <f>IFERROR(__xludf.DUMMYFUNCTION("""COMPUTED_VALUE"""),1.0)</f>
        <v>1</v>
      </c>
      <c r="J679" s="11">
        <f>IFERROR(__xludf.DUMMYFUNCTION("""COMPUTED_VALUE"""),0.0)</f>
        <v>0</v>
      </c>
      <c r="K679" s="11">
        <f>IFERROR(__xludf.DUMMYFUNCTION("""COMPUTED_VALUE"""),2.0)</f>
        <v>2</v>
      </c>
      <c r="L679" s="11"/>
    </row>
    <row r="680" ht="15.75" customHeight="1">
      <c r="A680" s="8" t="str">
        <f>IFERROR(__xludf.DUMMYFUNCTION("""COMPUTED_VALUE"""),"https://www.wmtips.com/technologies/marketing-attribution/")</f>
        <v>https://www.wmtips.com/technologies/marketing-attribution/</v>
      </c>
      <c r="B680" s="11" t="str">
        <f>IFERROR(__xludf.DUMMYFUNCTION("""COMPUTED_VALUE"""),"Top 25+ Marketing Attribution Platforms by Market Share (2026)")</f>
        <v>Top 25+ Marketing Attribution Platforms by Market Share (2026)</v>
      </c>
      <c r="C680" s="8" t="str">
        <f>IFERROR(__xludf.DUMMYFUNCTION("""COMPUTED_VALUE"""),"wmtips.com")</f>
        <v>wmtips.com</v>
      </c>
      <c r="D680" s="11" t="str">
        <f>IFERROR(__xludf.DUMMYFUNCTION("""COMPUTED_VALUE"""),"CATEGORY_PAGE")</f>
        <v>CATEGORY_PAGE</v>
      </c>
      <c r="E680" s="11" t="str">
        <f>IFERROR(__xludf.DUMMYFUNCTION("""COMPUTED_VALUE"""),"REFERENCE")</f>
        <v>REFERENCE</v>
      </c>
      <c r="F680" s="11" t="str">
        <f>IFERROR(__xludf.DUMMYFUNCTION("""COMPUTED_VALUE"""),"Category Page")</f>
        <v>Category Page</v>
      </c>
      <c r="G680" s="11" t="b">
        <f>IFERROR(__xludf.DUMMYFUNCTION("""COMPUTED_VALUE"""),FALSE)</f>
        <v>0</v>
      </c>
      <c r="H680" s="11"/>
      <c r="I680" s="11">
        <f>IFERROR(__xludf.DUMMYFUNCTION("""COMPUTED_VALUE"""),1.0)</f>
        <v>1</v>
      </c>
      <c r="J680" s="11">
        <f>IFERROR(__xludf.DUMMYFUNCTION("""COMPUTED_VALUE"""),0.0)</f>
        <v>0</v>
      </c>
      <c r="K680" s="11">
        <f>IFERROR(__xludf.DUMMYFUNCTION("""COMPUTED_VALUE"""),0.0)</f>
        <v>0</v>
      </c>
      <c r="L680" s="11"/>
    </row>
    <row r="681" ht="15.75" customHeight="1">
      <c r="A681" s="8" t="str">
        <f>IFERROR(__xludf.DUMMYFUNCTION("""COMPUTED_VALUE"""),"https://worldmetrics.org/service/ai-adoption/")</f>
        <v>https://worldmetrics.org/service/ai-adoption/</v>
      </c>
      <c r="B681" s="11" t="str">
        <f>IFERROR(__xludf.DUMMYFUNCTION("""COMPUTED_VALUE"""),"Top 10 Best AI Adoption Services | 2026 Expert Picks")</f>
        <v>Top 10 Best AI Adoption Services | 2026 Expert Picks</v>
      </c>
      <c r="C681" s="8" t="str">
        <f>IFERROR(__xludf.DUMMYFUNCTION("""COMPUTED_VALUE"""),"worldmetrics.org")</f>
        <v>worldmetrics.org</v>
      </c>
      <c r="D681" s="11" t="str">
        <f>IFERROR(__xludf.DUMMYFUNCTION("""COMPUTED_VALUE"""),"LISTICLE")</f>
        <v>LISTICLE</v>
      </c>
      <c r="E681" s="11" t="str">
        <f>IFERROR(__xludf.DUMMYFUNCTION("""COMPUTED_VALUE"""),"REFERENCE")</f>
        <v>REFERENCE</v>
      </c>
      <c r="F681" s="11" t="str">
        <f>IFERROR(__xludf.DUMMYFUNCTION("""COMPUTED_VALUE"""),"Listicle")</f>
        <v>Listicle</v>
      </c>
      <c r="G681" s="11" t="b">
        <f>IFERROR(__xludf.DUMMYFUNCTION("""COMPUTED_VALUE"""),FALSE)</f>
        <v>0</v>
      </c>
      <c r="H681" s="11" t="str">
        <f>IFERROR(__xludf.DUMMYFUNCTION("""COMPUTED_VALUE"""),"PwC, EY, Capgemini, appliedAI, Pilot, Momentum")</f>
        <v>PwC, EY, Capgemini, appliedAI, Pilot, Momentum</v>
      </c>
      <c r="I681" s="11">
        <f>IFERROR(__xludf.DUMMYFUNCTION("""COMPUTED_VALUE"""),1.0)</f>
        <v>1</v>
      </c>
      <c r="J681" s="11">
        <f>IFERROR(__xludf.DUMMYFUNCTION("""COMPUTED_VALUE"""),0.0)</f>
        <v>0</v>
      </c>
      <c r="K681" s="11">
        <f>IFERROR(__xludf.DUMMYFUNCTION("""COMPUTED_VALUE"""),0.0)</f>
        <v>0</v>
      </c>
      <c r="L681" s="11"/>
    </row>
    <row r="682" ht="15.75" customHeight="1">
      <c r="A682" s="8" t="str">
        <f>IFERROR(__xludf.DUMMYFUNCTION("""COMPUTED_VALUE"""),"https://worldmetrics.org/service/data-marketing/")</f>
        <v>https://worldmetrics.org/service/data-marketing/</v>
      </c>
      <c r="B682" s="11" t="str">
        <f>IFERROR(__xludf.DUMMYFUNCTION("""COMPUTED_VALUE"""),"Best Data Marketing Services (2026)")</f>
        <v>Best Data Marketing Services (2026)</v>
      </c>
      <c r="C682" s="8" t="str">
        <f>IFERROR(__xludf.DUMMYFUNCTION("""COMPUTED_VALUE"""),"worldmetrics.org")</f>
        <v>worldmetrics.org</v>
      </c>
      <c r="D682" s="11" t="str">
        <f>IFERROR(__xludf.DUMMYFUNCTION("""COMPUTED_VALUE"""),"LISTICLE")</f>
        <v>LISTICLE</v>
      </c>
      <c r="E682" s="11" t="str">
        <f>IFERROR(__xludf.DUMMYFUNCTION("""COMPUTED_VALUE"""),"REFERENCE")</f>
        <v>REFERENCE</v>
      </c>
      <c r="F682" s="11" t="str">
        <f>IFERROR(__xludf.DUMMYFUNCTION("""COMPUTED_VALUE"""),"Listicle")</f>
        <v>Listicle</v>
      </c>
      <c r="G682" s="11" t="b">
        <f>IFERROR(__xludf.DUMMYFUNCTION("""COMPUTED_VALUE"""),FALSE)</f>
        <v>0</v>
      </c>
      <c r="H682" s="11" t="str">
        <f>IFERROR(__xludf.DUMMYFUNCTION("""COMPUTED_VALUE"""),"Merkle, Dentsu, Publicis Groupe, WPP, EY, Kantar, iProspect")</f>
        <v>Merkle, Dentsu, Publicis Groupe, WPP, EY, Kantar, iProspect</v>
      </c>
      <c r="I682" s="11">
        <f>IFERROR(__xludf.DUMMYFUNCTION("""COMPUTED_VALUE"""),1.0)</f>
        <v>1</v>
      </c>
      <c r="J682" s="11">
        <f>IFERROR(__xludf.DUMMYFUNCTION("""COMPUTED_VALUE"""),0.0)</f>
        <v>0</v>
      </c>
      <c r="K682" s="11">
        <f>IFERROR(__xludf.DUMMYFUNCTION("""COMPUTED_VALUE"""),0.0)</f>
        <v>0</v>
      </c>
      <c r="L682" s="11"/>
    </row>
    <row r="683" ht="15.75" customHeight="1">
      <c r="A683" s="8" t="str">
        <f>IFERROR(__xludf.DUMMYFUNCTION("""COMPUTED_VALUE"""),"https://www1.varify.io/en/blog/cro-agencies/")</f>
        <v>https://www1.varify.io/en/blog/cro-agencies/</v>
      </c>
      <c r="B683" s="11" t="str">
        <f>IFERROR(__xludf.DUMMYFUNCTION("""COMPUTED_VALUE"""),"Top CRO agencies 2026: Conversion optimization in Germany")</f>
        <v>Top CRO agencies 2026: Conversion optimization in Germany</v>
      </c>
      <c r="C683" s="8" t="str">
        <f>IFERROR(__xludf.DUMMYFUNCTION("""COMPUTED_VALUE"""),"varify.io")</f>
        <v>varify.io</v>
      </c>
      <c r="D683" s="11" t="str">
        <f>IFERROR(__xludf.DUMMYFUNCTION("""COMPUTED_VALUE"""),"LISTICLE")</f>
        <v>LISTICLE</v>
      </c>
      <c r="E683" s="11" t="str">
        <f>IFERROR(__xludf.DUMMYFUNCTION("""COMPUTED_VALUE"""),"CORPORATE")</f>
        <v>CORPORATE</v>
      </c>
      <c r="F683" s="11" t="str">
        <f>IFERROR(__xludf.DUMMYFUNCTION("""COMPUTED_VALUE"""),"Listicle")</f>
        <v>Listicle</v>
      </c>
      <c r="G683" s="11" t="b">
        <f>IFERROR(__xludf.DUMMYFUNCTION("""COMPUTED_VALUE"""),FALSE)</f>
        <v>0</v>
      </c>
      <c r="H683" s="11" t="str">
        <f>IFERROR(__xludf.DUMMYFUNCTION("""COMPUTED_VALUE"""),"Smarketer")</f>
        <v>Smarketer</v>
      </c>
      <c r="I683" s="11">
        <f>IFERROR(__xludf.DUMMYFUNCTION("""COMPUTED_VALUE"""),1.0)</f>
        <v>1</v>
      </c>
      <c r="J683" s="11">
        <f>IFERROR(__xludf.DUMMYFUNCTION("""COMPUTED_VALUE"""),0.0)</f>
        <v>0</v>
      </c>
      <c r="K683" s="11">
        <f>IFERROR(__xludf.DUMMYFUNCTION("""COMPUTED_VALUE"""),0.0)</f>
        <v>0</v>
      </c>
      <c r="L683" s="11"/>
    </row>
    <row r="684" ht="15.75" customHeight="1">
      <c r="A684" s="8" t="str">
        <f>IFERROR(__xludf.DUMMYFUNCTION("""COMPUTED_VALUE"""),"https://xcelacore.com/ai-consultants-for-mid-sized-companies/")</f>
        <v>https://xcelacore.com/ai-consultants-for-mid-sized-companies/</v>
      </c>
      <c r="B684" s="11" t="str">
        <f>IFERROR(__xludf.DUMMYFUNCTION("""COMPUTED_VALUE"""),"Top AI Consultants for Mid-Sized Companies (2026)")</f>
        <v>Top AI Consultants for Mid-Sized Companies (2026)</v>
      </c>
      <c r="C684" s="8" t="str">
        <f>IFERROR(__xludf.DUMMYFUNCTION("""COMPUTED_VALUE"""),"xcelacore.com")</f>
        <v>xcelacore.com</v>
      </c>
      <c r="D684" s="11" t="str">
        <f>IFERROR(__xludf.DUMMYFUNCTION("""COMPUTED_VALUE"""),"LISTICLE")</f>
        <v>LISTICLE</v>
      </c>
      <c r="E684" s="11" t="str">
        <f>IFERROR(__xludf.DUMMYFUNCTION("""COMPUTED_VALUE"""),"CORPORATE")</f>
        <v>CORPORATE</v>
      </c>
      <c r="F684" s="11" t="str">
        <f>IFERROR(__xludf.DUMMYFUNCTION("""COMPUTED_VALUE"""),"Listicle")</f>
        <v>Listicle</v>
      </c>
      <c r="G684" s="11" t="b">
        <f>IFERROR(__xludf.DUMMYFUNCTION("""COMPUTED_VALUE"""),FALSE)</f>
        <v>0</v>
      </c>
      <c r="H684" s="11" t="str">
        <f>IFERROR(__xludf.DUMMYFUNCTION("""COMPUTED_VALUE"""),"BCG, Pilot, Opinosis Analytics, PwC, EY")</f>
        <v>BCG, Pilot, Opinosis Analytics, PwC, EY</v>
      </c>
      <c r="I684" s="11">
        <f>IFERROR(__xludf.DUMMYFUNCTION("""COMPUTED_VALUE"""),1.0)</f>
        <v>1</v>
      </c>
      <c r="J684" s="11">
        <f>IFERROR(__xludf.DUMMYFUNCTION("""COMPUTED_VALUE"""),0.0)</f>
        <v>0</v>
      </c>
      <c r="K684" s="11">
        <f>IFERROR(__xludf.DUMMYFUNCTION("""COMPUTED_VALUE"""),2.0)</f>
        <v>2</v>
      </c>
      <c r="L684" s="11"/>
    </row>
    <row r="685" ht="15.75" customHeight="1">
      <c r="A685" s="8" t="str">
        <f>IFERROR(__xludf.DUMMYFUNCTION("""COMPUTED_VALUE"""),"https://www.xmethod.de/en/blog/best-flutter-app-development-companies")</f>
        <v>https://www.xmethod.de/en/blog/best-flutter-app-development-companies</v>
      </c>
      <c r="B685" s="11" t="str">
        <f>IFERROR(__xludf.DUMMYFUNCTION("""COMPUTED_VALUE"""),"10 Best Flutter App Development Companies Reviewed (2026)")</f>
        <v>10 Best Flutter App Development Companies Reviewed (2026)</v>
      </c>
      <c r="C685" s="8" t="str">
        <f>IFERROR(__xludf.DUMMYFUNCTION("""COMPUTED_VALUE"""),"xmethod.de")</f>
        <v>xmethod.de</v>
      </c>
      <c r="D685" s="11" t="str">
        <f>IFERROR(__xludf.DUMMYFUNCTION("""COMPUTED_VALUE"""),"LISTICLE")</f>
        <v>LISTICLE</v>
      </c>
      <c r="E685" s="11" t="str">
        <f>IFERROR(__xludf.DUMMYFUNCTION("""COMPUTED_VALUE"""),"COMPETITOR")</f>
        <v>COMPETITOR</v>
      </c>
      <c r="F685" s="11" t="str">
        <f>IFERROR(__xludf.DUMMYFUNCTION("""COMPUTED_VALUE"""),"Listicle")</f>
        <v>Listicle</v>
      </c>
      <c r="G685" s="11" t="b">
        <f>IFERROR(__xludf.DUMMYFUNCTION("""COMPUTED_VALUE"""),FALSE)</f>
        <v>0</v>
      </c>
      <c r="H685" s="11" t="str">
        <f>IFERROR(__xludf.DUMMYFUNCTION("""COMPUTED_VALUE"""),"Xmethod, Pilot")</f>
        <v>Xmethod, Pilot</v>
      </c>
      <c r="I685" s="11">
        <f>IFERROR(__xludf.DUMMYFUNCTION("""COMPUTED_VALUE"""),1.0)</f>
        <v>1</v>
      </c>
      <c r="J685" s="11">
        <f>IFERROR(__xludf.DUMMYFUNCTION("""COMPUTED_VALUE"""),0.0)</f>
        <v>0</v>
      </c>
      <c r="K685" s="11">
        <f>IFERROR(__xludf.DUMMYFUNCTION("""COMPUTED_VALUE"""),2.0)</f>
        <v>2</v>
      </c>
      <c r="L685" s="11"/>
    </row>
    <row r="686" ht="15.75" customHeight="1">
      <c r="A686" s="8" t="str">
        <f>IFERROR(__xludf.DUMMYFUNCTION("""COMPUTED_VALUE"""),"https://www.xmethod.de/en/blog/top-10-app-development-companies")</f>
        <v>https://www.xmethod.de/en/blog/top-10-app-development-companies</v>
      </c>
      <c r="B686" s="11" t="str">
        <f>IFERROR(__xludf.DUMMYFUNCTION("""COMPUTED_VALUE"""),"Top 10 Mobile App Development Companies in Germany 2026")</f>
        <v>Top 10 Mobile App Development Companies in Germany 2026</v>
      </c>
      <c r="C686" s="8" t="str">
        <f>IFERROR(__xludf.DUMMYFUNCTION("""COMPUTED_VALUE"""),"xmethod.de")</f>
        <v>xmethod.de</v>
      </c>
      <c r="D686" s="11" t="str">
        <f>IFERROR(__xludf.DUMMYFUNCTION("""COMPUTED_VALUE"""),"LISTICLE")</f>
        <v>LISTICLE</v>
      </c>
      <c r="E686" s="11" t="str">
        <f>IFERROR(__xludf.DUMMYFUNCTION("""COMPUTED_VALUE"""),"COMPETITOR")</f>
        <v>COMPETITOR</v>
      </c>
      <c r="F686" s="11" t="str">
        <f>IFERROR(__xludf.DUMMYFUNCTION("""COMPUTED_VALUE"""),"Listicle")</f>
        <v>Listicle</v>
      </c>
      <c r="G686" s="11" t="b">
        <f>IFERROR(__xludf.DUMMYFUNCTION("""COMPUTED_VALUE"""),FALSE)</f>
        <v>0</v>
      </c>
      <c r="H686" s="11" t="str">
        <f>IFERROR(__xludf.DUMMYFUNCTION("""COMPUTED_VALUE"""),"Xmethod")</f>
        <v>Xmethod</v>
      </c>
      <c r="I686" s="11">
        <f>IFERROR(__xludf.DUMMYFUNCTION("""COMPUTED_VALUE"""),1.0)</f>
        <v>1</v>
      </c>
      <c r="J686" s="11">
        <f>IFERROR(__xludf.DUMMYFUNCTION("""COMPUTED_VALUE"""),0.0)</f>
        <v>0</v>
      </c>
      <c r="K686" s="11">
        <f>IFERROR(__xludf.DUMMYFUNCTION("""COMPUTED_VALUE"""),2.0)</f>
        <v>2</v>
      </c>
      <c r="L686" s="11"/>
    </row>
    <row r="687" ht="15.75" customHeight="1">
      <c r="A687" s="8" t="str">
        <f>IFERROR(__xludf.DUMMYFUNCTION("""COMPUTED_VALUE"""),"https://www.yesoptimist.com/best-geo-agencies/")</f>
        <v>https://www.yesoptimist.com/best-geo-agencies/</v>
      </c>
      <c r="B687" s="11" t="str">
        <f>IFERROR(__xludf.DUMMYFUNCTION("""COMPUTED_VALUE"""),"The 7 Best GEO Agencies Driving Real Revenue from AI in 2026 | Optimist")</f>
        <v>The 7 Best GEO Agencies Driving Real Revenue from AI in 2026 | Optimist</v>
      </c>
      <c r="C687" s="8" t="str">
        <f>IFERROR(__xludf.DUMMYFUNCTION("""COMPUTED_VALUE"""),"yesoptimist.com")</f>
        <v>yesoptimist.com</v>
      </c>
      <c r="D687" s="11" t="str">
        <f>IFERROR(__xludf.DUMMYFUNCTION("""COMPUTED_VALUE"""),"LISTICLE")</f>
        <v>LISTICLE</v>
      </c>
      <c r="E687" s="11" t="str">
        <f>IFERROR(__xludf.DUMMYFUNCTION("""COMPUTED_VALUE"""),"EDITORIAL")</f>
        <v>EDITORIAL</v>
      </c>
      <c r="F687" s="11" t="str">
        <f>IFERROR(__xludf.DUMMYFUNCTION("""COMPUTED_VALUE"""),"Listicle")</f>
        <v>Listicle</v>
      </c>
      <c r="G687" s="11" t="b">
        <f>IFERROR(__xludf.DUMMYFUNCTION("""COMPUTED_VALUE"""),FALSE)</f>
        <v>0</v>
      </c>
      <c r="H687" s="11" t="str">
        <f>IFERROR(__xludf.DUMMYFUNCTION("""COMPUTED_VALUE"""),"Measured, iPullRank, Siege Media, Omniscient Digital")</f>
        <v>Measured, iPullRank, Siege Media, Omniscient Digital</v>
      </c>
      <c r="I687" s="11">
        <f>IFERROR(__xludf.DUMMYFUNCTION("""COMPUTED_VALUE"""),1.0)</f>
        <v>1</v>
      </c>
      <c r="J687" s="11">
        <f>IFERROR(__xludf.DUMMYFUNCTION("""COMPUTED_VALUE"""),0.0)</f>
        <v>0</v>
      </c>
      <c r="K687" s="11">
        <f>IFERROR(__xludf.DUMMYFUNCTION("""COMPUTED_VALUE"""),1.0)</f>
        <v>1</v>
      </c>
      <c r="L687" s="11"/>
    </row>
    <row r="688" ht="15.75" customHeight="1">
      <c r="A688" s="8" t="str">
        <f>IFERROR(__xludf.DUMMYFUNCTION("""COMPUTED_VALUE"""),"https://www.yotpo.com/blog/aeo-vs-seo-strategy/")</f>
        <v>https://www.yotpo.com/blog/aeo-vs-seo-strategy/</v>
      </c>
      <c r="B688" s="11" t="str">
        <f>IFERROR(__xludf.DUMMYFUNCTION("""COMPUTED_VALUE"""),"AEO Vs. SEO: Best Strategies For 2026")</f>
        <v>AEO Vs. SEO: Best Strategies For 2026</v>
      </c>
      <c r="C688" s="8" t="str">
        <f>IFERROR(__xludf.DUMMYFUNCTION("""COMPUTED_VALUE"""),"yotpo.com")</f>
        <v>yotpo.com</v>
      </c>
      <c r="D688" s="11" t="str">
        <f>IFERROR(__xludf.DUMMYFUNCTION("""COMPUTED_VALUE"""),"HOW_TO_GUIDE")</f>
        <v>HOW_TO_GUIDE</v>
      </c>
      <c r="E688" s="11" t="str">
        <f>IFERROR(__xludf.DUMMYFUNCTION("""COMPUTED_VALUE"""),"CORPORATE")</f>
        <v>CORPORATE</v>
      </c>
      <c r="F688" s="11" t="str">
        <f>IFERROR(__xludf.DUMMYFUNCTION("""COMPUTED_VALUE"""),"How-To Guide")</f>
        <v>How-To Guide</v>
      </c>
      <c r="G688" s="11" t="b">
        <f>IFERROR(__xludf.DUMMYFUNCTION("""COMPUTED_VALUE"""),FALSE)</f>
        <v>0</v>
      </c>
      <c r="H688" s="11" t="str">
        <f>IFERROR(__xludf.DUMMYFUNCTION("""COMPUTED_VALUE"""),"Measured")</f>
        <v>Measured</v>
      </c>
      <c r="I688" s="11">
        <f>IFERROR(__xludf.DUMMYFUNCTION("""COMPUTED_VALUE"""),1.0)</f>
        <v>1</v>
      </c>
      <c r="J688" s="11">
        <f>IFERROR(__xludf.DUMMYFUNCTION("""COMPUTED_VALUE"""),0.0)</f>
        <v>0</v>
      </c>
      <c r="K688" s="11">
        <f>IFERROR(__xludf.DUMMYFUNCTION("""COMPUTED_VALUE"""),1.0)</f>
        <v>1</v>
      </c>
      <c r="L688" s="11"/>
    </row>
    <row r="689" ht="15.75" customHeight="1">
      <c r="A689" s="8" t="str">
        <f>IFERROR(__xludf.DUMMYFUNCTION("""COMPUTED_VALUE"""),"https://www.youfinddigital.com/blog/best-geo-agency-for-ai-search.html")</f>
        <v>https://www.youfinddigital.com/blog/best-geo-agency-for-ai-search.html</v>
      </c>
      <c r="B689" s="11" t="str">
        <f>IFERROR(__xludf.DUMMYFUNCTION("""COMPUTED_VALUE"""),"15 Best GEO Agencies in 2026 | Top Generative Engine Optimization Firms")</f>
        <v>15 Best GEO Agencies in 2026 | Top Generative Engine Optimization Firms</v>
      </c>
      <c r="C689" s="8" t="str">
        <f>IFERROR(__xludf.DUMMYFUNCTION("""COMPUTED_VALUE"""),"youfinddigital.com")</f>
        <v>youfinddigital.com</v>
      </c>
      <c r="D689" s="11" t="str">
        <f>IFERROR(__xludf.DUMMYFUNCTION("""COMPUTED_VALUE"""),"LISTICLE")</f>
        <v>LISTICLE</v>
      </c>
      <c r="E689" s="11" t="str">
        <f>IFERROR(__xludf.DUMMYFUNCTION("""COMPUTED_VALUE"""),"CORPORATE")</f>
        <v>CORPORATE</v>
      </c>
      <c r="F689" s="11" t="str">
        <f>IFERROR(__xludf.DUMMYFUNCTION("""COMPUTED_VALUE"""),"Listicle")</f>
        <v>Listicle</v>
      </c>
      <c r="G689" s="11" t="b">
        <f>IFERROR(__xludf.DUMMYFUNCTION("""COMPUTED_VALUE"""),FALSE)</f>
        <v>0</v>
      </c>
      <c r="H689" s="11" t="str">
        <f>IFERROR(__xludf.DUMMYFUNCTION("""COMPUTED_VALUE"""),"Omnius, Siege Media, iPullRank, Omniscient Digital, WebFX")</f>
        <v>Omnius, Siege Media, iPullRank, Omniscient Digital, WebFX</v>
      </c>
      <c r="I689" s="11">
        <f>IFERROR(__xludf.DUMMYFUNCTION("""COMPUTED_VALUE"""),1.0)</f>
        <v>1</v>
      </c>
      <c r="J689" s="11">
        <f>IFERROR(__xludf.DUMMYFUNCTION("""COMPUTED_VALUE"""),0.0)</f>
        <v>0</v>
      </c>
      <c r="K689" s="11">
        <f>IFERROR(__xludf.DUMMYFUNCTION("""COMPUTED_VALUE"""),0.0)</f>
        <v>0</v>
      </c>
      <c r="L689" s="11"/>
    </row>
    <row r="690" ht="15.75" customHeight="1">
      <c r="A690" s="8" t="str">
        <f>IFERROR(__xludf.DUMMYFUNCTION("""COMPUTED_VALUE"""),"https://www.youtube.com/watch?v=GCuRtQenQ80&amp;t=153")</f>
        <v>https://www.youtube.com/watch?v=GCuRtQenQ80&amp;t=153</v>
      </c>
      <c r="B690" s="11" t="str">
        <f>IFERROR(__xludf.DUMMYFUNCTION("""COMPUTED_VALUE"""),"The 10 best AI tools for your business")</f>
        <v>The 10 best AI tools for your business</v>
      </c>
      <c r="C690" s="8" t="str">
        <f>IFERROR(__xludf.DUMMYFUNCTION("""COMPUTED_VALUE"""),"youtube.com")</f>
        <v>youtube.com</v>
      </c>
      <c r="D690" s="11" t="str">
        <f>IFERROR(__xludf.DUMMYFUNCTION("""COMPUTED_VALUE"""),"LISTICLE")</f>
        <v>LISTICLE</v>
      </c>
      <c r="E690" s="11" t="str">
        <f>IFERROR(__xludf.DUMMYFUNCTION("""COMPUTED_VALUE"""),"UGC")</f>
        <v>UGC</v>
      </c>
      <c r="F690" s="11" t="str">
        <f>IFERROR(__xludf.DUMMYFUNCTION("""COMPUTED_VALUE"""),"Listicle")</f>
        <v>Listicle</v>
      </c>
      <c r="G690" s="11" t="b">
        <f>IFERROR(__xludf.DUMMYFUNCTION("""COMPUTED_VALUE"""),FALSE)</f>
        <v>0</v>
      </c>
      <c r="H690" s="11"/>
      <c r="I690" s="11">
        <f>IFERROR(__xludf.DUMMYFUNCTION("""COMPUTED_VALUE"""),1.0)</f>
        <v>1</v>
      </c>
      <c r="J690" s="11">
        <f>IFERROR(__xludf.DUMMYFUNCTION("""COMPUTED_VALUE"""),0.0)</f>
        <v>0</v>
      </c>
      <c r="K690" s="11">
        <f>IFERROR(__xludf.DUMMYFUNCTION("""COMPUTED_VALUE"""),1.0)</f>
        <v>1</v>
      </c>
      <c r="L690" s="11"/>
    </row>
    <row r="691" ht="15.75" customHeight="1">
      <c r="A691" s="8" t="str">
        <f>IFERROR(__xludf.DUMMYFUNCTION("""COMPUTED_VALUE"""),"https://www.youtube.com/watch?v=NXkXQbQ9-kk&amp;vl=de-DE")</f>
        <v>https://www.youtube.com/watch?v=NXkXQbQ9-kk&amp;vl=de-DE</v>
      </c>
      <c r="B691" s="11" t="str">
        <f>IFERROR(__xludf.DUMMYFUNCTION("""COMPUTED_VALUE"""),"Best AI Tools for Generative Engine Optimization (GEO)")</f>
        <v>Best AI Tools for Generative Engine Optimization (GEO)</v>
      </c>
      <c r="C691" s="8" t="str">
        <f>IFERROR(__xludf.DUMMYFUNCTION("""COMPUTED_VALUE"""),"youtube.com")</f>
        <v>youtube.com</v>
      </c>
      <c r="D691" s="11" t="str">
        <f>IFERROR(__xludf.DUMMYFUNCTION("""COMPUTED_VALUE"""),"LISTICLE")</f>
        <v>LISTICLE</v>
      </c>
      <c r="E691" s="11" t="str">
        <f>IFERROR(__xludf.DUMMYFUNCTION("""COMPUTED_VALUE"""),"UGC")</f>
        <v>UGC</v>
      </c>
      <c r="F691" s="11" t="str">
        <f>IFERROR(__xludf.DUMMYFUNCTION("""COMPUTED_VALUE"""),"Listicle")</f>
        <v>Listicle</v>
      </c>
      <c r="G691" s="11" t="b">
        <f>IFERROR(__xludf.DUMMYFUNCTION("""COMPUTED_VALUE"""),FALSE)</f>
        <v>0</v>
      </c>
      <c r="H691" s="11"/>
      <c r="I691" s="11">
        <f>IFERROR(__xludf.DUMMYFUNCTION("""COMPUTED_VALUE"""),1.0)</f>
        <v>1</v>
      </c>
      <c r="J691" s="11">
        <f>IFERROR(__xludf.DUMMYFUNCTION("""COMPUTED_VALUE"""),0.0)</f>
        <v>0</v>
      </c>
      <c r="K691" s="11">
        <f>IFERROR(__xludf.DUMMYFUNCTION("""COMPUTED_VALUE"""),1.0)</f>
        <v>1</v>
      </c>
      <c r="L691" s="11"/>
    </row>
    <row r="692" ht="15.75" customHeight="1">
      <c r="A692" s="8" t="str">
        <f>IFERROR(__xludf.DUMMYFUNCTION("""COMPUTED_VALUE"""),"https://www.zemith.com/blogs/best-ai-assistant-app")</f>
        <v>https://www.zemith.com/blogs/best-ai-assistant-app</v>
      </c>
      <c r="B692" s="11" t="str">
        <f>IFERROR(__xludf.DUMMYFUNCTION("""COMPUTED_VALUE"""),"The 12 Best AI Assistant App Choices for 2026 \| Zemith.com")</f>
        <v>The 12 Best AI Assistant App Choices for 2026 \| Zemith.com</v>
      </c>
      <c r="C692" s="8" t="str">
        <f>IFERROR(__xludf.DUMMYFUNCTION("""COMPUTED_VALUE"""),"zemith.com")</f>
        <v>zemith.com</v>
      </c>
      <c r="D692" s="11" t="str">
        <f>IFERROR(__xludf.DUMMYFUNCTION("""COMPUTED_VALUE"""),"PRODUCT_PAGE")</f>
        <v>PRODUCT_PAGE</v>
      </c>
      <c r="E692" s="11" t="str">
        <f>IFERROR(__xludf.DUMMYFUNCTION("""COMPUTED_VALUE"""),"CORPORATE")</f>
        <v>CORPORATE</v>
      </c>
      <c r="F692" s="11" t="str">
        <f>IFERROR(__xludf.DUMMYFUNCTION("""COMPUTED_VALUE"""),"Product Page")</f>
        <v>Product Page</v>
      </c>
      <c r="G692" s="11" t="b">
        <f>IFERROR(__xludf.DUMMYFUNCTION("""COMPUTED_VALUE"""),FALSE)</f>
        <v>0</v>
      </c>
      <c r="H692" s="11" t="str">
        <f>IFERROR(__xludf.DUMMYFUNCTION("""COMPUTED_VALUE"""),"Huge, Capgemini")</f>
        <v>Huge, Capgemini</v>
      </c>
      <c r="I692" s="11">
        <f>IFERROR(__xludf.DUMMYFUNCTION("""COMPUTED_VALUE"""),1.0)</f>
        <v>1</v>
      </c>
      <c r="J692" s="11">
        <f>IFERROR(__xludf.DUMMYFUNCTION("""COMPUTED_VALUE"""),0.0)</f>
        <v>0</v>
      </c>
      <c r="K692" s="11">
        <f>IFERROR(__xludf.DUMMYFUNCTION("""COMPUTED_VALUE"""),1.0)</f>
        <v>1</v>
      </c>
      <c r="L692" s="11"/>
    </row>
    <row r="693" ht="15.75" customHeight="1">
      <c r="A693" s="8" t="str">
        <f>IFERROR(__xludf.DUMMYFUNCTION("""COMPUTED_VALUE"""),"https://www.zendikt.com/top-10-ab-testing-software/germany/")</f>
        <v>https://www.zendikt.com/top-10-ab-testing-software/germany/</v>
      </c>
      <c r="B693" s="11" t="str">
        <f>IFERROR(__xludf.DUMMYFUNCTION("""COMPUTED_VALUE"""),"Top 10 A/B Testing and Experimentation Software in Germany for 2026")</f>
        <v>Top 10 A/B Testing and Experimentation Software in Germany for 2026</v>
      </c>
      <c r="C693" s="8" t="str">
        <f>IFERROR(__xludf.DUMMYFUNCTION("""COMPUTED_VALUE"""),"zendikt.com")</f>
        <v>zendikt.com</v>
      </c>
      <c r="D693" s="11" t="str">
        <f>IFERROR(__xludf.DUMMYFUNCTION("""COMPUTED_VALUE"""),"LISTICLE")</f>
        <v>LISTICLE</v>
      </c>
      <c r="E693" s="11" t="str">
        <f>IFERROR(__xludf.DUMMYFUNCTION("""COMPUTED_VALUE"""),"CORPORATE")</f>
        <v>CORPORATE</v>
      </c>
      <c r="F693" s="11" t="str">
        <f>IFERROR(__xludf.DUMMYFUNCTION("""COMPUTED_VALUE"""),"Listicle")</f>
        <v>Listicle</v>
      </c>
      <c r="G693" s="11" t="b">
        <f>IFERROR(__xludf.DUMMYFUNCTION("""COMPUTED_VALUE"""),FALSE)</f>
        <v>0</v>
      </c>
      <c r="H693" s="11" t="str">
        <f>IFERROR(__xludf.DUMMYFUNCTION("""COMPUTED_VALUE"""),"Deloitte Digital, PwC, Mindshare")</f>
        <v>Deloitte Digital, PwC, Mindshare</v>
      </c>
      <c r="I693" s="11">
        <f>IFERROR(__xludf.DUMMYFUNCTION("""COMPUTED_VALUE"""),1.0)</f>
        <v>1</v>
      </c>
      <c r="J693" s="11">
        <f>IFERROR(__xludf.DUMMYFUNCTION("""COMPUTED_VALUE"""),0.0)</f>
        <v>0</v>
      </c>
      <c r="K693" s="11">
        <f>IFERROR(__xludf.DUMMYFUNCTION("""COMPUTED_VALUE"""),0.0)</f>
        <v>0</v>
      </c>
      <c r="L693" s="11"/>
    </row>
    <row r="694" ht="15.75" customHeight="1">
      <c r="A694" s="8" t="str">
        <f>IFERROR(__xludf.DUMMYFUNCTION("""COMPUTED_VALUE"""),"https://zipdo.co/service/customer-data-platform/")</f>
        <v>https://zipdo.co/service/customer-data-platform/</v>
      </c>
      <c r="B694" s="11" t="str">
        <f>IFERROR(__xludf.DUMMYFUNCTION("""COMPUTED_VALUE"""),"Best Customer Data Platform Services (2026)")</f>
        <v>Best Customer Data Platform Services (2026)</v>
      </c>
      <c r="C694" s="8" t="str">
        <f>IFERROR(__xludf.DUMMYFUNCTION("""COMPUTED_VALUE"""),"zipdo.co")</f>
        <v>zipdo.co</v>
      </c>
      <c r="D694" s="11" t="str">
        <f>IFERROR(__xludf.DUMMYFUNCTION("""COMPUTED_VALUE"""),"LISTICLE")</f>
        <v>LISTICLE</v>
      </c>
      <c r="E694" s="11" t="str">
        <f>IFERROR(__xludf.DUMMYFUNCTION("""COMPUTED_VALUE"""),"REFERENCE")</f>
        <v>REFERENCE</v>
      </c>
      <c r="F694" s="11" t="str">
        <f>IFERROR(__xludf.DUMMYFUNCTION("""COMPUTED_VALUE"""),"Listicle")</f>
        <v>Listicle</v>
      </c>
      <c r="G694" s="11" t="b">
        <f>IFERROR(__xludf.DUMMYFUNCTION("""COMPUTED_VALUE"""),FALSE)</f>
        <v>0</v>
      </c>
      <c r="H694" s="11" t="str">
        <f>IFERROR(__xludf.DUMMYFUNCTION("""COMPUTED_VALUE"""),"PwC, Capgemini, WPP, Publicis Groupe")</f>
        <v>PwC, Capgemini, WPP, Publicis Groupe</v>
      </c>
      <c r="I694" s="11">
        <f>IFERROR(__xludf.DUMMYFUNCTION("""COMPUTED_VALUE"""),1.0)</f>
        <v>1</v>
      </c>
      <c r="J694" s="11">
        <f>IFERROR(__xludf.DUMMYFUNCTION("""COMPUTED_VALUE"""),0.0)</f>
        <v>0</v>
      </c>
      <c r="K694" s="11">
        <f>IFERROR(__xludf.DUMMYFUNCTION("""COMPUTED_VALUE"""),2.0)</f>
        <v>2</v>
      </c>
      <c r="L694" s="11"/>
    </row>
    <row r="695" ht="15.75" customHeight="1">
      <c r="A695" s="8" t="str">
        <f>IFERROR(__xludf.DUMMYFUNCTION("""COMPUTED_VALUE"""),"https://zipdo.co/service/first-party-data/")</f>
        <v>https://zipdo.co/service/first-party-data/</v>
      </c>
      <c r="B695" s="11" t="str">
        <f>IFERROR(__xludf.DUMMYFUNCTION("""COMPUTED_VALUE"""),"First Party Data Services: Best Picks (2026)")</f>
        <v>First Party Data Services: Best Picks (2026)</v>
      </c>
      <c r="C695" s="8" t="str">
        <f>IFERROR(__xludf.DUMMYFUNCTION("""COMPUTED_VALUE"""),"zipdo.co")</f>
        <v>zipdo.co</v>
      </c>
      <c r="D695" s="11" t="str">
        <f>IFERROR(__xludf.DUMMYFUNCTION("""COMPUTED_VALUE"""),"LISTICLE")</f>
        <v>LISTICLE</v>
      </c>
      <c r="E695" s="11" t="str">
        <f>IFERROR(__xludf.DUMMYFUNCTION("""COMPUTED_VALUE"""),"REFERENCE")</f>
        <v>REFERENCE</v>
      </c>
      <c r="F695" s="11" t="str">
        <f>IFERROR(__xludf.DUMMYFUNCTION("""COMPUTED_VALUE"""),"Listicle")</f>
        <v>Listicle</v>
      </c>
      <c r="G695" s="11" t="b">
        <f>IFERROR(__xludf.DUMMYFUNCTION("""COMPUTED_VALUE"""),FALSE)</f>
        <v>0</v>
      </c>
      <c r="H695" s="11" t="str">
        <f>IFERROR(__xludf.DUMMYFUNCTION("""COMPUTED_VALUE"""),"Merkle, Dentsu, Publicis Groupe, PwC, EY, Capgemini, Publicis Media, Pilot")</f>
        <v>Merkle, Dentsu, Publicis Groupe, PwC, EY, Capgemini, Publicis Media, Pilot</v>
      </c>
      <c r="I695" s="11">
        <f>IFERROR(__xludf.DUMMYFUNCTION("""COMPUTED_VALUE"""),1.0)</f>
        <v>1</v>
      </c>
      <c r="J695" s="11">
        <f>IFERROR(__xludf.DUMMYFUNCTION("""COMPUTED_VALUE"""),0.0)</f>
        <v>0</v>
      </c>
      <c r="K695" s="11">
        <f>IFERROR(__xludf.DUMMYFUNCTION("""COMPUTED_VALUE"""),3.0)</f>
        <v>3</v>
      </c>
      <c r="L695" s="11"/>
    </row>
    <row r="696" ht="15.75" customHeight="1">
      <c r="A696" s="8" t="str">
        <f>IFERROR(__xludf.DUMMYFUNCTION("""COMPUTED_VALUE"""),"https://zipdo.co/service/marketing-data-analytics/")</f>
        <v>https://zipdo.co/service/marketing-data-analytics/</v>
      </c>
      <c r="B696" s="11" t="str">
        <f>IFERROR(__xludf.DUMMYFUNCTION("""COMPUTED_VALUE"""),"Best Marketing Data Analytics Services (2026)")</f>
        <v>Best Marketing Data Analytics Services (2026)</v>
      </c>
      <c r="C696" s="8" t="str">
        <f>IFERROR(__xludf.DUMMYFUNCTION("""COMPUTED_VALUE"""),"zipdo.co")</f>
        <v>zipdo.co</v>
      </c>
      <c r="D696" s="11" t="str">
        <f>IFERROR(__xludf.DUMMYFUNCTION("""COMPUTED_VALUE"""),"LISTICLE")</f>
        <v>LISTICLE</v>
      </c>
      <c r="E696" s="11" t="str">
        <f>IFERROR(__xludf.DUMMYFUNCTION("""COMPUTED_VALUE"""),"REFERENCE")</f>
        <v>REFERENCE</v>
      </c>
      <c r="F696" s="11" t="str">
        <f>IFERROR(__xludf.DUMMYFUNCTION("""COMPUTED_VALUE"""),"Listicle")</f>
        <v>Listicle</v>
      </c>
      <c r="G696" s="11" t="b">
        <f>IFERROR(__xludf.DUMMYFUNCTION("""COMPUTED_VALUE"""),FALSE)</f>
        <v>0</v>
      </c>
      <c r="H696" s="11" t="str">
        <f>IFERROR(__xludf.DUMMYFUNCTION("""COMPUTED_VALUE"""),"Merkle, Dentsu, Publicis Groupe, PwC")</f>
        <v>Merkle, Dentsu, Publicis Groupe, PwC</v>
      </c>
      <c r="I696" s="11">
        <f>IFERROR(__xludf.DUMMYFUNCTION("""COMPUTED_VALUE"""),1.0)</f>
        <v>1</v>
      </c>
      <c r="J696" s="11">
        <f>IFERROR(__xludf.DUMMYFUNCTION("""COMPUTED_VALUE"""),0.0)</f>
        <v>0</v>
      </c>
      <c r="K696" s="11">
        <f>IFERROR(__xludf.DUMMYFUNCTION("""COMPUTED_VALUE"""),0.0)</f>
        <v>0</v>
      </c>
      <c r="L696" s="11"/>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801"/>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location=":~:text=The%20agency%20has%20been%20recognised,KG%20(M%C3%BCnster)" ref="A14"/>
    <hyperlink r:id="rId25" ref="C14"/>
    <hyperlink r:id="rId26" location=":~:text=Adastra%20achieved%20Elite%20Partner%20Status,Worked%20in%20Retail%20(%2B10)"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location=":~:text=Another%20standout%20agency%20based%20in,Deutsche%20Post%20reinvent%20their%20identities." ref="A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ref="A41"/>
    <hyperlink r:id="rId78" ref="C41"/>
    <hyperlink r:id="rId79" ref="A42"/>
    <hyperlink r:id="rId80" ref="C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A72"/>
    <hyperlink r:id="rId139" ref="C72"/>
    <hyperlink r:id="rId140" ref="A73"/>
    <hyperlink r:id="rId141" ref="C73"/>
    <hyperlink r:id="rId142" ref="A74"/>
    <hyperlink r:id="rId143" ref="C74"/>
    <hyperlink r:id="rId144" ref="A75"/>
    <hyperlink r:id="rId145" ref="C75"/>
    <hyperlink r:id="rId146" ref="A76"/>
    <hyperlink r:id="rId147" ref="C76"/>
    <hyperlink r:id="rId148" ref="A77"/>
    <hyperlink r:id="rId149" ref="C77"/>
    <hyperlink r:id="rId150" ref="A78"/>
    <hyperlink r:id="rId151" ref="C78"/>
    <hyperlink r:id="rId152" ref="A79"/>
    <hyperlink r:id="rId153" ref="C79"/>
    <hyperlink r:id="rId154" ref="A80"/>
    <hyperlink r:id="rId155" ref="C80"/>
    <hyperlink r:id="rId156" ref="A81"/>
    <hyperlink r:id="rId157" ref="C81"/>
    <hyperlink r:id="rId158" ref="A82"/>
    <hyperlink r:id="rId159" ref="C82"/>
    <hyperlink r:id="rId160" ref="A83"/>
    <hyperlink r:id="rId161" ref="C83"/>
    <hyperlink r:id="rId162" ref="A84"/>
    <hyperlink r:id="rId163" ref="C84"/>
    <hyperlink r:id="rId164" ref="A85"/>
    <hyperlink r:id="rId165" ref="C85"/>
    <hyperlink r:id="rId166" ref="A86"/>
    <hyperlink r:id="rId167" ref="C86"/>
    <hyperlink r:id="rId168" ref="A87"/>
    <hyperlink r:id="rId169" ref="C87"/>
    <hyperlink r:id="rId170" ref="A88"/>
    <hyperlink r:id="rId171" ref="C88"/>
    <hyperlink r:id="rId172" ref="A89"/>
    <hyperlink r:id="rId173" ref="C89"/>
    <hyperlink r:id="rId174" ref="A90"/>
    <hyperlink r:id="rId175" ref="C90"/>
    <hyperlink r:id="rId176" ref="A91"/>
    <hyperlink r:id="rId177" ref="C91"/>
    <hyperlink r:id="rId178" location=":~:text=from%20on...-,Read%20More,100%25%20relevance%20%E2%9C%93%20Inform%20now" ref="A92"/>
    <hyperlink r:id="rId179" ref="C92"/>
    <hyperlink r:id="rId180" ref="A93"/>
    <hyperlink r:id="rId181" ref="C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A107"/>
    <hyperlink r:id="rId208" ref="C107"/>
    <hyperlink r:id="rId209" ref="A108"/>
    <hyperlink r:id="rId210" ref="C108"/>
    <hyperlink r:id="rId211" ref="A109"/>
    <hyperlink r:id="rId212" ref="C109"/>
    <hyperlink r:id="rId213" ref="A110"/>
    <hyperlink r:id="rId214" ref="C110"/>
    <hyperlink r:id="rId215" ref="A111"/>
    <hyperlink r:id="rId216" ref="C111"/>
    <hyperlink r:id="rId217" ref="A112"/>
    <hyperlink r:id="rId218" ref="C112"/>
    <hyperlink r:id="rId219" ref="A113"/>
    <hyperlink r:id="rId220" ref="C113"/>
    <hyperlink r:id="rId221" ref="A114"/>
    <hyperlink r:id="rId222" ref="C114"/>
    <hyperlink r:id="rId223" ref="A115"/>
    <hyperlink r:id="rId224" ref="C115"/>
    <hyperlink r:id="rId225" ref="A116"/>
    <hyperlink r:id="rId226" ref="C116"/>
    <hyperlink r:id="rId227" ref="A117"/>
    <hyperlink r:id="rId228" ref="C117"/>
    <hyperlink r:id="rId229" ref="A118"/>
    <hyperlink r:id="rId230" ref="C118"/>
    <hyperlink r:id="rId231" ref="A119"/>
    <hyperlink r:id="rId232" ref="C119"/>
    <hyperlink r:id="rId233" ref="A120"/>
    <hyperlink r:id="rId234" ref="C120"/>
    <hyperlink r:id="rId235" ref="A121"/>
    <hyperlink r:id="rId236" ref="C121"/>
    <hyperlink r:id="rId237" ref="A122"/>
    <hyperlink r:id="rId238" ref="C122"/>
    <hyperlink r:id="rId239" ref="A123"/>
    <hyperlink r:id="rId240" ref="C123"/>
    <hyperlink r:id="rId241" ref="A124"/>
    <hyperlink r:id="rId242" ref="C124"/>
    <hyperlink r:id="rId243" ref="A125"/>
    <hyperlink r:id="rId244" ref="C125"/>
    <hyperlink r:id="rId245" ref="A126"/>
    <hyperlink r:id="rId246" ref="C126"/>
    <hyperlink r:id="rId247" ref="A127"/>
    <hyperlink r:id="rId248" ref="C127"/>
    <hyperlink r:id="rId249" ref="A128"/>
    <hyperlink r:id="rId250" ref="C128"/>
    <hyperlink r:id="rId251" ref="A129"/>
    <hyperlink r:id="rId252" ref="C129"/>
    <hyperlink r:id="rId253" ref="A130"/>
    <hyperlink r:id="rId254" ref="C130"/>
    <hyperlink r:id="rId255" ref="A131"/>
    <hyperlink r:id="rId256" ref="C131"/>
    <hyperlink r:id="rId257" ref="A132"/>
    <hyperlink r:id="rId258" ref="C132"/>
    <hyperlink r:id="rId259" ref="A133"/>
    <hyperlink r:id="rId260" ref="C133"/>
    <hyperlink r:id="rId261" ref="A134"/>
    <hyperlink r:id="rId262" ref="C134"/>
    <hyperlink r:id="rId263" ref="A135"/>
    <hyperlink r:id="rId264" ref="C135"/>
    <hyperlink r:id="rId265" ref="A136"/>
    <hyperlink r:id="rId266" ref="C136"/>
    <hyperlink r:id="rId267" ref="A137"/>
    <hyperlink r:id="rId268" ref="C137"/>
    <hyperlink r:id="rId269" ref="A138"/>
    <hyperlink r:id="rId270" ref="A139"/>
    <hyperlink r:id="rId271" ref="C139"/>
    <hyperlink r:id="rId272" ref="A140"/>
    <hyperlink r:id="rId273" ref="C140"/>
    <hyperlink r:id="rId274" ref="A141"/>
    <hyperlink r:id="rId275" ref="C141"/>
    <hyperlink r:id="rId276" ref="A142"/>
    <hyperlink r:id="rId277" ref="C142"/>
    <hyperlink r:id="rId278" ref="A143"/>
    <hyperlink r:id="rId279" ref="C143"/>
    <hyperlink r:id="rId280" ref="A144"/>
    <hyperlink r:id="rId281" ref="C144"/>
    <hyperlink r:id="rId282" ref="A145"/>
    <hyperlink r:id="rId283" ref="C145"/>
    <hyperlink r:id="rId284" ref="A146"/>
    <hyperlink r:id="rId285" ref="C146"/>
    <hyperlink r:id="rId286" ref="A147"/>
    <hyperlink r:id="rId287" ref="C147"/>
    <hyperlink r:id="rId288" ref="A148"/>
    <hyperlink r:id="rId289" ref="C148"/>
    <hyperlink r:id="rId290" ref="A149"/>
    <hyperlink r:id="rId291" ref="C149"/>
    <hyperlink r:id="rId292" ref="A150"/>
    <hyperlink r:id="rId293" ref="C150"/>
    <hyperlink r:id="rId294" ref="A151"/>
    <hyperlink r:id="rId295" ref="C151"/>
    <hyperlink r:id="rId296" ref="A152"/>
    <hyperlink r:id="rId297" ref="C152"/>
    <hyperlink r:id="rId298" ref="A153"/>
    <hyperlink r:id="rId299" ref="C153"/>
    <hyperlink r:id="rId300" ref="A154"/>
    <hyperlink r:id="rId301" ref="C154"/>
    <hyperlink r:id="rId302" ref="A155"/>
    <hyperlink r:id="rId303" ref="C155"/>
    <hyperlink r:id="rId304" ref="A156"/>
    <hyperlink r:id="rId305" ref="C156"/>
    <hyperlink r:id="rId306" ref="A157"/>
    <hyperlink r:id="rId307" ref="C157"/>
    <hyperlink r:id="rId308" ref="A158"/>
    <hyperlink r:id="rId309" ref="C158"/>
    <hyperlink r:id="rId310" ref="A159"/>
    <hyperlink r:id="rId311" ref="C159"/>
    <hyperlink r:id="rId312" ref="A160"/>
    <hyperlink r:id="rId313" ref="C160"/>
    <hyperlink r:id="rId314" ref="A161"/>
    <hyperlink r:id="rId315" ref="C161"/>
    <hyperlink r:id="rId316" ref="A162"/>
    <hyperlink r:id="rId317" ref="C162"/>
    <hyperlink r:id="rId318" ref="A163"/>
    <hyperlink r:id="rId319" ref="C163"/>
    <hyperlink r:id="rId320" ref="A164"/>
    <hyperlink r:id="rId321" ref="C164"/>
    <hyperlink r:id="rId322" ref="A165"/>
    <hyperlink r:id="rId323" ref="C165"/>
    <hyperlink r:id="rId324" ref="A166"/>
    <hyperlink r:id="rId325" ref="C166"/>
    <hyperlink r:id="rId326" ref="A167"/>
    <hyperlink r:id="rId327" ref="C167"/>
    <hyperlink r:id="rId328" ref="A168"/>
    <hyperlink r:id="rId329" ref="C168"/>
    <hyperlink r:id="rId330" ref="A169"/>
    <hyperlink r:id="rId331" ref="C169"/>
    <hyperlink r:id="rId332" ref="A170"/>
    <hyperlink r:id="rId333" ref="C170"/>
    <hyperlink r:id="rId334" ref="A171"/>
    <hyperlink r:id="rId335" ref="C171"/>
    <hyperlink r:id="rId336" ref="A172"/>
    <hyperlink r:id="rId337" ref="C172"/>
    <hyperlink r:id="rId338" ref="A173"/>
    <hyperlink r:id="rId339" ref="C173"/>
    <hyperlink r:id="rId340" ref="A174"/>
    <hyperlink r:id="rId341" ref="C174"/>
    <hyperlink r:id="rId342" ref="A175"/>
    <hyperlink r:id="rId343" ref="C175"/>
    <hyperlink r:id="rId344" ref="A176"/>
    <hyperlink r:id="rId345" ref="C176"/>
    <hyperlink r:id="rId346" ref="A177"/>
    <hyperlink r:id="rId347" ref="C177"/>
    <hyperlink r:id="rId348" ref="A178"/>
    <hyperlink r:id="rId349" ref="C178"/>
    <hyperlink r:id="rId350" ref="A179"/>
    <hyperlink r:id="rId351" ref="C179"/>
    <hyperlink r:id="rId352" ref="A180"/>
    <hyperlink r:id="rId353" ref="C180"/>
    <hyperlink r:id="rId354" ref="A181"/>
    <hyperlink r:id="rId355" ref="C181"/>
    <hyperlink r:id="rId356" ref="A182"/>
    <hyperlink r:id="rId357" ref="C182"/>
    <hyperlink r:id="rId358" ref="A183"/>
    <hyperlink r:id="rId359" ref="C183"/>
    <hyperlink r:id="rId360" ref="A184"/>
    <hyperlink r:id="rId361" ref="C184"/>
    <hyperlink r:id="rId362" ref="A185"/>
    <hyperlink r:id="rId363" ref="C185"/>
    <hyperlink r:id="rId364" ref="A186"/>
    <hyperlink r:id="rId365" ref="C186"/>
    <hyperlink r:id="rId366" ref="A187"/>
    <hyperlink r:id="rId367" ref="C187"/>
    <hyperlink r:id="rId368" ref="A188"/>
    <hyperlink r:id="rId369" ref="C188"/>
    <hyperlink r:id="rId370" ref="A189"/>
    <hyperlink r:id="rId371" ref="C189"/>
    <hyperlink r:id="rId372" ref="A190"/>
    <hyperlink r:id="rId373" ref="C190"/>
    <hyperlink r:id="rId374" ref="A191"/>
    <hyperlink r:id="rId375" ref="C191"/>
    <hyperlink r:id="rId376" ref="A192"/>
    <hyperlink r:id="rId377" ref="C192"/>
    <hyperlink r:id="rId378" ref="A193"/>
    <hyperlink r:id="rId379" ref="C193"/>
    <hyperlink r:id="rId380" ref="A194"/>
    <hyperlink r:id="rId381" ref="C194"/>
    <hyperlink r:id="rId382" ref="A195"/>
    <hyperlink r:id="rId383" ref="C195"/>
    <hyperlink r:id="rId384" ref="A196"/>
    <hyperlink r:id="rId385" ref="C196"/>
    <hyperlink r:id="rId386" ref="A197"/>
    <hyperlink r:id="rId387" ref="C197"/>
    <hyperlink r:id="rId388" ref="A198"/>
    <hyperlink r:id="rId389" ref="C198"/>
    <hyperlink r:id="rId390" ref="A199"/>
    <hyperlink r:id="rId391" ref="C199"/>
    <hyperlink r:id="rId392" ref="A200"/>
    <hyperlink r:id="rId393" ref="C200"/>
    <hyperlink r:id="rId394" ref="A201"/>
    <hyperlink r:id="rId395" ref="C201"/>
    <hyperlink r:id="rId396" ref="A202"/>
    <hyperlink r:id="rId397" ref="C202"/>
    <hyperlink r:id="rId398" ref="A203"/>
    <hyperlink r:id="rId399" ref="C203"/>
    <hyperlink r:id="rId400" ref="A204"/>
    <hyperlink r:id="rId401" ref="C204"/>
    <hyperlink r:id="rId402" ref="A205"/>
    <hyperlink r:id="rId403" ref="C205"/>
    <hyperlink r:id="rId404" ref="A206"/>
    <hyperlink r:id="rId405" ref="C206"/>
    <hyperlink r:id="rId406" ref="A207"/>
    <hyperlink r:id="rId407" ref="C207"/>
    <hyperlink r:id="rId408" ref="A208"/>
    <hyperlink r:id="rId409" ref="C208"/>
    <hyperlink r:id="rId410" ref="A209"/>
    <hyperlink r:id="rId411" ref="C209"/>
    <hyperlink r:id="rId412" ref="A210"/>
    <hyperlink r:id="rId413" ref="C210"/>
    <hyperlink r:id="rId414" location=":~:text=Market%20Logic's%20Insights%20Engagement%20platform,Core%20business" ref="A211"/>
    <hyperlink r:id="rId415" ref="C211"/>
    <hyperlink r:id="rId416" ref="A212"/>
    <hyperlink r:id="rId417" ref="C212"/>
    <hyperlink r:id="rId418" ref="A213"/>
    <hyperlink r:id="rId419" ref="C213"/>
    <hyperlink r:id="rId420" ref="A214"/>
    <hyperlink r:id="rId421" ref="C214"/>
    <hyperlink r:id="rId422" ref="A215"/>
    <hyperlink r:id="rId423" ref="C215"/>
    <hyperlink r:id="rId424" ref="A216"/>
    <hyperlink r:id="rId425" ref="C216"/>
    <hyperlink r:id="rId426" location=":~:text=They%20offer%20Advertising%2C%20Branding%2C%20Event,is%20based%20in%20K%C3%B6ln%2C%20Germany." ref="A217"/>
    <hyperlink r:id="rId427" ref="C217"/>
    <hyperlink r:id="rId428" ref="A218"/>
    <hyperlink r:id="rId429" ref="C218"/>
    <hyperlink r:id="rId430" ref="A219"/>
    <hyperlink r:id="rId431" ref="C219"/>
    <hyperlink r:id="rId432" ref="A220"/>
    <hyperlink r:id="rId433" ref="C220"/>
    <hyperlink r:id="rId434" ref="A221"/>
    <hyperlink r:id="rId435" ref="C221"/>
    <hyperlink r:id="rId436" ref="A222"/>
    <hyperlink r:id="rId437" ref="C222"/>
    <hyperlink r:id="rId438" ref="A223"/>
    <hyperlink r:id="rId439" ref="C223"/>
    <hyperlink r:id="rId440" ref="A224"/>
    <hyperlink r:id="rId441" ref="C224"/>
    <hyperlink r:id="rId442" ref="A225"/>
    <hyperlink r:id="rId443" ref="C225"/>
    <hyperlink r:id="rId444" ref="A226"/>
    <hyperlink r:id="rId445" ref="C226"/>
    <hyperlink r:id="rId446" ref="A227"/>
    <hyperlink r:id="rId447" ref="C227"/>
    <hyperlink r:id="rId448" ref="A228"/>
    <hyperlink r:id="rId449" ref="C228"/>
    <hyperlink r:id="rId450" ref="A229"/>
    <hyperlink r:id="rId451" ref="C229"/>
    <hyperlink r:id="rId452" ref="A230"/>
    <hyperlink r:id="rId453" ref="C230"/>
    <hyperlink r:id="rId454" ref="A231"/>
    <hyperlink r:id="rId455" ref="C231"/>
    <hyperlink r:id="rId456" ref="A232"/>
    <hyperlink r:id="rId457" ref="C232"/>
    <hyperlink r:id="rId458" ref="A233"/>
    <hyperlink r:id="rId459" ref="C233"/>
    <hyperlink r:id="rId460" ref="A234"/>
    <hyperlink r:id="rId461" ref="C234"/>
    <hyperlink r:id="rId462" ref="A235"/>
    <hyperlink r:id="rId463" ref="C235"/>
    <hyperlink r:id="rId464" ref="A236"/>
    <hyperlink r:id="rId465" ref="C236"/>
    <hyperlink r:id="rId466" ref="A237"/>
    <hyperlink r:id="rId467" ref="C237"/>
    <hyperlink r:id="rId468" ref="A238"/>
    <hyperlink r:id="rId469" ref="C238"/>
    <hyperlink r:id="rId470" ref="A239"/>
    <hyperlink r:id="rId471" ref="C239"/>
    <hyperlink r:id="rId472" ref="A240"/>
    <hyperlink r:id="rId473" ref="C240"/>
    <hyperlink r:id="rId474" ref="A241"/>
    <hyperlink r:id="rId475" ref="C241"/>
    <hyperlink r:id="rId476" ref="A242"/>
    <hyperlink r:id="rId477" ref="A243"/>
    <hyperlink r:id="rId478" ref="C243"/>
    <hyperlink r:id="rId479" ref="A244"/>
    <hyperlink r:id="rId480" ref="C244"/>
    <hyperlink r:id="rId481" ref="A245"/>
    <hyperlink r:id="rId482" ref="C245"/>
    <hyperlink r:id="rId483" ref="A246"/>
    <hyperlink r:id="rId484" ref="C246"/>
    <hyperlink r:id="rId485" ref="A247"/>
    <hyperlink r:id="rId486" ref="C247"/>
    <hyperlink r:id="rId487" ref="A248"/>
    <hyperlink r:id="rId488" ref="C248"/>
    <hyperlink r:id="rId489" ref="A249"/>
    <hyperlink r:id="rId490" ref="C249"/>
    <hyperlink r:id="rId491" ref="A250"/>
    <hyperlink r:id="rId492" ref="C250"/>
    <hyperlink r:id="rId493" ref="A251"/>
    <hyperlink r:id="rId494" ref="C251"/>
    <hyperlink r:id="rId495" ref="A252"/>
    <hyperlink r:id="rId496" ref="C252"/>
    <hyperlink r:id="rId497" ref="A253"/>
    <hyperlink r:id="rId498" ref="C253"/>
    <hyperlink r:id="rId499" ref="A254"/>
    <hyperlink r:id="rId500" ref="C254"/>
    <hyperlink r:id="rId501" ref="A255"/>
    <hyperlink r:id="rId502" ref="C255"/>
    <hyperlink r:id="rId503" ref="A256"/>
    <hyperlink r:id="rId504" ref="C256"/>
    <hyperlink r:id="rId505" ref="A257"/>
    <hyperlink r:id="rId506" ref="C257"/>
    <hyperlink r:id="rId507" ref="A258"/>
    <hyperlink r:id="rId508" ref="C258"/>
    <hyperlink r:id="rId509" ref="A259"/>
    <hyperlink r:id="rId510" ref="C259"/>
    <hyperlink r:id="rId511" ref="A260"/>
    <hyperlink r:id="rId512" ref="C260"/>
    <hyperlink r:id="rId513" ref="A261"/>
    <hyperlink r:id="rId514" ref="C261"/>
    <hyperlink r:id="rId515" ref="A262"/>
    <hyperlink r:id="rId516" ref="C262"/>
    <hyperlink r:id="rId517" ref="A263"/>
    <hyperlink r:id="rId518" ref="C263"/>
    <hyperlink r:id="rId519" ref="A264"/>
    <hyperlink r:id="rId520" ref="C264"/>
    <hyperlink r:id="rId521" ref="A265"/>
    <hyperlink r:id="rId522" ref="C265"/>
    <hyperlink r:id="rId523" ref="A266"/>
    <hyperlink r:id="rId524" ref="C266"/>
    <hyperlink r:id="rId525" ref="A267"/>
    <hyperlink r:id="rId526" ref="C267"/>
    <hyperlink r:id="rId527" ref="A268"/>
    <hyperlink r:id="rId528" ref="C268"/>
    <hyperlink r:id="rId529" ref="A269"/>
    <hyperlink r:id="rId530" ref="C269"/>
    <hyperlink r:id="rId531" ref="A270"/>
    <hyperlink r:id="rId532" ref="C270"/>
    <hyperlink r:id="rId533" ref="A271"/>
    <hyperlink r:id="rId534" ref="C271"/>
    <hyperlink r:id="rId535" ref="A272"/>
    <hyperlink r:id="rId536" ref="C272"/>
    <hyperlink r:id="rId537" ref="A273"/>
    <hyperlink r:id="rId538" ref="C273"/>
    <hyperlink r:id="rId539" ref="A274"/>
    <hyperlink r:id="rId540" ref="C274"/>
    <hyperlink r:id="rId541" ref="A275"/>
    <hyperlink r:id="rId542" ref="C275"/>
    <hyperlink r:id="rId543" ref="A276"/>
    <hyperlink r:id="rId544" ref="C276"/>
    <hyperlink r:id="rId545" ref="A277"/>
    <hyperlink r:id="rId546" ref="C277"/>
    <hyperlink r:id="rId547" location=":~:text=MONSOON%20is%20a%20performance%2Ddriven,KPIs%20and%20transparent%20reporting%20systems." ref="A278"/>
    <hyperlink r:id="rId548" ref="C278"/>
    <hyperlink r:id="rId549" ref="A279"/>
    <hyperlink r:id="rId550" ref="C279"/>
    <hyperlink r:id="rId551" ref="A280"/>
    <hyperlink r:id="rId552" ref="C280"/>
    <hyperlink r:id="rId553" ref="A281"/>
    <hyperlink r:id="rId554" ref="C281"/>
    <hyperlink r:id="rId555" ref="A282"/>
    <hyperlink r:id="rId556" ref="C282"/>
    <hyperlink r:id="rId557" ref="A283"/>
    <hyperlink r:id="rId558" ref="C283"/>
    <hyperlink r:id="rId559" ref="A284"/>
    <hyperlink r:id="rId560" ref="C284"/>
    <hyperlink r:id="rId561" ref="A285"/>
    <hyperlink r:id="rId562" ref="C285"/>
    <hyperlink r:id="rId563" ref="A286"/>
    <hyperlink r:id="rId564" ref="C286"/>
    <hyperlink r:id="rId565" ref="A287"/>
    <hyperlink r:id="rId566" ref="C287"/>
    <hyperlink r:id="rId567" ref="A288"/>
    <hyperlink r:id="rId568" ref="C288"/>
    <hyperlink r:id="rId569" ref="A289"/>
    <hyperlink r:id="rId570" ref="C289"/>
    <hyperlink r:id="rId571" ref="A290"/>
    <hyperlink r:id="rId572" ref="C290"/>
    <hyperlink r:id="rId573" ref="A291"/>
    <hyperlink r:id="rId574" ref="C291"/>
    <hyperlink r:id="rId575" ref="A292"/>
    <hyperlink r:id="rId576" ref="C292"/>
    <hyperlink r:id="rId577" ref="A293"/>
    <hyperlink r:id="rId578" ref="C293"/>
    <hyperlink r:id="rId579" ref="A294"/>
    <hyperlink r:id="rId580" ref="C294"/>
    <hyperlink r:id="rId581" ref="A295"/>
    <hyperlink r:id="rId582" ref="C295"/>
    <hyperlink r:id="rId583" ref="A296"/>
    <hyperlink r:id="rId584" ref="C296"/>
    <hyperlink r:id="rId585" ref="A297"/>
    <hyperlink r:id="rId586" ref="C297"/>
    <hyperlink r:id="rId587" ref="A298"/>
    <hyperlink r:id="rId588" ref="C298"/>
    <hyperlink r:id="rId589" location=":~:text=2020,local%20supermarket%20chain%20%C2%ABteGut%C2%BB." ref="A299"/>
    <hyperlink r:id="rId590" ref="C299"/>
    <hyperlink r:id="rId591" ref="A300"/>
    <hyperlink r:id="rId592" ref="C300"/>
    <hyperlink r:id="rId593" ref="A301"/>
    <hyperlink r:id="rId594" ref="C301"/>
    <hyperlink r:id="rId595" ref="A302"/>
    <hyperlink r:id="rId596" ref="C302"/>
    <hyperlink r:id="rId597" ref="A303"/>
    <hyperlink r:id="rId598" ref="C303"/>
    <hyperlink r:id="rId599" ref="A304"/>
    <hyperlink r:id="rId600" ref="C304"/>
    <hyperlink r:id="rId601" ref="A305"/>
    <hyperlink r:id="rId602" ref="C305"/>
    <hyperlink r:id="rId603" ref="A306"/>
    <hyperlink r:id="rId604" ref="C306"/>
    <hyperlink r:id="rId605" ref="A307"/>
    <hyperlink r:id="rId606" ref="C307"/>
    <hyperlink r:id="rId607" location=":~:text=morefire,Healthcare%20%26%20Hospital%2C%20Ecommerce%20%2B3" ref="A308"/>
    <hyperlink r:id="rId608" ref="C308"/>
    <hyperlink r:id="rId609" ref="A309"/>
    <hyperlink r:id="rId610" ref="C309"/>
    <hyperlink r:id="rId611" location=":~:text=Mediaplus%20Performance%20GmbH%20%26%20Co%20KG,%2C%20programmatic%2C%20and%20conversion%20optimization." ref="A310"/>
    <hyperlink r:id="rId612" ref="C310"/>
    <hyperlink r:id="rId613" ref="A311"/>
    <hyperlink r:id="rId614" ref="C311"/>
    <hyperlink r:id="rId615" ref="A312"/>
    <hyperlink r:id="rId616" ref="C312"/>
    <hyperlink r:id="rId617" ref="A313"/>
    <hyperlink r:id="rId618" ref="C313"/>
    <hyperlink r:id="rId619" ref="A314"/>
    <hyperlink r:id="rId620" ref="C314"/>
    <hyperlink r:id="rId621" ref="A315"/>
    <hyperlink r:id="rId622" ref="C315"/>
    <hyperlink r:id="rId623" ref="A316"/>
    <hyperlink r:id="rId624" ref="C316"/>
    <hyperlink r:id="rId625" ref="A317"/>
    <hyperlink r:id="rId626" ref="C317"/>
    <hyperlink r:id="rId627" ref="A318"/>
    <hyperlink r:id="rId628" ref="C318"/>
    <hyperlink r:id="rId629" ref="A319"/>
    <hyperlink r:id="rId630" ref="C319"/>
    <hyperlink r:id="rId631" ref="A320"/>
    <hyperlink r:id="rId632" ref="C320"/>
    <hyperlink r:id="rId633" ref="A321"/>
    <hyperlink r:id="rId634" ref="C321"/>
    <hyperlink r:id="rId635" ref="A322"/>
    <hyperlink r:id="rId636" ref="C322"/>
    <hyperlink r:id="rId637" ref="A323"/>
    <hyperlink r:id="rId638" ref="C323"/>
    <hyperlink r:id="rId639" ref="A324"/>
    <hyperlink r:id="rId640" ref="C324"/>
    <hyperlink r:id="rId641" ref="A325"/>
    <hyperlink r:id="rId642" ref="C325"/>
    <hyperlink r:id="rId643" ref="A326"/>
    <hyperlink r:id="rId644" ref="C326"/>
    <hyperlink r:id="rId645" ref="A327"/>
    <hyperlink r:id="rId646" ref="C327"/>
    <hyperlink r:id="rId647" ref="A328"/>
    <hyperlink r:id="rId648" ref="C328"/>
    <hyperlink r:id="rId649" ref="A329"/>
    <hyperlink r:id="rId650" ref="C329"/>
    <hyperlink r:id="rId651" ref="A330"/>
    <hyperlink r:id="rId652" ref="C330"/>
    <hyperlink r:id="rId653" ref="A331"/>
    <hyperlink r:id="rId654" ref="C331"/>
    <hyperlink r:id="rId655" ref="A332"/>
    <hyperlink r:id="rId656" ref="C332"/>
    <hyperlink r:id="rId657" ref="A333"/>
    <hyperlink r:id="rId658" ref="C333"/>
    <hyperlink r:id="rId659" ref="A334"/>
    <hyperlink r:id="rId660" ref="C334"/>
    <hyperlink r:id="rId661" ref="A335"/>
    <hyperlink r:id="rId662" ref="C335"/>
    <hyperlink r:id="rId663" ref="A336"/>
    <hyperlink r:id="rId664" ref="C336"/>
    <hyperlink r:id="rId665" ref="A337"/>
    <hyperlink r:id="rId666" ref="C337"/>
    <hyperlink r:id="rId667" location=":~:text=Artefact%3A%20Artefact%20blends%20AI%20and,streams%20into%20a%20unified%20dashboard." ref="A338"/>
    <hyperlink r:id="rId668" ref="A339"/>
    <hyperlink r:id="rId669" ref="C339"/>
    <hyperlink r:id="rId670" ref="A340"/>
    <hyperlink r:id="rId671" ref="C340"/>
    <hyperlink r:id="rId672" ref="A341"/>
    <hyperlink r:id="rId673" ref="C341"/>
    <hyperlink r:id="rId674" location=":~:text=Specialisation%3A%20Integrated%20brand%20strategy%2C%20creative,communications%20for%20German%20market%20leaders." ref="A342"/>
    <hyperlink r:id="rId675" ref="C342"/>
    <hyperlink r:id="rId676" ref="A343"/>
    <hyperlink r:id="rId677" ref="C343"/>
    <hyperlink r:id="rId678" ref="A344"/>
    <hyperlink r:id="rId679" ref="C344"/>
    <hyperlink r:id="rId680" ref="A345"/>
    <hyperlink r:id="rId681" ref="C345"/>
    <hyperlink r:id="rId682" ref="A346"/>
    <hyperlink r:id="rId683" ref="C346"/>
    <hyperlink r:id="rId684" ref="A347"/>
    <hyperlink r:id="rId685" ref="C347"/>
    <hyperlink r:id="rId686" ref="A348"/>
    <hyperlink r:id="rId687" ref="C348"/>
    <hyperlink r:id="rId688" ref="A349"/>
    <hyperlink r:id="rId689" ref="C349"/>
    <hyperlink r:id="rId690" ref="A350"/>
    <hyperlink r:id="rId691" ref="C350"/>
    <hyperlink r:id="rId692" ref="A351"/>
    <hyperlink r:id="rId693" ref="C351"/>
    <hyperlink r:id="rId694" ref="A352"/>
    <hyperlink r:id="rId695" ref="C352"/>
    <hyperlink r:id="rId696" ref="A353"/>
    <hyperlink r:id="rId697" ref="C353"/>
    <hyperlink r:id="rId698" ref="A354"/>
    <hyperlink r:id="rId699" ref="C354"/>
    <hyperlink r:id="rId700" ref="A355"/>
    <hyperlink r:id="rId701" ref="C355"/>
    <hyperlink r:id="rId702" location=":~:text=revenue%20growth%22%20claims.-,The%2015%20Best%20Performance%20Marketing%20Agencies%20for%202026,performance%20marketing%20for%20a%20reason." ref="A356"/>
    <hyperlink r:id="rId703" ref="C356"/>
    <hyperlink r:id="rId704" ref="A357"/>
    <hyperlink r:id="rId705" ref="C357"/>
    <hyperlink r:id="rId706" ref="A358"/>
    <hyperlink r:id="rId707" ref="C358"/>
    <hyperlink r:id="rId708" ref="A359"/>
    <hyperlink r:id="rId709" ref="C359"/>
    <hyperlink r:id="rId710" ref="A360"/>
    <hyperlink r:id="rId711" ref="C360"/>
    <hyperlink r:id="rId712" ref="A361"/>
    <hyperlink r:id="rId713" ref="C361"/>
    <hyperlink r:id="rId714" ref="A362"/>
    <hyperlink r:id="rId715" ref="C362"/>
    <hyperlink r:id="rId716" ref="A363"/>
    <hyperlink r:id="rId717" ref="C363"/>
    <hyperlink r:id="rId718" ref="A364"/>
    <hyperlink r:id="rId719" ref="C364"/>
    <hyperlink r:id="rId720" ref="A365"/>
    <hyperlink r:id="rId721" ref="C365"/>
    <hyperlink r:id="rId722" ref="A366"/>
    <hyperlink r:id="rId723" ref="C366"/>
    <hyperlink r:id="rId724" ref="A367"/>
    <hyperlink r:id="rId725" ref="C367"/>
    <hyperlink r:id="rId726" ref="A368"/>
    <hyperlink r:id="rId727" ref="C368"/>
    <hyperlink r:id="rId728" ref="A369"/>
    <hyperlink r:id="rId729" ref="C369"/>
    <hyperlink r:id="rId730" ref="A370"/>
    <hyperlink r:id="rId731" ref="C370"/>
    <hyperlink r:id="rId732" ref="A371"/>
    <hyperlink r:id="rId733" ref="C371"/>
    <hyperlink r:id="rId734" ref="A372"/>
    <hyperlink r:id="rId735" ref="C372"/>
    <hyperlink r:id="rId736" ref="A373"/>
    <hyperlink r:id="rId737" ref="C373"/>
    <hyperlink r:id="rId738" ref="A374"/>
    <hyperlink r:id="rId739" ref="C374"/>
    <hyperlink r:id="rId740" location=":~:text=e%2Ddynamics%20GmbH" ref="A375"/>
    <hyperlink r:id="rId741" ref="C375"/>
    <hyperlink r:id="rId742" ref="A376"/>
    <hyperlink r:id="rId743" ref="C376"/>
    <hyperlink r:id="rId744" ref="A377"/>
    <hyperlink r:id="rId745" ref="C377"/>
    <hyperlink r:id="rId746" ref="A378"/>
    <hyperlink r:id="rId747" ref="C378"/>
    <hyperlink r:id="rId748" location=":~:text=Superside%20is%20known%20for%20its,wide%20range%20of%20creative%20assets." ref="A379"/>
    <hyperlink r:id="rId749" ref="C379"/>
    <hyperlink r:id="rId750" location=":~:text=About%3A%20Hawke%20Media%20pioneered%20the,email%20marketing%2C%20and%20conversion%20optimization." ref="A380"/>
    <hyperlink r:id="rId751" ref="C380"/>
    <hyperlink r:id="rId752" ref="A381"/>
    <hyperlink r:id="rId753" ref="C381"/>
    <hyperlink r:id="rId754" ref="A382"/>
    <hyperlink r:id="rId755" ref="C382"/>
    <hyperlink r:id="rId756" ref="A383"/>
    <hyperlink r:id="rId757" ref="C383"/>
    <hyperlink r:id="rId758" ref="A384"/>
    <hyperlink r:id="rId759" ref="C384"/>
    <hyperlink r:id="rId760" ref="A385"/>
    <hyperlink r:id="rId761" ref="C385"/>
    <hyperlink r:id="rId762" ref="A386"/>
    <hyperlink r:id="rId763" ref="C386"/>
    <hyperlink r:id="rId764" ref="A387"/>
    <hyperlink r:id="rId765" ref="C387"/>
    <hyperlink r:id="rId766" ref="A388"/>
    <hyperlink r:id="rId767" ref="C388"/>
    <hyperlink r:id="rId768" ref="A389"/>
    <hyperlink r:id="rId769" ref="C389"/>
    <hyperlink r:id="rId770" ref="A390"/>
    <hyperlink r:id="rId771" ref="C390"/>
    <hyperlink r:id="rId772" ref="A391"/>
    <hyperlink r:id="rId773" ref="C391"/>
    <hyperlink r:id="rId774" ref="A392"/>
    <hyperlink r:id="rId775" ref="C392"/>
    <hyperlink r:id="rId776" ref="A393"/>
    <hyperlink r:id="rId777" ref="C393"/>
    <hyperlink r:id="rId778" ref="A394"/>
    <hyperlink r:id="rId779" ref="C394"/>
    <hyperlink r:id="rId780" ref="A395"/>
    <hyperlink r:id="rId781" ref="C395"/>
    <hyperlink r:id="rId782" ref="A396"/>
    <hyperlink r:id="rId783" ref="C396"/>
    <hyperlink r:id="rId784" ref="A397"/>
    <hyperlink r:id="rId785" ref="C397"/>
    <hyperlink r:id="rId786" ref="A398"/>
    <hyperlink r:id="rId787" ref="C398"/>
    <hyperlink r:id="rId788" ref="A399"/>
    <hyperlink r:id="rId789" ref="C399"/>
    <hyperlink r:id="rId790" ref="A400"/>
    <hyperlink r:id="rId791" ref="C400"/>
    <hyperlink r:id="rId792" ref="A401"/>
    <hyperlink r:id="rId793" ref="C401"/>
    <hyperlink r:id="rId794" ref="A402"/>
    <hyperlink r:id="rId795" ref="C402"/>
    <hyperlink r:id="rId796" ref="A403"/>
    <hyperlink r:id="rId797" ref="C403"/>
    <hyperlink r:id="rId798" ref="A404"/>
    <hyperlink r:id="rId799" ref="C404"/>
    <hyperlink r:id="rId800" ref="A405"/>
    <hyperlink r:id="rId801" ref="C405"/>
    <hyperlink r:id="rId802" ref="A406"/>
    <hyperlink r:id="rId803" ref="C406"/>
    <hyperlink r:id="rId804" ref="A407"/>
    <hyperlink r:id="rId805" ref="C407"/>
    <hyperlink r:id="rId806" ref="A408"/>
    <hyperlink r:id="rId807" ref="C408"/>
    <hyperlink r:id="rId808" ref="A409"/>
    <hyperlink r:id="rId809" ref="C409"/>
    <hyperlink r:id="rId810" ref="A410"/>
    <hyperlink r:id="rId811" ref="C410"/>
    <hyperlink r:id="rId812" ref="A411"/>
    <hyperlink r:id="rId813" ref="C411"/>
    <hyperlink r:id="rId814" ref="A412"/>
    <hyperlink r:id="rId815" ref="C412"/>
    <hyperlink r:id="rId816" ref="A413"/>
    <hyperlink r:id="rId817" ref="C413"/>
    <hyperlink r:id="rId818" ref="A414"/>
    <hyperlink r:id="rId819" ref="C414"/>
    <hyperlink r:id="rId820" ref="A415"/>
    <hyperlink r:id="rId821" ref="C415"/>
    <hyperlink r:id="rId822" ref="A416"/>
    <hyperlink r:id="rId823" ref="C416"/>
    <hyperlink r:id="rId824" ref="A417"/>
    <hyperlink r:id="rId825" ref="C417"/>
    <hyperlink r:id="rId826" ref="A418"/>
    <hyperlink r:id="rId827" ref="C418"/>
    <hyperlink r:id="rId828" ref="A419"/>
    <hyperlink r:id="rId829" ref="C419"/>
    <hyperlink r:id="rId830" ref="A420"/>
    <hyperlink r:id="rId831" ref="C420"/>
    <hyperlink r:id="rId832" ref="A421"/>
    <hyperlink r:id="rId833" ref="C421"/>
    <hyperlink r:id="rId834" ref="A422"/>
    <hyperlink r:id="rId835" ref="C422"/>
    <hyperlink r:id="rId836" ref="A423"/>
    <hyperlink r:id="rId837" ref="C423"/>
    <hyperlink r:id="rId838" ref="A424"/>
    <hyperlink r:id="rId839" ref="C424"/>
    <hyperlink r:id="rId840" ref="A425"/>
    <hyperlink r:id="rId841" ref="C425"/>
    <hyperlink r:id="rId842" ref="A426"/>
    <hyperlink r:id="rId843" ref="C426"/>
    <hyperlink r:id="rId844" ref="A427"/>
    <hyperlink r:id="rId845" ref="C427"/>
    <hyperlink r:id="rId846" ref="A428"/>
    <hyperlink r:id="rId847" ref="C428"/>
    <hyperlink r:id="rId848" ref="A429"/>
    <hyperlink r:id="rId849" ref="C429"/>
    <hyperlink r:id="rId850" ref="A430"/>
    <hyperlink r:id="rId851" ref="C430"/>
    <hyperlink r:id="rId852" ref="A431"/>
    <hyperlink r:id="rId853" ref="C431"/>
    <hyperlink r:id="rId854" ref="A432"/>
    <hyperlink r:id="rId855" ref="C432"/>
    <hyperlink r:id="rId856" ref="A433"/>
    <hyperlink r:id="rId857" ref="C433"/>
    <hyperlink r:id="rId858" ref="A434"/>
    <hyperlink r:id="rId859" ref="C434"/>
    <hyperlink r:id="rId860" ref="A435"/>
    <hyperlink r:id="rId861" ref="C435"/>
    <hyperlink r:id="rId862" ref="A436"/>
    <hyperlink r:id="rId863" ref="C436"/>
    <hyperlink r:id="rId864" ref="A437"/>
    <hyperlink r:id="rId865" ref="C437"/>
    <hyperlink r:id="rId866" ref="A438"/>
    <hyperlink r:id="rId867" ref="C438"/>
    <hyperlink r:id="rId868" ref="A439"/>
    <hyperlink r:id="rId869" ref="C439"/>
    <hyperlink r:id="rId870" ref="A440"/>
    <hyperlink r:id="rId871" ref="C440"/>
    <hyperlink r:id="rId872" ref="A441"/>
    <hyperlink r:id="rId873" ref="C441"/>
    <hyperlink r:id="rId874" ref="A442"/>
    <hyperlink r:id="rId875" ref="C442"/>
    <hyperlink r:id="rId876" ref="A443"/>
    <hyperlink r:id="rId877" ref="C443"/>
    <hyperlink r:id="rId878" ref="A444"/>
    <hyperlink r:id="rId879" ref="C444"/>
    <hyperlink r:id="rId880" ref="A445"/>
    <hyperlink r:id="rId881" ref="C445"/>
    <hyperlink r:id="rId882" ref="A446"/>
    <hyperlink r:id="rId883" ref="C446"/>
    <hyperlink r:id="rId884" ref="A447"/>
    <hyperlink r:id="rId885" ref="C447"/>
    <hyperlink r:id="rId886" ref="A448"/>
    <hyperlink r:id="rId887" ref="C448"/>
    <hyperlink r:id="rId888" ref="A449"/>
    <hyperlink r:id="rId889" ref="C449"/>
    <hyperlink r:id="rId890" ref="A450"/>
    <hyperlink r:id="rId891" ref="C450"/>
    <hyperlink r:id="rId892" ref="A451"/>
    <hyperlink r:id="rId893" ref="C451"/>
    <hyperlink r:id="rId894" ref="A452"/>
    <hyperlink r:id="rId895" ref="A453"/>
    <hyperlink r:id="rId896" ref="C453"/>
    <hyperlink r:id="rId897" ref="A454"/>
    <hyperlink r:id="rId898" ref="A455"/>
    <hyperlink r:id="rId899" ref="C455"/>
    <hyperlink r:id="rId900" ref="A456"/>
    <hyperlink r:id="rId901" ref="C456"/>
    <hyperlink r:id="rId902" ref="A457"/>
    <hyperlink r:id="rId903" ref="C457"/>
    <hyperlink r:id="rId904" ref="A458"/>
    <hyperlink r:id="rId905" ref="C458"/>
    <hyperlink r:id="rId906" ref="A459"/>
    <hyperlink r:id="rId907" ref="C459"/>
    <hyperlink r:id="rId908" ref="A460"/>
    <hyperlink r:id="rId909" ref="C460"/>
    <hyperlink r:id="rId910" ref="A461"/>
    <hyperlink r:id="rId911" ref="C461"/>
    <hyperlink r:id="rId912" ref="A462"/>
    <hyperlink r:id="rId913" ref="C462"/>
    <hyperlink r:id="rId914" ref="A463"/>
    <hyperlink r:id="rId915" ref="C463"/>
    <hyperlink r:id="rId916" ref="A464"/>
    <hyperlink r:id="rId917" ref="C464"/>
    <hyperlink r:id="rId918" ref="A465"/>
    <hyperlink r:id="rId919" ref="C465"/>
    <hyperlink r:id="rId920" ref="A466"/>
    <hyperlink r:id="rId921" ref="C466"/>
    <hyperlink r:id="rId922" ref="A467"/>
    <hyperlink r:id="rId923" ref="C467"/>
    <hyperlink r:id="rId924" ref="A468"/>
    <hyperlink r:id="rId925" ref="C468"/>
    <hyperlink r:id="rId926" ref="A469"/>
    <hyperlink r:id="rId927" ref="C469"/>
    <hyperlink r:id="rId928" ref="A470"/>
    <hyperlink r:id="rId929" ref="C470"/>
    <hyperlink r:id="rId930" ref="A471"/>
    <hyperlink r:id="rId931" ref="C471"/>
    <hyperlink r:id="rId932" location=":~:text=Agencies%20like%20Majdra%2C%20which%20provide,for%20all%20future%20search%20success." ref="A472"/>
    <hyperlink r:id="rId933" ref="C472"/>
    <hyperlink r:id="rId934" ref="A473"/>
    <hyperlink r:id="rId935" ref="C473"/>
    <hyperlink r:id="rId936" ref="A474"/>
    <hyperlink r:id="rId937" ref="C474"/>
    <hyperlink r:id="rId938" ref="A475"/>
    <hyperlink r:id="rId939" ref="C475"/>
    <hyperlink r:id="rId940" ref="A476"/>
    <hyperlink r:id="rId941" ref="C476"/>
    <hyperlink r:id="rId942" ref="A477"/>
    <hyperlink r:id="rId943" ref="C477"/>
    <hyperlink r:id="rId944" ref="A478"/>
    <hyperlink r:id="rId945" ref="C478"/>
    <hyperlink r:id="rId946" ref="A479"/>
    <hyperlink r:id="rId947" ref="C479"/>
    <hyperlink r:id="rId948" ref="A480"/>
    <hyperlink r:id="rId949" ref="C480"/>
    <hyperlink r:id="rId950" ref="A481"/>
    <hyperlink r:id="rId951" ref="C481"/>
    <hyperlink r:id="rId952" ref="A482"/>
    <hyperlink r:id="rId953" ref="C482"/>
    <hyperlink r:id="rId954" ref="A483"/>
    <hyperlink r:id="rId955" ref="C483"/>
    <hyperlink r:id="rId956" ref="A484"/>
    <hyperlink r:id="rId957" ref="C484"/>
    <hyperlink r:id="rId958" ref="A485"/>
    <hyperlink r:id="rId959" ref="C485"/>
    <hyperlink r:id="rId960" ref="A486"/>
    <hyperlink r:id="rId961" ref="C486"/>
    <hyperlink r:id="rId962" ref="A487"/>
    <hyperlink r:id="rId963" ref="C487"/>
    <hyperlink r:id="rId964" ref="A488"/>
    <hyperlink r:id="rId965" ref="A489"/>
    <hyperlink r:id="rId966" ref="C489"/>
    <hyperlink r:id="rId967" ref="A490"/>
    <hyperlink r:id="rId968" ref="C490"/>
    <hyperlink r:id="rId969" ref="A491"/>
    <hyperlink r:id="rId970" ref="C491"/>
    <hyperlink r:id="rId971" ref="A492"/>
    <hyperlink r:id="rId972" ref="C492"/>
    <hyperlink r:id="rId973" ref="A493"/>
    <hyperlink r:id="rId974" ref="C493"/>
    <hyperlink r:id="rId975" ref="A494"/>
    <hyperlink r:id="rId976" ref="C494"/>
    <hyperlink r:id="rId977" ref="A495"/>
    <hyperlink r:id="rId978" ref="C495"/>
    <hyperlink r:id="rId979" ref="A496"/>
    <hyperlink r:id="rId980" ref="C496"/>
    <hyperlink r:id="rId981" location=":~:text=Siege%20Media%20is%20a%20well,likely%20to%20trust%20and%20reference." ref="A497"/>
    <hyperlink r:id="rId982" ref="C497"/>
    <hyperlink r:id="rId983" ref="A498"/>
    <hyperlink r:id="rId984" ref="C498"/>
    <hyperlink r:id="rId985" ref="A499"/>
    <hyperlink r:id="rId986" ref="C499"/>
    <hyperlink r:id="rId987" ref="A500"/>
    <hyperlink r:id="rId988" ref="C500"/>
    <hyperlink r:id="rId989" ref="A501"/>
    <hyperlink r:id="rId990" ref="C501"/>
    <hyperlink r:id="rId991" ref="A502"/>
    <hyperlink r:id="rId992" ref="C502"/>
    <hyperlink r:id="rId993" ref="A503"/>
    <hyperlink r:id="rId994" ref="C503"/>
    <hyperlink r:id="rId995" ref="A504"/>
    <hyperlink r:id="rId996" ref="C504"/>
    <hyperlink r:id="rId997" ref="A505"/>
    <hyperlink r:id="rId998" ref="C505"/>
    <hyperlink r:id="rId999" ref="A506"/>
    <hyperlink r:id="rId1000" ref="C506"/>
    <hyperlink r:id="rId1001" ref="A507"/>
    <hyperlink r:id="rId1002" ref="C507"/>
    <hyperlink r:id="rId1003" ref="A508"/>
    <hyperlink r:id="rId1004" ref="C508"/>
    <hyperlink r:id="rId1005" ref="A509"/>
    <hyperlink r:id="rId1006" ref="C509"/>
    <hyperlink r:id="rId1007" ref="A510"/>
    <hyperlink r:id="rId1008" ref="C510"/>
    <hyperlink r:id="rId1009" ref="A511"/>
    <hyperlink r:id="rId1010" ref="C511"/>
    <hyperlink r:id="rId1011" ref="A512"/>
    <hyperlink r:id="rId1012" ref="C512"/>
    <hyperlink r:id="rId1013" ref="A513"/>
    <hyperlink r:id="rId1014" ref="C513"/>
    <hyperlink r:id="rId1015" ref="A514"/>
    <hyperlink r:id="rId1016" ref="C514"/>
    <hyperlink r:id="rId1017" ref="A515"/>
    <hyperlink r:id="rId1018" ref="C515"/>
    <hyperlink r:id="rId1019" ref="A516"/>
    <hyperlink r:id="rId1020" ref="C516"/>
    <hyperlink r:id="rId1021" ref="A517"/>
    <hyperlink r:id="rId1022" ref="C517"/>
    <hyperlink r:id="rId1023" ref="A518"/>
    <hyperlink r:id="rId1024" ref="C518"/>
    <hyperlink r:id="rId1025" ref="A519"/>
    <hyperlink r:id="rId1026" ref="C519"/>
    <hyperlink r:id="rId1027" ref="A520"/>
    <hyperlink r:id="rId1028" ref="C520"/>
    <hyperlink r:id="rId1029" ref="A521"/>
    <hyperlink r:id="rId1030" ref="C521"/>
    <hyperlink r:id="rId1031" ref="A522"/>
    <hyperlink r:id="rId1032" ref="C522"/>
    <hyperlink r:id="rId1033" ref="A523"/>
    <hyperlink r:id="rId1034" ref="C523"/>
    <hyperlink r:id="rId1035" ref="A524"/>
    <hyperlink r:id="rId1036" ref="C524"/>
    <hyperlink r:id="rId1037" ref="A525"/>
    <hyperlink r:id="rId1038" ref="C525"/>
    <hyperlink r:id="rId1039" ref="A526"/>
    <hyperlink r:id="rId1040" ref="C526"/>
    <hyperlink r:id="rId1041" ref="A527"/>
    <hyperlink r:id="rId1042" ref="A528"/>
    <hyperlink r:id="rId1043" ref="C528"/>
    <hyperlink r:id="rId1044" ref="A529"/>
    <hyperlink r:id="rId1045" ref="C529"/>
    <hyperlink r:id="rId1046" ref="A530"/>
    <hyperlink r:id="rId1047" ref="C530"/>
    <hyperlink r:id="rId1048" ref="A531"/>
    <hyperlink r:id="rId1049" ref="C531"/>
    <hyperlink r:id="rId1050" ref="A532"/>
    <hyperlink r:id="rId1051" ref="C532"/>
    <hyperlink r:id="rId1052" location=":~:text=Jung%20von%20Matt%20is%20one,for%20major%20German%20consumer%20brands." ref="A533"/>
    <hyperlink r:id="rId1053" ref="C533"/>
    <hyperlink r:id="rId1054" ref="A534"/>
    <hyperlink r:id="rId1055" ref="C534"/>
    <hyperlink r:id="rId1056" location=":~:text=The%2015%20best%20creative%20agencies%20(2026),for%20a%20fixed%20monthly%20fee." ref="A535"/>
    <hyperlink r:id="rId1057" ref="C535"/>
    <hyperlink r:id="rId1058" ref="A536"/>
    <hyperlink r:id="rId1059" ref="C536"/>
    <hyperlink r:id="rId1060" ref="A537"/>
    <hyperlink r:id="rId1061" ref="C537"/>
    <hyperlink r:id="rId1062" ref="A538"/>
    <hyperlink r:id="rId1063" ref="C538"/>
    <hyperlink r:id="rId1064" ref="A539"/>
    <hyperlink r:id="rId1065" ref="C539"/>
    <hyperlink r:id="rId1066" ref="A540"/>
    <hyperlink r:id="rId1067" ref="C540"/>
    <hyperlink r:id="rId1068" ref="A541"/>
    <hyperlink r:id="rId1069" ref="C541"/>
    <hyperlink r:id="rId1070" ref="A542"/>
    <hyperlink r:id="rId1071" ref="C542"/>
    <hyperlink r:id="rId1072" ref="A543"/>
    <hyperlink r:id="rId1073" ref="C543"/>
    <hyperlink r:id="rId1074" ref="A544"/>
    <hyperlink r:id="rId1075" ref="C544"/>
    <hyperlink r:id="rId1076" ref="A545"/>
    <hyperlink r:id="rId1077" ref="C545"/>
    <hyperlink r:id="rId1078" ref="A546"/>
    <hyperlink r:id="rId1079" ref="C546"/>
    <hyperlink r:id="rId1080" ref="A547"/>
    <hyperlink r:id="rId1081" ref="A548"/>
    <hyperlink r:id="rId1082" ref="A549"/>
    <hyperlink r:id="rId1083" ref="C549"/>
    <hyperlink r:id="rId1084" ref="A550"/>
    <hyperlink r:id="rId1085" ref="C550"/>
    <hyperlink r:id="rId1086" ref="A551"/>
    <hyperlink r:id="rId1087" ref="C551"/>
    <hyperlink r:id="rId1088" ref="A552"/>
    <hyperlink r:id="rId1089" ref="C552"/>
    <hyperlink r:id="rId1090" ref="A553"/>
    <hyperlink r:id="rId1091" ref="C553"/>
    <hyperlink r:id="rId1092" ref="A554"/>
    <hyperlink r:id="rId1093" ref="C554"/>
    <hyperlink r:id="rId1094" ref="A555"/>
    <hyperlink r:id="rId1095" ref="C555"/>
    <hyperlink r:id="rId1096" ref="A556"/>
    <hyperlink r:id="rId1097" ref="C556"/>
    <hyperlink r:id="rId1098" ref="A557"/>
    <hyperlink r:id="rId1099" ref="C557"/>
    <hyperlink r:id="rId1100" ref="A558"/>
    <hyperlink r:id="rId1101" ref="C558"/>
    <hyperlink r:id="rId1102" ref="A559"/>
    <hyperlink r:id="rId1103" ref="C559"/>
    <hyperlink r:id="rId1104" ref="A560"/>
    <hyperlink r:id="rId1105" ref="C560"/>
    <hyperlink r:id="rId1106" ref="A561"/>
    <hyperlink r:id="rId1107" ref="C561"/>
    <hyperlink r:id="rId1108" ref="A562"/>
    <hyperlink r:id="rId1109" ref="C562"/>
    <hyperlink r:id="rId1110" ref="A563"/>
    <hyperlink r:id="rId1111" location=":~:text=Get%20Expert%20Consultation,more%20structured%20data%2Ddriven%20operations." ref="A564"/>
    <hyperlink r:id="rId1112" ref="A565"/>
    <hyperlink r:id="rId1113" ref="C565"/>
    <hyperlink r:id="rId1114" ref="A566"/>
    <hyperlink r:id="rId1115" ref="C566"/>
    <hyperlink r:id="rId1116" ref="A567"/>
    <hyperlink r:id="rId1117" ref="C567"/>
    <hyperlink r:id="rId1118" ref="A568"/>
    <hyperlink r:id="rId1119" ref="C568"/>
    <hyperlink r:id="rId1120" ref="A569"/>
    <hyperlink r:id="rId1121" ref="C569"/>
    <hyperlink r:id="rId1122" location=":~:text=Why%20Pixelmojo%20is%20different,systems%20(Vector%2C%20Hive)." ref="A570"/>
    <hyperlink r:id="rId1123" ref="C570"/>
    <hyperlink r:id="rId1124" ref="A571"/>
    <hyperlink r:id="rId1125" ref="C571"/>
    <hyperlink r:id="rId1126" ref="A572"/>
    <hyperlink r:id="rId1127" ref="C572"/>
    <hyperlink r:id="rId1128" ref="A573"/>
    <hyperlink r:id="rId1129" ref="C573"/>
    <hyperlink r:id="rId1130" ref="A574"/>
    <hyperlink r:id="rId1131" ref="C574"/>
    <hyperlink r:id="rId1132" ref="A575"/>
    <hyperlink r:id="rId1133" ref="C575"/>
    <hyperlink r:id="rId1134" ref="A576"/>
    <hyperlink r:id="rId1135" ref="C576"/>
    <hyperlink r:id="rId1136" ref="A577"/>
    <hyperlink r:id="rId1137" ref="C577"/>
    <hyperlink r:id="rId1138" ref="A578"/>
    <hyperlink r:id="rId1139" ref="C578"/>
    <hyperlink r:id="rId1140" ref="A579"/>
    <hyperlink r:id="rId1141" ref="C579"/>
    <hyperlink r:id="rId1142" ref="A580"/>
    <hyperlink r:id="rId1143" ref="C580"/>
    <hyperlink r:id="rId1144" ref="A581"/>
    <hyperlink r:id="rId1145" ref="C581"/>
    <hyperlink r:id="rId1146" ref="A582"/>
    <hyperlink r:id="rId1147" ref="C582"/>
    <hyperlink r:id="rId1148" ref="A583"/>
    <hyperlink r:id="rId1149" ref="C583"/>
    <hyperlink r:id="rId1150" ref="A584"/>
    <hyperlink r:id="rId1151" ref="C584"/>
    <hyperlink r:id="rId1152" ref="A585"/>
    <hyperlink r:id="rId1153" ref="C585"/>
    <hyperlink r:id="rId1154" ref="A586"/>
    <hyperlink r:id="rId1155" ref="C586"/>
    <hyperlink r:id="rId1156" ref="A587"/>
    <hyperlink r:id="rId1157" ref="C587"/>
    <hyperlink r:id="rId1158" ref="A588"/>
    <hyperlink r:id="rId1159" ref="C588"/>
    <hyperlink r:id="rId1160" ref="A589"/>
    <hyperlink r:id="rId1161" ref="C589"/>
    <hyperlink r:id="rId1162" ref="A590"/>
    <hyperlink r:id="rId1163" ref="C590"/>
    <hyperlink r:id="rId1164" ref="A591"/>
    <hyperlink r:id="rId1165" ref="A592"/>
    <hyperlink r:id="rId1166" ref="C592"/>
    <hyperlink r:id="rId1167" ref="A593"/>
    <hyperlink r:id="rId1168" ref="C593"/>
    <hyperlink r:id="rId1169" ref="A594"/>
    <hyperlink r:id="rId1170" ref="C594"/>
    <hyperlink r:id="rId1171" ref="A595"/>
    <hyperlink r:id="rId1172" ref="C595"/>
    <hyperlink r:id="rId1173" ref="A596"/>
    <hyperlink r:id="rId1174" ref="C596"/>
    <hyperlink r:id="rId1175" ref="A597"/>
    <hyperlink r:id="rId1176" ref="C597"/>
    <hyperlink r:id="rId1177" ref="A598"/>
    <hyperlink r:id="rId1178" ref="C598"/>
    <hyperlink r:id="rId1179" ref="A599"/>
    <hyperlink r:id="rId1180" ref="C599"/>
    <hyperlink r:id="rId1181" ref="A600"/>
    <hyperlink r:id="rId1182" ref="C600"/>
    <hyperlink r:id="rId1183" ref="A601"/>
    <hyperlink r:id="rId1184" ref="C601"/>
    <hyperlink r:id="rId1185" ref="A602"/>
    <hyperlink r:id="rId1186" ref="C602"/>
    <hyperlink r:id="rId1187" ref="A603"/>
    <hyperlink r:id="rId1188" ref="C603"/>
    <hyperlink r:id="rId1189" ref="A604"/>
    <hyperlink r:id="rId1190" ref="C604"/>
    <hyperlink r:id="rId1191" ref="A605"/>
    <hyperlink r:id="rId1192" ref="C605"/>
    <hyperlink r:id="rId1193" ref="A606"/>
    <hyperlink r:id="rId1194" ref="C606"/>
    <hyperlink r:id="rId1195" ref="A607"/>
    <hyperlink r:id="rId1196" ref="C607"/>
    <hyperlink r:id="rId1197" ref="A608"/>
    <hyperlink r:id="rId1198" ref="C608"/>
    <hyperlink r:id="rId1199" ref="A609"/>
    <hyperlink r:id="rId1200" ref="C609"/>
    <hyperlink r:id="rId1201" ref="A610"/>
    <hyperlink r:id="rId1202" ref="C610"/>
    <hyperlink r:id="rId1203" ref="A611"/>
    <hyperlink r:id="rId1204" ref="C611"/>
    <hyperlink r:id="rId1205" ref="A612"/>
    <hyperlink r:id="rId1206" ref="C612"/>
    <hyperlink r:id="rId1207" ref="A613"/>
    <hyperlink r:id="rId1208" ref="C613"/>
    <hyperlink r:id="rId1209" ref="A614"/>
    <hyperlink r:id="rId1210" ref="C614"/>
    <hyperlink r:id="rId1211" ref="A615"/>
    <hyperlink r:id="rId1212" ref="C615"/>
    <hyperlink r:id="rId1213" location=":~:text=%F0%9F%87%AC%F0%9F%87%A7%20below%20%F0%9F%87%AC%F0%9F%87%A7%20Say%20hi%20to%20Digital,we%20support%20you%20in%20digitizing%20your%20business." ref="A616"/>
    <hyperlink r:id="rId1214" ref="C616"/>
    <hyperlink r:id="rId1215" ref="A617"/>
    <hyperlink r:id="rId1216" ref="C617"/>
    <hyperlink r:id="rId1217" ref="A618"/>
    <hyperlink r:id="rId1218" ref="C618"/>
    <hyperlink r:id="rId1219" ref="A619"/>
    <hyperlink r:id="rId1220" ref="C619"/>
    <hyperlink r:id="rId1221" ref="A620"/>
    <hyperlink r:id="rId1222" ref="C620"/>
    <hyperlink r:id="rId1223" ref="A621"/>
    <hyperlink r:id="rId1224" ref="C621"/>
    <hyperlink r:id="rId1225" ref="A622"/>
    <hyperlink r:id="rId1226" ref="C622"/>
    <hyperlink r:id="rId1227" ref="A623"/>
    <hyperlink r:id="rId1228" ref="C623"/>
    <hyperlink r:id="rId1229" ref="A624"/>
    <hyperlink r:id="rId1230" ref="C624"/>
    <hyperlink r:id="rId1231" ref="A625"/>
    <hyperlink r:id="rId1232" ref="C625"/>
    <hyperlink r:id="rId1233" ref="A626"/>
    <hyperlink r:id="rId1234" ref="C626"/>
    <hyperlink r:id="rId1235" ref="A627"/>
    <hyperlink r:id="rId1236" ref="C627"/>
    <hyperlink r:id="rId1237" ref="A628"/>
    <hyperlink r:id="rId1238" ref="C628"/>
    <hyperlink r:id="rId1239" ref="A629"/>
    <hyperlink r:id="rId1240" ref="C629"/>
    <hyperlink r:id="rId1241" ref="A630"/>
    <hyperlink r:id="rId1242" ref="C630"/>
    <hyperlink r:id="rId1243" ref="A631"/>
    <hyperlink r:id="rId1244" ref="C631"/>
    <hyperlink r:id="rId1245" ref="A632"/>
    <hyperlink r:id="rId1246" ref="C632"/>
    <hyperlink r:id="rId1247" ref="A633"/>
    <hyperlink r:id="rId1248" ref="C633"/>
    <hyperlink r:id="rId1249" ref="A634"/>
    <hyperlink r:id="rId1250" ref="C634"/>
    <hyperlink r:id="rId1251" ref="A635"/>
    <hyperlink r:id="rId1252" ref="C635"/>
    <hyperlink r:id="rId1253" ref="A636"/>
    <hyperlink r:id="rId1254" ref="C636"/>
    <hyperlink r:id="rId1255" ref="A637"/>
    <hyperlink r:id="rId1256" ref="C637"/>
    <hyperlink r:id="rId1257" ref="A638"/>
    <hyperlink r:id="rId1258" ref="C638"/>
    <hyperlink r:id="rId1259" ref="A639"/>
    <hyperlink r:id="rId1260" ref="C639"/>
    <hyperlink r:id="rId1261" ref="A640"/>
    <hyperlink r:id="rId1262" ref="C640"/>
    <hyperlink r:id="rId1263" ref="A641"/>
    <hyperlink r:id="rId1264" ref="C641"/>
    <hyperlink r:id="rId1265" ref="A642"/>
    <hyperlink r:id="rId1266" ref="C642"/>
    <hyperlink r:id="rId1267" ref="A643"/>
    <hyperlink r:id="rId1268" ref="C643"/>
    <hyperlink r:id="rId1269" ref="A644"/>
    <hyperlink r:id="rId1270" ref="C644"/>
    <hyperlink r:id="rId1271" ref="A645"/>
    <hyperlink r:id="rId1272" ref="C645"/>
    <hyperlink r:id="rId1273" ref="A646"/>
    <hyperlink r:id="rId1274" ref="C646"/>
    <hyperlink r:id="rId1275" ref="A647"/>
    <hyperlink r:id="rId1276" ref="C647"/>
    <hyperlink r:id="rId1277" location=":~:text=1,and%20Creatives%20%E2%9C%93%20Tracking%20Integration" ref="A648"/>
    <hyperlink r:id="rId1278" ref="C648"/>
    <hyperlink r:id="rId1279" ref="A649"/>
    <hyperlink r:id="rId1280" ref="C649"/>
    <hyperlink r:id="rId1281" ref="A650"/>
    <hyperlink r:id="rId1282" ref="C650"/>
    <hyperlink r:id="rId1283" ref="A651"/>
    <hyperlink r:id="rId1284" ref="C651"/>
    <hyperlink r:id="rId1285" ref="A652"/>
    <hyperlink r:id="rId1286" ref="C652"/>
    <hyperlink r:id="rId1287" ref="A653"/>
    <hyperlink r:id="rId1288" ref="C653"/>
    <hyperlink r:id="rId1289" ref="A654"/>
    <hyperlink r:id="rId1290" ref="C654"/>
    <hyperlink r:id="rId1291" ref="A655"/>
    <hyperlink r:id="rId1292" ref="C655"/>
    <hyperlink r:id="rId1293" ref="A656"/>
    <hyperlink r:id="rId1294" ref="C656"/>
    <hyperlink r:id="rId1295" ref="A657"/>
    <hyperlink r:id="rId1296" ref="C657"/>
    <hyperlink r:id="rId1297" ref="A658"/>
    <hyperlink r:id="rId1298" ref="C658"/>
    <hyperlink r:id="rId1299" ref="A659"/>
    <hyperlink r:id="rId1300" ref="A660"/>
    <hyperlink r:id="rId1301" ref="C660"/>
    <hyperlink r:id="rId1302" ref="A661"/>
    <hyperlink r:id="rId1303" ref="C661"/>
    <hyperlink r:id="rId1304" ref="A662"/>
    <hyperlink r:id="rId1305" ref="C662"/>
    <hyperlink r:id="rId1306" location=":~:text=CET%20overlaps%20with%20both%20US,callbacks%20%2B%20WhatsApp%20qualification%20%2B%20calendar%20booking" ref="A663"/>
    <hyperlink r:id="rId1307" ref="C663"/>
    <hyperlink r:id="rId1308" ref="A664"/>
    <hyperlink r:id="rId1309" ref="C664"/>
    <hyperlink r:id="rId1310" ref="A665"/>
    <hyperlink r:id="rId1311" ref="A666"/>
    <hyperlink r:id="rId1312" ref="C666"/>
    <hyperlink r:id="rId1313" ref="A667"/>
    <hyperlink r:id="rId1314" ref="C667"/>
    <hyperlink r:id="rId1315" ref="A668"/>
    <hyperlink r:id="rId1316" ref="C668"/>
    <hyperlink r:id="rId1317" ref="A669"/>
    <hyperlink r:id="rId1318" ref="C669"/>
    <hyperlink r:id="rId1319" ref="A670"/>
    <hyperlink r:id="rId1320" ref="C670"/>
    <hyperlink r:id="rId1321" ref="A671"/>
    <hyperlink r:id="rId1322" ref="C671"/>
    <hyperlink r:id="rId1323" ref="A672"/>
    <hyperlink r:id="rId1324" ref="C672"/>
    <hyperlink r:id="rId1325" ref="A673"/>
    <hyperlink r:id="rId1326" ref="C673"/>
    <hyperlink r:id="rId1327" ref="A674"/>
    <hyperlink r:id="rId1328" ref="C674"/>
    <hyperlink r:id="rId1329" ref="A675"/>
    <hyperlink r:id="rId1330" ref="C675"/>
    <hyperlink r:id="rId1331" ref="A676"/>
    <hyperlink r:id="rId1332" ref="C676"/>
    <hyperlink r:id="rId1333" ref="A677"/>
    <hyperlink r:id="rId1334" ref="C677"/>
    <hyperlink r:id="rId1335" ref="A678"/>
    <hyperlink r:id="rId1336" ref="C678"/>
    <hyperlink r:id="rId1337" ref="A679"/>
    <hyperlink r:id="rId1338" ref="C679"/>
    <hyperlink r:id="rId1339" ref="A680"/>
    <hyperlink r:id="rId1340" ref="C680"/>
    <hyperlink r:id="rId1341" ref="A681"/>
    <hyperlink r:id="rId1342" ref="C681"/>
    <hyperlink r:id="rId1343" ref="A682"/>
    <hyperlink r:id="rId1344" ref="C682"/>
    <hyperlink r:id="rId1345" ref="A683"/>
    <hyperlink r:id="rId1346" ref="C683"/>
    <hyperlink r:id="rId1347" ref="A684"/>
    <hyperlink r:id="rId1348" ref="C684"/>
    <hyperlink r:id="rId1349" ref="A685"/>
    <hyperlink r:id="rId1350" ref="C685"/>
    <hyperlink r:id="rId1351" ref="A686"/>
    <hyperlink r:id="rId1352" ref="C686"/>
    <hyperlink r:id="rId1353" ref="A687"/>
    <hyperlink r:id="rId1354" ref="C687"/>
    <hyperlink r:id="rId1355" ref="A688"/>
    <hyperlink r:id="rId1356" ref="C688"/>
    <hyperlink r:id="rId1357" ref="A689"/>
    <hyperlink r:id="rId1358" ref="C689"/>
    <hyperlink r:id="rId1359" ref="A690"/>
    <hyperlink r:id="rId1360" ref="C690"/>
    <hyperlink r:id="rId1361" ref="A691"/>
    <hyperlink r:id="rId1362" ref="C691"/>
    <hyperlink r:id="rId1363" ref="A692"/>
    <hyperlink r:id="rId1364" ref="C692"/>
    <hyperlink r:id="rId1365" ref="A693"/>
    <hyperlink r:id="rId1366" ref="C693"/>
    <hyperlink r:id="rId1367" ref="A694"/>
    <hyperlink r:id="rId1368" ref="C694"/>
    <hyperlink r:id="rId1369" ref="A695"/>
    <hyperlink r:id="rId1370" ref="C695"/>
    <hyperlink r:id="rId1371" ref="A696"/>
    <hyperlink r:id="rId1372" ref="C696"/>
  </hyperlinks>
  <drawing r:id="rId137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All'!A2:A1000)),""youtube"")
  ),
  """"
)"),"https://www.youtube.com/watch?v=00C1PZt8bLw&amp;vl=de&amp;t=116")</f>
        <v>https://www.youtube.com/watch?v=00C1PZt8bLw&amp;vl=de&amp;t=116</v>
      </c>
      <c r="B2" s="11" t="str">
        <f>IFERROR(__xludf.DUMMYFUNCTION("""COMPUTED_VALUE"""),"Die 5 besten GEO-Agenturen in Deutschland 2026 (Liste)")</f>
        <v>Die 5 besten GEO-Agenturen in Deutschland 2026 (Liste)</v>
      </c>
      <c r="C2" s="8" t="str">
        <f>IFERROR(__xludf.DUMMYFUNCTION("""COMPUTED_VALUE"""),"youtube.com")</f>
        <v>youtube.com</v>
      </c>
      <c r="D2" s="11" t="str">
        <f>IFERROR(__xludf.DUMMYFUNCTION("""COMPUTED_VALUE"""),"LISTICLE")</f>
        <v>LISTICLE</v>
      </c>
      <c r="E2" s="11" t="str">
        <f>IFERROR(__xludf.DUMMYFUNCTION("""COMPUTED_VALUE"""),"UGC")</f>
        <v>UGC</v>
      </c>
      <c r="F2" s="11" t="str">
        <f>IFERROR(__xludf.DUMMYFUNCTION("""COMPUTED_VALUE"""),"Listicle")</f>
        <v>Listicle</v>
      </c>
      <c r="G2" s="11" t="b">
        <f>IFERROR(__xludf.DUMMYFUNCTION("""COMPUTED_VALUE"""),FALSE)</f>
        <v>0</v>
      </c>
      <c r="H2" s="11" t="str">
        <f>IFERROR(__xludf.DUMMYFUNCTION("""COMPUTED_VALUE"""),"Claneo")</f>
        <v>Claneo</v>
      </c>
      <c r="I2" s="11">
        <f>IFERROR(__xludf.DUMMYFUNCTION("""COMPUTED_VALUE"""),19.0)</f>
        <v>19</v>
      </c>
      <c r="J2" s="11">
        <f>IFERROR(__xludf.DUMMYFUNCTION("""COMPUTED_VALUE"""),0.02)</f>
        <v>0.02</v>
      </c>
      <c r="K2" s="11">
        <f>IFERROR(__xludf.DUMMYFUNCTION("""COMPUTED_VALUE"""),0.68)</f>
        <v>0.68</v>
      </c>
    </row>
    <row r="3" ht="15.75" customHeight="1">
      <c r="A3" s="8" t="str">
        <f>IFERROR(__xludf.DUMMYFUNCTION("""COMPUTED_VALUE"""),"https://www.youtube.com/watch?v=iUNdeZPBkbk")</f>
        <v>https://www.youtube.com/watch?v=iUNdeZPBkbk</v>
      </c>
      <c r="B3" s="11" t="str">
        <f>IFERROR(__xludf.DUMMYFUNCTION("""COMPUTED_VALUE"""),"15 Best AI Digital Marketing Agencies in Germany (2026) | You NEED These AI Agencies!")</f>
        <v>15 Best AI Digital Marketing Agencies in Germany (2026) | You NEED These AI Agencies!</v>
      </c>
      <c r="C3" s="8" t="str">
        <f>IFERROR(__xludf.DUMMYFUNCTION("""COMPUTED_VALUE"""),"youtube.com")</f>
        <v>youtube.com</v>
      </c>
      <c r="D3" s="11" t="str">
        <f>IFERROR(__xludf.DUMMYFUNCTION("""COMPUTED_VALUE"""),"LISTICLE")</f>
        <v>LISTICLE</v>
      </c>
      <c r="E3" s="11" t="str">
        <f>IFERROR(__xludf.DUMMYFUNCTION("""COMPUTED_VALUE"""),"UGC")</f>
        <v>UGC</v>
      </c>
      <c r="F3" s="11" t="str">
        <f>IFERROR(__xludf.DUMMYFUNCTION("""COMPUTED_VALUE"""),"Listicle")</f>
        <v>Listicle</v>
      </c>
      <c r="G3" s="11" t="b">
        <f>IFERROR(__xludf.DUMMYFUNCTION("""COMPUTED_VALUE"""),FALSE)</f>
        <v>0</v>
      </c>
      <c r="H3" s="11" t="str">
        <f>IFERROR(__xludf.DUMMYFUNCTION("""COMPUTED_VALUE"""),"HikeMyTraffic")</f>
        <v>HikeMyTraffic</v>
      </c>
      <c r="I3" s="11">
        <f>IFERROR(__xludf.DUMMYFUNCTION("""COMPUTED_VALUE"""),11.0)</f>
        <v>11</v>
      </c>
      <c r="J3" s="11">
        <f>IFERROR(__xludf.DUMMYFUNCTION("""COMPUTED_VALUE"""),0.01)</f>
        <v>0.01</v>
      </c>
      <c r="K3" s="11">
        <f>IFERROR(__xludf.DUMMYFUNCTION("""COMPUTED_VALUE"""),1.09)</f>
        <v>1.09</v>
      </c>
    </row>
    <row r="4" ht="15.75" customHeight="1">
      <c r="A4" s="8" t="str">
        <f>IFERROR(__xludf.DUMMYFUNCTION("""COMPUTED_VALUE"""),"https://www.youtube.com/watch?v=4L7On3IGqKQ")</f>
        <v>https://www.youtube.com/watch?v=4L7On3IGqKQ</v>
      </c>
      <c r="B4" s="11" t="str">
        <f>IFERROR(__xludf.DUMMYFUNCTION("""COMPUTED_VALUE"""),"What Are the Best Generative Engine Optimization (GEO) Agencies in Germany?")</f>
        <v>What Are the Best Generative Engine Optimization (GEO) Agencies in Germany?</v>
      </c>
      <c r="C4" s="8" t="str">
        <f>IFERROR(__xludf.DUMMYFUNCTION("""COMPUTED_VALUE"""),"youtube.com")</f>
        <v>youtube.com</v>
      </c>
      <c r="D4" s="11" t="str">
        <f>IFERROR(__xludf.DUMMYFUNCTION("""COMPUTED_VALUE"""),"LISTICLE")</f>
        <v>LISTICLE</v>
      </c>
      <c r="E4" s="11" t="str">
        <f>IFERROR(__xludf.DUMMYFUNCTION("""COMPUTED_VALUE"""),"UGC")</f>
        <v>UGC</v>
      </c>
      <c r="F4" s="11" t="str">
        <f>IFERROR(__xludf.DUMMYFUNCTION("""COMPUTED_VALUE"""),"Listicle")</f>
        <v>Listicle</v>
      </c>
      <c r="G4" s="11" t="b">
        <f>IFERROR(__xludf.DUMMYFUNCTION("""COMPUTED_VALUE"""),FALSE)</f>
        <v>0</v>
      </c>
      <c r="H4" s="11" t="str">
        <f>IFERROR(__xludf.DUMMYFUNCTION("""COMPUTED_VALUE"""),"Huge, Brainlabs")</f>
        <v>Huge, Brainlabs</v>
      </c>
      <c r="I4" s="11">
        <f>IFERROR(__xludf.DUMMYFUNCTION("""COMPUTED_VALUE"""),8.0)</f>
        <v>8</v>
      </c>
      <c r="J4" s="11">
        <f>IFERROR(__xludf.DUMMYFUNCTION("""COMPUTED_VALUE"""),0.01)</f>
        <v>0.01</v>
      </c>
      <c r="K4" s="11">
        <f>IFERROR(__xludf.DUMMYFUNCTION("""COMPUTED_VALUE"""),1.13)</f>
        <v>1.13</v>
      </c>
    </row>
    <row r="5" ht="15.75" customHeight="1">
      <c r="A5" s="8" t="str">
        <f>IFERROR(__xludf.DUMMYFUNCTION("""COMPUTED_VALUE"""),"https://www.youtube.com/watch?v=yqAWlB2swWU")</f>
        <v>https://www.youtube.com/watch?v=yqAWlB2swWU</v>
      </c>
      <c r="B5" s="11" t="str">
        <f>IFERROR(__xludf.DUMMYFUNCTION("""COMPUTED_VALUE"""),"AI SEO Guide 2026: In ChatGPT gefunden werden (GEO, AEO, LLMO)")</f>
        <v>AI SEO Guide 2026: In ChatGPT gefunden werden (GEO, AEO, LLMO)</v>
      </c>
      <c r="C5" s="8" t="str">
        <f>IFERROR(__xludf.DUMMYFUNCTION("""COMPUTED_VALUE"""),"youtube.com")</f>
        <v>youtube.com</v>
      </c>
      <c r="D5" s="11" t="str">
        <f>IFERROR(__xludf.DUMMYFUNCTION("""COMPUTED_VALUE"""),"HOW_TO_GUIDE")</f>
        <v>HOW_TO_GUIDE</v>
      </c>
      <c r="E5" s="11" t="str">
        <f>IFERROR(__xludf.DUMMYFUNCTION("""COMPUTED_VALUE"""),"UGC")</f>
        <v>UGC</v>
      </c>
      <c r="F5" s="11" t="str">
        <f>IFERROR(__xludf.DUMMYFUNCTION("""COMPUTED_VALUE"""),"How-To Guide")</f>
        <v>How-To Guide</v>
      </c>
      <c r="G5" s="11" t="b">
        <f>IFERROR(__xludf.DUMMYFUNCTION("""COMPUTED_VALUE"""),FALSE)</f>
        <v>0</v>
      </c>
      <c r="H5" s="11"/>
      <c r="I5" s="11">
        <f>IFERROR(__xludf.DUMMYFUNCTION("""COMPUTED_VALUE"""),5.0)</f>
        <v>5</v>
      </c>
      <c r="J5" s="11">
        <f>IFERROR(__xludf.DUMMYFUNCTION("""COMPUTED_VALUE"""),0.01)</f>
        <v>0.01</v>
      </c>
      <c r="K5" s="11">
        <f>IFERROR(__xludf.DUMMYFUNCTION("""COMPUTED_VALUE"""),1.0)</f>
        <v>1</v>
      </c>
    </row>
    <row r="6" ht="15.75" customHeight="1">
      <c r="A6" s="8" t="str">
        <f>IFERROR(__xludf.DUMMYFUNCTION("""COMPUTED_VALUE"""),"https://www.youtube.com/watch?v=7pP2AGlSn50")</f>
        <v>https://www.youtube.com/watch?v=7pP2AGlSn50</v>
      </c>
      <c r="B6" s="11" t="str">
        <f>IFERROR(__xludf.DUMMYFUNCTION("""COMPUTED_VALUE"""),"What Are the Best Generative Engine Optimization GEO Agencies in Gelsenkirchen?")</f>
        <v>What Are the Best Generative Engine Optimization GEO Agencies in Gelsenkirchen?</v>
      </c>
      <c r="C6" s="8" t="str">
        <f>IFERROR(__xludf.DUMMYFUNCTION("""COMPUTED_VALUE"""),"youtube.com")</f>
        <v>youtube.com</v>
      </c>
      <c r="D6" s="11" t="str">
        <f>IFERROR(__xludf.DUMMYFUNCTION("""COMPUTED_VALUE"""),"LISTICLE")</f>
        <v>LISTICLE</v>
      </c>
      <c r="E6" s="11" t="str">
        <f>IFERROR(__xludf.DUMMYFUNCTION("""COMPUTED_VALUE"""),"UGC")</f>
        <v>UGC</v>
      </c>
      <c r="F6" s="11" t="str">
        <f>IFERROR(__xludf.DUMMYFUNCTION("""COMPUTED_VALUE"""),"Listicle")</f>
        <v>Listicle</v>
      </c>
      <c r="G6" s="11" t="b">
        <f>IFERROR(__xludf.DUMMYFUNCTION("""COMPUTED_VALUE"""),FALSE)</f>
        <v>0</v>
      </c>
      <c r="H6" s="11"/>
      <c r="I6" s="11">
        <f>IFERROR(__xludf.DUMMYFUNCTION("""COMPUTED_VALUE"""),4.0)</f>
        <v>4</v>
      </c>
      <c r="J6" s="11">
        <f>IFERROR(__xludf.DUMMYFUNCTION("""COMPUTED_VALUE"""),0.0)</f>
        <v>0</v>
      </c>
      <c r="K6" s="11">
        <f>IFERROR(__xludf.DUMMYFUNCTION("""COMPUTED_VALUE"""),7.5)</f>
        <v>7.5</v>
      </c>
    </row>
    <row r="7" ht="15.75" customHeight="1">
      <c r="A7" s="8" t="str">
        <f>IFERROR(__xludf.DUMMYFUNCTION("""COMPUTED_VALUE"""),"https://www.youtube.com/watch?v=JmDHPizWIOA")</f>
        <v>https://www.youtube.com/watch?v=JmDHPizWIOA</v>
      </c>
      <c r="B7" s="11" t="str">
        <f>IFERROR(__xludf.DUMMYFUNCTION("""COMPUTED_VALUE"""),"What Are the Best Generative Engine Optimization (GEO) Agencies in Germany")</f>
        <v>What Are the Best Generative Engine Optimization (GEO) Agencies in Germany</v>
      </c>
      <c r="C7" s="8" t="str">
        <f>IFERROR(__xludf.DUMMYFUNCTION("""COMPUTED_VALUE"""),"youtube.com")</f>
        <v>youtube.com</v>
      </c>
      <c r="D7" s="11" t="str">
        <f>IFERROR(__xludf.DUMMYFUNCTION("""COMPUTED_VALUE"""),"ARTICLE")</f>
        <v>ARTICLE</v>
      </c>
      <c r="E7" s="11" t="str">
        <f>IFERROR(__xludf.DUMMYFUNCTION("""COMPUTED_VALUE"""),"UGC")</f>
        <v>UGC</v>
      </c>
      <c r="F7" s="11" t="str">
        <f>IFERROR(__xludf.DUMMYFUNCTION("""COMPUTED_VALUE"""),"Article")</f>
        <v>Article</v>
      </c>
      <c r="G7" s="11" t="b">
        <f>IFERROR(__xludf.DUMMYFUNCTION("""COMPUTED_VALUE"""),FALSE)</f>
        <v>0</v>
      </c>
      <c r="H7" s="11"/>
      <c r="I7" s="11">
        <f>IFERROR(__xludf.DUMMYFUNCTION("""COMPUTED_VALUE"""),4.0)</f>
        <v>4</v>
      </c>
      <c r="J7" s="11">
        <f>IFERROR(__xludf.DUMMYFUNCTION("""COMPUTED_VALUE"""),0.0)</f>
        <v>0</v>
      </c>
      <c r="K7" s="11">
        <f>IFERROR(__xludf.DUMMYFUNCTION("""COMPUTED_VALUE"""),0.0)</f>
        <v>0</v>
      </c>
    </row>
    <row r="8" ht="15.75" customHeight="1">
      <c r="A8" s="8" t="str">
        <f>IFERROR(__xludf.DUMMYFUNCTION("""COMPUTED_VALUE"""),"https://www.youtube.com/watch?v=00C1PZt8bLw&amp;vl=en")</f>
        <v>https://www.youtube.com/watch?v=00C1PZt8bLw&amp;vl=en</v>
      </c>
      <c r="B8" s="11" t="str">
        <f>IFERROR(__xludf.DUMMYFUNCTION("""COMPUTED_VALUE"""),"Best GEO agencies in Germany")</f>
        <v>Best GEO agencies in Germany</v>
      </c>
      <c r="C8" s="8" t="str">
        <f>IFERROR(__xludf.DUMMYFUNCTION("""COMPUTED_VALUE"""),"youtube.com")</f>
        <v>youtube.com</v>
      </c>
      <c r="D8" s="11" t="str">
        <f>IFERROR(__xludf.DUMMYFUNCTION("""COMPUTED_VALUE"""),"LISTICLE")</f>
        <v>LISTICLE</v>
      </c>
      <c r="E8" s="11" t="str">
        <f>IFERROR(__xludf.DUMMYFUNCTION("""COMPUTED_VALUE"""),"UGC")</f>
        <v>UGC</v>
      </c>
      <c r="F8" s="11" t="str">
        <f>IFERROR(__xludf.DUMMYFUNCTION("""COMPUTED_VALUE"""),"Listicle")</f>
        <v>Listicle</v>
      </c>
      <c r="G8" s="11" t="b">
        <f>IFERROR(__xludf.DUMMYFUNCTION("""COMPUTED_VALUE"""),FALSE)</f>
        <v>0</v>
      </c>
      <c r="H8" s="11"/>
      <c r="I8" s="11">
        <f>IFERROR(__xludf.DUMMYFUNCTION("""COMPUTED_VALUE"""),3.0)</f>
        <v>3</v>
      </c>
      <c r="J8" s="11">
        <f>IFERROR(__xludf.DUMMYFUNCTION("""COMPUTED_VALUE"""),0.0)</f>
        <v>0</v>
      </c>
      <c r="K8" s="11">
        <f>IFERROR(__xludf.DUMMYFUNCTION("""COMPUTED_VALUE"""),1.0)</f>
        <v>1</v>
      </c>
    </row>
    <row r="9" ht="15.75" customHeight="1">
      <c r="A9" s="8" t="str">
        <f>IFERROR(__xludf.DUMMYFUNCTION("""COMPUTED_VALUE"""),"https://www.youtube.com/watch?v=CS31tb_2rCc&amp;t=389")</f>
        <v>https://www.youtube.com/watch?v=CS31tb_2rCc&amp;t=389</v>
      </c>
      <c r="B9" s="11" t="str">
        <f>IFERROR(__xludf.DUMMYFUNCTION("""COMPUTED_VALUE"""),"Die BESTEN AI Tools für deutsche Agenturen")</f>
        <v>Die BESTEN AI Tools für deutsche Agenturen</v>
      </c>
      <c r="C9" s="8" t="str">
        <f>IFERROR(__xludf.DUMMYFUNCTION("""COMPUTED_VALUE"""),"youtube.com")</f>
        <v>youtube.com</v>
      </c>
      <c r="D9" s="11" t="str">
        <f>IFERROR(__xludf.DUMMYFUNCTION("""COMPUTED_VALUE"""),"LISTICLE")</f>
        <v>LISTICLE</v>
      </c>
      <c r="E9" s="11" t="str">
        <f>IFERROR(__xludf.DUMMYFUNCTION("""COMPUTED_VALUE"""),"UGC")</f>
        <v>UGC</v>
      </c>
      <c r="F9" s="11" t="str">
        <f>IFERROR(__xludf.DUMMYFUNCTION("""COMPUTED_VALUE"""),"Listicle")</f>
        <v>Listicle</v>
      </c>
      <c r="G9" s="11" t="b">
        <f>IFERROR(__xludf.DUMMYFUNCTION("""COMPUTED_VALUE"""),FALSE)</f>
        <v>0</v>
      </c>
      <c r="H9" s="11" t="str">
        <f>IFERROR(__xludf.DUMMYFUNCTION("""COMPUTED_VALUE"""),"EY")</f>
        <v>EY</v>
      </c>
      <c r="I9" s="11">
        <f>IFERROR(__xludf.DUMMYFUNCTION("""COMPUTED_VALUE"""),1.0)</f>
        <v>1</v>
      </c>
      <c r="J9" s="11">
        <f>IFERROR(__xludf.DUMMYFUNCTION("""COMPUTED_VALUE"""),0.0)</f>
        <v>0</v>
      </c>
      <c r="K9" s="11">
        <f>IFERROR(__xludf.DUMMYFUNCTION("""COMPUTED_VALUE"""),1.0)</f>
        <v>1</v>
      </c>
    </row>
    <row r="10" ht="15.75" customHeight="1">
      <c r="A10" s="8" t="str">
        <f>IFERROR(__xludf.DUMMYFUNCTION("""COMPUTED_VALUE"""),"https://www.youtube.com/watch?v=GCuRtQenQ80&amp;t=153")</f>
        <v>https://www.youtube.com/watch?v=GCuRtQenQ80&amp;t=153</v>
      </c>
      <c r="B10" s="11" t="str">
        <f>IFERROR(__xludf.DUMMYFUNCTION("""COMPUTED_VALUE"""),"The 10 best AI tools for your business")</f>
        <v>The 10 best AI tools for your business</v>
      </c>
      <c r="C10" s="8" t="str">
        <f>IFERROR(__xludf.DUMMYFUNCTION("""COMPUTED_VALUE"""),"youtube.com")</f>
        <v>youtube.com</v>
      </c>
      <c r="D10" s="11" t="str">
        <f>IFERROR(__xludf.DUMMYFUNCTION("""COMPUTED_VALUE"""),"LISTICLE")</f>
        <v>LISTICLE</v>
      </c>
      <c r="E10" s="11" t="str">
        <f>IFERROR(__xludf.DUMMYFUNCTION("""COMPUTED_VALUE"""),"UGC")</f>
        <v>UGC</v>
      </c>
      <c r="F10" s="11" t="str">
        <f>IFERROR(__xludf.DUMMYFUNCTION("""COMPUTED_VALUE"""),"Listicle")</f>
        <v>Listicle</v>
      </c>
      <c r="G10" s="11" t="b">
        <f>IFERROR(__xludf.DUMMYFUNCTION("""COMPUTED_VALUE"""),FALSE)</f>
        <v>0</v>
      </c>
      <c r="H10" s="11"/>
      <c r="I10" s="11">
        <f>IFERROR(__xludf.DUMMYFUNCTION("""COMPUTED_VALUE"""),1.0)</f>
        <v>1</v>
      </c>
      <c r="J10" s="11">
        <f>IFERROR(__xludf.DUMMYFUNCTION("""COMPUTED_VALUE"""),0.0)</f>
        <v>0</v>
      </c>
      <c r="K10" s="11">
        <f>IFERROR(__xludf.DUMMYFUNCTION("""COMPUTED_VALUE"""),1.0)</f>
        <v>1</v>
      </c>
    </row>
    <row r="11" ht="15.75" customHeight="1">
      <c r="A11" s="8" t="str">
        <f>IFERROR(__xludf.DUMMYFUNCTION("""COMPUTED_VALUE"""),"https://www.youtube.com/watch?v=JwCJmenpGKQ&amp;t=75")</f>
        <v>https://www.youtube.com/watch?v=JwCJmenpGKQ&amp;t=75</v>
      </c>
      <c r="B11" s="11" t="str">
        <f>IFERROR(__xludf.DUMMYFUNCTION("""COMPUTED_VALUE"""),"#OMR26")</f>
        <v>#OMR26</v>
      </c>
      <c r="C11" s="8" t="str">
        <f>IFERROR(__xludf.DUMMYFUNCTION("""COMPUTED_VALUE"""),"youtube.com")</f>
        <v>youtube.com</v>
      </c>
      <c r="D11" s="11" t="str">
        <f>IFERROR(__xludf.DUMMYFUNCTION("""COMPUTED_VALUE"""),"OTHER")</f>
        <v>OTHER</v>
      </c>
      <c r="E11" s="11" t="str">
        <f>IFERROR(__xludf.DUMMYFUNCTION("""COMPUTED_VALUE"""),"UGC")</f>
        <v>UGC</v>
      </c>
      <c r="F11" s="11" t="str">
        <f>IFERROR(__xludf.DUMMYFUNCTION("""COMPUTED_VALUE"""),"Other")</f>
        <v>Other</v>
      </c>
      <c r="G11" s="11" t="b">
        <f>IFERROR(__xludf.DUMMYFUNCTION("""COMPUTED_VALUE"""),FALSE)</f>
        <v>0</v>
      </c>
      <c r="H11" s="11" t="str">
        <f>IFERROR(__xludf.DUMMYFUNCTION("""COMPUTED_VALUE"""),"Claneo, Haus, Pilot")</f>
        <v>Claneo, Haus, Pilot</v>
      </c>
      <c r="I11" s="11">
        <f>IFERROR(__xludf.DUMMYFUNCTION("""COMPUTED_VALUE"""),1.0)</f>
        <v>1</v>
      </c>
      <c r="J11" s="11">
        <f>IFERROR(__xludf.DUMMYFUNCTION("""COMPUTED_VALUE"""),0.0)</f>
        <v>0</v>
      </c>
      <c r="K11" s="11">
        <f>IFERROR(__xludf.DUMMYFUNCTION("""COMPUTED_VALUE"""),1.0)</f>
        <v>1</v>
      </c>
    </row>
    <row r="12" ht="15.75" customHeight="1">
      <c r="A12" s="8" t="str">
        <f>IFERROR(__xludf.DUMMYFUNCTION("""COMPUTED_VALUE"""),"https://www.youtube.com/watch?v=LPvRUxJ5J1E&amp;t=45")</f>
        <v>https://www.youtube.com/watch?v=LPvRUxJ5J1E&amp;t=45</v>
      </c>
      <c r="B12" s="11" t="str">
        <f>IFERROR(__xludf.DUMMYFUNCTION("""COMPUTED_VALUE"""),"Incrementality Testing and Marketing ROI with Aleksandra Semenenko - Data Coffee")</f>
        <v>Incrementality Testing and Marketing ROI with Aleksandra Semenenko - Data Coffee</v>
      </c>
      <c r="C12" s="8" t="str">
        <f>IFERROR(__xludf.DUMMYFUNCTION("""COMPUTED_VALUE"""),"youtube.com")</f>
        <v>youtube.com</v>
      </c>
      <c r="D12" s="11" t="str">
        <f>IFERROR(__xludf.DUMMYFUNCTION("""COMPUTED_VALUE"""),"ARTICLE")</f>
        <v>ARTICLE</v>
      </c>
      <c r="E12" s="11" t="str">
        <f>IFERROR(__xludf.DUMMYFUNCTION("""COMPUTED_VALUE"""),"UGC")</f>
        <v>UGC</v>
      </c>
      <c r="F12" s="11" t="str">
        <f>IFERROR(__xludf.DUMMYFUNCTION("""COMPUTED_VALUE"""),"Article")</f>
        <v>Article</v>
      </c>
      <c r="G12" s="11" t="b">
        <f>IFERROR(__xludf.DUMMYFUNCTION("""COMPUTED_VALUE"""),FALSE)</f>
        <v>0</v>
      </c>
      <c r="H12" s="11" t="str">
        <f>IFERROR(__xludf.DUMMYFUNCTION("""COMPUTED_VALUE"""),"Huge")</f>
        <v>Huge</v>
      </c>
      <c r="I12" s="11">
        <f>IFERROR(__xludf.DUMMYFUNCTION("""COMPUTED_VALUE"""),1.0)</f>
        <v>1</v>
      </c>
      <c r="J12" s="11">
        <f>IFERROR(__xludf.DUMMYFUNCTION("""COMPUTED_VALUE"""),0.0)</f>
        <v>0</v>
      </c>
      <c r="K12" s="11">
        <f>IFERROR(__xludf.DUMMYFUNCTION("""COMPUTED_VALUE"""),1.0)</f>
        <v>1</v>
      </c>
    </row>
    <row r="13" ht="15.75" customHeight="1">
      <c r="A13" s="8" t="str">
        <f>IFERROR(__xludf.DUMMYFUNCTION("""COMPUTED_VALUE"""),"https://www.youtube.com/watch?v=NXkXQbQ9-kk&amp;vl=de-DE")</f>
        <v>https://www.youtube.com/watch?v=NXkXQbQ9-kk&amp;vl=de-DE</v>
      </c>
      <c r="B13" s="11" t="str">
        <f>IFERROR(__xludf.DUMMYFUNCTION("""COMPUTED_VALUE"""),"Best AI Tools for Generative Engine Optimization (GEO)")</f>
        <v>Best AI Tools for Generative Engine Optimization (GEO)</v>
      </c>
      <c r="C13" s="8" t="str">
        <f>IFERROR(__xludf.DUMMYFUNCTION("""COMPUTED_VALUE"""),"youtube.com")</f>
        <v>youtube.com</v>
      </c>
      <c r="D13" s="11" t="str">
        <f>IFERROR(__xludf.DUMMYFUNCTION("""COMPUTED_VALUE"""),"LISTICLE")</f>
        <v>LISTICLE</v>
      </c>
      <c r="E13" s="11" t="str">
        <f>IFERROR(__xludf.DUMMYFUNCTION("""COMPUTED_VALUE"""),"UGC")</f>
        <v>UGC</v>
      </c>
      <c r="F13" s="11" t="str">
        <f>IFERROR(__xludf.DUMMYFUNCTION("""COMPUTED_VALUE"""),"Listicle")</f>
        <v>Listicle</v>
      </c>
      <c r="G13" s="11" t="b">
        <f>IFERROR(__xludf.DUMMYFUNCTION("""COMPUTED_VALUE"""),FALSE)</f>
        <v>0</v>
      </c>
      <c r="H13" s="11"/>
      <c r="I13" s="11">
        <f>IFERROR(__xludf.DUMMYFUNCTION("""COMPUTED_VALUE"""),1.0)</f>
        <v>1</v>
      </c>
      <c r="J13" s="11">
        <f>IFERROR(__xludf.DUMMYFUNCTION("""COMPUTED_VALUE"""),0.0)</f>
        <v>0</v>
      </c>
      <c r="K13" s="11">
        <f>IFERROR(__xludf.DUMMYFUNCTION("""COMPUTED_VALUE"""),1.0)</f>
        <v>1</v>
      </c>
    </row>
    <row r="14" ht="15.75" customHeight="1">
      <c r="A14" s="8" t="str">
        <f>IFERROR(__xludf.DUMMYFUNCTION("""COMPUTED_VALUE"""),"https://www.youtube.com/watch?v=WD-3boLVluY&amp;vl=de&amp;t=368")</f>
        <v>https://www.youtube.com/watch?v=WD-3boLVluY&amp;vl=de&amp;t=368</v>
      </c>
      <c r="B14" s="11" t="str">
        <f>IFERROR(__xludf.DUMMYFUNCTION("""COMPUTED_VALUE"""),"The 2026 Playbook: Generative Engine Optimization &amp; LLMO")</f>
        <v>The 2026 Playbook: Generative Engine Optimization &amp; LLMO</v>
      </c>
      <c r="C14" s="8" t="str">
        <f>IFERROR(__xludf.DUMMYFUNCTION("""COMPUTED_VALUE"""),"youtube.com")</f>
        <v>youtube.com</v>
      </c>
      <c r="D14" s="11" t="str">
        <f>IFERROR(__xludf.DUMMYFUNCTION("""COMPUTED_VALUE"""),"HOW_TO_GUIDE")</f>
        <v>HOW_TO_GUIDE</v>
      </c>
      <c r="E14" s="11" t="str">
        <f>IFERROR(__xludf.DUMMYFUNCTION("""COMPUTED_VALUE"""),"UGC")</f>
        <v>UGC</v>
      </c>
      <c r="F14" s="11" t="str">
        <f>IFERROR(__xludf.DUMMYFUNCTION("""COMPUTED_VALUE"""),"How-To Guide")</f>
        <v>How-To Guide</v>
      </c>
      <c r="G14" s="11" t="b">
        <f>IFERROR(__xludf.DUMMYFUNCTION("""COMPUTED_VALUE"""),FALSE)</f>
        <v>0</v>
      </c>
      <c r="H14" s="11"/>
      <c r="I14" s="11">
        <f>IFERROR(__xludf.DUMMYFUNCTION("""COMPUTED_VALUE"""),1.0)</f>
        <v>1</v>
      </c>
      <c r="J14" s="11">
        <f>IFERROR(__xludf.DUMMYFUNCTION("""COMPUTED_VALUE"""),0.0)</f>
        <v>0</v>
      </c>
      <c r="K14" s="11">
        <f>IFERROR(__xludf.DUMMYFUNCTION("""COMPUTED_VALUE"""),1.0)</f>
        <v>1</v>
      </c>
    </row>
    <row r="15" ht="15.75" customHeight="1">
      <c r="A15" s="8" t="str">
        <f>IFERROR(__xludf.DUMMYFUNCTION("""COMPUTED_VALUE"""),"https://www.youtube.com/watch?v=XhMbeN7cH34&amp;vl=de&amp;t=707")</f>
        <v>https://www.youtube.com/watch?v=XhMbeN7cH34&amp;vl=de&amp;t=707</v>
      </c>
      <c r="B15" s="11" t="str">
        <f>IFERROR(__xludf.DUMMYFUNCTION("""COMPUTED_VALUE"""),"Incrementality Testing: How to Actually Measure Marketing Effectiveness (2026)")</f>
        <v>Incrementality Testing: How to Actually Measure Marketing Effectiveness (2026)</v>
      </c>
      <c r="C15" s="8" t="str">
        <f>IFERROR(__xludf.DUMMYFUNCTION("""COMPUTED_VALUE"""),"youtube.com")</f>
        <v>youtube.com</v>
      </c>
      <c r="D15" s="11" t="str">
        <f>IFERROR(__xludf.DUMMYFUNCTION("""COMPUTED_VALUE"""),"ARTICLE")</f>
        <v>ARTICLE</v>
      </c>
      <c r="E15" s="11" t="str">
        <f>IFERROR(__xludf.DUMMYFUNCTION("""COMPUTED_VALUE"""),"UGC")</f>
        <v>UGC</v>
      </c>
      <c r="F15" s="11" t="str">
        <f>IFERROR(__xludf.DUMMYFUNCTION("""COMPUTED_VALUE"""),"Article")</f>
        <v>Article</v>
      </c>
      <c r="G15" s="11" t="b">
        <f>IFERROR(__xludf.DUMMYFUNCTION("""COMPUTED_VALUE"""),FALSE)</f>
        <v>0</v>
      </c>
      <c r="H15" s="11" t="str">
        <f>IFERROR(__xludf.DUMMYFUNCTION("""COMPUTED_VALUE"""),"Recast")</f>
        <v>Recast</v>
      </c>
      <c r="I15" s="11">
        <f>IFERROR(__xludf.DUMMYFUNCTION("""COMPUTED_VALUE"""),1.0)</f>
        <v>1</v>
      </c>
      <c r="J15" s="11">
        <f>IFERROR(__xludf.DUMMYFUNCTION("""COMPUTED_VALUE"""),0.0)</f>
        <v>0</v>
      </c>
      <c r="K15" s="11">
        <f>IFERROR(__xludf.DUMMYFUNCTION("""COMPUTED_VALUE"""),1.0)</f>
        <v>1</v>
      </c>
    </row>
    <row r="16" ht="15.75" customHeight="1">
      <c r="A16" s="8" t="str">
        <f>IFERROR(__xludf.DUMMYFUNCTION("""COMPUTED_VALUE"""),"https://www.youtube.com/watch?v=dtlZTULGX4A")</f>
        <v>https://www.youtube.com/watch?v=dtlZTULGX4A</v>
      </c>
      <c r="B16" s="11" t="str">
        <f>IFERROR(__xludf.DUMMYFUNCTION("""COMPUTED_VALUE"""),"GEO Keyword Research and Tracking AI Search Results For Your Main Keywords")</f>
        <v>GEO Keyword Research and Tracking AI Search Results For Your Main Keywords</v>
      </c>
      <c r="C16" s="8" t="str">
        <f>IFERROR(__xludf.DUMMYFUNCTION("""COMPUTED_VALUE"""),"youtube.com")</f>
        <v>youtube.com</v>
      </c>
      <c r="D16" s="11" t="str">
        <f>IFERROR(__xludf.DUMMYFUNCTION("""COMPUTED_VALUE"""),"HOW_TO_GUIDE")</f>
        <v>HOW_TO_GUIDE</v>
      </c>
      <c r="E16" s="11" t="str">
        <f>IFERROR(__xludf.DUMMYFUNCTION("""COMPUTED_VALUE"""),"UGC")</f>
        <v>UGC</v>
      </c>
      <c r="F16" s="11" t="str">
        <f>IFERROR(__xludf.DUMMYFUNCTION("""COMPUTED_VALUE"""),"How-To Guide")</f>
        <v>How-To Guide</v>
      </c>
      <c r="G16" s="11" t="b">
        <f>IFERROR(__xludf.DUMMYFUNCTION("""COMPUTED_VALUE"""),FALSE)</f>
        <v>0</v>
      </c>
      <c r="H16" s="11" t="str">
        <f>IFERROR(__xludf.DUMMYFUNCTION("""COMPUTED_VALUE"""),"Huge")</f>
        <v>Huge</v>
      </c>
      <c r="I16" s="11">
        <f>IFERROR(__xludf.DUMMYFUNCTION("""COMPUTED_VALUE"""),1.0)</f>
        <v>1</v>
      </c>
      <c r="J16" s="11">
        <f>IFERROR(__xludf.DUMMYFUNCTION("""COMPUTED_VALUE"""),0.0)</f>
        <v>0</v>
      </c>
      <c r="K16" s="11">
        <f>IFERROR(__xludf.DUMMYFUNCTION("""COMPUTED_VALUE"""),2.0)</f>
        <v>2</v>
      </c>
    </row>
    <row r="17" ht="15.75" customHeight="1">
      <c r="A17" s="8" t="str">
        <f>IFERROR(__xludf.DUMMYFUNCTION("""COMPUTED_VALUE"""),"https://www.youtube.com/watch?v=kfjxG-B28VY&amp;t=53")</f>
        <v>https://www.youtube.com/watch?v=kfjxG-B28VY&amp;t=53</v>
      </c>
      <c r="B17" s="11" t="str">
        <f>IFERROR(__xludf.DUMMYFUNCTION("""COMPUTED_VALUE"""),"Unlock True Marketing ROI: Incrementality Testing Explained (eBay Case Study) | Lifesight")</f>
        <v>Unlock True Marketing ROI: Incrementality Testing Explained (eBay Case Study) | Lifesight</v>
      </c>
      <c r="C17" s="8" t="str">
        <f>IFERROR(__xludf.DUMMYFUNCTION("""COMPUTED_VALUE"""),"youtube.com")</f>
        <v>youtube.com</v>
      </c>
      <c r="D17" s="11" t="str">
        <f>IFERROR(__xludf.DUMMYFUNCTION("""COMPUTED_VALUE"""),"ARTICLE")</f>
        <v>ARTICLE</v>
      </c>
      <c r="E17" s="11" t="str">
        <f>IFERROR(__xludf.DUMMYFUNCTION("""COMPUTED_VALUE"""),"UGC")</f>
        <v>UGC</v>
      </c>
      <c r="F17" s="11" t="str">
        <f>IFERROR(__xludf.DUMMYFUNCTION("""COMPUTED_VALUE"""),"Article")</f>
        <v>Article</v>
      </c>
      <c r="G17" s="11" t="b">
        <f>IFERROR(__xludf.DUMMYFUNCTION("""COMPUTED_VALUE"""),FALSE)</f>
        <v>0</v>
      </c>
      <c r="H17" s="11" t="str">
        <f>IFERROR(__xludf.DUMMYFUNCTION("""COMPUTED_VALUE"""),"LifeSight")</f>
        <v>LifeSight</v>
      </c>
      <c r="I17" s="11">
        <f>IFERROR(__xludf.DUMMYFUNCTION("""COMPUTED_VALUE"""),1.0)</f>
        <v>1</v>
      </c>
      <c r="J17" s="11">
        <f>IFERROR(__xludf.DUMMYFUNCTION("""COMPUTED_VALUE"""),0.0)</f>
        <v>0</v>
      </c>
      <c r="K17" s="11">
        <f>IFERROR(__xludf.DUMMYFUNCTION("""COMPUTED_VALUE"""),1.0)</f>
        <v>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s>
  <drawing r:id="rId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All'!A2:A1000)),""incubeta.com"")
  ),
  """"
)"),"https://incubeta.com/")</f>
        <v>https://incubeta.com/</v>
      </c>
      <c r="B2" s="11" t="str">
        <f>IFERROR(__xludf.DUMMYFUNCTION("""COMPUTED_VALUE"""),"Outperform Marketing With Incubeta Marketing Solutions")</f>
        <v>Outperform Marketing With Incubeta Marketing Solutions</v>
      </c>
      <c r="C2" s="8" t="str">
        <f>IFERROR(__xludf.DUMMYFUNCTION("""COMPUTED_VALUE"""),"incubeta.com")</f>
        <v>incubeta.com</v>
      </c>
      <c r="D2" s="11" t="str">
        <f>IFERROR(__xludf.DUMMYFUNCTION("""COMPUTED_VALUE"""),"HOMEPAGE")</f>
        <v>HOMEPAGE</v>
      </c>
      <c r="E2" s="11" t="str">
        <f>IFERROR(__xludf.DUMMYFUNCTION("""COMPUTED_VALUE"""),"OWN")</f>
        <v>OWN</v>
      </c>
      <c r="F2" s="11" t="str">
        <f>IFERROR(__xludf.DUMMYFUNCTION("""COMPUTED_VALUE"""),"Homepage")</f>
        <v>Homepage</v>
      </c>
      <c r="G2" s="11" t="b">
        <f>IFERROR(__xludf.DUMMYFUNCTION("""COMPUTED_VALUE"""),TRUE)</f>
        <v>1</v>
      </c>
      <c r="H2" s="11" t="str">
        <f>IFERROR(__xludf.DUMMYFUNCTION("""COMPUTED_VALUE"""),"Incubeta")</f>
        <v>Incubeta</v>
      </c>
      <c r="I2" s="11">
        <f>IFERROR(__xludf.DUMMYFUNCTION("""COMPUTED_VALUE"""),1.0)</f>
        <v>1</v>
      </c>
      <c r="J2" s="11">
        <f>IFERROR(__xludf.DUMMYFUNCTION("""COMPUTED_VALUE"""),0.0)</f>
        <v>0</v>
      </c>
      <c r="K2" s="11">
        <f>IFERROR(__xludf.DUMMYFUNCTION("""COMPUTED_VALUE"""),1.0)</f>
        <v>1</v>
      </c>
    </row>
    <row r="3" ht="15.75" customHeight="1">
      <c r="A3" s="8" t="str">
        <f>IFERROR(__xludf.DUMMYFUNCTION("""COMPUTED_VALUE"""),"https://incubeta.com/capabilities/marketing-intelligence/")</f>
        <v>https://incubeta.com/capabilities/marketing-intelligence/</v>
      </c>
      <c r="B3" s="11" t="str">
        <f>IFERROR(__xludf.DUMMYFUNCTION("""COMPUTED_VALUE"""),"Marketing Intelligence | Incubeta")</f>
        <v>Marketing Intelligence | Incubeta</v>
      </c>
      <c r="C3" s="8" t="str">
        <f>IFERROR(__xludf.DUMMYFUNCTION("""COMPUTED_VALUE"""),"incubeta.com")</f>
        <v>incubeta.com</v>
      </c>
      <c r="D3" s="11" t="str">
        <f>IFERROR(__xludf.DUMMYFUNCTION("""COMPUTED_VALUE"""),"PRODUCT_PAGE")</f>
        <v>PRODUCT_PAGE</v>
      </c>
      <c r="E3" s="11" t="str">
        <f>IFERROR(__xludf.DUMMYFUNCTION("""COMPUTED_VALUE"""),"OWN")</f>
        <v>OWN</v>
      </c>
      <c r="F3" s="11" t="str">
        <f>IFERROR(__xludf.DUMMYFUNCTION("""COMPUTED_VALUE"""),"Product Page")</f>
        <v>Product Page</v>
      </c>
      <c r="G3" s="11" t="b">
        <f>IFERROR(__xludf.DUMMYFUNCTION("""COMPUTED_VALUE"""),TRUE)</f>
        <v>1</v>
      </c>
      <c r="H3" s="11" t="str">
        <f>IFERROR(__xludf.DUMMYFUNCTION("""COMPUTED_VALUE"""),"Incubeta")</f>
        <v>Incubeta</v>
      </c>
      <c r="I3" s="11">
        <f>IFERROR(__xludf.DUMMYFUNCTION("""COMPUTED_VALUE"""),1.0)</f>
        <v>1</v>
      </c>
      <c r="J3" s="11">
        <f>IFERROR(__xludf.DUMMYFUNCTION("""COMPUTED_VALUE"""),0.0)</f>
        <v>0</v>
      </c>
      <c r="K3" s="11">
        <f>IFERROR(__xludf.DUMMYFUNCTION("""COMPUTED_VALUE"""),1.0)</f>
        <v>1</v>
      </c>
    </row>
    <row r="4" ht="15.75" customHeight="1">
      <c r="A4" s="8" t="str">
        <f>IFERROR(__xludf.DUMMYFUNCTION("""COMPUTED_VALUE"""),"https://incubeta.com/de/about-us/")</f>
        <v>https://incubeta.com/de/about-us/</v>
      </c>
      <c r="B4" s="11" t="str">
        <f>IFERROR(__xludf.DUMMYFUNCTION("""COMPUTED_VALUE"""),"über Uns | Incubeta")</f>
        <v>über Uns | Incubeta</v>
      </c>
      <c r="C4" s="8" t="str">
        <f>IFERROR(__xludf.DUMMYFUNCTION("""COMPUTED_VALUE"""),"incubeta.com")</f>
        <v>incubeta.com</v>
      </c>
      <c r="D4" s="11" t="str">
        <f>IFERROR(__xludf.DUMMYFUNCTION("""COMPUTED_VALUE"""),"OTHER")</f>
        <v>OTHER</v>
      </c>
      <c r="E4" s="11" t="str">
        <f>IFERROR(__xludf.DUMMYFUNCTION("""COMPUTED_VALUE"""),"OWN")</f>
        <v>OWN</v>
      </c>
      <c r="F4" s="11" t="str">
        <f>IFERROR(__xludf.DUMMYFUNCTION("""COMPUTED_VALUE"""),"Other")</f>
        <v>Other</v>
      </c>
      <c r="G4" s="11" t="b">
        <f>IFERROR(__xludf.DUMMYFUNCTION("""COMPUTED_VALUE"""),TRUE)</f>
        <v>1</v>
      </c>
      <c r="H4" s="11" t="str">
        <f>IFERROR(__xludf.DUMMYFUNCTION("""COMPUTED_VALUE"""),"Incubeta")</f>
        <v>Incubeta</v>
      </c>
      <c r="I4" s="11">
        <f>IFERROR(__xludf.DUMMYFUNCTION("""COMPUTED_VALUE"""),1.0)</f>
        <v>1</v>
      </c>
      <c r="J4" s="11">
        <f>IFERROR(__xludf.DUMMYFUNCTION("""COMPUTED_VALUE"""),0.0)</f>
        <v>0</v>
      </c>
      <c r="K4" s="11">
        <f>IFERROR(__xludf.DUMMYFUNCTION("""COMPUTED_VALUE"""),1.0)</f>
        <v>1</v>
      </c>
    </row>
    <row r="5" ht="15.75" customHeight="1">
      <c r="A5" s="8" t="str">
        <f>IFERROR(__xludf.DUMMYFUNCTION("""COMPUTED_VALUE"""),"https://incubeta.com/de/find-us/berlin-germany/")</f>
        <v>https://incubeta.com/de/find-us/berlin-germany/</v>
      </c>
      <c r="B5" s="11" t="str">
        <f>IFERROR(__xludf.DUMMYFUNCTION("""COMPUTED_VALUE"""),"Berlin, DE | Incubeta")</f>
        <v>Berlin, DE | Incubeta</v>
      </c>
      <c r="C5" s="8" t="str">
        <f>IFERROR(__xludf.DUMMYFUNCTION("""COMPUTED_VALUE"""),"incubeta.com")</f>
        <v>incubeta.com</v>
      </c>
      <c r="D5" s="11" t="str">
        <f>IFERROR(__xludf.DUMMYFUNCTION("""COMPUTED_VALUE"""),"OTHER")</f>
        <v>OTHER</v>
      </c>
      <c r="E5" s="11" t="str">
        <f>IFERROR(__xludf.DUMMYFUNCTION("""COMPUTED_VALUE"""),"OWN")</f>
        <v>OWN</v>
      </c>
      <c r="F5" s="11" t="str">
        <f>IFERROR(__xludf.DUMMYFUNCTION("""COMPUTED_VALUE"""),"Other")</f>
        <v>Other</v>
      </c>
      <c r="G5" s="11" t="b">
        <f>IFERROR(__xludf.DUMMYFUNCTION("""COMPUTED_VALUE"""),TRUE)</f>
        <v>1</v>
      </c>
      <c r="H5" s="11" t="str">
        <f>IFERROR(__xludf.DUMMYFUNCTION("""COMPUTED_VALUE"""),"Incubeta")</f>
        <v>Incubeta</v>
      </c>
      <c r="I5" s="11">
        <f>IFERROR(__xludf.DUMMYFUNCTION("""COMPUTED_VALUE"""),1.0)</f>
        <v>1</v>
      </c>
      <c r="J5" s="11">
        <f>IFERROR(__xludf.DUMMYFUNCTION("""COMPUTED_VALUE"""),0.0)</f>
        <v>0</v>
      </c>
      <c r="K5" s="11">
        <f>IFERROR(__xludf.DUMMYFUNCTION("""COMPUTED_VALUE"""),1.0)</f>
        <v>1</v>
      </c>
    </row>
    <row r="6" ht="15.75" customHeight="1">
      <c r="A6" s="8" t="str">
        <f>IFERROR(__xludf.DUMMYFUNCTION("""COMPUTED_VALUE"""),"https://incubeta.com/find-us/munich-germany/")</f>
        <v>https://incubeta.com/find-us/munich-germany/</v>
      </c>
      <c r="B6" s="11" t="str">
        <f>IFERROR(__xludf.DUMMYFUNCTION("""COMPUTED_VALUE"""),"Munich, DE | Incubeta")</f>
        <v>Munich, DE | Incubeta</v>
      </c>
      <c r="C6" s="8" t="str">
        <f>IFERROR(__xludf.DUMMYFUNCTION("""COMPUTED_VALUE"""),"incubeta.com")</f>
        <v>incubeta.com</v>
      </c>
      <c r="D6" s="11" t="str">
        <f>IFERROR(__xludf.DUMMYFUNCTION("""COMPUTED_VALUE"""),"OTHER")</f>
        <v>OTHER</v>
      </c>
      <c r="E6" s="11" t="str">
        <f>IFERROR(__xludf.DUMMYFUNCTION("""COMPUTED_VALUE"""),"OWN")</f>
        <v>OWN</v>
      </c>
      <c r="F6" s="11" t="str">
        <f>IFERROR(__xludf.DUMMYFUNCTION("""COMPUTED_VALUE"""),"Other")</f>
        <v>Other</v>
      </c>
      <c r="G6" s="11" t="b">
        <f>IFERROR(__xludf.DUMMYFUNCTION("""COMPUTED_VALUE"""),TRUE)</f>
        <v>1</v>
      </c>
      <c r="H6" s="11" t="str">
        <f>IFERROR(__xludf.DUMMYFUNCTION("""COMPUTED_VALUE"""),"Incubeta")</f>
        <v>Incubeta</v>
      </c>
      <c r="I6" s="11">
        <f>IFERROR(__xludf.DUMMYFUNCTION("""COMPUTED_VALUE"""),1.0)</f>
        <v>1</v>
      </c>
      <c r="J6" s="11">
        <f>IFERROR(__xludf.DUMMYFUNCTION("""COMPUTED_VALUE"""),0.0)</f>
        <v>0</v>
      </c>
      <c r="K6" s="11">
        <f>IFERROR(__xludf.DUMMYFUNCTION("""COMPUTED_VALUE"""),1.0)</f>
        <v>1</v>
      </c>
    </row>
    <row r="7" ht="15.75" customHeight="1">
      <c r="A7" s="8" t="str">
        <f>IFERROR(__xludf.DUMMYFUNCTION("""COMPUTED_VALUE"""),"https://incubeta.com/news-and-resources/incubeta-dach-gcp-certification/")</f>
        <v>https://incubeta.com/news-and-resources/incubeta-dach-gcp-certification/</v>
      </c>
      <c r="B7" s="11" t="str">
        <f>IFERROR(__xludf.DUMMYFUNCTION("""COMPUTED_VALUE"""),"Incubeta DACH Achieves Google Cloud Partner Certification | Incubeta")</f>
        <v>Incubeta DACH Achieves Google Cloud Partner Certification | Incubeta</v>
      </c>
      <c r="C7" s="8" t="str">
        <f>IFERROR(__xludf.DUMMYFUNCTION("""COMPUTED_VALUE"""),"incubeta.com")</f>
        <v>incubeta.com</v>
      </c>
      <c r="D7" s="11" t="str">
        <f>IFERROR(__xludf.DUMMYFUNCTION("""COMPUTED_VALUE"""),"OTHER")</f>
        <v>OTHER</v>
      </c>
      <c r="E7" s="11" t="str">
        <f>IFERROR(__xludf.DUMMYFUNCTION("""COMPUTED_VALUE"""),"OWN")</f>
        <v>OWN</v>
      </c>
      <c r="F7" s="11" t="str">
        <f>IFERROR(__xludf.DUMMYFUNCTION("""COMPUTED_VALUE"""),"Other")</f>
        <v>Other</v>
      </c>
      <c r="G7" s="11" t="b">
        <f>IFERROR(__xludf.DUMMYFUNCTION("""COMPUTED_VALUE"""),TRUE)</f>
        <v>1</v>
      </c>
      <c r="H7" s="11" t="str">
        <f>IFERROR(__xludf.DUMMYFUNCTION("""COMPUTED_VALUE"""),"Incubeta")</f>
        <v>Incubeta</v>
      </c>
      <c r="I7" s="11">
        <f>IFERROR(__xludf.DUMMYFUNCTION("""COMPUTED_VALUE"""),1.0)</f>
        <v>1</v>
      </c>
      <c r="J7" s="11">
        <f>IFERROR(__xludf.DUMMYFUNCTION("""COMPUTED_VALUE"""),0.0)</f>
        <v>0</v>
      </c>
      <c r="K7" s="11">
        <f>IFERROR(__xludf.DUMMYFUNCTION("""COMPUTED_VALUE"""),1.0)</f>
        <v>1</v>
      </c>
    </row>
    <row r="8" ht="15.75" customHeight="1">
      <c r="A8" s="8" t="str">
        <f>IFERROR(__xludf.DUMMYFUNCTION("""COMPUTED_VALUE"""),"https://incubeta.com/our-work/delivering-incrementality-for-superdrug/")</f>
        <v>https://incubeta.com/our-work/delivering-incrementality-for-superdrug/</v>
      </c>
      <c r="B8" s="11" t="str">
        <f>IFERROR(__xludf.DUMMYFUNCTION("""COMPUTED_VALUE"""),"Delivering Incrementality With Machine Learning | Incubeta")</f>
        <v>Delivering Incrementality With Machine Learning | Incubeta</v>
      </c>
      <c r="C8" s="8" t="str">
        <f>IFERROR(__xludf.DUMMYFUNCTION("""COMPUTED_VALUE"""),"incubeta.com")</f>
        <v>incubeta.com</v>
      </c>
      <c r="D8" s="11" t="str">
        <f>IFERROR(__xludf.DUMMYFUNCTION("""COMPUTED_VALUE"""),"ARTICLE")</f>
        <v>ARTICLE</v>
      </c>
      <c r="E8" s="11" t="str">
        <f>IFERROR(__xludf.DUMMYFUNCTION("""COMPUTED_VALUE"""),"OWN")</f>
        <v>OWN</v>
      </c>
      <c r="F8" s="11" t="str">
        <f>IFERROR(__xludf.DUMMYFUNCTION("""COMPUTED_VALUE"""),"Article")</f>
        <v>Article</v>
      </c>
      <c r="G8" s="11" t="b">
        <f>IFERROR(__xludf.DUMMYFUNCTION("""COMPUTED_VALUE"""),TRUE)</f>
        <v>1</v>
      </c>
      <c r="H8" s="11" t="str">
        <f>IFERROR(__xludf.DUMMYFUNCTION("""COMPUTED_VALUE"""),"Incubeta")</f>
        <v>Incubeta</v>
      </c>
      <c r="I8" s="11">
        <f>IFERROR(__xludf.DUMMYFUNCTION("""COMPUTED_VALUE"""),1.0)</f>
        <v>1</v>
      </c>
      <c r="J8" s="11">
        <f>IFERROR(__xludf.DUMMYFUNCTION("""COMPUTED_VALUE"""),0.0)</f>
        <v>0</v>
      </c>
      <c r="K8" s="11">
        <f>IFERROR(__xludf.DUMMYFUNCTION("""COMPUTED_VALUE"""),1.0)</f>
        <v>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All'!A2:A1000)),""instagram"")
  ),
  """"
)"),"https://www.sortlist.de/s/instagram-werbung/deutschland-de")</f>
        <v>https://www.sortlist.de/s/instagram-werbung/deutschland-de</v>
      </c>
      <c r="B2" s="11" t="str">
        <f>IFERROR(__xludf.DUMMYFUNCTION("""COMPUTED_VALUE"""),"Unsere 10 Besten Instagram Werbung Agenturen in Deutschland - 2026 Bewertungen")</f>
        <v>Unsere 10 Besten Instagram Werbung Agenturen in Deutschland - 2026 Bewertungen</v>
      </c>
      <c r="C2" s="8" t="str">
        <f>IFERROR(__xludf.DUMMYFUNCTION("""COMPUTED_VALUE"""),"sortlist.de")</f>
        <v>sortlist.de</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IFERROR(__xludf.DUMMYFUNCTION("""COMPUTED_VALUE"""),"KlickPiloten, PANORAMA3000, MONSOON, lehof, Triple Whale, Northbeam, Dreamdata")</f>
        <v>KlickPiloten, PANORAMA3000, MONSOON, lehof, Triple Whale, Northbeam, Dreamdata</v>
      </c>
      <c r="I2" s="11">
        <f>IFERROR(__xludf.DUMMYFUNCTION("""COMPUTED_VALUE"""),3.0)</f>
        <v>3</v>
      </c>
      <c r="J2" s="11">
        <f>IFERROR(__xludf.DUMMYFUNCTION("""COMPUTED_VALUE"""),0.0)</f>
        <v>0</v>
      </c>
      <c r="K2" s="11">
        <f>IFERROR(__xludf.DUMMYFUNCTION("""COMPUTED_VALUE"""),0.0)</f>
        <v>0</v>
      </c>
    </row>
    <row r="3" ht="15.75" customHeight="1">
      <c r="A3" s="8" t="str">
        <f>IFERROR(__xludf.DUMMYFUNCTION("""COMPUTED_VALUE"""),"https://www.instagram.com/serviceplan/")</f>
        <v>https://www.instagram.com/serviceplan/</v>
      </c>
      <c r="B3" s="11" t="str">
        <f>IFERROR(__xludf.DUMMYFUNCTION("""COMPUTED_VALUE"""),"Serviceplan Group (@serviceplan) • Instagram photos and videos")</f>
        <v>Serviceplan Group (@serviceplan) • Instagram photos and videos</v>
      </c>
      <c r="C3" s="8" t="str">
        <f>IFERROR(__xludf.DUMMYFUNCTION("""COMPUTED_VALUE"""),"instagram.com")</f>
        <v>instagram.com</v>
      </c>
      <c r="D3" s="11" t="str">
        <f>IFERROR(__xludf.DUMMYFUNCTION("""COMPUTED_VALUE"""),"OTHER")</f>
        <v>OTHER</v>
      </c>
      <c r="E3" s="11" t="str">
        <f>IFERROR(__xludf.DUMMYFUNCTION("""COMPUTED_VALUE"""),"UGC")</f>
        <v>UGC</v>
      </c>
      <c r="F3" s="11" t="str">
        <f>IFERROR(__xludf.DUMMYFUNCTION("""COMPUTED_VALUE"""),"Other")</f>
        <v>Other</v>
      </c>
      <c r="G3" s="11"/>
      <c r="H3" s="11" t="str">
        <f>IFERROR(__xludf.DUMMYFUNCTION("""COMPUTED_VALUE"""),"Unknown")</f>
        <v>Unknown</v>
      </c>
      <c r="I3" s="11">
        <f>IFERROR(__xludf.DUMMYFUNCTION("""COMPUTED_VALUE"""),1.0)</f>
        <v>1</v>
      </c>
      <c r="J3" s="11">
        <f>IFERROR(__xludf.DUMMYFUNCTION("""COMPUTED_VALUE"""),0.0)</f>
        <v>0</v>
      </c>
      <c r="K3" s="11">
        <f>IFERROR(__xludf.DUMMYFUNCTION("""COMPUTED_VALUE"""),1.0)</f>
        <v>1</v>
      </c>
    </row>
    <row r="4" ht="15.75" customHeight="1">
      <c r="A4" s="8" t="str">
        <f>IFERROR(__xludf.DUMMYFUNCTION("""COMPUTED_VALUE"""),"https://www.instagram.com/thjnk/")</f>
        <v>https://www.instagram.com/thjnk/</v>
      </c>
      <c r="B4" s="11"/>
      <c r="C4" s="8" t="str">
        <f>IFERROR(__xludf.DUMMYFUNCTION("""COMPUTED_VALUE"""),"instagram.com")</f>
        <v>instagram.com</v>
      </c>
      <c r="D4" s="11" t="str">
        <f>IFERROR(__xludf.DUMMYFUNCTION("""COMPUTED_VALUE"""),"OTHER")</f>
        <v>OTHER</v>
      </c>
      <c r="E4" s="11" t="str">
        <f>IFERROR(__xludf.DUMMYFUNCTION("""COMPUTED_VALUE"""),"OTHER")</f>
        <v>OTHER</v>
      </c>
      <c r="F4" s="11" t="str">
        <f>IFERROR(__xludf.DUMMYFUNCTION("""COMPUTED_VALUE"""),"Other")</f>
        <v>Other</v>
      </c>
      <c r="G4" s="11"/>
      <c r="H4" s="11" t="str">
        <f>IFERROR(__xludf.DUMMYFUNCTION("""COMPUTED_VALUE"""),"Unknown")</f>
        <v>Unknown</v>
      </c>
      <c r="I4" s="11">
        <f>IFERROR(__xludf.DUMMYFUNCTION("""COMPUTED_VALUE"""),1.0)</f>
        <v>1</v>
      </c>
      <c r="J4" s="11">
        <f>IFERROR(__xludf.DUMMYFUNCTION("""COMPUTED_VALUE"""),0.0)</f>
        <v>0</v>
      </c>
      <c r="K4" s="11">
        <f>IFERROR(__xludf.DUMMYFUNCTION("""COMPUTED_VALUE"""),1.0)</f>
        <v>1</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All'!A2:A1000)),""sortlist"")
  ),
  """"
)"),"https://www.sortlist.com/s/marketing/germany-de")</f>
        <v>https://www.sortlist.com/s/marketing/germany-de</v>
      </c>
      <c r="B2" s="11" t="str">
        <f>IFERROR(__xludf.DUMMYFUNCTION("""COMPUTED_VALUE"""),"The 10 Best Marketing Agencies in Germany - 2026 Reviews")</f>
        <v>The 10 Best Marketing Agencies in Germany - 2026 Reviews</v>
      </c>
      <c r="C2" s="8" t="str">
        <f>IFERROR(__xludf.DUMMYFUNCTION("""COMPUTED_VALUE"""),"sortlist.com")</f>
        <v>sortlist.com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lehof")</f>
        <v>MONSOON, lehof</v>
      </c>
      <c r="I2" s="11">
        <f>IFERROR(__xludf.DUMMYFUNCTION("""COMPUTED_VALUE"""),75.0)</f>
        <v>75</v>
      </c>
      <c r="J2" s="11">
        <f>IFERROR(__xludf.DUMMYFUNCTION("""COMPUTED_VALUE"""),0.08)</f>
        <v>0.08</v>
      </c>
      <c r="K2" s="11">
        <f>IFERROR(__xludf.DUMMYFUNCTION("""COMPUTED_VALUE"""),0.96)</f>
        <v>0.96</v>
      </c>
    </row>
    <row r="3" ht="15.75" customHeight="1">
      <c r="A3" s="8" t="str">
        <f>IFERROR(__xludf.DUMMYFUNCTION("""COMPUTED_VALUE"""),"https://www.sortlist.com/s/performance-marketing/germany-de")</f>
        <v>https://www.sortlist.com/s/performance-marketing/germany-de</v>
      </c>
      <c r="B3" s="11" t="str">
        <f>IFERROR(__xludf.DUMMYFUNCTION("""COMPUTED_VALUE"""),"The 10 Best Performance Marketing Agencies in Germany - 2026 Reviews")</f>
        <v>The 10 Best Performance Marketing Agencies in Germany - 2026 Reviews</v>
      </c>
      <c r="C3" s="8" t="str">
        <f>IFERROR(__xludf.DUMMYFUNCTION("""COMPUTED_VALUE"""),"sortlist.com")</f>
        <v>sortlist.com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IFERROR(__xludf.DUMMYFUNCTION("""COMPUTED_VALUE"""),"MONSOON, lehof, Triple Whale, Northbeam, Dreamdata, Mediacharge")</f>
        <v>MONSOON, lehof, Triple Whale, Northbeam, Dreamdata, Mediacharge</v>
      </c>
      <c r="I3" s="11">
        <f>IFERROR(__xludf.DUMMYFUNCTION("""COMPUTED_VALUE"""),62.0)</f>
        <v>62</v>
      </c>
      <c r="J3" s="11">
        <f>IFERROR(__xludf.DUMMYFUNCTION("""COMPUTED_VALUE"""),0.06)</f>
        <v>0.06</v>
      </c>
      <c r="K3" s="11">
        <f>IFERROR(__xludf.DUMMYFUNCTION("""COMPUTED_VALUE"""),1.35)</f>
        <v>1.35</v>
      </c>
    </row>
    <row r="4" ht="15.75" customHeight="1">
      <c r="A4" s="8" t="str">
        <f>IFERROR(__xludf.DUMMYFUNCTION("""COMPUTED_VALUE"""),"https://www.sortlist.com/s/artificial-intelligence/germany-de#:~:text=Adastra%20achieved%20Elite%20Partner%20Status,Worked%20in%20Retail%20(%2B10)")</f>
        <v>https://www.sortlist.com/s/artificial-intelligence/germany-de#:~:text=Adastra%20achieved%20Elite%20Partner%20Status,Worked%20in%20Retail%20(%2B10)</v>
      </c>
      <c r="B4" s="11" t="str">
        <f>IFERROR(__xludf.DUMMYFUNCTION("""COMPUTED_VALUE"""),"The 10 Best Artificial Intelligence Agencies in Germany - 2026 Reviews")</f>
        <v>The 10 Best Artificial Intelligence Agencies in Germany - 2026 Reviews</v>
      </c>
      <c r="C4" s="8"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IFERROR(__xludf.DUMMYFUNCTION("""COMPUTED_VALUE"""),"Momentum")</f>
        <v>Momentum</v>
      </c>
      <c r="I4" s="11">
        <f>IFERROR(__xludf.DUMMYFUNCTION("""COMPUTED_VALUE"""),50.0)</f>
        <v>50</v>
      </c>
      <c r="J4" s="11">
        <f>IFERROR(__xludf.DUMMYFUNCTION("""COMPUTED_VALUE"""),0.05)</f>
        <v>0.05</v>
      </c>
      <c r="K4" s="11">
        <f>IFERROR(__xludf.DUMMYFUNCTION("""COMPUTED_VALUE"""),0.62)</f>
        <v>0.62</v>
      </c>
    </row>
    <row r="5" ht="15.75" customHeight="1">
      <c r="A5" s="8" t="str">
        <f>IFERROR(__xludf.DUMMYFUNCTION("""COMPUTED_VALUE"""),"https://www.sortlist.com/s/display-advertising/germany-de")</f>
        <v>https://www.sortlist.com/s/display-advertising/germany-de</v>
      </c>
      <c r="B5" s="11" t="str">
        <f>IFERROR(__xludf.DUMMYFUNCTION("""COMPUTED_VALUE"""),"The 10 Best Display Advertising Agencies in Germany - 2026 Reviews")</f>
        <v>The 10 Best Display Advertising Agencies in Germany - 2026 Reviews</v>
      </c>
      <c r="C5" s="8" t="str">
        <f>IFERROR(__xludf.DUMMYFUNCTION("""COMPUTED_VALUE"""),"sortlist.com")</f>
        <v>sortlist.com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IFERROR(__xludf.DUMMYFUNCTION("""COMPUTED_VALUE"""),"MONSOON, Triple Whale, Northbeam, Dreamdata, Mediacharge, PANORAMA3000")</f>
        <v>MONSOON, Triple Whale, Northbeam, Dreamdata, Mediacharge, PANORAMA3000</v>
      </c>
      <c r="I5" s="11">
        <f>IFERROR(__xludf.DUMMYFUNCTION("""COMPUTED_VALUE"""),47.0)</f>
        <v>47</v>
      </c>
      <c r="J5" s="11">
        <f>IFERROR(__xludf.DUMMYFUNCTION("""COMPUTED_VALUE"""),0.05)</f>
        <v>0.05</v>
      </c>
      <c r="K5" s="11">
        <f>IFERROR(__xludf.DUMMYFUNCTION("""COMPUTED_VALUE"""),1.49)</f>
        <v>1.49</v>
      </c>
    </row>
    <row r="6" ht="15.75" customHeight="1">
      <c r="A6" s="8" t="str">
        <f>IFERROR(__xludf.DUMMYFUNCTION("""COMPUTED_VALUE"""),"https://www.sortlist.com/i/digital-marketing/germany-de")</f>
        <v>https://www.sortlist.com/i/digital-marketing/germany-de</v>
      </c>
      <c r="B6" s="11" t="str">
        <f>IFERROR(__xludf.DUMMYFUNCTION("""COMPUTED_VALUE"""),"The 10 Best Digital Marketing Agencies in Germany - 2026 Reviews")</f>
        <v>The 10 Best Digital Marketing Agencies in Germany - 2026 Reviews</v>
      </c>
      <c r="C6" s="8" t="str">
        <f>IFERROR(__xludf.DUMMYFUNCTION("""COMPUTED_VALUE"""),"sortlist.com")</f>
        <v>sortlist.com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IFERROR(__xludf.DUMMYFUNCTION("""COMPUTED_VALUE"""),"PANORAMA3000, MONSOON")</f>
        <v>PANORAMA3000, MONSOON</v>
      </c>
      <c r="I6" s="11">
        <f>IFERROR(__xludf.DUMMYFUNCTION("""COMPUTED_VALUE"""),37.0)</f>
        <v>37</v>
      </c>
      <c r="J6" s="11">
        <f>IFERROR(__xludf.DUMMYFUNCTION("""COMPUTED_VALUE"""),0.04)</f>
        <v>0.04</v>
      </c>
      <c r="K6" s="11">
        <f>IFERROR(__xludf.DUMMYFUNCTION("""COMPUTED_VALUE"""),0.57)</f>
        <v>0.57</v>
      </c>
    </row>
    <row r="7" ht="15.75" customHeight="1">
      <c r="A7" s="8" t="str">
        <f>IFERROR(__xludf.DUMMYFUNCTION("""COMPUTED_VALUE"""),"https://www.sortlist.com/s/marketing-analytics/germany-de")</f>
        <v>https://www.sortlist.com/s/marketing-analytics/germany-de</v>
      </c>
      <c r="B7" s="11" t="str">
        <f>IFERROR(__xludf.DUMMYFUNCTION("""COMPUTED_VALUE"""),"The 10 Best Marketing Analytics Companies in Germany - 2026 Reviews")</f>
        <v>The 10 Best Marketing Analytics Companies in Germany - 2026 Reviews</v>
      </c>
      <c r="C7" s="8" t="str">
        <f>IFERROR(__xludf.DUMMYFUNCTION("""COMPUTED_VALUE"""),"sortlist.com")</f>
        <v>sortlist.com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IFERROR(__xludf.DUMMYFUNCTION("""COMPUTED_VALUE"""),"lehof, MONSOON, Measured")</f>
        <v>lehof, MONSOON, Measured</v>
      </c>
      <c r="I7" s="11">
        <f>IFERROR(__xludf.DUMMYFUNCTION("""COMPUTED_VALUE"""),36.0)</f>
        <v>36</v>
      </c>
      <c r="J7" s="11">
        <f>IFERROR(__xludf.DUMMYFUNCTION("""COMPUTED_VALUE"""),0.04)</f>
        <v>0.04</v>
      </c>
      <c r="K7" s="11">
        <f>IFERROR(__xludf.DUMMYFUNCTION("""COMPUTED_VALUE"""),1.14)</f>
        <v>1.14</v>
      </c>
    </row>
    <row r="8" ht="15.75" customHeight="1">
      <c r="A8" s="8" t="str">
        <f>IFERROR(__xludf.DUMMYFUNCTION("""COMPUTED_VALUE"""),"https://www.sortlist.com/i/social-media/germany-de")</f>
        <v>https://www.sortlist.com/i/social-media/germany-de</v>
      </c>
      <c r="B8" s="11" t="str">
        <f>IFERROR(__xludf.DUMMYFUNCTION("""COMPUTED_VALUE"""),"The 10 Best Social Media Agencies in Germany - 2026 Reviews")</f>
        <v>The 10 Best Social Media Agencies in Germany - 2026 Reviews</v>
      </c>
      <c r="C8" s="8"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IFERROR(__xludf.DUMMYFUNCTION("""COMPUTED_VALUE"""),"lehof, Momentum, PANORAMA3000")</f>
        <v>lehof, Momentum, PANORAMA3000</v>
      </c>
      <c r="I8" s="11">
        <f>IFERROR(__xludf.DUMMYFUNCTION("""COMPUTED_VALUE"""),34.0)</f>
        <v>34</v>
      </c>
      <c r="J8" s="11">
        <f>IFERROR(__xludf.DUMMYFUNCTION("""COMPUTED_VALUE"""),0.04)</f>
        <v>0.04</v>
      </c>
      <c r="K8" s="11">
        <f>IFERROR(__xludf.DUMMYFUNCTION("""COMPUTED_VALUE"""),1.09)</f>
        <v>1.09</v>
      </c>
    </row>
    <row r="9" ht="15.75" customHeight="1">
      <c r="A9" s="8" t="str">
        <f>IFERROR(__xludf.DUMMYFUNCTION("""COMPUTED_VALUE"""),"https://www.sortlist.com/s/paid-media/germany-de")</f>
        <v>https://www.sortlist.com/s/paid-media/germany-de</v>
      </c>
      <c r="B9" s="11" t="str">
        <f>IFERROR(__xludf.DUMMYFUNCTION("""COMPUTED_VALUE"""),"The 10 Best Paid Media Agencies in Germany - 2026 Reviews")</f>
        <v>The 10 Best Paid Media Agencies in Germany - 2026 Reviews</v>
      </c>
      <c r="C9" s="8" t="str">
        <f>IFERROR(__xludf.DUMMYFUNCTION("""COMPUTED_VALUE"""),"sortlist.com")</f>
        <v>sortlist.com</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IFERROR(__xludf.DUMMYFUNCTION("""COMPUTED_VALUE"""),"Triple Whale, Northbeam, Dreamdata, MONSOON, lehof, Mediacharge, PANORAMA3000")</f>
        <v>Triple Whale, Northbeam, Dreamdata, MONSOON, lehof, Mediacharge, PANORAMA3000</v>
      </c>
      <c r="I9" s="11">
        <f>IFERROR(__xludf.DUMMYFUNCTION("""COMPUTED_VALUE"""),34.0)</f>
        <v>34</v>
      </c>
      <c r="J9" s="11">
        <f>IFERROR(__xludf.DUMMYFUNCTION("""COMPUTED_VALUE"""),0.04)</f>
        <v>0.04</v>
      </c>
      <c r="K9" s="11">
        <f>IFERROR(__xludf.DUMMYFUNCTION("""COMPUTED_VALUE"""),2.32)</f>
        <v>2.32</v>
      </c>
    </row>
    <row r="10" ht="15.75" customHeight="1">
      <c r="A10" s="8" t="str">
        <f>IFERROR(__xludf.DUMMYFUNCTION("""COMPUTED_VALUE"""),"https://www.sortlist.com/i/s/creative/germany-de")</f>
        <v>https://www.sortlist.com/i/s/creative/germany-de</v>
      </c>
      <c r="B10" s="11" t="str">
        <f>IFERROR(__xludf.DUMMYFUNCTION("""COMPUTED_VALUE"""),"The 10 Best Creative Agencies in Germany - 2026 Reviews")</f>
        <v>The 10 Best Creative Agencies in Germany - 2026 Reviews</v>
      </c>
      <c r="C10" s="8" t="str">
        <f>IFERROR(__xludf.DUMMYFUNCTION("""COMPUTED_VALUE"""),"sortlist.com")</f>
        <v>sortlist.com</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IFERROR(__xludf.DUMMYFUNCTION("""COMPUTED_VALUE"""),"PANORAMA3000, Measured")</f>
        <v>PANORAMA3000, Measured</v>
      </c>
      <c r="I10" s="11">
        <f>IFERROR(__xludf.DUMMYFUNCTION("""COMPUTED_VALUE"""),32.0)</f>
        <v>32</v>
      </c>
      <c r="J10" s="11">
        <f>IFERROR(__xludf.DUMMYFUNCTION("""COMPUTED_VALUE"""),0.03)</f>
        <v>0.03</v>
      </c>
      <c r="K10" s="11">
        <f>IFERROR(__xludf.DUMMYFUNCTION("""COMPUTED_VALUE"""),0.56)</f>
        <v>0.56</v>
      </c>
    </row>
    <row r="11" ht="15.75" customHeight="1">
      <c r="A11" s="8" t="str">
        <f>IFERROR(__xludf.DUMMYFUNCTION("""COMPUTED_VALUE"""),"https://www.sortlist.com/s/ai-marketing/germany-de")</f>
        <v>https://www.sortlist.com/s/ai-marketing/germany-de</v>
      </c>
      <c r="B11" s="11" t="str">
        <f>IFERROR(__xludf.DUMMYFUNCTION("""COMPUTED_VALUE"""),"The 10 Best AI Marketing Companies in Germany - 2026 Reviews")</f>
        <v>The 10 Best AI Marketing Companies in Germany - 2026 Reviews</v>
      </c>
      <c r="C11" s="8" t="str">
        <f>IFERROR(__xludf.DUMMYFUNCTION("""COMPUTED_VALUE"""),"sortlist.com")</f>
        <v>sortlist.com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c r="I11" s="11">
        <f>IFERROR(__xludf.DUMMYFUNCTION("""COMPUTED_VALUE"""),32.0)</f>
        <v>32</v>
      </c>
      <c r="J11" s="11">
        <f>IFERROR(__xludf.DUMMYFUNCTION("""COMPUTED_VALUE"""),0.03)</f>
        <v>0.03</v>
      </c>
      <c r="K11" s="11">
        <f>IFERROR(__xludf.DUMMYFUNCTION("""COMPUTED_VALUE"""),0.84)</f>
        <v>0.84</v>
      </c>
    </row>
    <row r="12" ht="15.75" customHeight="1">
      <c r="A12" s="8" t="str">
        <f>IFERROR(__xludf.DUMMYFUNCTION("""COMPUTED_VALUE"""),"https://www.sortlist.de/s/bezahlte-media/deutschland-de")</f>
        <v>https://www.sortlist.de/s/bezahlte-media/deutschland-de</v>
      </c>
      <c r="B12" s="11" t="str">
        <f>IFERROR(__xludf.DUMMYFUNCTION("""COMPUTED_VALUE"""),"Unsere 10 Besten Bezahlte Media Agenturen in Deutschland - 2026 Bewertungen")</f>
        <v>Unsere 10 Besten Bezahlte Media Agenturen in Deutschland - 2026 Bewertungen</v>
      </c>
      <c r="C12" s="8" t="str">
        <f>IFERROR(__xludf.DUMMYFUNCTION("""COMPUTED_VALUE"""),"sortlist.de")</f>
        <v>sortlist.de</v>
      </c>
      <c r="D12" s="11" t="str">
        <f>IFERROR(__xludf.DUMMYFUNCTION("""COMPUTED_VALUE"""),"HOW_TO_GUIDE")</f>
        <v>HOW_TO_GUIDE</v>
      </c>
      <c r="E12" s="11" t="str">
        <f>IFERROR(__xludf.DUMMYFUNCTION("""COMPUTED_VALUE"""),"CORPORATE")</f>
        <v>CORPORATE</v>
      </c>
      <c r="F12" s="11" t="str">
        <f>IFERROR(__xludf.DUMMYFUNCTION("""COMPUTED_VALUE"""),"How-To Guide")</f>
        <v>How-To Guide</v>
      </c>
      <c r="G12" s="11" t="b">
        <f>IFERROR(__xludf.DUMMYFUNCTION("""COMPUTED_VALUE"""),FALSE)</f>
        <v>0</v>
      </c>
      <c r="H12" s="11" t="str">
        <f>IFERROR(__xludf.DUMMYFUNCTION("""COMPUTED_VALUE"""),"lehof, MONSOON, KlickPiloten, Mediacharge")</f>
        <v>lehof, MONSOON, KlickPiloten, Mediacharge</v>
      </c>
      <c r="I12" s="11">
        <f>IFERROR(__xludf.DUMMYFUNCTION("""COMPUTED_VALUE"""),24.0)</f>
        <v>24</v>
      </c>
      <c r="J12" s="11">
        <f>IFERROR(__xludf.DUMMYFUNCTION("""COMPUTED_VALUE"""),0.02)</f>
        <v>0.02</v>
      </c>
      <c r="K12" s="11">
        <f>IFERROR(__xludf.DUMMYFUNCTION("""COMPUTED_VALUE"""),3.75)</f>
        <v>3.75</v>
      </c>
    </row>
    <row r="13" ht="15.75" customHeight="1">
      <c r="A13" s="8" t="str">
        <f>IFERROR(__xludf.DUMMYFUNCTION("""COMPUTED_VALUE"""),"https://www.sortlist.com/s/digital-advertising/germany-de")</f>
        <v>https://www.sortlist.com/s/digital-advertising/germany-de</v>
      </c>
      <c r="B13" s="11" t="str">
        <f>IFERROR(__xludf.DUMMYFUNCTION("""COMPUTED_VALUE"""),"The 10 Best Digital Advertising Agencies in Germany - 2026 Reviews")</f>
        <v>The 10 Best Digital Advertising Agencies in Germany - 2026 Reviews</v>
      </c>
      <c r="C13" s="8"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IFERROR(__xludf.DUMMYFUNCTION("""COMPUTED_VALUE"""),"MONSOON, Triple Whale, Northbeam, Dreamdata, Momentum, Mediacharge")</f>
        <v>MONSOON, Triple Whale, Northbeam, Dreamdata, Momentum, Mediacharge</v>
      </c>
      <c r="I13" s="11">
        <f>IFERROR(__xludf.DUMMYFUNCTION("""COMPUTED_VALUE"""),17.0)</f>
        <v>17</v>
      </c>
      <c r="J13" s="11">
        <f>IFERROR(__xludf.DUMMYFUNCTION("""COMPUTED_VALUE"""),0.02)</f>
        <v>0.02</v>
      </c>
      <c r="K13" s="11">
        <f>IFERROR(__xludf.DUMMYFUNCTION("""COMPUTED_VALUE"""),1.0)</f>
        <v>1</v>
      </c>
    </row>
    <row r="14" ht="15.75" customHeight="1">
      <c r="A14" s="8" t="str">
        <f>IFERROR(__xludf.DUMMYFUNCTION("""COMPUTED_VALUE"""),"https://www.sortlist.com/s/media-planning/germany-de")</f>
        <v>https://www.sortlist.com/s/media-planning/germany-de</v>
      </c>
      <c r="B14" s="11" t="str">
        <f>IFERROR(__xludf.DUMMYFUNCTION("""COMPUTED_VALUE"""),"The 10 Best Media Agencies in Germany - 2026 Reviews")</f>
        <v>The 10 Best Media Agencies in Germany - 2026 Reviews</v>
      </c>
      <c r="C14" s="8" t="str">
        <f>IFERROR(__xludf.DUMMYFUNCTION("""COMPUTED_VALUE"""),"sortlist.com")</f>
        <v>sortlist.com</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IFERROR(__xludf.DUMMYFUNCTION("""COMPUTED_VALUE"""),"lehof, Momentum, Triple Whale, Northbeam, Dreamdata, Kantar")</f>
        <v>lehof, Momentum, Triple Whale, Northbeam, Dreamdata, Kantar</v>
      </c>
      <c r="I14" s="11">
        <f>IFERROR(__xludf.DUMMYFUNCTION("""COMPUTED_VALUE"""),17.0)</f>
        <v>17</v>
      </c>
      <c r="J14" s="11">
        <f>IFERROR(__xludf.DUMMYFUNCTION("""COMPUTED_VALUE"""),0.02)</f>
        <v>0.02</v>
      </c>
      <c r="K14" s="11">
        <f>IFERROR(__xludf.DUMMYFUNCTION("""COMPUTED_VALUE"""),0.24)</f>
        <v>0.24</v>
      </c>
    </row>
    <row r="15" ht="15.75" customHeight="1">
      <c r="A15" s="8" t="str">
        <f>IFERROR(__xludf.DUMMYFUNCTION("""COMPUTED_VALUE"""),"https://www.sortlist.de/s/marketing-analytik/deutschland-de")</f>
        <v>https://www.sortlist.de/s/marketing-analytik/deutschland-de</v>
      </c>
      <c r="B15" s="11" t="str">
        <f>IFERROR(__xludf.DUMMYFUNCTION("""COMPUTED_VALUE"""),"Marketing-Analytik Agenturen Deutschland vergleichen")</f>
        <v>Marketing-Analytik Agenturen Deutschland vergleichen</v>
      </c>
      <c r="C15" s="8" t="str">
        <f>IFERROR(__xludf.DUMMYFUNCTION("""COMPUTED_VALUE"""),"sortlist.de")</f>
        <v>sortlist.de</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IFERROR(__xludf.DUMMYFUNCTION("""COMPUTED_VALUE"""),"lehof, MONSOON")</f>
        <v>lehof, MONSOON</v>
      </c>
      <c r="I15" s="11">
        <f>IFERROR(__xludf.DUMMYFUNCTION("""COMPUTED_VALUE"""),17.0)</f>
        <v>17</v>
      </c>
      <c r="J15" s="11">
        <f>IFERROR(__xludf.DUMMYFUNCTION("""COMPUTED_VALUE"""),0.02)</f>
        <v>0.02</v>
      </c>
      <c r="K15" s="11">
        <f>IFERROR(__xludf.DUMMYFUNCTION("""COMPUTED_VALUE"""),1.47)</f>
        <v>1.47</v>
      </c>
    </row>
    <row r="16" ht="15.75" customHeight="1">
      <c r="A16" s="8" t="str">
        <f>IFERROR(__xludf.DUMMYFUNCTION("""COMPUTED_VALUE"""),"https://www.sortlist.de/s/ai-marketing/deutschland-de")</f>
        <v>https://www.sortlist.de/s/ai-marketing/deutschland-de</v>
      </c>
      <c r="B16" s="11" t="str">
        <f>IFERROR(__xludf.DUMMYFUNCTION("""COMPUTED_VALUE"""),"Unsere 10 Besten AI Marketing Agenturen in Deutschland - 2026 Bewertungen")</f>
        <v>Unsere 10 Besten AI Marketing Agenturen in Deutschland - 2026 Bewertungen</v>
      </c>
      <c r="C16" s="8" t="str">
        <f>IFERROR(__xludf.DUMMYFUNCTION("""COMPUTED_VALUE"""),"sortlist.de")</f>
        <v>sortlist.de</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c r="I16" s="11">
        <f>IFERROR(__xludf.DUMMYFUNCTION("""COMPUTED_VALUE"""),15.0)</f>
        <v>15</v>
      </c>
      <c r="J16" s="11">
        <f>IFERROR(__xludf.DUMMYFUNCTION("""COMPUTED_VALUE"""),0.02)</f>
        <v>0.02</v>
      </c>
      <c r="K16" s="11">
        <f>IFERROR(__xludf.DUMMYFUNCTION("""COMPUTED_VALUE"""),2.87)</f>
        <v>2.87</v>
      </c>
    </row>
    <row r="17" ht="15.75" customHeight="1">
      <c r="A17" s="8" t="str">
        <f>IFERROR(__xludf.DUMMYFUNCTION("""COMPUTED_VALUE"""),"https://www.sortlist.de/s/display-werbung/deutschland-de")</f>
        <v>https://www.sortlist.de/s/display-werbung/deutschland-de</v>
      </c>
      <c r="B17" s="11" t="str">
        <f>IFERROR(__xludf.DUMMYFUNCTION("""COMPUTED_VALUE"""),"Unsere 10 Besten Display Anzeigen Agenturen in Deutschland - 2026 Bewertungen")</f>
        <v>Unsere 10 Besten Display Anzeigen Agenturen in Deutschland - 2026 Bewertungen</v>
      </c>
      <c r="C17" s="8" t="str">
        <f>IFERROR(__xludf.DUMMYFUNCTION("""COMPUTED_VALUE"""),"sortlist.de")</f>
        <v>sortlist.de</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IFERROR(__xludf.DUMMYFUNCTION("""COMPUTED_VALUE"""),"MONSOON, Triple Whale, Northbeam, Dreamdata, KlickPiloten, Mediacharge")</f>
        <v>MONSOON, Triple Whale, Northbeam, Dreamdata, KlickPiloten, Mediacharge</v>
      </c>
      <c r="I17" s="11">
        <f>IFERROR(__xludf.DUMMYFUNCTION("""COMPUTED_VALUE"""),14.0)</f>
        <v>14</v>
      </c>
      <c r="J17" s="11">
        <f>IFERROR(__xludf.DUMMYFUNCTION("""COMPUTED_VALUE"""),0.01)</f>
        <v>0.01</v>
      </c>
      <c r="K17" s="11">
        <f>IFERROR(__xludf.DUMMYFUNCTION("""COMPUTED_VALUE"""),2.86)</f>
        <v>2.86</v>
      </c>
    </row>
    <row r="18" ht="15.75" customHeight="1">
      <c r="A18" s="8" t="str">
        <f>IFERROR(__xludf.DUMMYFUNCTION("""COMPUTED_VALUE"""),"https://www.sortlist.com/s/attribution-marketing/berlin-de")</f>
        <v>https://www.sortlist.com/s/attribution-marketing/berlin-de</v>
      </c>
      <c r="B18" s="11" t="str">
        <f>IFERROR(__xludf.DUMMYFUNCTION("""COMPUTED_VALUE"""),"The 10 Best Attribution Marketing Agencies in Berlin - 2026 Reviews")</f>
        <v>The 10 Best Attribution Marketing Agencies in Berlin - 2026 Reviews</v>
      </c>
      <c r="C18" s="8" t="str">
        <f>IFERROR(__xludf.DUMMYFUNCTION("""COMPUTED_VALUE"""),"sortlist.com")</f>
        <v>sortlist.com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IFERROR(__xludf.DUMMYFUNCTION("""COMPUTED_VALUE"""),"Triple Whale, Northbeam, Dreamdata, Customlytics")</f>
        <v>Triple Whale, Northbeam, Dreamdata, Customlytics</v>
      </c>
      <c r="I18" s="11">
        <f>IFERROR(__xludf.DUMMYFUNCTION("""COMPUTED_VALUE"""),13.0)</f>
        <v>13</v>
      </c>
      <c r="J18" s="11">
        <f>IFERROR(__xludf.DUMMYFUNCTION("""COMPUTED_VALUE"""),0.01)</f>
        <v>0.01</v>
      </c>
      <c r="K18" s="11">
        <f>IFERROR(__xludf.DUMMYFUNCTION("""COMPUTED_VALUE"""),0.85)</f>
        <v>0.85</v>
      </c>
    </row>
    <row r="19" ht="15.75" customHeight="1">
      <c r="A19" s="8" t="str">
        <f>IFERROR(__xludf.DUMMYFUNCTION("""COMPUTED_VALUE"""),"https://www.sortlist.com/s/attribution-marketing/germany-de")</f>
        <v>https://www.sortlist.com/s/attribution-marketing/germany-de</v>
      </c>
      <c r="B19" s="11" t="str">
        <f>IFERROR(__xludf.DUMMYFUNCTION("""COMPUTED_VALUE"""),"The 10 Best Attribution Marketing Agencies in Germany - 2026 Reviews")</f>
        <v>The 10 Best Attribution Marketing Agencies in Germany - 2026 Reviews</v>
      </c>
      <c r="C19" s="8" t="str">
        <f>IFERROR(__xludf.DUMMYFUNCTION("""COMPUTED_VALUE"""),"sortlist.com")</f>
        <v>sortlist.com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IFERROR(__xludf.DUMMYFUNCTION("""COMPUTED_VALUE"""),"Triple Whale, Northbeam, Dreamdata, Customlytics")</f>
        <v>Triple Whale, Northbeam, Dreamdata, Customlytics</v>
      </c>
      <c r="I19" s="11">
        <f>IFERROR(__xludf.DUMMYFUNCTION("""COMPUTED_VALUE"""),13.0)</f>
        <v>13</v>
      </c>
      <c r="J19" s="11">
        <f>IFERROR(__xludf.DUMMYFUNCTION("""COMPUTED_VALUE"""),0.01)</f>
        <v>0.01</v>
      </c>
      <c r="K19" s="11">
        <f>IFERROR(__xludf.DUMMYFUNCTION("""COMPUTED_VALUE"""),1.77)</f>
        <v>1.77</v>
      </c>
    </row>
    <row r="20" ht="15.75" customHeight="1">
      <c r="A20" s="8" t="str">
        <f>IFERROR(__xludf.DUMMYFUNCTION("""COMPUTED_VALUE"""),"https://www.sortlist.com/s/performance-marketing/berlin-de")</f>
        <v>https://www.sortlist.com/s/performance-marketing/berlin-de</v>
      </c>
      <c r="B20" s="11" t="str">
        <f>IFERROR(__xludf.DUMMYFUNCTION("""COMPUTED_VALUE"""),"The 10 Best Performance Marketing Agencies in Berlin - 2026 Reviews")</f>
        <v>The 10 Best Performance Marketing Agencies in Berlin - 2026 Reviews</v>
      </c>
      <c r="C20" s="8" t="str">
        <f>IFERROR(__xludf.DUMMYFUNCTION("""COMPUTED_VALUE"""),"sortlist.com")</f>
        <v>sortlist.com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t="str">
        <f>IFERROR(__xludf.DUMMYFUNCTION("""COMPUTED_VALUE"""),"lehof, MONSOON, Triple Whale, Northbeam, Dreamdata, KlickPiloten, PANORAMA3000, Pilot")</f>
        <v>lehof, MONSOON, Triple Whale, Northbeam, Dreamdata, KlickPiloten, PANORAMA3000, Pilot</v>
      </c>
      <c r="I20" s="11">
        <f>IFERROR(__xludf.DUMMYFUNCTION("""COMPUTED_VALUE"""),12.0)</f>
        <v>12</v>
      </c>
      <c r="J20" s="11">
        <f>IFERROR(__xludf.DUMMYFUNCTION("""COMPUTED_VALUE"""),0.01)</f>
        <v>0.01</v>
      </c>
      <c r="K20" s="11">
        <f>IFERROR(__xludf.DUMMYFUNCTION("""COMPUTED_VALUE"""),0.08)</f>
        <v>0.08</v>
      </c>
    </row>
    <row r="21" ht="15.75" customHeight="1">
      <c r="A21" s="8" t="str">
        <f>IFERROR(__xludf.DUMMYFUNCTION("""COMPUTED_VALUE"""),"https://www.sortlist.com/i/advertising/germany-de")</f>
        <v>https://www.sortlist.com/i/advertising/germany-de</v>
      </c>
      <c r="B21" s="11" t="str">
        <f>IFERROR(__xludf.DUMMYFUNCTION("""COMPUTED_VALUE"""),"The 10 Best Advertising Agencies in Germany - 2026 Reviews")</f>
        <v>The 10 Best Advertising Agencies in Germany - 2026 Reviews</v>
      </c>
      <c r="C21" s="8" t="str">
        <f>IFERROR(__xludf.DUMMYFUNCTION("""COMPUTED_VALUE"""),"sortlist.com")</f>
        <v>sortlist.com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IFERROR(__xludf.DUMMYFUNCTION("""COMPUTED_VALUE"""),"MONSOON")</f>
        <v>MONSOON</v>
      </c>
      <c r="I21" s="11">
        <f>IFERROR(__xludf.DUMMYFUNCTION("""COMPUTED_VALUE"""),11.0)</f>
        <v>11</v>
      </c>
      <c r="J21" s="11">
        <f>IFERROR(__xludf.DUMMYFUNCTION("""COMPUTED_VALUE"""),0.01)</f>
        <v>0.01</v>
      </c>
      <c r="K21" s="11">
        <f>IFERROR(__xludf.DUMMYFUNCTION("""COMPUTED_VALUE"""),0.0)</f>
        <v>0</v>
      </c>
    </row>
    <row r="22" ht="15.75" customHeight="1">
      <c r="A22" s="8" t="str">
        <f>IFERROR(__xludf.DUMMYFUNCTION("""COMPUTED_VALUE"""),"https://www.sortlist.de/s/performance-marketing/deutschland-de")</f>
        <v>https://www.sortlist.de/s/performance-marketing/deutschland-de</v>
      </c>
      <c r="B22" s="11" t="str">
        <f>IFERROR(__xludf.DUMMYFUNCTION("""COMPUTED_VALUE"""),"Performance Marketing Agentur - Unsere 100+ Besten Marketing Agenturen in Deutschland - 2026 Bewertungen")</f>
        <v>Performance Marketing Agentur - Unsere 100+ Besten Marketing Agenturen in Deutschland - 2026 Bewertungen</v>
      </c>
      <c r="C22" s="8" t="str">
        <f>IFERROR(__xludf.DUMMYFUNCTION("""COMPUTED_VALUE"""),"sortlist.de")</f>
        <v>sortlist.de</v>
      </c>
      <c r="D22" s="11" t="str">
        <f>IFERROR(__xludf.DUMMYFUNCTION("""COMPUTED_VALUE"""),"PROFILE")</f>
        <v>PROFILE</v>
      </c>
      <c r="E22" s="11" t="str">
        <f>IFERROR(__xludf.DUMMYFUNCTION("""COMPUTED_VALUE"""),"CORPORATE")</f>
        <v>CORPORATE</v>
      </c>
      <c r="F22" s="11" t="str">
        <f>IFERROR(__xludf.DUMMYFUNCTION("""COMPUTED_VALUE"""),"Profile")</f>
        <v>Profile</v>
      </c>
      <c r="G22" s="11" t="b">
        <f>IFERROR(__xludf.DUMMYFUNCTION("""COMPUTED_VALUE"""),FALSE)</f>
        <v>0</v>
      </c>
      <c r="H22" s="11" t="str">
        <f>IFERROR(__xludf.DUMMYFUNCTION("""COMPUTED_VALUE"""),"KlickPiloten, MONSOON, lehof, Triple Whale, Northbeam, Dreamdata, Mediacharge")</f>
        <v>KlickPiloten, MONSOON, lehof, Triple Whale, Northbeam, Dreamdata, Mediacharge</v>
      </c>
      <c r="I22" s="11">
        <f>IFERROR(__xludf.DUMMYFUNCTION("""COMPUTED_VALUE"""),11.0)</f>
        <v>11</v>
      </c>
      <c r="J22" s="11">
        <f>IFERROR(__xludf.DUMMYFUNCTION("""COMPUTED_VALUE"""),0.01)</f>
        <v>0.01</v>
      </c>
      <c r="K22" s="11">
        <f>IFERROR(__xludf.DUMMYFUNCTION("""COMPUTED_VALUE"""),0.18)</f>
        <v>0.18</v>
      </c>
    </row>
    <row r="23" ht="15.75" customHeight="1">
      <c r="A23" s="8" t="str">
        <f>IFERROR(__xludf.DUMMYFUNCTION("""COMPUTED_VALUE"""),"https://www.sortlist.com/marketing-analytics")</f>
        <v>https://www.sortlist.com/marketing-analytics</v>
      </c>
      <c r="B23" s="11" t="str">
        <f>IFERROR(__xludf.DUMMYFUNCTION("""COMPUTED_VALUE"""),"The 100 Best Marketing Analytics Companies - 2026 Reviews")</f>
        <v>The 100 Best Marketing Analytics Companies - 2026 Reviews</v>
      </c>
      <c r="C23" s="8" t="str">
        <f>IFERROR(__xludf.DUMMYFUNCTION("""COMPUTED_VALUE"""),"sortlist.com")</f>
        <v>sortlist.com</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IFERROR(__xludf.DUMMYFUNCTION("""COMPUTED_VALUE"""),"lehof, MONSOON")</f>
        <v>lehof, MONSOON</v>
      </c>
      <c r="I23" s="11">
        <f>IFERROR(__xludf.DUMMYFUNCTION("""COMPUTED_VALUE"""),10.0)</f>
        <v>10</v>
      </c>
      <c r="J23" s="11">
        <f>IFERROR(__xludf.DUMMYFUNCTION("""COMPUTED_VALUE"""),0.01)</f>
        <v>0.01</v>
      </c>
      <c r="K23" s="11">
        <f>IFERROR(__xludf.DUMMYFUNCTION("""COMPUTED_VALUE"""),0.0)</f>
        <v>0</v>
      </c>
    </row>
    <row r="24" ht="15.75" customHeight="1">
      <c r="A24" s="8" t="str">
        <f>IFERROR(__xludf.DUMMYFUNCTION("""COMPUTED_VALUE"""),"https://www.sortlist.com/paid-media")</f>
        <v>https://www.sortlist.com/paid-media</v>
      </c>
      <c r="B24" s="11" t="str">
        <f>IFERROR(__xludf.DUMMYFUNCTION("""COMPUTED_VALUE"""),"The 100 Best Paid Media Agencies - 2026 Reviews")</f>
        <v>The 100 Best Paid Media Agencies - 2026 Reviews</v>
      </c>
      <c r="C24" s="8" t="str">
        <f>IFERROR(__xludf.DUMMYFUNCTION("""COMPUTED_VALUE"""),"sortlist.com")</f>
        <v>sortlist.com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IFERROR(__xludf.DUMMYFUNCTION("""COMPUTED_VALUE"""),"lehof, Measured, MONSOON, Triple Whale, Northbeam, Dreamdata")</f>
        <v>lehof, Measured, MONSOON, Triple Whale, Northbeam, Dreamdata</v>
      </c>
      <c r="I24" s="11">
        <f>IFERROR(__xludf.DUMMYFUNCTION("""COMPUTED_VALUE"""),10.0)</f>
        <v>10</v>
      </c>
      <c r="J24" s="11">
        <f>IFERROR(__xludf.DUMMYFUNCTION("""COMPUTED_VALUE"""),0.01)</f>
        <v>0.01</v>
      </c>
      <c r="K24" s="11">
        <f>IFERROR(__xludf.DUMMYFUNCTION("""COMPUTED_VALUE"""),0.0)</f>
        <v>0</v>
      </c>
    </row>
    <row r="25" ht="15.75" customHeight="1">
      <c r="A25" s="8" t="str">
        <f>IFERROR(__xludf.DUMMYFUNCTION("""COMPUTED_VALUE"""),"https://www.sortlist.com/display-advertising")</f>
        <v>https://www.sortlist.com/display-advertising</v>
      </c>
      <c r="B25" s="11" t="str">
        <f>IFERROR(__xludf.DUMMYFUNCTION("""COMPUTED_VALUE"""),"The 100 Best Display Advertising Agencies - 2026 Reviews")</f>
        <v>The 100 Best Display Advertising Agencies - 2026 Reviews</v>
      </c>
      <c r="C25" s="8" t="str">
        <f>IFERROR(__xludf.DUMMYFUNCTION("""COMPUTED_VALUE"""),"sortlist.com")</f>
        <v>sortlist.com</v>
      </c>
      <c r="D25" s="11" t="str">
        <f>IFERROR(__xludf.DUMMYFUNCTION("""COMPUTED_VALUE"""),"LISTICLE")</f>
        <v>LISTICLE</v>
      </c>
      <c r="E25" s="11" t="str">
        <f>IFERROR(__xludf.DUMMYFUNCTION("""COMPUTED_VALUE"""),"CORPORATE")</f>
        <v>CORPORATE</v>
      </c>
      <c r="F25" s="11" t="str">
        <f>IFERROR(__xludf.DUMMYFUNCTION("""COMPUTED_VALUE"""),"Listicle")</f>
        <v>Listicle</v>
      </c>
      <c r="G25" s="11" t="b">
        <f>IFERROR(__xludf.DUMMYFUNCTION("""COMPUTED_VALUE"""),FALSE)</f>
        <v>0</v>
      </c>
      <c r="H25" s="11" t="str">
        <f>IFERROR(__xludf.DUMMYFUNCTION("""COMPUTED_VALUE"""),"MONSOON")</f>
        <v>MONSOON</v>
      </c>
      <c r="I25" s="11">
        <f>IFERROR(__xludf.DUMMYFUNCTION("""COMPUTED_VALUE"""),9.0)</f>
        <v>9</v>
      </c>
      <c r="J25" s="11">
        <f>IFERROR(__xludf.DUMMYFUNCTION("""COMPUTED_VALUE"""),0.01)</f>
        <v>0.01</v>
      </c>
      <c r="K25" s="11">
        <f>IFERROR(__xludf.DUMMYFUNCTION("""COMPUTED_VALUE"""),0.0)</f>
        <v>0</v>
      </c>
    </row>
    <row r="26" ht="15.75" customHeight="1">
      <c r="A26" s="8" t="str">
        <f>IFERROR(__xludf.DUMMYFUNCTION("""COMPUTED_VALUE"""),"https://www.sortlist.com/s/marketing-automation/germany-de")</f>
        <v>https://www.sortlist.com/s/marketing-automation/germany-de</v>
      </c>
      <c r="B26" s="11" t="str">
        <f>IFERROR(__xludf.DUMMYFUNCTION("""COMPUTED_VALUE"""),"The 10 Best Marketing Automation Agencies in Germany - 2026 Reviews")</f>
        <v>The 10 Best Marketing Automation Agencies in Germany - 2026 Reviews</v>
      </c>
      <c r="C26" s="8" t="str">
        <f>IFERROR(__xludf.DUMMYFUNCTION("""COMPUTED_VALUE"""),"sortlist.com")</f>
        <v>sortlist.com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IFERROR(__xludf.DUMMYFUNCTION("""COMPUTED_VALUE"""),"MONSOON, Measured")</f>
        <v>MONSOON, Measured</v>
      </c>
      <c r="I26" s="11">
        <f>IFERROR(__xludf.DUMMYFUNCTION("""COMPUTED_VALUE"""),9.0)</f>
        <v>9</v>
      </c>
      <c r="J26" s="11">
        <f>IFERROR(__xludf.DUMMYFUNCTION("""COMPUTED_VALUE"""),0.01)</f>
        <v>0.01</v>
      </c>
      <c r="K26" s="11">
        <f>IFERROR(__xludf.DUMMYFUNCTION("""COMPUTED_VALUE"""),0.44)</f>
        <v>0.44</v>
      </c>
    </row>
    <row r="27" ht="15.75" customHeight="1">
      <c r="A27" s="8" t="str">
        <f>IFERROR(__xludf.DUMMYFUNCTION("""COMPUTED_VALUE"""),"https://www.sortlist.com/i/web-analytics/germany-de")</f>
        <v>https://www.sortlist.com/i/web-analytics/germany-de</v>
      </c>
      <c r="B27" s="11" t="str">
        <f>IFERROR(__xludf.DUMMYFUNCTION("""COMPUTED_VALUE"""),"The 10 Best Web Analytics Agencies in Germany - 2026 Reviews")</f>
        <v>The 10 Best Web Analytics Agencies in Germany - 2026 Reviews</v>
      </c>
      <c r="C27" s="8" t="str">
        <f>IFERROR(__xludf.DUMMYFUNCTION("""COMPUTED_VALUE"""),"sortlist.com")</f>
        <v>sortlist.com</v>
      </c>
      <c r="D27" s="11" t="str">
        <f>IFERROR(__xludf.DUMMYFUNCTION("""COMPUTED_VALUE"""),"PROFILE")</f>
        <v>PROFILE</v>
      </c>
      <c r="E27" s="11" t="str">
        <f>IFERROR(__xludf.DUMMYFUNCTION("""COMPUTED_VALUE"""),"CORPORATE")</f>
        <v>CORPORATE</v>
      </c>
      <c r="F27" s="11" t="str">
        <f>IFERROR(__xludf.DUMMYFUNCTION("""COMPUTED_VALUE"""),"Profile")</f>
        <v>Profile</v>
      </c>
      <c r="G27" s="11" t="b">
        <f>IFERROR(__xludf.DUMMYFUNCTION("""COMPUTED_VALUE"""),FALSE)</f>
        <v>0</v>
      </c>
      <c r="H27" s="11" t="str">
        <f>IFERROR(__xludf.DUMMYFUNCTION("""COMPUTED_VALUE"""),"KlickPiloten, Baseplus DIGITAL MEDIA GmbH")</f>
        <v>KlickPiloten, Baseplus DIGITAL MEDIA GmbH</v>
      </c>
      <c r="I27" s="11">
        <f>IFERROR(__xludf.DUMMYFUNCTION("""COMPUTED_VALUE"""),8.0)</f>
        <v>8</v>
      </c>
      <c r="J27" s="11">
        <f>IFERROR(__xludf.DUMMYFUNCTION("""COMPUTED_VALUE"""),0.01)</f>
        <v>0.01</v>
      </c>
      <c r="K27" s="11">
        <f>IFERROR(__xludf.DUMMYFUNCTION("""COMPUTED_VALUE"""),0.25)</f>
        <v>0.25</v>
      </c>
    </row>
    <row r="28" ht="15.75" customHeight="1">
      <c r="A28" s="8" t="str">
        <f>IFERROR(__xludf.DUMMYFUNCTION("""COMPUTED_VALUE"""),"https://www.sortlist.com/s/international-marketing/germany-de")</f>
        <v>https://www.sortlist.com/s/international-marketing/germany-de</v>
      </c>
      <c r="B28" s="11" t="str">
        <f>IFERROR(__xludf.DUMMYFUNCTION("""COMPUTED_VALUE"""),"The 10 Best International Marketing Agencies in Germany - 2026 Reviews")</f>
        <v>The 10 Best International Marketing Agencies in Germany - 2026 Reviews</v>
      </c>
      <c r="C28" s="8" t="str">
        <f>IFERROR(__xludf.DUMMYFUNCTION("""COMPUTED_VALUE"""),"sortlist.com")</f>
        <v>sortlist.com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IFERROR(__xludf.DUMMYFUNCTION("""COMPUTED_VALUE"""),"MONSOON, Measured")</f>
        <v>MONSOON, Measured</v>
      </c>
      <c r="I28" s="11">
        <f>IFERROR(__xludf.DUMMYFUNCTION("""COMPUTED_VALUE"""),8.0)</f>
        <v>8</v>
      </c>
      <c r="J28" s="11">
        <f>IFERROR(__xludf.DUMMYFUNCTION("""COMPUTED_VALUE"""),0.01)</f>
        <v>0.01</v>
      </c>
      <c r="K28" s="11">
        <f>IFERROR(__xludf.DUMMYFUNCTION("""COMPUTED_VALUE"""),0.38)</f>
        <v>0.38</v>
      </c>
    </row>
    <row r="29" ht="15.75" customHeight="1">
      <c r="A29" s="8" t="str">
        <f>IFERROR(__xludf.DUMMYFUNCTION("""COMPUTED_VALUE"""),"https://www.sortlist.com/s/marketing-analytics/frankfurt-he-de")</f>
        <v>https://www.sortlist.com/s/marketing-analytics/frankfurt-he-de</v>
      </c>
      <c r="B29" s="11" t="str">
        <f>IFERROR(__xludf.DUMMYFUNCTION("""COMPUTED_VALUE"""),"The 10 Best Marketing Analytics Companies in Germany - 2026 Reviews")</f>
        <v>The 10 Best Marketing Analytics Companies in Germany - 2026 Reviews</v>
      </c>
      <c r="C29" s="8" t="str">
        <f>IFERROR(__xludf.DUMMYFUNCTION("""COMPUTED_VALUE"""),"sortlist.com")</f>
        <v>sortlist.com</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t="str">
        <f>IFERROR(__xludf.DUMMYFUNCTION("""COMPUTED_VALUE"""),"Digital Masters GmbH, lehof, MONSOON, Measured")</f>
        <v>Digital Masters GmbH, lehof, MONSOON, Measured</v>
      </c>
      <c r="I29" s="11">
        <f>IFERROR(__xludf.DUMMYFUNCTION("""COMPUTED_VALUE"""),8.0)</f>
        <v>8</v>
      </c>
      <c r="J29" s="11">
        <f>IFERROR(__xludf.DUMMYFUNCTION("""COMPUTED_VALUE"""),0.01)</f>
        <v>0.01</v>
      </c>
      <c r="K29" s="11">
        <f>IFERROR(__xludf.DUMMYFUNCTION("""COMPUTED_VALUE"""),0.5)</f>
        <v>0.5</v>
      </c>
    </row>
    <row r="30" ht="15.75" customHeight="1">
      <c r="A30" s="8" t="str">
        <f>IFERROR(__xludf.DUMMYFUNCTION("""COMPUTED_VALUE"""),"https://www.sortlist.com/s/sm-analytics/germany-de")</f>
        <v>https://www.sortlist.com/s/sm-analytics/germany-de</v>
      </c>
      <c r="B30" s="11" t="str">
        <f>IFERROR(__xludf.DUMMYFUNCTION("""COMPUTED_VALUE"""),"The 10 Best SM Analytics Consultants in Germany - 2026 Reviews")</f>
        <v>The 10 Best SM Analytics Consultants in Germany - 2026 Reviews</v>
      </c>
      <c r="C30" s="8" t="str">
        <f>IFERROR(__xludf.DUMMYFUNCTION("""COMPUTED_VALUE"""),"sortlist.com")</f>
        <v>sortlist.com</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IFERROR(__xludf.DUMMYFUNCTION("""COMPUTED_VALUE"""),"PANORAMA3000, Momentum, ZweiDigital GmbH")</f>
        <v>PANORAMA3000, Momentum, ZweiDigital GmbH</v>
      </c>
      <c r="I30" s="11">
        <f>IFERROR(__xludf.DUMMYFUNCTION("""COMPUTED_VALUE"""),8.0)</f>
        <v>8</v>
      </c>
      <c r="J30" s="11">
        <f>IFERROR(__xludf.DUMMYFUNCTION("""COMPUTED_VALUE"""),0.01)</f>
        <v>0.01</v>
      </c>
      <c r="K30" s="11">
        <f>IFERROR(__xludf.DUMMYFUNCTION("""COMPUTED_VALUE"""),0.0)</f>
        <v>0</v>
      </c>
    </row>
    <row r="31" ht="15.75" customHeight="1">
      <c r="A31" s="8" t="str">
        <f>IFERROR(__xludf.DUMMYFUNCTION("""COMPUTED_VALUE"""),"https://www.sortlist.de/s/bezahlte-media/deutschland-de?page=2")</f>
        <v>https://www.sortlist.de/s/bezahlte-media/deutschland-de?page=2</v>
      </c>
      <c r="B31" s="11" t="str">
        <f>IFERROR(__xludf.DUMMYFUNCTION("""COMPUTED_VALUE"""),"Unsere 10 Besten Bezahlte Media Agenturen in Deutschland - 2026 Bewertungen – Seite 2")</f>
        <v>Unsere 10 Besten Bezahlte Media Agenturen in Deutschland - 2026 Bewertungen – Seite 2</v>
      </c>
      <c r="C31" s="8" t="str">
        <f>IFERROR(__xludf.DUMMYFUNCTION("""COMPUTED_VALUE"""),"sortlist.de")</f>
        <v>sortlist.de</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IFERROR(__xludf.DUMMYFUNCTION("""COMPUTED_VALUE"""),"Digital Masters GmbH, lehof, MONSOON, PANORAMA3000, eMinded GmbH, Loyamo, Medialabel, morefire, WeLikeWeb GmbH")</f>
        <v>Digital Masters GmbH, lehof, MONSOON, PANORAMA3000, eMinded GmbH, Loyamo, Medialabel, morefire, WeLikeWeb GmbH</v>
      </c>
      <c r="I31" s="11">
        <f>IFERROR(__xludf.DUMMYFUNCTION("""COMPUTED_VALUE"""),7.0)</f>
        <v>7</v>
      </c>
      <c r="J31" s="11">
        <f>IFERROR(__xludf.DUMMYFUNCTION("""COMPUTED_VALUE"""),0.01)</f>
        <v>0.01</v>
      </c>
      <c r="K31" s="11">
        <f>IFERROR(__xludf.DUMMYFUNCTION("""COMPUTED_VALUE"""),0.0)</f>
        <v>0</v>
      </c>
    </row>
    <row r="32" ht="15.75" customHeight="1">
      <c r="A32" s="8" t="str">
        <f>IFERROR(__xludf.DUMMYFUNCTION("""COMPUTED_VALUE"""),"https://www.sortlist.com/s/artificial-intelligence/munich-by-de")</f>
        <v>https://www.sortlist.com/s/artificial-intelligence/munich-by-de</v>
      </c>
      <c r="B32" s="11" t="str">
        <f>IFERROR(__xludf.DUMMYFUNCTION("""COMPUTED_VALUE"""),"The 10 Best Artificial Intelligence Agencies in Munich - 2026 Reviews")</f>
        <v>The 10 Best Artificial Intelligence Agencies in Munich - 2026 Reviews</v>
      </c>
      <c r="C32" s="8" t="str">
        <f>IFERROR(__xludf.DUMMYFUNCTION("""COMPUTED_VALUE"""),"sortlist.com")</f>
        <v>sortlist.com</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IFERROR(__xludf.DUMMYFUNCTION("""COMPUTED_VALUE"""),"Momentum, Pilot")</f>
        <v>Momentum, Pilot</v>
      </c>
      <c r="I32" s="11">
        <f>IFERROR(__xludf.DUMMYFUNCTION("""COMPUTED_VALUE"""),5.0)</f>
        <v>5</v>
      </c>
      <c r="J32" s="11">
        <f>IFERROR(__xludf.DUMMYFUNCTION("""COMPUTED_VALUE"""),0.01)</f>
        <v>0.01</v>
      </c>
      <c r="K32" s="11">
        <f>IFERROR(__xludf.DUMMYFUNCTION("""COMPUTED_VALUE"""),1.4)</f>
        <v>1.4</v>
      </c>
    </row>
    <row r="33" ht="15.75" customHeight="1">
      <c r="A33" s="8" t="str">
        <f>IFERROR(__xludf.DUMMYFUNCTION("""COMPUTED_VALUE"""),"https://www.sortlist.de/s/attributionsmarketing/deutschland-de")</f>
        <v>https://www.sortlist.de/s/attributionsmarketing/deutschland-de</v>
      </c>
      <c r="B33" s="11" t="str">
        <f>IFERROR(__xludf.DUMMYFUNCTION("""COMPUTED_VALUE"""),"Attributionsmarketing Agentur Deutschland vergleichen")</f>
        <v>Attributionsmarketing Agentur Deutschland vergleichen</v>
      </c>
      <c r="C33" s="8" t="str">
        <f>IFERROR(__xludf.DUMMYFUNCTION("""COMPUTED_VALUE"""),"sortlist.de")</f>
        <v>sortlist.de</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IFERROR(__xludf.DUMMYFUNCTION("""COMPUTED_VALUE"""),"Customlytics")</f>
        <v>Customlytics</v>
      </c>
      <c r="I33" s="11">
        <f>IFERROR(__xludf.DUMMYFUNCTION("""COMPUTED_VALUE"""),5.0)</f>
        <v>5</v>
      </c>
      <c r="J33" s="11">
        <f>IFERROR(__xludf.DUMMYFUNCTION("""COMPUTED_VALUE"""),0.01)</f>
        <v>0.01</v>
      </c>
      <c r="K33" s="11">
        <f>IFERROR(__xludf.DUMMYFUNCTION("""COMPUTED_VALUE"""),2.4)</f>
        <v>2.4</v>
      </c>
    </row>
    <row r="34" ht="15.75" customHeight="1">
      <c r="A34" s="8" t="str">
        <f>IFERROR(__xludf.DUMMYFUNCTION("""COMPUTED_VALUE"""),"https://www.sortlist.de/s/kunstliche-intelligenz/deutschland-de")</f>
        <v>https://www.sortlist.de/s/kunstliche-intelligenz/deutschland-de</v>
      </c>
      <c r="B34" s="11" t="str">
        <f>IFERROR(__xludf.DUMMYFUNCTION("""COMPUTED_VALUE"""),"Unsere 10 Besten Künstliche Intelligenz Agenturen in Deutschland - 2026 Bewertungen")</f>
        <v>Unsere 10 Besten Künstliche Intelligenz Agenturen in Deutschland - 2026 Bewertungen</v>
      </c>
      <c r="C34" s="8" t="str">
        <f>IFERROR(__xludf.DUMMYFUNCTION("""COMPUTED_VALUE"""),"sortlist.de")</f>
        <v>sortlist.de</v>
      </c>
      <c r="D34" s="11" t="str">
        <f>IFERROR(__xludf.DUMMYFUNCTION("""COMPUTED_VALUE"""),"PROFILE")</f>
        <v>PROFILE</v>
      </c>
      <c r="E34" s="11" t="str">
        <f>IFERROR(__xludf.DUMMYFUNCTION("""COMPUTED_VALUE"""),"CORPORATE")</f>
        <v>CORPORATE</v>
      </c>
      <c r="F34" s="11" t="str">
        <f>IFERROR(__xludf.DUMMYFUNCTION("""COMPUTED_VALUE"""),"Profile")</f>
        <v>Profile</v>
      </c>
      <c r="G34" s="11" t="b">
        <f>IFERROR(__xludf.DUMMYFUNCTION("""COMPUTED_VALUE"""),FALSE)</f>
        <v>0</v>
      </c>
      <c r="H34" s="11" t="str">
        <f>IFERROR(__xludf.DUMMYFUNCTION("""COMPUTED_VALUE"""),"Pilot")</f>
        <v>Pilot</v>
      </c>
      <c r="I34" s="11">
        <f>IFERROR(__xludf.DUMMYFUNCTION("""COMPUTED_VALUE"""),5.0)</f>
        <v>5</v>
      </c>
      <c r="J34" s="11">
        <f>IFERROR(__xludf.DUMMYFUNCTION("""COMPUTED_VALUE"""),0.01)</f>
        <v>0.01</v>
      </c>
      <c r="K34" s="11">
        <f>IFERROR(__xludf.DUMMYFUNCTION("""COMPUTED_VALUE"""),0.0)</f>
        <v>0</v>
      </c>
    </row>
    <row r="35" ht="15.75" customHeight="1">
      <c r="A35" s="8" t="str">
        <f>IFERROR(__xludf.DUMMYFUNCTION("""COMPUTED_VALUE"""),"https://www.sortlist.de/web-analytics/deutschland-de")</f>
        <v>https://www.sortlist.de/web-analytics/deutschland-de</v>
      </c>
      <c r="B35" s="11" t="str">
        <f>IFERROR(__xludf.DUMMYFUNCTION("""COMPUTED_VALUE"""),"Unsere 10 Besten Webanalytics Agenturen in Deutschland - 2026 Bewertungen")</f>
        <v>Unsere 10 Besten Webanalytics Agenturen in Deutschland - 2026 Bewertungen</v>
      </c>
      <c r="C35" s="8" t="str">
        <f>IFERROR(__xludf.DUMMYFUNCTION("""COMPUTED_VALUE"""),"sortlist.de")</f>
        <v>sortlist.de</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t="str">
        <f>IFERROR(__xludf.DUMMYFUNCTION("""COMPUTED_VALUE"""),"KlickPiloten, Baseplus DIGITAL MEDIA GmbH")</f>
        <v>KlickPiloten, Baseplus DIGITAL MEDIA GmbH</v>
      </c>
      <c r="I35" s="11">
        <f>IFERROR(__xludf.DUMMYFUNCTION("""COMPUTED_VALUE"""),5.0)</f>
        <v>5</v>
      </c>
      <c r="J35" s="11">
        <f>IFERROR(__xludf.DUMMYFUNCTION("""COMPUTED_VALUE"""),0.01)</f>
        <v>0.01</v>
      </c>
      <c r="K35" s="11">
        <f>IFERROR(__xludf.DUMMYFUNCTION("""COMPUTED_VALUE"""),0.6)</f>
        <v>0.6</v>
      </c>
    </row>
    <row r="36" ht="15.75" customHeight="1">
      <c r="A36" s="8" t="str">
        <f>IFERROR(__xludf.DUMMYFUNCTION("""COMPUTED_VALUE"""),"https://www.sortlist.com/de/performance-marketing")</f>
        <v>https://www.sortlist.com/de/performance-marketing</v>
      </c>
      <c r="B36" s="11" t="str">
        <f>IFERROR(__xludf.DUMMYFUNCTION("""COMPUTED_VALUE"""),"Unsere 100 Besten Performance Marketing Agenturen - 2026 Bewertungen")</f>
        <v>Unsere 100 Besten Performance Marketing Agenturen - 2026 Bewertungen</v>
      </c>
      <c r="C36" s="8" t="str">
        <f>IFERROR(__xludf.DUMMYFUNCTION("""COMPUTED_VALUE"""),"sortlist.com")</f>
        <v>sortlist.com</v>
      </c>
      <c r="D36" s="11" t="str">
        <f>IFERROR(__xludf.DUMMYFUNCTION("""COMPUTED_VALUE"""),"ARTICLE")</f>
        <v>ARTICLE</v>
      </c>
      <c r="E36" s="11" t="str">
        <f>IFERROR(__xludf.DUMMYFUNCTION("""COMPUTED_VALUE"""),"CORPORATE")</f>
        <v>CORPORATE</v>
      </c>
      <c r="F36" s="11" t="str">
        <f>IFERROR(__xludf.DUMMYFUNCTION("""COMPUTED_VALUE"""),"Article")</f>
        <v>Article</v>
      </c>
      <c r="G36" s="11" t="b">
        <f>IFERROR(__xludf.DUMMYFUNCTION("""COMPUTED_VALUE"""),FALSE)</f>
        <v>0</v>
      </c>
      <c r="H36" s="11" t="str">
        <f>IFERROR(__xludf.DUMMYFUNCTION("""COMPUTED_VALUE"""),"KlickPiloten, MONSOON, Triple Whale, Northbeam, Dreamdata, Mediacharge")</f>
        <v>KlickPiloten, MONSOON, Triple Whale, Northbeam, Dreamdata, Mediacharge</v>
      </c>
      <c r="I36" s="11">
        <f>IFERROR(__xludf.DUMMYFUNCTION("""COMPUTED_VALUE"""),4.0)</f>
        <v>4</v>
      </c>
      <c r="J36" s="11">
        <f>IFERROR(__xludf.DUMMYFUNCTION("""COMPUTED_VALUE"""),0.0)</f>
        <v>0</v>
      </c>
      <c r="K36" s="11">
        <f>IFERROR(__xludf.DUMMYFUNCTION("""COMPUTED_VALUE"""),0.0)</f>
        <v>0</v>
      </c>
    </row>
    <row r="37" ht="15.75" customHeight="1">
      <c r="A37" s="8" t="str">
        <f>IFERROR(__xludf.DUMMYFUNCTION("""COMPUTED_VALUE"""),"https://www.sortlist.com/s/b2b-marketing/germany-de")</f>
        <v>https://www.sortlist.com/s/b2b-marketing/germany-de</v>
      </c>
      <c r="B37" s="11" t="str">
        <f>IFERROR(__xludf.DUMMYFUNCTION("""COMPUTED_VALUE"""),"The 10 Best B2B Marketing Agencies in Germany - 2026 Reviews")</f>
        <v>The 10 Best B2B Marketing Agencies in Germany - 2026 Reviews</v>
      </c>
      <c r="C37" s="8" t="str">
        <f>IFERROR(__xludf.DUMMYFUNCTION("""COMPUTED_VALUE"""),"sortlist.com")</f>
        <v>sortlist.com</v>
      </c>
      <c r="D37" s="11" t="str">
        <f>IFERROR(__xludf.DUMMYFUNCTION("""COMPUTED_VALUE"""),"CATEGORY_PAGE")</f>
        <v>CATEGORY_PAGE</v>
      </c>
      <c r="E37" s="11" t="str">
        <f>IFERROR(__xludf.DUMMYFUNCTION("""COMPUTED_VALUE"""),"CORPORATE")</f>
        <v>CORPORATE</v>
      </c>
      <c r="F37" s="11" t="str">
        <f>IFERROR(__xludf.DUMMYFUNCTION("""COMPUTED_VALUE"""),"Category Page")</f>
        <v>Category Page</v>
      </c>
      <c r="G37" s="11" t="b">
        <f>IFERROR(__xludf.DUMMYFUNCTION("""COMPUTED_VALUE"""),FALSE)</f>
        <v>0</v>
      </c>
      <c r="H37" s="11" t="str">
        <f>IFERROR(__xludf.DUMMYFUNCTION("""COMPUTED_VALUE"""),"MONSOON, Measured")</f>
        <v>MONSOON, Measured</v>
      </c>
      <c r="I37" s="11">
        <f>IFERROR(__xludf.DUMMYFUNCTION("""COMPUTED_VALUE"""),4.0)</f>
        <v>4</v>
      </c>
      <c r="J37" s="11">
        <f>IFERROR(__xludf.DUMMYFUNCTION("""COMPUTED_VALUE"""),0.0)</f>
        <v>0</v>
      </c>
      <c r="K37" s="11">
        <f>IFERROR(__xludf.DUMMYFUNCTION("""COMPUTED_VALUE"""),1.75)</f>
        <v>1.75</v>
      </c>
    </row>
    <row r="38" ht="15.75" customHeight="1">
      <c r="A38" s="8" t="str">
        <f>IFERROR(__xludf.DUMMYFUNCTION("""COMPUTED_VALUE"""),"https://www.sortlist.com/s/google-ads/germany-de")</f>
        <v>https://www.sortlist.com/s/google-ads/germany-de</v>
      </c>
      <c r="B38" s="11" t="str">
        <f>IFERROR(__xludf.DUMMYFUNCTION("""COMPUTED_VALUE"""),"The 10 Best Google Ads Agencies in Germany - 2026 Reviews")</f>
        <v>The 10 Best Google Ads Agencies in Germany - 2026 Reviews</v>
      </c>
      <c r="C38" s="8" t="str">
        <f>IFERROR(__xludf.DUMMYFUNCTION("""COMPUTED_VALUE"""),"sortlist.com")</f>
        <v>sortlist.com</v>
      </c>
      <c r="D38" s="11" t="str">
        <f>IFERROR(__xludf.DUMMYFUNCTION("""COMPUTED_VALUE"""),"CATEGORY_PAGE")</f>
        <v>CATEGORY_PAGE</v>
      </c>
      <c r="E38" s="11" t="str">
        <f>IFERROR(__xludf.DUMMYFUNCTION("""COMPUTED_VALUE"""),"CORPORATE")</f>
        <v>CORPORATE</v>
      </c>
      <c r="F38" s="11" t="str">
        <f>IFERROR(__xludf.DUMMYFUNCTION("""COMPUTED_VALUE"""),"Category Page")</f>
        <v>Category Page</v>
      </c>
      <c r="G38" s="11" t="b">
        <f>IFERROR(__xludf.DUMMYFUNCTION("""COMPUTED_VALUE"""),FALSE)</f>
        <v>0</v>
      </c>
      <c r="H38" s="11" t="str">
        <f>IFERROR(__xludf.DUMMYFUNCTION("""COMPUTED_VALUE"""),"MONSOON, Triple Whale, Northbeam, Dreamdata")</f>
        <v>MONSOON, Triple Whale, Northbeam, Dreamdata</v>
      </c>
      <c r="I38" s="11">
        <f>IFERROR(__xludf.DUMMYFUNCTION("""COMPUTED_VALUE"""),4.0)</f>
        <v>4</v>
      </c>
      <c r="J38" s="11">
        <f>IFERROR(__xludf.DUMMYFUNCTION("""COMPUTED_VALUE"""),0.0)</f>
        <v>0</v>
      </c>
      <c r="K38" s="11">
        <f>IFERROR(__xludf.DUMMYFUNCTION("""COMPUTED_VALUE"""),0.75)</f>
        <v>0.75</v>
      </c>
    </row>
    <row r="39" ht="15.75" customHeight="1">
      <c r="A39" s="8" t="str">
        <f>IFERROR(__xludf.DUMMYFUNCTION("""COMPUTED_VALUE"""),"https://www.sortlist.com/s/marketing-analytics/berlin-de")</f>
        <v>https://www.sortlist.com/s/marketing-analytics/berlin-de</v>
      </c>
      <c r="B39" s="11" t="str">
        <f>IFERROR(__xludf.DUMMYFUNCTION("""COMPUTED_VALUE"""),"The 10 Best Marketing Analytics Companies in Berlin - 2026 Reviews")</f>
        <v>The 10 Best Marketing Analytics Companies in Berlin - 2026 Reviews</v>
      </c>
      <c r="C39" s="8" t="str">
        <f>IFERROR(__xludf.DUMMYFUNCTION("""COMPUTED_VALUE"""),"sortlist.com")</f>
        <v>sortlist.com</v>
      </c>
      <c r="D39" s="11" t="str">
        <f>IFERROR(__xludf.DUMMYFUNCTION("""COMPUTED_VALUE"""),"CATEGORY_PAGE")</f>
        <v>CATEGORY_PAGE</v>
      </c>
      <c r="E39" s="11" t="str">
        <f>IFERROR(__xludf.DUMMYFUNCTION("""COMPUTED_VALUE"""),"CORPORATE")</f>
        <v>CORPORATE</v>
      </c>
      <c r="F39" s="11" t="str">
        <f>IFERROR(__xludf.DUMMYFUNCTION("""COMPUTED_VALUE"""),"Category Page")</f>
        <v>Category Page</v>
      </c>
      <c r="G39" s="11" t="b">
        <f>IFERROR(__xludf.DUMMYFUNCTION("""COMPUTED_VALUE"""),FALSE)</f>
        <v>0</v>
      </c>
      <c r="H39" s="11" t="str">
        <f>IFERROR(__xludf.DUMMYFUNCTION("""COMPUTED_VALUE"""),"MONSOON, Triple Whale, Northbeam, Dreamdata, KlickPiloten, lehof")</f>
        <v>MONSOON, Triple Whale, Northbeam, Dreamdata, KlickPiloten, lehof</v>
      </c>
      <c r="I39" s="11">
        <f>IFERROR(__xludf.DUMMYFUNCTION("""COMPUTED_VALUE"""),4.0)</f>
        <v>4</v>
      </c>
      <c r="J39" s="11">
        <f>IFERROR(__xludf.DUMMYFUNCTION("""COMPUTED_VALUE"""),0.0)</f>
        <v>0</v>
      </c>
      <c r="K39" s="11">
        <f>IFERROR(__xludf.DUMMYFUNCTION("""COMPUTED_VALUE"""),0.25)</f>
        <v>0.25</v>
      </c>
    </row>
    <row r="40" ht="15.75" customHeight="1">
      <c r="A40" s="8" t="str">
        <f>IFERROR(__xludf.DUMMYFUNCTION("""COMPUTED_VALUE"""),"https://www.sortlist.de/s/ai-marketing/baden-wuerttemberg-bw-de")</f>
        <v>https://www.sortlist.de/s/ai-marketing/baden-wuerttemberg-bw-de</v>
      </c>
      <c r="B40" s="11" t="str">
        <f>IFERROR(__xludf.DUMMYFUNCTION("""COMPUTED_VALUE"""),"AI Marketing Agentur Baden-Württemberg | Vergleich")</f>
        <v>AI Marketing Agentur Baden-Württemberg | Vergleich</v>
      </c>
      <c r="C40" s="8" t="str">
        <f>IFERROR(__xludf.DUMMYFUNCTION("""COMPUTED_VALUE"""),"sortlist.de")</f>
        <v>sortlist.de</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c r="I40" s="11">
        <f>IFERROR(__xludf.DUMMYFUNCTION("""COMPUTED_VALUE"""),4.0)</f>
        <v>4</v>
      </c>
      <c r="J40" s="11">
        <f>IFERROR(__xludf.DUMMYFUNCTION("""COMPUTED_VALUE"""),0.0)</f>
        <v>0</v>
      </c>
      <c r="K40" s="11">
        <f>IFERROR(__xludf.DUMMYFUNCTION("""COMPUTED_VALUE"""),0.0)</f>
        <v>0</v>
      </c>
    </row>
    <row r="41" ht="15.75" customHeight="1">
      <c r="A41" s="8" t="str">
        <f>IFERROR(__xludf.DUMMYFUNCTION("""COMPUTED_VALUE"""),"https://www.sortlist.de/s/ai-marketing/muenchen-by-de")</f>
        <v>https://www.sortlist.de/s/ai-marketing/muenchen-by-de</v>
      </c>
      <c r="B41" s="11" t="str">
        <f>IFERROR(__xludf.DUMMYFUNCTION("""COMPUTED_VALUE"""),"Unsere 10 Besten AI Marketing Agenturen in München - 2026 Bewertungen")</f>
        <v>Unsere 10 Besten AI Marketing Agenturen in München - 2026 Bewertungen</v>
      </c>
      <c r="C41" s="8" t="str">
        <f>IFERROR(__xludf.DUMMYFUNCTION("""COMPUTED_VALUE"""),"sortlist.de")</f>
        <v>sortlist.de</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IFERROR(__xludf.DUMMYFUNCTION("""COMPUTED_VALUE"""),"Pilot")</f>
        <v>Pilot</v>
      </c>
      <c r="I41" s="11">
        <f>IFERROR(__xludf.DUMMYFUNCTION("""COMPUTED_VALUE"""),4.0)</f>
        <v>4</v>
      </c>
      <c r="J41" s="11">
        <f>IFERROR(__xludf.DUMMYFUNCTION("""COMPUTED_VALUE"""),0.0)</f>
        <v>0</v>
      </c>
      <c r="K41" s="11">
        <f>IFERROR(__xludf.DUMMYFUNCTION("""COMPUTED_VALUE"""),0.0)</f>
        <v>0</v>
      </c>
    </row>
    <row r="42" ht="15.75" customHeight="1">
      <c r="A42" s="8" t="str">
        <f>IFERROR(__xludf.DUMMYFUNCTION("""COMPUTED_VALUE"""),"https://www.sortlist.de/s/google-analytics/deutschland-de")</f>
        <v>https://www.sortlist.de/s/google-analytics/deutschland-de</v>
      </c>
      <c r="B42" s="11" t="str">
        <f>IFERROR(__xludf.DUMMYFUNCTION("""COMPUTED_VALUE"""),"Unsere 10 Besten Google Analytics Beratung Agenturen in Deutschland - 2026 Bewertungen")</f>
        <v>Unsere 10 Besten Google Analytics Beratung Agenturen in Deutschland - 2026 Bewertungen</v>
      </c>
      <c r="C42" s="8" t="str">
        <f>IFERROR(__xludf.DUMMYFUNCTION("""COMPUTED_VALUE"""),"sortlist.de")</f>
        <v>sortlist.de</v>
      </c>
      <c r="D42" s="11" t="str">
        <f>IFERROR(__xludf.DUMMYFUNCTION("""COMPUTED_VALUE"""),"CATEGORY_PAGE")</f>
        <v>CATEGORY_PAGE</v>
      </c>
      <c r="E42" s="11" t="str">
        <f>IFERROR(__xludf.DUMMYFUNCTION("""COMPUTED_VALUE"""),"CORPORATE")</f>
        <v>CORPORATE</v>
      </c>
      <c r="F42" s="11" t="str">
        <f>IFERROR(__xludf.DUMMYFUNCTION("""COMPUTED_VALUE"""),"Category Page")</f>
        <v>Category Page</v>
      </c>
      <c r="G42" s="11" t="b">
        <f>IFERROR(__xludf.DUMMYFUNCTION("""COMPUTED_VALUE"""),FALSE)</f>
        <v>0</v>
      </c>
      <c r="H42" s="11" t="str">
        <f>IFERROR(__xludf.DUMMYFUNCTION("""COMPUTED_VALUE"""),"Mediacharge, Loyamo")</f>
        <v>Mediacharge, Loyamo</v>
      </c>
      <c r="I42" s="11">
        <f>IFERROR(__xludf.DUMMYFUNCTION("""COMPUTED_VALUE"""),4.0)</f>
        <v>4</v>
      </c>
      <c r="J42" s="11">
        <f>IFERROR(__xludf.DUMMYFUNCTION("""COMPUTED_VALUE"""),0.0)</f>
        <v>0</v>
      </c>
      <c r="K42" s="11">
        <f>IFERROR(__xludf.DUMMYFUNCTION("""COMPUTED_VALUE"""),0.0)</f>
        <v>0</v>
      </c>
    </row>
    <row r="43" ht="15.75" customHeight="1">
      <c r="A43" s="8" t="str">
        <f>IFERROR(__xludf.DUMMYFUNCTION("""COMPUTED_VALUE"""),"https://www.sortlist.de/s/programmatic-advertising/deutschland-de")</f>
        <v>https://www.sortlist.de/s/programmatic-advertising/deutschland-de</v>
      </c>
      <c r="B43" s="11" t="str">
        <f>IFERROR(__xludf.DUMMYFUNCTION("""COMPUTED_VALUE"""),"Unsere 10 Besten Programmatic Advertising Agenturen in Deutschland - 2026 Bewertungen")</f>
        <v>Unsere 10 Besten Programmatic Advertising Agenturen in Deutschland - 2026 Bewertungen</v>
      </c>
      <c r="C43" s="8" t="str">
        <f>IFERROR(__xludf.DUMMYFUNCTION("""COMPUTED_VALUE"""),"sortlist.de")</f>
        <v>sortlist.de</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IFERROR(__xludf.DUMMYFUNCTION("""COMPUTED_VALUE"""),"lehof, MONSOON, Triple Whale, Northbeam, Dreamdata, KlickPiloten")</f>
        <v>lehof, MONSOON, Triple Whale, Northbeam, Dreamdata, KlickPiloten</v>
      </c>
      <c r="I43" s="11">
        <f>IFERROR(__xludf.DUMMYFUNCTION("""COMPUTED_VALUE"""),4.0)</f>
        <v>4</v>
      </c>
      <c r="J43" s="11">
        <f>IFERROR(__xludf.DUMMYFUNCTION("""COMPUTED_VALUE"""),0.0)</f>
        <v>0</v>
      </c>
      <c r="K43" s="11">
        <f>IFERROR(__xludf.DUMMYFUNCTION("""COMPUTED_VALUE"""),1.25)</f>
        <v>1.25</v>
      </c>
    </row>
    <row r="44" ht="15.75" customHeight="1">
      <c r="A44" s="8" t="str">
        <f>IFERROR(__xludf.DUMMYFUNCTION("""COMPUTED_VALUE"""),"https://www.sortlist.com/i/s/creative/berlin-de")</f>
        <v>https://www.sortlist.com/i/s/creative/berlin-de</v>
      </c>
      <c r="B44" s="11" t="str">
        <f>IFERROR(__xludf.DUMMYFUNCTION("""COMPUTED_VALUE"""),"The 10 Best Creative Agencies in Berlin - 2026 Reviews")</f>
        <v>The 10 Best Creative Agencies in Berlin - 2026 Reviews</v>
      </c>
      <c r="C44" s="8" t="str">
        <f>IFERROR(__xludf.DUMMYFUNCTION("""COMPUTED_VALUE"""),"sortlist.com")</f>
        <v>sortlist.com</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IFERROR(__xludf.DUMMYFUNCTION("""COMPUTED_VALUE"""),"PANORAMA3000, Momentum")</f>
        <v>PANORAMA3000, Momentum</v>
      </c>
      <c r="I44" s="11">
        <f>IFERROR(__xludf.DUMMYFUNCTION("""COMPUTED_VALUE"""),3.0)</f>
        <v>3</v>
      </c>
      <c r="J44" s="11">
        <f>IFERROR(__xludf.DUMMYFUNCTION("""COMPUTED_VALUE"""),0.0)</f>
        <v>0</v>
      </c>
      <c r="K44" s="11">
        <f>IFERROR(__xludf.DUMMYFUNCTION("""COMPUTED_VALUE"""),0.0)</f>
        <v>0</v>
      </c>
    </row>
    <row r="45" ht="15.75" customHeight="1">
      <c r="A45" s="8" t="str">
        <f>IFERROR(__xludf.DUMMYFUNCTION("""COMPUTED_VALUE"""),"https://www.sortlist.com/s/data-driven-marketing/germany-de")</f>
        <v>https://www.sortlist.com/s/data-driven-marketing/germany-de</v>
      </c>
      <c r="B45" s="11" t="str">
        <f>IFERROR(__xludf.DUMMYFUNCTION("""COMPUTED_VALUE"""),"The 10 Best Data Driven Marketing Agencies in Germany - 2026 Reviews")</f>
        <v>The 10 Best Data Driven Marketing Agencies in Germany - 2026 Reviews</v>
      </c>
      <c r="C45" s="8" t="str">
        <f>IFERROR(__xludf.DUMMYFUNCTION("""COMPUTED_VALUE"""),"sortlist.com")</f>
        <v>sortlist.com</v>
      </c>
      <c r="D45" s="11" t="str">
        <f>IFERROR(__xludf.DUMMYFUNCTION("""COMPUTED_VALUE"""),"PROFILE")</f>
        <v>PROFILE</v>
      </c>
      <c r="E45" s="11" t="str">
        <f>IFERROR(__xludf.DUMMYFUNCTION("""COMPUTED_VALUE"""),"CORPORATE")</f>
        <v>CORPORATE</v>
      </c>
      <c r="F45" s="11" t="str">
        <f>IFERROR(__xludf.DUMMYFUNCTION("""COMPUTED_VALUE"""),"Profile")</f>
        <v>Profile</v>
      </c>
      <c r="G45" s="11" t="b">
        <f>IFERROR(__xludf.DUMMYFUNCTION("""COMPUTED_VALUE"""),FALSE)</f>
        <v>0</v>
      </c>
      <c r="H45" s="11" t="str">
        <f>IFERROR(__xludf.DUMMYFUNCTION("""COMPUTED_VALUE"""),"lehof, MONSOON, Measured")</f>
        <v>lehof, MONSOON, Measured</v>
      </c>
      <c r="I45" s="11">
        <f>IFERROR(__xludf.DUMMYFUNCTION("""COMPUTED_VALUE"""),3.0)</f>
        <v>3</v>
      </c>
      <c r="J45" s="11">
        <f>IFERROR(__xludf.DUMMYFUNCTION("""COMPUTED_VALUE"""),0.0)</f>
        <v>0</v>
      </c>
      <c r="K45" s="11">
        <f>IFERROR(__xludf.DUMMYFUNCTION("""COMPUTED_VALUE"""),0.0)</f>
        <v>0</v>
      </c>
    </row>
    <row r="46" ht="15.75" customHeight="1">
      <c r="A46" s="8" t="str">
        <f>IFERROR(__xludf.DUMMYFUNCTION("""COMPUTED_VALUE"""),"https://www.sortlist.com/s/display-advertising/munich-by-de")</f>
        <v>https://www.sortlist.com/s/display-advertising/munich-by-de</v>
      </c>
      <c r="B46" s="11" t="str">
        <f>IFERROR(__xludf.DUMMYFUNCTION("""COMPUTED_VALUE"""),"The 10 Best Display Advertising Agencies in Munich - 2026 Reviews")</f>
        <v>The 10 Best Display Advertising Agencies in Munich - 2026 Reviews</v>
      </c>
      <c r="C46" s="8" t="str">
        <f>IFERROR(__xludf.DUMMYFUNCTION("""COMPUTED_VALUE"""),"sortlist.com")</f>
        <v>sortlist.com</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IFERROR(__xludf.DUMMYFUNCTION("""COMPUTED_VALUE"""),"Mediacharge, Triple Whale, Northbeam, Dreamdata, MONSOON, Loyamo")</f>
        <v>Mediacharge, Triple Whale, Northbeam, Dreamdata, MONSOON, Loyamo</v>
      </c>
      <c r="I46" s="11">
        <f>IFERROR(__xludf.DUMMYFUNCTION("""COMPUTED_VALUE"""),3.0)</f>
        <v>3</v>
      </c>
      <c r="J46" s="11">
        <f>IFERROR(__xludf.DUMMYFUNCTION("""COMPUTED_VALUE"""),0.0)</f>
        <v>0</v>
      </c>
      <c r="K46" s="11">
        <f>IFERROR(__xludf.DUMMYFUNCTION("""COMPUTED_VALUE"""),0.67)</f>
        <v>0.67</v>
      </c>
    </row>
    <row r="47" ht="15.75" customHeight="1">
      <c r="A47" s="8" t="str">
        <f>IFERROR(__xludf.DUMMYFUNCTION("""COMPUTED_VALUE"""),"https://www.sortlist.com/s/programmatic-advertising/germany-de")</f>
        <v>https://www.sortlist.com/s/programmatic-advertising/germany-de</v>
      </c>
      <c r="B47" s="11" t="str">
        <f>IFERROR(__xludf.DUMMYFUNCTION("""COMPUTED_VALUE"""),"The 10 Best Programmatic Advertising Companies in Germany - 2026 Reviews")</f>
        <v>The 10 Best Programmatic Advertising Companies in Germany - 2026 Reviews</v>
      </c>
      <c r="C47" s="8" t="str">
        <f>IFERROR(__xludf.DUMMYFUNCTION("""COMPUTED_VALUE"""),"sortlist.com")</f>
        <v>sortlist.com</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IFERROR(__xludf.DUMMYFUNCTION("""COMPUTED_VALUE"""),"lehof, MONSOON, Triple Whale, Northbeam, Dreamdata, KlickPiloten")</f>
        <v>lehof, MONSOON, Triple Whale, Northbeam, Dreamdata, KlickPiloten</v>
      </c>
      <c r="I47" s="11">
        <f>IFERROR(__xludf.DUMMYFUNCTION("""COMPUTED_VALUE"""),3.0)</f>
        <v>3</v>
      </c>
      <c r="J47" s="11">
        <f>IFERROR(__xludf.DUMMYFUNCTION("""COMPUTED_VALUE"""),0.0)</f>
        <v>0</v>
      </c>
      <c r="K47" s="11">
        <f>IFERROR(__xludf.DUMMYFUNCTION("""COMPUTED_VALUE"""),0.0)</f>
        <v>0</v>
      </c>
    </row>
    <row r="48" ht="15.75" customHeight="1">
      <c r="A48" s="8" t="str">
        <f>IFERROR(__xludf.DUMMYFUNCTION("""COMPUTED_VALUE"""),"https://www.sortlist.de/s/ai-marketing/berlin-de")</f>
        <v>https://www.sortlist.de/s/ai-marketing/berlin-de</v>
      </c>
      <c r="B48" s="11" t="str">
        <f>IFERROR(__xludf.DUMMYFUNCTION("""COMPUTED_VALUE"""),"Unsere 10 Besten AI Marketing Agenturen in Berlin - 2026 Bewertungen")</f>
        <v>Unsere 10 Besten AI Marketing Agenturen in Berlin - 2026 Bewertungen</v>
      </c>
      <c r="C48" s="8" t="str">
        <f>IFERROR(__xludf.DUMMYFUNCTION("""COMPUTED_VALUE"""),"sortlist.de")</f>
        <v>sortlist.de</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t="str">
        <f>IFERROR(__xludf.DUMMYFUNCTION("""COMPUTED_VALUE"""),"Pilot")</f>
        <v>Pilot</v>
      </c>
      <c r="I48" s="11">
        <f>IFERROR(__xludf.DUMMYFUNCTION("""COMPUTED_VALUE"""),3.0)</f>
        <v>3</v>
      </c>
      <c r="J48" s="11">
        <f>IFERROR(__xludf.DUMMYFUNCTION("""COMPUTED_VALUE"""),0.0)</f>
        <v>0</v>
      </c>
      <c r="K48" s="11">
        <f>IFERROR(__xludf.DUMMYFUNCTION("""COMPUTED_VALUE"""),0.0)</f>
        <v>0</v>
      </c>
    </row>
    <row r="49" ht="15.75" customHeight="1">
      <c r="A49" s="8" t="str">
        <f>IFERROR(__xludf.DUMMYFUNCTION("""COMPUTED_VALUE"""),"https://www.sortlist.de/s/big-data-analytics/deutschland-de")</f>
        <v>https://www.sortlist.de/s/big-data-analytics/deutschland-de</v>
      </c>
      <c r="B49" s="11" t="str">
        <f>IFERROR(__xludf.DUMMYFUNCTION("""COMPUTED_VALUE"""),"Big Data Analytics Agenturen in Deutschland vergleichen")</f>
        <v>Big Data Analytics Agenturen in Deutschland vergleichen</v>
      </c>
      <c r="C49" s="8" t="str">
        <f>IFERROR(__xludf.DUMMYFUNCTION("""COMPUTED_VALUE"""),"sortlist.de")</f>
        <v>sortlist.de</v>
      </c>
      <c r="D49" s="11" t="str">
        <f>IFERROR(__xludf.DUMMYFUNCTION("""COMPUTED_VALUE"""),"COMPARISON")</f>
        <v>COMPARISON</v>
      </c>
      <c r="E49" s="11" t="str">
        <f>IFERROR(__xludf.DUMMYFUNCTION("""COMPUTED_VALUE"""),"CORPORATE")</f>
        <v>CORPORATE</v>
      </c>
      <c r="F49" s="11" t="str">
        <f>IFERROR(__xludf.DUMMYFUNCTION("""COMPUTED_VALUE"""),"Comparison")</f>
        <v>Comparison</v>
      </c>
      <c r="G49" s="11" t="b">
        <f>IFERROR(__xludf.DUMMYFUNCTION("""COMPUTED_VALUE"""),FALSE)</f>
        <v>0</v>
      </c>
      <c r="H49" s="11"/>
      <c r="I49" s="11">
        <f>IFERROR(__xludf.DUMMYFUNCTION("""COMPUTED_VALUE"""),3.0)</f>
        <v>3</v>
      </c>
      <c r="J49" s="11">
        <f>IFERROR(__xludf.DUMMYFUNCTION("""COMPUTED_VALUE"""),0.0)</f>
        <v>0</v>
      </c>
      <c r="K49" s="11">
        <f>IFERROR(__xludf.DUMMYFUNCTION("""COMPUTED_VALUE"""),0.0)</f>
        <v>0</v>
      </c>
    </row>
    <row r="50" ht="15.75" customHeight="1">
      <c r="A50" s="8" t="str">
        <f>IFERROR(__xludf.DUMMYFUNCTION("""COMPUTED_VALUE"""),"https://www.sortlist.de/s/big-data-marketing/deutschland-de")</f>
        <v>https://www.sortlist.de/s/big-data-marketing/deutschland-de</v>
      </c>
      <c r="B50" s="11" t="str">
        <f>IFERROR(__xludf.DUMMYFUNCTION("""COMPUTED_VALUE"""),"Unsere 10 Besten Big Data Marketing Agenturen in Deutschland - 2026 Bewertungen")</f>
        <v>Unsere 10 Besten Big Data Marketing Agenturen in Deutschland - 2026 Bewertungen</v>
      </c>
      <c r="C50" s="8" t="str">
        <f>IFERROR(__xludf.DUMMYFUNCTION("""COMPUTED_VALUE"""),"sortlist.de")</f>
        <v>sortlist.de</v>
      </c>
      <c r="D50" s="11" t="str">
        <f>IFERROR(__xludf.DUMMYFUNCTION("""COMPUTED_VALUE"""),"CATEGORY_PAGE")</f>
        <v>CATEGORY_PAGE</v>
      </c>
      <c r="E50" s="11" t="str">
        <f>IFERROR(__xludf.DUMMYFUNCTION("""COMPUTED_VALUE"""),"CORPORATE")</f>
        <v>CORPORATE</v>
      </c>
      <c r="F50" s="11" t="str">
        <f>IFERROR(__xludf.DUMMYFUNCTION("""COMPUTED_VALUE"""),"Category Page")</f>
        <v>Category Page</v>
      </c>
      <c r="G50" s="11" t="b">
        <f>IFERROR(__xludf.DUMMYFUNCTION("""COMPUTED_VALUE"""),FALSE)</f>
        <v>0</v>
      </c>
      <c r="H50" s="11" t="str">
        <f>IFERROR(__xludf.DUMMYFUNCTION("""COMPUTED_VALUE"""),"KlickPiloten, morefire, Pilot")</f>
        <v>KlickPiloten, morefire, Pilot</v>
      </c>
      <c r="I50" s="11">
        <f>IFERROR(__xludf.DUMMYFUNCTION("""COMPUTED_VALUE"""),3.0)</f>
        <v>3</v>
      </c>
      <c r="J50" s="11">
        <f>IFERROR(__xludf.DUMMYFUNCTION("""COMPUTED_VALUE"""),0.0)</f>
        <v>0</v>
      </c>
      <c r="K50" s="11">
        <f>IFERROR(__xludf.DUMMYFUNCTION("""COMPUTED_VALUE"""),0.0)</f>
        <v>0</v>
      </c>
    </row>
    <row r="51" ht="15.75" customHeight="1">
      <c r="A51" s="8" t="str">
        <f>IFERROR(__xludf.DUMMYFUNCTION("""COMPUTED_VALUE"""),"https://www.sortlist.de/s/instagram-werbung/deutschland-de")</f>
        <v>https://www.sortlist.de/s/instagram-werbung/deutschland-de</v>
      </c>
      <c r="B51" s="11" t="str">
        <f>IFERROR(__xludf.DUMMYFUNCTION("""COMPUTED_VALUE"""),"Unsere 10 Besten Instagram Werbung Agenturen in Deutschland - 2026 Bewertungen")</f>
        <v>Unsere 10 Besten Instagram Werbung Agenturen in Deutschland - 2026 Bewertungen</v>
      </c>
      <c r="C51" s="8" t="str">
        <f>IFERROR(__xludf.DUMMYFUNCTION("""COMPUTED_VALUE"""),"sortlist.de")</f>
        <v>sortlist.de</v>
      </c>
      <c r="D51" s="11" t="str">
        <f>IFERROR(__xludf.DUMMYFUNCTION("""COMPUTED_VALUE"""),"CATEGORY_PAGE")</f>
        <v>CATEGORY_PAGE</v>
      </c>
      <c r="E51" s="11" t="str">
        <f>IFERROR(__xludf.DUMMYFUNCTION("""COMPUTED_VALUE"""),"CORPORATE")</f>
        <v>CORPORATE</v>
      </c>
      <c r="F51" s="11" t="str">
        <f>IFERROR(__xludf.DUMMYFUNCTION("""COMPUTED_VALUE"""),"Category Page")</f>
        <v>Category Page</v>
      </c>
      <c r="G51" s="11" t="b">
        <f>IFERROR(__xludf.DUMMYFUNCTION("""COMPUTED_VALUE"""),FALSE)</f>
        <v>0</v>
      </c>
      <c r="H51" s="11" t="str">
        <f>IFERROR(__xludf.DUMMYFUNCTION("""COMPUTED_VALUE"""),"KlickPiloten, PANORAMA3000, MONSOON, lehof, Triple Whale, Northbeam, Dreamdata")</f>
        <v>KlickPiloten, PANORAMA3000, MONSOON, lehof, Triple Whale, Northbeam, Dreamdata</v>
      </c>
      <c r="I51" s="11">
        <f>IFERROR(__xludf.DUMMYFUNCTION("""COMPUTED_VALUE"""),3.0)</f>
        <v>3</v>
      </c>
      <c r="J51" s="11">
        <f>IFERROR(__xludf.DUMMYFUNCTION("""COMPUTED_VALUE"""),0.0)</f>
        <v>0</v>
      </c>
      <c r="K51" s="11">
        <f>IFERROR(__xludf.DUMMYFUNCTION("""COMPUTED_VALUE"""),0.0)</f>
        <v>0</v>
      </c>
    </row>
    <row r="52" ht="15.75" customHeight="1">
      <c r="A52" s="8" t="str">
        <f>IFERROR(__xludf.DUMMYFUNCTION("""COMPUTED_VALUE"""),"https://www.sortlist.com/i/s/growth-marketing/germany-de")</f>
        <v>https://www.sortlist.com/i/s/growth-marketing/germany-de</v>
      </c>
      <c r="B52" s="11" t="str">
        <f>IFERROR(__xludf.DUMMYFUNCTION("""COMPUTED_VALUE"""),"The 10 Best Growth Marketing Agencies in Germany - 2026 Reviews")</f>
        <v>The 10 Best Growth Marketing Agencies in Germany - 2026 Reviews</v>
      </c>
      <c r="C52" s="8" t="str">
        <f>IFERROR(__xludf.DUMMYFUNCTION("""COMPUTED_VALUE"""),"sortlist.com")</f>
        <v>sortlist.com</v>
      </c>
      <c r="D52" s="11" t="str">
        <f>IFERROR(__xludf.DUMMYFUNCTION("""COMPUTED_VALUE"""),"HOW_TO_GUIDE")</f>
        <v>HOW_TO_GUIDE</v>
      </c>
      <c r="E52" s="11" t="str">
        <f>IFERROR(__xludf.DUMMYFUNCTION("""COMPUTED_VALUE"""),"CORPORATE")</f>
        <v>CORPORATE</v>
      </c>
      <c r="F52" s="11" t="str">
        <f>IFERROR(__xludf.DUMMYFUNCTION("""COMPUTED_VALUE"""),"How-To Guide")</f>
        <v>How-To Guide</v>
      </c>
      <c r="G52" s="11" t="b">
        <f>IFERROR(__xludf.DUMMYFUNCTION("""COMPUTED_VALUE"""),FALSE)</f>
        <v>0</v>
      </c>
      <c r="H52" s="11" t="str">
        <f>IFERROR(__xludf.DUMMYFUNCTION("""COMPUTED_VALUE"""),"Triple Whale, Northbeam, Dreamdata, MONSOON, Measured")</f>
        <v>Triple Whale, Northbeam, Dreamdata, MONSOON, Measured</v>
      </c>
      <c r="I52" s="11">
        <f>IFERROR(__xludf.DUMMYFUNCTION("""COMPUTED_VALUE"""),2.0)</f>
        <v>2</v>
      </c>
      <c r="J52" s="11">
        <f>IFERROR(__xludf.DUMMYFUNCTION("""COMPUTED_VALUE"""),0.0)</f>
        <v>0</v>
      </c>
      <c r="K52" s="11">
        <f>IFERROR(__xludf.DUMMYFUNCTION("""COMPUTED_VALUE"""),1.0)</f>
        <v>1</v>
      </c>
    </row>
    <row r="53" ht="15.75" customHeight="1">
      <c r="A53" s="8" t="str">
        <f>IFERROR(__xludf.DUMMYFUNCTION("""COMPUTED_VALUE"""),"https://www.sortlist.com/performance-marketing")</f>
        <v>https://www.sortlist.com/performance-marketing</v>
      </c>
      <c r="B53" s="11" t="str">
        <f>IFERROR(__xludf.DUMMYFUNCTION("""COMPUTED_VALUE"""),"The 100 Best Performance Marketing Agencies - 2026 Reviews")</f>
        <v>The 100 Best Performance Marketing Agencies - 2026 Reviews</v>
      </c>
      <c r="C53" s="8" t="str">
        <f>IFERROR(__xludf.DUMMYFUNCTION("""COMPUTED_VALUE"""),"sortlist.com")</f>
        <v>sortlist.com</v>
      </c>
      <c r="D53" s="11" t="str">
        <f>IFERROR(__xludf.DUMMYFUNCTION("""COMPUTED_VALUE"""),"CATEGORY_PAGE")</f>
        <v>CATEGORY_PAGE</v>
      </c>
      <c r="E53" s="11" t="str">
        <f>IFERROR(__xludf.DUMMYFUNCTION("""COMPUTED_VALUE"""),"CORPORATE")</f>
        <v>CORPORATE</v>
      </c>
      <c r="F53" s="11" t="str">
        <f>IFERROR(__xludf.DUMMYFUNCTION("""COMPUTED_VALUE"""),"Category Page")</f>
        <v>Category Page</v>
      </c>
      <c r="G53" s="11" t="b">
        <f>IFERROR(__xludf.DUMMYFUNCTION("""COMPUTED_VALUE"""),FALSE)</f>
        <v>0</v>
      </c>
      <c r="H53" s="11" t="str">
        <f>IFERROR(__xludf.DUMMYFUNCTION("""COMPUTED_VALUE"""),"MONSOON, Triple Whale, Northbeam, Dreamdata, Measured")</f>
        <v>MONSOON, Triple Whale, Northbeam, Dreamdata, Measured</v>
      </c>
      <c r="I53" s="11">
        <f>IFERROR(__xludf.DUMMYFUNCTION("""COMPUTED_VALUE"""),2.0)</f>
        <v>2</v>
      </c>
      <c r="J53" s="11">
        <f>IFERROR(__xludf.DUMMYFUNCTION("""COMPUTED_VALUE"""),0.0)</f>
        <v>0</v>
      </c>
      <c r="K53" s="11">
        <f>IFERROR(__xludf.DUMMYFUNCTION("""COMPUTED_VALUE"""),1.0)</f>
        <v>1</v>
      </c>
    </row>
    <row r="54" ht="15.75" customHeight="1">
      <c r="A54" s="8" t="str">
        <f>IFERROR(__xludf.DUMMYFUNCTION("""COMPUTED_VALUE"""),"https://www.sortlist.com/s/b2b-digital-marketing/germany-de")</f>
        <v>https://www.sortlist.com/s/b2b-digital-marketing/germany-de</v>
      </c>
      <c r="B54" s="11" t="str">
        <f>IFERROR(__xludf.DUMMYFUNCTION("""COMPUTED_VALUE"""),"The 10 Best B2B Digital Marketing Agencies in Germany - 2026 Reviews")</f>
        <v>The 10 Best B2B Digital Marketing Agencies in Germany - 2026 Reviews</v>
      </c>
      <c r="C54" s="8" t="str">
        <f>IFERROR(__xludf.DUMMYFUNCTION("""COMPUTED_VALUE"""),"sortlist.com")</f>
        <v>sortlist.com</v>
      </c>
      <c r="D54" s="11" t="str">
        <f>IFERROR(__xludf.DUMMYFUNCTION("""COMPUTED_VALUE"""),"PROFILE")</f>
        <v>PROFILE</v>
      </c>
      <c r="E54" s="11" t="str">
        <f>IFERROR(__xludf.DUMMYFUNCTION("""COMPUTED_VALUE"""),"CORPORATE")</f>
        <v>CORPORATE</v>
      </c>
      <c r="F54" s="11" t="str">
        <f>IFERROR(__xludf.DUMMYFUNCTION("""COMPUTED_VALUE"""),"Profile")</f>
        <v>Profile</v>
      </c>
      <c r="G54" s="11" t="b">
        <f>IFERROR(__xludf.DUMMYFUNCTION("""COMPUTED_VALUE"""),FALSE)</f>
        <v>0</v>
      </c>
      <c r="H54" s="11" t="str">
        <f>IFERROR(__xludf.DUMMYFUNCTION("""COMPUTED_VALUE"""),"Mediacharge")</f>
        <v>Mediacharge</v>
      </c>
      <c r="I54" s="11">
        <f>IFERROR(__xludf.DUMMYFUNCTION("""COMPUTED_VALUE"""),2.0)</f>
        <v>2</v>
      </c>
      <c r="J54" s="11">
        <f>IFERROR(__xludf.DUMMYFUNCTION("""COMPUTED_VALUE"""),0.0)</f>
        <v>0</v>
      </c>
      <c r="K54" s="11">
        <f>IFERROR(__xludf.DUMMYFUNCTION("""COMPUTED_VALUE"""),0.0)</f>
        <v>0</v>
      </c>
    </row>
    <row r="55" ht="15.75" customHeight="1">
      <c r="A55" s="8" t="str">
        <f>IFERROR(__xludf.DUMMYFUNCTION("""COMPUTED_VALUE"""),"https://www.sortlist.com/s/brand-creation/germany-de")</f>
        <v>https://www.sortlist.com/s/brand-creation/germany-de</v>
      </c>
      <c r="B55" s="11" t="str">
        <f>IFERROR(__xludf.DUMMYFUNCTION("""COMPUTED_VALUE"""),"The 10 Best Brand Creation Agencies in Germany - 2026 Reviews")</f>
        <v>The 10 Best Brand Creation Agencies in Germany - 2026 Reviews</v>
      </c>
      <c r="C55" s="8" t="str">
        <f>IFERROR(__xludf.DUMMYFUNCTION("""COMPUTED_VALUE"""),"sortlist.com")</f>
        <v>sortlist.com</v>
      </c>
      <c r="D55" s="11" t="str">
        <f>IFERROR(__xludf.DUMMYFUNCTION("""COMPUTED_VALUE"""),"CATEGORY_PAGE")</f>
        <v>CATEGORY_PAGE</v>
      </c>
      <c r="E55" s="11" t="str">
        <f>IFERROR(__xludf.DUMMYFUNCTION("""COMPUTED_VALUE"""),"CORPORATE")</f>
        <v>CORPORATE</v>
      </c>
      <c r="F55" s="11" t="str">
        <f>IFERROR(__xludf.DUMMYFUNCTION("""COMPUTED_VALUE"""),"Category Page")</f>
        <v>Category Page</v>
      </c>
      <c r="G55" s="11" t="b">
        <f>IFERROR(__xludf.DUMMYFUNCTION("""COMPUTED_VALUE"""),FALSE)</f>
        <v>0</v>
      </c>
      <c r="H55" s="11" t="str">
        <f>IFERROR(__xludf.DUMMYFUNCTION("""COMPUTED_VALUE"""),"Momentum")</f>
        <v>Momentum</v>
      </c>
      <c r="I55" s="11">
        <f>IFERROR(__xludf.DUMMYFUNCTION("""COMPUTED_VALUE"""),2.0)</f>
        <v>2</v>
      </c>
      <c r="J55" s="11">
        <f>IFERROR(__xludf.DUMMYFUNCTION("""COMPUTED_VALUE"""),0.0)</f>
        <v>0</v>
      </c>
      <c r="K55" s="11">
        <f>IFERROR(__xludf.DUMMYFUNCTION("""COMPUTED_VALUE"""),0.0)</f>
        <v>0</v>
      </c>
    </row>
    <row r="56" ht="15.75" customHeight="1">
      <c r="A56" s="8" t="str">
        <f>IFERROR(__xludf.DUMMYFUNCTION("""COMPUTED_VALUE"""),"https://www.sortlist.com/s/creative-design/germany-de")</f>
        <v>https://www.sortlist.com/s/creative-design/germany-de</v>
      </c>
      <c r="B56" s="11" t="str">
        <f>IFERROR(__xludf.DUMMYFUNCTION("""COMPUTED_VALUE"""),"The 10 Best Creative Design Agencies in Germany - 2026 Reviews")</f>
        <v>The 10 Best Creative Design Agencies in Germany - 2026 Reviews</v>
      </c>
      <c r="C56" s="8" t="str">
        <f>IFERROR(__xludf.DUMMYFUNCTION("""COMPUTED_VALUE"""),"sortlist.com")</f>
        <v>sortlist.com</v>
      </c>
      <c r="D56" s="11" t="str">
        <f>IFERROR(__xludf.DUMMYFUNCTION("""COMPUTED_VALUE"""),"CATEGORY_PAGE")</f>
        <v>CATEGORY_PAGE</v>
      </c>
      <c r="E56" s="11" t="str">
        <f>IFERROR(__xludf.DUMMYFUNCTION("""COMPUTED_VALUE"""),"CORPORATE")</f>
        <v>CORPORATE</v>
      </c>
      <c r="F56" s="11" t="str">
        <f>IFERROR(__xludf.DUMMYFUNCTION("""COMPUTED_VALUE"""),"Category Page")</f>
        <v>Category Page</v>
      </c>
      <c r="G56" s="11" t="b">
        <f>IFERROR(__xludf.DUMMYFUNCTION("""COMPUTED_VALUE"""),FALSE)</f>
        <v>0</v>
      </c>
      <c r="H56" s="11" t="str">
        <f>IFERROR(__xludf.DUMMYFUNCTION("""COMPUTED_VALUE"""),"Measured, Momentum")</f>
        <v>Measured, Momentum</v>
      </c>
      <c r="I56" s="11">
        <f>IFERROR(__xludf.DUMMYFUNCTION("""COMPUTED_VALUE"""),2.0)</f>
        <v>2</v>
      </c>
      <c r="J56" s="11">
        <f>IFERROR(__xludf.DUMMYFUNCTION("""COMPUTED_VALUE"""),0.0)</f>
        <v>0</v>
      </c>
      <c r="K56" s="11">
        <f>IFERROR(__xludf.DUMMYFUNCTION("""COMPUTED_VALUE"""),0.0)</f>
        <v>0</v>
      </c>
    </row>
    <row r="57" ht="15.75" customHeight="1">
      <c r="A57" s="8" t="str">
        <f>IFERROR(__xludf.DUMMYFUNCTION("""COMPUTED_VALUE"""),"https://www.sortlist.com/s/online-marketing/germany-de")</f>
        <v>https://www.sortlist.com/s/online-marketing/germany-de</v>
      </c>
      <c r="B57" s="11" t="str">
        <f>IFERROR(__xludf.DUMMYFUNCTION("""COMPUTED_VALUE"""),"The 10 Best Online Marketing Agencies in Germany - 2026 Reviews")</f>
        <v>The 10 Best Online Marketing Agencies in Germany - 2026 Reviews</v>
      </c>
      <c r="C57" s="8" t="str">
        <f>IFERROR(__xludf.DUMMYFUNCTION("""COMPUTED_VALUE"""),"sortlist.com")</f>
        <v>sortlist.com</v>
      </c>
      <c r="D57" s="11" t="str">
        <f>IFERROR(__xludf.DUMMYFUNCTION("""COMPUTED_VALUE"""),"CATEGORY_PAGE")</f>
        <v>CATEGORY_PAGE</v>
      </c>
      <c r="E57" s="11" t="str">
        <f>IFERROR(__xludf.DUMMYFUNCTION("""COMPUTED_VALUE"""),"CORPORATE")</f>
        <v>CORPORATE</v>
      </c>
      <c r="F57" s="11" t="str">
        <f>IFERROR(__xludf.DUMMYFUNCTION("""COMPUTED_VALUE"""),"Category Page")</f>
        <v>Category Page</v>
      </c>
      <c r="G57" s="11" t="b">
        <f>IFERROR(__xludf.DUMMYFUNCTION("""COMPUTED_VALUE"""),FALSE)</f>
        <v>0</v>
      </c>
      <c r="H57" s="11" t="str">
        <f>IFERROR(__xludf.DUMMYFUNCTION("""COMPUTED_VALUE"""),"MONSOON, PANORAMA3000")</f>
        <v>MONSOON, PANORAMA3000</v>
      </c>
      <c r="I57" s="11">
        <f>IFERROR(__xludf.DUMMYFUNCTION("""COMPUTED_VALUE"""),2.0)</f>
        <v>2</v>
      </c>
      <c r="J57" s="11">
        <f>IFERROR(__xludf.DUMMYFUNCTION("""COMPUTED_VALUE"""),0.0)</f>
        <v>0</v>
      </c>
      <c r="K57" s="11">
        <f>IFERROR(__xludf.DUMMYFUNCTION("""COMPUTED_VALUE"""),1.0)</f>
        <v>1</v>
      </c>
    </row>
    <row r="58" ht="15.75" customHeight="1">
      <c r="A58" s="8" t="str">
        <f>IFERROR(__xludf.DUMMYFUNCTION("""COMPUTED_VALUE"""),"https://www.sortlist.com/s/tiktok-advertising/germany-de")</f>
        <v>https://www.sortlist.com/s/tiktok-advertising/germany-de</v>
      </c>
      <c r="B58" s="11" t="str">
        <f>IFERROR(__xludf.DUMMYFUNCTION("""COMPUTED_VALUE"""),"The 10 Best TikTok Advertising Agencies in Germany - 2026 Reviews")</f>
        <v>The 10 Best TikTok Advertising Agencies in Germany - 2026 Reviews</v>
      </c>
      <c r="C58" s="8" t="str">
        <f>IFERROR(__xludf.DUMMYFUNCTION("""COMPUTED_VALUE"""),"sortlist.com")</f>
        <v>sortlist.com</v>
      </c>
      <c r="D58" s="11" t="str">
        <f>IFERROR(__xludf.DUMMYFUNCTION("""COMPUTED_VALUE"""),"CATEGORY_PAGE")</f>
        <v>CATEGORY_PAGE</v>
      </c>
      <c r="E58" s="11" t="str">
        <f>IFERROR(__xludf.DUMMYFUNCTION("""COMPUTED_VALUE"""),"CORPORATE")</f>
        <v>CORPORATE</v>
      </c>
      <c r="F58" s="11" t="str">
        <f>IFERROR(__xludf.DUMMYFUNCTION("""COMPUTED_VALUE"""),"Category Page")</f>
        <v>Category Page</v>
      </c>
      <c r="G58" s="11" t="b">
        <f>IFERROR(__xludf.DUMMYFUNCTION("""COMPUTED_VALUE"""),FALSE)</f>
        <v>0</v>
      </c>
      <c r="H58" s="11" t="str">
        <f>IFERROR(__xludf.DUMMYFUNCTION("""COMPUTED_VALUE"""),"Triple Whale, Northbeam, Dreamdata, PANORAMA3000, MONSOON, Measured, lehof, Loyamo")</f>
        <v>Triple Whale, Northbeam, Dreamdata, PANORAMA3000, MONSOON, Measured, lehof, Loyamo</v>
      </c>
      <c r="I58" s="11">
        <f>IFERROR(__xludf.DUMMYFUNCTION("""COMPUTED_VALUE"""),2.0)</f>
        <v>2</v>
      </c>
      <c r="J58" s="11">
        <f>IFERROR(__xludf.DUMMYFUNCTION("""COMPUTED_VALUE"""),0.0)</f>
        <v>0</v>
      </c>
      <c r="K58" s="11">
        <f>IFERROR(__xludf.DUMMYFUNCTION("""COMPUTED_VALUE"""),0.0)</f>
        <v>0</v>
      </c>
    </row>
    <row r="59" ht="15.75" customHeight="1">
      <c r="A59" s="8" t="str">
        <f>IFERROR(__xludf.DUMMYFUNCTION("""COMPUTED_VALUE"""),"https://www.sortlist.de/s/ai-marketing/bremen-hb-de")</f>
        <v>https://www.sortlist.de/s/ai-marketing/bremen-hb-de</v>
      </c>
      <c r="B59" s="11" t="str">
        <f>IFERROR(__xludf.DUMMYFUNCTION("""COMPUTED_VALUE"""),"AI Marketing Agenturen Bremen vergleichen")</f>
        <v>AI Marketing Agenturen Bremen vergleichen</v>
      </c>
      <c r="C59" s="8" t="str">
        <f>IFERROR(__xludf.DUMMYFUNCTION("""COMPUTED_VALUE"""),"sortlist.de")</f>
        <v>sortlist.de</v>
      </c>
      <c r="D59" s="11" t="str">
        <f>IFERROR(__xludf.DUMMYFUNCTION("""COMPUTED_VALUE"""),"CATEGORY_PAGE")</f>
        <v>CATEGORY_PAGE</v>
      </c>
      <c r="E59" s="11" t="str">
        <f>IFERROR(__xludf.DUMMYFUNCTION("""COMPUTED_VALUE"""),"CORPORATE")</f>
        <v>CORPORATE</v>
      </c>
      <c r="F59" s="11" t="str">
        <f>IFERROR(__xludf.DUMMYFUNCTION("""COMPUTED_VALUE"""),"Category Page")</f>
        <v>Category Page</v>
      </c>
      <c r="G59" s="11" t="b">
        <f>IFERROR(__xludf.DUMMYFUNCTION("""COMPUTED_VALUE"""),FALSE)</f>
        <v>0</v>
      </c>
      <c r="H59" s="11"/>
      <c r="I59" s="11">
        <f>IFERROR(__xludf.DUMMYFUNCTION("""COMPUTED_VALUE"""),2.0)</f>
        <v>2</v>
      </c>
      <c r="J59" s="11">
        <f>IFERROR(__xludf.DUMMYFUNCTION("""COMPUTED_VALUE"""),0.0)</f>
        <v>0</v>
      </c>
      <c r="K59" s="11">
        <f>IFERROR(__xludf.DUMMYFUNCTION("""COMPUTED_VALUE"""),0.0)</f>
        <v>0</v>
      </c>
    </row>
    <row r="60" ht="15.75" customHeight="1">
      <c r="A60" s="8" t="str">
        <f>IFERROR(__xludf.DUMMYFUNCTION("""COMPUTED_VALUE"""),"https://www.sortlist.de/s/ai-marketing/hamburg-de")</f>
        <v>https://www.sortlist.de/s/ai-marketing/hamburg-de</v>
      </c>
      <c r="B60" s="11" t="str">
        <f>IFERROR(__xludf.DUMMYFUNCTION("""COMPUTED_VALUE"""),"Unsere 10 Besten AI Marketing Agenturen in Hamburg - 2026 Bewertungen")</f>
        <v>Unsere 10 Besten AI Marketing Agenturen in Hamburg - 2026 Bewertungen</v>
      </c>
      <c r="C60" s="8" t="str">
        <f>IFERROR(__xludf.DUMMYFUNCTION("""COMPUTED_VALUE"""),"sortlist.de")</f>
        <v>sortlist.de</v>
      </c>
      <c r="D60" s="11" t="str">
        <f>IFERROR(__xludf.DUMMYFUNCTION("""COMPUTED_VALUE"""),"PROFILE")</f>
        <v>PROFILE</v>
      </c>
      <c r="E60" s="11" t="str">
        <f>IFERROR(__xludf.DUMMYFUNCTION("""COMPUTED_VALUE"""),"CORPORATE")</f>
        <v>CORPORATE</v>
      </c>
      <c r="F60" s="11" t="str">
        <f>IFERROR(__xludf.DUMMYFUNCTION("""COMPUTED_VALUE"""),"Profile")</f>
        <v>Profile</v>
      </c>
      <c r="G60" s="11" t="b">
        <f>IFERROR(__xludf.DUMMYFUNCTION("""COMPUTED_VALUE"""),FALSE)</f>
        <v>0</v>
      </c>
      <c r="H60" s="11" t="str">
        <f>IFERROR(__xludf.DUMMYFUNCTION("""COMPUTED_VALUE"""),"Pilot")</f>
        <v>Pilot</v>
      </c>
      <c r="I60" s="11">
        <f>IFERROR(__xludf.DUMMYFUNCTION("""COMPUTED_VALUE"""),2.0)</f>
        <v>2</v>
      </c>
      <c r="J60" s="11">
        <f>IFERROR(__xludf.DUMMYFUNCTION("""COMPUTED_VALUE"""),0.0)</f>
        <v>0</v>
      </c>
      <c r="K60" s="11">
        <f>IFERROR(__xludf.DUMMYFUNCTION("""COMPUTED_VALUE"""),0.0)</f>
        <v>0</v>
      </c>
    </row>
    <row r="61" ht="15.75" customHeight="1">
      <c r="A61" s="8" t="str">
        <f>IFERROR(__xludf.DUMMYFUNCTION("""COMPUTED_VALUE"""),"https://www.sortlist.de/s/display-werbung/duesseldorf-de")</f>
        <v>https://www.sortlist.de/s/display-werbung/duesseldorf-de</v>
      </c>
      <c r="B61" s="11" t="str">
        <f>IFERROR(__xludf.DUMMYFUNCTION("""COMPUTED_VALUE"""),"Unsere 10 Besten Display Anzeigen Agenturen in Düsseldorf - 2026 Bewertungen")</f>
        <v>Unsere 10 Besten Display Anzeigen Agenturen in Düsseldorf - 2026 Bewertungen</v>
      </c>
      <c r="C61" s="8" t="str">
        <f>IFERROR(__xludf.DUMMYFUNCTION("""COMPUTED_VALUE"""),"sortlist.de")</f>
        <v>sortlist.de</v>
      </c>
      <c r="D61" s="11" t="str">
        <f>IFERROR(__xludf.DUMMYFUNCTION("""COMPUTED_VALUE"""),"CATEGORY_PAGE")</f>
        <v>CATEGORY_PAGE</v>
      </c>
      <c r="E61" s="11" t="str">
        <f>IFERROR(__xludf.DUMMYFUNCTION("""COMPUTED_VALUE"""),"CORPORATE")</f>
        <v>CORPORATE</v>
      </c>
      <c r="F61" s="11" t="str">
        <f>IFERROR(__xludf.DUMMYFUNCTION("""COMPUTED_VALUE"""),"Category Page")</f>
        <v>Category Page</v>
      </c>
      <c r="G61" s="11" t="b">
        <f>IFERROR(__xludf.DUMMYFUNCTION("""COMPUTED_VALUE"""),FALSE)</f>
        <v>0</v>
      </c>
      <c r="H61" s="11" t="str">
        <f>IFERROR(__xludf.DUMMYFUNCTION("""COMPUTED_VALUE"""),"MONSOON, Triple Whale, Northbeam, Dreamdata, Mediacharge")</f>
        <v>MONSOON, Triple Whale, Northbeam, Dreamdata, Mediacharge</v>
      </c>
      <c r="I61" s="11">
        <f>IFERROR(__xludf.DUMMYFUNCTION("""COMPUTED_VALUE"""),2.0)</f>
        <v>2</v>
      </c>
      <c r="J61" s="11">
        <f>IFERROR(__xludf.DUMMYFUNCTION("""COMPUTED_VALUE"""),0.0)</f>
        <v>0</v>
      </c>
      <c r="K61" s="11">
        <f>IFERROR(__xludf.DUMMYFUNCTION("""COMPUTED_VALUE"""),0.0)</f>
        <v>0</v>
      </c>
    </row>
    <row r="62" ht="15.75" customHeight="1">
      <c r="A62" s="8" t="str">
        <f>IFERROR(__xludf.DUMMYFUNCTION("""COMPUTED_VALUE"""),"https://www.sortlist.com/de/ai-marketing")</f>
        <v>https://www.sortlist.com/de/ai-marketing</v>
      </c>
      <c r="B62" s="11" t="str">
        <f>IFERROR(__xludf.DUMMYFUNCTION("""COMPUTED_VALUE"""),"Unsere 100 Besten AI Marketing Agenturen - 2026 Bewertungen")</f>
        <v>Unsere 100 Besten AI Marketing Agenturen - 2026 Bewertungen</v>
      </c>
      <c r="C62" s="8" t="str">
        <f>IFERROR(__xludf.DUMMYFUNCTION("""COMPUTED_VALUE"""),"sortlist.com")</f>
        <v>sortlist.com</v>
      </c>
      <c r="D62" s="11" t="str">
        <f>IFERROR(__xludf.DUMMYFUNCTION("""COMPUTED_VALUE"""),"CATEGORY_PAGE")</f>
        <v>CATEGORY_PAGE</v>
      </c>
      <c r="E62" s="11" t="str">
        <f>IFERROR(__xludf.DUMMYFUNCTION("""COMPUTED_VALUE"""),"CORPORATE")</f>
        <v>CORPORATE</v>
      </c>
      <c r="F62" s="11" t="str">
        <f>IFERROR(__xludf.DUMMYFUNCTION("""COMPUTED_VALUE"""),"Category Page")</f>
        <v>Category Page</v>
      </c>
      <c r="G62" s="11" t="b">
        <f>IFERROR(__xludf.DUMMYFUNCTION("""COMPUTED_VALUE"""),FALSE)</f>
        <v>0</v>
      </c>
      <c r="H62" s="11" t="str">
        <f>IFERROR(__xludf.DUMMYFUNCTION("""COMPUTED_VALUE"""),"Pilot")</f>
        <v>Pilot</v>
      </c>
      <c r="I62" s="11">
        <f>IFERROR(__xludf.DUMMYFUNCTION("""COMPUTED_VALUE"""),1.0)</f>
        <v>1</v>
      </c>
      <c r="J62" s="11">
        <f>IFERROR(__xludf.DUMMYFUNCTION("""COMPUTED_VALUE"""),0.0)</f>
        <v>0</v>
      </c>
      <c r="K62" s="11">
        <f>IFERROR(__xludf.DUMMYFUNCTION("""COMPUTED_VALUE"""),0.0)</f>
        <v>0</v>
      </c>
    </row>
    <row r="63" ht="15.75" customHeight="1">
      <c r="A63" s="8" t="str">
        <f>IFERROR(__xludf.DUMMYFUNCTION("""COMPUTED_VALUE"""),"https://www.sortlist.com/i/branding/germany-de")</f>
        <v>https://www.sortlist.com/i/branding/germany-de</v>
      </c>
      <c r="B63" s="11" t="str">
        <f>IFERROR(__xludf.DUMMYFUNCTION("""COMPUTED_VALUE"""),"The 10 Best Branding Agencies in Germany - 2026 Reviews")</f>
        <v>The 10 Best Branding Agencies in Germany - 2026 Reviews</v>
      </c>
      <c r="C63" s="8" t="str">
        <f>IFERROR(__xludf.DUMMYFUNCTION("""COMPUTED_VALUE"""),"sortlist.com")</f>
        <v>sortlist.com</v>
      </c>
      <c r="D63" s="11" t="str">
        <f>IFERROR(__xludf.DUMMYFUNCTION("""COMPUTED_VALUE"""),"CATEGORY_PAGE")</f>
        <v>CATEGORY_PAGE</v>
      </c>
      <c r="E63" s="11" t="str">
        <f>IFERROR(__xludf.DUMMYFUNCTION("""COMPUTED_VALUE"""),"CORPORATE")</f>
        <v>CORPORATE</v>
      </c>
      <c r="F63" s="11" t="str">
        <f>IFERROR(__xludf.DUMMYFUNCTION("""COMPUTED_VALUE"""),"Category Page")</f>
        <v>Category Page</v>
      </c>
      <c r="G63" s="11" t="b">
        <f>IFERROR(__xludf.DUMMYFUNCTION("""COMPUTED_VALUE"""),FALSE)</f>
        <v>0</v>
      </c>
      <c r="H63" s="11" t="str">
        <f>IFERROR(__xludf.DUMMYFUNCTION("""COMPUTED_VALUE"""),"lehof, Measured")</f>
        <v>lehof, Measured</v>
      </c>
      <c r="I63" s="11">
        <f>IFERROR(__xludf.DUMMYFUNCTION("""COMPUTED_VALUE"""),1.0)</f>
        <v>1</v>
      </c>
      <c r="J63" s="11">
        <f>IFERROR(__xludf.DUMMYFUNCTION("""COMPUTED_VALUE"""),0.0)</f>
        <v>0</v>
      </c>
      <c r="K63" s="11">
        <f>IFERROR(__xludf.DUMMYFUNCTION("""COMPUTED_VALUE"""),0.0)</f>
        <v>0</v>
      </c>
    </row>
    <row r="64" ht="15.75" customHeight="1">
      <c r="A64" s="8" t="str">
        <f>IFERROR(__xludf.DUMMYFUNCTION("""COMPUTED_VALUE"""),"https://www.sortlist.com/i/s/big-data-analytics/germany-de")</f>
        <v>https://www.sortlist.com/i/s/big-data-analytics/germany-de</v>
      </c>
      <c r="B64" s="11" t="str">
        <f>IFERROR(__xludf.DUMMYFUNCTION("""COMPUTED_VALUE"""),"The 10 Best Big Data Analytics Companies in Germany - 2026 Reviews")</f>
        <v>The 10 Best Big Data Analytics Companies in Germany - 2026 Reviews</v>
      </c>
      <c r="C64" s="8" t="str">
        <f>IFERROR(__xludf.DUMMYFUNCTION("""COMPUTED_VALUE"""),"sortlist.com")</f>
        <v>sortlist.com</v>
      </c>
      <c r="D64" s="11" t="str">
        <f>IFERROR(__xludf.DUMMYFUNCTION("""COMPUTED_VALUE"""),"CATEGORY_PAGE")</f>
        <v>CATEGORY_PAGE</v>
      </c>
      <c r="E64" s="11" t="str">
        <f>IFERROR(__xludf.DUMMYFUNCTION("""COMPUTED_VALUE"""),"CORPORATE")</f>
        <v>CORPORATE</v>
      </c>
      <c r="F64" s="11" t="str">
        <f>IFERROR(__xludf.DUMMYFUNCTION("""COMPUTED_VALUE"""),"Category Page")</f>
        <v>Category Page</v>
      </c>
      <c r="G64" s="11" t="b">
        <f>IFERROR(__xludf.DUMMYFUNCTION("""COMPUTED_VALUE"""),FALSE)</f>
        <v>0</v>
      </c>
      <c r="H64" s="11"/>
      <c r="I64" s="11">
        <f>IFERROR(__xludf.DUMMYFUNCTION("""COMPUTED_VALUE"""),1.0)</f>
        <v>1</v>
      </c>
      <c r="J64" s="11">
        <f>IFERROR(__xludf.DUMMYFUNCTION("""COMPUTED_VALUE"""),0.0)</f>
        <v>0</v>
      </c>
      <c r="K64" s="11">
        <f>IFERROR(__xludf.DUMMYFUNCTION("""COMPUTED_VALUE"""),1.0)</f>
        <v>1</v>
      </c>
    </row>
    <row r="65" ht="15.75" customHeight="1">
      <c r="A65" s="8" t="str">
        <f>IFERROR(__xludf.DUMMYFUNCTION("""COMPUTED_VALUE"""),"https://www.sortlist.com/i/s/linkedin-advertising/germany-de")</f>
        <v>https://www.sortlist.com/i/s/linkedin-advertising/germany-de</v>
      </c>
      <c r="B65" s="11" t="str">
        <f>IFERROR(__xludf.DUMMYFUNCTION("""COMPUTED_VALUE"""),"The 10 Best LinkedIn Ads Agencies in Germany - 2026 Reviews")</f>
        <v>The 10 Best LinkedIn Ads Agencies in Germany - 2026 Reviews</v>
      </c>
      <c r="C65" s="8" t="str">
        <f>IFERROR(__xludf.DUMMYFUNCTION("""COMPUTED_VALUE"""),"sortlist.com")</f>
        <v>sortlist.com</v>
      </c>
      <c r="D65" s="11" t="str">
        <f>IFERROR(__xludf.DUMMYFUNCTION("""COMPUTED_VALUE"""),"CATEGORY_PAGE")</f>
        <v>CATEGORY_PAGE</v>
      </c>
      <c r="E65" s="11" t="str">
        <f>IFERROR(__xludf.DUMMYFUNCTION("""COMPUTED_VALUE"""),"CORPORATE")</f>
        <v>CORPORATE</v>
      </c>
      <c r="F65" s="11" t="str">
        <f>IFERROR(__xludf.DUMMYFUNCTION("""COMPUTED_VALUE"""),"Category Page")</f>
        <v>Category Page</v>
      </c>
      <c r="G65" s="11" t="b">
        <f>IFERROR(__xludf.DUMMYFUNCTION("""COMPUTED_VALUE"""),FALSE)</f>
        <v>0</v>
      </c>
      <c r="H65" s="11" t="str">
        <f>IFERROR(__xludf.DUMMYFUNCTION("""COMPUTED_VALUE"""),"MONSOON, Triple Whale, Northbeam, Dreamdata, lehof")</f>
        <v>MONSOON, Triple Whale, Northbeam, Dreamdata, lehof</v>
      </c>
      <c r="I65" s="11">
        <f>IFERROR(__xludf.DUMMYFUNCTION("""COMPUTED_VALUE"""),1.0)</f>
        <v>1</v>
      </c>
      <c r="J65" s="11">
        <f>IFERROR(__xludf.DUMMYFUNCTION("""COMPUTED_VALUE"""),0.0)</f>
        <v>0</v>
      </c>
      <c r="K65" s="11">
        <f>IFERROR(__xludf.DUMMYFUNCTION("""COMPUTED_VALUE"""),0.0)</f>
        <v>0</v>
      </c>
    </row>
    <row r="66" ht="15.75" customHeight="1">
      <c r="A66" s="8" t="str">
        <f>IFERROR(__xludf.DUMMYFUNCTION("""COMPUTED_VALUE"""),"https://www.sortlist.com/i/s/ppc-marketing/germany-de")</f>
        <v>https://www.sortlist.com/i/s/ppc-marketing/germany-de</v>
      </c>
      <c r="B66" s="11" t="str">
        <f>IFERROR(__xludf.DUMMYFUNCTION("""COMPUTED_VALUE"""),"The 10 Best Pay-Per-Click Agencies in Germany - 2026 Reviews")</f>
        <v>The 10 Best Pay-Per-Click Agencies in Germany - 2026 Reviews</v>
      </c>
      <c r="C66" s="8" t="str">
        <f>IFERROR(__xludf.DUMMYFUNCTION("""COMPUTED_VALUE"""),"sortlist.com")</f>
        <v>sortlist.com</v>
      </c>
      <c r="D66" s="11" t="str">
        <f>IFERROR(__xludf.DUMMYFUNCTION("""COMPUTED_VALUE"""),"CATEGORY_PAGE")</f>
        <v>CATEGORY_PAGE</v>
      </c>
      <c r="E66" s="11" t="str">
        <f>IFERROR(__xludf.DUMMYFUNCTION("""COMPUTED_VALUE"""),"CORPORATE")</f>
        <v>CORPORATE</v>
      </c>
      <c r="F66" s="11" t="str">
        <f>IFERROR(__xludf.DUMMYFUNCTION("""COMPUTED_VALUE"""),"Category Page")</f>
        <v>Category Page</v>
      </c>
      <c r="G66" s="11" t="b">
        <f>IFERROR(__xludf.DUMMYFUNCTION("""COMPUTED_VALUE"""),FALSE)</f>
        <v>0</v>
      </c>
      <c r="H66" s="11" t="str">
        <f>IFERROR(__xludf.DUMMYFUNCTION("""COMPUTED_VALUE"""),"MONSOON, Mediacharge")</f>
        <v>MONSOON, Mediacharge</v>
      </c>
      <c r="I66" s="11">
        <f>IFERROR(__xludf.DUMMYFUNCTION("""COMPUTED_VALUE"""),1.0)</f>
        <v>1</v>
      </c>
      <c r="J66" s="11">
        <f>IFERROR(__xludf.DUMMYFUNCTION("""COMPUTED_VALUE"""),0.0)</f>
        <v>0</v>
      </c>
      <c r="K66" s="11">
        <f>IFERROR(__xludf.DUMMYFUNCTION("""COMPUTED_VALUE"""),1.0)</f>
        <v>1</v>
      </c>
    </row>
    <row r="67" ht="15.75" customHeight="1">
      <c r="A67" s="8" t="str">
        <f>IFERROR(__xludf.DUMMYFUNCTION("""COMPUTED_VALUE"""),"https://www.sortlist.com/media-planning")</f>
        <v>https://www.sortlist.com/media-planning</v>
      </c>
      <c r="B67" s="11" t="str">
        <f>IFERROR(__xludf.DUMMYFUNCTION("""COMPUTED_VALUE"""),"The 100 Best Media Agencies - 2026 Reviews")</f>
        <v>The 100 Best Media Agencies - 2026 Reviews</v>
      </c>
      <c r="C67" s="8" t="str">
        <f>IFERROR(__xludf.DUMMYFUNCTION("""COMPUTED_VALUE"""),"sortlist.com")</f>
        <v>sortlist.com</v>
      </c>
      <c r="D67" s="11" t="str">
        <f>IFERROR(__xludf.DUMMYFUNCTION("""COMPUTED_VALUE"""),"CATEGORY_PAGE")</f>
        <v>CATEGORY_PAGE</v>
      </c>
      <c r="E67" s="11" t="str">
        <f>IFERROR(__xludf.DUMMYFUNCTION("""COMPUTED_VALUE"""),"CORPORATE")</f>
        <v>CORPORATE</v>
      </c>
      <c r="F67" s="11" t="str">
        <f>IFERROR(__xludf.DUMMYFUNCTION("""COMPUTED_VALUE"""),"Category Page")</f>
        <v>Category Page</v>
      </c>
      <c r="G67" s="11" t="b">
        <f>IFERROR(__xludf.DUMMYFUNCTION("""COMPUTED_VALUE"""),FALSE)</f>
        <v>0</v>
      </c>
      <c r="H67" s="11" t="str">
        <f>IFERROR(__xludf.DUMMYFUNCTION("""COMPUTED_VALUE"""),"lehof")</f>
        <v>lehof</v>
      </c>
      <c r="I67" s="11">
        <f>IFERROR(__xludf.DUMMYFUNCTION("""COMPUTED_VALUE"""),1.0)</f>
        <v>1</v>
      </c>
      <c r="J67" s="11">
        <f>IFERROR(__xludf.DUMMYFUNCTION("""COMPUTED_VALUE"""),0.0)</f>
        <v>0</v>
      </c>
      <c r="K67" s="11">
        <f>IFERROR(__xludf.DUMMYFUNCTION("""COMPUTED_VALUE"""),0.0)</f>
        <v>0</v>
      </c>
    </row>
    <row r="68" ht="15.75" customHeight="1">
      <c r="A68" s="8" t="str">
        <f>IFERROR(__xludf.DUMMYFUNCTION("""COMPUTED_VALUE"""),"https://www.sortlist.com/s/ai-agents/germany-de")</f>
        <v>https://www.sortlist.com/s/ai-agents/germany-de</v>
      </c>
      <c r="B68" s="11" t="str">
        <f>IFERROR(__xludf.DUMMYFUNCTION("""COMPUTED_VALUE"""),"The 10 Best AI Agents Companies in Germany - 2026 Reviews")</f>
        <v>The 10 Best AI Agents Companies in Germany - 2026 Reviews</v>
      </c>
      <c r="C68" s="8" t="str">
        <f>IFERROR(__xludf.DUMMYFUNCTION("""COMPUTED_VALUE"""),"sortlist.com")</f>
        <v>sortlist.com</v>
      </c>
      <c r="D68" s="11" t="str">
        <f>IFERROR(__xludf.DUMMYFUNCTION("""COMPUTED_VALUE"""),"CATEGORY_PAGE")</f>
        <v>CATEGORY_PAGE</v>
      </c>
      <c r="E68" s="11" t="str">
        <f>IFERROR(__xludf.DUMMYFUNCTION("""COMPUTED_VALUE"""),"CORPORATE")</f>
        <v>CORPORATE</v>
      </c>
      <c r="F68" s="11" t="str">
        <f>IFERROR(__xludf.DUMMYFUNCTION("""COMPUTED_VALUE"""),"Category Page")</f>
        <v>Category Page</v>
      </c>
      <c r="G68" s="11" t="b">
        <f>IFERROR(__xludf.DUMMYFUNCTION("""COMPUTED_VALUE"""),FALSE)</f>
        <v>0</v>
      </c>
      <c r="H68" s="11" t="str">
        <f>IFERROR(__xludf.DUMMYFUNCTION("""COMPUTED_VALUE"""),"Momentum, Measured")</f>
        <v>Momentum, Measured</v>
      </c>
      <c r="I68" s="11">
        <f>IFERROR(__xludf.DUMMYFUNCTION("""COMPUTED_VALUE"""),1.0)</f>
        <v>1</v>
      </c>
      <c r="J68" s="11">
        <f>IFERROR(__xludf.DUMMYFUNCTION("""COMPUTED_VALUE"""),0.0)</f>
        <v>0</v>
      </c>
      <c r="K68" s="11">
        <f>IFERROR(__xludf.DUMMYFUNCTION("""COMPUTED_VALUE"""),1.0)</f>
        <v>1</v>
      </c>
    </row>
    <row r="69" ht="15.75" customHeight="1">
      <c r="A69" s="8" t="str">
        <f>IFERROR(__xludf.DUMMYFUNCTION("""COMPUTED_VALUE"""),"https://www.sortlist.com/s/artificial-intelligence/hamburg-de")</f>
        <v>https://www.sortlist.com/s/artificial-intelligence/hamburg-de</v>
      </c>
      <c r="B69" s="11" t="str">
        <f>IFERROR(__xludf.DUMMYFUNCTION("""COMPUTED_VALUE"""),"The 10 Best Artificial Intelligence Agencies in Hamburg - 2026 Reviews")</f>
        <v>The 10 Best Artificial Intelligence Agencies in Hamburg - 2026 Reviews</v>
      </c>
      <c r="C69" s="8" t="str">
        <f>IFERROR(__xludf.DUMMYFUNCTION("""COMPUTED_VALUE"""),"sortlist.com")</f>
        <v>sortlist.com</v>
      </c>
      <c r="D69" s="11" t="str">
        <f>IFERROR(__xludf.DUMMYFUNCTION("""COMPUTED_VALUE"""),"CATEGORY_PAGE")</f>
        <v>CATEGORY_PAGE</v>
      </c>
      <c r="E69" s="11" t="str">
        <f>IFERROR(__xludf.DUMMYFUNCTION("""COMPUTED_VALUE"""),"CORPORATE")</f>
        <v>CORPORATE</v>
      </c>
      <c r="F69" s="11" t="str">
        <f>IFERROR(__xludf.DUMMYFUNCTION("""COMPUTED_VALUE"""),"Category Page")</f>
        <v>Category Page</v>
      </c>
      <c r="G69" s="11" t="b">
        <f>IFERROR(__xludf.DUMMYFUNCTION("""COMPUTED_VALUE"""),FALSE)</f>
        <v>0</v>
      </c>
      <c r="H69" s="11" t="str">
        <f>IFERROR(__xludf.DUMMYFUNCTION("""COMPUTED_VALUE"""),"Momentum, Measured")</f>
        <v>Momentum, Measured</v>
      </c>
      <c r="I69" s="11">
        <f>IFERROR(__xludf.DUMMYFUNCTION("""COMPUTED_VALUE"""),1.0)</f>
        <v>1</v>
      </c>
      <c r="J69" s="11">
        <f>IFERROR(__xludf.DUMMYFUNCTION("""COMPUTED_VALUE"""),0.0)</f>
        <v>0</v>
      </c>
      <c r="K69" s="11">
        <f>IFERROR(__xludf.DUMMYFUNCTION("""COMPUTED_VALUE"""),0.0)</f>
        <v>0</v>
      </c>
    </row>
    <row r="70" ht="15.75" customHeight="1">
      <c r="A70" s="8" t="str">
        <f>IFERROR(__xludf.DUMMYFUNCTION("""COMPUTED_VALUE"""),"https://www.sortlist.com/s/brand-experience/germany-de")</f>
        <v>https://www.sortlist.com/s/brand-experience/germany-de</v>
      </c>
      <c r="B70" s="11" t="str">
        <f>IFERROR(__xludf.DUMMYFUNCTION("""COMPUTED_VALUE"""),"The 10 Best Brand Experience Agencies in Germany - 2026 Reviews")</f>
        <v>The 10 Best Brand Experience Agencies in Germany - 2026 Reviews</v>
      </c>
      <c r="C70" s="8" t="str">
        <f>IFERROR(__xludf.DUMMYFUNCTION("""COMPUTED_VALUE"""),"sortlist.com")</f>
        <v>sortlist.com</v>
      </c>
      <c r="D70" s="11" t="str">
        <f>IFERROR(__xludf.DUMMYFUNCTION("""COMPUTED_VALUE"""),"CATEGORY_PAGE")</f>
        <v>CATEGORY_PAGE</v>
      </c>
      <c r="E70" s="11" t="str">
        <f>IFERROR(__xludf.DUMMYFUNCTION("""COMPUTED_VALUE"""),"CORPORATE")</f>
        <v>CORPORATE</v>
      </c>
      <c r="F70" s="11" t="str">
        <f>IFERROR(__xludf.DUMMYFUNCTION("""COMPUTED_VALUE"""),"Category Page")</f>
        <v>Category Page</v>
      </c>
      <c r="G70" s="11" t="b">
        <f>IFERROR(__xludf.DUMMYFUNCTION("""COMPUTED_VALUE"""),FALSE)</f>
        <v>0</v>
      </c>
      <c r="H70" s="11" t="str">
        <f>IFERROR(__xludf.DUMMYFUNCTION("""COMPUTED_VALUE"""),"lehof, PANORAMA3000, Measured")</f>
        <v>lehof, PANORAMA3000, Measured</v>
      </c>
      <c r="I70" s="11">
        <f>IFERROR(__xludf.DUMMYFUNCTION("""COMPUTED_VALUE"""),1.0)</f>
        <v>1</v>
      </c>
      <c r="J70" s="11">
        <f>IFERROR(__xludf.DUMMYFUNCTION("""COMPUTED_VALUE"""),0.0)</f>
        <v>0</v>
      </c>
      <c r="K70" s="11">
        <f>IFERROR(__xludf.DUMMYFUNCTION("""COMPUTED_VALUE"""),5.0)</f>
        <v>5</v>
      </c>
    </row>
    <row r="71" ht="15.75" customHeight="1">
      <c r="A71" s="8" t="str">
        <f>IFERROR(__xludf.DUMMYFUNCTION("""COMPUTED_VALUE"""),"https://www.sortlist.com/s/data-driven-marketing/berlin-de")</f>
        <v>https://www.sortlist.com/s/data-driven-marketing/berlin-de</v>
      </c>
      <c r="B71" s="11" t="str">
        <f>IFERROR(__xludf.DUMMYFUNCTION("""COMPUTED_VALUE"""),"The 10 Best Data Driven Marketing Agencies in Berlin - 2026 Reviews")</f>
        <v>The 10 Best Data Driven Marketing Agencies in Berlin - 2026 Reviews</v>
      </c>
      <c r="C71" s="8" t="str">
        <f>IFERROR(__xludf.DUMMYFUNCTION("""COMPUTED_VALUE"""),"sortlist.com")</f>
        <v>sortlist.com</v>
      </c>
      <c r="D71" s="11" t="str">
        <f>IFERROR(__xludf.DUMMYFUNCTION("""COMPUTED_VALUE"""),"CATEGORY_PAGE")</f>
        <v>CATEGORY_PAGE</v>
      </c>
      <c r="E71" s="11" t="str">
        <f>IFERROR(__xludf.DUMMYFUNCTION("""COMPUTED_VALUE"""),"CORPORATE")</f>
        <v>CORPORATE</v>
      </c>
      <c r="F71" s="11" t="str">
        <f>IFERROR(__xludf.DUMMYFUNCTION("""COMPUTED_VALUE"""),"Category Page")</f>
        <v>Category Page</v>
      </c>
      <c r="G71" s="11" t="b">
        <f>IFERROR(__xludf.DUMMYFUNCTION("""COMPUTED_VALUE"""),FALSE)</f>
        <v>0</v>
      </c>
      <c r="H71" s="11" t="str">
        <f>IFERROR(__xludf.DUMMYFUNCTION("""COMPUTED_VALUE"""),"MONSOON, lehof, Triple Whale, Northbeam, Dreamdata, KlickPiloten")</f>
        <v>MONSOON, lehof, Triple Whale, Northbeam, Dreamdata, KlickPiloten</v>
      </c>
      <c r="I71" s="11">
        <f>IFERROR(__xludf.DUMMYFUNCTION("""COMPUTED_VALUE"""),1.0)</f>
        <v>1</v>
      </c>
      <c r="J71" s="11">
        <f>IFERROR(__xludf.DUMMYFUNCTION("""COMPUTED_VALUE"""),0.0)</f>
        <v>0</v>
      </c>
      <c r="K71" s="11">
        <f>IFERROR(__xludf.DUMMYFUNCTION("""COMPUTED_VALUE"""),1.0)</f>
        <v>1</v>
      </c>
    </row>
    <row r="72" ht="15.75" customHeight="1">
      <c r="A72" s="8" t="str">
        <f>IFERROR(__xludf.DUMMYFUNCTION("""COMPUTED_VALUE"""),"https://www.sortlist.com/s/international-marketing/hamburg-de")</f>
        <v>https://www.sortlist.com/s/international-marketing/hamburg-de</v>
      </c>
      <c r="B72" s="11" t="str">
        <f>IFERROR(__xludf.DUMMYFUNCTION("""COMPUTED_VALUE"""),"The 10 Best International Marketing Agencies in Hamburg - 2026 Reviews")</f>
        <v>The 10 Best International Marketing Agencies in Hamburg - 2026 Reviews</v>
      </c>
      <c r="C72" s="8" t="str">
        <f>IFERROR(__xludf.DUMMYFUNCTION("""COMPUTED_VALUE"""),"sortlist.com")</f>
        <v>sortlist.com</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IFERROR(__xludf.DUMMYFUNCTION("""COMPUTED_VALUE"""),"MONSOON, Measured, KlickPiloten")</f>
        <v>MONSOON, Measured, KlickPiloten</v>
      </c>
      <c r="I72" s="11">
        <f>IFERROR(__xludf.DUMMYFUNCTION("""COMPUTED_VALUE"""),1.0)</f>
        <v>1</v>
      </c>
      <c r="J72" s="11">
        <f>IFERROR(__xludf.DUMMYFUNCTION("""COMPUTED_VALUE"""),0.0)</f>
        <v>0</v>
      </c>
      <c r="K72" s="11">
        <f>IFERROR(__xludf.DUMMYFUNCTION("""COMPUTED_VALUE"""),0.0)</f>
        <v>0</v>
      </c>
    </row>
    <row r="73" ht="15.75" customHeight="1">
      <c r="A73" s="8" t="str">
        <f>IFERROR(__xludf.DUMMYFUNCTION("""COMPUTED_VALUE"""),"https://www.sortlist.com/s/paid-media/munich-by-de")</f>
        <v>https://www.sortlist.com/s/paid-media/munich-by-de</v>
      </c>
      <c r="B73" s="11" t="str">
        <f>IFERROR(__xludf.DUMMYFUNCTION("""COMPUTED_VALUE"""),"The 10 Best Paid Media Agencies in Munich - 2026 Reviews")</f>
        <v>The 10 Best Paid Media Agencies in Munich - 2026 Reviews</v>
      </c>
      <c r="C73" s="8" t="str">
        <f>IFERROR(__xludf.DUMMYFUNCTION("""COMPUTED_VALUE"""),"sortlist.com")</f>
        <v>sortlist.com</v>
      </c>
      <c r="D73" s="11" t="str">
        <f>IFERROR(__xludf.DUMMYFUNCTION("""COMPUTED_VALUE"""),"CATEGORY_PAGE")</f>
        <v>CATEGORY_PAGE</v>
      </c>
      <c r="E73" s="11" t="str">
        <f>IFERROR(__xludf.DUMMYFUNCTION("""COMPUTED_VALUE"""),"CORPORATE")</f>
        <v>CORPORATE</v>
      </c>
      <c r="F73" s="11" t="str">
        <f>IFERROR(__xludf.DUMMYFUNCTION("""COMPUTED_VALUE"""),"Category Page")</f>
        <v>Category Page</v>
      </c>
      <c r="G73" s="11" t="b">
        <f>IFERROR(__xludf.DUMMYFUNCTION("""COMPUTED_VALUE"""),FALSE)</f>
        <v>0</v>
      </c>
      <c r="H73" s="11" t="str">
        <f>IFERROR(__xludf.DUMMYFUNCTION("""COMPUTED_VALUE"""),"Measured, lehof, Triple Whale, Northbeam, Dreamdata, Mediacharge, MONSOON, Loyamo")</f>
        <v>Measured, lehof, Triple Whale, Northbeam, Dreamdata, Mediacharge, MONSOON, Loyamo</v>
      </c>
      <c r="I73" s="11">
        <f>IFERROR(__xludf.DUMMYFUNCTION("""COMPUTED_VALUE"""),1.0)</f>
        <v>1</v>
      </c>
      <c r="J73" s="11">
        <f>IFERROR(__xludf.DUMMYFUNCTION("""COMPUTED_VALUE"""),0.0)</f>
        <v>0</v>
      </c>
      <c r="K73" s="11">
        <f>IFERROR(__xludf.DUMMYFUNCTION("""COMPUTED_VALUE"""),1.0)</f>
        <v>1</v>
      </c>
    </row>
    <row r="74" ht="15.75" customHeight="1">
      <c r="A74" s="8" t="str">
        <f>IFERROR(__xludf.DUMMYFUNCTION("""COMPUTED_VALUE"""),"https://www.sortlist.com/s/performance-marketing/frankfurt-he-de")</f>
        <v>https://www.sortlist.com/s/performance-marketing/frankfurt-he-de</v>
      </c>
      <c r="B74" s="11" t="str">
        <f>IFERROR(__xludf.DUMMYFUNCTION("""COMPUTED_VALUE"""),"The 10 Best Performance Marketing Agencies in Frankfurt - 2026 Reviews")</f>
        <v>The 10 Best Performance Marketing Agencies in Frankfurt - 2026 Reviews</v>
      </c>
      <c r="C74" s="8" t="str">
        <f>IFERROR(__xludf.DUMMYFUNCTION("""COMPUTED_VALUE"""),"sortlist.com")</f>
        <v>sortlist.com</v>
      </c>
      <c r="D74" s="11" t="str">
        <f>IFERROR(__xludf.DUMMYFUNCTION("""COMPUTED_VALUE"""),"CATEGORY_PAGE")</f>
        <v>CATEGORY_PAGE</v>
      </c>
      <c r="E74" s="11" t="str">
        <f>IFERROR(__xludf.DUMMYFUNCTION("""COMPUTED_VALUE"""),"CORPORATE")</f>
        <v>CORPORATE</v>
      </c>
      <c r="F74" s="11" t="str">
        <f>IFERROR(__xludf.DUMMYFUNCTION("""COMPUTED_VALUE"""),"Category Page")</f>
        <v>Category Page</v>
      </c>
      <c r="G74" s="11" t="b">
        <f>IFERROR(__xludf.DUMMYFUNCTION("""COMPUTED_VALUE"""),FALSE)</f>
        <v>0</v>
      </c>
      <c r="H74" s="11" t="str">
        <f>IFERROR(__xludf.DUMMYFUNCTION("""COMPUTED_VALUE"""),"lehof, Mediacharge, MONSOON, ZweiDigital GmbH, Measured, Triple Whale, Northbeam, Dreamdata")</f>
        <v>lehof, Mediacharge, MONSOON, ZweiDigital GmbH, Measured, Triple Whale, Northbeam, Dreamdata</v>
      </c>
      <c r="I74" s="11">
        <f>IFERROR(__xludf.DUMMYFUNCTION("""COMPUTED_VALUE"""),1.0)</f>
        <v>1</v>
      </c>
      <c r="J74" s="11">
        <f>IFERROR(__xludf.DUMMYFUNCTION("""COMPUTED_VALUE"""),0.0)</f>
        <v>0</v>
      </c>
      <c r="K74" s="11">
        <f>IFERROR(__xludf.DUMMYFUNCTION("""COMPUTED_VALUE"""),0.0)</f>
        <v>0</v>
      </c>
    </row>
    <row r="75" ht="15.75" customHeight="1">
      <c r="A75" s="8" t="str">
        <f>IFERROR(__xludf.DUMMYFUNCTION("""COMPUTED_VALUE"""),"https://www.sortlist.com/s/performance-marketing/munich-by-de")</f>
        <v>https://www.sortlist.com/s/performance-marketing/munich-by-de</v>
      </c>
      <c r="B75" s="11" t="str">
        <f>IFERROR(__xludf.DUMMYFUNCTION("""COMPUTED_VALUE"""),"The 10 Best Performance Marketing Agencies in Munich - 2026 Reviews")</f>
        <v>The 10 Best Performance Marketing Agencies in Munich - 2026 Reviews</v>
      </c>
      <c r="C75" s="8" t="str">
        <f>IFERROR(__xludf.DUMMYFUNCTION("""COMPUTED_VALUE"""),"sortlist.com")</f>
        <v>sortlist.com</v>
      </c>
      <c r="D75" s="11" t="str">
        <f>IFERROR(__xludf.DUMMYFUNCTION("""COMPUTED_VALUE"""),"CATEGORY_PAGE")</f>
        <v>CATEGORY_PAGE</v>
      </c>
      <c r="E75" s="11" t="str">
        <f>IFERROR(__xludf.DUMMYFUNCTION("""COMPUTED_VALUE"""),"CORPORATE")</f>
        <v>CORPORATE</v>
      </c>
      <c r="F75" s="11" t="str">
        <f>IFERROR(__xludf.DUMMYFUNCTION("""COMPUTED_VALUE"""),"Category Page")</f>
        <v>Category Page</v>
      </c>
      <c r="G75" s="11" t="b">
        <f>IFERROR(__xludf.DUMMYFUNCTION("""COMPUTED_VALUE"""),FALSE)</f>
        <v>0</v>
      </c>
      <c r="H75" s="11" t="str">
        <f>IFERROR(__xludf.DUMMYFUNCTION("""COMPUTED_VALUE"""),"lehof, Mediacharge, MONSOON, Triple Whale, Northbeam, Dreamdata, Loyamo")</f>
        <v>lehof, Mediacharge, MONSOON, Triple Whale, Northbeam, Dreamdata, Loyamo</v>
      </c>
      <c r="I75" s="11">
        <f>IFERROR(__xludf.DUMMYFUNCTION("""COMPUTED_VALUE"""),1.0)</f>
        <v>1</v>
      </c>
      <c r="J75" s="11">
        <f>IFERROR(__xludf.DUMMYFUNCTION("""COMPUTED_VALUE"""),0.0)</f>
        <v>0</v>
      </c>
      <c r="K75" s="11">
        <f>IFERROR(__xludf.DUMMYFUNCTION("""COMPUTED_VALUE"""),1.0)</f>
        <v>1</v>
      </c>
    </row>
    <row r="76" ht="15.75" customHeight="1">
      <c r="A76" s="8" t="str">
        <f>IFERROR(__xludf.DUMMYFUNCTION("""COMPUTED_VALUE"""),"https://www.sortlist.com/s/programmatic-advertising/berlin-de#:~:text=%F0%9F%87%AC%F0%9F%87%A7%20below%20%F0%9F%87%AC%F0%9F%87%A7%20Say%20hi%20to%20Digital,we%20support%20you%20in%20digitizing%20your%20business.")</f>
        <v>https://www.sortlist.com/s/programmatic-advertising/berlin-de#:~:text=%F0%9F%87%AC%F0%9F%87%A7%20below%20%F0%9F%87%AC%F0%9F%87%A7%20Say%20hi%20to%20Digital,we%20support%20you%20in%20digitizing%20your%20business.</v>
      </c>
      <c r="B76" s="11" t="str">
        <f>IFERROR(__xludf.DUMMYFUNCTION("""COMPUTED_VALUE"""),"The 10 Best Programmatic Advertising Companies in Berlin - 2026 Reviews")</f>
        <v>The 10 Best Programmatic Advertising Companies in Berlin - 2026 Reviews</v>
      </c>
      <c r="C76" s="8" t="str">
        <f>IFERROR(__xludf.DUMMYFUNCTION("""COMPUTED_VALUE"""),"sortlist.com")</f>
        <v>sortlist.com</v>
      </c>
      <c r="D76" s="11" t="str">
        <f>IFERROR(__xludf.DUMMYFUNCTION("""COMPUTED_VALUE"""),"OTHER")</f>
        <v>OTHER</v>
      </c>
      <c r="E76" s="11" t="str">
        <f>IFERROR(__xludf.DUMMYFUNCTION("""COMPUTED_VALUE"""),"CORPORATE")</f>
        <v>CORPORATE</v>
      </c>
      <c r="F76" s="11" t="str">
        <f>IFERROR(__xludf.DUMMYFUNCTION("""COMPUTED_VALUE"""),"Other")</f>
        <v>Other</v>
      </c>
      <c r="G76" s="11" t="b">
        <f>IFERROR(__xludf.DUMMYFUNCTION("""COMPUTED_VALUE"""),FALSE)</f>
        <v>0</v>
      </c>
      <c r="H76" s="11" t="str">
        <f>IFERROR(__xludf.DUMMYFUNCTION("""COMPUTED_VALUE"""),"MONSOON, Triple Whale, Northbeam, Dreamdata, KlickPiloten, Medialabel, lehof")</f>
        <v>MONSOON, Triple Whale, Northbeam, Dreamdata, KlickPiloten, Medialabel, lehof</v>
      </c>
      <c r="I76" s="11">
        <f>IFERROR(__xludf.DUMMYFUNCTION("""COMPUTED_VALUE"""),1.0)</f>
        <v>1</v>
      </c>
      <c r="J76" s="11">
        <f>IFERROR(__xludf.DUMMYFUNCTION("""COMPUTED_VALUE"""),0.0)</f>
        <v>0</v>
      </c>
      <c r="K76" s="11">
        <f>IFERROR(__xludf.DUMMYFUNCTION("""COMPUTED_VALUE"""),1.0)</f>
        <v>1</v>
      </c>
    </row>
    <row r="77" ht="15.75" customHeight="1">
      <c r="A77" s="8" t="str">
        <f>IFERROR(__xludf.DUMMYFUNCTION("""COMPUTED_VALUE"""),"https://www.sortlist.com/s/roi-optimization/germany-de")</f>
        <v>https://www.sortlist.com/s/roi-optimization/germany-de</v>
      </c>
      <c r="B77" s="11" t="str">
        <f>IFERROR(__xludf.DUMMYFUNCTION("""COMPUTED_VALUE"""),"The 10 Best ROI Optimization Companies in Germany - 2026 Reviews")</f>
        <v>The 10 Best ROI Optimization Companies in Germany - 2026 Reviews</v>
      </c>
      <c r="C77" s="8" t="str">
        <f>IFERROR(__xludf.DUMMYFUNCTION("""COMPUTED_VALUE"""),"sortlist.com")</f>
        <v>sortlist.com</v>
      </c>
      <c r="D77" s="11" t="str">
        <f>IFERROR(__xludf.DUMMYFUNCTION("""COMPUTED_VALUE"""),"CATEGORY_PAGE")</f>
        <v>CATEGORY_PAGE</v>
      </c>
      <c r="E77" s="11" t="str">
        <f>IFERROR(__xludf.DUMMYFUNCTION("""COMPUTED_VALUE"""),"CORPORATE")</f>
        <v>CORPORATE</v>
      </c>
      <c r="F77" s="11" t="str">
        <f>IFERROR(__xludf.DUMMYFUNCTION("""COMPUTED_VALUE"""),"Category Page")</f>
        <v>Category Page</v>
      </c>
      <c r="G77" s="11" t="b">
        <f>IFERROR(__xludf.DUMMYFUNCTION("""COMPUTED_VALUE"""),FALSE)</f>
        <v>0</v>
      </c>
      <c r="H77" s="11" t="str">
        <f>IFERROR(__xludf.DUMMYFUNCTION("""COMPUTED_VALUE"""),"MONSOON, Measured, Triple Whale, Northbeam, Dreamdata, PANORAMA3000, ZweiDigital GmbH")</f>
        <v>MONSOON, Measured, Triple Whale, Northbeam, Dreamdata, PANORAMA3000, ZweiDigital GmbH</v>
      </c>
      <c r="I77" s="11">
        <f>IFERROR(__xludf.DUMMYFUNCTION("""COMPUTED_VALUE"""),1.0)</f>
        <v>1</v>
      </c>
      <c r="J77" s="11">
        <f>IFERROR(__xludf.DUMMYFUNCTION("""COMPUTED_VALUE"""),0.0)</f>
        <v>0</v>
      </c>
      <c r="K77" s="11">
        <f>IFERROR(__xludf.DUMMYFUNCTION("""COMPUTED_VALUE"""),0.0)</f>
        <v>0</v>
      </c>
    </row>
    <row r="78" ht="15.75" customHeight="1">
      <c r="A78" s="8" t="str">
        <f>IFERROR(__xludf.DUMMYFUNCTION("""COMPUTED_VALUE"""),"https://www.sortlist.com/social-media-optimization")</f>
        <v>https://www.sortlist.com/social-media-optimization</v>
      </c>
      <c r="B78" s="11" t="str">
        <f>IFERROR(__xludf.DUMMYFUNCTION("""COMPUTED_VALUE"""),"The 100 Best Social Media Optimization Agencies - 2026 Reviews")</f>
        <v>The 100 Best Social Media Optimization Agencies - 2026 Reviews</v>
      </c>
      <c r="C78" s="8" t="str">
        <f>IFERROR(__xludf.DUMMYFUNCTION("""COMPUTED_VALUE"""),"sortlist.com")</f>
        <v>sortlist.com</v>
      </c>
      <c r="D78" s="11" t="str">
        <f>IFERROR(__xludf.DUMMYFUNCTION("""COMPUTED_VALUE"""),"CATEGORY_PAGE")</f>
        <v>CATEGORY_PAGE</v>
      </c>
      <c r="E78" s="11" t="str">
        <f>IFERROR(__xludf.DUMMYFUNCTION("""COMPUTED_VALUE"""),"CORPORATE")</f>
        <v>CORPORATE</v>
      </c>
      <c r="F78" s="11" t="str">
        <f>IFERROR(__xludf.DUMMYFUNCTION("""COMPUTED_VALUE"""),"Category Page")</f>
        <v>Category Page</v>
      </c>
      <c r="G78" s="11" t="b">
        <f>IFERROR(__xludf.DUMMYFUNCTION("""COMPUTED_VALUE"""),FALSE)</f>
        <v>0</v>
      </c>
      <c r="H78" s="11"/>
      <c r="I78" s="11">
        <f>IFERROR(__xludf.DUMMYFUNCTION("""COMPUTED_VALUE"""),1.0)</f>
        <v>1</v>
      </c>
      <c r="J78" s="11">
        <f>IFERROR(__xludf.DUMMYFUNCTION("""COMPUTED_VALUE"""),0.0)</f>
        <v>0</v>
      </c>
      <c r="K78" s="11">
        <f>IFERROR(__xludf.DUMMYFUNCTION("""COMPUTED_VALUE"""),0.0)</f>
        <v>0</v>
      </c>
    </row>
    <row r="79" ht="15.75" customHeight="1">
      <c r="A79" s="8" t="str">
        <f>IFERROR(__xludf.DUMMYFUNCTION("""COMPUTED_VALUE"""),"https://www.sortlist.de/s/display-werbung/bayern-by-de")</f>
        <v>https://www.sortlist.de/s/display-werbung/bayern-by-de</v>
      </c>
      <c r="B79" s="11" t="str">
        <f>IFERROR(__xludf.DUMMYFUNCTION("""COMPUTED_VALUE"""),"Display Anzeigen Agentur Bayern vergleichen")</f>
        <v>Display Anzeigen Agentur Bayern vergleichen</v>
      </c>
      <c r="C79" s="8" t="str">
        <f>IFERROR(__xludf.DUMMYFUNCTION("""COMPUTED_VALUE"""),"sortlist.de")</f>
        <v>sortlist.de</v>
      </c>
      <c r="D79" s="11" t="str">
        <f>IFERROR(__xludf.DUMMYFUNCTION("""COMPUTED_VALUE"""),"CATEGORY_PAGE")</f>
        <v>CATEGORY_PAGE</v>
      </c>
      <c r="E79" s="11" t="str">
        <f>IFERROR(__xludf.DUMMYFUNCTION("""COMPUTED_VALUE"""),"CORPORATE")</f>
        <v>CORPORATE</v>
      </c>
      <c r="F79" s="11" t="str">
        <f>IFERROR(__xludf.DUMMYFUNCTION("""COMPUTED_VALUE"""),"Category Page")</f>
        <v>Category Page</v>
      </c>
      <c r="G79" s="11" t="b">
        <f>IFERROR(__xludf.DUMMYFUNCTION("""COMPUTED_VALUE"""),FALSE)</f>
        <v>0</v>
      </c>
      <c r="H79" s="11" t="str">
        <f>IFERROR(__xludf.DUMMYFUNCTION("""COMPUTED_VALUE"""),"MONSOON, Triple Whale, Northbeam, Dreamdata, Mediacharge, Loyamo")</f>
        <v>MONSOON, Triple Whale, Northbeam, Dreamdata, Mediacharge, Loyamo</v>
      </c>
      <c r="I79" s="11">
        <f>IFERROR(__xludf.DUMMYFUNCTION("""COMPUTED_VALUE"""),1.0)</f>
        <v>1</v>
      </c>
      <c r="J79" s="11">
        <f>IFERROR(__xludf.DUMMYFUNCTION("""COMPUTED_VALUE"""),0.0)</f>
        <v>0</v>
      </c>
      <c r="K79" s="11">
        <f>IFERROR(__xludf.DUMMYFUNCTION("""COMPUTED_VALUE"""),0.0)</f>
        <v>0</v>
      </c>
    </row>
    <row r="80" ht="15.75" customHeight="1">
      <c r="A80" s="8" t="str">
        <f>IFERROR(__xludf.DUMMYFUNCTION("""COMPUTED_VALUE"""),"https://www.sortlist.de/s/display-werbung/hamburg-de")</f>
        <v>https://www.sortlist.de/s/display-werbung/hamburg-de</v>
      </c>
      <c r="B80" s="11" t="str">
        <f>IFERROR(__xludf.DUMMYFUNCTION("""COMPUTED_VALUE"""),"Unsere 10 Besten Display Anzeigen Agenturen in Hamburg - 2026 Bewertungen")</f>
        <v>Unsere 10 Besten Display Anzeigen Agenturen in Hamburg - 2026 Bewertungen</v>
      </c>
      <c r="C80" s="8" t="str">
        <f>IFERROR(__xludf.DUMMYFUNCTION("""COMPUTED_VALUE"""),"sortlist.de")</f>
        <v>sortlist.de</v>
      </c>
      <c r="D80" s="11" t="str">
        <f>IFERROR(__xludf.DUMMYFUNCTION("""COMPUTED_VALUE"""),"OTHER")</f>
        <v>OTHER</v>
      </c>
      <c r="E80" s="11" t="str">
        <f>IFERROR(__xludf.DUMMYFUNCTION("""COMPUTED_VALUE"""),"CORPORATE")</f>
        <v>CORPORATE</v>
      </c>
      <c r="F80" s="11" t="str">
        <f>IFERROR(__xludf.DUMMYFUNCTION("""COMPUTED_VALUE"""),"Other")</f>
        <v>Other</v>
      </c>
      <c r="G80" s="11" t="b">
        <f>IFERROR(__xludf.DUMMYFUNCTION("""COMPUTED_VALUE"""),FALSE)</f>
        <v>0</v>
      </c>
      <c r="H80" s="11" t="str">
        <f>IFERROR(__xludf.DUMMYFUNCTION("""COMPUTED_VALUE"""),"KlickPiloten, Triple Whale, Northbeam, Dreamdata, MONSOON")</f>
        <v>KlickPiloten, Triple Whale, Northbeam, Dreamdata, MONSOON</v>
      </c>
      <c r="I80" s="11">
        <f>IFERROR(__xludf.DUMMYFUNCTION("""COMPUTED_VALUE"""),1.0)</f>
        <v>1</v>
      </c>
      <c r="J80" s="11">
        <f>IFERROR(__xludf.DUMMYFUNCTION("""COMPUTED_VALUE"""),0.0)</f>
        <v>0</v>
      </c>
      <c r="K80" s="11">
        <f>IFERROR(__xludf.DUMMYFUNCTION("""COMPUTED_VALUE"""),0.0)</f>
        <v>0</v>
      </c>
    </row>
    <row r="81" ht="15.75" customHeight="1">
      <c r="A81" s="8" t="str">
        <f>IFERROR(__xludf.DUMMYFUNCTION("""COMPUTED_VALUE"""),"https://www.sortlist.de/s/display-werbung/hamburg-hh-de")</f>
        <v>https://www.sortlist.de/s/display-werbung/hamburg-hh-de</v>
      </c>
      <c r="B81" s="11" t="str">
        <f>IFERROR(__xludf.DUMMYFUNCTION("""COMPUTED_VALUE"""),"Display-Advertising-Agentur Hamburg: Anbieter vergleichen")</f>
        <v>Display-Advertising-Agentur Hamburg: Anbieter vergleichen</v>
      </c>
      <c r="C81" s="8" t="str">
        <f>IFERROR(__xludf.DUMMYFUNCTION("""COMPUTED_VALUE"""),"sortlist.de")</f>
        <v>sortlist.de</v>
      </c>
      <c r="D81" s="11" t="str">
        <f>IFERROR(__xludf.DUMMYFUNCTION("""COMPUTED_VALUE"""),"OTHER")</f>
        <v>OTHER</v>
      </c>
      <c r="E81" s="11" t="str">
        <f>IFERROR(__xludf.DUMMYFUNCTION("""COMPUTED_VALUE"""),"CORPORATE")</f>
        <v>CORPORATE</v>
      </c>
      <c r="F81" s="11" t="str">
        <f>IFERROR(__xludf.DUMMYFUNCTION("""COMPUTED_VALUE"""),"Other")</f>
        <v>Other</v>
      </c>
      <c r="G81" s="11" t="b">
        <f>IFERROR(__xludf.DUMMYFUNCTION("""COMPUTED_VALUE"""),FALSE)</f>
        <v>0</v>
      </c>
      <c r="H81" s="11" t="str">
        <f>IFERROR(__xludf.DUMMYFUNCTION("""COMPUTED_VALUE"""),"KlickPiloten, Triple Whale, Northbeam, Dreamdata, MONSOON")</f>
        <v>KlickPiloten, Triple Whale, Northbeam, Dreamdata, MONSOON</v>
      </c>
      <c r="I81" s="11">
        <f>IFERROR(__xludf.DUMMYFUNCTION("""COMPUTED_VALUE"""),1.0)</f>
        <v>1</v>
      </c>
      <c r="J81" s="11">
        <f>IFERROR(__xludf.DUMMYFUNCTION("""COMPUTED_VALUE"""),0.0)</f>
        <v>0</v>
      </c>
      <c r="K81" s="11">
        <f>IFERROR(__xludf.DUMMYFUNCTION("""COMPUTED_VALUE"""),0.0)</f>
        <v>0</v>
      </c>
    </row>
    <row r="82" ht="15.75" customHeight="1">
      <c r="A82" s="8" t="str">
        <f>IFERROR(__xludf.DUMMYFUNCTION("""COMPUTED_VALUE"""),"https://www.sortlist.de/s/facebook-advertising/deutschland-de")</f>
        <v>https://www.sortlist.de/s/facebook-advertising/deutschland-de</v>
      </c>
      <c r="B82" s="11" t="str">
        <f>IFERROR(__xludf.DUMMYFUNCTION("""COMPUTED_VALUE"""),"Unsere 10 Besten Facebook-Werbung Agenturen in Deutschland - 2026 Bewertungen")</f>
        <v>Unsere 10 Besten Facebook-Werbung Agenturen in Deutschland - 2026 Bewertungen</v>
      </c>
      <c r="C82" s="8" t="str">
        <f>IFERROR(__xludf.DUMMYFUNCTION("""COMPUTED_VALUE"""),"sortlist.de")</f>
        <v>sortlist.de</v>
      </c>
      <c r="D82" s="11" t="str">
        <f>IFERROR(__xludf.DUMMYFUNCTION("""COMPUTED_VALUE"""),"CATEGORY_PAGE")</f>
        <v>CATEGORY_PAGE</v>
      </c>
      <c r="E82" s="11" t="str">
        <f>IFERROR(__xludf.DUMMYFUNCTION("""COMPUTED_VALUE"""),"CORPORATE")</f>
        <v>CORPORATE</v>
      </c>
      <c r="F82" s="11" t="str">
        <f>IFERROR(__xludf.DUMMYFUNCTION("""COMPUTED_VALUE"""),"Category Page")</f>
        <v>Category Page</v>
      </c>
      <c r="G82" s="11" t="b">
        <f>IFERROR(__xludf.DUMMYFUNCTION("""COMPUTED_VALUE"""),FALSE)</f>
        <v>0</v>
      </c>
      <c r="H82" s="11" t="str">
        <f>IFERROR(__xludf.DUMMYFUNCTION("""COMPUTED_VALUE"""),"lehof, MONSOON, Triple Whale, Northbeam, Dreamdata, PANORAMA3000")</f>
        <v>lehof, MONSOON, Triple Whale, Northbeam, Dreamdata, PANORAMA3000</v>
      </c>
      <c r="I82" s="11">
        <f>IFERROR(__xludf.DUMMYFUNCTION("""COMPUTED_VALUE"""),1.0)</f>
        <v>1</v>
      </c>
      <c r="J82" s="11">
        <f>IFERROR(__xludf.DUMMYFUNCTION("""COMPUTED_VALUE"""),0.0)</f>
        <v>0</v>
      </c>
      <c r="K82" s="11">
        <f>IFERROR(__xludf.DUMMYFUNCTION("""COMPUTED_VALUE"""),0.0)</f>
        <v>0</v>
      </c>
    </row>
    <row r="83" ht="15.75" customHeight="1">
      <c r="A83" s="8" t="str">
        <f>IFERROR(__xludf.DUMMYFUNCTION("""COMPUTED_VALUE"""),"https://www.sortlist.de/s/linkedin-ads/deutschland-de")</f>
        <v>https://www.sortlist.de/s/linkedin-ads/deutschland-de</v>
      </c>
      <c r="B83" s="11" t="str">
        <f>IFERROR(__xludf.DUMMYFUNCTION("""COMPUTED_VALUE"""),"Unsere 10 Besten LinkedIn Ads Agenturen in Deutschland - 2026 Bewertungen")</f>
        <v>Unsere 10 Besten LinkedIn Ads Agenturen in Deutschland - 2026 Bewertungen</v>
      </c>
      <c r="C83" s="8" t="str">
        <f>IFERROR(__xludf.DUMMYFUNCTION("""COMPUTED_VALUE"""),"sortlist.de")</f>
        <v>sortlist.de</v>
      </c>
      <c r="D83" s="11" t="str">
        <f>IFERROR(__xludf.DUMMYFUNCTION("""COMPUTED_VALUE"""),"CATEGORY_PAGE")</f>
        <v>CATEGORY_PAGE</v>
      </c>
      <c r="E83" s="11" t="str">
        <f>IFERROR(__xludf.DUMMYFUNCTION("""COMPUTED_VALUE"""),"CORPORATE")</f>
        <v>CORPORATE</v>
      </c>
      <c r="F83" s="11" t="str">
        <f>IFERROR(__xludf.DUMMYFUNCTION("""COMPUTED_VALUE"""),"Category Page")</f>
        <v>Category Page</v>
      </c>
      <c r="G83" s="11" t="b">
        <f>IFERROR(__xludf.DUMMYFUNCTION("""COMPUTED_VALUE"""),FALSE)</f>
        <v>0</v>
      </c>
      <c r="H83" s="11" t="str">
        <f>IFERROR(__xludf.DUMMYFUNCTION("""COMPUTED_VALUE"""),"MONSOON")</f>
        <v>MONSOON</v>
      </c>
      <c r="I83" s="11">
        <f>IFERROR(__xludf.DUMMYFUNCTION("""COMPUTED_VALUE"""),1.0)</f>
        <v>1</v>
      </c>
      <c r="J83" s="11">
        <f>IFERROR(__xludf.DUMMYFUNCTION("""COMPUTED_VALUE"""),0.0)</f>
        <v>0</v>
      </c>
      <c r="K83" s="11">
        <f>IFERROR(__xludf.DUMMYFUNCTION("""COMPUTED_VALUE"""),0.0)</f>
        <v>0</v>
      </c>
    </row>
    <row r="84" ht="15.75" customHeight="1">
      <c r="A84" s="8" t="str">
        <f>IFERROR(__xludf.DUMMYFUNCTION("""COMPUTED_VALUE"""),"https://www.sortlist.de/s/marketing-analytik/hamburg-de")</f>
        <v>https://www.sortlist.de/s/marketing-analytik/hamburg-de</v>
      </c>
      <c r="B84" s="11" t="str">
        <f>IFERROR(__xludf.DUMMYFUNCTION("""COMPUTED_VALUE"""),"Marketing Analytik Agentur Hamburg vergleichen")</f>
        <v>Marketing Analytik Agentur Hamburg vergleichen</v>
      </c>
      <c r="C84" s="8" t="str">
        <f>IFERROR(__xludf.DUMMYFUNCTION("""COMPUTED_VALUE"""),"sortlist.de")</f>
        <v>sortlist.de</v>
      </c>
      <c r="D84" s="11" t="str">
        <f>IFERROR(__xludf.DUMMYFUNCTION("""COMPUTED_VALUE"""),"CATEGORY_PAGE")</f>
        <v>CATEGORY_PAGE</v>
      </c>
      <c r="E84" s="11" t="str">
        <f>IFERROR(__xludf.DUMMYFUNCTION("""COMPUTED_VALUE"""),"CORPORATE")</f>
        <v>CORPORATE</v>
      </c>
      <c r="F84" s="11" t="str">
        <f>IFERROR(__xludf.DUMMYFUNCTION("""COMPUTED_VALUE"""),"Category Page")</f>
        <v>Category Page</v>
      </c>
      <c r="G84" s="11" t="b">
        <f>IFERROR(__xludf.DUMMYFUNCTION("""COMPUTED_VALUE"""),FALSE)</f>
        <v>0</v>
      </c>
      <c r="H84" s="11" t="str">
        <f>IFERROR(__xludf.DUMMYFUNCTION("""COMPUTED_VALUE"""),"lehof, MONSOON, KlickPiloten")</f>
        <v>lehof, MONSOON, KlickPiloten</v>
      </c>
      <c r="I84" s="11">
        <f>IFERROR(__xludf.DUMMYFUNCTION("""COMPUTED_VALUE"""),1.0)</f>
        <v>1</v>
      </c>
      <c r="J84" s="11">
        <f>IFERROR(__xludf.DUMMYFUNCTION("""COMPUTED_VALUE"""),0.0)</f>
        <v>0</v>
      </c>
      <c r="K84" s="11">
        <f>IFERROR(__xludf.DUMMYFUNCTION("""COMPUTED_VALUE"""),0.0)</f>
        <v>0</v>
      </c>
    </row>
    <row r="85" ht="15.75" customHeight="1">
      <c r="A85" s="8" t="str">
        <f>IFERROR(__xludf.DUMMYFUNCTION("""COMPUTED_VALUE"""),"https://www.sortlist.de/s/pay-per-click/deutschland-de")</f>
        <v>https://www.sortlist.de/s/pay-per-click/deutschland-de</v>
      </c>
      <c r="B85" s="11" t="str">
        <f>IFERROR(__xludf.DUMMYFUNCTION("""COMPUTED_VALUE"""),"Unsere 10 Besten PPC Marketing Agenturen in Deutschland - 2026 Bewertungen")</f>
        <v>Unsere 10 Besten PPC Marketing Agenturen in Deutschland - 2026 Bewertungen</v>
      </c>
      <c r="C85" s="8" t="str">
        <f>IFERROR(__xludf.DUMMYFUNCTION("""COMPUTED_VALUE"""),"sortlist.de")</f>
        <v>sortlist.de</v>
      </c>
      <c r="D85" s="11" t="str">
        <f>IFERROR(__xludf.DUMMYFUNCTION("""COMPUTED_VALUE"""),"CATEGORY_PAGE")</f>
        <v>CATEGORY_PAGE</v>
      </c>
      <c r="E85" s="11" t="str">
        <f>IFERROR(__xludf.DUMMYFUNCTION("""COMPUTED_VALUE"""),"CORPORATE")</f>
        <v>CORPORATE</v>
      </c>
      <c r="F85" s="11" t="str">
        <f>IFERROR(__xludf.DUMMYFUNCTION("""COMPUTED_VALUE"""),"Category Page")</f>
        <v>Category Page</v>
      </c>
      <c r="G85" s="11" t="b">
        <f>IFERROR(__xludf.DUMMYFUNCTION("""COMPUTED_VALUE"""),FALSE)</f>
        <v>0</v>
      </c>
      <c r="H85" s="11" t="str">
        <f>IFERROR(__xludf.DUMMYFUNCTION("""COMPUTED_VALUE"""),"MONSOON, Mediacharge")</f>
        <v>MONSOON, Mediacharge</v>
      </c>
      <c r="I85" s="11">
        <f>IFERROR(__xludf.DUMMYFUNCTION("""COMPUTED_VALUE"""),1.0)</f>
        <v>1</v>
      </c>
      <c r="J85" s="11">
        <f>IFERROR(__xludf.DUMMYFUNCTION("""COMPUTED_VALUE"""),0.0)</f>
        <v>0</v>
      </c>
      <c r="K85" s="11">
        <f>IFERROR(__xludf.DUMMYFUNCTION("""COMPUTED_VALUE"""),4.0)</f>
        <v>4</v>
      </c>
    </row>
    <row r="86" ht="15.75" customHeight="1">
      <c r="A86" s="8" t="str">
        <f>IFERROR(__xludf.DUMMYFUNCTION("""COMPUTED_VALUE"""),"https://www.sortlist.de/s/programmatic-advertising/deutschland-de?page=2")</f>
        <v>https://www.sortlist.de/s/programmatic-advertising/deutschland-de?page=2</v>
      </c>
      <c r="B86" s="11" t="str">
        <f>IFERROR(__xludf.DUMMYFUNCTION("""COMPUTED_VALUE"""),"Unsere 10 Besten Programmatic Advertising Agenturen in Deutschland - 2026 Bewertungen – Seite 2")</f>
        <v>Unsere 10 Besten Programmatic Advertising Agenturen in Deutschland - 2026 Bewertungen – Seite 2</v>
      </c>
      <c r="C86" s="8" t="str">
        <f>IFERROR(__xludf.DUMMYFUNCTION("""COMPUTED_VALUE"""),"sortlist.de")</f>
        <v>sortlist.de</v>
      </c>
      <c r="D86" s="11" t="str">
        <f>IFERROR(__xludf.DUMMYFUNCTION("""COMPUTED_VALUE"""),"OTHER")</f>
        <v>OTHER</v>
      </c>
      <c r="E86" s="11" t="str">
        <f>IFERROR(__xludf.DUMMYFUNCTION("""COMPUTED_VALUE"""),"CORPORATE")</f>
        <v>CORPORATE</v>
      </c>
      <c r="F86" s="11" t="str">
        <f>IFERROR(__xludf.DUMMYFUNCTION("""COMPUTED_VALUE"""),"Other")</f>
        <v>Other</v>
      </c>
      <c r="G86" s="11" t="b">
        <f>IFERROR(__xludf.DUMMYFUNCTION("""COMPUTED_VALUE"""),FALSE)</f>
        <v>0</v>
      </c>
      <c r="H86" s="11" t="str">
        <f>IFERROR(__xludf.DUMMYFUNCTION("""COMPUTED_VALUE"""),"lehof, MONSOON, KlickPiloten, Medialabel, morefire, Think11, Haus, Peak Ace")</f>
        <v>lehof, MONSOON, KlickPiloten, Medialabel, morefire, Think11, Haus, Peak Ace</v>
      </c>
      <c r="I86" s="11">
        <f>IFERROR(__xludf.DUMMYFUNCTION("""COMPUTED_VALUE"""),1.0)</f>
        <v>1</v>
      </c>
      <c r="J86" s="11">
        <f>IFERROR(__xludf.DUMMYFUNCTION("""COMPUTED_VALUE"""),0.0)</f>
        <v>0</v>
      </c>
      <c r="K86" s="11">
        <f>IFERROR(__xludf.DUMMYFUNCTION("""COMPUTED_VALUE"""),0.0)</f>
        <v>0</v>
      </c>
    </row>
    <row r="87" ht="15.75" customHeight="1">
      <c r="A87" s="8" t="str">
        <f>IFERROR(__xludf.DUMMYFUNCTION("""COMPUTED_VALUE"""),"https://www.sortlist.de/s/tiktok/deutschland-de")</f>
        <v>https://www.sortlist.de/s/tiktok/deutschland-de</v>
      </c>
      <c r="B87" s="11" t="str">
        <f>IFERROR(__xludf.DUMMYFUNCTION("""COMPUTED_VALUE"""),"TikTok Agentur Deutschland 2026 – Die 11 Besten im Vergleich")</f>
        <v>TikTok Agentur Deutschland 2026 – Die 11 Besten im Vergleich</v>
      </c>
      <c r="C87" s="8" t="str">
        <f>IFERROR(__xludf.DUMMYFUNCTION("""COMPUTED_VALUE"""),"sortlist.de")</f>
        <v>sortlist.de</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IFERROR(__xludf.DUMMYFUNCTION("""COMPUTED_VALUE"""),"PANORAMA3000, MONSOON, lehof, Loyamo")</f>
        <v>PANORAMA3000, MONSOON, lehof, Loyamo</v>
      </c>
      <c r="I87" s="11">
        <f>IFERROR(__xludf.DUMMYFUNCTION("""COMPUTED_VALUE"""),1.0)</f>
        <v>1</v>
      </c>
      <c r="J87" s="11">
        <f>IFERROR(__xludf.DUMMYFUNCTION("""COMPUTED_VALUE"""),0.0)</f>
        <v>0</v>
      </c>
      <c r="K87" s="11">
        <f>IFERROR(__xludf.DUMMYFUNCTION("""COMPUTED_VALUE"""),0.0)</f>
        <v>0</v>
      </c>
    </row>
    <row r="88" ht="15.75" customHeight="1">
      <c r="A88" s="8" t="str">
        <f>IFERROR(__xludf.DUMMYFUNCTION("""COMPUTED_VALUE"""),"https://www.sortlist.de/s/tiktok/deutschland-de?page=2")</f>
        <v>https://www.sortlist.de/s/tiktok/deutschland-de?page=2</v>
      </c>
      <c r="B88" s="11" t="str">
        <f>IFERROR(__xludf.DUMMYFUNCTION("""COMPUTED_VALUE"""),"TikTok Agentur Deutschland 2026 – Die 11 Besten im Vergleich – Seite 2")</f>
        <v>TikTok Agentur Deutschland 2026 – Die 11 Besten im Vergleich – Seite 2</v>
      </c>
      <c r="C88" s="8" t="str">
        <f>IFERROR(__xludf.DUMMYFUNCTION("""COMPUTED_VALUE"""),"sortlist.de")</f>
        <v>sortlist.de</v>
      </c>
      <c r="D88" s="11" t="str">
        <f>IFERROR(__xludf.DUMMYFUNCTION("""COMPUTED_VALUE"""),"CATEGORY_PAGE")</f>
        <v>CATEGORY_PAGE</v>
      </c>
      <c r="E88" s="11" t="str">
        <f>IFERROR(__xludf.DUMMYFUNCTION("""COMPUTED_VALUE"""),"CORPORATE")</f>
        <v>CORPORATE</v>
      </c>
      <c r="F88" s="11" t="str">
        <f>IFERROR(__xludf.DUMMYFUNCTION("""COMPUTED_VALUE"""),"Category Page")</f>
        <v>Category Page</v>
      </c>
      <c r="G88" s="11" t="b">
        <f>IFERROR(__xludf.DUMMYFUNCTION("""COMPUTED_VALUE"""),FALSE)</f>
        <v>0</v>
      </c>
      <c r="H88" s="11" t="str">
        <f>IFERROR(__xludf.DUMMYFUNCTION("""COMPUTED_VALUE"""),"PANORAMA3000, Pilot")</f>
        <v>PANORAMA3000, Pilot</v>
      </c>
      <c r="I88" s="11">
        <f>IFERROR(__xludf.DUMMYFUNCTION("""COMPUTED_VALUE"""),1.0)</f>
        <v>1</v>
      </c>
      <c r="J88" s="11">
        <f>IFERROR(__xludf.DUMMYFUNCTION("""COMPUTED_VALUE"""),0.0)</f>
        <v>0</v>
      </c>
      <c r="K88" s="11">
        <f>IFERROR(__xludf.DUMMYFUNCTION("""COMPUTED_VALUE"""),0.0)</f>
        <v>0</v>
      </c>
    </row>
    <row r="89" ht="15.75" customHeight="1">
      <c r="A89" s="8" t="str">
        <f>IFERROR(__xludf.DUMMYFUNCTION("""COMPUTED_VALUE"""),"https://www.sortlist.de/social-media/deutschland-de")</f>
        <v>https://www.sortlist.de/social-media/deutschland-de</v>
      </c>
      <c r="B89" s="11" t="str">
        <f>IFERROR(__xludf.DUMMYFUNCTION("""COMPUTED_VALUE"""),"Social-Media Agentur Deutschland 2026 – Die 17 Besten im Vergleich")</f>
        <v>Social-Media Agentur Deutschland 2026 – Die 17 Besten im Vergleich</v>
      </c>
      <c r="C89" s="8" t="str">
        <f>IFERROR(__xludf.DUMMYFUNCTION("""COMPUTED_VALUE"""),"sortlist.de")</f>
        <v>sortlist.de</v>
      </c>
      <c r="D89" s="11" t="str">
        <f>IFERROR(__xludf.DUMMYFUNCTION("""COMPUTED_VALUE"""),"CATEGORY_PAGE")</f>
        <v>CATEGORY_PAGE</v>
      </c>
      <c r="E89" s="11" t="str">
        <f>IFERROR(__xludf.DUMMYFUNCTION("""COMPUTED_VALUE"""),"CORPORATE")</f>
        <v>CORPORATE</v>
      </c>
      <c r="F89" s="11" t="str">
        <f>IFERROR(__xludf.DUMMYFUNCTION("""COMPUTED_VALUE"""),"Category Page")</f>
        <v>Category Page</v>
      </c>
      <c r="G89" s="11" t="b">
        <f>IFERROR(__xludf.DUMMYFUNCTION("""COMPUTED_VALUE"""),FALSE)</f>
        <v>0</v>
      </c>
      <c r="H89" s="11" t="str">
        <f>IFERROR(__xludf.DUMMYFUNCTION("""COMPUTED_VALUE"""),"PANORAMA3000, lehof")</f>
        <v>PANORAMA3000, lehof</v>
      </c>
      <c r="I89" s="11">
        <f>IFERROR(__xludf.DUMMYFUNCTION("""COMPUTED_VALUE"""),1.0)</f>
        <v>1</v>
      </c>
      <c r="J89" s="11">
        <f>IFERROR(__xludf.DUMMYFUNCTION("""COMPUTED_VALUE"""),0.0)</f>
        <v>0</v>
      </c>
      <c r="K89" s="11">
        <f>IFERROR(__xludf.DUMMYFUNCTION("""COMPUTED_VALUE"""),0.0)</f>
        <v>0</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Adastra%20achieved%20Elite%20Partner%20Status,Worked%20in%20Retail%20(%2B10)"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C70"/>
    <hyperlink r:id="rId138" ref="A71"/>
    <hyperlink r:id="rId139" ref="C71"/>
    <hyperlink r:id="rId140" ref="A72"/>
    <hyperlink r:id="rId141" ref="C72"/>
    <hyperlink r:id="rId142" ref="A73"/>
    <hyperlink r:id="rId143" ref="C73"/>
    <hyperlink r:id="rId144" ref="A74"/>
    <hyperlink r:id="rId145" ref="C74"/>
    <hyperlink r:id="rId146" ref="A75"/>
    <hyperlink r:id="rId147" ref="C75"/>
    <hyperlink r:id="rId148" location=":~:text=%F0%9F%87%AC%F0%9F%87%A7%20below%20%F0%9F%87%AC%F0%9F%87%A7%20Say%20hi%20to%20Digital,we%20support%20you%20in%20digitizing%20your%20business." ref="A76"/>
    <hyperlink r:id="rId149" ref="C76"/>
    <hyperlink r:id="rId150" ref="A77"/>
    <hyperlink r:id="rId151" ref="C77"/>
    <hyperlink r:id="rId152" ref="A78"/>
    <hyperlink r:id="rId153" ref="C78"/>
    <hyperlink r:id="rId154" ref="A79"/>
    <hyperlink r:id="rId155" ref="C79"/>
    <hyperlink r:id="rId156" ref="A80"/>
    <hyperlink r:id="rId157" ref="C80"/>
    <hyperlink r:id="rId158" ref="A81"/>
    <hyperlink r:id="rId159" ref="C81"/>
    <hyperlink r:id="rId160" ref="A82"/>
    <hyperlink r:id="rId161" ref="C82"/>
    <hyperlink r:id="rId162" ref="A83"/>
    <hyperlink r:id="rId163" ref="C83"/>
    <hyperlink r:id="rId164" ref="A84"/>
    <hyperlink r:id="rId165" ref="C84"/>
    <hyperlink r:id="rId166" ref="A85"/>
    <hyperlink r:id="rId167" ref="C85"/>
    <hyperlink r:id="rId168" ref="A86"/>
    <hyperlink r:id="rId169" ref="C86"/>
    <hyperlink r:id="rId170" ref="A87"/>
    <hyperlink r:id="rId171" ref="C87"/>
    <hyperlink r:id="rId172" ref="A88"/>
    <hyperlink r:id="rId173" ref="C88"/>
    <hyperlink r:id="rId174" ref="A89"/>
    <hyperlink r:id="rId175" ref="C89"/>
  </hyperlinks>
  <drawing r:id="rId17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All'!A2:A1000)),""clutch.co"")
  ),
  """"
)"),"https://clutch.co/de/agencies/digital-marketing")</f>
        <v>https://clutch.co/de/agencies/digital-marketing</v>
      </c>
      <c r="B2" s="11" t="str">
        <f>IFERROR(__xludf.DUMMYFUNCTION("""COMPUTED_VALUE"""),"Top Digital Marketing Agencies in Germany - Jul 2026 Rankings | Clutch.co")</f>
        <v>Top Digital Marketing Agencies in Germany - Jul 2026 Rankings | Clutch.co</v>
      </c>
      <c r="C2" s="8" t="str">
        <f>IFERROR(__xludf.DUMMYFUNCTION("""COMPUTED_VALUE"""),"clutch.co")</f>
        <v>clutch.co</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Mediacharge, REPLUG, Claneo, Huge, Phiture, PANORAMA3000, Seeders, Admiral Media, HECHT INS GEFECHT")</f>
        <v>MONSOON, Mediacharge, REPLUG, Claneo, Huge, Phiture, PANORAMA3000, Seeders, Admiral Media, HECHT INS GEFECHT</v>
      </c>
      <c r="I2" s="11">
        <f>IFERROR(__xludf.DUMMYFUNCTION("""COMPUTED_VALUE"""),111.0)</f>
        <v>111</v>
      </c>
      <c r="J2" s="11">
        <f>IFERROR(__xludf.DUMMYFUNCTION("""COMPUTED_VALUE"""),0.12)</f>
        <v>0.12</v>
      </c>
      <c r="K2" s="11">
        <f>IFERROR(__xludf.DUMMYFUNCTION("""COMPUTED_VALUE"""),0.92)</f>
        <v>0.92</v>
      </c>
    </row>
    <row r="3" ht="15.75" customHeight="1">
      <c r="A3" s="8" t="str">
        <f>IFERROR(__xludf.DUMMYFUNCTION("""COMPUTED_VALUE"""),"https://clutch.co/de/agencies")</f>
        <v>https://clutch.co/de/agencies</v>
      </c>
      <c r="B3" s="11" t="str">
        <f>IFERROR(__xludf.DUMMYFUNCTION("""COMPUTED_VALUE"""),"Top Advertising Agencies in Germany - Jul 2026 Rankings \| Clutch.co")</f>
        <v>Top Advertising Agencies in Germany - Jul 2026 Rankings \| Clutch.co</v>
      </c>
      <c r="C3" s="8" t="str">
        <f>IFERROR(__xludf.DUMMYFUNCTION("""COMPUTED_VALUE"""),"clutch.co")</f>
        <v>clutch.co</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IFERROR(__xludf.DUMMYFUNCTION("""COMPUTED_VALUE"""),"MONSOON, Phiture, PANORAMA3000, Seeders, Mediacharge, Digitalyze, morefire, Scholz &amp; Friends, Haus")</f>
        <v>MONSOON, Phiture, PANORAMA3000, Seeders, Mediacharge, Digitalyze, morefire, Scholz &amp; Friends, Haus</v>
      </c>
      <c r="I3" s="11">
        <f>IFERROR(__xludf.DUMMYFUNCTION("""COMPUTED_VALUE"""),87.0)</f>
        <v>87</v>
      </c>
      <c r="J3" s="11">
        <f>IFERROR(__xludf.DUMMYFUNCTION("""COMPUTED_VALUE"""),0.09)</f>
        <v>0.09</v>
      </c>
      <c r="K3" s="11">
        <f>IFERROR(__xludf.DUMMYFUNCTION("""COMPUTED_VALUE"""),1.1)</f>
        <v>1.1</v>
      </c>
    </row>
    <row r="4" ht="15.75" customHeight="1">
      <c r="A4" s="8" t="str">
        <f>IFERROR(__xludf.DUMMYFUNCTION("""COMPUTED_VALUE"""),"https://clutch.co/de/agencies/social-media-marketing")</f>
        <v>https://clutch.co/de/agencies/social-media-marketing</v>
      </c>
      <c r="B4" s="11" t="str">
        <f>IFERROR(__xludf.DUMMYFUNCTION("""COMPUTED_VALUE"""),"Top Social Media Marketing Companies in Germany - Jul 2026 Rankings \| Clutch.co")</f>
        <v>Top Social Media Marketing Companies in Germany - Jul 2026 Rankings \| Clutch.co</v>
      </c>
      <c r="C4" s="8" t="str">
        <f>IFERROR(__xludf.DUMMYFUNCTION("""COMPUTED_VALUE"""),"clutch.co")</f>
        <v>clutch.co</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IFERROR(__xludf.DUMMYFUNCTION("""COMPUTED_VALUE"""),"MONSOON, Mediacharge, PwC, PANORAMA3000, HY.AM STUDIOS, Digitalyze, KlickPiloten, Pulse Advertising, DREIKON")</f>
        <v>MONSOON, Mediacharge, PwC, PANORAMA3000, HY.AM STUDIOS, Digitalyze, KlickPiloten, Pulse Advertising, DREIKON</v>
      </c>
      <c r="I4" s="11">
        <f>IFERROR(__xludf.DUMMYFUNCTION("""COMPUTED_VALUE"""),34.0)</f>
        <v>34</v>
      </c>
      <c r="J4" s="11">
        <f>IFERROR(__xludf.DUMMYFUNCTION("""COMPUTED_VALUE"""),0.04)</f>
        <v>0.04</v>
      </c>
      <c r="K4" s="11">
        <f>IFERROR(__xludf.DUMMYFUNCTION("""COMPUTED_VALUE"""),0.79)</f>
        <v>0.79</v>
      </c>
    </row>
    <row r="5" ht="15.75" customHeight="1">
      <c r="A5" s="8" t="str">
        <f>IFERROR(__xludf.DUMMYFUNCTION("""COMPUTED_VALUE"""),"https://clutch.co/de/agencies/creative")</f>
        <v>https://clutch.co/de/agencies/creative</v>
      </c>
      <c r="B5" s="11" t="str">
        <f>IFERROR(__xludf.DUMMYFUNCTION("""COMPUTED_VALUE"""),"Top Creative Agencies in Germany - Jul 2026 Rankings \| Clutch.co")</f>
        <v>Top Creative Agencies in Germany - Jul 2026 Rankings \| Clutch.co</v>
      </c>
      <c r="C5" s="8" t="str">
        <f>IFERROR(__xludf.DUMMYFUNCTION("""COMPUTED_VALUE"""),"clutch.co")</f>
        <v>clutch.co</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IFERROR(__xludf.DUMMYFUNCTION("""COMPUTED_VALUE"""),"PANORAMA3000, Digitalyze, morefire, Haus")</f>
        <v>PANORAMA3000, Digitalyze, morefire, Haus</v>
      </c>
      <c r="I5" s="11">
        <f>IFERROR(__xludf.DUMMYFUNCTION("""COMPUTED_VALUE"""),33.0)</f>
        <v>33</v>
      </c>
      <c r="J5" s="11">
        <f>IFERROR(__xludf.DUMMYFUNCTION("""COMPUTED_VALUE"""),0.03)</f>
        <v>0.03</v>
      </c>
      <c r="K5" s="11">
        <f>IFERROR(__xludf.DUMMYFUNCTION("""COMPUTED_VALUE"""),0.36)</f>
        <v>0.36</v>
      </c>
    </row>
    <row r="6" ht="15.75" customHeight="1">
      <c r="A6" s="8" t="str">
        <f>IFERROR(__xludf.DUMMYFUNCTION("""COMPUTED_VALUE"""),"https://clutch.co/de/consulting/ai")</f>
        <v>https://clutch.co/de/consulting/ai</v>
      </c>
      <c r="B6" s="11" t="str">
        <f>IFERROR(__xludf.DUMMYFUNCTION("""COMPUTED_VALUE"""),"Top AI Consultants in Germany - Jul 2026 Rankings \| Clutch.co")</f>
        <v>Top AI Consultants in Germany - Jul 2026 Rankings \| Clutch.co</v>
      </c>
      <c r="C6" s="8" t="str">
        <f>IFERROR(__xludf.DUMMYFUNCTION("""COMPUTED_VALUE"""),"clutch.co")</f>
        <v>clutch.co</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c r="I6" s="11">
        <f>IFERROR(__xludf.DUMMYFUNCTION("""COMPUTED_VALUE"""),31.0)</f>
        <v>31</v>
      </c>
      <c r="J6" s="11">
        <f>IFERROR(__xludf.DUMMYFUNCTION("""COMPUTED_VALUE"""),0.03)</f>
        <v>0.03</v>
      </c>
      <c r="K6" s="11">
        <f>IFERROR(__xludf.DUMMYFUNCTION("""COMPUTED_VALUE"""),0.19)</f>
        <v>0.19</v>
      </c>
    </row>
    <row r="7" ht="15.75" customHeight="1">
      <c r="A7" s="8" t="str">
        <f>IFERROR(__xludf.DUMMYFUNCTION("""COMPUTED_VALUE"""),"https://clutch.co/de/agencies/market-research")</f>
        <v>https://clutch.co/de/agencies/market-research</v>
      </c>
      <c r="B7" s="11" t="str">
        <f>IFERROR(__xludf.DUMMYFUNCTION("""COMPUTED_VALUE"""),"Top Market Research Companies in Germany - Jul 2026 Rankings | Clutch.co")</f>
        <v>Top Market Research Companies in Germany - Jul 2026 Rankings | Clutch.co</v>
      </c>
      <c r="C7" s="8" t="str">
        <f>IFERROR(__xludf.DUMMYFUNCTION("""COMPUTED_VALUE"""),"clutch.co")</f>
        <v>clutch.co</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IFERROR(__xludf.DUMMYFUNCTION("""COMPUTED_VALUE"""),"LNQP GmbH, Merkle")</f>
        <v>LNQP GmbH, Merkle</v>
      </c>
      <c r="I7" s="11">
        <f>IFERROR(__xludf.DUMMYFUNCTION("""COMPUTED_VALUE"""),26.0)</f>
        <v>26</v>
      </c>
      <c r="J7" s="11">
        <f>IFERROR(__xludf.DUMMYFUNCTION("""COMPUTED_VALUE"""),0.03)</f>
        <v>0.03</v>
      </c>
      <c r="K7" s="11">
        <f>IFERROR(__xludf.DUMMYFUNCTION("""COMPUTED_VALUE"""),2.23)</f>
        <v>2.23</v>
      </c>
    </row>
    <row r="8" ht="15.75" customHeight="1">
      <c r="A8" s="8" t="str">
        <f>IFERROR(__xludf.DUMMYFUNCTION("""COMPUTED_VALUE"""),"https://clutch.co/de/agencies/business-services-industry")</f>
        <v>https://clutch.co/de/agencies/business-services-industry</v>
      </c>
      <c r="B8" s="11" t="str">
        <f>IFERROR(__xludf.DUMMYFUNCTION("""COMPUTED_VALUE"""),"Top Advertising Agencies for B2B in Germany - Jul 2026 Rankings | Clutch.co")</f>
        <v>Top Advertising Agencies for B2B in Germany - Jul 2026 Rankings | Clutch.co</v>
      </c>
      <c r="C8" s="8" t="str">
        <f>IFERROR(__xludf.DUMMYFUNCTION("""COMPUTED_VALUE"""),"clutch.co")</f>
        <v>clutch.co</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IFERROR(__xludf.DUMMYFUNCTION("""COMPUTED_VALUE"""),"MONSOON, Mediacharge, Digitalyze, morefire, WeLikeWeb GmbH")</f>
        <v>MONSOON, Mediacharge, Digitalyze, morefire, WeLikeWeb GmbH</v>
      </c>
      <c r="I8" s="11">
        <f>IFERROR(__xludf.DUMMYFUNCTION("""COMPUTED_VALUE"""),20.0)</f>
        <v>20</v>
      </c>
      <c r="J8" s="11">
        <f>IFERROR(__xludf.DUMMYFUNCTION("""COMPUTED_VALUE"""),0.02)</f>
        <v>0.02</v>
      </c>
      <c r="K8" s="11">
        <f>IFERROR(__xludf.DUMMYFUNCTION("""COMPUTED_VALUE"""),0.05)</f>
        <v>0.05</v>
      </c>
    </row>
    <row r="9" ht="15.75" customHeight="1">
      <c r="A9" s="8" t="str">
        <f>IFERROR(__xludf.DUMMYFUNCTION("""COMPUTED_VALUE"""),"https://clutch.co/de/agencies/ppc/advertising-industry")</f>
        <v>https://clutch.co/de/agencies/ppc/advertising-industry</v>
      </c>
      <c r="B9" s="11" t="str">
        <f>IFERROR(__xludf.DUMMYFUNCTION("""COMPUTED_VALUE"""),"Top PPC Agencies for Ad Agencies in Germany - Jul 2026 Rankings \| Clutch.co")</f>
        <v>Top PPC Agencies for Ad Agencies in Germany - Jul 2026 Rankings \| Clutch.co</v>
      </c>
      <c r="C9" s="8" t="str">
        <f>IFERROR(__xludf.DUMMYFUNCTION("""COMPUTED_VALUE"""),"clutch.co")</f>
        <v>clutch.co</v>
      </c>
      <c r="D9" s="11" t="str">
        <f>IFERROR(__xludf.DUMMYFUNCTION("""COMPUTED_VALUE"""),"CATEGORY_PAGE")</f>
        <v>CATEGORY_PAGE</v>
      </c>
      <c r="E9" s="11" t="str">
        <f>IFERROR(__xludf.DUMMYFUNCTION("""COMPUTED_VALUE"""),"CORPORATE")</f>
        <v>CORPORATE</v>
      </c>
      <c r="F9" s="11" t="str">
        <f>IFERROR(__xludf.DUMMYFUNCTION("""COMPUTED_VALUE"""),"Category Page")</f>
        <v>Category Page</v>
      </c>
      <c r="G9" s="11" t="b">
        <f>IFERROR(__xludf.DUMMYFUNCTION("""COMPUTED_VALUE"""),FALSE)</f>
        <v>0</v>
      </c>
      <c r="H9" s="11" t="str">
        <f>IFERROR(__xludf.DUMMYFUNCTION("""COMPUTED_VALUE"""),"Mediacharge, Seeders, Medialabel")</f>
        <v>Mediacharge, Seeders, Medialabel</v>
      </c>
      <c r="I9" s="11">
        <f>IFERROR(__xludf.DUMMYFUNCTION("""COMPUTED_VALUE"""),20.0)</f>
        <v>20</v>
      </c>
      <c r="J9" s="11">
        <f>IFERROR(__xludf.DUMMYFUNCTION("""COMPUTED_VALUE"""),0.02)</f>
        <v>0.02</v>
      </c>
      <c r="K9" s="11">
        <f>IFERROR(__xludf.DUMMYFUNCTION("""COMPUTED_VALUE"""),1.35)</f>
        <v>1.35</v>
      </c>
    </row>
    <row r="10" ht="15.75" customHeight="1">
      <c r="A10" s="8" t="str">
        <f>IFERROR(__xludf.DUMMYFUNCTION("""COMPUTED_VALUE"""),"https://clutch.co/de/agencies/media-buying")</f>
        <v>https://clutch.co/de/agencies/media-buying</v>
      </c>
      <c r="B10" s="11" t="str">
        <f>IFERROR(__xludf.DUMMYFUNCTION("""COMPUTED_VALUE"""),"Top Media Buying Agencies in Germany - Jul 2026 Rankings \| Clutch.co")</f>
        <v>Top Media Buying Agencies in Germany - Jul 2026 Rankings \| Clutch.co</v>
      </c>
      <c r="C10" s="8" t="str">
        <f>IFERROR(__xludf.DUMMYFUNCTION("""COMPUTED_VALUE"""),"clutch.co")</f>
        <v>clutch.co</v>
      </c>
      <c r="D10" s="11" t="str">
        <f>IFERROR(__xludf.DUMMYFUNCTION("""COMPUTED_VALUE"""),"CATEGORY_PAGE")</f>
        <v>CATEGORY_PAGE</v>
      </c>
      <c r="E10" s="11" t="str">
        <f>IFERROR(__xludf.DUMMYFUNCTION("""COMPUTED_VALUE"""),"CORPORATE")</f>
        <v>CORPORATE</v>
      </c>
      <c r="F10" s="11" t="str">
        <f>IFERROR(__xludf.DUMMYFUNCTION("""COMPUTED_VALUE"""),"Category Page")</f>
        <v>Category Page</v>
      </c>
      <c r="G10" s="11" t="b">
        <f>IFERROR(__xludf.DUMMYFUNCTION("""COMPUTED_VALUE"""),FALSE)</f>
        <v>0</v>
      </c>
      <c r="H10" s="11" t="str">
        <f>IFERROR(__xludf.DUMMYFUNCTION("""COMPUTED_VALUE"""),"REPLUG, Phiture, Measured, Haus, GroupM, Publicis Media, Mediaplus Group")</f>
        <v>REPLUG, Phiture, Measured, Haus, GroupM, Publicis Media, Mediaplus Group</v>
      </c>
      <c r="I10" s="11">
        <f>IFERROR(__xludf.DUMMYFUNCTION("""COMPUTED_VALUE"""),19.0)</f>
        <v>19</v>
      </c>
      <c r="J10" s="11">
        <f>IFERROR(__xludf.DUMMYFUNCTION("""COMPUTED_VALUE"""),0.02)</f>
        <v>0.02</v>
      </c>
      <c r="K10" s="11">
        <f>IFERROR(__xludf.DUMMYFUNCTION("""COMPUTED_VALUE"""),1.11)</f>
        <v>1.11</v>
      </c>
    </row>
    <row r="11" ht="15.75" customHeight="1">
      <c r="A11" s="8" t="str">
        <f>IFERROR(__xludf.DUMMYFUNCTION("""COMPUTED_VALUE"""),"https://clutch.co/de/agencies/ppc/display")</f>
        <v>https://clutch.co/de/agencies/ppc/display</v>
      </c>
      <c r="B11" s="11" t="str">
        <f>IFERROR(__xludf.DUMMYFUNCTION("""COMPUTED_VALUE"""),"Top Display Advertising Services in Germany - Jul 2026 Rankings \| Clutch.co")</f>
        <v>Top Display Advertising Services in Germany - Jul 2026 Rankings \| Clutch.co</v>
      </c>
      <c r="C11" s="8" t="str">
        <f>IFERROR(__xludf.DUMMYFUNCTION("""COMPUTED_VALUE"""),"clutch.co")</f>
        <v>clutch.co</v>
      </c>
      <c r="D11" s="11" t="str">
        <f>IFERROR(__xludf.DUMMYFUNCTION("""COMPUTED_VALUE"""),"OTHER")</f>
        <v>OTHER</v>
      </c>
      <c r="E11" s="11" t="str">
        <f>IFERROR(__xludf.DUMMYFUNCTION("""COMPUTED_VALUE"""),"CORPORATE")</f>
        <v>CORPORATE</v>
      </c>
      <c r="F11" s="11" t="str">
        <f>IFERROR(__xludf.DUMMYFUNCTION("""COMPUTED_VALUE"""),"Other")</f>
        <v>Other</v>
      </c>
      <c r="G11" s="11" t="b">
        <f>IFERROR(__xludf.DUMMYFUNCTION("""COMPUTED_VALUE"""),FALSE)</f>
        <v>0</v>
      </c>
      <c r="H11" s="11" t="str">
        <f>IFERROR(__xludf.DUMMYFUNCTION("""COMPUTED_VALUE"""),"Seeders, GroupM, Aufgesang")</f>
        <v>Seeders, GroupM, Aufgesang</v>
      </c>
      <c r="I11" s="11">
        <f>IFERROR(__xludf.DUMMYFUNCTION("""COMPUTED_VALUE"""),18.0)</f>
        <v>18</v>
      </c>
      <c r="J11" s="11">
        <f>IFERROR(__xludf.DUMMYFUNCTION("""COMPUTED_VALUE"""),0.02)</f>
        <v>0.02</v>
      </c>
      <c r="K11" s="11">
        <f>IFERROR(__xludf.DUMMYFUNCTION("""COMPUTED_VALUE"""),0.67)</f>
        <v>0.67</v>
      </c>
    </row>
    <row r="12" ht="15.75" customHeight="1">
      <c r="A12" s="8" t="str">
        <f>IFERROR(__xludf.DUMMYFUNCTION("""COMPUTED_VALUE"""),"https://clutch.co/de/consulting/ai/strategy")</f>
        <v>https://clutch.co/de/consulting/ai/strategy</v>
      </c>
      <c r="B12" s="11" t="str">
        <f>IFERROR(__xludf.DUMMYFUNCTION("""COMPUTED_VALUE"""),"Top AI Strategy Companies in Germany - Jul 2026 Rankings \| Clutch.co")</f>
        <v>Top AI Strategy Companies in Germany - Jul 2026 Rankings \| Clutch.co</v>
      </c>
      <c r="C12" s="8" t="str">
        <f>IFERROR(__xludf.DUMMYFUNCTION("""COMPUTED_VALUE"""),"clutch.co")</f>
        <v>clutch.co</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IFERROR(__xludf.DUMMYFUNCTION("""COMPUTED_VALUE"""),"HECHT INS GEFECHT")</f>
        <v>HECHT INS GEFECHT</v>
      </c>
      <c r="I12" s="11">
        <f>IFERROR(__xludf.DUMMYFUNCTION("""COMPUTED_VALUE"""),17.0)</f>
        <v>17</v>
      </c>
      <c r="J12" s="11">
        <f>IFERROR(__xludf.DUMMYFUNCTION("""COMPUTED_VALUE"""),0.02)</f>
        <v>0.02</v>
      </c>
      <c r="K12" s="11">
        <f>IFERROR(__xludf.DUMMYFUNCTION("""COMPUTED_VALUE"""),0.06)</f>
        <v>0.06</v>
      </c>
    </row>
    <row r="13" ht="15.75" customHeight="1">
      <c r="A13" s="8" t="str">
        <f>IFERROR(__xludf.DUMMYFUNCTION("""COMPUTED_VALUE"""),"https://clutch.co/de/agencies/digital")</f>
        <v>https://clutch.co/de/agencies/digital</v>
      </c>
      <c r="B13" s="11" t="str">
        <f>IFERROR(__xludf.DUMMYFUNCTION("""COMPUTED_VALUE"""),"Top Full-Service Digital Agencies in Germany - Jul 2026 Rankings \| Clutch.co")</f>
        <v>Top Full-Service Digital Agencies in Germany - Jul 2026 Rankings \| Clutch.co</v>
      </c>
      <c r="C13" s="8" t="str">
        <f>IFERROR(__xludf.DUMMYFUNCTION("""COMPUTED_VALUE"""),"clutch.co")</f>
        <v>clutch.co</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IFERROR(__xludf.DUMMYFUNCTION("""COMPUTED_VALUE"""),"HY.AM STUDIOS, Huge, Digitalyze, DREIKON, morefire, Löwenstark")</f>
        <v>HY.AM STUDIOS, Huge, Digitalyze, DREIKON, morefire, Löwenstark</v>
      </c>
      <c r="I13" s="11">
        <f>IFERROR(__xludf.DUMMYFUNCTION("""COMPUTED_VALUE"""),16.0)</f>
        <v>16</v>
      </c>
      <c r="J13" s="11">
        <f>IFERROR(__xludf.DUMMYFUNCTION("""COMPUTED_VALUE"""),0.02)</f>
        <v>0.02</v>
      </c>
      <c r="K13" s="11">
        <f>IFERROR(__xludf.DUMMYFUNCTION("""COMPUTED_VALUE"""),0.25)</f>
        <v>0.25</v>
      </c>
    </row>
    <row r="14" ht="15.75" customHeight="1">
      <c r="A14" s="8" t="str">
        <f>IFERROR(__xludf.DUMMYFUNCTION("""COMPUTED_VALUE"""),"https://clutch.co/de/agencies/branding")</f>
        <v>https://clutch.co/de/agencies/branding</v>
      </c>
      <c r="B14" s="11" t="str">
        <f>IFERROR(__xludf.DUMMYFUNCTION("""COMPUTED_VALUE"""),"Top Branding Agencies in Germany - Jul 2026 Rankings \| Clutch.co")</f>
        <v>Top Branding Agencies in Germany - Jul 2026 Rankings \| Clutch.co</v>
      </c>
      <c r="C14" s="8" t="str">
        <f>IFERROR(__xludf.DUMMYFUNCTION("""COMPUTED_VALUE"""),"clutch.co")</f>
        <v>clutch.co</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IFERROR(__xludf.DUMMYFUNCTION("""COMPUTED_VALUE"""),"PANORAMA3000, HY.AM STUDIOS")</f>
        <v>PANORAMA3000, HY.AM STUDIOS</v>
      </c>
      <c r="I14" s="11">
        <f>IFERROR(__xludf.DUMMYFUNCTION("""COMPUTED_VALUE"""),13.0)</f>
        <v>13</v>
      </c>
      <c r="J14" s="11">
        <f>IFERROR(__xludf.DUMMYFUNCTION("""COMPUTED_VALUE"""),0.01)</f>
        <v>0.01</v>
      </c>
      <c r="K14" s="11">
        <f>IFERROR(__xludf.DUMMYFUNCTION("""COMPUTED_VALUE"""),0.0)</f>
        <v>0</v>
      </c>
    </row>
    <row r="15" ht="15.75" customHeight="1">
      <c r="A15" s="8" t="str">
        <f>IFERROR(__xludf.DUMMYFUNCTION("""COMPUTED_VALUE"""),"https://clutch.co/de/agencies/ppc")</f>
        <v>https://clutch.co/de/agencies/ppc</v>
      </c>
      <c r="B15" s="11" t="str">
        <f>IFERROR(__xludf.DUMMYFUNCTION("""COMPUTED_VALUE"""),"Top PPC Agencies in Germany - Jul 2026 Rankings \| Clutch.co")</f>
        <v>Top PPC Agencies in Germany - Jul 2026 Rankings \| Clutch.co</v>
      </c>
      <c r="C15" s="8" t="str">
        <f>IFERROR(__xludf.DUMMYFUNCTION("""COMPUTED_VALUE"""),"clutch.co")</f>
        <v>clutch.co</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IFERROR(__xludf.DUMMYFUNCTION("""COMPUTED_VALUE"""),"Mediacharge, MONSOON, REPLUG, Seeders, KlickPiloten, Smarketer, eMinded GmbH, Peak Ace, Think11")</f>
        <v>Mediacharge, MONSOON, REPLUG, Seeders, KlickPiloten, Smarketer, eMinded GmbH, Peak Ace, Think11</v>
      </c>
      <c r="I15" s="11">
        <f>IFERROR(__xludf.DUMMYFUNCTION("""COMPUTED_VALUE"""),13.0)</f>
        <v>13</v>
      </c>
      <c r="J15" s="11">
        <f>IFERROR(__xludf.DUMMYFUNCTION("""COMPUTED_VALUE"""),0.01)</f>
        <v>0.01</v>
      </c>
      <c r="K15" s="11">
        <f>IFERROR(__xludf.DUMMYFUNCTION("""COMPUTED_VALUE"""),0.54)</f>
        <v>0.54</v>
      </c>
    </row>
    <row r="16" ht="15.75" customHeight="1">
      <c r="A16" s="8" t="str">
        <f>IFERROR(__xludf.DUMMYFUNCTION("""COMPUTED_VALUE"""),"https://clutch.co/de/agencies/conversion-optimization")</f>
        <v>https://clutch.co/de/agencies/conversion-optimization</v>
      </c>
      <c r="B16" s="11" t="str">
        <f>IFERROR(__xludf.DUMMYFUNCTION("""COMPUTED_VALUE"""),"Top Conversion Rate Optimization Services in Germany - Jul 2026 Rankings \| Clutch.co")</f>
        <v>Top Conversion Rate Optimization Services in Germany - Jul 2026 Rankings \| Clutch.co</v>
      </c>
      <c r="C16" s="8" t="str">
        <f>IFERROR(__xludf.DUMMYFUNCTION("""COMPUTED_VALUE"""),"clutch.co")</f>
        <v>clutch.co</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IFERROR(__xludf.DUMMYFUNCTION("""COMPUTED_VALUE"""),"REPLUG, morefire, The Boutique Agency, Peak Ace")</f>
        <v>REPLUG, morefire, The Boutique Agency, Peak Ace</v>
      </c>
      <c r="I16" s="11">
        <f>IFERROR(__xludf.DUMMYFUNCTION("""COMPUTED_VALUE"""),12.0)</f>
        <v>12</v>
      </c>
      <c r="J16" s="11">
        <f>IFERROR(__xludf.DUMMYFUNCTION("""COMPUTED_VALUE"""),0.01)</f>
        <v>0.01</v>
      </c>
      <c r="K16" s="11">
        <f>IFERROR(__xludf.DUMMYFUNCTION("""COMPUTED_VALUE"""),1.83)</f>
        <v>1.83</v>
      </c>
    </row>
    <row r="17" ht="15.75" customHeight="1">
      <c r="A17" s="8" t="str">
        <f>IFERROR(__xludf.DUMMYFUNCTION("""COMPUTED_VALUE"""),"https://clutch.co/de/consulting/ai/deployment")</f>
        <v>https://clutch.co/de/consulting/ai/deployment</v>
      </c>
      <c r="B17" s="11" t="str">
        <f>IFERROR(__xludf.DUMMYFUNCTION("""COMPUTED_VALUE"""),"Top Artificial Intelligence as a Service Companies in Germany - Jul 2026 Rankings \| Clutch.co")</f>
        <v>Top Artificial Intelligence as a Service Companies in Germany - Jul 2026 Rankings \| Clutch.co</v>
      </c>
      <c r="C17" s="8" t="str">
        <f>IFERROR(__xludf.DUMMYFUNCTION("""COMPUTED_VALUE"""),"clutch.co")</f>
        <v>clutch.co</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c r="I17" s="11">
        <f>IFERROR(__xludf.DUMMYFUNCTION("""COMPUTED_VALUE"""),12.0)</f>
        <v>12</v>
      </c>
      <c r="J17" s="11">
        <f>IFERROR(__xludf.DUMMYFUNCTION("""COMPUTED_VALUE"""),0.01)</f>
        <v>0.01</v>
      </c>
      <c r="K17" s="11">
        <f>IFERROR(__xludf.DUMMYFUNCTION("""COMPUTED_VALUE"""),0.17)</f>
        <v>0.17</v>
      </c>
    </row>
    <row r="18" ht="15.75" customHeight="1">
      <c r="A18" s="8" t="str">
        <f>IFERROR(__xludf.DUMMYFUNCTION("""COMPUTED_VALUE"""),"https://clutch.co/de/consulting/ai?page=1")</f>
        <v>https://clutch.co/de/consulting/ai?page=1</v>
      </c>
      <c r="B18" s="11" t="str">
        <f>IFERROR(__xludf.DUMMYFUNCTION("""COMPUTED_VALUE"""),"Page 2 - Top AI Consultants in Germany - Jul 2026 Rankings \| Clutch.co")</f>
        <v>Page 2 - Top AI Consultants in Germany - Jul 2026 Rankings \| Clutch.co</v>
      </c>
      <c r="C18" s="8" t="str">
        <f>IFERROR(__xludf.DUMMYFUNCTION("""COMPUTED_VALUE"""),"clutch.co")</f>
        <v>clutch.co</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c r="I18" s="11">
        <f>IFERROR(__xludf.DUMMYFUNCTION("""COMPUTED_VALUE"""),10.0)</f>
        <v>10</v>
      </c>
      <c r="J18" s="11">
        <f>IFERROR(__xludf.DUMMYFUNCTION("""COMPUTED_VALUE"""),0.01)</f>
        <v>0.01</v>
      </c>
      <c r="K18" s="11">
        <f>IFERROR(__xludf.DUMMYFUNCTION("""COMPUTED_VALUE"""),0.0)</f>
        <v>0</v>
      </c>
    </row>
    <row r="19" ht="15.75" customHeight="1">
      <c r="A19" s="8" t="str">
        <f>IFERROR(__xludf.DUMMYFUNCTION("""COMPUTED_VALUE"""),"https://clutch.co/de/agencies/ppc/advertising-industry?page=2")</f>
        <v>https://clutch.co/de/agencies/ppc/advertising-industry?page=2</v>
      </c>
      <c r="B19" s="11" t="str">
        <f>IFERROR(__xludf.DUMMYFUNCTION("""COMPUTED_VALUE"""),"Page 2 - Top PPC Agencies for Ad Agencies in Germany - Jul 2026 Rankings \| Clutch.co")</f>
        <v>Page 2 - Top PPC Agencies for Ad Agencies in Germany - Jul 2026 Rankings \| Clutch.co</v>
      </c>
      <c r="C19" s="8" t="str">
        <f>IFERROR(__xludf.DUMMYFUNCTION("""COMPUTED_VALUE"""),"clutch.co")</f>
        <v>clutch.co</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IFERROR(__xludf.DUMMYFUNCTION("""COMPUTED_VALUE"""),"Mediacharge, Medialabel")</f>
        <v>Mediacharge, Medialabel</v>
      </c>
      <c r="I19" s="11">
        <f>IFERROR(__xludf.DUMMYFUNCTION("""COMPUTED_VALUE"""),8.0)</f>
        <v>8</v>
      </c>
      <c r="J19" s="11">
        <f>IFERROR(__xludf.DUMMYFUNCTION("""COMPUTED_VALUE"""),0.01)</f>
        <v>0.01</v>
      </c>
      <c r="K19" s="11">
        <f>IFERROR(__xludf.DUMMYFUNCTION("""COMPUTED_VALUE"""),0.0)</f>
        <v>0</v>
      </c>
    </row>
    <row r="20" ht="15.75" customHeight="1">
      <c r="A20" s="8" t="str">
        <f>IFERROR(__xludf.DUMMYFUNCTION("""COMPUTED_VALUE"""),"https://clutch.co/de/consulting/ai/strategy?page=1")</f>
        <v>https://clutch.co/de/consulting/ai/strategy?page=1</v>
      </c>
      <c r="B20" s="11" t="str">
        <f>IFERROR(__xludf.DUMMYFUNCTION("""COMPUTED_VALUE"""),"Page 2 - Top AI Strategy Companies in Germany - Jul 2026 Rankings \| Clutch.co")</f>
        <v>Page 2 - Top AI Strategy Companies in Germany - Jul 2026 Rankings \| Clutch.co</v>
      </c>
      <c r="C20" s="8" t="str">
        <f>IFERROR(__xludf.DUMMYFUNCTION("""COMPUTED_VALUE"""),"clutch.co")</f>
        <v>clutch.co</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c r="I20" s="11">
        <f>IFERROR(__xludf.DUMMYFUNCTION("""COMPUTED_VALUE"""),7.0)</f>
        <v>7</v>
      </c>
      <c r="J20" s="11">
        <f>IFERROR(__xludf.DUMMYFUNCTION("""COMPUTED_VALUE"""),0.01)</f>
        <v>0.01</v>
      </c>
      <c r="K20" s="11">
        <f>IFERROR(__xludf.DUMMYFUNCTION("""COMPUTED_VALUE"""),0.0)</f>
        <v>0</v>
      </c>
    </row>
    <row r="21" ht="15.75" customHeight="1">
      <c r="A21" s="8" t="str">
        <f>IFERROR(__xludf.DUMMYFUNCTION("""COMPUTED_VALUE"""),"https://clutch.co/de/agencies?page=6")</f>
        <v>https://clutch.co/de/agencies?page=6</v>
      </c>
      <c r="B21" s="11" t="str">
        <f>IFERROR(__xludf.DUMMYFUNCTION("""COMPUTED_VALUE"""),"Page 6 - Top Advertising Agencies in Germany - Jul 2026 Rankings \| Clutch.co")</f>
        <v>Page 6 - Top Advertising Agencies in Germany - Jul 2026 Rankings \| Clutch.co</v>
      </c>
      <c r="C21" s="8" t="str">
        <f>IFERROR(__xludf.DUMMYFUNCTION("""COMPUTED_VALUE"""),"clutch.co")</f>
        <v>clutch.co</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IFERROR(__xludf.DUMMYFUNCTION("""COMPUTED_VALUE"""),"MONSOON, Phiture, PANORAMA3000, Seeders, Mediacharge, Digitalyze, morefire, Scholz &amp; Friends")</f>
        <v>MONSOON, Phiture, PANORAMA3000, Seeders, Mediacharge, Digitalyze, morefire, Scholz &amp; Friends</v>
      </c>
      <c r="I21" s="11">
        <f>IFERROR(__xludf.DUMMYFUNCTION("""COMPUTED_VALUE"""),6.0)</f>
        <v>6</v>
      </c>
      <c r="J21" s="11">
        <f>IFERROR(__xludf.DUMMYFUNCTION("""COMPUTED_VALUE"""),0.01)</f>
        <v>0.01</v>
      </c>
      <c r="K21" s="11">
        <f>IFERROR(__xludf.DUMMYFUNCTION("""COMPUTED_VALUE"""),0.0)</f>
        <v>0</v>
      </c>
    </row>
    <row r="22" ht="15.75" customHeight="1">
      <c r="A22" s="8" t="str">
        <f>IFERROR(__xludf.DUMMYFUNCTION("""COMPUTED_VALUE"""),"https://clutch.co/agencies/ppc/display")</f>
        <v>https://clutch.co/agencies/ppc/display</v>
      </c>
      <c r="B22" s="11" t="str">
        <f>IFERROR(__xludf.DUMMYFUNCTION("""COMPUTED_VALUE"""),"Top Display Advertising Agencies - Jul 2026 Rankings | Clutch.co")</f>
        <v>Top Display Advertising Agencies - Jul 2026 Rankings | Clutch.co</v>
      </c>
      <c r="C22" s="8" t="str">
        <f>IFERROR(__xludf.DUMMYFUNCTION("""COMPUTED_VALUE"""),"clutch.co")</f>
        <v>clutch.co</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c r="I22" s="11">
        <f>IFERROR(__xludf.DUMMYFUNCTION("""COMPUTED_VALUE"""),5.0)</f>
        <v>5</v>
      </c>
      <c r="J22" s="11">
        <f>IFERROR(__xludf.DUMMYFUNCTION("""COMPUTED_VALUE"""),0.01)</f>
        <v>0.01</v>
      </c>
      <c r="K22" s="11">
        <f>IFERROR(__xludf.DUMMYFUNCTION("""COMPUTED_VALUE"""),0.0)</f>
        <v>0</v>
      </c>
    </row>
    <row r="23" ht="15.75" customHeight="1">
      <c r="A23" s="8" t="str">
        <f>IFERROR(__xludf.DUMMYFUNCTION("""COMPUTED_VALUE"""),"https://clutch.co/de/agencies/programmatic")</f>
        <v>https://clutch.co/de/agencies/programmatic</v>
      </c>
      <c r="B23" s="11" t="str">
        <f>IFERROR(__xludf.DUMMYFUNCTION("""COMPUTED_VALUE"""),"Top Programmatic Advertising Companies in Germany - Jul 2026 Rankings | Clutch.co")</f>
        <v>Top Programmatic Advertising Companies in Germany - Jul 2026 Rankings | Clutch.co</v>
      </c>
      <c r="C23" s="8" t="str">
        <f>IFERROR(__xludf.DUMMYFUNCTION("""COMPUTED_VALUE"""),"clutch.co")</f>
        <v>clutch.co</v>
      </c>
      <c r="D23" s="11" t="str">
        <f>IFERROR(__xludf.DUMMYFUNCTION("""COMPUTED_VALUE"""),"CATEGORY_PAGE")</f>
        <v>CATEGORY_PAGE</v>
      </c>
      <c r="E23" s="11" t="str">
        <f>IFERROR(__xludf.DUMMYFUNCTION("""COMPUTED_VALUE"""),"CORPORATE")</f>
        <v>CORPORATE</v>
      </c>
      <c r="F23" s="11" t="str">
        <f>IFERROR(__xludf.DUMMYFUNCTION("""COMPUTED_VALUE"""),"Category Page")</f>
        <v>Category Page</v>
      </c>
      <c r="G23" s="11" t="b">
        <f>IFERROR(__xludf.DUMMYFUNCTION("""COMPUTED_VALUE"""),FALSE)</f>
        <v>0</v>
      </c>
      <c r="H23" s="11" t="str">
        <f>IFERROR(__xludf.DUMMYFUNCTION("""COMPUTED_VALUE"""),"Phiture, PANORAMA3000, morefire, WeLikeWeb GmbH")</f>
        <v>Phiture, PANORAMA3000, morefire, WeLikeWeb GmbH</v>
      </c>
      <c r="I23" s="11">
        <f>IFERROR(__xludf.DUMMYFUNCTION("""COMPUTED_VALUE"""),5.0)</f>
        <v>5</v>
      </c>
      <c r="J23" s="11">
        <f>IFERROR(__xludf.DUMMYFUNCTION("""COMPUTED_VALUE"""),0.01)</f>
        <v>0.01</v>
      </c>
      <c r="K23" s="11">
        <f>IFERROR(__xludf.DUMMYFUNCTION("""COMPUTED_VALUE"""),1.4)</f>
        <v>1.4</v>
      </c>
    </row>
    <row r="24" ht="15.75" customHeight="1">
      <c r="A24" s="8" t="str">
        <f>IFERROR(__xludf.DUMMYFUNCTION("""COMPUTED_VALUE"""),"https://clutch.co/de/consulting/ai/maturation")</f>
        <v>https://clutch.co/de/consulting/ai/maturation</v>
      </c>
      <c r="B24" s="11" t="str">
        <f>IFERROR(__xludf.DUMMYFUNCTION("""COMPUTED_VALUE"""),"Top AI Maturation Services in Germany - Jul 2026 Rankings | Clutch.co")</f>
        <v>Top AI Maturation Services in Germany - Jul 2026 Rankings | Clutch.co</v>
      </c>
      <c r="C24" s="8" t="str">
        <f>IFERROR(__xludf.DUMMYFUNCTION("""COMPUTED_VALUE"""),"clutch.co")</f>
        <v>clutch.co</v>
      </c>
      <c r="D24" s="11" t="str">
        <f>IFERROR(__xludf.DUMMYFUNCTION("""COMPUTED_VALUE"""),"OTHER")</f>
        <v>OTHER</v>
      </c>
      <c r="E24" s="11" t="str">
        <f>IFERROR(__xludf.DUMMYFUNCTION("""COMPUTED_VALUE"""),"CORPORATE")</f>
        <v>CORPORATE</v>
      </c>
      <c r="F24" s="11" t="str">
        <f>IFERROR(__xludf.DUMMYFUNCTION("""COMPUTED_VALUE"""),"Other")</f>
        <v>Other</v>
      </c>
      <c r="G24" s="11" t="b">
        <f>IFERROR(__xludf.DUMMYFUNCTION("""COMPUTED_VALUE"""),FALSE)</f>
        <v>0</v>
      </c>
      <c r="H24" s="11"/>
      <c r="I24" s="11">
        <f>IFERROR(__xludf.DUMMYFUNCTION("""COMPUTED_VALUE"""),5.0)</f>
        <v>5</v>
      </c>
      <c r="J24" s="11">
        <f>IFERROR(__xludf.DUMMYFUNCTION("""COMPUTED_VALUE"""),0.01)</f>
        <v>0.01</v>
      </c>
      <c r="K24" s="11">
        <f>IFERROR(__xludf.DUMMYFUNCTION("""COMPUTED_VALUE"""),0.4)</f>
        <v>0.4</v>
      </c>
    </row>
    <row r="25" ht="15.75" customHeight="1">
      <c r="A25" s="8" t="str">
        <f>IFERROR(__xludf.DUMMYFUNCTION("""COMPUTED_VALUE"""),"https://clutch.co/de/developers/artificial-intelligence")</f>
        <v>https://clutch.co/de/developers/artificial-intelligence</v>
      </c>
      <c r="B25" s="11" t="str">
        <f>IFERROR(__xludf.DUMMYFUNCTION("""COMPUTED_VALUE"""),"Top Artificial Intelligence Companies in Germany - Jul 2026 Rankings | Clutch.co")</f>
        <v>Top Artificial Intelligence Companies in Germany - Jul 2026 Rankings | Clutch.co</v>
      </c>
      <c r="C25" s="8" t="str">
        <f>IFERROR(__xludf.DUMMYFUNCTION("""COMPUTED_VALUE"""),"clutch.co")</f>
        <v>clutch.co</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c r="I25" s="11">
        <f>IFERROR(__xludf.DUMMYFUNCTION("""COMPUTED_VALUE"""),5.0)</f>
        <v>5</v>
      </c>
      <c r="J25" s="11">
        <f>IFERROR(__xludf.DUMMYFUNCTION("""COMPUTED_VALUE"""),0.01)</f>
        <v>0.01</v>
      </c>
      <c r="K25" s="11">
        <f>IFERROR(__xludf.DUMMYFUNCTION("""COMPUTED_VALUE"""),0.2)</f>
        <v>0.2</v>
      </c>
    </row>
    <row r="26" ht="15.75" customHeight="1">
      <c r="A26" s="8" t="str">
        <f>IFERROR(__xludf.DUMMYFUNCTION("""COMPUTED_VALUE"""),"https://clutch.co/de/developers/artificial-intelligence/generative")</f>
        <v>https://clutch.co/de/developers/artificial-intelligence/generative</v>
      </c>
      <c r="B26" s="11" t="str">
        <f>IFERROR(__xludf.DUMMYFUNCTION("""COMPUTED_VALUE"""),"Top Generative AI Companies in Germany - Jul 2026 Rankings \| Clutch.co")</f>
        <v>Top Generative AI Companies in Germany - Jul 2026 Rankings \| Clutch.co</v>
      </c>
      <c r="C26" s="8" t="str">
        <f>IFERROR(__xludf.DUMMYFUNCTION("""COMPUTED_VALUE"""),"clutch.co")</f>
        <v>clutch.co</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IFERROR(__xludf.DUMMYFUNCTION("""COMPUTED_VALUE"""),"Admiral Media, Aufgesang")</f>
        <v>Admiral Media, Aufgesang</v>
      </c>
      <c r="I26" s="11">
        <f>IFERROR(__xludf.DUMMYFUNCTION("""COMPUTED_VALUE"""),5.0)</f>
        <v>5</v>
      </c>
      <c r="J26" s="11">
        <f>IFERROR(__xludf.DUMMYFUNCTION("""COMPUTED_VALUE"""),0.01)</f>
        <v>0.01</v>
      </c>
      <c r="K26" s="11">
        <f>IFERROR(__xludf.DUMMYFUNCTION("""COMPUTED_VALUE"""),0.0)</f>
        <v>0</v>
      </c>
    </row>
    <row r="27" ht="15.75" customHeight="1">
      <c r="A27" s="8" t="str">
        <f>IFERROR(__xludf.DUMMYFUNCTION("""COMPUTED_VALUE"""),"https://clutch.co/de/agencies/social-media-marketing/influencer")</f>
        <v>https://clutch.co/de/agencies/social-media-marketing/influencer</v>
      </c>
      <c r="B27" s="11" t="str">
        <f>IFERROR(__xludf.DUMMYFUNCTION("""COMPUTED_VALUE"""),"Top Influencer Advertising Agencies in Germany - Jul 2026 Rankings \| Clutch.co")</f>
        <v>Top Influencer Advertising Agencies in Germany - Jul 2026 Rankings \| Clutch.co</v>
      </c>
      <c r="C27" s="8" t="str">
        <f>IFERROR(__xludf.DUMMYFUNCTION("""COMPUTED_VALUE"""),"clutch.co")</f>
        <v>clutch.co</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IFERROR(__xludf.DUMMYFUNCTION("""COMPUTED_VALUE"""),"MONSOON, PANORAMA3000, HY.AM STUDIOS, KlickPiloten, Medialabel, GroupM")</f>
        <v>MONSOON, PANORAMA3000, HY.AM STUDIOS, KlickPiloten, Medialabel, GroupM</v>
      </c>
      <c r="I27" s="11">
        <f>IFERROR(__xludf.DUMMYFUNCTION("""COMPUTED_VALUE"""),4.0)</f>
        <v>4</v>
      </c>
      <c r="J27" s="11">
        <f>IFERROR(__xludf.DUMMYFUNCTION("""COMPUTED_VALUE"""),0.0)</f>
        <v>0</v>
      </c>
      <c r="K27" s="11">
        <f>IFERROR(__xludf.DUMMYFUNCTION("""COMPUTED_VALUE"""),0.0)</f>
        <v>0</v>
      </c>
    </row>
    <row r="28" ht="15.75" customHeight="1">
      <c r="A28" s="8" t="str">
        <f>IFERROR(__xludf.DUMMYFUNCTION("""COMPUTED_VALUE"""),"https://clutch.co/de/seo-firms")</f>
        <v>https://clutch.co/de/seo-firms</v>
      </c>
      <c r="B28" s="11" t="str">
        <f>IFERROR(__xludf.DUMMYFUNCTION("""COMPUTED_VALUE"""),"Top SEO Companies in Germany - Jul 2026 Rankings \| Clutch.co")</f>
        <v>Top SEO Companies in Germany - Jul 2026 Rankings \| Clutch.co</v>
      </c>
      <c r="C28" s="8" t="str">
        <f>IFERROR(__xludf.DUMMYFUNCTION("""COMPUTED_VALUE"""),"clutch.co")</f>
        <v>clutch.co</v>
      </c>
      <c r="D28" s="11" t="str">
        <f>IFERROR(__xludf.DUMMYFUNCTION("""COMPUTED_VALUE"""),"PROFILE")</f>
        <v>PROFILE</v>
      </c>
      <c r="E28" s="11" t="str">
        <f>IFERROR(__xludf.DUMMYFUNCTION("""COMPUTED_VALUE"""),"CORPORATE")</f>
        <v>CORPORATE</v>
      </c>
      <c r="F28" s="11" t="str">
        <f>IFERROR(__xludf.DUMMYFUNCTION("""COMPUTED_VALUE"""),"Profile")</f>
        <v>Profile</v>
      </c>
      <c r="G28" s="11" t="b">
        <f>IFERROR(__xludf.DUMMYFUNCTION("""COMPUTED_VALUE"""),FALSE)</f>
        <v>0</v>
      </c>
      <c r="H28" s="11" t="str">
        <f>IFERROR(__xludf.DUMMYFUNCTION("""COMPUTED_VALUE"""),"MONSOON, Mediacharge, Claneo, Seeders, HECHT INS GEFECHT, KlickPiloten")</f>
        <v>MONSOON, Mediacharge, Claneo, Seeders, HECHT INS GEFECHT, KlickPiloten</v>
      </c>
      <c r="I28" s="11">
        <f>IFERROR(__xludf.DUMMYFUNCTION("""COMPUTED_VALUE"""),4.0)</f>
        <v>4</v>
      </c>
      <c r="J28" s="11">
        <f>IFERROR(__xludf.DUMMYFUNCTION("""COMPUTED_VALUE"""),0.0)</f>
        <v>0</v>
      </c>
      <c r="K28" s="11">
        <f>IFERROR(__xludf.DUMMYFUNCTION("""COMPUTED_VALUE"""),0.75)</f>
        <v>0.75</v>
      </c>
    </row>
    <row r="29" ht="15.75" customHeight="1">
      <c r="A29" s="8" t="str">
        <f>IFERROR(__xludf.DUMMYFUNCTION("""COMPUTED_VALUE"""),"https://clutch.co/de/agencies/demand-generation-marketing")</f>
        <v>https://clutch.co/de/agencies/demand-generation-marketing</v>
      </c>
      <c r="B29" s="11" t="str">
        <f>IFERROR(__xludf.DUMMYFUNCTION("""COMPUTED_VALUE"""),"Top Demand Generation Agencies in Germany - Jul 2026 Rankings \| Clutch.co")</f>
        <v>Top Demand Generation Agencies in Germany - Jul 2026 Rankings \| Clutch.co</v>
      </c>
      <c r="C29" s="8" t="str">
        <f>IFERROR(__xludf.DUMMYFUNCTION("""COMPUTED_VALUE"""),"clutch.co")</f>
        <v>clutch.co</v>
      </c>
      <c r="D29" s="11" t="str">
        <f>IFERROR(__xludf.DUMMYFUNCTION("""COMPUTED_VALUE"""),"CATEGORY_PAGE")</f>
        <v>CATEGORY_PAGE</v>
      </c>
      <c r="E29" s="11" t="str">
        <f>IFERROR(__xludf.DUMMYFUNCTION("""COMPUTED_VALUE"""),"CORPORATE")</f>
        <v>CORPORATE</v>
      </c>
      <c r="F29" s="11" t="str">
        <f>IFERROR(__xludf.DUMMYFUNCTION("""COMPUTED_VALUE"""),"Category Page")</f>
        <v>Category Page</v>
      </c>
      <c r="G29" s="11" t="b">
        <f>IFERROR(__xludf.DUMMYFUNCTION("""COMPUTED_VALUE"""),FALSE)</f>
        <v>0</v>
      </c>
      <c r="H29" s="11"/>
      <c r="I29" s="11">
        <f>IFERROR(__xludf.DUMMYFUNCTION("""COMPUTED_VALUE"""),3.0)</f>
        <v>3</v>
      </c>
      <c r="J29" s="11">
        <f>IFERROR(__xludf.DUMMYFUNCTION("""COMPUTED_VALUE"""),0.0)</f>
        <v>0</v>
      </c>
      <c r="K29" s="11">
        <f>IFERROR(__xludf.DUMMYFUNCTION("""COMPUTED_VALUE"""),0.0)</f>
        <v>0</v>
      </c>
    </row>
    <row r="30" ht="15.75" customHeight="1">
      <c r="A30" s="8" t="str">
        <f>IFERROR(__xludf.DUMMYFUNCTION("""COMPUTED_VALUE"""),"https://clutch.co/de/seo-firms/international")</f>
        <v>https://clutch.co/de/seo-firms/international</v>
      </c>
      <c r="B30" s="11" t="str">
        <f>IFERROR(__xludf.DUMMYFUNCTION("""COMPUTED_VALUE"""),"Top International SEO Agencies in Germany - Jul 2026 Rankings | Clutch.co")</f>
        <v>Top International SEO Agencies in Germany - Jul 2026 Rankings | Clutch.co</v>
      </c>
      <c r="C30" s="8" t="str">
        <f>IFERROR(__xludf.DUMMYFUNCTION("""COMPUTED_VALUE"""),"clutch.co")</f>
        <v>clutch.co</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IFERROR(__xludf.DUMMYFUNCTION("""COMPUTED_VALUE"""),"MONSOON, Claneo, morefire, WeLikeWeb GmbH, Peak Ace, eMinded GmbH")</f>
        <v>MONSOON, Claneo, morefire, WeLikeWeb GmbH, Peak Ace, eMinded GmbH</v>
      </c>
      <c r="I30" s="11">
        <f>IFERROR(__xludf.DUMMYFUNCTION("""COMPUTED_VALUE"""),3.0)</f>
        <v>3</v>
      </c>
      <c r="J30" s="11">
        <f>IFERROR(__xludf.DUMMYFUNCTION("""COMPUTED_VALUE"""),0.0)</f>
        <v>0</v>
      </c>
      <c r="K30" s="11">
        <f>IFERROR(__xludf.DUMMYFUNCTION("""COMPUTED_VALUE"""),0.0)</f>
        <v>0</v>
      </c>
    </row>
    <row r="31" ht="15.75" customHeight="1">
      <c r="A31" s="8" t="str">
        <f>IFERROR(__xludf.DUMMYFUNCTION("""COMPUTED_VALUE"""),"https://clutch.co/de/agencies/digital-marketing/ecommerce-industry/berlin")</f>
        <v>https://clutch.co/de/agencies/digital-marketing/ecommerce-industry/berlin</v>
      </c>
      <c r="B31" s="11" t="str">
        <f>IFERROR(__xludf.DUMMYFUNCTION("""COMPUTED_VALUE"""),"Top Digital Marketing Agencies for E-Commerce Businesses in Berlin - Jul 2026 Rankings | Clutch.co")</f>
        <v>Top Digital Marketing Agencies for E-Commerce Businesses in Berlin - Jul 2026 Rankings | Clutch.co</v>
      </c>
      <c r="C31" s="8" t="str">
        <f>IFERROR(__xludf.DUMMYFUNCTION("""COMPUTED_VALUE"""),"clutch.co")</f>
        <v>clutch.co</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IFERROR(__xludf.DUMMYFUNCTION("""COMPUTED_VALUE"""),"MONSOON, Mediacharge, REPLUG, Claneo, Admiral Media, HY.AM STUDIOS, Peak Ace, Medialabel")</f>
        <v>MONSOON, Mediacharge, REPLUG, Claneo, Admiral Media, HY.AM STUDIOS, Peak Ace, Medialabel</v>
      </c>
      <c r="I31" s="11">
        <f>IFERROR(__xludf.DUMMYFUNCTION("""COMPUTED_VALUE"""),2.0)</f>
        <v>2</v>
      </c>
      <c r="J31" s="11">
        <f>IFERROR(__xludf.DUMMYFUNCTION("""COMPUTED_VALUE"""),0.0)</f>
        <v>0</v>
      </c>
      <c r="K31" s="11">
        <f>IFERROR(__xludf.DUMMYFUNCTION("""COMPUTED_VALUE"""),1.0)</f>
        <v>1</v>
      </c>
    </row>
    <row r="32" ht="15.75" customHeight="1">
      <c r="A32" s="8" t="str">
        <f>IFERROR(__xludf.DUMMYFUNCTION("""COMPUTED_VALUE"""),"https://clutch.co/de/agencies/digital-marketing/munich")</f>
        <v>https://clutch.co/de/agencies/digital-marketing/munich</v>
      </c>
      <c r="B32" s="11" t="str">
        <f>IFERROR(__xludf.DUMMYFUNCTION("""COMPUTED_VALUE"""),"Top Digital Marketing Agencies in Munich - Jul 2026 Rankings \| Clutch.co")</f>
        <v>Top Digital Marketing Agencies in Munich - Jul 2026 Rankings \| Clutch.co</v>
      </c>
      <c r="C32" s="8" t="str">
        <f>IFERROR(__xludf.DUMMYFUNCTION("""COMPUTED_VALUE"""),"clutch.co")</f>
        <v>clutch.co</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IFERROR(__xludf.DUMMYFUNCTION("""COMPUTED_VALUE"""),"MONSOON, Mediacharge, eMinded GmbH, GroupM, WeLikeWeb GmbH")</f>
        <v>MONSOON, Mediacharge, eMinded GmbH, GroupM, WeLikeWeb GmbH</v>
      </c>
      <c r="I32" s="11">
        <f>IFERROR(__xludf.DUMMYFUNCTION("""COMPUTED_VALUE"""),2.0)</f>
        <v>2</v>
      </c>
      <c r="J32" s="11">
        <f>IFERROR(__xludf.DUMMYFUNCTION("""COMPUTED_VALUE"""),0.0)</f>
        <v>0</v>
      </c>
      <c r="K32" s="11">
        <f>IFERROR(__xludf.DUMMYFUNCTION("""COMPUTED_VALUE"""),1.0)</f>
        <v>1</v>
      </c>
    </row>
    <row r="33" ht="15.75" customHeight="1">
      <c r="A33" s="8" t="str">
        <f>IFERROR(__xludf.DUMMYFUNCTION("""COMPUTED_VALUE"""),"https://clutch.co/de/agencies/social-media-marketing/tik-tok")</f>
        <v>https://clutch.co/de/agencies/social-media-marketing/tik-tok</v>
      </c>
      <c r="B33" s="11" t="str">
        <f>IFERROR(__xludf.DUMMYFUNCTION("""COMPUTED_VALUE"""),"Top TikTok Advertising Agencies in Germany - Jul 2026 Rankings | Clutch.co")</f>
        <v>Top TikTok Advertising Agencies in Germany - Jul 2026 Rankings | Clutch.co</v>
      </c>
      <c r="C33" s="8" t="str">
        <f>IFERROR(__xludf.DUMMYFUNCTION("""COMPUTED_VALUE"""),"clutch.co")</f>
        <v>clutch.co</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IFERROR(__xludf.DUMMYFUNCTION("""COMPUTED_VALUE"""),"MONSOON, HY.AM STUDIOS, Pulse Advertising, Medialabel")</f>
        <v>MONSOON, HY.AM STUDIOS, Pulse Advertising, Medialabel</v>
      </c>
      <c r="I33" s="11">
        <f>IFERROR(__xludf.DUMMYFUNCTION("""COMPUTED_VALUE"""),2.0)</f>
        <v>2</v>
      </c>
      <c r="J33" s="11">
        <f>IFERROR(__xludf.DUMMYFUNCTION("""COMPUTED_VALUE"""),0.0)</f>
        <v>0</v>
      </c>
      <c r="K33" s="11">
        <f>IFERROR(__xludf.DUMMYFUNCTION("""COMPUTED_VALUE"""),0.0)</f>
        <v>0</v>
      </c>
    </row>
    <row r="34" ht="15.75" customHeight="1">
      <c r="A34" s="8" t="str">
        <f>IFERROR(__xludf.DUMMYFUNCTION("""COMPUTED_VALUE"""),"https://clutch.co/de/it-services/analytics")</f>
        <v>https://clutch.co/de/it-services/analytics</v>
      </c>
      <c r="B34" s="11" t="str">
        <f>IFERROR(__xludf.DUMMYFUNCTION("""COMPUTED_VALUE"""),"Top Big Data Analytics Companies in Germany - Jul 2026 Rankings \| Clutch.co")</f>
        <v>Top Big Data Analytics Companies in Germany - Jul 2026 Rankings \| Clutch.co</v>
      </c>
      <c r="C34" s="8" t="str">
        <f>IFERROR(__xludf.DUMMYFUNCTION("""COMPUTED_VALUE"""),"clutch.co")</f>
        <v>clutch.co</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c r="I34" s="11">
        <f>IFERROR(__xludf.DUMMYFUNCTION("""COMPUTED_VALUE"""),2.0)</f>
        <v>2</v>
      </c>
      <c r="J34" s="11">
        <f>IFERROR(__xludf.DUMMYFUNCTION("""COMPUTED_VALUE"""),0.0)</f>
        <v>0</v>
      </c>
      <c r="K34" s="11">
        <f>IFERROR(__xludf.DUMMYFUNCTION("""COMPUTED_VALUE"""),1.0)</f>
        <v>1</v>
      </c>
    </row>
    <row r="35" ht="15.75" customHeight="1">
      <c r="A35" s="8" t="str">
        <f>IFERROR(__xludf.DUMMYFUNCTION("""COMPUTED_VALUE"""),"https://clutch.co/agencies")</f>
        <v>https://clutch.co/agencies</v>
      </c>
      <c r="B35" s="11" t="str">
        <f>IFERROR(__xludf.DUMMYFUNCTION("""COMPUTED_VALUE"""),"Top Advertising Agencies &amp;amp; Marketing Companies - Jul 2026 Rankings | Clutch.co")</f>
        <v>Top Advertising Agencies &amp;amp; Marketing Companies - Jul 2026 Rankings | Clutch.co</v>
      </c>
      <c r="C35" s="8" t="str">
        <f>IFERROR(__xludf.DUMMYFUNCTION("""COMPUTED_VALUE"""),"clutch.co")</f>
        <v>clutch.co</v>
      </c>
      <c r="D35" s="11" t="str">
        <f>IFERROR(__xludf.DUMMYFUNCTION("""COMPUTED_VALUE"""),"CATEGORY_PAGE")</f>
        <v>CATEGORY_PAGE</v>
      </c>
      <c r="E35" s="11" t="str">
        <f>IFERROR(__xludf.DUMMYFUNCTION("""COMPUTED_VALUE"""),"CORPORATE")</f>
        <v>CORPORATE</v>
      </c>
      <c r="F35" s="11" t="str">
        <f>IFERROR(__xludf.DUMMYFUNCTION("""COMPUTED_VALUE"""),"Category Page")</f>
        <v>Category Page</v>
      </c>
      <c r="G35" s="11" t="b">
        <f>IFERROR(__xludf.DUMMYFUNCTION("""COMPUTED_VALUE"""),FALSE)</f>
        <v>0</v>
      </c>
      <c r="H35" s="11" t="str">
        <f>IFERROR(__xludf.DUMMYFUNCTION("""COMPUTED_VALUE"""),"Power Digital, SmartSites, WebFX, KlientBoost, Mediacharge, MONSOON")</f>
        <v>Power Digital, SmartSites, WebFX, KlientBoost, Mediacharge, MONSOON</v>
      </c>
      <c r="I35" s="11">
        <f>IFERROR(__xludf.DUMMYFUNCTION("""COMPUTED_VALUE"""),1.0)</f>
        <v>1</v>
      </c>
      <c r="J35" s="11">
        <f>IFERROR(__xludf.DUMMYFUNCTION("""COMPUTED_VALUE"""),0.0)</f>
        <v>0</v>
      </c>
      <c r="K35" s="11">
        <f>IFERROR(__xludf.DUMMYFUNCTION("""COMPUTED_VALUE"""),0.0)</f>
        <v>0</v>
      </c>
    </row>
    <row r="36" ht="15.75" customHeight="1">
      <c r="A36" s="8" t="str">
        <f>IFERROR(__xludf.DUMMYFUNCTION("""COMPUTED_VALUE"""),"https://clutch.co/agencies/experiential?page=9")</f>
        <v>https://clutch.co/agencies/experiential?page=9</v>
      </c>
      <c r="B36" s="11" t="str">
        <f>IFERROR(__xludf.DUMMYFUNCTION("""COMPUTED_VALUE"""),"Page 9 - Top Experiential Marketing Agencies - Jul 2026 Rankings \| Clutch.co")</f>
        <v>Page 9 - Top Experiential Marketing Agencies - Jul 2026 Rankings \| Clutch.co</v>
      </c>
      <c r="C36" s="8" t="str">
        <f>IFERROR(__xludf.DUMMYFUNCTION("""COMPUTED_VALUE"""),"clutch.co")</f>
        <v>clutch.co</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c r="I36" s="11">
        <f>IFERROR(__xludf.DUMMYFUNCTION("""COMPUTED_VALUE"""),1.0)</f>
        <v>1</v>
      </c>
      <c r="J36" s="11">
        <f>IFERROR(__xludf.DUMMYFUNCTION("""COMPUTED_VALUE"""),0.0)</f>
        <v>0</v>
      </c>
      <c r="K36" s="11">
        <f>IFERROR(__xludf.DUMMYFUNCTION("""COMPUTED_VALUE"""),1.0)</f>
        <v>1</v>
      </c>
    </row>
    <row r="37" ht="15.75" customHeight="1">
      <c r="A37" s="8" t="str">
        <f>IFERROR(__xludf.DUMMYFUNCTION("""COMPUTED_VALUE"""),"https://clutch.co/agencies/media-buying")</f>
        <v>https://clutch.co/agencies/media-buying</v>
      </c>
      <c r="B37" s="11" t="str">
        <f>IFERROR(__xludf.DUMMYFUNCTION("""COMPUTED_VALUE"""),"Top Media Buying &amp;amp; Planning Agencies - Jul 2026 Rankings | Clutch.co")</f>
        <v>Top Media Buying &amp;amp; Planning Agencies - Jul 2026 Rankings | Clutch.co</v>
      </c>
      <c r="C37" s="8" t="str">
        <f>IFERROR(__xludf.DUMMYFUNCTION("""COMPUTED_VALUE"""),"clutch.co")</f>
        <v>clutch.co</v>
      </c>
      <c r="D37" s="11" t="str">
        <f>IFERROR(__xludf.DUMMYFUNCTION("""COMPUTED_VALUE"""),"CATEGORY_PAGE")</f>
        <v>CATEGORY_PAGE</v>
      </c>
      <c r="E37" s="11" t="str">
        <f>IFERROR(__xludf.DUMMYFUNCTION("""COMPUTED_VALUE"""),"CORPORATE")</f>
        <v>CORPORATE</v>
      </c>
      <c r="F37" s="11" t="str">
        <f>IFERROR(__xludf.DUMMYFUNCTION("""COMPUTED_VALUE"""),"Category Page")</f>
        <v>Category Page</v>
      </c>
      <c r="G37" s="11" t="b">
        <f>IFERROR(__xludf.DUMMYFUNCTION("""COMPUTED_VALUE"""),FALSE)</f>
        <v>0</v>
      </c>
      <c r="H37" s="11" t="str">
        <f>IFERROR(__xludf.DUMMYFUNCTION("""COMPUTED_VALUE"""),"Momentum, REPLUG")</f>
        <v>Momentum, REPLUG</v>
      </c>
      <c r="I37" s="11">
        <f>IFERROR(__xludf.DUMMYFUNCTION("""COMPUTED_VALUE"""),1.0)</f>
        <v>1</v>
      </c>
      <c r="J37" s="11">
        <f>IFERROR(__xludf.DUMMYFUNCTION("""COMPUTED_VALUE"""),0.0)</f>
        <v>0</v>
      </c>
      <c r="K37" s="11">
        <f>IFERROR(__xludf.DUMMYFUNCTION("""COMPUTED_VALUE"""),0.0)</f>
        <v>0</v>
      </c>
    </row>
    <row r="38" ht="15.75" customHeight="1">
      <c r="A38" s="8" t="str">
        <f>IFERROR(__xludf.DUMMYFUNCTION("""COMPUTED_VALUE"""),"https://clutch.co/agencies/performance-marketing")</f>
        <v>https://clutch.co/agencies/performance-marketing</v>
      </c>
      <c r="B38" s="11" t="str">
        <f>IFERROR(__xludf.DUMMYFUNCTION("""COMPUTED_VALUE"""),"Top Performance Marketing Agencies - Jul 2026 Rankings | Clutch.co")</f>
        <v>Top Performance Marketing Agencies - Jul 2026 Rankings | Clutch.co</v>
      </c>
      <c r="C38" s="8" t="str">
        <f>IFERROR(__xludf.DUMMYFUNCTION("""COMPUTED_VALUE"""),"clutch.co")</f>
        <v>clutch.co</v>
      </c>
      <c r="D38" s="11" t="str">
        <f>IFERROR(__xludf.DUMMYFUNCTION("""COMPUTED_VALUE"""),"CATEGORY_PAGE")</f>
        <v>CATEGORY_PAGE</v>
      </c>
      <c r="E38" s="11" t="str">
        <f>IFERROR(__xludf.DUMMYFUNCTION("""COMPUTED_VALUE"""),"CORPORATE")</f>
        <v>CORPORATE</v>
      </c>
      <c r="F38" s="11" t="str">
        <f>IFERROR(__xludf.DUMMYFUNCTION("""COMPUTED_VALUE"""),"Category Page")</f>
        <v>Category Page</v>
      </c>
      <c r="G38" s="11" t="b">
        <f>IFERROR(__xludf.DUMMYFUNCTION("""COMPUTED_VALUE"""),FALSE)</f>
        <v>0</v>
      </c>
      <c r="H38" s="11" t="str">
        <f>IFERROR(__xludf.DUMMYFUNCTION("""COMPUTED_VALUE"""),"Disruptive Advertising, Momentum, REPLUG")</f>
        <v>Disruptive Advertising, Momentum, REPLUG</v>
      </c>
      <c r="I38" s="11">
        <f>IFERROR(__xludf.DUMMYFUNCTION("""COMPUTED_VALUE"""),1.0)</f>
        <v>1</v>
      </c>
      <c r="J38" s="11">
        <f>IFERROR(__xludf.DUMMYFUNCTION("""COMPUTED_VALUE"""),0.0)</f>
        <v>0</v>
      </c>
      <c r="K38" s="11">
        <f>IFERROR(__xludf.DUMMYFUNCTION("""COMPUTED_VALUE"""),3.0)</f>
        <v>3</v>
      </c>
    </row>
    <row r="39" ht="15.75" customHeight="1">
      <c r="A39" s="8" t="str">
        <f>IFERROR(__xludf.DUMMYFUNCTION("""COMPUTED_VALUE"""),"https://clutch.co/agencies/performance-marketing%3Fpage%3D0")</f>
        <v>https://clutch.co/agencies/performance-marketing%3Fpage%3D0</v>
      </c>
      <c r="B39" s="11" t="str">
        <f>IFERROR(__xludf.DUMMYFUNCTION("""COMPUTED_VALUE"""),"Top Performance Marketing Agencies - Jul 2026 Rankings \| Clutch.co")</f>
        <v>Top Performance Marketing Agencies - Jul 2026 Rankings \| Clutch.co</v>
      </c>
      <c r="C39" s="8" t="str">
        <f>IFERROR(__xludf.DUMMYFUNCTION("""COMPUTED_VALUE"""),"clutch.co")</f>
        <v>clutch.co</v>
      </c>
      <c r="D39" s="11" t="str">
        <f>IFERROR(__xludf.DUMMYFUNCTION("""COMPUTED_VALUE"""),"LISTICLE")</f>
        <v>LISTICLE</v>
      </c>
      <c r="E39" s="11" t="str">
        <f>IFERROR(__xludf.DUMMYFUNCTION("""COMPUTED_VALUE"""),"CORPORATE")</f>
        <v>CORPORATE</v>
      </c>
      <c r="F39" s="11" t="str">
        <f>IFERROR(__xludf.DUMMYFUNCTION("""COMPUTED_VALUE"""),"Listicle")</f>
        <v>Listicle</v>
      </c>
      <c r="G39" s="11" t="b">
        <f>IFERROR(__xludf.DUMMYFUNCTION("""COMPUTED_VALUE"""),FALSE)</f>
        <v>0</v>
      </c>
      <c r="H39" s="11" t="str">
        <f>IFERROR(__xludf.DUMMYFUNCTION("""COMPUTED_VALUE"""),"Disruptive Advertising, Momentum, REPLUG")</f>
        <v>Disruptive Advertising, Momentum, REPLUG</v>
      </c>
      <c r="I39" s="11">
        <f>IFERROR(__xludf.DUMMYFUNCTION("""COMPUTED_VALUE"""),1.0)</f>
        <v>1</v>
      </c>
      <c r="J39" s="11">
        <f>IFERROR(__xludf.DUMMYFUNCTION("""COMPUTED_VALUE"""),0.0)</f>
        <v>0</v>
      </c>
      <c r="K39" s="11">
        <f>IFERROR(__xludf.DUMMYFUNCTION("""COMPUTED_VALUE"""),0.0)</f>
        <v>0</v>
      </c>
    </row>
    <row r="40" ht="15.75" customHeight="1">
      <c r="A40" s="8" t="str">
        <f>IFERROR(__xludf.DUMMYFUNCTION("""COMPUTED_VALUE"""),"https://clutch.co/agencies/ppc")</f>
        <v>https://clutch.co/agencies/ppc</v>
      </c>
      <c r="B40" s="11" t="str">
        <f>IFERROR(__xludf.DUMMYFUNCTION("""COMPUTED_VALUE"""),"Top PPC Agencies - Jul 2026 Rankings | Clutch.co")</f>
        <v>Top PPC Agencies - Jul 2026 Rankings | Clutch.co</v>
      </c>
      <c r="C40" s="8" t="str">
        <f>IFERROR(__xludf.DUMMYFUNCTION("""COMPUTED_VALUE"""),"clutch.co")</f>
        <v>clutch.co</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IFERROR(__xludf.DUMMYFUNCTION("""COMPUTED_VALUE"""),"Disruptive Advertising, KlientBoost, Single Grain, SmartSites, Mediacharge")</f>
        <v>Disruptive Advertising, KlientBoost, Single Grain, SmartSites, Mediacharge</v>
      </c>
      <c r="I40" s="11">
        <f>IFERROR(__xludf.DUMMYFUNCTION("""COMPUTED_VALUE"""),1.0)</f>
        <v>1</v>
      </c>
      <c r="J40" s="11">
        <f>IFERROR(__xludf.DUMMYFUNCTION("""COMPUTED_VALUE"""),0.0)</f>
        <v>0</v>
      </c>
      <c r="K40" s="11">
        <f>IFERROR(__xludf.DUMMYFUNCTION("""COMPUTED_VALUE"""),0.0)</f>
        <v>0</v>
      </c>
    </row>
    <row r="41" ht="15.75" customHeight="1">
      <c r="A41" s="8" t="str">
        <f>IFERROR(__xludf.DUMMYFUNCTION("""COMPUTED_VALUE"""),"https://clutch.co/de/agencies/app-marketing")</f>
        <v>https://clutch.co/de/agencies/app-marketing</v>
      </c>
      <c r="B41" s="11" t="str">
        <f>IFERROR(__xludf.DUMMYFUNCTION("""COMPUTED_VALUE"""),"Top Mobile Marketing Agencies in Germany - Jul 2026 Rankings | Clutch.co")</f>
        <v>Top Mobile Marketing Agencies in Germany - Jul 2026 Rankings | Clutch.co</v>
      </c>
      <c r="C41" s="8" t="str">
        <f>IFERROR(__xludf.DUMMYFUNCTION("""COMPUTED_VALUE"""),"clutch.co")</f>
        <v>clutch.co</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IFERROR(__xludf.DUMMYFUNCTION("""COMPUTED_VALUE"""),"REPLUG, MONSOON, Phiture, Admiral Media, Customlytics, GroupM")</f>
        <v>REPLUG, MONSOON, Phiture, Admiral Media, Customlytics, GroupM</v>
      </c>
      <c r="I41" s="11">
        <f>IFERROR(__xludf.DUMMYFUNCTION("""COMPUTED_VALUE"""),1.0)</f>
        <v>1</v>
      </c>
      <c r="J41" s="11">
        <f>IFERROR(__xludf.DUMMYFUNCTION("""COMPUTED_VALUE"""),0.0)</f>
        <v>0</v>
      </c>
      <c r="K41" s="11">
        <f>IFERROR(__xludf.DUMMYFUNCTION("""COMPUTED_VALUE"""),1.0)</f>
        <v>1</v>
      </c>
    </row>
    <row r="42" ht="15.75" customHeight="1">
      <c r="A42" s="8" t="str">
        <f>IFERROR(__xludf.DUMMYFUNCTION("""COMPUTED_VALUE"""),"https://clutch.co/de/agencies/digital-marketing?page=3")</f>
        <v>https://clutch.co/de/agencies/digital-marketing?page=3</v>
      </c>
      <c r="B42" s="11" t="str">
        <f>IFERROR(__xludf.DUMMYFUNCTION("""COMPUTED_VALUE"""),"Page 3 - Top Digital Marketing Agencies in Germany - Jul 2026 Rankings \| Clutch.co")</f>
        <v>Page 3 - Top Digital Marketing Agencies in Germany - Jul 2026 Rankings \| Clutch.co</v>
      </c>
      <c r="C42" s="8" t="str">
        <f>IFERROR(__xludf.DUMMYFUNCTION("""COMPUTED_VALUE"""),"clutch.co")</f>
        <v>clutch.co</v>
      </c>
      <c r="D42" s="11" t="str">
        <f>IFERROR(__xludf.DUMMYFUNCTION("""COMPUTED_VALUE"""),"CATEGORY_PAGE")</f>
        <v>CATEGORY_PAGE</v>
      </c>
      <c r="E42" s="11" t="str">
        <f>IFERROR(__xludf.DUMMYFUNCTION("""COMPUTED_VALUE"""),"CORPORATE")</f>
        <v>CORPORATE</v>
      </c>
      <c r="F42" s="11" t="str">
        <f>IFERROR(__xludf.DUMMYFUNCTION("""COMPUTED_VALUE"""),"Category Page")</f>
        <v>Category Page</v>
      </c>
      <c r="G42" s="11" t="b">
        <f>IFERROR(__xludf.DUMMYFUNCTION("""COMPUTED_VALUE"""),FALSE)</f>
        <v>0</v>
      </c>
      <c r="H42" s="11" t="str">
        <f>IFERROR(__xludf.DUMMYFUNCTION("""COMPUTED_VALUE"""),"MONSOON, Mediacharge, REPLUG, Claneo, Peak Ace, morefire, Think11, eMinded GmbH, GroupM, Löwenstark, Medialabel, DEPT, Admiral Media, Phiture, HECHT INS GEFECHT, HY.AM STUDIOS")</f>
        <v>MONSOON, Mediacharge, REPLUG, Claneo, Peak Ace, morefire, Think11, eMinded GmbH, GroupM, Löwenstark, Medialabel, DEPT, Admiral Media, Phiture, HECHT INS GEFECHT, HY.AM STUDIOS</v>
      </c>
      <c r="I42" s="11">
        <f>IFERROR(__xludf.DUMMYFUNCTION("""COMPUTED_VALUE"""),1.0)</f>
        <v>1</v>
      </c>
      <c r="J42" s="11">
        <f>IFERROR(__xludf.DUMMYFUNCTION("""COMPUTED_VALUE"""),0.0)</f>
        <v>0</v>
      </c>
      <c r="K42" s="11">
        <f>IFERROR(__xludf.DUMMYFUNCTION("""COMPUTED_VALUE"""),0.0)</f>
        <v>0</v>
      </c>
    </row>
    <row r="43" ht="15.75" customHeight="1">
      <c r="A43" s="8" t="str">
        <f>IFERROR(__xludf.DUMMYFUNCTION("""COMPUTED_VALUE"""),"https://clutch.co/de/agencies/market-research/berlin")</f>
        <v>https://clutch.co/de/agencies/market-research/berlin</v>
      </c>
      <c r="B43" s="11" t="str">
        <f>IFERROR(__xludf.DUMMYFUNCTION("""COMPUTED_VALUE"""),"Top Market Research Companies in Berlin - Jul 2026 Rankings | Clutch.co")</f>
        <v>Top Market Research Companies in Berlin - Jul 2026 Rankings | Clutch.co</v>
      </c>
      <c r="C43" s="8" t="str">
        <f>IFERROR(__xludf.DUMMYFUNCTION("""COMPUTED_VALUE"""),"clutch.co")</f>
        <v>clutch.co</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IFERROR(__xludf.DUMMYFUNCTION("""COMPUTED_VALUE"""),"LNQP GmbH")</f>
        <v>LNQP GmbH</v>
      </c>
      <c r="I43" s="11">
        <f>IFERROR(__xludf.DUMMYFUNCTION("""COMPUTED_VALUE"""),1.0)</f>
        <v>1</v>
      </c>
      <c r="J43" s="11">
        <f>IFERROR(__xludf.DUMMYFUNCTION("""COMPUTED_VALUE"""),0.0)</f>
        <v>0</v>
      </c>
      <c r="K43" s="11">
        <f>IFERROR(__xludf.DUMMYFUNCTION("""COMPUTED_VALUE"""),1.0)</f>
        <v>1</v>
      </c>
    </row>
    <row r="44" ht="15.75" customHeight="1">
      <c r="A44" s="8" t="str">
        <f>IFERROR(__xludf.DUMMYFUNCTION("""COMPUTED_VALUE"""),"https://clutch.co/de/agencies/ppc/berlin")</f>
        <v>https://clutch.co/de/agencies/ppc/berlin</v>
      </c>
      <c r="B44" s="11" t="str">
        <f>IFERROR(__xludf.DUMMYFUNCTION("""COMPUTED_VALUE"""),"Top PPC Agencies in Berlin - Jul 2026 Rankings | Clutch.co")</f>
        <v>Top PPC Agencies in Berlin - Jul 2026 Rankings | Clutch.co</v>
      </c>
      <c r="C44" s="8" t="str">
        <f>IFERROR(__xludf.DUMMYFUNCTION("""COMPUTED_VALUE"""),"clutch.co")</f>
        <v>clutch.co</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IFERROR(__xludf.DUMMYFUNCTION("""COMPUTED_VALUE"""),"Mediacharge, MONSOON, REPLUG, Smarketer, Peak Ace, Medialabel")</f>
        <v>Mediacharge, MONSOON, REPLUG, Smarketer, Peak Ace, Medialabel</v>
      </c>
      <c r="I44" s="11">
        <f>IFERROR(__xludf.DUMMYFUNCTION("""COMPUTED_VALUE"""),1.0)</f>
        <v>1</v>
      </c>
      <c r="J44" s="11">
        <f>IFERROR(__xludf.DUMMYFUNCTION("""COMPUTED_VALUE"""),0.0)</f>
        <v>0</v>
      </c>
      <c r="K44" s="11">
        <f>IFERROR(__xludf.DUMMYFUNCTION("""COMPUTED_VALUE"""),1.0)</f>
        <v>1</v>
      </c>
    </row>
    <row r="45" ht="15.75" customHeight="1">
      <c r="A45" s="8" t="str">
        <f>IFERROR(__xludf.DUMMYFUNCTION("""COMPUTED_VALUE"""),"https://clutch.co/de/agencies/ppc/google-adwords")</f>
        <v>https://clutch.co/de/agencies/ppc/google-adwords</v>
      </c>
      <c r="B45" s="11" t="str">
        <f>IFERROR(__xludf.DUMMYFUNCTION("""COMPUTED_VALUE"""),"Top Adwords PPC Agencies in Germany - Jul 2026 Rankings \| Clutch.co")</f>
        <v>Top Adwords PPC Agencies in Germany - Jul 2026 Rankings \| Clutch.co</v>
      </c>
      <c r="C45" s="8" t="str">
        <f>IFERROR(__xludf.DUMMYFUNCTION("""COMPUTED_VALUE"""),"clutch.co")</f>
        <v>clutch.co</v>
      </c>
      <c r="D45" s="11" t="str">
        <f>IFERROR(__xludf.DUMMYFUNCTION("""COMPUTED_VALUE"""),"CATEGORY_PAGE")</f>
        <v>CATEGORY_PAGE</v>
      </c>
      <c r="E45" s="11" t="str">
        <f>IFERROR(__xludf.DUMMYFUNCTION("""COMPUTED_VALUE"""),"CORPORATE")</f>
        <v>CORPORATE</v>
      </c>
      <c r="F45" s="11" t="str">
        <f>IFERROR(__xludf.DUMMYFUNCTION("""COMPUTED_VALUE"""),"Category Page")</f>
        <v>Category Page</v>
      </c>
      <c r="G45" s="11" t="b">
        <f>IFERROR(__xludf.DUMMYFUNCTION("""COMPUTED_VALUE"""),FALSE)</f>
        <v>0</v>
      </c>
      <c r="H45" s="11" t="str">
        <f>IFERROR(__xludf.DUMMYFUNCTION("""COMPUTED_VALUE"""),"Mediacharge, MONSOON, Seeders, KlickPiloten, Smarketer, eMinded GmbH, Peak Ace")</f>
        <v>Mediacharge, MONSOON, Seeders, KlickPiloten, Smarketer, eMinded GmbH, Peak Ace</v>
      </c>
      <c r="I45" s="11">
        <f>IFERROR(__xludf.DUMMYFUNCTION("""COMPUTED_VALUE"""),1.0)</f>
        <v>1</v>
      </c>
      <c r="J45" s="11">
        <f>IFERROR(__xludf.DUMMYFUNCTION("""COMPUTED_VALUE"""),0.0)</f>
        <v>0</v>
      </c>
      <c r="K45" s="11">
        <f>IFERROR(__xludf.DUMMYFUNCTION("""COMPUTED_VALUE"""),0.0)</f>
        <v>0</v>
      </c>
    </row>
    <row r="46" ht="15.75" customHeight="1">
      <c r="A46" s="8" t="str">
        <f>IFERROR(__xludf.DUMMYFUNCTION("""COMPUTED_VALUE"""),"https://clutch.co/de/agencies/social-media-marketing/berlin")</f>
        <v>https://clutch.co/de/agencies/social-media-marketing/berlin</v>
      </c>
      <c r="B46" s="11" t="str">
        <f>IFERROR(__xludf.DUMMYFUNCTION("""COMPUTED_VALUE"""),"Top Social Media Marketing Agencies in Berlin - Jul 2026 Rankings \| Clutch.co")</f>
        <v>Top Social Media Marketing Agencies in Berlin - Jul 2026 Rankings \| Clutch.co</v>
      </c>
      <c r="C46" s="8" t="str">
        <f>IFERROR(__xludf.DUMMYFUNCTION("""COMPUTED_VALUE"""),"clutch.co")</f>
        <v>clutch.co</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IFERROR(__xludf.DUMMYFUNCTION("""COMPUTED_VALUE"""),"MONSOON, Mediacharge, PANORAMA3000, PwC, HY.AM STUDIOS, Huge, Pulse Advertising, Medialabel")</f>
        <v>MONSOON, Mediacharge, PANORAMA3000, PwC, HY.AM STUDIOS, Huge, Pulse Advertising, Medialabel</v>
      </c>
      <c r="I46" s="11">
        <f>IFERROR(__xludf.DUMMYFUNCTION("""COMPUTED_VALUE"""),1.0)</f>
        <v>1</v>
      </c>
      <c r="J46" s="11">
        <f>IFERROR(__xludf.DUMMYFUNCTION("""COMPUTED_VALUE"""),0.0)</f>
        <v>0</v>
      </c>
      <c r="K46" s="11">
        <f>IFERROR(__xludf.DUMMYFUNCTION("""COMPUTED_VALUE"""),1.0)</f>
        <v>1</v>
      </c>
    </row>
    <row r="47" ht="15.75" customHeight="1">
      <c r="A47" s="8" t="str">
        <f>IFERROR(__xludf.DUMMYFUNCTION("""COMPUTED_VALUE"""),"https://clutch.co/de/agencies/social-media-marketing/influencer/tiktok")</f>
        <v>https://clutch.co/de/agencies/social-media-marketing/influencer/tiktok</v>
      </c>
      <c r="B47" s="11" t="str">
        <f>IFERROR(__xludf.DUMMYFUNCTION("""COMPUTED_VALUE"""),"Top TikTok Influencer Marketing Agencies in Germany - Jul 2026 Rankings \| Clutch.co")</f>
        <v>Top TikTok Influencer Marketing Agencies in Germany - Jul 2026 Rankings \| Clutch.co</v>
      </c>
      <c r="C47" s="8" t="str">
        <f>IFERROR(__xludf.DUMMYFUNCTION("""COMPUTED_VALUE"""),"clutch.co")</f>
        <v>clutch.co</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IFERROR(__xludf.DUMMYFUNCTION("""COMPUTED_VALUE"""),"PANORAMA3000, Pulse Advertising, Medialabel, Haus, Mediaplus Group")</f>
        <v>PANORAMA3000, Pulse Advertising, Medialabel, Haus, Mediaplus Group</v>
      </c>
      <c r="I47" s="11">
        <f>IFERROR(__xludf.DUMMYFUNCTION("""COMPUTED_VALUE"""),1.0)</f>
        <v>1</v>
      </c>
      <c r="J47" s="11">
        <f>IFERROR(__xludf.DUMMYFUNCTION("""COMPUTED_VALUE"""),0.0)</f>
        <v>0</v>
      </c>
      <c r="K47" s="11">
        <f>IFERROR(__xludf.DUMMYFUNCTION("""COMPUTED_VALUE"""),0.0)</f>
        <v>0</v>
      </c>
    </row>
    <row r="48" ht="15.75" customHeight="1">
      <c r="A48" s="8" t="str">
        <f>IFERROR(__xludf.DUMMYFUNCTION("""COMPUTED_VALUE"""),"https://clutch.co/de/agencies/social-media-marketing?page=3")</f>
        <v>https://clutch.co/de/agencies/social-media-marketing?page=3</v>
      </c>
      <c r="B48" s="11" t="str">
        <f>IFERROR(__xludf.DUMMYFUNCTION("""COMPUTED_VALUE"""),"Page 3 - Top Social Media Marketing Companies in Germany - Jul 2026 Rankings \| Clutch.co")</f>
        <v>Page 3 - Top Social Media Marketing Companies in Germany - Jul 2026 Rankings \| Clutch.co</v>
      </c>
      <c r="C48" s="8" t="str">
        <f>IFERROR(__xludf.DUMMYFUNCTION("""COMPUTED_VALUE"""),"clutch.co")</f>
        <v>clutch.co</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t="str">
        <f>IFERROR(__xludf.DUMMYFUNCTION("""COMPUTED_VALUE"""),"MONSOON, Mediacharge, Haus, HY.AM STUDIOS, PANORAMA3000, Digitalyze, KlickPiloten")</f>
        <v>MONSOON, Mediacharge, Haus, HY.AM STUDIOS, PANORAMA3000, Digitalyze, KlickPiloten</v>
      </c>
      <c r="I48" s="11">
        <f>IFERROR(__xludf.DUMMYFUNCTION("""COMPUTED_VALUE"""),1.0)</f>
        <v>1</v>
      </c>
      <c r="J48" s="11">
        <f>IFERROR(__xludf.DUMMYFUNCTION("""COMPUTED_VALUE"""),0.0)</f>
        <v>0</v>
      </c>
      <c r="K48" s="11">
        <f>IFERROR(__xludf.DUMMYFUNCTION("""COMPUTED_VALUE"""),0.0)</f>
        <v>0</v>
      </c>
    </row>
    <row r="49" ht="15.75" customHeight="1">
      <c r="A49" s="8" t="str">
        <f>IFERROR(__xludf.DUMMYFUNCTION("""COMPUTED_VALUE"""),"https://clutch.co/de/it-services/master-data-management-consulting")</f>
        <v>https://clutch.co/de/it-services/master-data-management-consulting</v>
      </c>
      <c r="B49" s="11" t="str">
        <f>IFERROR(__xludf.DUMMYFUNCTION("""COMPUTED_VALUE"""),"Top MDM Consultants in Germany - Jul 2026 Rankings \| Clutch.co")</f>
        <v>Top MDM Consultants in Germany - Jul 2026 Rankings \| Clutch.co</v>
      </c>
      <c r="C49" s="8" t="str">
        <f>IFERROR(__xludf.DUMMYFUNCTION("""COMPUTED_VALUE"""),"clutch.co")</f>
        <v>clutch.co</v>
      </c>
      <c r="D49" s="11" t="str">
        <f>IFERROR(__xludf.DUMMYFUNCTION("""COMPUTED_VALUE"""),"CATEGORY_PAGE")</f>
        <v>CATEGORY_PAGE</v>
      </c>
      <c r="E49" s="11" t="str">
        <f>IFERROR(__xludf.DUMMYFUNCTION("""COMPUTED_VALUE"""),"CORPORATE")</f>
        <v>CORPORATE</v>
      </c>
      <c r="F49" s="11" t="str">
        <f>IFERROR(__xludf.DUMMYFUNCTION("""COMPUTED_VALUE"""),"Category Page")</f>
        <v>Category Page</v>
      </c>
      <c r="G49" s="11" t="b">
        <f>IFERROR(__xludf.DUMMYFUNCTION("""COMPUTED_VALUE"""),FALSE)</f>
        <v>0</v>
      </c>
      <c r="H49" s="11"/>
      <c r="I49" s="11">
        <f>IFERROR(__xludf.DUMMYFUNCTION("""COMPUTED_VALUE"""),1.0)</f>
        <v>1</v>
      </c>
      <c r="J49" s="11">
        <f>IFERROR(__xludf.DUMMYFUNCTION("""COMPUTED_VALUE"""),0.0)</f>
        <v>0</v>
      </c>
      <c r="K49" s="11">
        <f>IFERROR(__xludf.DUMMYFUNCTION("""COMPUTED_VALUE"""),0.0)</f>
        <v>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s>
  <drawing r:id="rId9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All'!A2:A1000)),""semrush"")
  ),
  """"
)"),"https://agencies.semrush.com/list/germany/")</f>
        <v>https://agencies.semrush.com/list/germany/</v>
      </c>
      <c r="B2" s="11" t="str">
        <f>IFERROR(__xludf.DUMMYFUNCTION("""COMPUTED_VALUE"""),"Best Digital Marketing Agencies in Germany 2026 | Semrush")</f>
        <v>Best Digital Marketing Agencies in Germany 2026 | Semrush</v>
      </c>
      <c r="C2" s="8" t="str">
        <f>IFERROR(__xludf.DUMMYFUNCTION("""COMPUTED_VALUE"""),"semrush.com")</f>
        <v>semrush.com</v>
      </c>
      <c r="D2" s="11" t="str">
        <f>IFERROR(__xludf.DUMMYFUNCTION("""COMPUTED_VALUE"""),"PROFILE")</f>
        <v>PROFILE</v>
      </c>
      <c r="E2" s="11" t="str">
        <f>IFERROR(__xludf.DUMMYFUNCTION("""COMPUTED_VALUE"""),"CORPORATE")</f>
        <v>CORPORATE</v>
      </c>
      <c r="F2" s="11" t="str">
        <f>IFERROR(__xludf.DUMMYFUNCTION("""COMPUTED_VALUE"""),"Profile")</f>
        <v>Profile</v>
      </c>
      <c r="G2" s="11" t="b">
        <f>IFERROR(__xludf.DUMMYFUNCTION("""COMPUTED_VALUE"""),FALSE)</f>
        <v>0</v>
      </c>
      <c r="H2"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2" s="11">
        <f>IFERROR(__xludf.DUMMYFUNCTION("""COMPUTED_VALUE"""),92.0)</f>
        <v>92</v>
      </c>
      <c r="J2" s="11">
        <f>IFERROR(__xludf.DUMMYFUNCTION("""COMPUTED_VALUE"""),0.1)</f>
        <v>0.1</v>
      </c>
      <c r="K2" s="11">
        <f>IFERROR(__xludf.DUMMYFUNCTION("""COMPUTED_VALUE"""),0.55)</f>
        <v>0.55</v>
      </c>
    </row>
    <row r="3" ht="15.75" customHeight="1">
      <c r="A3" s="8" t="str">
        <f>IFERROR(__xludf.DUMMYFUNCTION("""COMPUTED_VALUE"""),"https://agencies.semrush.com/list/ai-optimization/germany/")</f>
        <v>https://agencies.semrush.com/list/ai-optimization/germany/</v>
      </c>
      <c r="B3" s="11" t="str">
        <f>IFERROR(__xludf.DUMMYFUNCTION("""COMPUTED_VALUE"""),"Best AI Search Optimization Agencies in Germany 2026 | Semrush")</f>
        <v>Best AI Search Optimization Agencies in Germany 2026 | Semrush</v>
      </c>
      <c r="C3" s="8" t="str">
        <f>IFERROR(__xludf.DUMMYFUNCTION("""COMPUTED_VALUE"""),"semrush.com")</f>
        <v>semrush.com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IFERROR(__xludf.DUMMYFUNCTION("""COMPUTED_VALUE"""),"HECHT INS GEFECHT, morefire, Mediaplus Performance")</f>
        <v>HECHT INS GEFECHT, morefire, Mediaplus Performance</v>
      </c>
      <c r="I3" s="11">
        <f>IFERROR(__xludf.DUMMYFUNCTION("""COMPUTED_VALUE"""),48.0)</f>
        <v>48</v>
      </c>
      <c r="J3" s="11">
        <f>IFERROR(__xludf.DUMMYFUNCTION("""COMPUTED_VALUE"""),0.05)</f>
        <v>0.05</v>
      </c>
      <c r="K3" s="11">
        <f>IFERROR(__xludf.DUMMYFUNCTION("""COMPUTED_VALUE"""),0.98)</f>
        <v>0.98</v>
      </c>
    </row>
    <row r="4" ht="15.75" customHeight="1">
      <c r="A4" s="8" t="str">
        <f>IFERROR(__xludf.DUMMYFUNCTION("""COMPUTED_VALUE"""),"https://agencies.semrush.com/list/smm/germany/")</f>
        <v>https://agencies.semrush.com/list/smm/germany/</v>
      </c>
      <c r="B4" s="11" t="str">
        <f>IFERROR(__xludf.DUMMYFUNCTION("""COMPUTED_VALUE"""),"Best Social Media Marketing Agencies in Germany 2026 | Semrush")</f>
        <v>Best Social Media Marketing Agencies in Germany 2026 | Semrush</v>
      </c>
      <c r="C4" s="8" t="str">
        <f>IFERROR(__xludf.DUMMYFUNCTION("""COMPUTED_VALUE"""),"semrush.com")</f>
        <v>semrush.com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IFERROR(__xludf.DUMMYFUNCTION("""COMPUTED_VALUE"""),"Baseplus DIGITAL MEDIA GmbH, morefire, Mediaplus Performance, MONSOON, KlickPiloten")</f>
        <v>Baseplus DIGITAL MEDIA GmbH, morefire, Mediaplus Performance, MONSOON, KlickPiloten</v>
      </c>
      <c r="I4" s="11">
        <f>IFERROR(__xludf.DUMMYFUNCTION("""COMPUTED_VALUE"""),29.0)</f>
        <v>29</v>
      </c>
      <c r="J4" s="11">
        <f>IFERROR(__xludf.DUMMYFUNCTION("""COMPUTED_VALUE"""),0.03)</f>
        <v>0.03</v>
      </c>
      <c r="K4" s="11">
        <f>IFERROR(__xludf.DUMMYFUNCTION("""COMPUTED_VALUE"""),1.07)</f>
        <v>1.07</v>
      </c>
    </row>
    <row r="5" ht="15.75" customHeight="1">
      <c r="A5" s="8" t="str">
        <f>IFERROR(__xludf.DUMMYFUNCTION("""COMPUTED_VALUE"""),"https://agencies.semrush.com/list/advertising/germany/")</f>
        <v>https://agencies.semrush.com/list/advertising/germany/</v>
      </c>
      <c r="B5" s="11" t="str">
        <f>IFERROR(__xludf.DUMMYFUNCTION("""COMPUTED_VALUE"""),"Best Advertising Agencies in Germany 2026 | Semrush")</f>
        <v>Best Advertising Agencies in Germany 2026 | Semrush</v>
      </c>
      <c r="C5" s="8"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IFERROR(__xludf.DUMMYFUNCTION("""COMPUTED_VALUE"""),"Baseplus DIGITAL MEDIA GmbH, morefire, Mediaplus Performance, MONSOON, Mediacharge, KlickPiloten, Huge")</f>
        <v>Baseplus DIGITAL MEDIA GmbH, morefire, Mediaplus Performance, MONSOON, Mediacharge, KlickPiloten, Huge</v>
      </c>
      <c r="I5" s="11">
        <f>IFERROR(__xludf.DUMMYFUNCTION("""COMPUTED_VALUE"""),27.0)</f>
        <v>27</v>
      </c>
      <c r="J5" s="11">
        <f>IFERROR(__xludf.DUMMYFUNCTION("""COMPUTED_VALUE"""),0.03)</f>
        <v>0.03</v>
      </c>
      <c r="K5" s="11">
        <f>IFERROR(__xludf.DUMMYFUNCTION("""COMPUTED_VALUE"""),0.67)</f>
        <v>0.67</v>
      </c>
    </row>
    <row r="6" ht="15.75" customHeight="1">
      <c r="A6" s="8" t="str">
        <f>IFERROR(__xludf.DUMMYFUNCTION("""COMPUTED_VALUE"""),"https://agencies.semrush.com/list/display-advertising/germany/small-business/")</f>
        <v>https://agencies.semrush.com/list/display-advertising/germany/small-business/</v>
      </c>
      <c r="B6" s="11" t="str">
        <f>IFERROR(__xludf.DUMMYFUNCTION("""COMPUTED_VALUE"""),"Best Display Ads Agencies for Small Business in Germany 2026 | Semrush")</f>
        <v>Best Display Ads Agencies for Small Business in Germany 2026 | Semrush</v>
      </c>
      <c r="C6" s="8" t="str">
        <f>IFERROR(__xludf.DUMMYFUNCTION("""COMPUTED_VALUE"""),"semrush.com")</f>
        <v>semrush.com</v>
      </c>
      <c r="D6" s="11" t="str">
        <f>IFERROR(__xludf.DUMMYFUNCTION("""COMPUTED_VALUE"""),"OTHER")</f>
        <v>OTHER</v>
      </c>
      <c r="E6" s="11" t="str">
        <f>IFERROR(__xludf.DUMMYFUNCTION("""COMPUTED_VALUE"""),"CORPORATE")</f>
        <v>CORPORATE</v>
      </c>
      <c r="F6" s="11" t="str">
        <f>IFERROR(__xludf.DUMMYFUNCTION("""COMPUTED_VALUE"""),"Other")</f>
        <v>Other</v>
      </c>
      <c r="G6" s="11" t="b">
        <f>IFERROR(__xludf.DUMMYFUNCTION("""COMPUTED_VALUE"""),FALSE)</f>
        <v>0</v>
      </c>
      <c r="H6" s="11" t="str">
        <f>IFERROR(__xludf.DUMMYFUNCTION("""COMPUTED_VALUE"""),"Baseplus DIGITAL MEDIA GmbH, Mediaplus Performance, MONSOON, KlickPiloten")</f>
        <v>Baseplus DIGITAL MEDIA GmbH, Mediaplus Performance, MONSOON, KlickPiloten</v>
      </c>
      <c r="I6" s="11">
        <f>IFERROR(__xludf.DUMMYFUNCTION("""COMPUTED_VALUE"""),22.0)</f>
        <v>22</v>
      </c>
      <c r="J6" s="11">
        <f>IFERROR(__xludf.DUMMYFUNCTION("""COMPUTED_VALUE"""),0.02)</f>
        <v>0.02</v>
      </c>
      <c r="K6" s="11">
        <f>IFERROR(__xludf.DUMMYFUNCTION("""COMPUTED_VALUE"""),0.41)</f>
        <v>0.41</v>
      </c>
    </row>
    <row r="7" ht="15.75" customHeight="1">
      <c r="A7" s="8" t="str">
        <f>IFERROR(__xludf.DUMMYFUNCTION("""COMPUTED_VALUE"""),"https://agencies.semrush.com/list/market-analysis/germany/")</f>
        <v>https://agencies.semrush.com/list/market-analysis/germany/</v>
      </c>
      <c r="B7" s="11" t="str">
        <f>IFERROR(__xludf.DUMMYFUNCTION("""COMPUTED_VALUE"""),"Best Market Research Companies in Germany 2026 | Semrush")</f>
        <v>Best Market Research Companies in Germany 2026 | Semrush</v>
      </c>
      <c r="C7" s="8" t="str">
        <f>IFERROR(__xludf.DUMMYFUNCTION("""COMPUTED_VALUE"""),"semrush.com")</f>
        <v>semrush.com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IFERROR(__xludf.DUMMYFUNCTION("""COMPUTED_VALUE"""),"Baseplus DIGITAL MEDIA GmbH, Mediaplus Performance, KlickPiloten")</f>
        <v>Baseplus DIGITAL MEDIA GmbH, Mediaplus Performance, KlickPiloten</v>
      </c>
      <c r="I7" s="11">
        <f>IFERROR(__xludf.DUMMYFUNCTION("""COMPUTED_VALUE"""),21.0)</f>
        <v>21</v>
      </c>
      <c r="J7" s="11">
        <f>IFERROR(__xludf.DUMMYFUNCTION("""COMPUTED_VALUE"""),0.02)</f>
        <v>0.02</v>
      </c>
      <c r="K7" s="11">
        <f>IFERROR(__xludf.DUMMYFUNCTION("""COMPUTED_VALUE"""),0.76)</f>
        <v>0.76</v>
      </c>
    </row>
    <row r="8" ht="15.75" customHeight="1">
      <c r="A8" s="8" t="str">
        <f>IFERROR(__xludf.DUMMYFUNCTION("""COMPUTED_VALUE"""),"https://agencies.semrush.com/list/analytics-data-science/germany/")</f>
        <v>https://agencies.semrush.com/list/analytics-data-science/germany/</v>
      </c>
      <c r="B8" s="11" t="str">
        <f>IFERROR(__xludf.DUMMYFUNCTION("""COMPUTED_VALUE"""),"Best Data Analytics Services in Germany 2026 | Semrush")</f>
        <v>Best Data Analytics Services in Germany 2026 | Semrush</v>
      </c>
      <c r="C8" s="8" t="str">
        <f>IFERROR(__xludf.DUMMYFUNCTION("""COMPUTED_VALUE"""),"semrush.com")</f>
        <v>semrush.com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IFERROR(__xludf.DUMMYFUNCTION("""COMPUTED_VALUE"""),"HECHT INS GEFECHT, Baseplus DIGITAL MEDIA GmbH, morefire, Mediaplus Performance, KlickPiloten")</f>
        <v>HECHT INS GEFECHT, Baseplus DIGITAL MEDIA GmbH, morefire, Mediaplus Performance, KlickPiloten</v>
      </c>
      <c r="I8" s="11">
        <f>IFERROR(__xludf.DUMMYFUNCTION("""COMPUTED_VALUE"""),17.0)</f>
        <v>17</v>
      </c>
      <c r="J8" s="11">
        <f>IFERROR(__xludf.DUMMYFUNCTION("""COMPUTED_VALUE"""),0.02)</f>
        <v>0.02</v>
      </c>
      <c r="K8" s="11">
        <f>IFERROR(__xludf.DUMMYFUNCTION("""COMPUTED_VALUE"""),0.0)</f>
        <v>0</v>
      </c>
    </row>
    <row r="9" ht="15.75" customHeight="1">
      <c r="A9" s="8" t="str">
        <f>IFERROR(__xludf.DUMMYFUNCTION("""COMPUTED_VALUE"""),"https://agencies.semrush.com/list/display-advertising/germany/")</f>
        <v>https://agencies.semrush.com/list/display-advertising/germany/</v>
      </c>
      <c r="B9" s="11" t="str">
        <f>IFERROR(__xludf.DUMMYFUNCTION("""COMPUTED_VALUE"""),"Best Display Ads Agencies in Germany 2026 | Semrush")</f>
        <v>Best Display Ads Agencies in Germany 2026 | Semrush</v>
      </c>
      <c r="C9" s="8" t="str">
        <f>IFERROR(__xludf.DUMMYFUNCTION("""COMPUTED_VALUE"""),"semrush.com")</f>
        <v>semrush.com</v>
      </c>
      <c r="D9" s="11" t="str">
        <f>IFERROR(__xludf.DUMMYFUNCTION("""COMPUTED_VALUE"""),"OTHER")</f>
        <v>OTHER</v>
      </c>
      <c r="E9" s="11" t="str">
        <f>IFERROR(__xludf.DUMMYFUNCTION("""COMPUTED_VALUE"""),"CORPORATE")</f>
        <v>CORPORATE</v>
      </c>
      <c r="F9" s="11" t="str">
        <f>IFERROR(__xludf.DUMMYFUNCTION("""COMPUTED_VALUE"""),"Other")</f>
        <v>Other</v>
      </c>
      <c r="G9" s="11" t="b">
        <f>IFERROR(__xludf.DUMMYFUNCTION("""COMPUTED_VALUE"""),FALSE)</f>
        <v>0</v>
      </c>
      <c r="H9" s="11" t="str">
        <f>IFERROR(__xludf.DUMMYFUNCTION("""COMPUTED_VALUE"""),"Baseplus DIGITAL MEDIA GmbH, morefire, Mediaplus Performance, MONSOON, KlickPiloten")</f>
        <v>Baseplus DIGITAL MEDIA GmbH, morefire, Mediaplus Performance, MONSOON, KlickPiloten</v>
      </c>
      <c r="I9" s="11">
        <f>IFERROR(__xludf.DUMMYFUNCTION("""COMPUTED_VALUE"""),14.0)</f>
        <v>14</v>
      </c>
      <c r="J9" s="11">
        <f>IFERROR(__xludf.DUMMYFUNCTION("""COMPUTED_VALUE"""),0.01)</f>
        <v>0.01</v>
      </c>
      <c r="K9" s="11">
        <f>IFERROR(__xludf.DUMMYFUNCTION("""COMPUTED_VALUE"""),0.14)</f>
        <v>0.14</v>
      </c>
    </row>
    <row r="10" ht="15.75" customHeight="1">
      <c r="A10" s="8" t="str">
        <f>IFERROR(__xludf.DUMMYFUNCTION("""COMPUTED_VALUE"""),"https://agencies.semrush.com/list/display-advertising/ecommerce/germany/small-business/")</f>
        <v>https://agencies.semrush.com/list/display-advertising/ecommerce/germany/small-business/</v>
      </c>
      <c r="B10" s="11" t="str">
        <f>IFERROR(__xludf.DUMMYFUNCTION("""COMPUTED_VALUE"""),"Best Ecommerce Display Ads Agencies for Small Business in Germany 2026 | Semrush")</f>
        <v>Best Ecommerce Display Ads Agencies for Small Business in Germany 2026 | Semrush</v>
      </c>
      <c r="C10" s="8" t="str">
        <f>IFERROR(__xludf.DUMMYFUNCTION("""COMPUTED_VALUE"""),"semrush.com")</f>
        <v>semrush.com</v>
      </c>
      <c r="D10" s="11" t="str">
        <f>IFERROR(__xludf.DUMMYFUNCTION("""COMPUTED_VALUE"""),"OTHER")</f>
        <v>OTHER</v>
      </c>
      <c r="E10" s="11" t="str">
        <f>IFERROR(__xludf.DUMMYFUNCTION("""COMPUTED_VALUE"""),"CORPORATE")</f>
        <v>CORPORATE</v>
      </c>
      <c r="F10" s="11" t="str">
        <f>IFERROR(__xludf.DUMMYFUNCTION("""COMPUTED_VALUE"""),"Other")</f>
        <v>Other</v>
      </c>
      <c r="G10" s="11" t="b">
        <f>IFERROR(__xludf.DUMMYFUNCTION("""COMPUTED_VALUE"""),FALSE)</f>
        <v>0</v>
      </c>
      <c r="H10" s="11" t="str">
        <f>IFERROR(__xludf.DUMMYFUNCTION("""COMPUTED_VALUE"""),"Baseplus DIGITAL MEDIA GmbH, Mediaplus Performance, MONSOON")</f>
        <v>Baseplus DIGITAL MEDIA GmbH, Mediaplus Performance, MONSOON</v>
      </c>
      <c r="I10" s="11">
        <f>IFERROR(__xludf.DUMMYFUNCTION("""COMPUTED_VALUE"""),13.0)</f>
        <v>13</v>
      </c>
      <c r="J10" s="11">
        <f>IFERROR(__xludf.DUMMYFUNCTION("""COMPUTED_VALUE"""),0.01)</f>
        <v>0.01</v>
      </c>
      <c r="K10" s="11">
        <f>IFERROR(__xludf.DUMMYFUNCTION("""COMPUTED_VALUE"""),0.08)</f>
        <v>0.08</v>
      </c>
    </row>
    <row r="11" ht="15.75" customHeight="1">
      <c r="A11" s="8" t="str">
        <f>IFERROR(__xludf.DUMMYFUNCTION("""COMPUTED_VALUE"""),"https://agencies.semrush.com/list/machine-learning-and-ai/germany/")</f>
        <v>https://agencies.semrush.com/list/machine-learning-and-ai/germany/</v>
      </c>
      <c r="B11" s="11" t="str">
        <f>IFERROR(__xludf.DUMMYFUNCTION("""COMPUTED_VALUE"""),"Best Machine Learning and AI Services in Germany 2026 | Semrush")</f>
        <v>Best Machine Learning and AI Services in Germany 2026 | Semrush</v>
      </c>
      <c r="C11" s="8" t="str">
        <f>IFERROR(__xludf.DUMMYFUNCTION("""COMPUTED_VALUE"""),"semrush.com")</f>
        <v>semrush.com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IFERROR(__xludf.DUMMYFUNCTION("""COMPUTED_VALUE"""),"HECHT INS GEFECHT, Baseplus DIGITAL MEDIA GmbH, morefire, Mediaplus Performance")</f>
        <v>HECHT INS GEFECHT, Baseplus DIGITAL MEDIA GmbH, morefire, Mediaplus Performance</v>
      </c>
      <c r="I11" s="11">
        <f>IFERROR(__xludf.DUMMYFUNCTION("""COMPUTED_VALUE"""),12.0)</f>
        <v>12</v>
      </c>
      <c r="J11" s="11">
        <f>IFERROR(__xludf.DUMMYFUNCTION("""COMPUTED_VALUE"""),0.01)</f>
        <v>0.01</v>
      </c>
      <c r="K11" s="11">
        <f>IFERROR(__xludf.DUMMYFUNCTION("""COMPUTED_VALUE"""),0.25)</f>
        <v>0.25</v>
      </c>
    </row>
    <row r="12" ht="15.75" customHeight="1">
      <c r="A12" s="8" t="str">
        <f>IFERROR(__xludf.DUMMYFUNCTION("""COMPUTED_VALUE"""),"https://agencies.semrush.com/list/display-advertising/berlin/small-business/")</f>
        <v>https://agencies.semrush.com/list/display-advertising/berlin/small-business/</v>
      </c>
      <c r="B12" s="11" t="str">
        <f>IFERROR(__xludf.DUMMYFUNCTION("""COMPUTED_VALUE"""),"Best Display Ads Agencies for Small Business in Berlin 2026 | Semrush")</f>
        <v>Best Display Ads Agencies for Small Business in Berlin 2026 | Semrush</v>
      </c>
      <c r="C12" s="8" t="str">
        <f>IFERROR(__xludf.DUMMYFUNCTION("""COMPUTED_VALUE"""),"semrush.com")</f>
        <v>semrush.com</v>
      </c>
      <c r="D12" s="11" t="str">
        <f>IFERROR(__xludf.DUMMYFUNCTION("""COMPUTED_VALUE"""),"CATEGORY_PAGE")</f>
        <v>CATEGORY_PAGE</v>
      </c>
      <c r="E12" s="11" t="str">
        <f>IFERROR(__xludf.DUMMYFUNCTION("""COMPUTED_VALUE"""),"CORPORATE")</f>
        <v>CORPORATE</v>
      </c>
      <c r="F12" s="11" t="str">
        <f>IFERROR(__xludf.DUMMYFUNCTION("""COMPUTED_VALUE"""),"Category Page")</f>
        <v>Category Page</v>
      </c>
      <c r="G12" s="11" t="b">
        <f>IFERROR(__xludf.DUMMYFUNCTION("""COMPUTED_VALUE"""),FALSE)</f>
        <v>0</v>
      </c>
      <c r="H12" s="11" t="str">
        <f>IFERROR(__xludf.DUMMYFUNCTION("""COMPUTED_VALUE"""),"MONSOON, KlickPiloten, Baseplus DIGITAL MEDIA GmbH, Mediaplus Performance")</f>
        <v>MONSOON, KlickPiloten, Baseplus DIGITAL MEDIA GmbH, Mediaplus Performance</v>
      </c>
      <c r="I12" s="11">
        <f>IFERROR(__xludf.DUMMYFUNCTION("""COMPUTED_VALUE"""),11.0)</f>
        <v>11</v>
      </c>
      <c r="J12" s="11">
        <f>IFERROR(__xludf.DUMMYFUNCTION("""COMPUTED_VALUE"""),0.01)</f>
        <v>0.01</v>
      </c>
      <c r="K12" s="11">
        <f>IFERROR(__xludf.DUMMYFUNCTION("""COMPUTED_VALUE"""),0.0)</f>
        <v>0</v>
      </c>
    </row>
    <row r="13" ht="15.75" customHeight="1">
      <c r="A13" s="8" t="str">
        <f>IFERROR(__xludf.DUMMYFUNCTION("""COMPUTED_VALUE"""),"https://agencies.semrush.com/de/list/display-advertising/germany/")</f>
        <v>https://agencies.semrush.com/de/list/display-advertising/germany/</v>
      </c>
      <c r="B13" s="11" t="str">
        <f>IFERROR(__xludf.DUMMYFUNCTION("""COMPUTED_VALUE"""),"Beste Display-Werbung-Agenturen für , Germany 2026 | Semrush")</f>
        <v>Beste Display-Werbung-Agenturen für , Germany 2026 | Semrush</v>
      </c>
      <c r="C13" s="8" t="str">
        <f>IFERROR(__xludf.DUMMYFUNCTION("""COMPUTED_VALUE"""),"semrush.com")</f>
        <v>semrush.com</v>
      </c>
      <c r="D13" s="11" t="str">
        <f>IFERROR(__xludf.DUMMYFUNCTION("""COMPUTED_VALUE"""),"OTHER")</f>
        <v>OTHER</v>
      </c>
      <c r="E13" s="11" t="str">
        <f>IFERROR(__xludf.DUMMYFUNCTION("""COMPUTED_VALUE"""),"CORPORATE")</f>
        <v>CORPORATE</v>
      </c>
      <c r="F13" s="11" t="str">
        <f>IFERROR(__xludf.DUMMYFUNCTION("""COMPUTED_VALUE"""),"Other")</f>
        <v>Other</v>
      </c>
      <c r="G13" s="11" t="b">
        <f>IFERROR(__xludf.DUMMYFUNCTION("""COMPUTED_VALUE"""),FALSE)</f>
        <v>0</v>
      </c>
      <c r="H13" s="11" t="str">
        <f>IFERROR(__xludf.DUMMYFUNCTION("""COMPUTED_VALUE"""),"Baseplus DIGITAL MEDIA GmbH, morefire, Mediaplus Performance, MONSOON, KlickPiloten")</f>
        <v>Baseplus DIGITAL MEDIA GmbH, morefire, Mediaplus Performance, MONSOON, KlickPiloten</v>
      </c>
      <c r="I13" s="11">
        <f>IFERROR(__xludf.DUMMYFUNCTION("""COMPUTED_VALUE"""),10.0)</f>
        <v>10</v>
      </c>
      <c r="J13" s="11">
        <f>IFERROR(__xludf.DUMMYFUNCTION("""COMPUTED_VALUE"""),0.01)</f>
        <v>0.01</v>
      </c>
      <c r="K13" s="11">
        <f>IFERROR(__xludf.DUMMYFUNCTION("""COMPUTED_VALUE"""),0.2)</f>
        <v>0.2</v>
      </c>
    </row>
    <row r="14" ht="15.75" customHeight="1">
      <c r="A14" s="8" t="str">
        <f>IFERROR(__xludf.DUMMYFUNCTION("""COMPUTED_VALUE"""),"https://agencies.semrush.com/list/ai-optimization/germany/mid-business/")</f>
        <v>https://agencies.semrush.com/list/ai-optimization/germany/mid-business/</v>
      </c>
      <c r="B14" s="11" t="str">
        <f>IFERROR(__xludf.DUMMYFUNCTION("""COMPUTED_VALUE"""),"Best AI Search Optimization Agencies for Mid Business in Germany 2026 | Semrush")</f>
        <v>Best AI Search Optimization Agencies for Mid Business in Germany 2026 | Semrush</v>
      </c>
      <c r="C14" s="8" t="str">
        <f>IFERROR(__xludf.DUMMYFUNCTION("""COMPUTED_VALUE"""),"semrush.com")</f>
        <v>semrush.com</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IFERROR(__xludf.DUMMYFUNCTION("""COMPUTED_VALUE"""),"HECHT INS GEFECHT, morefire, Mediaplus Performance")</f>
        <v>HECHT INS GEFECHT, morefire, Mediaplus Performance</v>
      </c>
      <c r="I14" s="11">
        <f>IFERROR(__xludf.DUMMYFUNCTION("""COMPUTED_VALUE"""),10.0)</f>
        <v>10</v>
      </c>
      <c r="J14" s="11">
        <f>IFERROR(__xludf.DUMMYFUNCTION("""COMPUTED_VALUE"""),0.01)</f>
        <v>0.01</v>
      </c>
      <c r="K14" s="11">
        <f>IFERROR(__xludf.DUMMYFUNCTION("""COMPUTED_VALUE"""),0.5)</f>
        <v>0.5</v>
      </c>
    </row>
    <row r="15" ht="15.75" customHeight="1">
      <c r="A15" s="8" t="str">
        <f>IFERROR(__xludf.DUMMYFUNCTION("""COMPUTED_VALUE"""),"https://agencies.semrush.com/list/ai-optimization/germany/small-business/")</f>
        <v>https://agencies.semrush.com/list/ai-optimization/germany/small-business/</v>
      </c>
      <c r="B15" s="11" t="str">
        <f>IFERROR(__xludf.DUMMYFUNCTION("""COMPUTED_VALUE"""),"Best AI Search Optimization Agencies for Small Business in Germany 2026 | Semrush")</f>
        <v>Best AI Search Optimization Agencies for Small Business in Germany 2026 | Semrush</v>
      </c>
      <c r="C15" s="8" t="str">
        <f>IFERROR(__xludf.DUMMYFUNCTION("""COMPUTED_VALUE"""),"semrush.com")</f>
        <v>semrush.com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IFERROR(__xludf.DUMMYFUNCTION("""COMPUTED_VALUE"""),"HECHT INS GEFECHT, Mediaplus Performance")</f>
        <v>HECHT INS GEFECHT, Mediaplus Performance</v>
      </c>
      <c r="I15" s="11">
        <f>IFERROR(__xludf.DUMMYFUNCTION("""COMPUTED_VALUE"""),9.0)</f>
        <v>9</v>
      </c>
      <c r="J15" s="11">
        <f>IFERROR(__xludf.DUMMYFUNCTION("""COMPUTED_VALUE"""),0.01)</f>
        <v>0.01</v>
      </c>
      <c r="K15" s="11">
        <f>IFERROR(__xludf.DUMMYFUNCTION("""COMPUTED_VALUE"""),0.33)</f>
        <v>0.33</v>
      </c>
    </row>
    <row r="16" ht="15.75" customHeight="1">
      <c r="A16" s="8" t="str">
        <f>IFERROR(__xludf.DUMMYFUNCTION("""COMPUTED_VALUE"""),"https://www.semrush.com/agencies/list/display-advertising/ecommerce/germany/")</f>
        <v>https://www.semrush.com/agencies/list/display-advertising/ecommerce/germany/</v>
      </c>
      <c r="B16" s="11" t="str">
        <f>IFERROR(__xludf.DUMMYFUNCTION("""COMPUTED_VALUE"""),"Best Ecommerce Display Ads Agencies in Germany 2026 \| Semrush")</f>
        <v>Best Ecommerce Display Ads Agencies in Germany 2026 \| Semrush</v>
      </c>
      <c r="C16" s="8" t="str">
        <f>IFERROR(__xludf.DUMMYFUNCTION("""COMPUTED_VALUE"""),"semrush.com")</f>
        <v>semrush.com</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t="str">
        <f>IFERROR(__xludf.DUMMYFUNCTION("""COMPUTED_VALUE"""),"Baseplus DIGITAL MEDIA GmbH, morefire, Mediaplus Performance, MONSOON")</f>
        <v>Baseplus DIGITAL MEDIA GmbH, morefire, Mediaplus Performance, MONSOON</v>
      </c>
      <c r="I16" s="11">
        <f>IFERROR(__xludf.DUMMYFUNCTION("""COMPUTED_VALUE"""),9.0)</f>
        <v>9</v>
      </c>
      <c r="J16" s="11">
        <f>IFERROR(__xludf.DUMMYFUNCTION("""COMPUTED_VALUE"""),0.01)</f>
        <v>0.01</v>
      </c>
      <c r="K16" s="11">
        <f>IFERROR(__xludf.DUMMYFUNCTION("""COMPUTED_VALUE"""),0.0)</f>
        <v>0</v>
      </c>
    </row>
    <row r="17" ht="15.75" customHeight="1">
      <c r="A17" s="8" t="str">
        <f>IFERROR(__xludf.DUMMYFUNCTION("""COMPUTED_VALUE"""),"https://agencies.semrush.com/list/display-advertising/germany/mid-business/")</f>
        <v>https://agencies.semrush.com/list/display-advertising/germany/mid-business/</v>
      </c>
      <c r="B17" s="11" t="str">
        <f>IFERROR(__xludf.DUMMYFUNCTION("""COMPUTED_VALUE"""),"Best Display Ads Agencies for Mid Business in Germany 2026 | Semrush")</f>
        <v>Best Display Ads Agencies for Mid Business in Germany 2026 | Semrush</v>
      </c>
      <c r="C17" s="8" t="str">
        <f>IFERROR(__xludf.DUMMYFUNCTION("""COMPUTED_VALUE"""),"semrush.com")</f>
        <v>semrush.com</v>
      </c>
      <c r="D17" s="11" t="str">
        <f>IFERROR(__xludf.DUMMYFUNCTION("""COMPUTED_VALUE"""),"OTHER")</f>
        <v>OTHER</v>
      </c>
      <c r="E17" s="11" t="str">
        <f>IFERROR(__xludf.DUMMYFUNCTION("""COMPUTED_VALUE"""),"CORPORATE")</f>
        <v>CORPORATE</v>
      </c>
      <c r="F17" s="11" t="str">
        <f>IFERROR(__xludf.DUMMYFUNCTION("""COMPUTED_VALUE"""),"Other")</f>
        <v>Other</v>
      </c>
      <c r="G17" s="11" t="b">
        <f>IFERROR(__xludf.DUMMYFUNCTION("""COMPUTED_VALUE"""),FALSE)</f>
        <v>0</v>
      </c>
      <c r="H17" s="11" t="str">
        <f>IFERROR(__xludf.DUMMYFUNCTION("""COMPUTED_VALUE"""),"Baseplus DIGITAL MEDIA GmbH, morefire, Mediaplus Performance, MONSOON, KlickPiloten")</f>
        <v>Baseplus DIGITAL MEDIA GmbH, morefire, Mediaplus Performance, MONSOON, KlickPiloten</v>
      </c>
      <c r="I17" s="11">
        <f>IFERROR(__xludf.DUMMYFUNCTION("""COMPUTED_VALUE"""),7.0)</f>
        <v>7</v>
      </c>
      <c r="J17" s="11">
        <f>IFERROR(__xludf.DUMMYFUNCTION("""COMPUTED_VALUE"""),0.01)</f>
        <v>0.01</v>
      </c>
      <c r="K17" s="11">
        <f>IFERROR(__xludf.DUMMYFUNCTION("""COMPUTED_VALUE"""),1.71)</f>
        <v>1.71</v>
      </c>
    </row>
    <row r="18" ht="15.75" customHeight="1">
      <c r="A18" s="8" t="str">
        <f>IFERROR(__xludf.DUMMYFUNCTION("""COMPUTED_VALUE"""),"https://agencies.semrush.com/list/seo/germany/")</f>
        <v>https://agencies.semrush.com/list/seo/germany/</v>
      </c>
      <c r="B18" s="11" t="str">
        <f>IFERROR(__xludf.DUMMYFUNCTION("""COMPUTED_VALUE"""),"Best SEO Companies in Germany 2026 | Semrush")</f>
        <v>Best SEO Companies in Germany 2026 | Semrush</v>
      </c>
      <c r="C18" s="8" t="str">
        <f>IFERROR(__xludf.DUMMYFUNCTION("""COMPUTED_VALUE"""),"semrush.com")</f>
        <v>semrush.com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18" s="11">
        <f>IFERROR(__xludf.DUMMYFUNCTION("""COMPUTED_VALUE"""),7.0)</f>
        <v>7</v>
      </c>
      <c r="J18" s="11">
        <f>IFERROR(__xludf.DUMMYFUNCTION("""COMPUTED_VALUE"""),0.01)</f>
        <v>0.01</v>
      </c>
      <c r="K18" s="11">
        <f>IFERROR(__xludf.DUMMYFUNCTION("""COMPUTED_VALUE"""),0.14)</f>
        <v>0.14</v>
      </c>
    </row>
    <row r="19" ht="15.75" customHeight="1">
      <c r="A19" s="8" t="str">
        <f>IFERROR(__xludf.DUMMYFUNCTION("""COMPUTED_VALUE"""),"https://agencies.semrush.com/list/ai-optimization/germany/enterprise-business/")</f>
        <v>https://agencies.semrush.com/list/ai-optimization/germany/enterprise-business/</v>
      </c>
      <c r="B19" s="11" t="str">
        <f>IFERROR(__xludf.DUMMYFUNCTION("""COMPUTED_VALUE"""),"Best AI Search Optimization Agencies for Enterprise Business in Germany 2026 | Semrush")</f>
        <v>Best AI Search Optimization Agencies for Enterprise Business in Germany 2026 | Semrush</v>
      </c>
      <c r="C19" s="8" t="str">
        <f>IFERROR(__xludf.DUMMYFUNCTION("""COMPUTED_VALUE"""),"semrush.com")</f>
        <v>semrush.com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t="str">
        <f>IFERROR(__xludf.DUMMYFUNCTION("""COMPUTED_VALUE"""),"HECHT INS GEFECHT, morefire, Mediaplus Performance")</f>
        <v>HECHT INS GEFECHT, morefire, Mediaplus Performance</v>
      </c>
      <c r="I19" s="11">
        <f>IFERROR(__xludf.DUMMYFUNCTION("""COMPUTED_VALUE"""),6.0)</f>
        <v>6</v>
      </c>
      <c r="J19" s="11">
        <f>IFERROR(__xludf.DUMMYFUNCTION("""COMPUTED_VALUE"""),0.01)</f>
        <v>0.01</v>
      </c>
      <c r="K19" s="11">
        <f>IFERROR(__xludf.DUMMYFUNCTION("""COMPUTED_VALUE"""),0.17)</f>
        <v>0.17</v>
      </c>
    </row>
    <row r="20" ht="15.75" customHeight="1">
      <c r="A20" s="8" t="str">
        <f>IFERROR(__xludf.DUMMYFUNCTION("""COMPUTED_VALUE"""),"https://agencies.semrush.com/list/information-technology/germany/")</f>
        <v>https://agencies.semrush.com/list/information-technology/germany/</v>
      </c>
      <c r="B20" s="11" t="str">
        <f>IFERROR(__xludf.DUMMYFUNCTION("""COMPUTED_VALUE"""),"Best IT Digital Marketing Agencies in Germany 2026 | Semrush")</f>
        <v>Best IT Digital Marketing Agencies in Germany 2026 | Semrush</v>
      </c>
      <c r="C20" s="8" t="str">
        <f>IFERROR(__xludf.DUMMYFUNCTION("""COMPUTED_VALUE"""),"semrush.com")</f>
        <v>semrush.com</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c r="I20" s="11">
        <f>IFERROR(__xludf.DUMMYFUNCTION("""COMPUTED_VALUE"""),5.0)</f>
        <v>5</v>
      </c>
      <c r="J20" s="11">
        <f>IFERROR(__xludf.DUMMYFUNCTION("""COMPUTED_VALUE"""),0.01)</f>
        <v>0.01</v>
      </c>
      <c r="K20" s="11">
        <f>IFERROR(__xludf.DUMMYFUNCTION("""COMPUTED_VALUE"""),1.0)</f>
        <v>1</v>
      </c>
    </row>
    <row r="21" ht="15.75" customHeight="1">
      <c r="A21" s="8" t="str">
        <f>IFERROR(__xludf.DUMMYFUNCTION("""COMPUTED_VALUE"""),"https://agencies.semrush.com/list/programmatic-advertising/germany/")</f>
        <v>https://agencies.semrush.com/list/programmatic-advertising/germany/</v>
      </c>
      <c r="B21" s="11" t="str">
        <f>IFERROR(__xludf.DUMMYFUNCTION("""COMPUTED_VALUE"""),"Best Programmatic Advertising Agencies in Germany 2026 | Semrush")</f>
        <v>Best Programmatic Advertising Agencies in Germany 2026 | Semrush</v>
      </c>
      <c r="C21" s="8" t="str">
        <f>IFERROR(__xludf.DUMMYFUNCTION("""COMPUTED_VALUE"""),"semrush.com")</f>
        <v>semrush.com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IFERROR(__xludf.DUMMYFUNCTION("""COMPUTED_VALUE"""),"morefire, Mediaplus Performance, KlickPiloten")</f>
        <v>morefire, Mediaplus Performance, KlickPiloten</v>
      </c>
      <c r="I21" s="11">
        <f>IFERROR(__xludf.DUMMYFUNCTION("""COMPUTED_VALUE"""),5.0)</f>
        <v>5</v>
      </c>
      <c r="J21" s="11">
        <f>IFERROR(__xludf.DUMMYFUNCTION("""COMPUTED_VALUE"""),0.01)</f>
        <v>0.01</v>
      </c>
      <c r="K21" s="11">
        <f>IFERROR(__xludf.DUMMYFUNCTION("""COMPUTED_VALUE"""),0.8)</f>
        <v>0.8</v>
      </c>
    </row>
    <row r="22" ht="15.75" customHeight="1">
      <c r="A22" s="8" t="str">
        <f>IFERROR(__xludf.DUMMYFUNCTION("""COMPUTED_VALUE"""),"https://agencies.semrush.com/list/analytics-data-science/business-professional-services/germany/")</f>
        <v>https://agencies.semrush.com/list/analytics-data-science/business-professional-services/germany/</v>
      </c>
      <c r="B22" s="11" t="str">
        <f>IFERROR(__xludf.DUMMYFUNCTION("""COMPUTED_VALUE"""),"Best B2B Services Data Analytics Services in Germany 2026 | Semrush")</f>
        <v>Best B2B Services Data Analytics Services in Germany 2026 | Semrush</v>
      </c>
      <c r="C22" s="8" t="str">
        <f>IFERROR(__xludf.DUMMYFUNCTION("""COMPUTED_VALUE"""),"semrush.com")</f>
        <v>semrush.com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IFERROR(__xludf.DUMMYFUNCTION("""COMPUTED_VALUE"""),"HECHT INS GEFECHT, Baseplus DIGITAL MEDIA GmbH, morefire, Mediaplus Performance")</f>
        <v>HECHT INS GEFECHT, Baseplus DIGITAL MEDIA GmbH, morefire, Mediaplus Performance</v>
      </c>
      <c r="I22" s="11">
        <f>IFERROR(__xludf.DUMMYFUNCTION("""COMPUTED_VALUE"""),4.0)</f>
        <v>4</v>
      </c>
      <c r="J22" s="11">
        <f>IFERROR(__xludf.DUMMYFUNCTION("""COMPUTED_VALUE"""),0.0)</f>
        <v>0</v>
      </c>
      <c r="K22" s="11">
        <f>IFERROR(__xludf.DUMMYFUNCTION("""COMPUTED_VALUE"""),0.0)</f>
        <v>0</v>
      </c>
    </row>
    <row r="23" ht="15.75" customHeight="1">
      <c r="A23" s="8" t="str">
        <f>IFERROR(__xludf.DUMMYFUNCTION("""COMPUTED_VALUE"""),"https://agencies.semrush.com/list/analytics-data-science/germany/small-business/")</f>
        <v>https://agencies.semrush.com/list/analytics-data-science/germany/small-business/</v>
      </c>
      <c r="B23" s="11" t="str">
        <f>IFERROR(__xludf.DUMMYFUNCTION("""COMPUTED_VALUE"""),"Best Data Analytics Services for Small Business in Germany 2026 | Semrush")</f>
        <v>Best Data Analytics Services for Small Business in Germany 2026 | Semrush</v>
      </c>
      <c r="C23" s="8" t="str">
        <f>IFERROR(__xludf.DUMMYFUNCTION("""COMPUTED_VALUE"""),"semrush.com")</f>
        <v>semrush.com</v>
      </c>
      <c r="D23" s="11" t="str">
        <f>IFERROR(__xludf.DUMMYFUNCTION("""COMPUTED_VALUE"""),"OTHER")</f>
        <v>OTHER</v>
      </c>
      <c r="E23" s="11" t="str">
        <f>IFERROR(__xludf.DUMMYFUNCTION("""COMPUTED_VALUE"""),"CORPORATE")</f>
        <v>CORPORATE</v>
      </c>
      <c r="F23" s="11" t="str">
        <f>IFERROR(__xludf.DUMMYFUNCTION("""COMPUTED_VALUE"""),"Other")</f>
        <v>Other</v>
      </c>
      <c r="G23" s="11" t="b">
        <f>IFERROR(__xludf.DUMMYFUNCTION("""COMPUTED_VALUE"""),FALSE)</f>
        <v>0</v>
      </c>
      <c r="H23" s="11" t="str">
        <f>IFERROR(__xludf.DUMMYFUNCTION("""COMPUTED_VALUE"""),"HECHT INS GEFECHT, Baseplus DIGITAL MEDIA GmbH, Mediaplus Performance, KlickPiloten")</f>
        <v>HECHT INS GEFECHT, Baseplus DIGITAL MEDIA GmbH, Mediaplus Performance, KlickPiloten</v>
      </c>
      <c r="I23" s="11">
        <f>IFERROR(__xludf.DUMMYFUNCTION("""COMPUTED_VALUE"""),4.0)</f>
        <v>4</v>
      </c>
      <c r="J23" s="11">
        <f>IFERROR(__xludf.DUMMYFUNCTION("""COMPUTED_VALUE"""),0.0)</f>
        <v>0</v>
      </c>
      <c r="K23" s="11">
        <f>IFERROR(__xludf.DUMMYFUNCTION("""COMPUTED_VALUE"""),0.0)</f>
        <v>0</v>
      </c>
    </row>
    <row r="24" ht="15.75" customHeight="1">
      <c r="A24" s="8" t="str">
        <f>IFERROR(__xludf.DUMMYFUNCTION("""COMPUTED_VALUE"""),"https://agencies.semrush.com/list/ppc/germany/")</f>
        <v>https://agencies.semrush.com/list/ppc/germany/</v>
      </c>
      <c r="B24" s="11" t="str">
        <f>IFERROR(__xludf.DUMMYFUNCTION("""COMPUTED_VALUE"""),"Best PPC Agencies in Germany 2026 | Semrush")</f>
        <v>Best PPC Agencies in Germany 2026 | Semrush</v>
      </c>
      <c r="C24" s="8" t="str">
        <f>IFERROR(__xludf.DUMMYFUNCTION("""COMPUTED_VALUE"""),"semrush.com")</f>
        <v>semrush.com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IFERROR(__xludf.DUMMYFUNCTION("""COMPUTED_VALUE"""),"morefire, Mediaplus Performance, MONSOON, Mediacharge, KlickPiloten")</f>
        <v>morefire, Mediaplus Performance, MONSOON, Mediacharge, KlickPiloten</v>
      </c>
      <c r="I24" s="11">
        <f>IFERROR(__xludf.DUMMYFUNCTION("""COMPUTED_VALUE"""),4.0)</f>
        <v>4</v>
      </c>
      <c r="J24" s="11">
        <f>IFERROR(__xludf.DUMMYFUNCTION("""COMPUTED_VALUE"""),0.0)</f>
        <v>0</v>
      </c>
      <c r="K24" s="11">
        <f>IFERROR(__xludf.DUMMYFUNCTION("""COMPUTED_VALUE"""),0.75)</f>
        <v>0.75</v>
      </c>
    </row>
    <row r="25" ht="15.75" customHeight="1">
      <c r="A25" s="8" t="str">
        <f>IFERROR(__xludf.DUMMYFUNCTION("""COMPUTED_VALUE"""),"https://agencies.semrush.com/de/list/display-advertising/ecommerce/germany/")</f>
        <v>https://agencies.semrush.com/de/list/display-advertising/ecommerce/germany/</v>
      </c>
      <c r="B25" s="11" t="str">
        <f>IFERROR(__xludf.DUMMYFUNCTION("""COMPUTED_VALUE"""),"Beste Display-Werbung-Agenturen für E-Commerce , Germany 2026 | Semrush")</f>
        <v>Beste Display-Werbung-Agenturen für E-Commerce , Germany 2026 | Semrush</v>
      </c>
      <c r="C25" s="8" t="str">
        <f>IFERROR(__xludf.DUMMYFUNCTION("""COMPUTED_VALUE"""),"semrush.com")</f>
        <v>semrush.com</v>
      </c>
      <c r="D25" s="11" t="str">
        <f>IFERROR(__xludf.DUMMYFUNCTION("""COMPUTED_VALUE"""),"OTHER")</f>
        <v>OTHER</v>
      </c>
      <c r="E25" s="11" t="str">
        <f>IFERROR(__xludf.DUMMYFUNCTION("""COMPUTED_VALUE"""),"CORPORATE")</f>
        <v>CORPORATE</v>
      </c>
      <c r="F25" s="11" t="str">
        <f>IFERROR(__xludf.DUMMYFUNCTION("""COMPUTED_VALUE"""),"Other")</f>
        <v>Other</v>
      </c>
      <c r="G25" s="11" t="b">
        <f>IFERROR(__xludf.DUMMYFUNCTION("""COMPUTED_VALUE"""),FALSE)</f>
        <v>0</v>
      </c>
      <c r="H25" s="11" t="str">
        <f>IFERROR(__xludf.DUMMYFUNCTION("""COMPUTED_VALUE"""),"Baseplus DIGITAL MEDIA GmbH, morefire, Mediaplus Performance, MONSOON")</f>
        <v>Baseplus DIGITAL MEDIA GmbH, morefire, Mediaplus Performance, MONSOON</v>
      </c>
      <c r="I25" s="11">
        <f>IFERROR(__xludf.DUMMYFUNCTION("""COMPUTED_VALUE"""),3.0)</f>
        <v>3</v>
      </c>
      <c r="J25" s="11">
        <f>IFERROR(__xludf.DUMMYFUNCTION("""COMPUTED_VALUE"""),0.0)</f>
        <v>0</v>
      </c>
      <c r="K25" s="11">
        <f>IFERROR(__xludf.DUMMYFUNCTION("""COMPUTED_VALUE"""),0.0)</f>
        <v>0</v>
      </c>
    </row>
    <row r="26" ht="15.75" customHeight="1">
      <c r="A26" s="8" t="str">
        <f>IFERROR(__xludf.DUMMYFUNCTION("""COMPUTED_VALUE"""),"https://agencies.semrush.com/list/ai-optimization/hamburg/")</f>
        <v>https://agencies.semrush.com/list/ai-optimization/hamburg/</v>
      </c>
      <c r="B26" s="11" t="str">
        <f>IFERROR(__xludf.DUMMYFUNCTION("""COMPUTED_VALUE"""),"Best AI Search Optimization Agencies in Hamburg 2026 | Semrush")</f>
        <v>Best AI Search Optimization Agencies in Hamburg 2026 | Semrush</v>
      </c>
      <c r="C26" s="8" t="str">
        <f>IFERROR(__xludf.DUMMYFUNCTION("""COMPUTED_VALUE"""),"semrush.com")</f>
        <v>semrush.com</v>
      </c>
      <c r="D26" s="11" t="str">
        <f>IFERROR(__xludf.DUMMYFUNCTION("""COMPUTED_VALUE"""),"PROFILE")</f>
        <v>PROFILE</v>
      </c>
      <c r="E26" s="11" t="str">
        <f>IFERROR(__xludf.DUMMYFUNCTION("""COMPUTED_VALUE"""),"CORPORATE")</f>
        <v>CORPORATE</v>
      </c>
      <c r="F26" s="11" t="str">
        <f>IFERROR(__xludf.DUMMYFUNCTION("""COMPUTED_VALUE"""),"Profile")</f>
        <v>Profile</v>
      </c>
      <c r="G26" s="11" t="b">
        <f>IFERROR(__xludf.DUMMYFUNCTION("""COMPUTED_VALUE"""),FALSE)</f>
        <v>0</v>
      </c>
      <c r="H26" s="11" t="str">
        <f>IFERROR(__xludf.DUMMYFUNCTION("""COMPUTED_VALUE"""),"HECHT INS GEFECHT, morefire, Mediaplus Performance")</f>
        <v>HECHT INS GEFECHT, morefire, Mediaplus Performance</v>
      </c>
      <c r="I26" s="11">
        <f>IFERROR(__xludf.DUMMYFUNCTION("""COMPUTED_VALUE"""),3.0)</f>
        <v>3</v>
      </c>
      <c r="J26" s="11">
        <f>IFERROR(__xludf.DUMMYFUNCTION("""COMPUTED_VALUE"""),0.0)</f>
        <v>0</v>
      </c>
      <c r="K26" s="11">
        <f>IFERROR(__xludf.DUMMYFUNCTION("""COMPUTED_VALUE"""),1.0)</f>
        <v>1</v>
      </c>
    </row>
    <row r="27" ht="15.75" customHeight="1">
      <c r="A27" s="8" t="str">
        <f>IFERROR(__xludf.DUMMYFUNCTION("""COMPUTED_VALUE"""),"https://agencies.semrush.com/list/content-marketing/business-professional-services/germany/")</f>
        <v>https://agencies.semrush.com/list/content-marketing/business-professional-services/germany/</v>
      </c>
      <c r="B27" s="11" t="str">
        <f>IFERROR(__xludf.DUMMYFUNCTION("""COMPUTED_VALUE"""),"Best B2B Services Content Marketing Agencies in Germany 2026 | Semrush")</f>
        <v>Best B2B Services Content Marketing Agencies in Germany 2026 | Semrush</v>
      </c>
      <c r="C27" s="8" t="str">
        <f>IFERROR(__xludf.DUMMYFUNCTION("""COMPUTED_VALUE"""),"semrush.com")</f>
        <v>semrush.com</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IFERROR(__xludf.DUMMYFUNCTION("""COMPUTED_VALUE"""),"HECHT INS GEFECHT, Baseplus DIGITAL MEDIA GmbH, Mediaplus Performance")</f>
        <v>HECHT INS GEFECHT, Baseplus DIGITAL MEDIA GmbH, Mediaplus Performance</v>
      </c>
      <c r="I27" s="11">
        <f>IFERROR(__xludf.DUMMYFUNCTION("""COMPUTED_VALUE"""),3.0)</f>
        <v>3</v>
      </c>
      <c r="J27" s="11">
        <f>IFERROR(__xludf.DUMMYFUNCTION("""COMPUTED_VALUE"""),0.0)</f>
        <v>0</v>
      </c>
      <c r="K27" s="11">
        <f>IFERROR(__xludf.DUMMYFUNCTION("""COMPUTED_VALUE"""),0.33)</f>
        <v>0.33</v>
      </c>
    </row>
    <row r="28" ht="15.75" customHeight="1">
      <c r="A28" s="8" t="str">
        <f>IFERROR(__xludf.DUMMYFUNCTION("""COMPUTED_VALUE"""),"https://agencies.semrush.com/list/display-advertising/arts-entertainment/germany/")</f>
        <v>https://agencies.semrush.com/list/display-advertising/arts-entertainment/germany/</v>
      </c>
      <c r="B28" s="11" t="str">
        <f>IFERROR(__xludf.DUMMYFUNCTION("""COMPUTED_VALUE"""),"Best Media &amp;amp; Entertainment Display Ads Agencies in Germany 2026 | Semrush")</f>
        <v>Best Media &amp;amp; Entertainment Display Ads Agencies in Germany 2026 | Semrush</v>
      </c>
      <c r="C28" s="8" t="str">
        <f>IFERROR(__xludf.DUMMYFUNCTION("""COMPUTED_VALUE"""),"semrush.com")</f>
        <v>semrush.com</v>
      </c>
      <c r="D28" s="11" t="str">
        <f>IFERROR(__xludf.DUMMYFUNCTION("""COMPUTED_VALUE"""),"CATEGORY_PAGE")</f>
        <v>CATEGORY_PAGE</v>
      </c>
      <c r="E28" s="11" t="str">
        <f>IFERROR(__xludf.DUMMYFUNCTION("""COMPUTED_VALUE"""),"CORPORATE")</f>
        <v>CORPORATE</v>
      </c>
      <c r="F28" s="11" t="str">
        <f>IFERROR(__xludf.DUMMYFUNCTION("""COMPUTED_VALUE"""),"Category Page")</f>
        <v>Category Page</v>
      </c>
      <c r="G28" s="11" t="b">
        <f>IFERROR(__xludf.DUMMYFUNCTION("""COMPUTED_VALUE"""),FALSE)</f>
        <v>0</v>
      </c>
      <c r="H28" s="11" t="str">
        <f>IFERROR(__xludf.DUMMYFUNCTION("""COMPUTED_VALUE"""),"KlickPiloten")</f>
        <v>KlickPiloten</v>
      </c>
      <c r="I28" s="11">
        <f>IFERROR(__xludf.DUMMYFUNCTION("""COMPUTED_VALUE"""),3.0)</f>
        <v>3</v>
      </c>
      <c r="J28" s="11">
        <f>IFERROR(__xludf.DUMMYFUNCTION("""COMPUTED_VALUE"""),0.0)</f>
        <v>0</v>
      </c>
      <c r="K28" s="11">
        <f>IFERROR(__xludf.DUMMYFUNCTION("""COMPUTED_VALUE"""),0.0)</f>
        <v>0</v>
      </c>
    </row>
    <row r="29" ht="15.75" customHeight="1">
      <c r="A29" s="8" t="str">
        <f>IFERROR(__xludf.DUMMYFUNCTION("""COMPUTED_VALUE"""),"https://agencies.semrush.com/list/display-advertising/ecommerce/germany/mid-business/")</f>
        <v>https://agencies.semrush.com/list/display-advertising/ecommerce/germany/mid-business/</v>
      </c>
      <c r="B29" s="11" t="str">
        <f>IFERROR(__xludf.DUMMYFUNCTION("""COMPUTED_VALUE"""),"Best Ecommerce Display Ads Agencies for Mid Business in Germany 2026 | Semrush")</f>
        <v>Best Ecommerce Display Ads Agencies for Mid Business in Germany 2026 | Semrush</v>
      </c>
      <c r="C29" s="8" t="str">
        <f>IFERROR(__xludf.DUMMYFUNCTION("""COMPUTED_VALUE"""),"semrush.com")</f>
        <v>semrush.com</v>
      </c>
      <c r="D29" s="11" t="str">
        <f>IFERROR(__xludf.DUMMYFUNCTION("""COMPUTED_VALUE"""),"OTHER")</f>
        <v>OTHER</v>
      </c>
      <c r="E29" s="11" t="str">
        <f>IFERROR(__xludf.DUMMYFUNCTION("""COMPUTED_VALUE"""),"CORPORATE")</f>
        <v>CORPORATE</v>
      </c>
      <c r="F29" s="11" t="str">
        <f>IFERROR(__xludf.DUMMYFUNCTION("""COMPUTED_VALUE"""),"Other")</f>
        <v>Other</v>
      </c>
      <c r="G29" s="11" t="b">
        <f>IFERROR(__xludf.DUMMYFUNCTION("""COMPUTED_VALUE"""),FALSE)</f>
        <v>0</v>
      </c>
      <c r="H29" s="11" t="str">
        <f>IFERROR(__xludf.DUMMYFUNCTION("""COMPUTED_VALUE"""),"Baseplus DIGITAL MEDIA GmbH, morefire, Mediaplus Performance, MONSOON")</f>
        <v>Baseplus DIGITAL MEDIA GmbH, morefire, Mediaplus Performance, MONSOON</v>
      </c>
      <c r="I29" s="11">
        <f>IFERROR(__xludf.DUMMYFUNCTION("""COMPUTED_VALUE"""),3.0)</f>
        <v>3</v>
      </c>
      <c r="J29" s="11">
        <f>IFERROR(__xludf.DUMMYFUNCTION("""COMPUTED_VALUE"""),0.0)</f>
        <v>0</v>
      </c>
      <c r="K29" s="11">
        <f>IFERROR(__xludf.DUMMYFUNCTION("""COMPUTED_VALUE"""),1.0)</f>
        <v>1</v>
      </c>
    </row>
    <row r="30" ht="15.75" customHeight="1">
      <c r="A30" s="8" t="str">
        <f>IFERROR(__xludf.DUMMYFUNCTION("""COMPUTED_VALUE"""),"https://agencies.semrush.com/list/display-advertising/germany/enterprise-business/")</f>
        <v>https://agencies.semrush.com/list/display-advertising/germany/enterprise-business/</v>
      </c>
      <c r="B30" s="11" t="str">
        <f>IFERROR(__xludf.DUMMYFUNCTION("""COMPUTED_VALUE"""),"Best Display Ads Agencies for Enterprise Business in Germany 2026 | Semrush")</f>
        <v>Best Display Ads Agencies for Enterprise Business in Germany 2026 | Semrush</v>
      </c>
      <c r="C30" s="8" t="str">
        <f>IFERROR(__xludf.DUMMYFUNCTION("""COMPUTED_VALUE"""),"semrush.com")</f>
        <v>semrush.com</v>
      </c>
      <c r="D30" s="11" t="str">
        <f>IFERROR(__xludf.DUMMYFUNCTION("""COMPUTED_VALUE"""),"OTHER")</f>
        <v>OTHER</v>
      </c>
      <c r="E30" s="11" t="str">
        <f>IFERROR(__xludf.DUMMYFUNCTION("""COMPUTED_VALUE"""),"CORPORATE")</f>
        <v>CORPORATE</v>
      </c>
      <c r="F30" s="11" t="str">
        <f>IFERROR(__xludf.DUMMYFUNCTION("""COMPUTED_VALUE"""),"Other")</f>
        <v>Other</v>
      </c>
      <c r="G30" s="11" t="b">
        <f>IFERROR(__xludf.DUMMYFUNCTION("""COMPUTED_VALUE"""),FALSE)</f>
        <v>0</v>
      </c>
      <c r="H30" s="11" t="str">
        <f>IFERROR(__xludf.DUMMYFUNCTION("""COMPUTED_VALUE"""),"Baseplus DIGITAL MEDIA GmbH, morefire, Mediaplus Performance, MONSOON, KlickPiloten")</f>
        <v>Baseplus DIGITAL MEDIA GmbH, morefire, Mediaplus Performance, MONSOON, KlickPiloten</v>
      </c>
      <c r="I30" s="11">
        <f>IFERROR(__xludf.DUMMYFUNCTION("""COMPUTED_VALUE"""),3.0)</f>
        <v>3</v>
      </c>
      <c r="J30" s="11">
        <f>IFERROR(__xludf.DUMMYFUNCTION("""COMPUTED_VALUE"""),0.0)</f>
        <v>0</v>
      </c>
      <c r="K30" s="11">
        <f>IFERROR(__xludf.DUMMYFUNCTION("""COMPUTED_VALUE"""),0.0)</f>
        <v>0</v>
      </c>
    </row>
    <row r="31" ht="15.75" customHeight="1">
      <c r="A31" s="8" t="str">
        <f>IFERROR(__xludf.DUMMYFUNCTION("""COMPUTED_VALUE"""),"https://agencies.semrush.com/list/llm-optimization/germany/")</f>
        <v>https://agencies.semrush.com/list/llm-optimization/germany/</v>
      </c>
      <c r="B31" s="11" t="str">
        <f>IFERROR(__xludf.DUMMYFUNCTION("""COMPUTED_VALUE"""),"Best LLM optimization Agencies in Germany 2026 | Semrush")</f>
        <v>Best LLM optimization Agencies in Germany 2026 | Semrush</v>
      </c>
      <c r="C31" s="8" t="str">
        <f>IFERROR(__xludf.DUMMYFUNCTION("""COMPUTED_VALUE"""),"semrush.com")</f>
        <v>semrush.com</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IFERROR(__xludf.DUMMYFUNCTION("""COMPUTED_VALUE"""),"HECHT INS GEFECHT, morefire, Mediaplus Performance")</f>
        <v>HECHT INS GEFECHT, morefire, Mediaplus Performance</v>
      </c>
      <c r="I31" s="11">
        <f>IFERROR(__xludf.DUMMYFUNCTION("""COMPUTED_VALUE"""),3.0)</f>
        <v>3</v>
      </c>
      <c r="J31" s="11">
        <f>IFERROR(__xludf.DUMMYFUNCTION("""COMPUTED_VALUE"""),0.0)</f>
        <v>0</v>
      </c>
      <c r="K31" s="11">
        <f>IFERROR(__xludf.DUMMYFUNCTION("""COMPUTED_VALUE"""),1.0)</f>
        <v>1</v>
      </c>
    </row>
    <row r="32" ht="15.75" customHeight="1">
      <c r="A32" s="8" t="str">
        <f>IFERROR(__xludf.DUMMYFUNCTION("""COMPUTED_VALUE"""),"https://www.semrush.com/agencies/list/display-advertising/germany/")</f>
        <v>https://www.semrush.com/agencies/list/display-advertising/germany/</v>
      </c>
      <c r="B32" s="11" t="str">
        <f>IFERROR(__xludf.DUMMYFUNCTION("""COMPUTED_VALUE"""),"Best Display Ads Agencies in Germany 2026 \| Semrush")</f>
        <v>Best Display Ads Agencies in Germany 2026 \| Semrush</v>
      </c>
      <c r="C32" s="8" t="str">
        <f>IFERROR(__xludf.DUMMYFUNCTION("""COMPUTED_VALUE"""),"semrush.com")</f>
        <v>semrush.com</v>
      </c>
      <c r="D32" s="11" t="str">
        <f>IFERROR(__xludf.DUMMYFUNCTION("""COMPUTED_VALUE"""),"PROFILE")</f>
        <v>PROFILE</v>
      </c>
      <c r="E32" s="11" t="str">
        <f>IFERROR(__xludf.DUMMYFUNCTION("""COMPUTED_VALUE"""),"CORPORATE")</f>
        <v>CORPORATE</v>
      </c>
      <c r="F32" s="11" t="str">
        <f>IFERROR(__xludf.DUMMYFUNCTION("""COMPUTED_VALUE"""),"Profile")</f>
        <v>Profile</v>
      </c>
      <c r="G32" s="11" t="b">
        <f>IFERROR(__xludf.DUMMYFUNCTION("""COMPUTED_VALUE"""),FALSE)</f>
        <v>0</v>
      </c>
      <c r="H32" s="11" t="str">
        <f>IFERROR(__xludf.DUMMYFUNCTION("""COMPUTED_VALUE"""),"Baseplus DIGITAL MEDIA GmbH, morefire, Mediaplus Performance, MONSOON, KlickPiloten")</f>
        <v>Baseplus DIGITAL MEDIA GmbH, morefire, Mediaplus Performance, MONSOON, KlickPiloten</v>
      </c>
      <c r="I32" s="11">
        <f>IFERROR(__xludf.DUMMYFUNCTION("""COMPUTED_VALUE"""),3.0)</f>
        <v>3</v>
      </c>
      <c r="J32" s="11">
        <f>IFERROR(__xludf.DUMMYFUNCTION("""COMPUTED_VALUE"""),0.0)</f>
        <v>0</v>
      </c>
      <c r="K32" s="11">
        <f>IFERROR(__xludf.DUMMYFUNCTION("""COMPUTED_VALUE"""),0.0)</f>
        <v>0</v>
      </c>
    </row>
    <row r="33" ht="15.75" customHeight="1">
      <c r="A33" s="8" t="str">
        <f>IFERROR(__xludf.DUMMYFUNCTION("""COMPUTED_VALUE"""),"https://agencies.semrush.com/list/analytics-data-science/germany/enterprise-business/")</f>
        <v>https://agencies.semrush.com/list/analytics-data-science/germany/enterprise-business/</v>
      </c>
      <c r="B33" s="11" t="str">
        <f>IFERROR(__xludf.DUMMYFUNCTION("""COMPUTED_VALUE"""),"Best Data Analytics Services for Enterprise Business in Germany 2026 | Semrush")</f>
        <v>Best Data Analytics Services for Enterprise Business in Germany 2026 | Semrush</v>
      </c>
      <c r="C33" s="8" t="str">
        <f>IFERROR(__xludf.DUMMYFUNCTION("""COMPUTED_VALUE"""),"semrush.com")</f>
        <v>semrush.com</v>
      </c>
      <c r="D33" s="11" t="str">
        <f>IFERROR(__xludf.DUMMYFUNCTION("""COMPUTED_VALUE"""),"CATEGORY_PAGE")</f>
        <v>CATEGORY_PAGE</v>
      </c>
      <c r="E33" s="11" t="str">
        <f>IFERROR(__xludf.DUMMYFUNCTION("""COMPUTED_VALUE"""),"CORPORATE")</f>
        <v>CORPORATE</v>
      </c>
      <c r="F33" s="11" t="str">
        <f>IFERROR(__xludf.DUMMYFUNCTION("""COMPUTED_VALUE"""),"Category Page")</f>
        <v>Category Page</v>
      </c>
      <c r="G33" s="11" t="b">
        <f>IFERROR(__xludf.DUMMYFUNCTION("""COMPUTED_VALUE"""),FALSE)</f>
        <v>0</v>
      </c>
      <c r="H33" s="11" t="str">
        <f>IFERROR(__xludf.DUMMYFUNCTION("""COMPUTED_VALUE"""),"HECHT INS GEFECHT, Baseplus DIGITAL MEDIA GmbH, morefire, Mediaplus Performance, KlickPiloten")</f>
        <v>HECHT INS GEFECHT, Baseplus DIGITAL MEDIA GmbH, morefire, Mediaplus Performance, KlickPiloten</v>
      </c>
      <c r="I33" s="11">
        <f>IFERROR(__xludf.DUMMYFUNCTION("""COMPUTED_VALUE"""),2.0)</f>
        <v>2</v>
      </c>
      <c r="J33" s="11">
        <f>IFERROR(__xludf.DUMMYFUNCTION("""COMPUTED_VALUE"""),0.0)</f>
        <v>0</v>
      </c>
      <c r="K33" s="11">
        <f>IFERROR(__xludf.DUMMYFUNCTION("""COMPUTED_VALUE"""),0.0)</f>
        <v>0</v>
      </c>
    </row>
    <row r="34" ht="15.75" customHeight="1">
      <c r="A34" s="8" t="str">
        <f>IFERROR(__xludf.DUMMYFUNCTION("""COMPUTED_VALUE"""),"https://agencies.semrush.com/list/analytics-data-science/germany/mid-business/")</f>
        <v>https://agencies.semrush.com/list/analytics-data-science/germany/mid-business/</v>
      </c>
      <c r="B34" s="11" t="str">
        <f>IFERROR(__xludf.DUMMYFUNCTION("""COMPUTED_VALUE"""),"Best Data Analytics Services for Mid Business in Germany 2026 | Semrush")</f>
        <v>Best Data Analytics Services for Mid Business in Germany 2026 | Semrush</v>
      </c>
      <c r="C34" s="8" t="str">
        <f>IFERROR(__xludf.DUMMYFUNCTION("""COMPUTED_VALUE"""),"semrush.com")</f>
        <v>semrush.com</v>
      </c>
      <c r="D34" s="11" t="str">
        <f>IFERROR(__xludf.DUMMYFUNCTION("""COMPUTED_VALUE"""),"OTHER")</f>
        <v>OTHER</v>
      </c>
      <c r="E34" s="11" t="str">
        <f>IFERROR(__xludf.DUMMYFUNCTION("""COMPUTED_VALUE"""),"CORPORATE")</f>
        <v>CORPORATE</v>
      </c>
      <c r="F34" s="11" t="str">
        <f>IFERROR(__xludf.DUMMYFUNCTION("""COMPUTED_VALUE"""),"Other")</f>
        <v>Other</v>
      </c>
      <c r="G34" s="11" t="b">
        <f>IFERROR(__xludf.DUMMYFUNCTION("""COMPUTED_VALUE"""),FALSE)</f>
        <v>0</v>
      </c>
      <c r="H34" s="11" t="str">
        <f>IFERROR(__xludf.DUMMYFUNCTION("""COMPUTED_VALUE"""),"HECHT INS GEFECHT, Baseplus DIGITAL MEDIA GmbH, morefire, Mediaplus Performance, KlickPiloten")</f>
        <v>HECHT INS GEFECHT, Baseplus DIGITAL MEDIA GmbH, morefire, Mediaplus Performance, KlickPiloten</v>
      </c>
      <c r="I34" s="11">
        <f>IFERROR(__xludf.DUMMYFUNCTION("""COMPUTED_VALUE"""),2.0)</f>
        <v>2</v>
      </c>
      <c r="J34" s="11">
        <f>IFERROR(__xludf.DUMMYFUNCTION("""COMPUTED_VALUE"""),0.0)</f>
        <v>0</v>
      </c>
      <c r="K34" s="11">
        <f>IFERROR(__xludf.DUMMYFUNCTION("""COMPUTED_VALUE"""),0.0)</f>
        <v>0</v>
      </c>
    </row>
    <row r="35" ht="15.75" customHeight="1">
      <c r="A35" s="8" t="str">
        <f>IFERROR(__xludf.DUMMYFUNCTION("""COMPUTED_VALUE"""),"https://agencies.semrush.com/list/data-visualization/germany/#:~:text=morefire,Healthcare%20%26%20Hospital%2C%20Ecommerce%20%2B3")</f>
        <v>https://agencies.semrush.com/list/data-visualization/germany/#:~:text=morefire,Healthcare%20%26%20Hospital%2C%20Ecommerce%20%2B3</v>
      </c>
      <c r="B35" s="11" t="str">
        <f>IFERROR(__xludf.DUMMYFUNCTION("""COMPUTED_VALUE"""),"Best Data Visualization Services in Germany 2026 | Semrush")</f>
        <v>Best Data Visualization Services in Germany 2026 | Semrush</v>
      </c>
      <c r="C35" s="8" t="str">
        <f>IFERROR(__xludf.DUMMYFUNCTION("""COMPUTED_VALUE"""),"semrush.com")</f>
        <v>semrush.com</v>
      </c>
      <c r="D35" s="11" t="str">
        <f>IFERROR(__xludf.DUMMYFUNCTION("""COMPUTED_VALUE"""),"OTHER")</f>
        <v>OTHER</v>
      </c>
      <c r="E35" s="11" t="str">
        <f>IFERROR(__xludf.DUMMYFUNCTION("""COMPUTED_VALUE"""),"CORPORATE")</f>
        <v>CORPORATE</v>
      </c>
      <c r="F35" s="11" t="str">
        <f>IFERROR(__xludf.DUMMYFUNCTION("""COMPUTED_VALUE"""),"Other")</f>
        <v>Other</v>
      </c>
      <c r="G35" s="11" t="b">
        <f>IFERROR(__xludf.DUMMYFUNCTION("""COMPUTED_VALUE"""),FALSE)</f>
        <v>0</v>
      </c>
      <c r="H35" s="11" t="str">
        <f>IFERROR(__xludf.DUMMYFUNCTION("""COMPUTED_VALUE"""),"morefire, Mediaplus Performance, KlickPiloten")</f>
        <v>morefire, Mediaplus Performance, KlickPiloten</v>
      </c>
      <c r="I35" s="11">
        <f>IFERROR(__xludf.DUMMYFUNCTION("""COMPUTED_VALUE"""),2.0)</f>
        <v>2</v>
      </c>
      <c r="J35" s="11">
        <f>IFERROR(__xludf.DUMMYFUNCTION("""COMPUTED_VALUE"""),0.0)</f>
        <v>0</v>
      </c>
      <c r="K35" s="11">
        <f>IFERROR(__xludf.DUMMYFUNCTION("""COMPUTED_VALUE"""),1.5)</f>
        <v>1.5</v>
      </c>
    </row>
    <row r="36" ht="15.75" customHeight="1">
      <c r="A36" s="8" t="str">
        <f>IFERROR(__xludf.DUMMYFUNCTION("""COMPUTED_VALUE"""),"https://agencies.semrush.com/list/display-advertising/dusseldorf/")</f>
        <v>https://agencies.semrush.com/list/display-advertising/dusseldorf/</v>
      </c>
      <c r="B36" s="11" t="str">
        <f>IFERROR(__xludf.DUMMYFUNCTION("""COMPUTED_VALUE"""),"Best Display Ads Agencies in Dusseldorf 2026 | Semrush")</f>
        <v>Best Display Ads Agencies in Dusseldorf 2026 | Semrush</v>
      </c>
      <c r="C36" s="8" t="str">
        <f>IFERROR(__xludf.DUMMYFUNCTION("""COMPUTED_VALUE"""),"semrush.com")</f>
        <v>semrush.com</v>
      </c>
      <c r="D36" s="11" t="str">
        <f>IFERROR(__xludf.DUMMYFUNCTION("""COMPUTED_VALUE"""),"OTHER")</f>
        <v>OTHER</v>
      </c>
      <c r="E36" s="11" t="str">
        <f>IFERROR(__xludf.DUMMYFUNCTION("""COMPUTED_VALUE"""),"CORPORATE")</f>
        <v>CORPORATE</v>
      </c>
      <c r="F36" s="11" t="str">
        <f>IFERROR(__xludf.DUMMYFUNCTION("""COMPUTED_VALUE"""),"Other")</f>
        <v>Other</v>
      </c>
      <c r="G36" s="11" t="b">
        <f>IFERROR(__xludf.DUMMYFUNCTION("""COMPUTED_VALUE"""),FALSE)</f>
        <v>0</v>
      </c>
      <c r="H36" s="11" t="str">
        <f>IFERROR(__xludf.DUMMYFUNCTION("""COMPUTED_VALUE"""),"Baseplus DIGITAL MEDIA GmbH, morefire, Mediaplus Performance, MONSOON, KlickPiloten")</f>
        <v>Baseplus DIGITAL MEDIA GmbH, morefire, Mediaplus Performance, MONSOON, KlickPiloten</v>
      </c>
      <c r="I36" s="11">
        <f>IFERROR(__xludf.DUMMYFUNCTION("""COMPUTED_VALUE"""),2.0)</f>
        <v>2</v>
      </c>
      <c r="J36" s="11">
        <f>IFERROR(__xludf.DUMMYFUNCTION("""COMPUTED_VALUE"""),0.0)</f>
        <v>0</v>
      </c>
      <c r="K36" s="11">
        <f>IFERROR(__xludf.DUMMYFUNCTION("""COMPUTED_VALUE"""),1.0)</f>
        <v>1</v>
      </c>
    </row>
    <row r="37" ht="15.75" customHeight="1">
      <c r="A37" s="8" t="str">
        <f>IFERROR(__xludf.DUMMYFUNCTION("""COMPUTED_VALUE"""),"https://agencies.semrush.com/list/marketing-strategy/germany/#:~:text=Mediaplus%20Performance%20GmbH%20%26%20Co%20KG,%2C%20programmatic%2C%20and%20conversion%20optimization.")</f>
        <v>https://agencies.semrush.com/list/marketing-strategy/germany/#:~:text=Mediaplus%20Performance%20GmbH%20%26%20Co%20KG,%2C%20programmatic%2C%20and%20conversion%20optimization.</v>
      </c>
      <c r="B37" s="11" t="str">
        <f>IFERROR(__xludf.DUMMYFUNCTION("""COMPUTED_VALUE"""),"Best Marketing Advice Companies in Germany 2026 | Semrush")</f>
        <v>Best Marketing Advice Companies in Germany 2026 | Semrush</v>
      </c>
      <c r="C37" s="8" t="str">
        <f>IFERROR(__xludf.DUMMYFUNCTION("""COMPUTED_VALUE"""),"semrush.com")</f>
        <v>semrush.com</v>
      </c>
      <c r="D37" s="11" t="str">
        <f>IFERROR(__xludf.DUMMYFUNCTION("""COMPUTED_VALUE"""),"OTHER")</f>
        <v>OTHER</v>
      </c>
      <c r="E37" s="11" t="str">
        <f>IFERROR(__xludf.DUMMYFUNCTION("""COMPUTED_VALUE"""),"CORPORATE")</f>
        <v>CORPORATE</v>
      </c>
      <c r="F37" s="11" t="str">
        <f>IFERROR(__xludf.DUMMYFUNCTION("""COMPUTED_VALUE"""),"Other")</f>
        <v>Other</v>
      </c>
      <c r="G37" s="11" t="b">
        <f>IFERROR(__xludf.DUMMYFUNCTION("""COMPUTED_VALUE"""),FALSE)</f>
        <v>0</v>
      </c>
      <c r="H37" s="11" t="str">
        <f>IFERROR(__xludf.DUMMYFUNCTION("""COMPUTED_VALUE"""),"HECHT INS GEFECHT, Baseplus DIGITAL MEDIA GmbH, morefire, Mediaplus Performance, Mediacharge, KlickPiloten")</f>
        <v>HECHT INS GEFECHT, Baseplus DIGITAL MEDIA GmbH, morefire, Mediaplus Performance, Mediacharge, KlickPiloten</v>
      </c>
      <c r="I37" s="11">
        <f>IFERROR(__xludf.DUMMYFUNCTION("""COMPUTED_VALUE"""),2.0)</f>
        <v>2</v>
      </c>
      <c r="J37" s="11">
        <f>IFERROR(__xludf.DUMMYFUNCTION("""COMPUTED_VALUE"""),0.0)</f>
        <v>0</v>
      </c>
      <c r="K37" s="11">
        <f>IFERROR(__xludf.DUMMYFUNCTION("""COMPUTED_VALUE"""),1.0)</f>
        <v>1</v>
      </c>
    </row>
    <row r="38" ht="15.75" customHeight="1">
      <c r="A38" s="8" t="str">
        <f>IFERROR(__xludf.DUMMYFUNCTION("""COMPUTED_VALUE"""),"https://agencies.semrush.com/baseplus-digital-media-gmbh/")</f>
        <v>https://agencies.semrush.com/baseplus-digital-media-gmbh/</v>
      </c>
      <c r="B38" s="11" t="str">
        <f>IFERROR(__xludf.DUMMYFUNCTION("""COMPUTED_VALUE"""),"baseplus® | Semrush Agency Partner")</f>
        <v>baseplus® | Semrush Agency Partner</v>
      </c>
      <c r="C38" s="8" t="str">
        <f>IFERROR(__xludf.DUMMYFUNCTION("""COMPUTED_VALUE"""),"semrush.com")</f>
        <v>semrush.com</v>
      </c>
      <c r="D38" s="11" t="str">
        <f>IFERROR(__xludf.DUMMYFUNCTION("""COMPUTED_VALUE"""),"PROFILE")</f>
        <v>PROFILE</v>
      </c>
      <c r="E38" s="11" t="str">
        <f>IFERROR(__xludf.DUMMYFUNCTION("""COMPUTED_VALUE"""),"CORPORATE")</f>
        <v>CORPORATE</v>
      </c>
      <c r="F38" s="11" t="str">
        <f>IFERROR(__xludf.DUMMYFUNCTION("""COMPUTED_VALUE"""),"Profile")</f>
        <v>Profile</v>
      </c>
      <c r="G38" s="11" t="b">
        <f>IFERROR(__xludf.DUMMYFUNCTION("""COMPUTED_VALUE"""),FALSE)</f>
        <v>0</v>
      </c>
      <c r="H38" s="11" t="str">
        <f>IFERROR(__xludf.DUMMYFUNCTION("""COMPUTED_VALUE"""),"Baseplus DIGITAL MEDIA GmbH")</f>
        <v>Baseplus DIGITAL MEDIA GmbH</v>
      </c>
      <c r="I38" s="11">
        <f>IFERROR(__xludf.DUMMYFUNCTION("""COMPUTED_VALUE"""),1.0)</f>
        <v>1</v>
      </c>
      <c r="J38" s="11">
        <f>IFERROR(__xludf.DUMMYFUNCTION("""COMPUTED_VALUE"""),0.0)</f>
        <v>0</v>
      </c>
      <c r="K38" s="11">
        <f>IFERROR(__xludf.DUMMYFUNCTION("""COMPUTED_VALUE"""),0.0)</f>
        <v>0</v>
      </c>
    </row>
    <row r="39" ht="15.75" customHeight="1">
      <c r="A39" s="8" t="str">
        <f>IFERROR(__xludf.DUMMYFUNCTION("""COMPUTED_VALUE"""),"https://agencies.semrush.com/de/hecht-ins-gefecht/")</f>
        <v>https://agencies.semrush.com/de/hecht-ins-gefecht/</v>
      </c>
      <c r="B39" s="11" t="str">
        <f>IFERROR(__xludf.DUMMYFUNCTION("""COMPUTED_VALUE"""),"HECHT INS GEFECHT | Semrush-Agenturpartner")</f>
        <v>HECHT INS GEFECHT | Semrush-Agenturpartner</v>
      </c>
      <c r="C39" s="8" t="str">
        <f>IFERROR(__xludf.DUMMYFUNCTION("""COMPUTED_VALUE"""),"semrush.com")</f>
        <v>semrush.com</v>
      </c>
      <c r="D39" s="11" t="str">
        <f>IFERROR(__xludf.DUMMYFUNCTION("""COMPUTED_VALUE"""),"PROFILE")</f>
        <v>PROFILE</v>
      </c>
      <c r="E39" s="11" t="str">
        <f>IFERROR(__xludf.DUMMYFUNCTION("""COMPUTED_VALUE"""),"CORPORATE")</f>
        <v>CORPORATE</v>
      </c>
      <c r="F39" s="11" t="str">
        <f>IFERROR(__xludf.DUMMYFUNCTION("""COMPUTED_VALUE"""),"Profile")</f>
        <v>Profile</v>
      </c>
      <c r="G39" s="11" t="b">
        <f>IFERROR(__xludf.DUMMYFUNCTION("""COMPUTED_VALUE"""),FALSE)</f>
        <v>0</v>
      </c>
      <c r="H39" s="11" t="str">
        <f>IFERROR(__xludf.DUMMYFUNCTION("""COMPUTED_VALUE"""),"HECHT INS GEFECHT")</f>
        <v>HECHT INS GEFECHT</v>
      </c>
      <c r="I39" s="11">
        <f>IFERROR(__xludf.DUMMYFUNCTION("""COMPUTED_VALUE"""),1.0)</f>
        <v>1</v>
      </c>
      <c r="J39" s="11">
        <f>IFERROR(__xludf.DUMMYFUNCTION("""COMPUTED_VALUE"""),0.0)</f>
        <v>0</v>
      </c>
      <c r="K39" s="11">
        <f>IFERROR(__xludf.DUMMYFUNCTION("""COMPUTED_VALUE"""),0.0)</f>
        <v>0</v>
      </c>
    </row>
    <row r="40" ht="15.75" customHeight="1">
      <c r="A40" s="8" t="str">
        <f>IFERROR(__xludf.DUMMYFUNCTION("""COMPUTED_VALUE"""),"https://agencies.semrush.com/de/list/ai-optimization/germany/")</f>
        <v>https://agencies.semrush.com/de/list/ai-optimization/germany/</v>
      </c>
      <c r="B40" s="11" t="str">
        <f>IFERROR(__xludf.DUMMYFUNCTION("""COMPUTED_VALUE"""),"Beste Optimierung für die KI-Suche-Agenturen für , Germany 2026 | Semrush")</f>
        <v>Beste Optimierung für die KI-Suche-Agenturen für , Germany 2026 | Semrush</v>
      </c>
      <c r="C40" s="8" t="str">
        <f>IFERROR(__xludf.DUMMYFUNCTION("""COMPUTED_VALUE"""),"semrush.com")</f>
        <v>semrush.com</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IFERROR(__xludf.DUMMYFUNCTION("""COMPUTED_VALUE"""),"HECHT INS GEFECHT, morefire, Mediaplus Performance")</f>
        <v>HECHT INS GEFECHT, morefire, Mediaplus Performance</v>
      </c>
      <c r="I40" s="11">
        <f>IFERROR(__xludf.DUMMYFUNCTION("""COMPUTED_VALUE"""),1.0)</f>
        <v>1</v>
      </c>
      <c r="J40" s="11">
        <f>IFERROR(__xludf.DUMMYFUNCTION("""COMPUTED_VALUE"""),0.0)</f>
        <v>0</v>
      </c>
      <c r="K40" s="11">
        <f>IFERROR(__xludf.DUMMYFUNCTION("""COMPUTED_VALUE"""),0.0)</f>
        <v>0</v>
      </c>
    </row>
    <row r="41" ht="15.75" customHeight="1">
      <c r="A41" s="8" t="str">
        <f>IFERROR(__xludf.DUMMYFUNCTION("""COMPUTED_VALUE"""),"https://agencies.semrush.com/list/ai-optimization/wuppertal/")</f>
        <v>https://agencies.semrush.com/list/ai-optimization/wuppertal/</v>
      </c>
      <c r="B41" s="11" t="str">
        <f>IFERROR(__xludf.DUMMYFUNCTION("""COMPUTED_VALUE"""),"Best AI Search Optimization Agencies in Wuppertal 2026 | Semrush")</f>
        <v>Best AI Search Optimization Agencies in Wuppertal 2026 | Semrush</v>
      </c>
      <c r="C41" s="8" t="str">
        <f>IFERROR(__xludf.DUMMYFUNCTION("""COMPUTED_VALUE"""),"semrush.com")</f>
        <v>semrush.com</v>
      </c>
      <c r="D41" s="11" t="str">
        <f>IFERROR(__xludf.DUMMYFUNCTION("""COMPUTED_VALUE"""),"OTHER")</f>
        <v>OTHER</v>
      </c>
      <c r="E41" s="11" t="str">
        <f>IFERROR(__xludf.DUMMYFUNCTION("""COMPUTED_VALUE"""),"CORPORATE")</f>
        <v>CORPORATE</v>
      </c>
      <c r="F41" s="11" t="str">
        <f>IFERROR(__xludf.DUMMYFUNCTION("""COMPUTED_VALUE"""),"Other")</f>
        <v>Other</v>
      </c>
      <c r="G41" s="11" t="b">
        <f>IFERROR(__xludf.DUMMYFUNCTION("""COMPUTED_VALUE"""),FALSE)</f>
        <v>0</v>
      </c>
      <c r="H41" s="11" t="str">
        <f>IFERROR(__xludf.DUMMYFUNCTION("""COMPUTED_VALUE"""),"HECHT INS GEFECHT, morefire, Mediaplus Performance")</f>
        <v>HECHT INS GEFECHT, morefire, Mediaplus Performance</v>
      </c>
      <c r="I41" s="11">
        <f>IFERROR(__xludf.DUMMYFUNCTION("""COMPUTED_VALUE"""),1.0)</f>
        <v>1</v>
      </c>
      <c r="J41" s="11">
        <f>IFERROR(__xludf.DUMMYFUNCTION("""COMPUTED_VALUE"""),0.0)</f>
        <v>0</v>
      </c>
      <c r="K41" s="11">
        <f>IFERROR(__xludf.DUMMYFUNCTION("""COMPUTED_VALUE"""),1.0)</f>
        <v>1</v>
      </c>
    </row>
    <row r="42" ht="15.75" customHeight="1">
      <c r="A42" s="8" t="str">
        <f>IFERROR(__xludf.DUMMYFUNCTION("""COMPUTED_VALUE"""),"https://agencies.semrush.com/list/analytics-data-science/business-professional-services/germany/enterprise-business/")</f>
        <v>https://agencies.semrush.com/list/analytics-data-science/business-professional-services/germany/enterprise-business/</v>
      </c>
      <c r="B42" s="11" t="str">
        <f>IFERROR(__xludf.DUMMYFUNCTION("""COMPUTED_VALUE"""),"Best B2B Services Data Analytics Services for Enterprise Business in Germany 2026 | Semrush")</f>
        <v>Best B2B Services Data Analytics Services for Enterprise Business in Germany 2026 | Semrush</v>
      </c>
      <c r="C42" s="8" t="str">
        <f>IFERROR(__xludf.DUMMYFUNCTION("""COMPUTED_VALUE"""),"semrush.com")</f>
        <v>semrush.com</v>
      </c>
      <c r="D42" s="11" t="str">
        <f>IFERROR(__xludf.DUMMYFUNCTION("""COMPUTED_VALUE"""),"OTHER")</f>
        <v>OTHER</v>
      </c>
      <c r="E42" s="11" t="str">
        <f>IFERROR(__xludf.DUMMYFUNCTION("""COMPUTED_VALUE"""),"CORPORATE")</f>
        <v>CORPORATE</v>
      </c>
      <c r="F42" s="11" t="str">
        <f>IFERROR(__xludf.DUMMYFUNCTION("""COMPUTED_VALUE"""),"Other")</f>
        <v>Other</v>
      </c>
      <c r="G42" s="11" t="b">
        <f>IFERROR(__xludf.DUMMYFUNCTION("""COMPUTED_VALUE"""),FALSE)</f>
        <v>0</v>
      </c>
      <c r="H42" s="11" t="str">
        <f>IFERROR(__xludf.DUMMYFUNCTION("""COMPUTED_VALUE"""),"HECHT INS GEFECHT, Baseplus DIGITAL MEDIA GmbH, morefire, Mediaplus Performance")</f>
        <v>HECHT INS GEFECHT, Baseplus DIGITAL MEDIA GmbH, morefire, Mediaplus Performance</v>
      </c>
      <c r="I42" s="11">
        <f>IFERROR(__xludf.DUMMYFUNCTION("""COMPUTED_VALUE"""),1.0)</f>
        <v>1</v>
      </c>
      <c r="J42" s="11">
        <f>IFERROR(__xludf.DUMMYFUNCTION("""COMPUTED_VALUE"""),0.0)</f>
        <v>0</v>
      </c>
      <c r="K42" s="11">
        <f>IFERROR(__xludf.DUMMYFUNCTION("""COMPUTED_VALUE"""),0.0)</f>
        <v>0</v>
      </c>
    </row>
    <row r="43" ht="15.75" customHeight="1">
      <c r="A43" s="8" t="str">
        <f>IFERROR(__xludf.DUMMYFUNCTION("""COMPUTED_VALUE"""),"https://agencies.semrush.com/list/analytics-data-science/ecommerce/germany/")</f>
        <v>https://agencies.semrush.com/list/analytics-data-science/ecommerce/germany/</v>
      </c>
      <c r="B43" s="11" t="str">
        <f>IFERROR(__xludf.DUMMYFUNCTION("""COMPUTED_VALUE"""),"Best Ecommerce Data Analytics Services in Germany 2026 | Semrush")</f>
        <v>Best Ecommerce Data Analytics Services in Germany 2026 | Semrush</v>
      </c>
      <c r="C43" s="8" t="str">
        <f>IFERROR(__xludf.DUMMYFUNCTION("""COMPUTED_VALUE"""),"semrush.com")</f>
        <v>semrush.com</v>
      </c>
      <c r="D43" s="11" t="str">
        <f>IFERROR(__xludf.DUMMYFUNCTION("""COMPUTED_VALUE"""),"OTHER")</f>
        <v>OTHER</v>
      </c>
      <c r="E43" s="11" t="str">
        <f>IFERROR(__xludf.DUMMYFUNCTION("""COMPUTED_VALUE"""),"CORPORATE")</f>
        <v>CORPORATE</v>
      </c>
      <c r="F43" s="11" t="str">
        <f>IFERROR(__xludf.DUMMYFUNCTION("""COMPUTED_VALUE"""),"Other")</f>
        <v>Other</v>
      </c>
      <c r="G43" s="11" t="b">
        <f>IFERROR(__xludf.DUMMYFUNCTION("""COMPUTED_VALUE"""),FALSE)</f>
        <v>0</v>
      </c>
      <c r="H43" s="11" t="str">
        <f>IFERROR(__xludf.DUMMYFUNCTION("""COMPUTED_VALUE"""),"HECHT INS GEFECHT, Baseplus DIGITAL MEDIA GmbH, morefire, Mediaplus Performance")</f>
        <v>HECHT INS GEFECHT, Baseplus DIGITAL MEDIA GmbH, morefire, Mediaplus Performance</v>
      </c>
      <c r="I43" s="11">
        <f>IFERROR(__xludf.DUMMYFUNCTION("""COMPUTED_VALUE"""),1.0)</f>
        <v>1</v>
      </c>
      <c r="J43" s="11">
        <f>IFERROR(__xludf.DUMMYFUNCTION("""COMPUTED_VALUE"""),0.0)</f>
        <v>0</v>
      </c>
      <c r="K43" s="11">
        <f>IFERROR(__xludf.DUMMYFUNCTION("""COMPUTED_VALUE"""),1.0)</f>
        <v>1</v>
      </c>
    </row>
    <row r="44" ht="15.75" customHeight="1">
      <c r="A44" s="8" t="str">
        <f>IFERROR(__xludf.DUMMYFUNCTION("""COMPUTED_VALUE"""),"https://agencies.semrush.com/list/business-professional-services/germany/")</f>
        <v>https://agencies.semrush.com/list/business-professional-services/germany/</v>
      </c>
      <c r="B44" s="11" t="str">
        <f>IFERROR(__xludf.DUMMYFUNCTION("""COMPUTED_VALUE"""),"Best B2B Services Digital Marketing Agencies in Germany 2026 | Semrush")</f>
        <v>Best B2B Services Digital Marketing Agencies in Germany 2026 | Semrush</v>
      </c>
      <c r="C44" s="8" t="str">
        <f>IFERROR(__xludf.DUMMYFUNCTION("""COMPUTED_VALUE"""),"semrush.com")</f>
        <v>semrush.com</v>
      </c>
      <c r="D44" s="11" t="str">
        <f>IFERROR(__xludf.DUMMYFUNCTION("""COMPUTED_VALUE"""),"CATEGORY_PAGE")</f>
        <v>CATEGORY_PAGE</v>
      </c>
      <c r="E44" s="11" t="str">
        <f>IFERROR(__xludf.DUMMYFUNCTION("""COMPUTED_VALUE"""),"CORPORATE")</f>
        <v>CORPORATE</v>
      </c>
      <c r="F44" s="11" t="str">
        <f>IFERROR(__xludf.DUMMYFUNCTION("""COMPUTED_VALUE"""),"Category Page")</f>
        <v>Category Page</v>
      </c>
      <c r="G44" s="11" t="b">
        <f>IFERROR(__xludf.DUMMYFUNCTION("""COMPUTED_VALUE"""),FALSE)</f>
        <v>0</v>
      </c>
      <c r="H44" s="11" t="str">
        <f>IFERROR(__xludf.DUMMYFUNCTION("""COMPUTED_VALUE"""),"HECHT INS GEFECHT, Baseplus DIGITAL MEDIA GmbH, morefire, Mediaplus Performance, Mediacharge")</f>
        <v>HECHT INS GEFECHT, Baseplus DIGITAL MEDIA GmbH, morefire, Mediaplus Performance, Mediacharge</v>
      </c>
      <c r="I44" s="11">
        <f>IFERROR(__xludf.DUMMYFUNCTION("""COMPUTED_VALUE"""),1.0)</f>
        <v>1</v>
      </c>
      <c r="J44" s="11">
        <f>IFERROR(__xludf.DUMMYFUNCTION("""COMPUTED_VALUE"""),0.0)</f>
        <v>0</v>
      </c>
      <c r="K44" s="11">
        <f>IFERROR(__xludf.DUMMYFUNCTION("""COMPUTED_VALUE"""),0.0)</f>
        <v>0</v>
      </c>
    </row>
    <row r="45" ht="15.75" customHeight="1">
      <c r="A45" s="8" t="str">
        <f>IFERROR(__xludf.DUMMYFUNCTION("""COMPUTED_VALUE"""),"https://agencies.semrush.com/list/display-advertising/north-rhine-westphalia/")</f>
        <v>https://agencies.semrush.com/list/display-advertising/north-rhine-westphalia/</v>
      </c>
      <c r="B45" s="11" t="str">
        <f>IFERROR(__xludf.DUMMYFUNCTION("""COMPUTED_VALUE"""),"Best Display Ads Agencies in North Rhine-Westphalia 2026 | Semrush")</f>
        <v>Best Display Ads Agencies in North Rhine-Westphalia 2026 | Semrush</v>
      </c>
      <c r="C45" s="8" t="str">
        <f>IFERROR(__xludf.DUMMYFUNCTION("""COMPUTED_VALUE"""),"semrush.com")</f>
        <v>semrush.com</v>
      </c>
      <c r="D45" s="11" t="str">
        <f>IFERROR(__xludf.DUMMYFUNCTION("""COMPUTED_VALUE"""),"OTHER")</f>
        <v>OTHER</v>
      </c>
      <c r="E45" s="11" t="str">
        <f>IFERROR(__xludf.DUMMYFUNCTION("""COMPUTED_VALUE"""),"CORPORATE")</f>
        <v>CORPORATE</v>
      </c>
      <c r="F45" s="11" t="str">
        <f>IFERROR(__xludf.DUMMYFUNCTION("""COMPUTED_VALUE"""),"Other")</f>
        <v>Other</v>
      </c>
      <c r="G45" s="11" t="b">
        <f>IFERROR(__xludf.DUMMYFUNCTION("""COMPUTED_VALUE"""),FALSE)</f>
        <v>0</v>
      </c>
      <c r="H45" s="11" t="str">
        <f>IFERROR(__xludf.DUMMYFUNCTION("""COMPUTED_VALUE"""),"Baseplus DIGITAL MEDIA GmbH, morefire, Mediaplus Performance, MONSOON, KlickPiloten")</f>
        <v>Baseplus DIGITAL MEDIA GmbH, morefire, Mediaplus Performance, MONSOON, KlickPiloten</v>
      </c>
      <c r="I45" s="11">
        <f>IFERROR(__xludf.DUMMYFUNCTION("""COMPUTED_VALUE"""),1.0)</f>
        <v>1</v>
      </c>
      <c r="J45" s="11">
        <f>IFERROR(__xludf.DUMMYFUNCTION("""COMPUTED_VALUE"""),0.0)</f>
        <v>0</v>
      </c>
      <c r="K45" s="11">
        <f>IFERROR(__xludf.DUMMYFUNCTION("""COMPUTED_VALUE"""),0.0)</f>
        <v>0</v>
      </c>
    </row>
    <row r="46" ht="15.75" customHeight="1">
      <c r="A46" s="8" t="str">
        <f>IFERROR(__xludf.DUMMYFUNCTION("""COMPUTED_VALUE"""),"https://agencies.semrush.com/list/facebook-advertising/germany/")</f>
        <v>https://agencies.semrush.com/list/facebook-advertising/germany/</v>
      </c>
      <c r="B46" s="11" t="str">
        <f>IFERROR(__xludf.DUMMYFUNCTION("""COMPUTED_VALUE"""),"Best Facebook Advertising Agencies in Germany 2026 | Semrush")</f>
        <v>Best Facebook Advertising Agencies in Germany 2026 | Semrush</v>
      </c>
      <c r="C46" s="8" t="str">
        <f>IFERROR(__xludf.DUMMYFUNCTION("""COMPUTED_VALUE"""),"semrush.com")</f>
        <v>semrush.com</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t="str">
        <f>IFERROR(__xludf.DUMMYFUNCTION("""COMPUTED_VALUE"""),"Baseplus DIGITAL MEDIA GmbH, Mediaplus Performance, MONSOON")</f>
        <v>Baseplus DIGITAL MEDIA GmbH, Mediaplus Performance, MONSOON</v>
      </c>
      <c r="I46" s="11">
        <f>IFERROR(__xludf.DUMMYFUNCTION("""COMPUTED_VALUE"""),1.0)</f>
        <v>1</v>
      </c>
      <c r="J46" s="11">
        <f>IFERROR(__xludf.DUMMYFUNCTION("""COMPUTED_VALUE"""),0.0)</f>
        <v>0</v>
      </c>
      <c r="K46" s="11">
        <f>IFERROR(__xludf.DUMMYFUNCTION("""COMPUTED_VALUE"""),0.0)</f>
        <v>0</v>
      </c>
    </row>
    <row r="47" ht="15.75" customHeight="1">
      <c r="A47" s="8" t="str">
        <f>IFERROR(__xludf.DUMMYFUNCTION("""COMPUTED_VALUE"""),"https://agencies.semrush.com/list/llm-optimization/germany/mid-business/")</f>
        <v>https://agencies.semrush.com/list/llm-optimization/germany/mid-business/</v>
      </c>
      <c r="B47" s="11" t="str">
        <f>IFERROR(__xludf.DUMMYFUNCTION("""COMPUTED_VALUE"""),"Best LLM optimization Agencies for Mid Business in Germany 2026 | Semrush")</f>
        <v>Best LLM optimization Agencies for Mid Business in Germany 2026 | Semrush</v>
      </c>
      <c r="C47" s="8" t="str">
        <f>IFERROR(__xludf.DUMMYFUNCTION("""COMPUTED_VALUE"""),"semrush.com")</f>
        <v>semrush.com</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IFERROR(__xludf.DUMMYFUNCTION("""COMPUTED_VALUE"""),"HECHT INS GEFECHT, morefire, Mediaplus Performance")</f>
        <v>HECHT INS GEFECHT, morefire, Mediaplus Performance</v>
      </c>
      <c r="I47" s="11">
        <f>IFERROR(__xludf.DUMMYFUNCTION("""COMPUTED_VALUE"""),1.0)</f>
        <v>1</v>
      </c>
      <c r="J47" s="11">
        <f>IFERROR(__xludf.DUMMYFUNCTION("""COMPUTED_VALUE"""),0.0)</f>
        <v>0</v>
      </c>
      <c r="K47" s="11">
        <f>IFERROR(__xludf.DUMMYFUNCTION("""COMPUTED_VALUE"""),1.0)</f>
        <v>1</v>
      </c>
    </row>
    <row r="48" ht="15.75" customHeight="1">
      <c r="A48" s="8" t="str">
        <f>IFERROR(__xludf.DUMMYFUNCTION("""COMPUTED_VALUE"""),"https://agencies.semrush.com/list/los-angeles/")</f>
        <v>https://agencies.semrush.com/list/los-angeles/</v>
      </c>
      <c r="B48" s="11" t="str">
        <f>IFERROR(__xludf.DUMMYFUNCTION("""COMPUTED_VALUE"""),"Best Digital Marketing Agencies in Los Angeles 2026 | Semrush")</f>
        <v>Best Digital Marketing Agencies in Los Angeles 2026 | Semrush</v>
      </c>
      <c r="C48" s="8" t="str">
        <f>IFERROR(__xludf.DUMMYFUNCTION("""COMPUTED_VALUE"""),"semrush.com")</f>
        <v>semrush.com</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c r="I48" s="11">
        <f>IFERROR(__xludf.DUMMYFUNCTION("""COMPUTED_VALUE"""),1.0)</f>
        <v>1</v>
      </c>
      <c r="J48" s="11">
        <f>IFERROR(__xludf.DUMMYFUNCTION("""COMPUTED_VALUE"""),0.0)</f>
        <v>0</v>
      </c>
      <c r="K48" s="11">
        <f>IFERROR(__xludf.DUMMYFUNCTION("""COMPUTED_VALUE"""),0.0)</f>
        <v>0</v>
      </c>
    </row>
    <row r="49" ht="15.75" customHeight="1">
      <c r="A49" s="8" t="str">
        <f>IFERROR(__xludf.DUMMYFUNCTION("""COMPUTED_VALUE"""),"https://agencies.semrush.com/list/machine-learning-and-ai/germany/enterprise-business/")</f>
        <v>https://agencies.semrush.com/list/machine-learning-and-ai/germany/enterprise-business/</v>
      </c>
      <c r="B49" s="11" t="str">
        <f>IFERROR(__xludf.DUMMYFUNCTION("""COMPUTED_VALUE"""),"Best Machine Learning and AI Services for Enterprise Business in Germany 2026 | Semrush")</f>
        <v>Best Machine Learning and AI Services for Enterprise Business in Germany 2026 | Semrush</v>
      </c>
      <c r="C49" s="8" t="str">
        <f>IFERROR(__xludf.DUMMYFUNCTION("""COMPUTED_VALUE"""),"semrush.com")</f>
        <v>semrush.com</v>
      </c>
      <c r="D49" s="11" t="str">
        <f>IFERROR(__xludf.DUMMYFUNCTION("""COMPUTED_VALUE"""),"OTHER")</f>
        <v>OTHER</v>
      </c>
      <c r="E49" s="11" t="str">
        <f>IFERROR(__xludf.DUMMYFUNCTION("""COMPUTED_VALUE"""),"CORPORATE")</f>
        <v>CORPORATE</v>
      </c>
      <c r="F49" s="11" t="str">
        <f>IFERROR(__xludf.DUMMYFUNCTION("""COMPUTED_VALUE"""),"Other")</f>
        <v>Other</v>
      </c>
      <c r="G49" s="11" t="b">
        <f>IFERROR(__xludf.DUMMYFUNCTION("""COMPUTED_VALUE"""),FALSE)</f>
        <v>0</v>
      </c>
      <c r="H49" s="11" t="str">
        <f>IFERROR(__xludf.DUMMYFUNCTION("""COMPUTED_VALUE"""),"HECHT INS GEFECHT, Baseplus DIGITAL MEDIA GmbH, morefire, Mediaplus Performance")</f>
        <v>HECHT INS GEFECHT, Baseplus DIGITAL MEDIA GmbH, morefire, Mediaplus Performance</v>
      </c>
      <c r="I49" s="11">
        <f>IFERROR(__xludf.DUMMYFUNCTION("""COMPUTED_VALUE"""),1.0)</f>
        <v>1</v>
      </c>
      <c r="J49" s="11">
        <f>IFERROR(__xludf.DUMMYFUNCTION("""COMPUTED_VALUE"""),0.0)</f>
        <v>0</v>
      </c>
      <c r="K49" s="11">
        <f>IFERROR(__xludf.DUMMYFUNCTION("""COMPUTED_VALUE"""),0.0)</f>
        <v>0</v>
      </c>
    </row>
    <row r="50" ht="15.75" customHeight="1">
      <c r="A50" s="8" t="str">
        <f>IFERROR(__xludf.DUMMYFUNCTION("""COMPUTED_VALUE"""),"https://agencies.semrush.com/list/machine-learning-and-ai/germany/mid-business/")</f>
        <v>https://agencies.semrush.com/list/machine-learning-and-ai/germany/mid-business/</v>
      </c>
      <c r="B50" s="11" t="str">
        <f>IFERROR(__xludf.DUMMYFUNCTION("""COMPUTED_VALUE"""),"Best Machine Learning and AI Services for Mid Business in Germany 2026 | Semrush")</f>
        <v>Best Machine Learning and AI Services for Mid Business in Germany 2026 | Semrush</v>
      </c>
      <c r="C50" s="8" t="str">
        <f>IFERROR(__xludf.DUMMYFUNCTION("""COMPUTED_VALUE"""),"semrush.com")</f>
        <v>semrush.com</v>
      </c>
      <c r="D50" s="11" t="str">
        <f>IFERROR(__xludf.DUMMYFUNCTION("""COMPUTED_VALUE"""),"CATEGORY_PAGE")</f>
        <v>CATEGORY_PAGE</v>
      </c>
      <c r="E50" s="11" t="str">
        <f>IFERROR(__xludf.DUMMYFUNCTION("""COMPUTED_VALUE"""),"CORPORATE")</f>
        <v>CORPORATE</v>
      </c>
      <c r="F50" s="11" t="str">
        <f>IFERROR(__xludf.DUMMYFUNCTION("""COMPUTED_VALUE"""),"Category Page")</f>
        <v>Category Page</v>
      </c>
      <c r="G50" s="11" t="b">
        <f>IFERROR(__xludf.DUMMYFUNCTION("""COMPUTED_VALUE"""),FALSE)</f>
        <v>0</v>
      </c>
      <c r="H50" s="11" t="str">
        <f>IFERROR(__xludf.DUMMYFUNCTION("""COMPUTED_VALUE"""),"HECHT INS GEFECHT, Baseplus DIGITAL MEDIA GmbH, morefire, Mediaplus Performance")</f>
        <v>HECHT INS GEFECHT, Baseplus DIGITAL MEDIA GmbH, morefire, Mediaplus Performance</v>
      </c>
      <c r="I50" s="11">
        <f>IFERROR(__xludf.DUMMYFUNCTION("""COMPUTED_VALUE"""),1.0)</f>
        <v>1</v>
      </c>
      <c r="J50" s="11">
        <f>IFERROR(__xludf.DUMMYFUNCTION("""COMPUTED_VALUE"""),0.0)</f>
        <v>0</v>
      </c>
      <c r="K50" s="11">
        <f>IFERROR(__xludf.DUMMYFUNCTION("""COMPUTED_VALUE"""),0.0)</f>
        <v>0</v>
      </c>
    </row>
    <row r="51" ht="15.75" customHeight="1">
      <c r="A51" s="8" t="str">
        <f>IFERROR(__xludf.DUMMYFUNCTION("""COMPUTED_VALUE"""),"https://agencies.semrush.com/list/machine-learning-and-ai/germany/small-business/")</f>
        <v>https://agencies.semrush.com/list/machine-learning-and-ai/germany/small-business/</v>
      </c>
      <c r="B51" s="11" t="str">
        <f>IFERROR(__xludf.DUMMYFUNCTION("""COMPUTED_VALUE"""),"Best Machine Learning and AI Services for Small Business in Germany 2026 | Semrush")</f>
        <v>Best Machine Learning and AI Services for Small Business in Germany 2026 | Semrush</v>
      </c>
      <c r="C51" s="8" t="str">
        <f>IFERROR(__xludf.DUMMYFUNCTION("""COMPUTED_VALUE"""),"semrush.com")</f>
        <v>semrush.com</v>
      </c>
      <c r="D51" s="11" t="str">
        <f>IFERROR(__xludf.DUMMYFUNCTION("""COMPUTED_VALUE"""),"OTHER")</f>
        <v>OTHER</v>
      </c>
      <c r="E51" s="11" t="str">
        <f>IFERROR(__xludf.DUMMYFUNCTION("""COMPUTED_VALUE"""),"CORPORATE")</f>
        <v>CORPORATE</v>
      </c>
      <c r="F51" s="11" t="str">
        <f>IFERROR(__xludf.DUMMYFUNCTION("""COMPUTED_VALUE"""),"Other")</f>
        <v>Other</v>
      </c>
      <c r="G51" s="11" t="b">
        <f>IFERROR(__xludf.DUMMYFUNCTION("""COMPUTED_VALUE"""),FALSE)</f>
        <v>0</v>
      </c>
      <c r="H51" s="11" t="str">
        <f>IFERROR(__xludf.DUMMYFUNCTION("""COMPUTED_VALUE"""),"HECHT INS GEFECHT, Baseplus DIGITAL MEDIA GmbH, Mediaplus Performance")</f>
        <v>HECHT INS GEFECHT, Baseplus DIGITAL MEDIA GmbH, Mediaplus Performance</v>
      </c>
      <c r="I51" s="11">
        <f>IFERROR(__xludf.DUMMYFUNCTION("""COMPUTED_VALUE"""),1.0)</f>
        <v>1</v>
      </c>
      <c r="J51" s="11">
        <f>IFERROR(__xludf.DUMMYFUNCTION("""COMPUTED_VALUE"""),0.0)</f>
        <v>0</v>
      </c>
      <c r="K51" s="11">
        <f>IFERROR(__xludf.DUMMYFUNCTION("""COMPUTED_VALUE"""),0.0)</f>
        <v>0</v>
      </c>
    </row>
    <row r="52" ht="15.75" customHeight="1">
      <c r="A52" s="8" t="str">
        <f>IFERROR(__xludf.DUMMYFUNCTION("""COMPUTED_VALUE"""),"https://agencies.semrush.com/list/ppc/munich/")</f>
        <v>https://agencies.semrush.com/list/ppc/munich/</v>
      </c>
      <c r="B52" s="11" t="str">
        <f>IFERROR(__xludf.DUMMYFUNCTION("""COMPUTED_VALUE"""),"Best PPC Agencies in Munich 2026 | Semrush")</f>
        <v>Best PPC Agencies in Munich 2026 | Semrush</v>
      </c>
      <c r="C52" s="8" t="str">
        <f>IFERROR(__xludf.DUMMYFUNCTION("""COMPUTED_VALUE"""),"semrush.com")</f>
        <v>semrush.com</v>
      </c>
      <c r="D52" s="11" t="str">
        <f>IFERROR(__xludf.DUMMYFUNCTION("""COMPUTED_VALUE"""),"CATEGORY_PAGE")</f>
        <v>CATEGORY_PAGE</v>
      </c>
      <c r="E52" s="11" t="str">
        <f>IFERROR(__xludf.DUMMYFUNCTION("""COMPUTED_VALUE"""),"CORPORATE")</f>
        <v>CORPORATE</v>
      </c>
      <c r="F52" s="11" t="str">
        <f>IFERROR(__xludf.DUMMYFUNCTION("""COMPUTED_VALUE"""),"Category Page")</f>
        <v>Category Page</v>
      </c>
      <c r="G52" s="11" t="b">
        <f>IFERROR(__xludf.DUMMYFUNCTION("""COMPUTED_VALUE"""),FALSE)</f>
        <v>0</v>
      </c>
      <c r="H52" s="11" t="str">
        <f>IFERROR(__xludf.DUMMYFUNCTION("""COMPUTED_VALUE"""),"Mediaplus Performance, Mediacharge, morefire, MONSOON, KlickPiloten")</f>
        <v>Mediaplus Performance, Mediacharge, morefire, MONSOON, KlickPiloten</v>
      </c>
      <c r="I52" s="11">
        <f>IFERROR(__xludf.DUMMYFUNCTION("""COMPUTED_VALUE"""),1.0)</f>
        <v>1</v>
      </c>
      <c r="J52" s="11">
        <f>IFERROR(__xludf.DUMMYFUNCTION("""COMPUTED_VALUE"""),0.0)</f>
        <v>0</v>
      </c>
      <c r="K52" s="11">
        <f>IFERROR(__xludf.DUMMYFUNCTION("""COMPUTED_VALUE"""),1.0)</f>
        <v>1</v>
      </c>
    </row>
    <row r="53" ht="15.75" customHeight="1">
      <c r="A53" s="8" t="str">
        <f>IFERROR(__xludf.DUMMYFUNCTION("""COMPUTED_VALUE"""),"https://agencies.semrush.com/list/programmatic-advertising/germany/mid-business/")</f>
        <v>https://agencies.semrush.com/list/programmatic-advertising/germany/mid-business/</v>
      </c>
      <c r="B53" s="11" t="str">
        <f>IFERROR(__xludf.DUMMYFUNCTION("""COMPUTED_VALUE"""),"Best Programmatic Advertising Agencies for Mid Business in Germany 2026 | Semrush")</f>
        <v>Best Programmatic Advertising Agencies for Mid Business in Germany 2026 | Semrush</v>
      </c>
      <c r="C53" s="8" t="str">
        <f>IFERROR(__xludf.DUMMYFUNCTION("""COMPUTED_VALUE"""),"semrush.com")</f>
        <v>semrush.com</v>
      </c>
      <c r="D53" s="11" t="str">
        <f>IFERROR(__xludf.DUMMYFUNCTION("""COMPUTED_VALUE"""),"OTHER")</f>
        <v>OTHER</v>
      </c>
      <c r="E53" s="11" t="str">
        <f>IFERROR(__xludf.DUMMYFUNCTION("""COMPUTED_VALUE"""),"CORPORATE")</f>
        <v>CORPORATE</v>
      </c>
      <c r="F53" s="11" t="str">
        <f>IFERROR(__xludf.DUMMYFUNCTION("""COMPUTED_VALUE"""),"Other")</f>
        <v>Other</v>
      </c>
      <c r="G53" s="11" t="b">
        <f>IFERROR(__xludf.DUMMYFUNCTION("""COMPUTED_VALUE"""),FALSE)</f>
        <v>0</v>
      </c>
      <c r="H53" s="11" t="str">
        <f>IFERROR(__xludf.DUMMYFUNCTION("""COMPUTED_VALUE"""),"morefire, Mediaplus Performance, KlickPiloten")</f>
        <v>morefire, Mediaplus Performance, KlickPiloten</v>
      </c>
      <c r="I53" s="11">
        <f>IFERROR(__xludf.DUMMYFUNCTION("""COMPUTED_VALUE"""),1.0)</f>
        <v>1</v>
      </c>
      <c r="J53" s="11">
        <f>IFERROR(__xludf.DUMMYFUNCTION("""COMPUTED_VALUE"""),0.0)</f>
        <v>0</v>
      </c>
      <c r="K53" s="11">
        <f>IFERROR(__xludf.DUMMYFUNCTION("""COMPUTED_VALUE"""),1.0)</f>
        <v>1</v>
      </c>
    </row>
    <row r="54" ht="15.75" customHeight="1">
      <c r="A54" s="8" t="str">
        <f>IFERROR(__xludf.DUMMYFUNCTION("""COMPUTED_VALUE"""),"https://pndigital.co.uk/semrush-agency-partner/")</f>
        <v>https://pndigital.co.uk/semrush-agency-partner/</v>
      </c>
      <c r="B54" s="11" t="str">
        <f>IFERROR(__xludf.DUMMYFUNCTION("""COMPUTED_VALUE"""),"SEMrush Agency Partner London")</f>
        <v>SEMrush Agency Partner London</v>
      </c>
      <c r="C54" s="8" t="str">
        <f>IFERROR(__xludf.DUMMYFUNCTION("""COMPUTED_VALUE"""),"pndigital.co.uk")</f>
        <v>pndigital.co.uk</v>
      </c>
      <c r="D54" s="11" t="str">
        <f>IFERROR(__xludf.DUMMYFUNCTION("""COMPUTED_VALUE"""),"PRODUCT_PAGE")</f>
        <v>PRODUCT_PAGE</v>
      </c>
      <c r="E54" s="11" t="str">
        <f>IFERROR(__xludf.DUMMYFUNCTION("""COMPUTED_VALUE"""),"CORPORATE")</f>
        <v>CORPORATE</v>
      </c>
      <c r="F54" s="11" t="str">
        <f>IFERROR(__xludf.DUMMYFUNCTION("""COMPUTED_VALUE"""),"Product Page")</f>
        <v>Product Page</v>
      </c>
      <c r="G54" s="11" t="b">
        <f>IFERROR(__xludf.DUMMYFUNCTION("""COMPUTED_VALUE"""),FALSE)</f>
        <v>0</v>
      </c>
      <c r="H54" s="11"/>
      <c r="I54" s="11">
        <f>IFERROR(__xludf.DUMMYFUNCTION("""COMPUTED_VALUE"""),1.0)</f>
        <v>1</v>
      </c>
      <c r="J54" s="11">
        <f>IFERROR(__xludf.DUMMYFUNCTION("""COMPUTED_VALUE"""),0.0)</f>
        <v>0</v>
      </c>
      <c r="K54" s="11">
        <f>IFERROR(__xludf.DUMMYFUNCTION("""COMPUTED_VALUE"""),1.0)</f>
        <v>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location=":~:text=morefire,Healthcare%20%26%20Hospital%2C%20Ecommerce%20%2B3" ref="A35"/>
    <hyperlink r:id="rId67" ref="C35"/>
    <hyperlink r:id="rId68" ref="A36"/>
    <hyperlink r:id="rId69" ref="C36"/>
    <hyperlink r:id="rId70" location=":~:text=Mediaplus%20Performance%20GmbH%20%26%20Co%20KG,%2C%20programmatic%2C%20and%20conversion%20optimization."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s>
  <drawing r:id="rId10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All'!A2:A1000)),""directiveconsulting"")
  ),
  """"
)"),"https://directiveconsulting.com/blog/25-best-advertising-agencies-built-for-media-momentum/")</f>
        <v>https://directiveconsulting.com/blog/25-best-advertising-agencies-built-for-media-momentum/</v>
      </c>
      <c r="B2" s="11" t="str">
        <f>IFERROR(__xludf.DUMMYFUNCTION("""COMPUTED_VALUE"""),"25 Best Advertising Agencies For B2B - Directive")</f>
        <v>25 Best Advertising Agencies For B2B - Directive</v>
      </c>
      <c r="C2" s="8" t="str">
        <f>IFERROR(__xludf.DUMMYFUNCTION("""COMPUTED_VALUE"""),"directiveconsulting.com")</f>
        <v>directiveconsulting.com</v>
      </c>
      <c r="D2" s="11" t="str">
        <f>IFERROR(__xludf.DUMMYFUNCTION("""COMPUTED_VALUE"""),"LISTICLE")</f>
        <v>LISTICLE</v>
      </c>
      <c r="E2" s="11" t="str">
        <f>IFERROR(__xludf.DUMMYFUNCTION("""COMPUTED_VALUE"""),"COMPETITOR")</f>
        <v>COMPETITOR</v>
      </c>
      <c r="F2" s="11" t="str">
        <f>IFERROR(__xludf.DUMMYFUNCTION("""COMPUTED_VALUE"""),"Listicle")</f>
        <v>Listicle</v>
      </c>
      <c r="G2" s="11" t="b">
        <f>IFERROR(__xludf.DUMMYFUNCTION("""COMPUTED_VALUE"""),FALSE)</f>
        <v>0</v>
      </c>
      <c r="H2"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2" s="11">
        <f>IFERROR(__xludf.DUMMYFUNCTION("""COMPUTED_VALUE"""),2.0)</f>
        <v>2</v>
      </c>
      <c r="J2" s="11">
        <f>IFERROR(__xludf.DUMMYFUNCTION("""COMPUTED_VALUE"""),0.0)</f>
        <v>0</v>
      </c>
      <c r="K2" s="11">
        <f>IFERROR(__xludf.DUMMYFUNCTION("""COMPUTED_VALUE"""),1.0)</f>
        <v>1</v>
      </c>
    </row>
    <row r="3" ht="15.75" customHeight="1">
      <c r="A3" s="8" t="str">
        <f>IFERROR(__xludf.DUMMYFUNCTION("""COMPUTED_VALUE"""),"https://directiveconsulting.com/blog/top-performance-marketing-agencies/")</f>
        <v>https://directiveconsulting.com/blog/top-performance-marketing-agencies/</v>
      </c>
      <c r="B3" s="11" t="str">
        <f>IFERROR(__xludf.DUMMYFUNCTION("""COMPUTED_VALUE"""),"18 Best Performance Marketing Agencies For B2B - Directive")</f>
        <v>18 Best Performance Marketing Agencies For B2B - Directive</v>
      </c>
      <c r="C3" s="8" t="str">
        <f>IFERROR(__xludf.DUMMYFUNCTION("""COMPUTED_VALUE"""),"directiveconsulting.com")</f>
        <v>directiveconsulting.com</v>
      </c>
      <c r="D3" s="11" t="str">
        <f>IFERROR(__xludf.DUMMYFUNCTION("""COMPUTED_VALUE"""),"LISTICLE")</f>
        <v>LISTICLE</v>
      </c>
      <c r="E3" s="11" t="str">
        <f>IFERROR(__xludf.DUMMYFUNCTION("""COMPUTED_VALUE"""),"COMPETITOR")</f>
        <v>COMPETITOR</v>
      </c>
      <c r="F3" s="11" t="str">
        <f>IFERROR(__xludf.DUMMYFUNCTION("""COMPUTED_VALUE"""),"Listicle")</f>
        <v>Listicle</v>
      </c>
      <c r="G3" s="11" t="b">
        <f>IFERROR(__xludf.DUMMYFUNCTION("""COMPUTED_VALUE"""),FALSE)</f>
        <v>0</v>
      </c>
      <c r="H3" s="11" t="str">
        <f>IFERROR(__xludf.DUMMYFUNCTION("""COMPUTED_VALUE"""),"Directive Consulting, NoGood, Common Thread Collective, Wpromote, Darkroom, inBeat, Single Grain, Omniscient Digital, Measured, Pilot")</f>
        <v>Directive Consulting, NoGood, Common Thread Collective, Wpromote, Darkroom, inBeat, Single Grain, Omniscient Digital, Measured, Pilot</v>
      </c>
      <c r="I3" s="11">
        <f>IFERROR(__xludf.DUMMYFUNCTION("""COMPUTED_VALUE"""),2.0)</f>
        <v>2</v>
      </c>
      <c r="J3" s="11">
        <f>IFERROR(__xludf.DUMMYFUNCTION("""COMPUTED_VALUE"""),0.0)</f>
        <v>0</v>
      </c>
      <c r="K3" s="11">
        <f>IFERROR(__xludf.DUMMYFUNCTION("""COMPUTED_VALUE"""),2.0)</f>
        <v>2</v>
      </c>
    </row>
    <row r="4" ht="15.75" customHeight="1">
      <c r="A4" s="8" t="str">
        <f>IFERROR(__xludf.DUMMYFUNCTION("""COMPUTED_VALUE"""),"https://directiveconsulting.com/blog/25-best-paid-media-agencies-that-turn-ad-spend-into-revenue/")</f>
        <v>https://directiveconsulting.com/blog/25-best-paid-media-agencies-that-turn-ad-spend-into-revenue/</v>
      </c>
      <c r="B4" s="11" t="str">
        <f>IFERROR(__xludf.DUMMYFUNCTION("""COMPUTED_VALUE"""),"25 Best Paid Media Agencies For B2B - Directive")</f>
        <v>25 Best Paid Media Agencies For B2B - Directive</v>
      </c>
      <c r="C4" s="8" t="str">
        <f>IFERROR(__xludf.DUMMYFUNCTION("""COMPUTED_VALUE"""),"directiveconsulting.com")</f>
        <v>directiveconsulting.com</v>
      </c>
      <c r="D4" s="11" t="str">
        <f>IFERROR(__xludf.DUMMYFUNCTION("""COMPUTED_VALUE"""),"LISTICLE")</f>
        <v>LISTICLE</v>
      </c>
      <c r="E4" s="11" t="str">
        <f>IFERROR(__xludf.DUMMYFUNCTION("""COMPUTED_VALUE"""),"COMPETITOR")</f>
        <v>COMPETITOR</v>
      </c>
      <c r="F4" s="11" t="str">
        <f>IFERROR(__xludf.DUMMYFUNCTION("""COMPUTED_VALUE"""),"Listicle")</f>
        <v>Listicle</v>
      </c>
      <c r="G4" s="11" t="b">
        <f>IFERROR(__xludf.DUMMYFUNCTION("""COMPUTED_VALUE"""),FALSE)</f>
        <v>0</v>
      </c>
      <c r="H4" s="11" t="str">
        <f>IFERROR(__xludf.DUMMYFUNCTION("""COMPUTED_VALUE"""),"Directive Consulting, Jellyfish, Brainlabs, DEPT, Wpromote, Merkle, WebFX, KlientBoost, Disruptive Advertising, Dentsu")</f>
        <v>Directive Consulting, Jellyfish, Brainlabs, DEPT, Wpromote, Merkle, WebFX, KlientBoost, Disruptive Advertising, Dentsu</v>
      </c>
      <c r="I4" s="11">
        <f>IFERROR(__xludf.DUMMYFUNCTION("""COMPUTED_VALUE"""),1.0)</f>
        <v>1</v>
      </c>
      <c r="J4" s="11">
        <f>IFERROR(__xludf.DUMMYFUNCTION("""COMPUTED_VALUE"""),0.0)</f>
        <v>0</v>
      </c>
      <c r="K4" s="11">
        <f>IFERROR(__xludf.DUMMYFUNCTION("""COMPUTED_VALUE"""),0.0)</f>
        <v>0</v>
      </c>
    </row>
    <row r="5" ht="15.75" customHeight="1">
      <c r="A5" s="8" t="str">
        <f>IFERROR(__xludf.DUMMYFUNCTION("""COMPUTED_VALUE"""),"https://directiveconsulting.com/blog/best-marketing-data-agency/")</f>
        <v>https://directiveconsulting.com/blog/best-marketing-data-agency/</v>
      </c>
      <c r="B5" s="11" t="str">
        <f>IFERROR(__xludf.DUMMYFUNCTION("""COMPUTED_VALUE"""),"18 Best Marketing Data Agencies for B2B - Directive")</f>
        <v>18 Best Marketing Data Agencies for B2B - Directive</v>
      </c>
      <c r="C5" s="8" t="str">
        <f>IFERROR(__xludf.DUMMYFUNCTION("""COMPUTED_VALUE"""),"directiveconsulting.com")</f>
        <v>directiveconsulting.com</v>
      </c>
      <c r="D5" s="11" t="str">
        <f>IFERROR(__xludf.DUMMYFUNCTION("""COMPUTED_VALUE"""),"LISTICLE")</f>
        <v>LISTICLE</v>
      </c>
      <c r="E5" s="11" t="str">
        <f>IFERROR(__xludf.DUMMYFUNCTION("""COMPUTED_VALUE"""),"COMPETITOR")</f>
        <v>COMPETITOR</v>
      </c>
      <c r="F5" s="11" t="str">
        <f>IFERROR(__xludf.DUMMYFUNCTION("""COMPUTED_VALUE"""),"Listicle")</f>
        <v>Listicle</v>
      </c>
      <c r="G5" s="11" t="b">
        <f>IFERROR(__xludf.DUMMYFUNCTION("""COMPUTED_VALUE"""),FALSE)</f>
        <v>0</v>
      </c>
      <c r="H5" s="11" t="str">
        <f>IFERROR(__xludf.DUMMYFUNCTION("""COMPUTED_VALUE"""),"Directive Consulting, KlientBoost, Brainlabs, Power Digital, Measured")</f>
        <v>Directive Consulting, KlientBoost, Brainlabs, Power Digital, Measured</v>
      </c>
      <c r="I5" s="11">
        <f>IFERROR(__xludf.DUMMYFUNCTION("""COMPUTED_VALUE"""),1.0)</f>
        <v>1</v>
      </c>
      <c r="J5" s="11">
        <f>IFERROR(__xludf.DUMMYFUNCTION("""COMPUTED_VALUE"""),0.0)</f>
        <v>0</v>
      </c>
      <c r="K5" s="11">
        <f>IFERROR(__xludf.DUMMYFUNCTION("""COMPUTED_VALUE"""),1.0)</f>
        <v>1</v>
      </c>
    </row>
    <row r="6" ht="15.75" customHeight="1">
      <c r="A6" s="8" t="str">
        <f>IFERROR(__xludf.DUMMYFUNCTION("""COMPUTED_VALUE"""),"https://directiveconsulting.com/blog/creative-strategy-agency/")</f>
        <v>https://directiveconsulting.com/blog/creative-strategy-agency/</v>
      </c>
      <c r="B6" s="11" t="str">
        <f>IFERROR(__xludf.DUMMYFUNCTION("""COMPUTED_VALUE"""),"17 Best Creative Strategy Agencies For B2B - Directive")</f>
        <v>17 Best Creative Strategy Agencies For B2B - Directive</v>
      </c>
      <c r="C6" s="8" t="str">
        <f>IFERROR(__xludf.DUMMYFUNCTION("""COMPUTED_VALUE"""),"directiveconsulting.com")</f>
        <v>directiveconsulting.com</v>
      </c>
      <c r="D6" s="11" t="str">
        <f>IFERROR(__xludf.DUMMYFUNCTION("""COMPUTED_VALUE"""),"ARTICLE")</f>
        <v>ARTICLE</v>
      </c>
      <c r="E6" s="11" t="str">
        <f>IFERROR(__xludf.DUMMYFUNCTION("""COMPUTED_VALUE"""),"COMPETITOR")</f>
        <v>COMPETITOR</v>
      </c>
      <c r="F6" s="11" t="str">
        <f>IFERROR(__xludf.DUMMYFUNCTION("""COMPUTED_VALUE"""),"Article")</f>
        <v>Article</v>
      </c>
      <c r="G6" s="11" t="b">
        <f>IFERROR(__xludf.DUMMYFUNCTION("""COMPUTED_VALUE"""),FALSE)</f>
        <v>0</v>
      </c>
      <c r="H6" s="11" t="str">
        <f>IFERROR(__xludf.DUMMYFUNCTION("""COMPUTED_VALUE"""),"Directive Consulting, Merkle, Dentsu, Momentum, Measured")</f>
        <v>Directive Consulting, Merkle, Dentsu, Momentum, Measured</v>
      </c>
      <c r="I6" s="11">
        <f>IFERROR(__xludf.DUMMYFUNCTION("""COMPUTED_VALUE"""),1.0)</f>
        <v>1</v>
      </c>
      <c r="J6" s="11">
        <f>IFERROR(__xludf.DUMMYFUNCTION("""COMPUTED_VALUE"""),0.0)</f>
        <v>0</v>
      </c>
      <c r="K6" s="11">
        <f>IFERROR(__xludf.DUMMYFUNCTION("""COMPUTED_VALUE"""),1.0)</f>
        <v>1</v>
      </c>
    </row>
    <row r="7" ht="15.75" customHeight="1">
      <c r="A7" s="8" t="str">
        <f>IFERROR(__xludf.DUMMYFUNCTION("""COMPUTED_VALUE"""),"https://directiveconsulting.com/uk/blog/25-best-advertising-agencies-built-for-media-momentum/")</f>
        <v>https://directiveconsulting.com/uk/blog/25-best-advertising-agencies-built-for-media-momentum/</v>
      </c>
      <c r="B7" s="11" t="str">
        <f>IFERROR(__xludf.DUMMYFUNCTION("""COMPUTED_VALUE"""),"25 Best Advertising Agencies For B2B - Directive")</f>
        <v>25 Best Advertising Agencies For B2B - Directive</v>
      </c>
      <c r="C7" s="8" t="str">
        <f>IFERROR(__xludf.DUMMYFUNCTION("""COMPUTED_VALUE"""),"directiveconsulting.com")</f>
        <v>directiveconsulting.com</v>
      </c>
      <c r="D7" s="11" t="str">
        <f>IFERROR(__xludf.DUMMYFUNCTION("""COMPUTED_VALUE"""),"LISTICLE")</f>
        <v>LISTICLE</v>
      </c>
      <c r="E7" s="11" t="str">
        <f>IFERROR(__xludf.DUMMYFUNCTION("""COMPUTED_VALUE"""),"COMPETITOR")</f>
        <v>COMPETITOR</v>
      </c>
      <c r="F7" s="11" t="str">
        <f>IFERROR(__xludf.DUMMYFUNCTION("""COMPUTED_VALUE"""),"Listicle")</f>
        <v>Listicle</v>
      </c>
      <c r="G7" s="11" t="b">
        <f>IFERROR(__xludf.DUMMYFUNCTION("""COMPUTED_VALUE"""),FALSE)</f>
        <v>0</v>
      </c>
      <c r="H7"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7" s="11">
        <f>IFERROR(__xludf.DUMMYFUNCTION("""COMPUTED_VALUE"""),1.0)</f>
        <v>1</v>
      </c>
      <c r="J7" s="11">
        <f>IFERROR(__xludf.DUMMYFUNCTION("""COMPUTED_VALUE"""),0.0)</f>
        <v>0</v>
      </c>
      <c r="K7" s="11">
        <f>IFERROR(__xludf.DUMMYFUNCTION("""COMPUTED_VALUE"""),3.0)</f>
        <v>3</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s>
  <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All'!A2:A1000)),""designrush.com"")
  ),
  """"
)"),"https://www.designrush.com/agency/digital-marketing/de")</f>
        <v>https://www.designrush.com/agency/digital-marketing/de</v>
      </c>
      <c r="B2" s="11" t="str">
        <f>IFERROR(__xludf.DUMMYFUNCTION("""COMPUTED_VALUE"""),"Top Digital Marketing Agencies in Germany | 2026")</f>
        <v>Top Digital Marketing Agencies in Germany | 2026</v>
      </c>
      <c r="C2" s="8" t="str">
        <f>IFERROR(__xludf.DUMMYFUNCTION("""COMPUTED_VALUE"""),"designrush.com")</f>
        <v>designrush.com</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REPLUG, Admiral Media, Phiture")</f>
        <v>MONSOON, REPLUG, Admiral Media, Phiture</v>
      </c>
      <c r="I2" s="11">
        <f>IFERROR(__xludf.DUMMYFUNCTION("""COMPUTED_VALUE"""),66.0)</f>
        <v>66</v>
      </c>
      <c r="J2" s="11">
        <f>IFERROR(__xludf.DUMMYFUNCTION("""COMPUTED_VALUE"""),0.07)</f>
        <v>0.07</v>
      </c>
      <c r="K2" s="11">
        <f>IFERROR(__xludf.DUMMYFUNCTION("""COMPUTED_VALUE"""),0.68)</f>
        <v>0.68</v>
      </c>
    </row>
    <row r="3" ht="15.75" customHeight="1">
      <c r="A3" s="8" t="str">
        <f>IFERROR(__xludf.DUMMYFUNCTION("""COMPUTED_VALUE"""),"https://www.designrush.com/agency/creative-agencies/de")</f>
        <v>https://www.designrush.com/agency/creative-agencies/de</v>
      </c>
      <c r="B3" s="11" t="str">
        <f>IFERROR(__xludf.DUMMYFUNCTION("""COMPUTED_VALUE"""),"Top Creative Agencies in Germany | 2026")</f>
        <v>Top Creative Agencies in Germany | 2026</v>
      </c>
      <c r="C3" s="8" t="str">
        <f>IFERROR(__xludf.DUMMYFUNCTION("""COMPUTED_VALUE"""),"designrush.com")</f>
        <v>designrush.com</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IFERROR(__xludf.DUMMYFUNCTION("""COMPUTED_VALUE"""),"REPLUG, EY")</f>
        <v>REPLUG, EY</v>
      </c>
      <c r="I3" s="11">
        <f>IFERROR(__xludf.DUMMYFUNCTION("""COMPUTED_VALUE"""),28.0)</f>
        <v>28</v>
      </c>
      <c r="J3" s="11">
        <f>IFERROR(__xludf.DUMMYFUNCTION("""COMPUTED_VALUE"""),0.03)</f>
        <v>0.03</v>
      </c>
      <c r="K3" s="11">
        <f>IFERROR(__xludf.DUMMYFUNCTION("""COMPUTED_VALUE"""),0.57)</f>
        <v>0.57</v>
      </c>
    </row>
    <row r="4" ht="15.75" customHeight="1">
      <c r="A4" s="8" t="str">
        <f>IFERROR(__xludf.DUMMYFUNCTION("""COMPUTED_VALUE"""),"https://www.designrush.com/agency/social-media-marketing/de")</f>
        <v>https://www.designrush.com/agency/social-media-marketing/de</v>
      </c>
      <c r="B4" s="11" t="str">
        <f>IFERROR(__xludf.DUMMYFUNCTION("""COMPUTED_VALUE"""),"Top Social Media Marketing Agencies in Germany | 2026")</f>
        <v>Top Social Media Marketing Agencies in Germany | 2026</v>
      </c>
      <c r="C4" s="8" t="str">
        <f>IFERROR(__xludf.DUMMYFUNCTION("""COMPUTED_VALUE"""),"designrush.com")</f>
        <v>designrush.com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IFERROR(__xludf.DUMMYFUNCTION("""COMPUTED_VALUE"""),"MONSOON, REPLUG, Pulse Advertising, PANORAMA3000")</f>
        <v>MONSOON, REPLUG, Pulse Advertising, PANORAMA3000</v>
      </c>
      <c r="I4" s="11">
        <f>IFERROR(__xludf.DUMMYFUNCTION("""COMPUTED_VALUE"""),8.0)</f>
        <v>8</v>
      </c>
      <c r="J4" s="11">
        <f>IFERROR(__xludf.DUMMYFUNCTION("""COMPUTED_VALUE"""),0.01)</f>
        <v>0.01</v>
      </c>
      <c r="K4" s="11">
        <f>IFERROR(__xludf.DUMMYFUNCTION("""COMPUTED_VALUE"""),0.25)</f>
        <v>0.25</v>
      </c>
    </row>
    <row r="5" ht="15.75" customHeight="1">
      <c r="A5" s="8" t="str">
        <f>IFERROR(__xludf.DUMMYFUNCTION("""COMPUTED_VALUE"""),"https://www.designrush.com/agency/ai-companies/de")</f>
        <v>https://www.designrush.com/agency/ai-companies/de</v>
      </c>
      <c r="B5" s="11" t="str">
        <f>IFERROR(__xludf.DUMMYFUNCTION("""COMPUTED_VALUE"""),"Top AI Companies in Germany | 2026")</f>
        <v>Top AI Companies in Germany | 2026</v>
      </c>
      <c r="C5" s="8" t="str">
        <f>IFERROR(__xludf.DUMMYFUNCTION("""COMPUTED_VALUE"""),"designrush.com")</f>
        <v>designrush.com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c r="I5" s="11">
        <f>IFERROR(__xludf.DUMMYFUNCTION("""COMPUTED_VALUE"""),5.0)</f>
        <v>5</v>
      </c>
      <c r="J5" s="11">
        <f>IFERROR(__xludf.DUMMYFUNCTION("""COMPUTED_VALUE"""),0.01)</f>
        <v>0.01</v>
      </c>
      <c r="K5" s="11">
        <f>IFERROR(__xludf.DUMMYFUNCTION("""COMPUTED_VALUE"""),0.0)</f>
        <v>0</v>
      </c>
    </row>
    <row r="6" ht="15.75" customHeight="1">
      <c r="A6" s="8" t="str">
        <f>IFERROR(__xludf.DUMMYFUNCTION("""COMPUTED_VALUE"""),"https://www.designrush.com/agency/digital-marketing/artificial-intelligence")</f>
        <v>https://www.designrush.com/agency/digital-marketing/artificial-intelligence</v>
      </c>
      <c r="B6" s="11" t="str">
        <f>IFERROR(__xludf.DUMMYFUNCTION("""COMPUTED_VALUE"""),"Top AI Marketing Companies in 2026")</f>
        <v>Top AI Marketing Companies in 2026</v>
      </c>
      <c r="C6" s="8" t="str">
        <f>IFERROR(__xludf.DUMMYFUNCTION("""COMPUTED_VALUE"""),"designrush.com")</f>
        <v>designrush.com</v>
      </c>
      <c r="D6" s="11" t="str">
        <f>IFERROR(__xludf.DUMMYFUNCTION("""COMPUTED_VALUE"""),"LISTICLE")</f>
        <v>LISTICLE</v>
      </c>
      <c r="E6" s="11" t="str">
        <f>IFERROR(__xludf.DUMMYFUNCTION("""COMPUTED_VALUE"""),"CORPORATE")</f>
        <v>CORPORATE</v>
      </c>
      <c r="F6" s="11" t="str">
        <f>IFERROR(__xludf.DUMMYFUNCTION("""COMPUTED_VALUE"""),"Listicle")</f>
        <v>Listicle</v>
      </c>
      <c r="G6" s="11" t="b">
        <f>IFERROR(__xludf.DUMMYFUNCTION("""COMPUTED_VALUE"""),FALSE)</f>
        <v>0</v>
      </c>
      <c r="H6" s="11" t="str">
        <f>IFERROR(__xludf.DUMMYFUNCTION("""COMPUTED_VALUE"""),"Single Grain, Jellyfish, SmartSites, Huge, Disruptive Advertising, PwC, WebFX, Capgemini")</f>
        <v>Single Grain, Jellyfish, SmartSites, Huge, Disruptive Advertising, PwC, WebFX, Capgemini</v>
      </c>
      <c r="I6" s="11">
        <f>IFERROR(__xludf.DUMMYFUNCTION("""COMPUTED_VALUE"""),4.0)</f>
        <v>4</v>
      </c>
      <c r="J6" s="11">
        <f>IFERROR(__xludf.DUMMYFUNCTION("""COMPUTED_VALUE"""),0.0)</f>
        <v>0</v>
      </c>
      <c r="K6" s="11">
        <f>IFERROR(__xludf.DUMMYFUNCTION("""COMPUTED_VALUE"""),0.0)</f>
        <v>0</v>
      </c>
    </row>
    <row r="7" ht="15.75" customHeight="1">
      <c r="A7" s="8" t="str">
        <f>IFERROR(__xludf.DUMMYFUNCTION("""COMPUTED_VALUE"""),"https://www.designrush.com/agency/digital-marketing/analytics")</f>
        <v>https://www.designrush.com/agency/digital-marketing/analytics</v>
      </c>
      <c r="B7" s="11" t="str">
        <f>IFERROR(__xludf.DUMMYFUNCTION("""COMPUTED_VALUE"""),"Top Marketing Analytics Agencies in 2026")</f>
        <v>Top Marketing Analytics Agencies in 2026</v>
      </c>
      <c r="C7" s="8" t="str">
        <f>IFERROR(__xludf.DUMMYFUNCTION("""COMPUTED_VALUE"""),"designrush.com")</f>
        <v>designrush.com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IFERROR(__xludf.DUMMYFUNCTION("""COMPUTED_VALUE"""),"SmartSites, Huge, KlientBoost, Monks, Ruler Analytics")</f>
        <v>SmartSites, Huge, KlientBoost, Monks, Ruler Analytics</v>
      </c>
      <c r="I7" s="11">
        <f>IFERROR(__xludf.DUMMYFUNCTION("""COMPUTED_VALUE"""),1.0)</f>
        <v>1</v>
      </c>
      <c r="J7" s="11">
        <f>IFERROR(__xludf.DUMMYFUNCTION("""COMPUTED_VALUE"""),0.0)</f>
        <v>0</v>
      </c>
      <c r="K7" s="11">
        <f>IFERROR(__xludf.DUMMYFUNCTION("""COMPUTED_VALUE"""),0.0)</f>
        <v>0</v>
      </c>
    </row>
    <row r="8" ht="15.75" customHeight="1">
      <c r="A8" s="8" t="str">
        <f>IFERROR(__xludf.DUMMYFUNCTION("""COMPUTED_VALUE"""),"https://www.designrush.com/agency/digital-marketing/performance-marketing-agencies")</f>
        <v>https://www.designrush.com/agency/digital-marketing/performance-marketing-agencies</v>
      </c>
      <c r="B8" s="11" t="str">
        <f>IFERROR(__xludf.DUMMYFUNCTION("""COMPUTED_VALUE"""),"Top Performance Marketing Agencies in 2026")</f>
        <v>Top Performance Marketing Agencies in 2026</v>
      </c>
      <c r="C8" s="8" t="str">
        <f>IFERROR(__xludf.DUMMYFUNCTION("""COMPUTED_VALUE"""),"designrush.com")</f>
        <v>designrush.com</v>
      </c>
      <c r="D8" s="11" t="str">
        <f>IFERROR(__xludf.DUMMYFUNCTION("""COMPUTED_VALUE"""),"LISTICLE")</f>
        <v>LISTICLE</v>
      </c>
      <c r="E8" s="11" t="str">
        <f>IFERROR(__xludf.DUMMYFUNCTION("""COMPUTED_VALUE"""),"CORPORATE")</f>
        <v>CORPORATE</v>
      </c>
      <c r="F8" s="11" t="str">
        <f>IFERROR(__xludf.DUMMYFUNCTION("""COMPUTED_VALUE"""),"Listicle")</f>
        <v>Listicle</v>
      </c>
      <c r="G8" s="11" t="b">
        <f>IFERROR(__xludf.DUMMYFUNCTION("""COMPUTED_VALUE"""),FALSE)</f>
        <v>0</v>
      </c>
      <c r="H8" s="11" t="str">
        <f>IFERROR(__xludf.DUMMYFUNCTION("""COMPUTED_VALUE"""),"Wpromote, NoGood, Power Digital, Huge, SmartSites, Disruptive Advertising, PwC, REPLUG, KlientBoost, DEPT")</f>
        <v>Wpromote, NoGood, Power Digital, Huge, SmartSites, Disruptive Advertising, PwC, REPLUG, KlientBoost, DEPT</v>
      </c>
      <c r="I8" s="11">
        <f>IFERROR(__xludf.DUMMYFUNCTION("""COMPUTED_VALUE"""),1.0)</f>
        <v>1</v>
      </c>
      <c r="J8" s="11">
        <f>IFERROR(__xludf.DUMMYFUNCTION("""COMPUTED_VALUE"""),0.0)</f>
        <v>0</v>
      </c>
      <c r="K8" s="11">
        <f>IFERROR(__xludf.DUMMYFUNCTION("""COMPUTED_VALUE"""),0.0)</f>
        <v>0</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s>
  <drawing r:id="rId1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11" t="str">
        <f>IFERROR(__xludf.DUMMYFUNCTION("IFERROR(
  FILTER(
    'PEEC - URLs - All'!A2:K1000,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All'!A2:A1000)),""reddit"")
  ),
  """"
)"),"https://www.reddit.com/r/branding/comments/1s5trnk/top_10_best_international_seo_agency_in_germany/")</f>
        <v>https://www.reddit.com/r/branding/comments/1s5trnk/top_10_best_international_seo_agency_in_germany/</v>
      </c>
      <c r="B2" s="11" t="str">
        <f>IFERROR(__xludf.DUMMYFUNCTION("""COMPUTED_VALUE"""),"Top 10 Best International SEO Agency in Germany (2026 Guide)")</f>
        <v>Top 10 Best International SEO Agency in Germany (2026 Guide)</v>
      </c>
      <c r="C2" s="8"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IFERROR(__xludf.DUMMYFUNCTION("""COMPUTED_VALUE"""),"Claneo, Radyant, KlickPiloten, morefire")</f>
        <v>Claneo, Radyant, KlickPiloten, morefire</v>
      </c>
      <c r="I2" s="11">
        <f>IFERROR(__xludf.DUMMYFUNCTION("""COMPUTED_VALUE"""),34.0)</f>
        <v>34</v>
      </c>
      <c r="J2" s="11">
        <f>IFERROR(__xludf.DUMMYFUNCTION("""COMPUTED_VALUE"""),0.04)</f>
        <v>0.04</v>
      </c>
      <c r="K2" s="11">
        <f>IFERROR(__xludf.DUMMYFUNCTION("""COMPUTED_VALUE"""),1.97)</f>
        <v>1.97</v>
      </c>
    </row>
    <row r="3" ht="15.75" customHeight="1">
      <c r="A3" s="8" t="str">
        <f>IFERROR(__xludf.DUMMYFUNCTION("""COMPUTED_VALUE"""),"https://www.reddit.com/r/Superframeworks/comments/1twfxf1/10_best_ai_seo_geoaeo_agencies_for_2026_no/")</f>
        <v>https://www.reddit.com/r/Superframeworks/comments/1twfxf1/10_best_ai_seo_geoaeo_agencies_for_2026_no/</v>
      </c>
      <c r="B3" s="11" t="str">
        <f>IFERROR(__xludf.DUMMYFUNCTION("""COMPUTED_VALUE"""),"10 Best AI SEO (GEO/AEO) Agencies for 2026: No Self-Ranking, Verified by Clutch Reviews and Real AI-Citation Proof")</f>
        <v>10 Best AI SEO (GEO/AEO) Agencies for 2026: No Self-Ranking, Verified by Clutch Reviews and Real AI-Citation Proof</v>
      </c>
      <c r="C3" s="8"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IFERROR(__xludf.DUMMYFUNCTION("""COMPUTED_VALUE"""),"Single Grain, NoGood, iPullRank")</f>
        <v>Single Grain, NoGood, iPullRank</v>
      </c>
      <c r="I3" s="11">
        <f>IFERROR(__xludf.DUMMYFUNCTION("""COMPUTED_VALUE"""),8.0)</f>
        <v>8</v>
      </c>
      <c r="J3" s="11">
        <f>IFERROR(__xludf.DUMMYFUNCTION("""COMPUTED_VALUE"""),0.01)</f>
        <v>0.01</v>
      </c>
      <c r="K3" s="11">
        <f>IFERROR(__xludf.DUMMYFUNCTION("""COMPUTED_VALUE"""),1.88)</f>
        <v>1.88</v>
      </c>
    </row>
    <row r="4" ht="15.75" customHeight="1">
      <c r="A4" s="8" t="str">
        <f>IFERROR(__xludf.DUMMYFUNCTION("""COMPUTED_VALUE"""),"https://www.reddit.com/r/Topagencies/comments/1sv50o9/top_ppc_services_agencies_in_germany_ppc_cost/")</f>
        <v>https://www.reddit.com/r/Topagencies/comments/1sv50o9/top_ppc_services_agencies_in_germany_ppc_cost/</v>
      </c>
      <c r="B4" s="11" t="str">
        <f>IFERROR(__xludf.DUMMYFUNCTION("""COMPUTED_VALUE"""),"Top PPC Services Agencies in Germany – PPC Cost, Pricing, Packages &amp;amp; Best PPC Companies (2026 Guide)")</f>
        <v>Top PPC Services Agencies in Germany – PPC Cost, Pricing, Packages &amp;amp; Best PPC Companies (2026 Guide)</v>
      </c>
      <c r="C4" s="8"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IFERROR(__xludf.DUMMYFUNCTION("""COMPUTED_VALUE"""),"Smarketer, Peak Ace, Claneo")</f>
        <v>Smarketer, Peak Ace, Claneo</v>
      </c>
      <c r="I4" s="11">
        <f>IFERROR(__xludf.DUMMYFUNCTION("""COMPUTED_VALUE"""),7.0)</f>
        <v>7</v>
      </c>
      <c r="J4" s="11">
        <f>IFERROR(__xludf.DUMMYFUNCTION("""COMPUTED_VALUE"""),0.01)</f>
        <v>0.01</v>
      </c>
      <c r="K4" s="11">
        <f>IFERROR(__xludf.DUMMYFUNCTION("""COMPUTED_VALUE"""),3.0)</f>
        <v>3</v>
      </c>
    </row>
    <row r="5" ht="15.75" customHeight="1">
      <c r="A5" s="8" t="str">
        <f>IFERROR(__xludf.DUMMYFUNCTION("""COMPUTED_VALUE"""),"https://www.reddit.com/r/agency/comments/1ok212i/performance_marketing_incrementality/")</f>
        <v>https://www.reddit.com/r/agency/comments/1ok212i/performance_marketing_incrementality/</v>
      </c>
      <c r="B5" s="11" t="str">
        <f>IFERROR(__xludf.DUMMYFUNCTION("""COMPUTED_VALUE"""),"Performance Marketing Incrementality")</f>
        <v>Performance Marketing Incrementality</v>
      </c>
      <c r="C5" s="8" t="str">
        <f>IFERROR(__xludf.DUMMYFUNCTION("""COMPUTED_VALUE"""),"reddit.com")</f>
        <v>reddit.com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IFERROR(__xludf.DUMMYFUNCTION("""COMPUTED_VALUE"""),"Haus, Measured, Recast")</f>
        <v>Haus, Measured, Recast</v>
      </c>
      <c r="I5" s="11">
        <f>IFERROR(__xludf.DUMMYFUNCTION("""COMPUTED_VALUE"""),4.0)</f>
        <v>4</v>
      </c>
      <c r="J5" s="11">
        <f>IFERROR(__xludf.DUMMYFUNCTION("""COMPUTED_VALUE"""),0.0)</f>
        <v>0</v>
      </c>
      <c r="K5" s="11">
        <f>IFERROR(__xludf.DUMMYFUNCTION("""COMPUTED_VALUE"""),1.5)</f>
        <v>1.5</v>
      </c>
    </row>
    <row r="6" ht="15.75" customHeight="1">
      <c r="A6" s="8" t="str">
        <f>IFERROR(__xludf.DUMMYFUNCTION("""COMPUTED_VALUE"""),"https://www.reddit.com/r/GenEngineOptimization/comments/1qab4rt/what_are_the_top_geo_agencies_and_what_softwares/")</f>
        <v>https://www.reddit.com/r/GenEngineOptimization/comments/1qab4rt/what_are_the_top_geo_agencies_and_what_softwares/</v>
      </c>
      <c r="B6" s="11" t="str">
        <f>IFERROR(__xludf.DUMMYFUNCTION("""COMPUTED_VALUE"""),"What are the top GEO Agencies and what softwares are they using?")</f>
        <v>What are the top GEO Agencies and what softwares are they using?</v>
      </c>
      <c r="C6" s="8"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IFERROR(__xludf.DUMMYFUNCTION("""COMPUTED_VALUE"""),"Claneo")</f>
        <v>Claneo</v>
      </c>
      <c r="I6" s="11">
        <f>IFERROR(__xludf.DUMMYFUNCTION("""COMPUTED_VALUE"""),3.0)</f>
        <v>3</v>
      </c>
      <c r="J6" s="11">
        <f>IFERROR(__xludf.DUMMYFUNCTION("""COMPUTED_VALUE"""),0.0)</f>
        <v>0</v>
      </c>
      <c r="K6" s="11">
        <f>IFERROR(__xludf.DUMMYFUNCTION("""COMPUTED_VALUE"""),2.0)</f>
        <v>2</v>
      </c>
    </row>
    <row r="7" ht="15.75" customHeight="1">
      <c r="A7" s="8" t="str">
        <f>IFERROR(__xludf.DUMMYFUNCTION("""COMPUTED_VALUE"""),"https://www.reddit.com/r/adtech/comments/1u5mwrq/measurement_source_of_truth/")</f>
        <v>https://www.reddit.com/r/adtech/comments/1u5mwrq/measurement_source_of_truth/</v>
      </c>
      <c r="B7" s="11" t="str">
        <f>IFERROR(__xludf.DUMMYFUNCTION("""COMPUTED_VALUE"""),"Measurement source of truth")</f>
        <v>Measurement source of truth</v>
      </c>
      <c r="C7" s="8"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IFERROR(__xludf.DUMMYFUNCTION("""COMPUTED_VALUE"""),"LifeSight, Dreamdata")</f>
        <v>LifeSight, Dreamdata</v>
      </c>
      <c r="I7" s="11">
        <f>IFERROR(__xludf.DUMMYFUNCTION("""COMPUTED_VALUE"""),3.0)</f>
        <v>3</v>
      </c>
      <c r="J7" s="11">
        <f>IFERROR(__xludf.DUMMYFUNCTION("""COMPUTED_VALUE"""),0.0)</f>
        <v>0</v>
      </c>
      <c r="K7" s="11">
        <f>IFERROR(__xludf.DUMMYFUNCTION("""COMPUTED_VALUE"""),1.67)</f>
        <v>1.67</v>
      </c>
    </row>
    <row r="8" ht="15.75" customHeight="1">
      <c r="A8" s="8" t="str">
        <f>IFERROR(__xludf.DUMMYFUNCTION("""COMPUTED_VALUE"""),"https://www.reddit.com/r/programmatic/comments/1nzh99f")</f>
        <v>https://www.reddit.com/r/programmatic/comments/1nzh99f</v>
      </c>
      <c r="B8" s="11" t="str">
        <f>IFERROR(__xludf.DUMMYFUNCTION("""COMPUTED_VALUE"""),"Looking for reliable German publishers for programmatic display — any recommendations?")</f>
        <v>Looking for reliable German publishers for programmatic display — any recommendations?</v>
      </c>
      <c r="C8" s="8"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c r="I8" s="11">
        <f>IFERROR(__xludf.DUMMYFUNCTION("""COMPUTED_VALUE"""),3.0)</f>
        <v>3</v>
      </c>
      <c r="J8" s="11">
        <f>IFERROR(__xludf.DUMMYFUNCTION("""COMPUTED_VALUE"""),0.0)</f>
        <v>0</v>
      </c>
      <c r="K8" s="11">
        <f>IFERROR(__xludf.DUMMYFUNCTION("""COMPUTED_VALUE"""),1.67)</f>
        <v>1.67</v>
      </c>
    </row>
    <row r="9" ht="15.75" customHeight="1">
      <c r="A9" s="8" t="str">
        <f>IFERROR(__xludf.DUMMYFUNCTION("""COMPUTED_VALUE"""),"https://www.reddit.com/r/GermanCompanies/comments/1rfxt68/top_10_ai_agencies_in_germany_2026/")</f>
        <v>https://www.reddit.com/r/GermanCompanies/comments/1rfxt68/top_10_ai_agencies_in_germany_2026/</v>
      </c>
      <c r="B9" s="11"/>
      <c r="C9" s="8"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c r="H9" s="11" t="str">
        <f>IFERROR(__xludf.DUMMYFUNCTION("""COMPUTED_VALUE"""),"Unknown")</f>
        <v>Unknown</v>
      </c>
      <c r="I9" s="11">
        <f>IFERROR(__xludf.DUMMYFUNCTION("""COMPUTED_VALUE"""),2.0)</f>
        <v>2</v>
      </c>
      <c r="J9" s="11">
        <f>IFERROR(__xludf.DUMMYFUNCTION("""COMPUTED_VALUE"""),0.0)</f>
        <v>0</v>
      </c>
      <c r="K9" s="11">
        <f>IFERROR(__xludf.DUMMYFUNCTION("""COMPUTED_VALUE"""),2.5)</f>
        <v>2.5</v>
      </c>
    </row>
    <row r="10" ht="15.75" customHeight="1">
      <c r="A10" s="8" t="str">
        <f>IFERROR(__xludf.DUMMYFUNCTION("""COMPUTED_VALUE"""),"https://www.reddit.com/r/PPC/comments/1tkc7rr/which_ppc_agencies_are_actually_considered_the/")</f>
        <v>https://www.reddit.com/r/PPC/comments/1tkc7rr/which_ppc_agencies_are_actually_considered_the/</v>
      </c>
      <c r="B10" s="11" t="str">
        <f>IFERROR(__xludf.DUMMYFUNCTION("""COMPUTED_VALUE"""),"Which PPC agencies are actually considered the best right now?")</f>
        <v>Which PPC agencies are actually considered the best right now?</v>
      </c>
      <c r="C10" s="8" t="str">
        <f>IFERROR(__xludf.DUMMYFUNCTION("""COMPUTED_VALUE"""),"reddit.com")</f>
        <v>reddit.com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t="str">
        <f>IFERROR(__xludf.DUMMYFUNCTION("""COMPUTED_VALUE"""),"Dentsu, Measured, WPP, Omnicom")</f>
        <v>Dentsu, Measured, WPP, Omnicom</v>
      </c>
      <c r="I10" s="11">
        <f>IFERROR(__xludf.DUMMYFUNCTION("""COMPUTED_VALUE"""),2.0)</f>
        <v>2</v>
      </c>
      <c r="J10" s="11">
        <f>IFERROR(__xludf.DUMMYFUNCTION("""COMPUTED_VALUE"""),0.0)</f>
        <v>0</v>
      </c>
      <c r="K10" s="11">
        <f>IFERROR(__xludf.DUMMYFUNCTION("""COMPUTED_VALUE"""),1.5)</f>
        <v>1.5</v>
      </c>
    </row>
    <row r="11" ht="15.75" customHeight="1">
      <c r="A11" s="8" t="str">
        <f>IFERROR(__xludf.DUMMYFUNCTION("""COMPUTED_VALUE"""),"https://www.reddit.com/r/aeo/comments/1twcbr2/best_aeo_agency_guide_what_to_look_for_in_an/")</f>
        <v>https://www.reddit.com/r/aeo/comments/1twcbr2/best_aeo_agency_guide_what_to_look_for_in_an/</v>
      </c>
      <c r="B11" s="11" t="str">
        <f>IFERROR(__xludf.DUMMYFUNCTION("""COMPUTED_VALUE"""),"Best AEO Agency Guide What to Look for in an Answer Engine Partner?")</f>
        <v>Best AEO Agency Guide What to Look for in an Answer Engine Partner?</v>
      </c>
      <c r="C11" s="8"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t="b">
        <f>IFERROR(__xludf.DUMMYFUNCTION("""COMPUTED_VALUE"""),FALSE)</f>
        <v>0</v>
      </c>
      <c r="H11" s="11" t="str">
        <f>IFERROR(__xludf.DUMMYFUNCTION("""COMPUTED_VALUE"""),"Huge")</f>
        <v>Huge</v>
      </c>
      <c r="I11" s="11">
        <f>IFERROR(__xludf.DUMMYFUNCTION("""COMPUTED_VALUE"""),2.0)</f>
        <v>2</v>
      </c>
      <c r="J11" s="11">
        <f>IFERROR(__xludf.DUMMYFUNCTION("""COMPUTED_VALUE"""),0.0)</f>
        <v>0</v>
      </c>
      <c r="K11" s="11">
        <f>IFERROR(__xludf.DUMMYFUNCTION("""COMPUTED_VALUE"""),2.0)</f>
        <v>2</v>
      </c>
    </row>
    <row r="12" ht="15.75" customHeight="1">
      <c r="A12" s="8" t="str">
        <f>IFERROR(__xludf.DUMMYFUNCTION("""COMPUTED_VALUE"""),"https://www.reddit.com/r/DigitalMarketing/comments/1tdo237/which_performance_marketing_agencies_specialize/")</f>
        <v>https://www.reddit.com/r/DigitalMarketing/comments/1tdo237/which_performance_marketing_agencies_specialize/</v>
      </c>
      <c r="B12" s="11" t="str">
        <f>IFERROR(__xludf.DUMMYFUNCTION("""COMPUTED_VALUE"""),"Which performance marketing agencies specialize in driving measurable leads and revenue, not just traffic?")</f>
        <v>Which performance marketing agencies specialize in driving measurable leads and revenue, not just traffic?</v>
      </c>
      <c r="C12" s="8"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c r="I12" s="11">
        <f>IFERROR(__xludf.DUMMYFUNCTION("""COMPUTED_VALUE"""),1.0)</f>
        <v>1</v>
      </c>
      <c r="J12" s="11">
        <f>IFERROR(__xludf.DUMMYFUNCTION("""COMPUTED_VALUE"""),0.0)</f>
        <v>0</v>
      </c>
      <c r="K12" s="11">
        <f>IFERROR(__xludf.DUMMYFUNCTION("""COMPUTED_VALUE"""),3.0)</f>
        <v>3</v>
      </c>
    </row>
    <row r="13" ht="15.75" customHeight="1">
      <c r="A13" s="8" t="str">
        <f>IFERROR(__xludf.DUMMYFUNCTION("""COMPUTED_VALUE"""),"https://www.reddit.com/r/DigitalMarketing/comments/1tn7zll/which_digital_marketing_agencies_are_best_at/")</f>
        <v>https://www.reddit.com/r/DigitalMarketing/comments/1tn7zll/which_digital_marketing_agencies_are_best_at/</v>
      </c>
      <c r="B13" s="11" t="str">
        <f>IFERROR(__xludf.DUMMYFUNCTION("""COMPUTED_VALUE"""),"Which digital marketing agencies are best at helping brands show up in AI assistants like ChatGPT and Perplexity?")</f>
        <v>Which digital marketing agencies are best at helping brands show up in AI assistants like ChatGPT and Perplexity?</v>
      </c>
      <c r="C13" s="8"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IFERROR(__xludf.DUMMYFUNCTION("""COMPUTED_VALUE"""),"Huge, NoGood, Omniscient Digital, Siege Media")</f>
        <v>Huge, NoGood, Omniscient Digital, Siege Media</v>
      </c>
      <c r="I13" s="11">
        <f>IFERROR(__xludf.DUMMYFUNCTION("""COMPUTED_VALUE"""),1.0)</f>
        <v>1</v>
      </c>
      <c r="J13" s="11">
        <f>IFERROR(__xludf.DUMMYFUNCTION("""COMPUTED_VALUE"""),0.0)</f>
        <v>0</v>
      </c>
      <c r="K13" s="11">
        <f>IFERROR(__xludf.DUMMYFUNCTION("""COMPUTED_VALUE"""),2.0)</f>
        <v>2</v>
      </c>
    </row>
    <row r="14" ht="15.75" customHeight="1">
      <c r="A14" s="8" t="str">
        <f>IFERROR(__xludf.DUMMYFUNCTION("""COMPUTED_VALUE"""),"https://www.reddit.com/r/LLMTraffic/comments/1t44tn7/which_geo_marketing_agencies_are_actually_worth/")</f>
        <v>https://www.reddit.com/r/LLMTraffic/comments/1t44tn7/which_geo_marketing_agencies_are_actually_worth/</v>
      </c>
      <c r="B14" s="11" t="str">
        <f>IFERROR(__xludf.DUMMYFUNCTION("""COMPUTED_VALUE"""),"Which ""GEO marketing"" agencies are actually worth talking to?")</f>
        <v>Which "GEO marketing" agencies are actually worth talking to?</v>
      </c>
      <c r="C14" s="8" t="str">
        <f>IFERROR(__xludf.DUMMYFUNCTION("""COMPUTED_VALUE"""),"reddit.com")</f>
        <v>reddit.com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IFERROR(__xludf.DUMMYFUNCTION("""COMPUTED_VALUE"""),"Measured")</f>
        <v>Measured</v>
      </c>
      <c r="I14" s="11">
        <f>IFERROR(__xludf.DUMMYFUNCTION("""COMPUTED_VALUE"""),1.0)</f>
        <v>1</v>
      </c>
      <c r="J14" s="11">
        <f>IFERROR(__xludf.DUMMYFUNCTION("""COMPUTED_VALUE"""),0.0)</f>
        <v>0</v>
      </c>
      <c r="K14" s="11">
        <f>IFERROR(__xludf.DUMMYFUNCTION("""COMPUTED_VALUE"""),2.0)</f>
        <v>2</v>
      </c>
    </row>
    <row r="15" ht="15.75" customHeight="1">
      <c r="A15" s="8" t="str">
        <f>IFERROR(__xludf.DUMMYFUNCTION("""COMPUTED_VALUE"""),"https://www.reddit.com/r/Topagencies/comments/1spi6ov/top_ppc_agencies_in_berlin_packages_pricing_cost/")</f>
        <v>https://www.reddit.com/r/Topagencies/comments/1spi6ov/top_ppc_agencies_in_berlin_packages_pricing_cost/</v>
      </c>
      <c r="B15" s="11" t="str">
        <f>IFERROR(__xludf.DUMMYFUNCTION("""COMPUTED_VALUE"""),"Top PPC Agencies in Berlin — Packages, Pricing, Cost &amp;amp; Services Guide")</f>
        <v>Top PPC Agencies in Berlin — Packages, Pricing, Cost &amp;amp; Services Guide</v>
      </c>
      <c r="C15" s="8" t="str">
        <f>IFERROR(__xludf.DUMMYFUNCTION("""COMPUTED_VALUE"""),"reddit.com")</f>
        <v>reddit.com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t="str">
        <f>IFERROR(__xludf.DUMMYFUNCTION("""COMPUTED_VALUE"""),"Mediacharge, PwC, MONSOON, REPLUG, Aufgesang, Measured")</f>
        <v>Mediacharge, PwC, MONSOON, REPLUG, Aufgesang, Measured</v>
      </c>
      <c r="I15" s="11">
        <f>IFERROR(__xludf.DUMMYFUNCTION("""COMPUTED_VALUE"""),1.0)</f>
        <v>1</v>
      </c>
      <c r="J15" s="11">
        <f>IFERROR(__xludf.DUMMYFUNCTION("""COMPUTED_VALUE"""),0.0)</f>
        <v>0</v>
      </c>
      <c r="K15" s="11">
        <f>IFERROR(__xludf.DUMMYFUNCTION("""COMPUTED_VALUE"""),2.0)</f>
        <v>2</v>
      </c>
    </row>
    <row r="16" ht="15.75" customHeight="1">
      <c r="A16" s="8" t="str">
        <f>IFERROR(__xludf.DUMMYFUNCTION("""COMPUTED_VALUE"""),"https://www.reddit.com/r/Topagencies/comments/1srfjwq/top_ppc_services_agencies_in_frankfurt_package/")</f>
        <v>https://www.reddit.com/r/Topagencies/comments/1srfjwq/top_ppc_services_agencies_in_frankfurt_package/</v>
      </c>
      <c r="B16" s="11" t="str">
        <f>IFERROR(__xludf.DUMMYFUNCTION("""COMPUTED_VALUE"""),"Top PPC Services Agencies in Frankfurt - Package, Pricing &amp;amp; Cost Guide")</f>
        <v>Top PPC Services Agencies in Frankfurt - Package, Pricing &amp;amp; Cost Guide</v>
      </c>
      <c r="C16" s="8" t="str">
        <f>IFERROR(__xludf.DUMMYFUNCTION("""COMPUTED_VALUE"""),"reddit.com")</f>
        <v>reddit.com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t="str">
        <f>IFERROR(__xludf.DUMMYFUNCTION("""COMPUTED_VALUE"""),"Mediacharge")</f>
        <v>Mediacharge</v>
      </c>
      <c r="I16" s="11">
        <f>IFERROR(__xludf.DUMMYFUNCTION("""COMPUTED_VALUE"""),1.0)</f>
        <v>1</v>
      </c>
      <c r="J16" s="11">
        <f>IFERROR(__xludf.DUMMYFUNCTION("""COMPUTED_VALUE"""),0.0)</f>
        <v>0</v>
      </c>
      <c r="K16" s="11">
        <f>IFERROR(__xludf.DUMMYFUNCTION("""COMPUTED_VALUE"""),1.0)</f>
        <v>1</v>
      </c>
    </row>
    <row r="17" ht="15.75" customHeight="1">
      <c r="A17" s="8" t="str">
        <f>IFERROR(__xludf.DUMMYFUNCTION("""COMPUTED_VALUE"""),"https://www.reddit.com/r/analytics/comments/1l4qcx4/what_is_incrementality_testing_and_how_is_it/?tl=de")</f>
        <v>https://www.reddit.com/r/analytics/comments/1l4qcx4/what_is_incrementality_testing_and_how_is_it/?tl=de</v>
      </c>
      <c r="B17" s="11" t="str">
        <f>IFERROR(__xludf.DUMMYFUNCTION("""COMPUTED_VALUE"""),"What is Incrementality Testing? And how is it different from marketing experiments - what's the real diff?")</f>
        <v>What is Incrementality Testing? And how is it different from marketing experiments - what's the real diff?</v>
      </c>
      <c r="C17" s="8" t="str">
        <f>IFERROR(__xludf.DUMMYFUNCTION("""COMPUTED_VALUE"""),"reddit.com")</f>
        <v>reddit.com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IFERROR(__xludf.DUMMYFUNCTION("""COMPUTED_VALUE"""),"LifeSight, Haus, Measured")</f>
        <v>LifeSight, Haus, Measured</v>
      </c>
      <c r="I17" s="11">
        <f>IFERROR(__xludf.DUMMYFUNCTION("""COMPUTED_VALUE"""),1.0)</f>
        <v>1</v>
      </c>
      <c r="J17" s="11">
        <f>IFERROR(__xludf.DUMMYFUNCTION("""COMPUTED_VALUE"""),0.0)</f>
        <v>0</v>
      </c>
      <c r="K17" s="11">
        <f>IFERROR(__xludf.DUMMYFUNCTION("""COMPUTED_VALUE"""),1.0)</f>
        <v>1</v>
      </c>
    </row>
    <row r="18" ht="15.75" customHeight="1">
      <c r="A18" s="8" t="str">
        <f>IFERROR(__xludf.DUMMYFUNCTION("""COMPUTED_VALUE"""),"https://www.reddit.com/r/analytics/comments/1q5d8wc/advice_for_the_best_customer_data_platforms_2026/")</f>
        <v>https://www.reddit.com/r/analytics/comments/1q5d8wc/advice_for_the_best_customer_data_platforms_2026/</v>
      </c>
      <c r="B18" s="11" t="str">
        <f>IFERROR(__xludf.DUMMYFUNCTION("""COMPUTED_VALUE"""),"advice for the best customer data platforms 2026 for unifying customer data")</f>
        <v>advice for the best customer data platforms 2026 for unifying customer data</v>
      </c>
      <c r="C18" s="8" t="str">
        <f>IFERROR(__xludf.DUMMYFUNCTION("""COMPUTED_VALUE"""),"reddit.com")</f>
        <v>reddit.com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IFERROR(__xludf.DUMMYFUNCTION("""COMPUTED_VALUE"""),"Huge")</f>
        <v>Huge</v>
      </c>
      <c r="I18" s="11">
        <f>IFERROR(__xludf.DUMMYFUNCTION("""COMPUTED_VALUE"""),1.0)</f>
        <v>1</v>
      </c>
      <c r="J18" s="11">
        <f>IFERROR(__xludf.DUMMYFUNCTION("""COMPUTED_VALUE"""),0.0)</f>
        <v>0</v>
      </c>
      <c r="K18" s="11">
        <f>IFERROR(__xludf.DUMMYFUNCTION("""COMPUTED_VALUE"""),2.0)</f>
        <v>2</v>
      </c>
    </row>
    <row r="19" ht="15.75" customHeight="1">
      <c r="A19" s="8" t="str">
        <f>IFERROR(__xludf.DUMMYFUNCTION("""COMPUTED_VALUE"""),"https://www.reddit.com/r/b2bmarketing/comments/1rl47cr/the_10_best_visibility_companies_and_agencies_for/")</f>
        <v>https://www.reddit.com/r/b2bmarketing/comments/1rl47cr/the_10_best_visibility_companies_and_agencies_for/</v>
      </c>
      <c r="B19" s="11" t="str">
        <f>IFERROR(__xludf.DUMMYFUNCTION("""COMPUTED_VALUE"""),"The 10 Best Visibility Companies and Agencies for SEO and GEO?")</f>
        <v>The 10 Best Visibility Companies and Agencies for SEO and GEO?</v>
      </c>
      <c r="C19" s="8"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IFERROR(__xludf.DUMMYFUNCTION("""COMPUTED_VALUE"""),"Huge, Omnius, Siege Media, Single Grain, iPullRank")</f>
        <v>Huge, Omnius, Siege Media, Single Grain, iPullRank</v>
      </c>
      <c r="I19" s="11">
        <f>IFERROR(__xludf.DUMMYFUNCTION("""COMPUTED_VALUE"""),1.0)</f>
        <v>1</v>
      </c>
      <c r="J19" s="11">
        <f>IFERROR(__xludf.DUMMYFUNCTION("""COMPUTED_VALUE"""),0.0)</f>
        <v>0</v>
      </c>
      <c r="K19" s="11">
        <f>IFERROR(__xludf.DUMMYFUNCTION("""COMPUTED_VALUE"""),1.0)</f>
        <v>1</v>
      </c>
    </row>
    <row r="20" ht="15.75" customHeight="1">
      <c r="A20" s="8" t="str">
        <f>IFERROR(__xludf.DUMMYFUNCTION("""COMPUTED_VALUE"""),"https://www.reddit.com/r/b2bmarketing/comments/1t546si/the_7_leading_ai_seo_agencies_for_modern_search/")</f>
        <v>https://www.reddit.com/r/b2bmarketing/comments/1t546si/the_7_leading_ai_seo_agencies_for_modern_search/</v>
      </c>
      <c r="B20" s="11" t="str">
        <f>IFERROR(__xludf.DUMMYFUNCTION("""COMPUTED_VALUE"""),"The 7 Leading AI SEO Agencies for Modern Search")</f>
        <v>The 7 Leading AI SEO Agencies for Modern Search</v>
      </c>
      <c r="C20" s="8" t="str">
        <f>IFERROR(__xludf.DUMMYFUNCTION("""COMPUTED_VALUE"""),"reddit.com")</f>
        <v>reddit.com</v>
      </c>
      <c r="D20" s="11" t="str">
        <f>IFERROR(__xludf.DUMMYFUNCTION("""COMPUTED_VALUE"""),"DISCUSSION")</f>
        <v>DISCUSSION</v>
      </c>
      <c r="E20" s="11" t="str">
        <f>IFERROR(__xludf.DUMMYFUNCTION("""COMPUTED_VALUE"""),"UGC")</f>
        <v>UGC</v>
      </c>
      <c r="F20" s="11" t="str">
        <f>IFERROR(__xludf.DUMMYFUNCTION("""COMPUTED_VALUE"""),"Discussion")</f>
        <v>Discussion</v>
      </c>
      <c r="G20" s="11" t="b">
        <f>IFERROR(__xludf.DUMMYFUNCTION("""COMPUTED_VALUE"""),FALSE)</f>
        <v>0</v>
      </c>
      <c r="H20" s="11" t="str">
        <f>IFERROR(__xludf.DUMMYFUNCTION("""COMPUTED_VALUE"""),"Omniscient Digital, Siege Media, iPullRank")</f>
        <v>Omniscient Digital, Siege Media, iPullRank</v>
      </c>
      <c r="I20" s="11">
        <f>IFERROR(__xludf.DUMMYFUNCTION("""COMPUTED_VALUE"""),1.0)</f>
        <v>1</v>
      </c>
      <c r="J20" s="11">
        <f>IFERROR(__xludf.DUMMYFUNCTION("""COMPUTED_VALUE"""),0.0)</f>
        <v>0</v>
      </c>
      <c r="K20" s="11">
        <f>IFERROR(__xludf.DUMMYFUNCTION("""COMPUTED_VALUE"""),0.0)</f>
        <v>0</v>
      </c>
    </row>
    <row r="21" ht="15.75" customHeight="1">
      <c r="A21" s="8" t="str">
        <f>IFERROR(__xludf.DUMMYFUNCTION("""COMPUTED_VALUE"""),"https://www.reddit.com/r/u_Emkutis/comments/1u2d4ma/the_best_geo_ai_search_agencies_in_europe_in_2026/")</f>
        <v>https://www.reddit.com/r/u_Emkutis/comments/1u2d4ma/the_best_geo_ai_search_agencies_in_europe_in_2026/</v>
      </c>
      <c r="B21" s="11" t="str">
        <f>IFERROR(__xludf.DUMMYFUNCTION("""COMPUTED_VALUE"""),"The best GEO (AI search) agencies in Europe in 2026, ranked")</f>
        <v>The best GEO (AI search) agencies in Europe in 2026, ranked</v>
      </c>
      <c r="C21" s="8" t="str">
        <f>IFERROR(__xludf.DUMMYFUNCTION("""COMPUTED_VALUE"""),"reddit.com")</f>
        <v>reddit.com</v>
      </c>
      <c r="D21" s="11" t="str">
        <f>IFERROR(__xludf.DUMMYFUNCTION("""COMPUTED_VALUE"""),"DISCUSSION")</f>
        <v>DISCUSSION</v>
      </c>
      <c r="E21" s="11" t="str">
        <f>IFERROR(__xludf.DUMMYFUNCTION("""COMPUTED_VALUE"""),"UGC")</f>
        <v>UGC</v>
      </c>
      <c r="F21" s="11" t="str">
        <f>IFERROR(__xludf.DUMMYFUNCTION("""COMPUTED_VALUE"""),"Discussion")</f>
        <v>Discussion</v>
      </c>
      <c r="G21" s="11" t="b">
        <f>IFERROR(__xludf.DUMMYFUNCTION("""COMPUTED_VALUE"""),FALSE)</f>
        <v>0</v>
      </c>
      <c r="H21" s="11" t="str">
        <f>IFERROR(__xludf.DUMMYFUNCTION("""COMPUTED_VALUE"""),"Radyant, Omnius, Peak Ace, Measured")</f>
        <v>Radyant, Omnius, Peak Ace, Measured</v>
      </c>
      <c r="I21" s="11">
        <f>IFERROR(__xludf.DUMMYFUNCTION("""COMPUTED_VALUE"""),1.0)</f>
        <v>1</v>
      </c>
      <c r="J21" s="11">
        <f>IFERROR(__xludf.DUMMYFUNCTION("""COMPUTED_VALUE"""),0.0)</f>
        <v>0</v>
      </c>
      <c r="K21" s="11">
        <f>IFERROR(__xludf.DUMMYFUNCTION("""COMPUTED_VALUE"""),1.0)</f>
        <v>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s>
  <drawing r:id="rId4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All'!A2:A1000)),""quora"")
  ),
  """"
)"),"https://www.quora.com/What-are-Berlins-best-creative-agencies-in-advertising-digital-and-production")</f>
        <v>https://www.quora.com/What-are-Berlins-best-creative-agencies-in-advertising-digital-and-production</v>
      </c>
      <c r="B2" s="11"/>
      <c r="C2" s="8" t="str">
        <f>IFERROR(__xludf.DUMMYFUNCTION("""COMPUTED_VALUE"""),"quora.com")</f>
        <v>quora.com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IFERROR(__xludf.DUMMYFUNCTION("""COMPUTED_VALUE"""),"Huge, Jung von Matt, Scholz &amp; Friends, AKQA, Ogilvy")</f>
        <v>Huge, Jung von Matt, Scholz &amp; Friends, AKQA, Ogilvy</v>
      </c>
      <c r="I2" s="11">
        <f>IFERROR(__xludf.DUMMYFUNCTION("""COMPUTED_VALUE"""),1.0)</f>
        <v>1</v>
      </c>
      <c r="J2" s="11">
        <f>IFERROR(__xludf.DUMMYFUNCTION("""COMPUTED_VALUE"""),0.0)</f>
        <v>0</v>
      </c>
      <c r="K2" s="11">
        <f>IFERROR(__xludf.DUMMYFUNCTION("""COMPUTED_VALUE"""),1.0)</f>
        <v>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11" t="str">
        <f>IFERROR(__xludf.DUMMYFUNCTION("IFERROR(
  FILTER(
    'PEEC - URLs - All'!A2:K1000,
    REGEXMATCH(LOWER(TO_TEXT('PEEC - URLs - All'!A2:A1000)),""medium"")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)"),"https://www.crunchbase.com/organization/incrmntal")</f>
        <v>https://www.crunchbase.com/organization/incrmntal</v>
      </c>
      <c r="B2" s="11" t="str">
        <f>IFERROR(__xludf.DUMMYFUNCTION("""COMPUTED_VALUE"""),"INCRMNTAL - Crunchbase Company Profile &amp; Funding")</f>
        <v>INCRMNTAL - Crunchbase Company Profile &amp; Funding</v>
      </c>
      <c r="C2" s="8" t="str">
        <f>IFERROR(__xludf.DUMMYFUNCTION("""COMPUTED_VALUE"""),"crunchbase.com")</f>
        <v>crunchbase.com</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IFERROR(__xludf.DUMMYFUNCTION("""COMPUTED_VALUE"""),"INCRMNTAL, Haus")</f>
        <v>INCRMNTAL, Haus</v>
      </c>
      <c r="I2" s="11">
        <f>IFERROR(__xludf.DUMMYFUNCTION("""COMPUTED_VALUE"""),1.0)</f>
        <v>1</v>
      </c>
      <c r="J2" s="11">
        <f>IFERROR(__xludf.DUMMYFUNCTION("""COMPUTED_VALUE"""),0.0)</f>
        <v>0</v>
      </c>
      <c r="K2" s="11">
        <f>IFERROR(__xludf.DUMMYFUNCTION("""COMPUTED_VALUE"""),1.0)</f>
        <v>1</v>
      </c>
    </row>
    <row r="3" ht="15.75" customHeight="1">
      <c r="A3" s="8" t="str">
        <f>IFERROR(__xludf.DUMMYFUNCTION("""COMPUTED_VALUE"""),"https://pipeline.zoominfo.com/sales/intent-data-platform")</f>
        <v>https://pipeline.zoominfo.com/sales/intent-data-platform</v>
      </c>
      <c r="B3" s="11" t="str">
        <f>IFERROR(__xludf.DUMMYFUNCTION("""COMPUTED_VALUE"""),"Best Intent Data Platforms in 2026: Identify In-Market B2B Accounts Fast")</f>
        <v>Best Intent Data Platforms in 2026: Identify In-Market B2B Accounts Fast</v>
      </c>
      <c r="C3" s="8" t="str">
        <f>IFERROR(__xludf.DUMMYFUNCTION("""COMPUTED_VALUE"""),"zoominfo.com")</f>
        <v>zoominfo.com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c r="I3" s="11">
        <f>IFERROR(__xludf.DUMMYFUNCTION("""COMPUTED_VALUE"""),1.0)</f>
        <v>1</v>
      </c>
      <c r="J3" s="11">
        <f>IFERROR(__xludf.DUMMYFUNCTION("""COMPUTED_VALUE"""),0.0)</f>
        <v>0</v>
      </c>
      <c r="K3" s="11">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All'!A2:A1000)),""facebook"")
  ),
  """"
)"),"https://www.influencer-hero.com/blogs/top-facebook-advertising-agencies-in-germany")</f>
        <v>https://www.influencer-hero.com/blogs/top-facebook-advertising-agencies-in-germany</v>
      </c>
      <c r="B2" s="11" t="str">
        <f>IFERROR(__xludf.DUMMYFUNCTION("""COMPUTED_VALUE"""),"Top 10 Facebook Advertising Agencies in Germany")</f>
        <v>Top 10 Facebook Advertising Agencies in Germany</v>
      </c>
      <c r="C2" s="8" t="str">
        <f>IFERROR(__xludf.DUMMYFUNCTION("""COMPUTED_VALUE"""),"influencer-hero.com")</f>
        <v>influencer-hero.com</v>
      </c>
      <c r="D2" s="11" t="str">
        <f>IFERROR(__xludf.DUMMYFUNCTION("""COMPUTED_VALUE"""),"LISTICLE")</f>
        <v>LISTICLE</v>
      </c>
      <c r="E2" s="11" t="str">
        <f>IFERROR(__xludf.DUMMYFUNCTION("""COMPUTED_VALUE"""),"CORPORATE")</f>
        <v>CORPORATE</v>
      </c>
      <c r="F2" s="11" t="str">
        <f>IFERROR(__xludf.DUMMYFUNCTION("""COMPUTED_VALUE"""),"Listicle")</f>
        <v>Listicle</v>
      </c>
      <c r="G2" s="11" t="b">
        <f>IFERROR(__xludf.DUMMYFUNCTION("""COMPUTED_VALUE"""),FALSE)</f>
        <v>0</v>
      </c>
      <c r="H2" s="11" t="str">
        <f>IFERROR(__xludf.DUMMYFUNCTION("""COMPUTED_VALUE"""),"MONSOON, DREIKON, Social Media One, Globalist, Mawave")</f>
        <v>MONSOON, DREIKON, Social Media One, Globalist, Mawave</v>
      </c>
      <c r="I2" s="11">
        <f>IFERROR(__xludf.DUMMYFUNCTION("""COMPUTED_VALUE"""),12.0)</f>
        <v>12</v>
      </c>
      <c r="J2" s="11">
        <f>IFERROR(__xludf.DUMMYFUNCTION("""COMPUTED_VALUE"""),0.01)</f>
        <v>0.01</v>
      </c>
      <c r="K2" s="11">
        <f>IFERROR(__xludf.DUMMYFUNCTION("""COMPUTED_VALUE"""),2.0)</f>
        <v>2</v>
      </c>
    </row>
    <row r="3" ht="15.75" customHeight="1">
      <c r="A3" s="8" t="str">
        <f>IFERROR(__xludf.DUMMYFUNCTION("""COMPUTED_VALUE"""),"https://www.influencer-hero.com/it/blogs/top-facebook-advertising-agencies-in-germany")</f>
        <v>https://www.influencer-hero.com/it/blogs/top-facebook-advertising-agencies-in-germany</v>
      </c>
      <c r="B3" s="11" t="str">
        <f>IFERROR(__xludf.DUMMYFUNCTION("""COMPUTED_VALUE"""),"I top 10 agenzie pubblicitarie Facebook in Germania")</f>
        <v>I top 10 agenzie pubblicitarie Facebook in Germania</v>
      </c>
      <c r="C3" s="8" t="str">
        <f>IFERROR(__xludf.DUMMYFUNCTION("""COMPUTED_VALUE"""),"influencer-hero.com")</f>
        <v>influencer-hero.com</v>
      </c>
      <c r="D3" s="11" t="str">
        <f>IFERROR(__xludf.DUMMYFUNCTION("""COMPUTED_VALUE"""),"LISTICLE")</f>
        <v>LISTICLE</v>
      </c>
      <c r="E3" s="11" t="str">
        <f>IFERROR(__xludf.DUMMYFUNCTION("""COMPUTED_VALUE"""),"CORPORATE")</f>
        <v>CORPORATE</v>
      </c>
      <c r="F3" s="11" t="str">
        <f>IFERROR(__xludf.DUMMYFUNCTION("""COMPUTED_VALUE"""),"Listicle")</f>
        <v>Listicle</v>
      </c>
      <c r="G3" s="11" t="b">
        <f>IFERROR(__xludf.DUMMYFUNCTION("""COMPUTED_VALUE"""),FALSE)</f>
        <v>0</v>
      </c>
      <c r="H3" s="11" t="str">
        <f>IFERROR(__xludf.DUMMYFUNCTION("""COMPUTED_VALUE"""),"MONSOON, DREIKON, Social Media One, Globalist, Mawave")</f>
        <v>MONSOON, DREIKON, Social Media One, Globalist, Mawave</v>
      </c>
      <c r="I3" s="11">
        <f>IFERROR(__xludf.DUMMYFUNCTION("""COMPUTED_VALUE"""),10.0)</f>
        <v>10</v>
      </c>
      <c r="J3" s="11">
        <f>IFERROR(__xludf.DUMMYFUNCTION("""COMPUTED_VALUE"""),0.01)</f>
        <v>0.01</v>
      </c>
      <c r="K3" s="11">
        <f>IFERROR(__xludf.DUMMYFUNCTION("""COMPUTED_VALUE"""),0.0)</f>
        <v>0</v>
      </c>
    </row>
    <row r="4" ht="15.75" customHeight="1">
      <c r="A4" s="8" t="str">
        <f>IFERROR(__xludf.DUMMYFUNCTION("""COMPUTED_VALUE"""),"https://www.influencer-hero.com/fr/blogs/top-facebook-advertising-agencies-in-germany")</f>
        <v>https://www.influencer-hero.com/fr/blogs/top-facebook-advertising-agencies-in-germany</v>
      </c>
      <c r="B4" s="11" t="str">
        <f>IFERROR(__xludf.DUMMYFUNCTION("""COMPUTED_VALUE"""),"Top 10 agences de publicité Facebook en Allemagne")</f>
        <v>Top 10 agences de publicité Facebook en Allemagne</v>
      </c>
      <c r="C4" s="8" t="str">
        <f>IFERROR(__xludf.DUMMYFUNCTION("""COMPUTED_VALUE"""),"influencer-hero.com")</f>
        <v>influencer-hero.com</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IFERROR(__xludf.DUMMYFUNCTION("""COMPUTED_VALUE"""),"MONSOON, DREIKON, Social Media One, Globalist, Mawave")</f>
        <v>MONSOON, DREIKON, Social Media One, Globalist, Mawave</v>
      </c>
      <c r="I4" s="11">
        <f>IFERROR(__xludf.DUMMYFUNCTION("""COMPUTED_VALUE"""),9.0)</f>
        <v>9</v>
      </c>
      <c r="J4" s="11">
        <f>IFERROR(__xludf.DUMMYFUNCTION("""COMPUTED_VALUE"""),0.01)</f>
        <v>0.01</v>
      </c>
      <c r="K4" s="11">
        <f>IFERROR(__xludf.DUMMYFUNCTION("""COMPUTED_VALUE"""),0.44)</f>
        <v>0.44</v>
      </c>
    </row>
    <row r="5" ht="15.75" customHeight="1">
      <c r="A5" s="8" t="str">
        <f>IFERROR(__xludf.DUMMYFUNCTION("""COMPUTED_VALUE"""),"https://agencies.semrush.com/list/facebook-advertising/germany/")</f>
        <v>https://agencies.semrush.com/list/facebook-advertising/germany/</v>
      </c>
      <c r="B5" s="11" t="str">
        <f>IFERROR(__xludf.DUMMYFUNCTION("""COMPUTED_VALUE"""),"Best Facebook Advertising Agencies in Germany 2026 | Semrush")</f>
        <v>Best Facebook Advertising Agencies in Germany 2026 | Semrush</v>
      </c>
      <c r="C5" s="8" t="str">
        <f>IFERROR(__xludf.DUMMYFUNCTION("""COMPUTED_VALUE"""),"semrush.com")</f>
        <v>semrush.com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IFERROR(__xludf.DUMMYFUNCTION("""COMPUTED_VALUE"""),"Baseplus DIGITAL MEDIA GmbH, Mediaplus Performance, MONSOON")</f>
        <v>Baseplus DIGITAL MEDIA GmbH, Mediaplus Performance, MONSOON</v>
      </c>
      <c r="I5" s="11">
        <f>IFERROR(__xludf.DUMMYFUNCTION("""COMPUTED_VALUE"""),1.0)</f>
        <v>1</v>
      </c>
      <c r="J5" s="11">
        <f>IFERROR(__xludf.DUMMYFUNCTION("""COMPUTED_VALUE"""),0.0)</f>
        <v>0</v>
      </c>
      <c r="K5" s="11">
        <f>IFERROR(__xludf.DUMMYFUNCTION("""COMPUTED_VALUE"""),0.0)</f>
        <v>0</v>
      </c>
    </row>
    <row r="6" ht="15.75" customHeight="1">
      <c r="A6" s="8" t="str">
        <f>IFERROR(__xludf.DUMMYFUNCTION("""COMPUTED_VALUE"""),"https://www.facebook.com/incrmntal/")</f>
        <v>https://www.facebook.com/incrmntal/</v>
      </c>
      <c r="B6" s="11"/>
      <c r="C6" s="8" t="str">
        <f>IFERROR(__xludf.DUMMYFUNCTION("""COMPUTED_VALUE"""),"facebook.com")</f>
        <v>facebook.com</v>
      </c>
      <c r="D6" s="11" t="str">
        <f>IFERROR(__xludf.DUMMYFUNCTION("""COMPUTED_VALUE"""),"OTHER")</f>
        <v>OTHER</v>
      </c>
      <c r="E6" s="11" t="str">
        <f>IFERROR(__xludf.DUMMYFUNCTION("""COMPUTED_VALUE"""),"OTHER")</f>
        <v>OTHER</v>
      </c>
      <c r="F6" s="11" t="str">
        <f>IFERROR(__xludf.DUMMYFUNCTION("""COMPUTED_VALUE"""),"Other")</f>
        <v>Other</v>
      </c>
      <c r="G6" s="11"/>
      <c r="H6" s="11" t="str">
        <f>IFERROR(__xludf.DUMMYFUNCTION("""COMPUTED_VALUE"""),"Unknown")</f>
        <v>Unknown</v>
      </c>
      <c r="I6" s="11">
        <f>IFERROR(__xludf.DUMMYFUNCTION("""COMPUTED_VALUE"""),1.0)</f>
        <v>1</v>
      </c>
      <c r="J6" s="11">
        <f>IFERROR(__xludf.DUMMYFUNCTION("""COMPUTED_VALUE"""),0.0)</f>
        <v>0</v>
      </c>
      <c r="K6" s="11">
        <f>IFERROR(__xludf.DUMMYFUNCTION("""COMPUTED_VALUE"""),1.0)</f>
        <v>1</v>
      </c>
    </row>
    <row r="7" ht="15.75" customHeight="1">
      <c r="A7" s="8" t="str">
        <f>IFERROR(__xludf.DUMMYFUNCTION("""COMPUTED_VALUE"""),"https://www.sortlist.de/s/facebook-advertising/deutschland-de")</f>
        <v>https://www.sortlist.de/s/facebook-advertising/deutschland-de</v>
      </c>
      <c r="B7" s="11" t="str">
        <f>IFERROR(__xludf.DUMMYFUNCTION("""COMPUTED_VALUE"""),"Unsere 10 Besten Facebook-Werbung Agenturen in Deutschland - 2026 Bewertungen")</f>
        <v>Unsere 10 Besten Facebook-Werbung Agenturen in Deutschland - 2026 Bewertungen</v>
      </c>
      <c r="C7" s="8" t="str">
        <f>IFERROR(__xludf.DUMMYFUNCTION("""COMPUTED_VALUE"""),"sortlist.de")</f>
        <v>sortlist.de</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IFERROR(__xludf.DUMMYFUNCTION("""COMPUTED_VALUE"""),"lehof, MONSOON, Triple Whale, Northbeam, Dreamdata, PANORAMA3000")</f>
        <v>lehof, MONSOON, Triple Whale, Northbeam, Dreamdata, PANORAMA3000</v>
      </c>
      <c r="I7" s="11">
        <f>IFERROR(__xludf.DUMMYFUNCTION("""COMPUTED_VALUE"""),1.0)</f>
        <v>1</v>
      </c>
      <c r="J7" s="11">
        <f>IFERROR(__xludf.DUMMYFUNCTION("""COMPUTED_VALUE"""),0.0)</f>
        <v>0</v>
      </c>
      <c r="K7" s="11">
        <f>IFERROR(__xludf.DUMMYFUNCTION("""COMPUTED_VALUE"""),0.0)</f>
        <v>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s>
  <drawing r:id="rId1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All'!A2:A1000)),""linkedin"")
  ),
  """"
)"),"https://de.linkedin.com/company/jung-von-matt")</f>
        <v>https://de.linkedin.com/company/jung-von-matt</v>
      </c>
      <c r="B2" s="11" t="str">
        <f>IFERROR(__xludf.DUMMYFUNCTION("""COMPUTED_VALUE"""),"Jung von Matt | LinkedIn")</f>
        <v>Jung von Matt | LinkedIn</v>
      </c>
      <c r="C2" s="8" t="str">
        <f>IFERROR(__xludf.DUMMYFUNCTION("""COMPUTED_VALUE"""),"linkedin.com")</f>
        <v>linkedin.com</v>
      </c>
      <c r="D2" s="11" t="str">
        <f>IFERROR(__xludf.DUMMYFUNCTION("""COMPUTED_VALUE"""),"PROFILE")</f>
        <v>PROFILE</v>
      </c>
      <c r="E2" s="11" t="str">
        <f>IFERROR(__xludf.DUMMYFUNCTION("""COMPUTED_VALUE"""),"UGC")</f>
        <v>UGC</v>
      </c>
      <c r="F2" s="11" t="str">
        <f>IFERROR(__xludf.DUMMYFUNCTION("""COMPUTED_VALUE"""),"Profile")</f>
        <v>Profile</v>
      </c>
      <c r="G2" s="11" t="b">
        <f>IFERROR(__xludf.DUMMYFUNCTION("""COMPUTED_VALUE"""),FALSE)</f>
        <v>0</v>
      </c>
      <c r="H2" s="11" t="str">
        <f>IFERROR(__xludf.DUMMYFUNCTION("""COMPUTED_VALUE"""),"Jung von Matt, Momentum, R/GA, Scholz &amp; Friends, Serviceplan Group")</f>
        <v>Jung von Matt, Momentum, R/GA, Scholz &amp; Friends, Serviceplan Group</v>
      </c>
      <c r="I2" s="11">
        <f>IFERROR(__xludf.DUMMYFUNCTION("""COMPUTED_VALUE"""),6.0)</f>
        <v>6</v>
      </c>
      <c r="J2" s="11">
        <f>IFERROR(__xludf.DUMMYFUNCTION("""COMPUTED_VALUE"""),0.01)</f>
        <v>0.01</v>
      </c>
      <c r="K2" s="11">
        <f>IFERROR(__xludf.DUMMYFUNCTION("""COMPUTED_VALUE"""),1.0)</f>
        <v>1</v>
      </c>
    </row>
    <row r="3" ht="15.75" customHeight="1">
      <c r="A3" s="8" t="str">
        <f>IFERROR(__xludf.DUMMYFUNCTION("""COMPUTED_VALUE"""),"https://de.linkedin.com/company/mawave-marketing")</f>
        <v>https://de.linkedin.com/company/mawave-marketing</v>
      </c>
      <c r="B3" s="11" t="str">
        <f>IFERROR(__xludf.DUMMYFUNCTION("""COMPUTED_VALUE"""),"Mawave | LinkedIn")</f>
        <v>Mawave | LinkedIn</v>
      </c>
      <c r="C3" s="8" t="str">
        <f>IFERROR(__xludf.DUMMYFUNCTION("""COMPUTED_VALUE"""),"linkedin.com")</f>
        <v>linkedin.com</v>
      </c>
      <c r="D3" s="11" t="str">
        <f>IFERROR(__xludf.DUMMYFUNCTION("""COMPUTED_VALUE"""),"PROFILE")</f>
        <v>PROFILE</v>
      </c>
      <c r="E3" s="11" t="str">
        <f>IFERROR(__xludf.DUMMYFUNCTION("""COMPUTED_VALUE"""),"UGC")</f>
        <v>UGC</v>
      </c>
      <c r="F3" s="11" t="str">
        <f>IFERROR(__xludf.DUMMYFUNCTION("""COMPUTED_VALUE"""),"Profile")</f>
        <v>Profile</v>
      </c>
      <c r="G3" s="11" t="b">
        <f>IFERROR(__xludf.DUMMYFUNCTION("""COMPUTED_VALUE"""),FALSE)</f>
        <v>0</v>
      </c>
      <c r="H3" s="11" t="str">
        <f>IFERROR(__xludf.DUMMYFUNCTION("""COMPUTED_VALUE"""),"Mawave, Serviceplan Group")</f>
        <v>Mawave, Serviceplan Group</v>
      </c>
      <c r="I3" s="11">
        <f>IFERROR(__xludf.DUMMYFUNCTION("""COMPUTED_VALUE"""),4.0)</f>
        <v>4</v>
      </c>
      <c r="J3" s="11">
        <f>IFERROR(__xludf.DUMMYFUNCTION("""COMPUTED_VALUE"""),0.0)</f>
        <v>0</v>
      </c>
      <c r="K3" s="11">
        <f>IFERROR(__xludf.DUMMYFUNCTION("""COMPUTED_VALUE"""),1.25)</f>
        <v>1.25</v>
      </c>
    </row>
    <row r="4" ht="15.75" customHeight="1">
      <c r="A4" s="8" t="str">
        <f>IFERROR(__xludf.DUMMYFUNCTION("""COMPUTED_VALUE"""),"https://de.linkedin.com/company/the-boutique-agency-de")</f>
        <v>https://de.linkedin.com/company/the-boutique-agency-de</v>
      </c>
      <c r="B4" s="11" t="str">
        <f>IFERROR(__xludf.DUMMYFUNCTION("""COMPUTED_VALUE"""),"The Boutique Agency | LinkedIn")</f>
        <v>The Boutique Agency | LinkedIn</v>
      </c>
      <c r="C4" s="8" t="str">
        <f>IFERROR(__xludf.DUMMYFUNCTION("""COMPUTED_VALUE"""),"linkedin.com")</f>
        <v>linkedin.com</v>
      </c>
      <c r="D4" s="11" t="str">
        <f>IFERROR(__xludf.DUMMYFUNCTION("""COMPUTED_VALUE"""),"PROFILE")</f>
        <v>PROFILE</v>
      </c>
      <c r="E4" s="11" t="str">
        <f>IFERROR(__xludf.DUMMYFUNCTION("""COMPUTED_VALUE"""),"UGC")</f>
        <v>UGC</v>
      </c>
      <c r="F4" s="11" t="str">
        <f>IFERROR(__xludf.DUMMYFUNCTION("""COMPUTED_VALUE"""),"Profile")</f>
        <v>Profile</v>
      </c>
      <c r="G4" s="11" t="b">
        <f>IFERROR(__xludf.DUMMYFUNCTION("""COMPUTED_VALUE"""),FALSE)</f>
        <v>0</v>
      </c>
      <c r="H4" s="11" t="str">
        <f>IFERROR(__xludf.DUMMYFUNCTION("""COMPUTED_VALUE"""),"The Boutique Agency, eMinded GmbH, Serviceplan Group, Smarketer, Loyamo")</f>
        <v>The Boutique Agency, eMinded GmbH, Serviceplan Group, Smarketer, Loyamo</v>
      </c>
      <c r="I4" s="11">
        <f>IFERROR(__xludf.DUMMYFUNCTION("""COMPUTED_VALUE"""),3.0)</f>
        <v>3</v>
      </c>
      <c r="J4" s="11">
        <f>IFERROR(__xludf.DUMMYFUNCTION("""COMPUTED_VALUE"""),0.0)</f>
        <v>0</v>
      </c>
      <c r="K4" s="11">
        <f>IFERROR(__xludf.DUMMYFUNCTION("""COMPUTED_VALUE"""),1.33)</f>
        <v>1.33</v>
      </c>
    </row>
    <row r="5" ht="15.75" customHeight="1">
      <c r="A5" s="8" t="str">
        <f>IFERROR(__xludf.DUMMYFUNCTION("""COMPUTED_VALUE"""),"https://www.magiclibrary.co/blog/best-linkedin-ads-agency-in-germany")</f>
        <v>https://www.magiclibrary.co/blog/best-linkedin-ads-agency-in-germany</v>
      </c>
      <c r="B5" s="11" t="str">
        <f>IFERROR(__xludf.DUMMYFUNCTION("""COMPUTED_VALUE"""),"The Best LinkedIn Ads Agency in Germany: 11 Picks for B2B (2026)")</f>
        <v>The Best LinkedIn Ads Agency in Germany: 11 Picks for B2B (2026)</v>
      </c>
      <c r="C5" s="8" t="str">
        <f>IFERROR(__xludf.DUMMYFUNCTION("""COMPUTED_VALUE"""),"magiclibrary.co")</f>
        <v>magiclibrary.co</v>
      </c>
      <c r="D5" s="11" t="str">
        <f>IFERROR(__xludf.DUMMYFUNCTION("""COMPUTED_VALUE"""),"LISTICLE")</f>
        <v>LISTICLE</v>
      </c>
      <c r="E5" s="11" t="str">
        <f>IFERROR(__xludf.DUMMYFUNCTION("""COMPUTED_VALUE"""),"REFERENCE")</f>
        <v>REFERENCE</v>
      </c>
      <c r="F5" s="11" t="str">
        <f>IFERROR(__xludf.DUMMYFUNCTION("""COMPUTED_VALUE"""),"Listicle")</f>
        <v>Listicle</v>
      </c>
      <c r="G5" s="11" t="b">
        <f>IFERROR(__xludf.DUMMYFUNCTION("""COMPUTED_VALUE"""),FALSE)</f>
        <v>0</v>
      </c>
      <c r="H5" s="11" t="str">
        <f>IFERROR(__xludf.DUMMYFUNCTION("""COMPUTED_VALUE"""),"Loyamo, morefire, MONSOON")</f>
        <v>Loyamo, morefire, MONSOON</v>
      </c>
      <c r="I5" s="11">
        <f>IFERROR(__xludf.DUMMYFUNCTION("""COMPUTED_VALUE"""),3.0)</f>
        <v>3</v>
      </c>
      <c r="J5" s="11">
        <f>IFERROR(__xludf.DUMMYFUNCTION("""COMPUTED_VALUE"""),0.0)</f>
        <v>0</v>
      </c>
      <c r="K5" s="11">
        <f>IFERROR(__xludf.DUMMYFUNCTION("""COMPUTED_VALUE"""),1.0)</f>
        <v>1</v>
      </c>
    </row>
    <row r="6" ht="15.75" customHeight="1">
      <c r="A6" s="8" t="str">
        <f>IFERROR(__xludf.DUMMYFUNCTION("""COMPUTED_VALUE"""),"https://de.linkedin.com/company/bbdo-holding-germany")</f>
        <v>https://de.linkedin.com/company/bbdo-holding-germany</v>
      </c>
      <c r="B6" s="11" t="str">
        <f>IFERROR(__xludf.DUMMYFUNCTION("""COMPUTED_VALUE"""),"BBDO Germany | LinkedIn")</f>
        <v>BBDO Germany | LinkedIn</v>
      </c>
      <c r="C6" s="8" t="str">
        <f>IFERROR(__xludf.DUMMYFUNCTION("""COMPUTED_VALUE"""),"linkedin.com")</f>
        <v>linkedin.com</v>
      </c>
      <c r="D6" s="11" t="str">
        <f>IFERROR(__xludf.DUMMYFUNCTION("""COMPUTED_VALUE"""),"PROFILE")</f>
        <v>PROFILE</v>
      </c>
      <c r="E6" s="11" t="str">
        <f>IFERROR(__xludf.DUMMYFUNCTION("""COMPUTED_VALUE"""),"UGC")</f>
        <v>UGC</v>
      </c>
      <c r="F6" s="11" t="str">
        <f>IFERROR(__xludf.DUMMYFUNCTION("""COMPUTED_VALUE"""),"Profile")</f>
        <v>Profile</v>
      </c>
      <c r="G6" s="11" t="b">
        <f>IFERROR(__xludf.DUMMYFUNCTION("""COMPUTED_VALUE"""),FALSE)</f>
        <v>0</v>
      </c>
      <c r="H6" s="11" t="str">
        <f>IFERROR(__xludf.DUMMYFUNCTION("""COMPUTED_VALUE"""),"BBDO Germany, Huge, Omnicom, DDB Germany, Scholz &amp; Friends, Jung von Matt, Serviceplan Group, Ogilvy")</f>
        <v>BBDO Germany, Huge, Omnicom, DDB Germany, Scholz &amp; Friends, Jung von Matt, Serviceplan Group, Ogilvy</v>
      </c>
      <c r="I6" s="11">
        <f>IFERROR(__xludf.DUMMYFUNCTION("""COMPUTED_VALUE"""),2.0)</f>
        <v>2</v>
      </c>
      <c r="J6" s="11">
        <f>IFERROR(__xludf.DUMMYFUNCTION("""COMPUTED_VALUE"""),0.0)</f>
        <v>0</v>
      </c>
      <c r="K6" s="11">
        <f>IFERROR(__xludf.DUMMYFUNCTION("""COMPUTED_VALUE"""),1.0)</f>
        <v>1</v>
      </c>
    </row>
    <row r="7" ht="15.75" customHeight="1">
      <c r="A7" s="8" t="str">
        <f>IFERROR(__xludf.DUMMYFUNCTION("""COMPUTED_VALUE"""),"https://de.linkedin.com/company/trkkn")</f>
        <v>https://de.linkedin.com/company/trkkn</v>
      </c>
      <c r="B7" s="11" t="str">
        <f>IFERROR(__xludf.DUMMYFUNCTION("""COMPUTED_VALUE"""),"TRKKN \| LinkedIn")</f>
        <v>TRKKN \| LinkedIn</v>
      </c>
      <c r="C7" s="8" t="str">
        <f>IFERROR(__xludf.DUMMYFUNCTION("""COMPUTED_VALUE"""),"linkedin.com")</f>
        <v>linkedin.com</v>
      </c>
      <c r="D7" s="11" t="str">
        <f>IFERROR(__xludf.DUMMYFUNCTION("""COMPUTED_VALUE"""),"PROFILE")</f>
        <v>PROFILE</v>
      </c>
      <c r="E7" s="11" t="str">
        <f>IFERROR(__xludf.DUMMYFUNCTION("""COMPUTED_VALUE"""),"UGC")</f>
        <v>UGC</v>
      </c>
      <c r="F7" s="11" t="str">
        <f>IFERROR(__xludf.DUMMYFUNCTION("""COMPUTED_VALUE"""),"Profile")</f>
        <v>Profile</v>
      </c>
      <c r="G7" s="11" t="b">
        <f>IFERROR(__xludf.DUMMYFUNCTION("""COMPUTED_VALUE"""),FALSE)</f>
        <v>0</v>
      </c>
      <c r="H7" s="11" t="str">
        <f>IFERROR(__xludf.DUMMYFUNCTION("""COMPUTED_VALUE"""),"Omnicom, Omnicom Media Group, Huge, Measured, Dentsu, Jellyfish, Merkle")</f>
        <v>Omnicom, Omnicom Media Group, Huge, Measured, Dentsu, Jellyfish, Merkle</v>
      </c>
      <c r="I7" s="11">
        <f>IFERROR(__xludf.DUMMYFUNCTION("""COMPUTED_VALUE"""),2.0)</f>
        <v>2</v>
      </c>
      <c r="J7" s="11">
        <f>IFERROR(__xludf.DUMMYFUNCTION("""COMPUTED_VALUE"""),0.0)</f>
        <v>0</v>
      </c>
      <c r="K7" s="11">
        <f>IFERROR(__xludf.DUMMYFUNCTION("""COMPUTED_VALUE"""),1.0)</f>
        <v>1</v>
      </c>
    </row>
    <row r="8" ht="15.75" customHeight="1">
      <c r="A8" s="8" t="str">
        <f>IFERROR(__xludf.DUMMYFUNCTION("""COMPUTED_VALUE"""),"https://www.linkedin.com/posts/landwehr_most-seo-agencies-are-now-geo-agencies-activity-7440030279630680064-yR88")</f>
        <v>https://www.linkedin.com/posts/landwehr_most-seo-agencies-are-now-geo-agencies-activity-7440030279630680064-yR88</v>
      </c>
      <c r="B8" s="11" t="str">
        <f>IFERROR(__xludf.DUMMYFUNCTION("""COMPUTED_VALUE"""),"Most SEO agencies are now GEO agencies. iBusiness recently published a list of the top 100 SEO agencies in Germany. The ranking included - self-reported - focus areas. ➡️ 84% of SEO agencies now… | Malte Landwehr | 28 comments")</f>
        <v>Most SEO agencies are now GEO agencies. iBusiness recently published a list of the top 100 SEO agencies in Germany. The ranking included - self-reported - focus areas. ➡️ 84% of SEO agencies now… | Malte Landwehr | 28 comments</v>
      </c>
      <c r="C8" s="8" t="str">
        <f>IFERROR(__xludf.DUMMYFUNCTION("""COMPUTED_VALUE"""),"linkedin.com")</f>
        <v>linkedin.com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c r="I8" s="11">
        <f>IFERROR(__xludf.DUMMYFUNCTION("""COMPUTED_VALUE"""),2.0)</f>
        <v>2</v>
      </c>
      <c r="J8" s="11">
        <f>IFERROR(__xludf.DUMMYFUNCTION("""COMPUTED_VALUE"""),0.0)</f>
        <v>0</v>
      </c>
      <c r="K8" s="11">
        <f>IFERROR(__xludf.DUMMYFUNCTION("""COMPUTED_VALUE"""),1.0)</f>
        <v>1</v>
      </c>
    </row>
    <row r="9" ht="15.75" customHeight="1">
      <c r="A9" s="8" t="str">
        <f>IFERROR(__xludf.DUMMYFUNCTION("""COMPUTED_VALUE"""),"https://de.linkedin.com/company/ddb-germany")</f>
        <v>https://de.linkedin.com/company/ddb-germany</v>
      </c>
      <c r="B9" s="11" t="str">
        <f>IFERROR(__xludf.DUMMYFUNCTION("""COMPUTED_VALUE"""),"DDB Germany | LinkedIn")</f>
        <v>DDB Germany | LinkedIn</v>
      </c>
      <c r="C9" s="8" t="str">
        <f>IFERROR(__xludf.DUMMYFUNCTION("""COMPUTED_VALUE"""),"linkedin.com")</f>
        <v>linkedin.com</v>
      </c>
      <c r="D9" s="11" t="str">
        <f>IFERROR(__xludf.DUMMYFUNCTION("""COMPUTED_VALUE"""),"PROFILE")</f>
        <v>PROFILE</v>
      </c>
      <c r="E9" s="11" t="str">
        <f>IFERROR(__xludf.DUMMYFUNCTION("""COMPUTED_VALUE"""),"UGC")</f>
        <v>UGC</v>
      </c>
      <c r="F9" s="11" t="str">
        <f>IFERROR(__xludf.DUMMYFUNCTION("""COMPUTED_VALUE"""),"Profile")</f>
        <v>Profile</v>
      </c>
      <c r="G9" s="11" t="b">
        <f>IFERROR(__xludf.DUMMYFUNCTION("""COMPUTED_VALUE"""),FALSE)</f>
        <v>0</v>
      </c>
      <c r="H9" s="11" t="str">
        <f>IFERROR(__xludf.DUMMYFUNCTION("""COMPUTED_VALUE"""),"DDB Germany, BBDO Germany, Omnicom, Huge, Scholz &amp; Friends, Jung von Matt, Serviceplan Group")</f>
        <v>DDB Germany, BBDO Germany, Omnicom, Huge, Scholz &amp; Friends, Jung von Matt, Serviceplan Group</v>
      </c>
      <c r="I9" s="11">
        <f>IFERROR(__xludf.DUMMYFUNCTION("""COMPUTED_VALUE"""),1.0)</f>
        <v>1</v>
      </c>
      <c r="J9" s="11">
        <f>IFERROR(__xludf.DUMMYFUNCTION("""COMPUTED_VALUE"""),0.0)</f>
        <v>0</v>
      </c>
      <c r="K9" s="11">
        <f>IFERROR(__xludf.DUMMYFUNCTION("""COMPUTED_VALUE"""),1.0)</f>
        <v>1</v>
      </c>
    </row>
    <row r="10" ht="15.75" customHeight="1">
      <c r="A10" s="8" t="str">
        <f>IFERROR(__xludf.DUMMYFUNCTION("""COMPUTED_VALUE"""),"https://de.linkedin.com/company/deptagency")</f>
        <v>https://de.linkedin.com/company/deptagency</v>
      </c>
      <c r="B10" s="11" t="str">
        <f>IFERROR(__xludf.DUMMYFUNCTION("""COMPUTED_VALUE"""),"DEPT® | LinkedIn")</f>
        <v>DEPT® | LinkedIn</v>
      </c>
      <c r="C10" s="8" t="str">
        <f>IFERROR(__xludf.DUMMYFUNCTION("""COMPUTED_VALUE"""),"linkedin.com")</f>
        <v>linkedin.com</v>
      </c>
      <c r="D10" s="11" t="str">
        <f>IFERROR(__xludf.DUMMYFUNCTION("""COMPUTED_VALUE"""),"PROFILE")</f>
        <v>PROFILE</v>
      </c>
      <c r="E10" s="11" t="str">
        <f>IFERROR(__xludf.DUMMYFUNCTION("""COMPUTED_VALUE"""),"UGC")</f>
        <v>UGC</v>
      </c>
      <c r="F10" s="11" t="str">
        <f>IFERROR(__xludf.DUMMYFUNCTION("""COMPUTED_VALUE"""),"Profile")</f>
        <v>Profile</v>
      </c>
      <c r="G10" s="11" t="b">
        <f>IFERROR(__xludf.DUMMYFUNCTION("""COMPUTED_VALUE"""),FALSE)</f>
        <v>0</v>
      </c>
      <c r="H10" s="11" t="str">
        <f>IFERROR(__xludf.DUMMYFUNCTION("""COMPUTED_VALUE"""),"DEPT, Huge, Recast, Monks, Dentsu, Ogilvy, Brandtech")</f>
        <v>DEPT, Huge, Recast, Monks, Dentsu, Ogilvy, Brandtech</v>
      </c>
      <c r="I10" s="11">
        <f>IFERROR(__xludf.DUMMYFUNCTION("""COMPUTED_VALUE"""),1.0)</f>
        <v>1</v>
      </c>
      <c r="J10" s="11">
        <f>IFERROR(__xludf.DUMMYFUNCTION("""COMPUTED_VALUE"""),0.0)</f>
        <v>0</v>
      </c>
      <c r="K10" s="11">
        <f>IFERROR(__xludf.DUMMYFUNCTION("""COMPUTED_VALUE"""),1.0)</f>
        <v>1</v>
      </c>
    </row>
    <row r="11" ht="15.75" customHeight="1">
      <c r="A11" s="8" t="str">
        <f>IFERROR(__xludf.DUMMYFUNCTION("""COMPUTED_VALUE"""),"https://de.linkedin.com/company/hyamstudios")</f>
        <v>https://de.linkedin.com/company/hyamstudios</v>
      </c>
      <c r="B11" s="11" t="str">
        <f>IFERROR(__xludf.DUMMYFUNCTION("""COMPUTED_VALUE"""),"HY.AM STUDIOS | LinkedIn")</f>
        <v>HY.AM STUDIOS | LinkedIn</v>
      </c>
      <c r="C11" s="8" t="str">
        <f>IFERROR(__xludf.DUMMYFUNCTION("""COMPUTED_VALUE"""),"linkedin.com")</f>
        <v>linkedin.com</v>
      </c>
      <c r="D11" s="11" t="str">
        <f>IFERROR(__xludf.DUMMYFUNCTION("""COMPUTED_VALUE"""),"PROFILE")</f>
        <v>PROFILE</v>
      </c>
      <c r="E11" s="11" t="str">
        <f>IFERROR(__xludf.DUMMYFUNCTION("""COMPUTED_VALUE"""),"UGC")</f>
        <v>UGC</v>
      </c>
      <c r="F11" s="11" t="str">
        <f>IFERROR(__xludf.DUMMYFUNCTION("""COMPUTED_VALUE"""),"Profile")</f>
        <v>Profile</v>
      </c>
      <c r="G11" s="11" t="b">
        <f>IFERROR(__xludf.DUMMYFUNCTION("""COMPUTED_VALUE"""),FALSE)</f>
        <v>0</v>
      </c>
      <c r="H11" s="11" t="str">
        <f>IFERROR(__xludf.DUMMYFUNCTION("""COMPUTED_VALUE"""),"HY.AM STUDIOS")</f>
        <v>HY.AM STUDIOS</v>
      </c>
      <c r="I11" s="11">
        <f>IFERROR(__xludf.DUMMYFUNCTION("""COMPUTED_VALUE"""),1.0)</f>
        <v>1</v>
      </c>
      <c r="J11" s="11">
        <f>IFERROR(__xludf.DUMMYFUNCTION("""COMPUTED_VALUE"""),0.0)</f>
        <v>0</v>
      </c>
      <c r="K11" s="11">
        <f>IFERROR(__xludf.DUMMYFUNCTION("""COMPUTED_VALUE"""),1.0)</f>
        <v>1</v>
      </c>
    </row>
    <row r="12" ht="15.75" customHeight="1">
      <c r="A12" s="8" t="str">
        <f>IFERROR(__xludf.DUMMYFUNCTION("""COMPUTED_VALUE"""),"https://de.linkedin.com/company/scholz-&amp;-friends")</f>
        <v>https://de.linkedin.com/company/scholz-&amp;-friends</v>
      </c>
      <c r="B12" s="11" t="str">
        <f>IFERROR(__xludf.DUMMYFUNCTION("""COMPUTED_VALUE"""),"Scholz &amp;amp; Friends | LinkedIn")</f>
        <v>Scholz &amp;amp; Friends | LinkedIn</v>
      </c>
      <c r="C12" s="8" t="str">
        <f>IFERROR(__xludf.DUMMYFUNCTION("""COMPUTED_VALUE"""),"linkedin.com")</f>
        <v>linkedin.com</v>
      </c>
      <c r="D12" s="11" t="str">
        <f>IFERROR(__xludf.DUMMYFUNCTION("""COMPUTED_VALUE"""),"PROFILE")</f>
        <v>PROFILE</v>
      </c>
      <c r="E12" s="11" t="str">
        <f>IFERROR(__xludf.DUMMYFUNCTION("""COMPUTED_VALUE"""),"UGC")</f>
        <v>UGC</v>
      </c>
      <c r="F12" s="11" t="str">
        <f>IFERROR(__xludf.DUMMYFUNCTION("""COMPUTED_VALUE"""),"Profile")</f>
        <v>Profile</v>
      </c>
      <c r="G12" s="11" t="b">
        <f>IFERROR(__xludf.DUMMYFUNCTION("""COMPUTED_VALUE"""),FALSE)</f>
        <v>0</v>
      </c>
      <c r="H12" s="11" t="str">
        <f>IFERROR(__xludf.DUMMYFUNCTION("""COMPUTED_VALUE"""),"Scholz &amp; Friends, Huge, Jung von Matt, Serviceplan Group")</f>
        <v>Scholz &amp; Friends, Huge, Jung von Matt, Serviceplan Group</v>
      </c>
      <c r="I12" s="11">
        <f>IFERROR(__xludf.DUMMYFUNCTION("""COMPUTED_VALUE"""),1.0)</f>
        <v>1</v>
      </c>
      <c r="J12" s="11">
        <f>IFERROR(__xludf.DUMMYFUNCTION("""COMPUTED_VALUE"""),0.0)</f>
        <v>0</v>
      </c>
      <c r="K12" s="11">
        <f>IFERROR(__xludf.DUMMYFUNCTION("""COMPUTED_VALUE"""),1.0)</f>
        <v>1</v>
      </c>
    </row>
    <row r="13" ht="15.75" customHeight="1">
      <c r="A13" s="8" t="str">
        <f>IFERROR(__xludf.DUMMYFUNCTION("""COMPUTED_VALUE"""),"https://de.linkedin.com/company/serviceplan-group")</f>
        <v>https://de.linkedin.com/company/serviceplan-group</v>
      </c>
      <c r="B13" s="11" t="str">
        <f>IFERROR(__xludf.DUMMYFUNCTION("""COMPUTED_VALUE"""),"Serviceplan Group | LinkedIn")</f>
        <v>Serviceplan Group | LinkedIn</v>
      </c>
      <c r="C13" s="8" t="str">
        <f>IFERROR(__xludf.DUMMYFUNCTION("""COMPUTED_VALUE"""),"linkedin.com")</f>
        <v>linkedin.com</v>
      </c>
      <c r="D13" s="11" t="str">
        <f>IFERROR(__xludf.DUMMYFUNCTION("""COMPUTED_VALUE"""),"PROFILE")</f>
        <v>PROFILE</v>
      </c>
      <c r="E13" s="11" t="str">
        <f>IFERROR(__xludf.DUMMYFUNCTION("""COMPUTED_VALUE"""),"UGC")</f>
        <v>UGC</v>
      </c>
      <c r="F13" s="11" t="str">
        <f>IFERROR(__xludf.DUMMYFUNCTION("""COMPUTED_VALUE"""),"Profile")</f>
        <v>Profile</v>
      </c>
      <c r="G13" s="11" t="b">
        <f>IFERROR(__xludf.DUMMYFUNCTION("""COMPUTED_VALUE"""),FALSE)</f>
        <v>0</v>
      </c>
      <c r="H13" s="11" t="str">
        <f>IFERROR(__xludf.DUMMYFUNCTION("""COMPUTED_VALUE"""),"Serviceplan Group, Haus, Mediaplus Group, Jung von Matt, Scholz &amp; Friends")</f>
        <v>Serviceplan Group, Haus, Mediaplus Group, Jung von Matt, Scholz &amp; Friends</v>
      </c>
      <c r="I13" s="11">
        <f>IFERROR(__xludf.DUMMYFUNCTION("""COMPUTED_VALUE"""),1.0)</f>
        <v>1</v>
      </c>
      <c r="J13" s="11">
        <f>IFERROR(__xludf.DUMMYFUNCTION("""COMPUTED_VALUE"""),0.0)</f>
        <v>0</v>
      </c>
      <c r="K13" s="11">
        <f>IFERROR(__xludf.DUMMYFUNCTION("""COMPUTED_VALUE"""),1.0)</f>
        <v>1</v>
      </c>
    </row>
    <row r="14" ht="15.75" customHeight="1">
      <c r="A14" s="8" t="str">
        <f>IFERROR(__xludf.DUMMYFUNCTION("""COMPUTED_VALUE"""),"https://de.linkedin.com/in/jorngrunert")</f>
        <v>https://de.linkedin.com/in/jorngrunert</v>
      </c>
      <c r="B14" s="11"/>
      <c r="C14" s="8" t="str">
        <f>IFERROR(__xludf.DUMMYFUNCTION("""COMPUTED_VALUE"""),"linkedin.com")</f>
        <v>linkedin.com</v>
      </c>
      <c r="D14" s="11" t="str">
        <f>IFERROR(__xludf.DUMMYFUNCTION("""COMPUTED_VALUE"""),"OTHER")</f>
        <v>OTHER</v>
      </c>
      <c r="E14" s="11" t="str">
        <f>IFERROR(__xludf.DUMMYFUNCTION("""COMPUTED_VALUE"""),"OTHER")</f>
        <v>OTHER</v>
      </c>
      <c r="F14" s="11" t="str">
        <f>IFERROR(__xludf.DUMMYFUNCTION("""COMPUTED_VALUE"""),"Other")</f>
        <v>Other</v>
      </c>
      <c r="G14" s="11"/>
      <c r="H14" s="11" t="str">
        <f>IFERROR(__xludf.DUMMYFUNCTION("""COMPUTED_VALUE"""),"Unknown")</f>
        <v>Unknown</v>
      </c>
      <c r="I14" s="11">
        <f>IFERROR(__xludf.DUMMYFUNCTION("""COMPUTED_VALUE"""),1.0)</f>
        <v>1</v>
      </c>
      <c r="J14" s="11">
        <f>IFERROR(__xludf.DUMMYFUNCTION("""COMPUTED_VALUE"""),0.0)</f>
        <v>0</v>
      </c>
      <c r="K14" s="11">
        <f>IFERROR(__xludf.DUMMYFUNCTION("""COMPUTED_VALUE"""),1.0)</f>
        <v>1</v>
      </c>
    </row>
    <row r="15" ht="15.75" customHeight="1">
      <c r="A15" s="8" t="str">
        <f>IFERROR(__xludf.DUMMYFUNCTION("""COMPUTED_VALUE"""),"https://www.linkedin.com/company/crealytics-gmbh")</f>
        <v>https://www.linkedin.com/company/crealytics-gmbh</v>
      </c>
      <c r="B15" s="11" t="str">
        <f>IFERROR(__xludf.DUMMYFUNCTION("""COMPUTED_VALUE"""),"Crealytics | LinkedIn")</f>
        <v>Crealytics | LinkedIn</v>
      </c>
      <c r="C15" s="8" t="str">
        <f>IFERROR(__xludf.DUMMYFUNCTION("""COMPUTED_VALUE"""),"linkedin.com")</f>
        <v>linkedin.com</v>
      </c>
      <c r="D15" s="11" t="str">
        <f>IFERROR(__xludf.DUMMYFUNCTION("""COMPUTED_VALUE"""),"OTHER")</f>
        <v>OTHER</v>
      </c>
      <c r="E15" s="11" t="str">
        <f>IFERROR(__xludf.DUMMYFUNCTION("""COMPUTED_VALUE"""),"UGC")</f>
        <v>UGC</v>
      </c>
      <c r="F15" s="11" t="str">
        <f>IFERROR(__xludf.DUMMYFUNCTION("""COMPUTED_VALUE"""),"Other")</f>
        <v>Other</v>
      </c>
      <c r="G15" s="11" t="b">
        <f>IFERROR(__xludf.DUMMYFUNCTION("""COMPUTED_VALUE"""),FALSE)</f>
        <v>0</v>
      </c>
      <c r="H15" s="11" t="str">
        <f>IFERROR(__xludf.DUMMYFUNCTION("""COMPUTED_VALUE"""),"Measured, Dentsu, Jellyfish, WPP")</f>
        <v>Measured, Dentsu, Jellyfish, WPP</v>
      </c>
      <c r="I15" s="11">
        <f>IFERROR(__xludf.DUMMYFUNCTION("""COMPUTED_VALUE"""),1.0)</f>
        <v>1</v>
      </c>
      <c r="J15" s="11">
        <f>IFERROR(__xludf.DUMMYFUNCTION("""COMPUTED_VALUE"""),0.0)</f>
        <v>0</v>
      </c>
      <c r="K15" s="11">
        <f>IFERROR(__xludf.DUMMYFUNCTION("""COMPUTED_VALUE"""),1.0)</f>
        <v>1</v>
      </c>
    </row>
    <row r="16" ht="15.75" customHeight="1">
      <c r="A16" s="8" t="str">
        <f>IFERROR(__xludf.DUMMYFUNCTION("""COMPUTED_VALUE"""),"https://www.linkedin.com/company/thjnk")</f>
        <v>https://www.linkedin.com/company/thjnk</v>
      </c>
      <c r="B16" s="11" t="str">
        <f>IFERROR(__xludf.DUMMYFUNCTION("""COMPUTED_VALUE"""),"thjnk | LinkedIn")</f>
        <v>thjnk | LinkedIn</v>
      </c>
      <c r="C16" s="8" t="str">
        <f>IFERROR(__xludf.DUMMYFUNCTION("""COMPUTED_VALUE"""),"linkedin.com")</f>
        <v>linkedin.com</v>
      </c>
      <c r="D16" s="11" t="str">
        <f>IFERROR(__xludf.DUMMYFUNCTION("""COMPUTED_VALUE"""),"PROFILE")</f>
        <v>PROFILE</v>
      </c>
      <c r="E16" s="11" t="str">
        <f>IFERROR(__xludf.DUMMYFUNCTION("""COMPUTED_VALUE"""),"UGC")</f>
        <v>UGC</v>
      </c>
      <c r="F16" s="11" t="str">
        <f>IFERROR(__xludf.DUMMYFUNCTION("""COMPUTED_VALUE"""),"Profile")</f>
        <v>Profile</v>
      </c>
      <c r="G16" s="11" t="b">
        <f>IFERROR(__xludf.DUMMYFUNCTION("""COMPUTED_VALUE"""),FALSE)</f>
        <v>0</v>
      </c>
      <c r="H16" s="11" t="str">
        <f>IFERROR(__xludf.DUMMYFUNCTION("""COMPUTED_VALUE"""),"OMD, Ogilvy, Scholz &amp; Friends, Jung von Matt, Serviceplan Group")</f>
        <v>OMD, Ogilvy, Scholz &amp; Friends, Jung von Matt, Serviceplan Group</v>
      </c>
      <c r="I16" s="11">
        <f>IFERROR(__xludf.DUMMYFUNCTION("""COMPUTED_VALUE"""),1.0)</f>
        <v>1</v>
      </c>
      <c r="J16" s="11">
        <f>IFERROR(__xludf.DUMMYFUNCTION("""COMPUTED_VALUE"""),0.0)</f>
        <v>0</v>
      </c>
      <c r="K16" s="11">
        <f>IFERROR(__xludf.DUMMYFUNCTION("""COMPUTED_VALUE"""),1.0)</f>
        <v>1</v>
      </c>
    </row>
    <row r="17" ht="15.75" customHeight="1">
      <c r="A17" s="8" t="str">
        <f>IFERROR(__xludf.DUMMYFUNCTION("""COMPUTED_VALUE"""),"https://www.linkedin.com/posts/incrmntal_incrementality-martech-measurement-activity-7458138781590683648-ubwV")</f>
        <v>https://www.linkedin.com/posts/incrmntal_incrementality-martech-measurement-activity-7458138781590683648-ubwV</v>
      </c>
      <c r="B17" s="11" t="str">
        <f>IFERROR(__xludf.DUMMYFUNCTION("""COMPUTED_VALUE"""),"INCRMNTAL acquired by Smartly, closes marketing loop | INCRMNTAL posted on the topic | LinkedIn")</f>
        <v>INCRMNTAL acquired by Smartly, closes marketing loop | INCRMNTAL posted on the topic | LinkedIn</v>
      </c>
      <c r="C17" s="8" t="str">
        <f>IFERROR(__xludf.DUMMYFUNCTION("""COMPUTED_VALUE"""),"linkedin.com")</f>
        <v>linkedin.com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IFERROR(__xludf.DUMMYFUNCTION("""COMPUTED_VALUE"""),"INCRMNTAL, Huge, Momentum")</f>
        <v>INCRMNTAL, Huge, Momentum</v>
      </c>
      <c r="I17" s="11">
        <f>IFERROR(__xludf.DUMMYFUNCTION("""COMPUTED_VALUE"""),1.0)</f>
        <v>1</v>
      </c>
      <c r="J17" s="11">
        <f>IFERROR(__xludf.DUMMYFUNCTION("""COMPUTED_VALUE"""),0.0)</f>
        <v>0</v>
      </c>
      <c r="K17" s="11">
        <f>IFERROR(__xludf.DUMMYFUNCTION("""COMPUTED_VALUE"""),1.0)</f>
        <v>1</v>
      </c>
    </row>
    <row r="18" ht="15.75" customHeight="1">
      <c r="A18" s="8" t="str">
        <f>IFERROR(__xludf.DUMMYFUNCTION("""COMPUTED_VALUE"""),"https://www.linkedin.com/posts/karthik-banda-b8bb53246_digitalmarketing-marketingagencies-advertising-activity-7404477675702083584-oyVa")</f>
        <v>https://www.linkedin.com/posts/karthik-banda-b8bb53246_digitalmarketing-marketingagencies-advertising-activity-7404477675702083584-oyVa</v>
      </c>
      <c r="B18" s="11" t="str">
        <f>IFERROR(__xludf.DUMMYFUNCTION("""COMPUTED_VALUE"""),"The Big 4 Agencies in Digital Marketing | Karthik Banda")</f>
        <v>The Big 4 Agencies in Digital Marketing | Karthik Banda</v>
      </c>
      <c r="C18" s="8" t="str">
        <f>IFERROR(__xludf.DUMMYFUNCTION("""COMPUTED_VALUE"""),"linkedin.com")</f>
        <v>linkedin.com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IFERROR(__xludf.DUMMYFUNCTION("""COMPUTED_VALUE"""),"WPP, Omnicom, Publicis Groupe")</f>
        <v>WPP, Omnicom, Publicis Groupe</v>
      </c>
      <c r="I18" s="11">
        <f>IFERROR(__xludf.DUMMYFUNCTION("""COMPUTED_VALUE"""),1.0)</f>
        <v>1</v>
      </c>
      <c r="J18" s="11">
        <f>IFERROR(__xludf.DUMMYFUNCTION("""COMPUTED_VALUE"""),0.0)</f>
        <v>0</v>
      </c>
      <c r="K18" s="11">
        <f>IFERROR(__xludf.DUMMYFUNCTION("""COMPUTED_VALUE"""),1.0)</f>
        <v>1</v>
      </c>
    </row>
    <row r="19" ht="15.75" customHeight="1">
      <c r="A19" s="8" t="str">
        <f>IFERROR(__xludf.DUMMYFUNCTION("""COMPUTED_VALUE"""),"https://www.linkedin.com/posts/s360digital_s360-is-the-first-partner-in-northern-europe-activity-7447540211539931137-Y8GK")</f>
        <v>https://www.linkedin.com/posts/s360digital_s360-is-the-first-partner-in-northern-europe-activity-7447540211539931137-Y8GK</v>
      </c>
      <c r="B19" s="11" t="str">
        <f>IFERROR(__xludf.DUMMYFUNCTION("""COMPUTED_VALUE"""),"s360 is the first partner in Northern Europe to achieve Google’s Test &amp;amp; Experiments Certification 🙌 What does that actually mean for our clients? It means better answers to one of the biggest… | s360")</f>
        <v>s360 is the first partner in Northern Europe to achieve Google’s Test &amp;amp; Experiments Certification 🙌 What does that actually mean for our clients? It means better answers to one of the biggest… | s360</v>
      </c>
      <c r="C19" s="8" t="str">
        <f>IFERROR(__xludf.DUMMYFUNCTION("""COMPUTED_VALUE"""),"linkedin.com")</f>
        <v>linkedin.com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t="str">
        <f>IFERROR(__xludf.DUMMYFUNCTION("""COMPUTED_VALUE"""),"s360, Adswerve, Huge")</f>
        <v>s360, Adswerve, Huge</v>
      </c>
      <c r="I19" s="11">
        <f>IFERROR(__xludf.DUMMYFUNCTION("""COMPUTED_VALUE"""),1.0)</f>
        <v>1</v>
      </c>
      <c r="J19" s="11">
        <f>IFERROR(__xludf.DUMMYFUNCTION("""COMPUTED_VALUE"""),0.0)</f>
        <v>0</v>
      </c>
      <c r="K19" s="11">
        <f>IFERROR(__xludf.DUMMYFUNCTION("""COMPUTED_VALUE"""),1.0)</f>
        <v>1</v>
      </c>
    </row>
    <row r="20" ht="15.75" customHeight="1">
      <c r="A20" s="8" t="str">
        <f>IFERROR(__xludf.DUMMYFUNCTION("""COMPUTED_VALUE"""),"https://www.linkedin.com/posts/trkkn_were-proud-to-announce-that-trkkn-has-activity-7396834763552018432-MyUH")</f>
        <v>https://www.linkedin.com/posts/trkkn_were-proud-to-announce-that-trkkn-has-activity-7396834763552018432-MyUH</v>
      </c>
      <c r="B20" s="11" t="str">
        <f>IFERROR(__xludf.DUMMYFUNCTION("""COMPUTED_VALUE"""),"We’re proud to announce 🔊 that TRKKN has become Google’s first certified Test &amp;amp; Experiment (T&amp;amp;E) Partner in the DACH region ⭐, as part of Google’s new pilot certification program for media… | TRKKN")</f>
        <v>We’re proud to announce 🔊 that TRKKN has become Google’s first certified Test &amp;amp; Experiment (T&amp;amp;E) Partner in the DACH region ⭐, as part of Google’s new pilot certification program for media… | TRKKN</v>
      </c>
      <c r="C20" s="8" t="str">
        <f>IFERROR(__xludf.DUMMYFUNCTION("""COMPUTED_VALUE"""),"linkedin.com")</f>
        <v>linkedin.com</v>
      </c>
      <c r="D20" s="11" t="str">
        <f>IFERROR(__xludf.DUMMYFUNCTION("""COMPUTED_VALUE"""),"DISCUSSION")</f>
        <v>DISCUSSION</v>
      </c>
      <c r="E20" s="11" t="str">
        <f>IFERROR(__xludf.DUMMYFUNCTION("""COMPUTED_VALUE"""),"UGC")</f>
        <v>UGC</v>
      </c>
      <c r="F20" s="11" t="str">
        <f>IFERROR(__xludf.DUMMYFUNCTION("""COMPUTED_VALUE"""),"Discussion")</f>
        <v>Discussion</v>
      </c>
      <c r="G20" s="11" t="b">
        <f>IFERROR(__xludf.DUMMYFUNCTION("""COMPUTED_VALUE"""),FALSE)</f>
        <v>0</v>
      </c>
      <c r="H20" s="11" t="str">
        <f>IFERROR(__xludf.DUMMYFUNCTION("""COMPUTED_VALUE"""),"Pilot, Measured")</f>
        <v>Pilot, Measured</v>
      </c>
      <c r="I20" s="11">
        <f>IFERROR(__xludf.DUMMYFUNCTION("""COMPUTED_VALUE"""),1.0)</f>
        <v>1</v>
      </c>
      <c r="J20" s="11">
        <f>IFERROR(__xludf.DUMMYFUNCTION("""COMPUTED_VALUE"""),0.0)</f>
        <v>0</v>
      </c>
      <c r="K20" s="11">
        <f>IFERROR(__xludf.DUMMYFUNCTION("""COMPUTED_VALUE"""),0.0)</f>
        <v>0</v>
      </c>
    </row>
    <row r="21" ht="15.75" customHeight="1">
      <c r="A21" s="8" t="str">
        <f>IFERROR(__xludf.DUMMYFUNCTION("""COMPUTED_VALUE"""),"https://www.linkedin.com/pulse/deconstructing-common-solutions-first-party-data-pierre-cholet-booce")</f>
        <v>https://www.linkedin.com/pulse/deconstructing-common-solutions-first-party-data-pierre-cholet-booce</v>
      </c>
      <c r="B21" s="11" t="str">
        <f>IFERROR(__xludf.DUMMYFUNCTION("""COMPUTED_VALUE"""),"Deconstructing common solutions for first-party data activation")</f>
        <v>Deconstructing common solutions for first-party data activation</v>
      </c>
      <c r="C21" s="8" t="str">
        <f>IFERROR(__xludf.DUMMYFUNCTION("""COMPUTED_VALUE"""),"linkedin.com")</f>
        <v>linkedin.com</v>
      </c>
      <c r="D21" s="11" t="str">
        <f>IFERROR(__xludf.DUMMYFUNCTION("""COMPUTED_VALUE"""),"ARTICLE")</f>
        <v>ARTICLE</v>
      </c>
      <c r="E21" s="11" t="str">
        <f>IFERROR(__xludf.DUMMYFUNCTION("""COMPUTED_VALUE"""),"UGC")</f>
        <v>UGC</v>
      </c>
      <c r="F21" s="11" t="str">
        <f>IFERROR(__xludf.DUMMYFUNCTION("""COMPUTED_VALUE"""),"Article")</f>
        <v>Article</v>
      </c>
      <c r="G21" s="11" t="b">
        <f>IFERROR(__xludf.DUMMYFUNCTION("""COMPUTED_VALUE"""),FALSE)</f>
        <v>0</v>
      </c>
      <c r="H21" s="11" t="str">
        <f>IFERROR(__xludf.DUMMYFUNCTION("""COMPUTED_VALUE"""),"Epsilon")</f>
        <v>Epsilon</v>
      </c>
      <c r="I21" s="11">
        <f>IFERROR(__xludf.DUMMYFUNCTION("""COMPUTED_VALUE"""),1.0)</f>
        <v>1</v>
      </c>
      <c r="J21" s="11">
        <f>IFERROR(__xludf.DUMMYFUNCTION("""COMPUTED_VALUE"""),0.0)</f>
        <v>0</v>
      </c>
      <c r="K21" s="11">
        <f>IFERROR(__xludf.DUMMYFUNCTION("""COMPUTED_VALUE"""),0.0)</f>
        <v>0</v>
      </c>
    </row>
    <row r="22" ht="15.75" customHeight="1">
      <c r="A22" s="8" t="str">
        <f>IFERROR(__xludf.DUMMYFUNCTION("""COMPUTED_VALUE"""),"https://www.linkedin.com/pulse/google-ads-marketing-companies-farhan-ali-tbtwf")</f>
        <v>https://www.linkedin.com/pulse/google-ads-marketing-companies-farhan-ali-tbtwf</v>
      </c>
      <c r="B22" s="11" t="str">
        <f>IFERROR(__xludf.DUMMYFUNCTION("""COMPUTED_VALUE"""),"Top 10 Google Ads Marketing Companies in the World in 2025")</f>
        <v>Top 10 Google Ads Marketing Companies in the World in 2025</v>
      </c>
      <c r="C22" s="8" t="str">
        <f>IFERROR(__xludf.DUMMYFUNCTION("""COMPUTED_VALUE"""),"linkedin.com")</f>
        <v>linkedin.com</v>
      </c>
      <c r="D22" s="11" t="str">
        <f>IFERROR(__xludf.DUMMYFUNCTION("""COMPUTED_VALUE"""),"LISTICLE")</f>
        <v>LISTICLE</v>
      </c>
      <c r="E22" s="11" t="str">
        <f>IFERROR(__xludf.DUMMYFUNCTION("""COMPUTED_VALUE"""),"UGC")</f>
        <v>UGC</v>
      </c>
      <c r="F22" s="11" t="str">
        <f>IFERROR(__xludf.DUMMYFUNCTION("""COMPUTED_VALUE"""),"Listicle")</f>
        <v>Listicle</v>
      </c>
      <c r="G22" s="11" t="b">
        <f>IFERROR(__xludf.DUMMYFUNCTION("""COMPUTED_VALUE"""),FALSE)</f>
        <v>0</v>
      </c>
      <c r="H22" s="11" t="str">
        <f>IFERROR(__xludf.DUMMYFUNCTION("""COMPUTED_VALUE"""),"SmartSites, Disruptive Advertising, WebFX")</f>
        <v>SmartSites, Disruptive Advertising, WebFX</v>
      </c>
      <c r="I22" s="11">
        <f>IFERROR(__xludf.DUMMYFUNCTION("""COMPUTED_VALUE"""),1.0)</f>
        <v>1</v>
      </c>
      <c r="J22" s="11">
        <f>IFERROR(__xludf.DUMMYFUNCTION("""COMPUTED_VALUE"""),0.0)</f>
        <v>0</v>
      </c>
      <c r="K22" s="11">
        <f>IFERROR(__xludf.DUMMYFUNCTION("""COMPUTED_VALUE"""),1.0)</f>
        <v>1</v>
      </c>
    </row>
    <row r="23" ht="15.75" customHeight="1">
      <c r="A23" s="8" t="str">
        <f>IFERROR(__xludf.DUMMYFUNCTION("""COMPUTED_VALUE"""),"https://www.linkedin.com/pulse/top-15-performance-marketing-companies-clutch-global-spring-kbaae")</f>
        <v>https://www.linkedin.com/pulse/top-15-performance-marketing-companies-clutch-global-spring-kbaae</v>
      </c>
      <c r="B23" s="11" t="str">
        <f>IFERROR(__xludf.DUMMYFUNCTION("""COMPUTED_VALUE"""),"Top 15 Performance Marketing Companies: Clutch Global Spring 2026")</f>
        <v>Top 15 Performance Marketing Companies: Clutch Global Spring 2026</v>
      </c>
      <c r="C23" s="8" t="str">
        <f>IFERROR(__xludf.DUMMYFUNCTION("""COMPUTED_VALUE"""),"linkedin.com")</f>
        <v>linkedin.com</v>
      </c>
      <c r="D23" s="11" t="str">
        <f>IFERROR(__xludf.DUMMYFUNCTION("""COMPUTED_VALUE"""),"LISTICLE")</f>
        <v>LISTICLE</v>
      </c>
      <c r="E23" s="11" t="str">
        <f>IFERROR(__xludf.DUMMYFUNCTION("""COMPUTED_VALUE"""),"UGC")</f>
        <v>UGC</v>
      </c>
      <c r="F23" s="11" t="str">
        <f>IFERROR(__xludf.DUMMYFUNCTION("""COMPUTED_VALUE"""),"Listicle")</f>
        <v>Listicle</v>
      </c>
      <c r="G23" s="11" t="b">
        <f>IFERROR(__xludf.DUMMYFUNCTION("""COMPUTED_VALUE"""),FALSE)</f>
        <v>0</v>
      </c>
      <c r="H23" s="11" t="str">
        <f>IFERROR(__xludf.DUMMYFUNCTION("""COMPUTED_VALUE"""),"REPLUG")</f>
        <v>REPLUG</v>
      </c>
      <c r="I23" s="11">
        <f>IFERROR(__xludf.DUMMYFUNCTION("""COMPUTED_VALUE"""),1.0)</f>
        <v>1</v>
      </c>
      <c r="J23" s="11">
        <f>IFERROR(__xludf.DUMMYFUNCTION("""COMPUTED_VALUE"""),0.0)</f>
        <v>0</v>
      </c>
      <c r="K23" s="11">
        <f>IFERROR(__xludf.DUMMYFUNCTION("""COMPUTED_VALUE"""),0.0)</f>
        <v>0</v>
      </c>
    </row>
    <row r="24" ht="15.75" customHeight="1">
      <c r="A24" s="8" t="str">
        <f>IFERROR(__xludf.DUMMYFUNCTION("""COMPUTED_VALUE"""),"https://www.linkedin.com/pulse/what-sales-branding-value-adding-awareness-phase-your-daniel-opler")</f>
        <v>https://www.linkedin.com/pulse/what-sales-branding-value-adding-awareness-phase-your-daniel-opler</v>
      </c>
      <c r="B24" s="11" t="str">
        <f>IFERROR(__xludf.DUMMYFUNCTION("""COMPUTED_VALUE"""),"What is the sales and branding value of adding an awareness phase (branding phase) to your existing consideration and purchase phase?")</f>
        <v>What is the sales and branding value of adding an awareness phase (branding phase) to your existing consideration and purchase phase?</v>
      </c>
      <c r="C24" s="8" t="str">
        <f>IFERROR(__xludf.DUMMYFUNCTION("""COMPUTED_VALUE"""),"linkedin.com")</f>
        <v>linkedin.com</v>
      </c>
      <c r="D24" s="11" t="str">
        <f>IFERROR(__xludf.DUMMYFUNCTION("""COMPUTED_VALUE"""),"ARTICLE")</f>
        <v>ARTICLE</v>
      </c>
      <c r="E24" s="11" t="str">
        <f>IFERROR(__xludf.DUMMYFUNCTION("""COMPUTED_VALUE"""),"UGC")</f>
        <v>UGC</v>
      </c>
      <c r="F24" s="11" t="str">
        <f>IFERROR(__xludf.DUMMYFUNCTION("""COMPUTED_VALUE"""),"Article")</f>
        <v>Article</v>
      </c>
      <c r="G24" s="11" t="b">
        <f>IFERROR(__xludf.DUMMYFUNCTION("""COMPUTED_VALUE"""),FALSE)</f>
        <v>0</v>
      </c>
      <c r="H24" s="11" t="str">
        <f>IFERROR(__xludf.DUMMYFUNCTION("""COMPUTED_VALUE"""),"Measured")</f>
        <v>Measured</v>
      </c>
      <c r="I24" s="11">
        <f>IFERROR(__xludf.DUMMYFUNCTION("""COMPUTED_VALUE"""),1.0)</f>
        <v>1</v>
      </c>
      <c r="J24" s="11">
        <f>IFERROR(__xludf.DUMMYFUNCTION("""COMPUTED_VALUE"""),0.0)</f>
        <v>0</v>
      </c>
      <c r="K24" s="11">
        <f>IFERROR(__xludf.DUMMYFUNCTION("""COMPUTED_VALUE"""),1.0)</f>
        <v>1</v>
      </c>
    </row>
    <row r="25" ht="15.75" customHeight="1">
      <c r="A25" s="8" t="str">
        <f>IFERROR(__xludf.DUMMYFUNCTION("""COMPUTED_VALUE"""),"https://www.linkedin.com/top-content/marketing/digital-advertising-metrics/incrementality-testing-in-ads/")</f>
        <v>https://www.linkedin.com/top-content/marketing/digital-advertising-metrics/incrementality-testing-in-ads/</v>
      </c>
      <c r="B25" s="11" t="str">
        <f>IFERROR(__xludf.DUMMYFUNCTION("""COMPUTED_VALUE"""),"Incrementality Testing in Ads")</f>
        <v>Incrementality Testing in Ads</v>
      </c>
      <c r="C25" s="8" t="str">
        <f>IFERROR(__xludf.DUMMYFUNCTION("""COMPUTED_VALUE"""),"linkedin.com")</f>
        <v>linkedin.com</v>
      </c>
      <c r="D25" s="11" t="str">
        <f>IFERROR(__xludf.DUMMYFUNCTION("""COMPUTED_VALUE"""),"HOW_TO_GUIDE")</f>
        <v>HOW_TO_GUIDE</v>
      </c>
      <c r="E25" s="11" t="str">
        <f>IFERROR(__xludf.DUMMYFUNCTION("""COMPUTED_VALUE"""),"UGC")</f>
        <v>UGC</v>
      </c>
      <c r="F25" s="11" t="str">
        <f>IFERROR(__xludf.DUMMYFUNCTION("""COMPUTED_VALUE"""),"How-To Guide")</f>
        <v>How-To Guide</v>
      </c>
      <c r="G25" s="11" t="b">
        <f>IFERROR(__xludf.DUMMYFUNCTION("""COMPUTED_VALUE"""),FALSE)</f>
        <v>0</v>
      </c>
      <c r="H25" s="11" t="str">
        <f>IFERROR(__xludf.DUMMYFUNCTION("""COMPUTED_VALUE"""),"Triple Whale, Northbeam, Analytic Partners")</f>
        <v>Triple Whale, Northbeam, Analytic Partners</v>
      </c>
      <c r="I25" s="11">
        <f>IFERROR(__xludf.DUMMYFUNCTION("""COMPUTED_VALUE"""),1.0)</f>
        <v>1</v>
      </c>
      <c r="J25" s="11">
        <f>IFERROR(__xludf.DUMMYFUNCTION("""COMPUTED_VALUE"""),0.0)</f>
        <v>0</v>
      </c>
      <c r="K25" s="11">
        <f>IFERROR(__xludf.DUMMYFUNCTION("""COMPUTED_VALUE"""),1.0)</f>
        <v>1</v>
      </c>
    </row>
    <row r="26" ht="15.75" customHeight="1">
      <c r="A26" s="8" t="str">
        <f>IFERROR(__xludf.DUMMYFUNCTION("""COMPUTED_VALUE"""),"https://www.sortlist.com/i/s/linkedin-advertising/germany-de")</f>
        <v>https://www.sortlist.com/i/s/linkedin-advertising/germany-de</v>
      </c>
      <c r="B26" s="11" t="str">
        <f>IFERROR(__xludf.DUMMYFUNCTION("""COMPUTED_VALUE"""),"The 10 Best LinkedIn Ads Agencies in Germany - 2026 Reviews")</f>
        <v>The 10 Best LinkedIn Ads Agencies in Germany - 2026 Reviews</v>
      </c>
      <c r="C26" s="8" t="str">
        <f>IFERROR(__xludf.DUMMYFUNCTION("""COMPUTED_VALUE"""),"sortlist.com")</f>
        <v>sortlist.com</v>
      </c>
      <c r="D26" s="11" t="str">
        <f>IFERROR(__xludf.DUMMYFUNCTION("""COMPUTED_VALUE"""),"CATEGORY_PAGE")</f>
        <v>CATEGORY_PAGE</v>
      </c>
      <c r="E26" s="11" t="str">
        <f>IFERROR(__xludf.DUMMYFUNCTION("""COMPUTED_VALUE"""),"CORPORATE")</f>
        <v>CORPORATE</v>
      </c>
      <c r="F26" s="11" t="str">
        <f>IFERROR(__xludf.DUMMYFUNCTION("""COMPUTED_VALUE"""),"Category Page")</f>
        <v>Category Page</v>
      </c>
      <c r="G26" s="11" t="b">
        <f>IFERROR(__xludf.DUMMYFUNCTION("""COMPUTED_VALUE"""),FALSE)</f>
        <v>0</v>
      </c>
      <c r="H26" s="11" t="str">
        <f>IFERROR(__xludf.DUMMYFUNCTION("""COMPUTED_VALUE"""),"MONSOON, Triple Whale, Northbeam, Dreamdata, lehof")</f>
        <v>MONSOON, Triple Whale, Northbeam, Dreamdata, lehof</v>
      </c>
      <c r="I26" s="11">
        <f>IFERROR(__xludf.DUMMYFUNCTION("""COMPUTED_VALUE"""),1.0)</f>
        <v>1</v>
      </c>
      <c r="J26" s="11">
        <f>IFERROR(__xludf.DUMMYFUNCTION("""COMPUTED_VALUE"""),0.0)</f>
        <v>0</v>
      </c>
      <c r="K26" s="11">
        <f>IFERROR(__xludf.DUMMYFUNCTION("""COMPUTED_VALUE"""),0.0)</f>
        <v>0</v>
      </c>
    </row>
    <row r="27" ht="15.75" customHeight="1">
      <c r="A27" s="8" t="str">
        <f>IFERROR(__xludf.DUMMYFUNCTION("""COMPUTED_VALUE"""),"https://www.sortlist.de/s/linkedin-ads/deutschland-de")</f>
        <v>https://www.sortlist.de/s/linkedin-ads/deutschland-de</v>
      </c>
      <c r="B27" s="11" t="str">
        <f>IFERROR(__xludf.DUMMYFUNCTION("""COMPUTED_VALUE"""),"Unsere 10 Besten LinkedIn Ads Agenturen in Deutschland - 2026 Bewertungen")</f>
        <v>Unsere 10 Besten LinkedIn Ads Agenturen in Deutschland - 2026 Bewertungen</v>
      </c>
      <c r="C27" s="8" t="str">
        <f>IFERROR(__xludf.DUMMYFUNCTION("""COMPUTED_VALUE"""),"sortlist.de")</f>
        <v>sortlist.de</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IFERROR(__xludf.DUMMYFUNCTION("""COMPUTED_VALUE"""),"MONSOON")</f>
        <v>MONSOON</v>
      </c>
      <c r="I27" s="11">
        <f>IFERROR(__xludf.DUMMYFUNCTION("""COMPUTED_VALUE"""),1.0)</f>
        <v>1</v>
      </c>
      <c r="J27" s="11">
        <f>IFERROR(__xludf.DUMMYFUNCTION("""COMPUTED_VALUE"""),0.0)</f>
        <v>0</v>
      </c>
      <c r="K27" s="11">
        <f>IFERROR(__xludf.DUMMYFUNCTION("""COMPUTED_VALUE"""),0.0)</f>
        <v>0</v>
      </c>
    </row>
    <row r="28" ht="15.75" customHeight="1">
      <c r="A28" s="8" t="str">
        <f>IFERROR(__xludf.DUMMYFUNCTION("""COMPUTED_VALUE"""),"https://themanifest.com/de/social-media/linkedin/agencies")</f>
        <v>https://themanifest.com/de/social-media/linkedin/agencies</v>
      </c>
      <c r="B28" s="11" t="str">
        <f>IFERROR(__xludf.DUMMYFUNCTION("""COMPUTED_VALUE"""),"The Best LinkedIn Advertising Companies in Germany - Jul 2026 | The Manifest")</f>
        <v>The Best LinkedIn Advertising Companies in Germany - Jul 2026 | The Manifest</v>
      </c>
      <c r="C28" s="8" t="str">
        <f>IFERROR(__xludf.DUMMYFUNCTION("""COMPUTED_VALUE"""),"themanifest.com")</f>
        <v>themanifest.com</v>
      </c>
      <c r="D28" s="11" t="str">
        <f>IFERROR(__xludf.DUMMYFUNCTION("""COMPUTED_VALUE"""),"CATEGORY_PAGE")</f>
        <v>CATEGORY_PAGE</v>
      </c>
      <c r="E28" s="11" t="str">
        <f>IFERROR(__xludf.DUMMYFUNCTION("""COMPUTED_VALUE"""),"REFERENCE")</f>
        <v>REFERENCE</v>
      </c>
      <c r="F28" s="11" t="str">
        <f>IFERROR(__xludf.DUMMYFUNCTION("""COMPUTED_VALUE"""),"Category Page")</f>
        <v>Category Page</v>
      </c>
      <c r="G28" s="11" t="b">
        <f>IFERROR(__xludf.DUMMYFUNCTION("""COMPUTED_VALUE"""),FALSE)</f>
        <v>0</v>
      </c>
      <c r="H28" s="11" t="str">
        <f>IFERROR(__xludf.DUMMYFUNCTION("""COMPUTED_VALUE"""),"MONSOON, HY.AM STUDIOS, PANORAMA3000, KlickPiloten, Pulse Advertising")</f>
        <v>MONSOON, HY.AM STUDIOS, PANORAMA3000, KlickPiloten, Pulse Advertising</v>
      </c>
      <c r="I28" s="11">
        <f>IFERROR(__xludf.DUMMYFUNCTION("""COMPUTED_VALUE"""),1.0)</f>
        <v>1</v>
      </c>
      <c r="J28" s="11">
        <f>IFERROR(__xludf.DUMMYFUNCTION("""COMPUTED_VALUE"""),0.0)</f>
        <v>0</v>
      </c>
      <c r="K28" s="11">
        <f>IFERROR(__xludf.DUMMYFUNCTION("""COMPUTED_VALUE"""),0.0)</f>
        <v>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s>
  <drawing r:id="rId5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REGEXMATCH(LOWER(TO_TEXT('PEEC - URLs - All'!A2:A1000)),""wikipedia"")
  ),
  """"
)"),"https://de.wikipedia.org/wiki/Serviceplan_Group")</f>
        <v>https://de.wikipedia.org/wiki/Serviceplan_Group</v>
      </c>
      <c r="B2" s="11" t="str">
        <f>IFERROR(__xludf.DUMMYFUNCTION("""COMPUTED_VALUE"""),"Serviceplan Group – Wikipedia")</f>
        <v>Serviceplan Group – Wikipedia</v>
      </c>
      <c r="C2" s="8" t="str">
        <f>IFERROR(__xludf.DUMMYFUNCTION("""COMPUTED_VALUE"""),"wikipedia.org")</f>
        <v>wikipedia.org</v>
      </c>
      <c r="D2" s="11" t="str">
        <f>IFERROR(__xludf.DUMMYFUNCTION("""COMPUTED_VALUE"""),"PROFILE")</f>
        <v>PROFILE</v>
      </c>
      <c r="E2" s="11" t="str">
        <f>IFERROR(__xludf.DUMMYFUNCTION("""COMPUTED_VALUE"""),"REFERENCE")</f>
        <v>REFERENCE</v>
      </c>
      <c r="F2" s="11" t="str">
        <f>IFERROR(__xludf.DUMMYFUNCTION("""COMPUTED_VALUE"""),"Profile")</f>
        <v>Profile</v>
      </c>
      <c r="G2" s="11" t="b">
        <f>IFERROR(__xludf.DUMMYFUNCTION("""COMPUTED_VALUE"""),FALSE)</f>
        <v>0</v>
      </c>
      <c r="H2" s="11" t="str">
        <f>IFERROR(__xludf.DUMMYFUNCTION("""COMPUTED_VALUE"""),"Serviceplan Group, Mediaplus Group, Haus, Jung von Matt")</f>
        <v>Serviceplan Group, Mediaplus Group, Haus, Jung von Matt</v>
      </c>
      <c r="I2" s="11">
        <f>IFERROR(__xludf.DUMMYFUNCTION("""COMPUTED_VALUE"""),5.0)</f>
        <v>5</v>
      </c>
      <c r="J2" s="11">
        <f>IFERROR(__xludf.DUMMYFUNCTION("""COMPUTED_VALUE"""),0.01)</f>
        <v>0.01</v>
      </c>
      <c r="K2" s="11">
        <f>IFERROR(__xludf.DUMMYFUNCTION("""COMPUTED_VALUE"""),1.0)</f>
        <v>1</v>
      </c>
    </row>
    <row r="3" ht="15.75" customHeight="1">
      <c r="A3" s="8" t="str">
        <f>IFERROR(__xludf.DUMMYFUNCTION("""COMPUTED_VALUE"""),"https://de.wikipedia.org/wiki/Jung_von_Matt")</f>
        <v>https://de.wikipedia.org/wiki/Jung_von_Matt</v>
      </c>
      <c r="B3" s="11" t="str">
        <f>IFERROR(__xludf.DUMMYFUNCTION("""COMPUTED_VALUE"""),"Jung von Matt – Wikipedia")</f>
        <v>Jung von Matt – Wikipedia</v>
      </c>
      <c r="C3" s="8" t="str">
        <f>IFERROR(__xludf.DUMMYFUNCTION("""COMPUTED_VALUE"""),"wikipedia.org")</f>
        <v>wikipedia.org</v>
      </c>
      <c r="D3" s="11" t="str">
        <f>IFERROR(__xludf.DUMMYFUNCTION("""COMPUTED_VALUE"""),"ARTICLE")</f>
        <v>ARTICLE</v>
      </c>
      <c r="E3" s="11" t="str">
        <f>IFERROR(__xludf.DUMMYFUNCTION("""COMPUTED_VALUE"""),"REFERENCE")</f>
        <v>REFERENCE</v>
      </c>
      <c r="F3" s="11" t="str">
        <f>IFERROR(__xludf.DUMMYFUNCTION("""COMPUTED_VALUE"""),"Article")</f>
        <v>Article</v>
      </c>
      <c r="G3" s="11" t="b">
        <f>IFERROR(__xludf.DUMMYFUNCTION("""COMPUTED_VALUE"""),FALSE)</f>
        <v>0</v>
      </c>
      <c r="H3" s="11" t="str">
        <f>IFERROR(__xludf.DUMMYFUNCTION("""COMPUTED_VALUE"""),"Jung von Matt, Momentum")</f>
        <v>Jung von Matt, Momentum</v>
      </c>
      <c r="I3" s="11">
        <f>IFERROR(__xludf.DUMMYFUNCTION("""COMPUTED_VALUE"""),4.0)</f>
        <v>4</v>
      </c>
      <c r="J3" s="11">
        <f>IFERROR(__xludf.DUMMYFUNCTION("""COMPUTED_VALUE"""),0.0)</f>
        <v>0</v>
      </c>
      <c r="K3" s="11">
        <f>IFERROR(__xludf.DUMMYFUNCTION("""COMPUTED_VALUE"""),1.25)</f>
        <v>1.25</v>
      </c>
    </row>
    <row r="4" ht="15.75" customHeight="1">
      <c r="A4" s="8" t="str">
        <f>IFERROR(__xludf.DUMMYFUNCTION("""COMPUTED_VALUE"""),"https://de.wikipedia.org/wiki/Scholz_%26_Friends")</f>
        <v>https://de.wikipedia.org/wiki/Scholz_%26_Friends</v>
      </c>
      <c r="B4" s="11" t="str">
        <f>IFERROR(__xludf.DUMMYFUNCTION("""COMPUTED_VALUE"""),"Scholz &amp;amp; Friends – Wikipedia")</f>
        <v>Scholz &amp;amp; Friends – Wikipedia</v>
      </c>
      <c r="C4" s="8" t="str">
        <f>IFERROR(__xludf.DUMMYFUNCTION("""COMPUTED_VALUE"""),"wikipedia.org")</f>
        <v>wikipedia.org</v>
      </c>
      <c r="D4" s="11" t="str">
        <f>IFERROR(__xludf.DUMMYFUNCTION("""COMPUTED_VALUE"""),"PROFILE")</f>
        <v>PROFILE</v>
      </c>
      <c r="E4" s="11" t="str">
        <f>IFERROR(__xludf.DUMMYFUNCTION("""COMPUTED_VALUE"""),"REFERENCE")</f>
        <v>REFERENCE</v>
      </c>
      <c r="F4" s="11" t="str">
        <f>IFERROR(__xludf.DUMMYFUNCTION("""COMPUTED_VALUE"""),"Profile")</f>
        <v>Profile</v>
      </c>
      <c r="G4" s="11" t="b">
        <f>IFERROR(__xludf.DUMMYFUNCTION("""COMPUTED_VALUE"""),FALSE)</f>
        <v>0</v>
      </c>
      <c r="H4" s="11" t="str">
        <f>IFERROR(__xludf.DUMMYFUNCTION("""COMPUTED_VALUE"""),"Scholz &amp; Friends, WPP, Jung von Matt")</f>
        <v>Scholz &amp; Friends, WPP, Jung von Matt</v>
      </c>
      <c r="I4" s="11">
        <f>IFERROR(__xludf.DUMMYFUNCTION("""COMPUTED_VALUE"""),4.0)</f>
        <v>4</v>
      </c>
      <c r="J4" s="11">
        <f>IFERROR(__xludf.DUMMYFUNCTION("""COMPUTED_VALUE"""),0.0)</f>
        <v>0</v>
      </c>
      <c r="K4" s="11">
        <f>IFERROR(__xludf.DUMMYFUNCTION("""COMPUTED_VALUE"""),1.5)</f>
        <v>1.5</v>
      </c>
    </row>
    <row r="5" ht="15.75" customHeight="1">
      <c r="A5" s="8" t="str">
        <f>IFERROR(__xludf.DUMMYFUNCTION("""COMPUTED_VALUE"""),"https://de.wikipedia.org/wiki/BBDO")</f>
        <v>https://de.wikipedia.org/wiki/BBDO</v>
      </c>
      <c r="B5" s="11" t="str">
        <f>IFERROR(__xludf.DUMMYFUNCTION("""COMPUTED_VALUE"""),"BBDO – Wikipedia")</f>
        <v>BBDO – Wikipedia</v>
      </c>
      <c r="C5" s="8" t="str">
        <f>IFERROR(__xludf.DUMMYFUNCTION("""COMPUTED_VALUE"""),"wikipedia.org")</f>
        <v>wikipedia.org</v>
      </c>
      <c r="D5" s="11" t="str">
        <f>IFERROR(__xludf.DUMMYFUNCTION("""COMPUTED_VALUE"""),"PROFILE")</f>
        <v>PROFILE</v>
      </c>
      <c r="E5" s="11" t="str">
        <f>IFERROR(__xludf.DUMMYFUNCTION("""COMPUTED_VALUE"""),"REFERENCE")</f>
        <v>REFERENCE</v>
      </c>
      <c r="F5" s="11" t="str">
        <f>IFERROR(__xludf.DUMMYFUNCTION("""COMPUTED_VALUE"""),"Profile")</f>
        <v>Profile</v>
      </c>
      <c r="G5" s="11" t="b">
        <f>IFERROR(__xludf.DUMMYFUNCTION("""COMPUTED_VALUE"""),FALSE)</f>
        <v>0</v>
      </c>
      <c r="H5" s="11" t="str">
        <f>IFERROR(__xludf.DUMMYFUNCTION("""COMPUTED_VALUE"""),"BBDO Germany, Omnicom, Omnicom Media Group")</f>
        <v>BBDO Germany, Omnicom, Omnicom Media Group</v>
      </c>
      <c r="I5" s="11">
        <f>IFERROR(__xludf.DUMMYFUNCTION("""COMPUTED_VALUE"""),2.0)</f>
        <v>2</v>
      </c>
      <c r="J5" s="11">
        <f>IFERROR(__xludf.DUMMYFUNCTION("""COMPUTED_VALUE"""),0.0)</f>
        <v>0</v>
      </c>
      <c r="K5" s="11">
        <f>IFERROR(__xludf.DUMMYFUNCTION("""COMPUTED_VALUE"""),1.0)</f>
        <v>1</v>
      </c>
    </row>
    <row r="6" ht="15.75" customHeight="1">
      <c r="A6" s="8" t="str">
        <f>IFERROR(__xludf.DUMMYFUNCTION("""COMPUTED_VALUE"""),"https://de.wikipedia.org/wiki/DDB_%28Deutschland%29")</f>
        <v>https://de.wikipedia.org/wiki/DDB_%28Deutschland%29</v>
      </c>
      <c r="B6" s="11" t="str">
        <f>IFERROR(__xludf.DUMMYFUNCTION("""COMPUTED_VALUE"""),"DDB (Deutschland) – Wikipedia")</f>
        <v>DDB (Deutschland) – Wikipedia</v>
      </c>
      <c r="C6" s="8" t="str">
        <f>IFERROR(__xludf.DUMMYFUNCTION("""COMPUTED_VALUE"""),"wikipedia.org")</f>
        <v>wikipedia.org</v>
      </c>
      <c r="D6" s="11" t="str">
        <f>IFERROR(__xludf.DUMMYFUNCTION("""COMPUTED_VALUE"""),"PROFILE")</f>
        <v>PROFILE</v>
      </c>
      <c r="E6" s="11" t="str">
        <f>IFERROR(__xludf.DUMMYFUNCTION("""COMPUTED_VALUE"""),"REFERENCE")</f>
        <v>REFERENCE</v>
      </c>
      <c r="F6" s="11" t="str">
        <f>IFERROR(__xludf.DUMMYFUNCTION("""COMPUTED_VALUE"""),"Profile")</f>
        <v>Profile</v>
      </c>
      <c r="G6" s="11" t="b">
        <f>IFERROR(__xludf.DUMMYFUNCTION("""COMPUTED_VALUE"""),FALSE)</f>
        <v>0</v>
      </c>
      <c r="H6" s="11" t="str">
        <f>IFERROR(__xludf.DUMMYFUNCTION("""COMPUTED_VALUE"""),"Omnicom, BBDO Germany")</f>
        <v>Omnicom, BBDO Germany</v>
      </c>
      <c r="I6" s="11">
        <f>IFERROR(__xludf.DUMMYFUNCTION("""COMPUTED_VALUE"""),1.0)</f>
        <v>1</v>
      </c>
      <c r="J6" s="11">
        <f>IFERROR(__xludf.DUMMYFUNCTION("""COMPUTED_VALUE"""),0.0)</f>
        <v>0</v>
      </c>
      <c r="K6" s="11">
        <f>IFERROR(__xludf.DUMMYFUNCTION("""COMPUTED_VALUE"""),1.0)</f>
        <v>1</v>
      </c>
    </row>
    <row r="7" ht="15.75" customHeight="1">
      <c r="A7" s="8" t="str">
        <f>IFERROR(__xludf.DUMMYFUNCTION("""COMPUTED_VALUE"""),"https://de.wikipedia.org/wiki/Pilot_Group")</f>
        <v>https://de.wikipedia.org/wiki/Pilot_Group</v>
      </c>
      <c r="B7" s="11" t="str">
        <f>IFERROR(__xludf.DUMMYFUNCTION("""COMPUTED_VALUE"""),"Pilot Group – Wikipedia")</f>
        <v>Pilot Group – Wikipedia</v>
      </c>
      <c r="C7" s="8" t="str">
        <f>IFERROR(__xludf.DUMMYFUNCTION("""COMPUTED_VALUE"""),"wikipedia.org")</f>
        <v>wikipedia.org</v>
      </c>
      <c r="D7" s="11" t="str">
        <f>IFERROR(__xludf.DUMMYFUNCTION("""COMPUTED_VALUE"""),"PROFILE")</f>
        <v>PROFILE</v>
      </c>
      <c r="E7" s="11" t="str">
        <f>IFERROR(__xludf.DUMMYFUNCTION("""COMPUTED_VALUE"""),"REFERENCE")</f>
        <v>REFERENCE</v>
      </c>
      <c r="F7" s="11" t="str">
        <f>IFERROR(__xludf.DUMMYFUNCTION("""COMPUTED_VALUE"""),"Profile")</f>
        <v>Profile</v>
      </c>
      <c r="G7" s="11" t="b">
        <f>IFERROR(__xludf.DUMMYFUNCTION("""COMPUTED_VALUE"""),FALSE)</f>
        <v>0</v>
      </c>
      <c r="H7" s="11" t="str">
        <f>IFERROR(__xludf.DUMMYFUNCTION("""COMPUTED_VALUE"""),"Pilot, OMD")</f>
        <v>Pilot, OMD</v>
      </c>
      <c r="I7" s="11">
        <f>IFERROR(__xludf.DUMMYFUNCTION("""COMPUTED_VALUE"""),1.0)</f>
        <v>1</v>
      </c>
      <c r="J7" s="11">
        <f>IFERROR(__xludf.DUMMYFUNCTION("""COMPUTED_VALUE"""),0.0)</f>
        <v>0</v>
      </c>
      <c r="K7" s="11">
        <f>IFERROR(__xludf.DUMMYFUNCTION("""COMPUTED_VALUE"""),2.0)</f>
        <v>2</v>
      </c>
    </row>
    <row r="8" ht="15.75" customHeight="1">
      <c r="A8" s="8" t="str">
        <f>IFERROR(__xludf.DUMMYFUNCTION("""COMPUTED_VALUE"""),"https://en.wikipedia.org/wiki/Serviceplan_Group")</f>
        <v>https://en.wikipedia.org/wiki/Serviceplan_Group</v>
      </c>
      <c r="B8" s="11" t="str">
        <f>IFERROR(__xludf.DUMMYFUNCTION("""COMPUTED_VALUE"""),"Serviceplan Group - Wikipedia")</f>
        <v>Serviceplan Group - Wikipedia</v>
      </c>
      <c r="C8" s="8" t="str">
        <f>IFERROR(__xludf.DUMMYFUNCTION("""COMPUTED_VALUE"""),"wikipedia.org")</f>
        <v>wikipedia.org</v>
      </c>
      <c r="D8" s="11" t="str">
        <f>IFERROR(__xludf.DUMMYFUNCTION("""COMPUTED_VALUE"""),"PROFILE")</f>
        <v>PROFILE</v>
      </c>
      <c r="E8" s="11" t="str">
        <f>IFERROR(__xludf.DUMMYFUNCTION("""COMPUTED_VALUE"""),"REFERENCE")</f>
        <v>REFERENCE</v>
      </c>
      <c r="F8" s="11" t="str">
        <f>IFERROR(__xludf.DUMMYFUNCTION("""COMPUTED_VALUE"""),"Profile")</f>
        <v>Profile</v>
      </c>
      <c r="G8" s="11" t="b">
        <f>IFERROR(__xludf.DUMMYFUNCTION("""COMPUTED_VALUE"""),FALSE)</f>
        <v>0</v>
      </c>
      <c r="H8" s="11" t="str">
        <f>IFERROR(__xludf.DUMMYFUNCTION("""COMPUTED_VALUE"""),"Serviceplan Group, Jung von Matt, Mediaplus Group")</f>
        <v>Serviceplan Group, Jung von Matt, Mediaplus Group</v>
      </c>
      <c r="I8" s="11">
        <f>IFERROR(__xludf.DUMMYFUNCTION("""COMPUTED_VALUE"""),1.0)</f>
        <v>1</v>
      </c>
      <c r="J8" s="11">
        <f>IFERROR(__xludf.DUMMYFUNCTION("""COMPUTED_VALUE"""),0.0)</f>
        <v>0</v>
      </c>
      <c r="K8" s="11">
        <f>IFERROR(__xludf.DUMMYFUNCTION("""COMPUTED_VALUE"""),1.0)</f>
        <v>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s>
  <drawing r:id="rId1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All'!D2:D1000)))=""alternative""
  ),
  """"
)"),"https://segmentstream.com/blog/articles/incrmntal-alternatives")</f>
        <v>https://segmentstream.com/blog/articles/incrmntal-alternatives</v>
      </c>
      <c r="B2" s="11" t="str">
        <f>IFERROR(__xludf.DUMMYFUNCTION("""COMPUTED_VALUE"""),"INCRMNTAL Competitors &amp;amp; Alternatives (2026) — SegmentStream")</f>
        <v>INCRMNTAL Competitors &amp;amp; Alternatives (2026) — SegmentStream</v>
      </c>
      <c r="C2" s="8" t="str">
        <f>IFERROR(__xludf.DUMMYFUNCTION("""COMPUTED_VALUE"""),"segmentstream.com")</f>
        <v>segmentstream.com</v>
      </c>
      <c r="D2" s="11" t="str">
        <f>IFERROR(__xludf.DUMMYFUNCTION("""COMPUTED_VALUE"""),"ALTERNATIVE")</f>
        <v>ALTERNATIVE</v>
      </c>
      <c r="E2" s="11" t="str">
        <f>IFERROR(__xludf.DUMMYFUNCTION("""COMPUTED_VALUE"""),"COMPETITOR")</f>
        <v>COMPETITOR</v>
      </c>
      <c r="F2" s="11" t="str">
        <f>IFERROR(__xludf.DUMMYFUNCTION("""COMPUTED_VALUE"""),"Alternative")</f>
        <v>Alternative</v>
      </c>
      <c r="G2" s="11" t="b">
        <f>IFERROR(__xludf.DUMMYFUNCTION("""COMPUTED_VALUE"""),FALSE)</f>
        <v>0</v>
      </c>
      <c r="H2" s="11" t="str">
        <f>IFERROR(__xludf.DUMMYFUNCTION("""COMPUTED_VALUE"""),"SegmentStream, INCRMNTAL, Measured, Haus, LifeSight, Recast")</f>
        <v>SegmentStream, INCRMNTAL, Measured, Haus, LifeSight, Recast</v>
      </c>
      <c r="I2" s="11">
        <f>IFERROR(__xludf.DUMMYFUNCTION("""COMPUTED_VALUE"""),4.0)</f>
        <v>4</v>
      </c>
      <c r="J2" s="11">
        <f>IFERROR(__xludf.DUMMYFUNCTION("""COMPUTED_VALUE"""),0.0)</f>
        <v>0</v>
      </c>
      <c r="K2" s="11">
        <f>IFERROR(__xludf.DUMMYFUNCTION("""COMPUTED_VALUE"""),0.75)</f>
        <v>0.75</v>
      </c>
    </row>
    <row r="3" ht="15.75" customHeight="1">
      <c r="A3" s="8" t="str">
        <f>IFERROR(__xludf.DUMMYFUNCTION("""COMPUTED_VALUE"""),"https://segmentstream.com/blog/articles/measured-com-alternatives")</f>
        <v>https://segmentstream.com/blog/articles/measured-com-alternatives</v>
      </c>
      <c r="B3" s="11" t="str">
        <f>IFERROR(__xludf.DUMMYFUNCTION("""COMPUTED_VALUE"""),"9 Best Measured Alternatives &amp;amp; Competitors for Incrementality Testing in 2026 — SegmentStream")</f>
        <v>9 Best Measured Alternatives &amp;amp; Competitors for Incrementality Testing in 2026 — SegmentStream</v>
      </c>
      <c r="C3" s="8" t="str">
        <f>IFERROR(__xludf.DUMMYFUNCTION("""COMPUTED_VALUE"""),"segmentstream.com")</f>
        <v>segmentstream.com</v>
      </c>
      <c r="D3" s="11" t="str">
        <f>IFERROR(__xludf.DUMMYFUNCTION("""COMPUTED_VALUE"""),"ALTERNATIVE")</f>
        <v>ALTERNATIVE</v>
      </c>
      <c r="E3" s="11" t="str">
        <f>IFERROR(__xludf.DUMMYFUNCTION("""COMPUTED_VALUE"""),"COMPETITOR")</f>
        <v>COMPETITOR</v>
      </c>
      <c r="F3" s="11" t="str">
        <f>IFERROR(__xludf.DUMMYFUNCTION("""COMPUTED_VALUE"""),"Alternative")</f>
        <v>Alternative</v>
      </c>
      <c r="G3" s="11" t="b">
        <f>IFERROR(__xludf.DUMMYFUNCTION("""COMPUTED_VALUE"""),FALSE)</f>
        <v>0</v>
      </c>
      <c r="H3" s="11" t="str">
        <f>IFERROR(__xludf.DUMMYFUNCTION("""COMPUTED_VALUE"""),"SegmentStream, Measured, Haus, LifeSight, INCRMNTAL, Recast, Momentum, Sellforte")</f>
        <v>SegmentStream, Measured, Haus, LifeSight, INCRMNTAL, Recast, Momentum, Sellforte</v>
      </c>
      <c r="I3" s="11">
        <f>IFERROR(__xludf.DUMMYFUNCTION("""COMPUTED_VALUE"""),2.0)</f>
        <v>2</v>
      </c>
      <c r="J3" s="11">
        <f>IFERROR(__xludf.DUMMYFUNCTION("""COMPUTED_VALUE"""),0.0)</f>
        <v>0</v>
      </c>
      <c r="K3" s="11">
        <f>IFERROR(__xludf.DUMMYFUNCTION("""COMPUTED_VALUE"""),0.0)</f>
        <v>0</v>
      </c>
    </row>
    <row r="4" ht="15.75" customHeight="1">
      <c r="A4" s="8" t="str">
        <f>IFERROR(__xludf.DUMMYFUNCTION("""COMPUTED_VALUE"""),"https://segmentstream.com/blog/articles/top-haus-io-alternatives-for-geo-lift-incrementality-testing")</f>
        <v>https://segmentstream.com/blog/articles/top-haus-io-alternatives-for-geo-lift-incrementality-testing</v>
      </c>
      <c r="B4" s="11" t="str">
        <f>IFERROR(__xludf.DUMMYFUNCTION("""COMPUTED_VALUE"""),"5 Best Haus.io Alternatives (2026) — SegmentStream")</f>
        <v>5 Best Haus.io Alternatives (2026) — SegmentStream</v>
      </c>
      <c r="C4" s="8" t="str">
        <f>IFERROR(__xludf.DUMMYFUNCTION("""COMPUTED_VALUE"""),"segmentstream.com")</f>
        <v>segmentstream.com</v>
      </c>
      <c r="D4" s="11" t="str">
        <f>IFERROR(__xludf.DUMMYFUNCTION("""COMPUTED_VALUE"""),"ALTERNATIVE")</f>
        <v>ALTERNATIVE</v>
      </c>
      <c r="E4" s="11" t="str">
        <f>IFERROR(__xludf.DUMMYFUNCTION("""COMPUTED_VALUE"""),"COMPETITOR")</f>
        <v>COMPETITOR</v>
      </c>
      <c r="F4" s="11" t="str">
        <f>IFERROR(__xludf.DUMMYFUNCTION("""COMPUTED_VALUE"""),"Alternative")</f>
        <v>Alternative</v>
      </c>
      <c r="G4" s="11" t="b">
        <f>IFERROR(__xludf.DUMMYFUNCTION("""COMPUTED_VALUE"""),FALSE)</f>
        <v>0</v>
      </c>
      <c r="H4" s="11" t="str">
        <f>IFERROR(__xludf.DUMMYFUNCTION("""COMPUTED_VALUE"""),"SegmentStream, Haus, Measured, INCRMNTAL, Recast")</f>
        <v>SegmentStream, Haus, Measured, INCRMNTAL, Recast</v>
      </c>
      <c r="I4" s="11">
        <f>IFERROR(__xludf.DUMMYFUNCTION("""COMPUTED_VALUE"""),2.0)</f>
        <v>2</v>
      </c>
      <c r="J4" s="11">
        <f>IFERROR(__xludf.DUMMYFUNCTION("""COMPUTED_VALUE"""),0.0)</f>
        <v>0</v>
      </c>
      <c r="K4" s="11">
        <f>IFERROR(__xludf.DUMMYFUNCTION("""COMPUTED_VALUE"""),0.0)</f>
        <v>0</v>
      </c>
    </row>
    <row r="5" ht="15.75" customHeight="1">
      <c r="A5" s="8" t="str">
        <f>IFERROR(__xludf.DUMMYFUNCTION("""COMPUTED_VALUE"""),"https://www.leonar.app/blog/gem-alternatives/")</f>
        <v>https://www.leonar.app/blog/gem-alternatives/</v>
      </c>
      <c r="B5" s="11" t="str">
        <f>IFERROR(__xludf.DUMMYFUNCTION("""COMPUTED_VALUE"""),"5 of the Top GEM alternatives for recruiters | Leonar")</f>
        <v>5 of the Top GEM alternatives for recruiters | Leonar</v>
      </c>
      <c r="C5" s="11" t="str">
        <f>IFERROR(__xludf.DUMMYFUNCTION("""COMPUTED_VALUE"""),"leonar.app")</f>
        <v>leonar.app</v>
      </c>
      <c r="D5" s="11" t="str">
        <f>IFERROR(__xludf.DUMMYFUNCTION("""COMPUTED_VALUE"""),"ALTERNATIVE")</f>
        <v>ALTERNATIVE</v>
      </c>
      <c r="E5" s="11" t="str">
        <f>IFERROR(__xludf.DUMMYFUNCTION("""COMPUTED_VALUE"""),"CORPORATE")</f>
        <v>CORPORATE</v>
      </c>
      <c r="F5" s="11" t="str">
        <f>IFERROR(__xludf.DUMMYFUNCTION("""COMPUTED_VALUE"""),"Alternative")</f>
        <v>Alternative</v>
      </c>
      <c r="G5" s="11" t="b">
        <f>IFERROR(__xludf.DUMMYFUNCTION("""COMPUTED_VALUE"""),FALSE)</f>
        <v>0</v>
      </c>
      <c r="H5" s="11"/>
      <c r="I5" s="11">
        <f>IFERROR(__xludf.DUMMYFUNCTION("""COMPUTED_VALUE"""),1.0)</f>
        <v>1</v>
      </c>
      <c r="J5" s="11">
        <f>IFERROR(__xludf.DUMMYFUNCTION("""COMPUTED_VALUE"""),0.0)</f>
        <v>0</v>
      </c>
      <c r="K5" s="11">
        <f>IFERROR(__xludf.DUMMYFUNCTION("""COMPUTED_VALUE"""),1.0)</f>
        <v>1</v>
      </c>
    </row>
    <row r="6" ht="15.75" customHeight="1">
      <c r="A6" s="8" t="str">
        <f>IFERROR(__xludf.DUMMYFUNCTION("""COMPUTED_VALUE"""),"https://segmentstream.com/blog/articles/northbeam-alternatives")</f>
        <v>https://segmentstream.com/blog/articles/northbeam-alternatives</v>
      </c>
      <c r="B6" s="11" t="str">
        <f>IFERROR(__xludf.DUMMYFUNCTION("""COMPUTED_VALUE"""),"10 Best Northbeam Alternatives for DTC Attribution in 2026 — SegmentStream")</f>
        <v>10 Best Northbeam Alternatives for DTC Attribution in 2026 — SegmentStream</v>
      </c>
      <c r="C6" s="8" t="str">
        <f>IFERROR(__xludf.DUMMYFUNCTION("""COMPUTED_VALUE"""),"segmentstream.com")</f>
        <v>segmentstream.com</v>
      </c>
      <c r="D6" s="11" t="str">
        <f>IFERROR(__xludf.DUMMYFUNCTION("""COMPUTED_VALUE"""),"ALTERNATIVE")</f>
        <v>ALTERNATIVE</v>
      </c>
      <c r="E6" s="11" t="str">
        <f>IFERROR(__xludf.DUMMYFUNCTION("""COMPUTED_VALUE"""),"COMPETITOR")</f>
        <v>COMPETITOR</v>
      </c>
      <c r="F6" s="11" t="str">
        <f>IFERROR(__xludf.DUMMYFUNCTION("""COMPUTED_VALUE"""),"Alternative")</f>
        <v>Alternative</v>
      </c>
      <c r="G6" s="11" t="b">
        <f>IFERROR(__xludf.DUMMYFUNCTION("""COMPUTED_VALUE"""),FALSE)</f>
        <v>0</v>
      </c>
      <c r="H6" s="11" t="str">
        <f>IFERROR(__xludf.DUMMYFUNCTION("""COMPUTED_VALUE"""),"SegmentStream, Northbeam, Triple Whale, Rockerbox, Cometly, Measured, Momentum")</f>
        <v>SegmentStream, Northbeam, Triple Whale, Rockerbox, Cometly, Measured, Momentum</v>
      </c>
      <c r="I6" s="11">
        <f>IFERROR(__xludf.DUMMYFUNCTION("""COMPUTED_VALUE"""),1.0)</f>
        <v>1</v>
      </c>
      <c r="J6" s="11">
        <f>IFERROR(__xludf.DUMMYFUNCTION("""COMPUTED_VALUE"""),0.0)</f>
        <v>0</v>
      </c>
      <c r="K6" s="11">
        <f>IFERROR(__xludf.DUMMYFUNCTION("""COMPUTED_VALUE"""),1.0)</f>
        <v>1</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A6"/>
    <hyperlink r:id="rId8" ref="C6"/>
  </hyperlinks>
  <drawing r:id="rId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All'!D2:D1000)))=""article""
  ),
  """"
)"),"https://www.btelligent.com/en/news-posts/btelligent-brandeins-2026-best-consultancies-germany")</f>
        <v>https://www.btelligent.com/en/news-posts/btelligent-brandeins-2026-best-consultancies-germany</v>
      </c>
      <c r="B2" s="11" t="str">
        <f>IFERROR(__xludf.DUMMYFUNCTION("""COMPUTED_VALUE"""),"b.telligent among Germany’s top Data &amp;amp; AI consultancies 2026")</f>
        <v>b.telligent among Germany’s top Data &amp;amp; AI consultancies 2026</v>
      </c>
      <c r="C2" s="8" t="str">
        <f>IFERROR(__xludf.DUMMYFUNCTION("""COMPUTED_VALUE"""),"btelligent.com")</f>
        <v>btelligent.com</v>
      </c>
      <c r="D2" s="11" t="str">
        <f>IFERROR(__xludf.DUMMYFUNCTION("""COMPUTED_VALUE"""),"ARTICLE")</f>
        <v>ARTICLE</v>
      </c>
      <c r="E2" s="11" t="str">
        <f>IFERROR(__xludf.DUMMYFUNCTION("""COMPUTED_VALUE"""),"COMPETITOR")</f>
        <v>COMPETITOR</v>
      </c>
      <c r="F2" s="11" t="str">
        <f>IFERROR(__xludf.DUMMYFUNCTION("""COMPUTED_VALUE"""),"Article")</f>
        <v>Article</v>
      </c>
      <c r="G2" s="11" t="b">
        <f>IFERROR(__xludf.DUMMYFUNCTION("""COMPUTED_VALUE"""),FALSE)</f>
        <v>0</v>
      </c>
      <c r="H2" s="11" t="str">
        <f>IFERROR(__xludf.DUMMYFUNCTION("""COMPUTED_VALUE"""),"b.telligent, Pilot, EY")</f>
        <v>b.telligent, Pilot, EY</v>
      </c>
      <c r="I2" s="11">
        <f>IFERROR(__xludf.DUMMYFUNCTION("""COMPUTED_VALUE"""),15.0)</f>
        <v>15</v>
      </c>
      <c r="J2" s="11">
        <f>IFERROR(__xludf.DUMMYFUNCTION("""COMPUTED_VALUE"""),0.02)</f>
        <v>0.02</v>
      </c>
      <c r="K2" s="11">
        <f>IFERROR(__xludf.DUMMYFUNCTION("""COMPUTED_VALUE"""),1.73)</f>
        <v>1.73</v>
      </c>
    </row>
    <row r="3" ht="15.75" customHeight="1">
      <c r="A3" s="8" t="str">
        <f>IFERROR(__xludf.DUMMYFUNCTION("""COMPUTED_VALUE"""),"https://www.adc.de/2025/12/09/adc-kreativranking-2025/")</f>
        <v>https://www.adc.de/2025/12/09/adc-kreativranking-2025/</v>
      </c>
      <c r="B3" s="11" t="str">
        <f>IFERROR(__xludf.DUMMYFUNCTION("""COMPUTED_VALUE"""),"ADC Kreativranking 2025 | Art Directors Club für Deutschland – ADC")</f>
        <v>ADC Kreativranking 2025 | Art Directors Club für Deutschland – ADC</v>
      </c>
      <c r="C3" s="8" t="str">
        <f>IFERROR(__xludf.DUMMYFUNCTION("""COMPUTED_VALUE"""),"adc.de")</f>
        <v>adc.de</v>
      </c>
      <c r="D3" s="11" t="str">
        <f>IFERROR(__xludf.DUMMYFUNCTION("""COMPUTED_VALUE"""),"ARTICLE")</f>
        <v>ARTICLE</v>
      </c>
      <c r="E3" s="11" t="str">
        <f>IFERROR(__xludf.DUMMYFUNCTION("""COMPUTED_VALUE"""),"INSTITUTIONAL")</f>
        <v>INSTITUTIONAL</v>
      </c>
      <c r="F3" s="11" t="str">
        <f>IFERROR(__xludf.DUMMYFUNCTION("""COMPUTED_VALUE"""),"Article")</f>
        <v>Article</v>
      </c>
      <c r="G3" s="11" t="b">
        <f>IFERROR(__xludf.DUMMYFUNCTION("""COMPUTED_VALUE"""),FALSE)</f>
        <v>0</v>
      </c>
      <c r="H3" s="11" t="str">
        <f>IFERROR(__xludf.DUMMYFUNCTION("""COMPUTED_VALUE"""),"Scholz &amp; Friends, Publicis Groupe, MetaDesign, Ogilvy")</f>
        <v>Scholz &amp; Friends, Publicis Groupe, MetaDesign, Ogilvy</v>
      </c>
      <c r="I3" s="11">
        <f>IFERROR(__xludf.DUMMYFUNCTION("""COMPUTED_VALUE"""),8.0)</f>
        <v>8</v>
      </c>
      <c r="J3" s="11">
        <f>IFERROR(__xludf.DUMMYFUNCTION("""COMPUTED_VALUE"""),0.01)</f>
        <v>0.01</v>
      </c>
      <c r="K3" s="11">
        <f>IFERROR(__xludf.DUMMYFUNCTION("""COMPUTED_VALUE"""),1.5)</f>
        <v>1.5</v>
      </c>
    </row>
    <row r="4" ht="15.75" customHeight="1">
      <c r="A4" s="8" t="str">
        <f>IFERROR(__xludf.DUMMYFUNCTION("""COMPUTED_VALUE"""),"https://www.architecturaldigest.com/story/is-your-business-ready-for-the-ai-overview-era")</f>
        <v>https://www.architecturaldigest.com/story/is-your-business-ready-for-the-ai-overview-era</v>
      </c>
      <c r="B4" s="11" t="str">
        <f>IFERROR(__xludf.DUMMYFUNCTION("""COMPUTED_VALUE"""),"Is Your Business Ready for the AI Overview Era? | Architectural Digest")</f>
        <v>Is Your Business Ready for the AI Overview Era? | Architectural Digest</v>
      </c>
      <c r="C4" s="8" t="str">
        <f>IFERROR(__xludf.DUMMYFUNCTION("""COMPUTED_VALUE"""),"architecturaldigest.com")</f>
        <v>architecturaldigest.com</v>
      </c>
      <c r="D4" s="11" t="str">
        <f>IFERROR(__xludf.DUMMYFUNCTION("""COMPUTED_VALUE"""),"ARTICLE")</f>
        <v>ARTICLE</v>
      </c>
      <c r="E4" s="11" t="str">
        <f>IFERROR(__xludf.DUMMYFUNCTION("""COMPUTED_VALUE"""),"EDITORIAL")</f>
        <v>EDITORIAL</v>
      </c>
      <c r="F4" s="11" t="str">
        <f>IFERROR(__xludf.DUMMYFUNCTION("""COMPUTED_VALUE"""),"Article")</f>
        <v>Article</v>
      </c>
      <c r="G4" s="11" t="b">
        <f>IFERROR(__xludf.DUMMYFUNCTION("""COMPUTED_VALUE"""),FALSE)</f>
        <v>0</v>
      </c>
      <c r="H4" s="11"/>
      <c r="I4" s="11">
        <f>IFERROR(__xludf.DUMMYFUNCTION("""COMPUTED_VALUE"""),8.0)</f>
        <v>8</v>
      </c>
      <c r="J4" s="11">
        <f>IFERROR(__xludf.DUMMYFUNCTION("""COMPUTED_VALUE"""),0.01)</f>
        <v>0.01</v>
      </c>
      <c r="K4" s="11">
        <f>IFERROR(__xludf.DUMMYFUNCTION("""COMPUTED_VALUE"""),2.25)</f>
        <v>2.25</v>
      </c>
    </row>
    <row r="5" ht="15.75" customHeight="1">
      <c r="A5" s="8" t="str">
        <f>IFERROR(__xludf.DUMMYFUNCTION("""COMPUTED_VALUE"""),"https://thebestagency.de/news/serviceplan-stuermt-an-die-spitze-des-rankings-von-the-best-agency/?media_link=1")</f>
        <v>https://thebestagency.de/news/serviceplan-stuermt-an-die-spitze-des-rankings-von-the-best-agency/?media_link=1</v>
      </c>
      <c r="B5" s="11" t="str">
        <f>IFERROR(__xludf.DUMMYFUNCTION("""COMPUTED_VALUE"""),"THE BEST AGENCY Ranking: Serviceplan stürmt an die Spitze")</f>
        <v>THE BEST AGENCY Ranking: Serviceplan stürmt an die Spitze</v>
      </c>
      <c r="C5" s="8" t="str">
        <f>IFERROR(__xludf.DUMMYFUNCTION("""COMPUTED_VALUE"""),"thebestagency.de")</f>
        <v>thebestagency.de</v>
      </c>
      <c r="D5" s="11" t="str">
        <f>IFERROR(__xludf.DUMMYFUNCTION("""COMPUTED_VALUE"""),"ARTICLE")</f>
        <v>ARTICLE</v>
      </c>
      <c r="E5" s="11" t="str">
        <f>IFERROR(__xludf.DUMMYFUNCTION("""COMPUTED_VALUE"""),"CORPORATE")</f>
        <v>CORPORATE</v>
      </c>
      <c r="F5" s="11" t="str">
        <f>IFERROR(__xludf.DUMMYFUNCTION("""COMPUTED_VALUE"""),"Article")</f>
        <v>Article</v>
      </c>
      <c r="G5" s="11" t="b">
        <f>IFERROR(__xludf.DUMMYFUNCTION("""COMPUTED_VALUE"""),FALSE)</f>
        <v>0</v>
      </c>
      <c r="H5" s="11" t="str">
        <f>IFERROR(__xludf.DUMMYFUNCTION("""COMPUTED_VALUE"""),"Publicis Groupe, Ogilvy, Accenture Song, Scholz &amp; Friends, Jung von Matt")</f>
        <v>Publicis Groupe, Ogilvy, Accenture Song, Scholz &amp; Friends, Jung von Matt</v>
      </c>
      <c r="I5" s="11">
        <f>IFERROR(__xludf.DUMMYFUNCTION("""COMPUTED_VALUE"""),5.0)</f>
        <v>5</v>
      </c>
      <c r="J5" s="11">
        <f>IFERROR(__xludf.DUMMYFUNCTION("""COMPUTED_VALUE"""),0.01)</f>
        <v>0.01</v>
      </c>
      <c r="K5" s="11">
        <f>IFERROR(__xludf.DUMMYFUNCTION("""COMPUTED_VALUE"""),0.0)</f>
        <v>0</v>
      </c>
    </row>
    <row r="6" ht="15.75" customHeight="1">
      <c r="A6" s="8" t="str">
        <f>IFERROR(__xludf.DUMMYFUNCTION("""COMPUTED_VALUE"""),"https://arxiv.org/abs/2509.08919")</f>
        <v>https://arxiv.org/abs/2509.08919</v>
      </c>
      <c r="B6" s="11" t="str">
        <f>IFERROR(__xludf.DUMMYFUNCTION("""COMPUTED_VALUE"""),"[2509.08919] Generative Engine Optimization: How to Dominate AI Search")</f>
        <v>[2509.08919] Generative Engine Optimization: How to Dominate AI Search</v>
      </c>
      <c r="C6" s="8" t="str">
        <f>IFERROR(__xludf.DUMMYFUNCTION("""COMPUTED_VALUE"""),"arxiv.org")</f>
        <v>arxiv.org</v>
      </c>
      <c r="D6" s="11" t="str">
        <f>IFERROR(__xludf.DUMMYFUNCTION("""COMPUTED_VALUE"""),"ARTICLE")</f>
        <v>ARTICLE</v>
      </c>
      <c r="E6" s="11" t="str">
        <f>IFERROR(__xludf.DUMMYFUNCTION("""COMPUTED_VALUE"""),"REFERENCE")</f>
        <v>REFERENCE</v>
      </c>
      <c r="F6" s="11" t="str">
        <f>IFERROR(__xludf.DUMMYFUNCTION("""COMPUTED_VALUE"""),"Article")</f>
        <v>Article</v>
      </c>
      <c r="G6" s="11" t="b">
        <f>IFERROR(__xludf.DUMMYFUNCTION("""COMPUTED_VALUE"""),FALSE)</f>
        <v>0</v>
      </c>
      <c r="H6" s="11"/>
      <c r="I6" s="11">
        <f>IFERROR(__xludf.DUMMYFUNCTION("""COMPUTED_VALUE"""),4.0)</f>
        <v>4</v>
      </c>
      <c r="J6" s="11">
        <f>IFERROR(__xludf.DUMMYFUNCTION("""COMPUTED_VALUE"""),0.0)</f>
        <v>0</v>
      </c>
      <c r="K6" s="11">
        <f>IFERROR(__xludf.DUMMYFUNCTION("""COMPUTED_VALUE"""),2.0)</f>
        <v>2</v>
      </c>
    </row>
    <row r="7" ht="15.75" customHeight="1">
      <c r="A7" s="8" t="str">
        <f>IFERROR(__xludf.DUMMYFUNCTION("""COMPUTED_VALUE"""),"https://business.google.com/in/think/marketing-strategies/incrementality-testing/")</f>
        <v>https://business.google.com/in/think/marketing-strategies/incrementality-testing/</v>
      </c>
      <c r="B7" s="11" t="str">
        <f>IFERROR(__xludf.DUMMYFUNCTION("""COMPUTED_VALUE"""),"Use incrementality testing for effective marketing measurement")</f>
        <v>Use incrementality testing for effective marketing measurement</v>
      </c>
      <c r="C7" s="8" t="str">
        <f>IFERROR(__xludf.DUMMYFUNCTION("""COMPUTED_VALUE"""),"google.com")</f>
        <v>google.com</v>
      </c>
      <c r="D7" s="11" t="str">
        <f>IFERROR(__xludf.DUMMYFUNCTION("""COMPUTED_VALUE"""),"ARTICLE")</f>
        <v>ARTICLE</v>
      </c>
      <c r="E7" s="11" t="str">
        <f>IFERROR(__xludf.DUMMYFUNCTION("""COMPUTED_VALUE"""),"OTHER")</f>
        <v>OTHER</v>
      </c>
      <c r="F7" s="11" t="str">
        <f>IFERROR(__xludf.DUMMYFUNCTION("""COMPUTED_VALUE"""),"Article")</f>
        <v>Article</v>
      </c>
      <c r="G7" s="11" t="b">
        <f>IFERROR(__xludf.DUMMYFUNCTION("""COMPUTED_VALUE"""),FALSE)</f>
        <v>0</v>
      </c>
      <c r="H7" s="11"/>
      <c r="I7" s="11">
        <f>IFERROR(__xludf.DUMMYFUNCTION("""COMPUTED_VALUE"""),4.0)</f>
        <v>4</v>
      </c>
      <c r="J7" s="11">
        <f>IFERROR(__xludf.DUMMYFUNCTION("""COMPUTED_VALUE"""),0.0)</f>
        <v>0</v>
      </c>
      <c r="K7" s="11">
        <f>IFERROR(__xludf.DUMMYFUNCTION("""COMPUTED_VALUE"""),1.0)</f>
        <v>1</v>
      </c>
    </row>
    <row r="8" ht="15.75" customHeight="1">
      <c r="A8" s="8" t="str">
        <f>IFERROR(__xludf.DUMMYFUNCTION("""COMPUTED_VALUE"""),"https://de.wikipedia.org/wiki/Jung_von_Matt")</f>
        <v>https://de.wikipedia.org/wiki/Jung_von_Matt</v>
      </c>
      <c r="B8" s="11" t="str">
        <f>IFERROR(__xludf.DUMMYFUNCTION("""COMPUTED_VALUE"""),"Jung von Matt – Wikipedia")</f>
        <v>Jung von Matt – Wikipedia</v>
      </c>
      <c r="C8" s="8" t="str">
        <f>IFERROR(__xludf.DUMMYFUNCTION("""COMPUTED_VALUE"""),"wikipedia.org")</f>
        <v>wikipedia.org</v>
      </c>
      <c r="D8" s="11" t="str">
        <f>IFERROR(__xludf.DUMMYFUNCTION("""COMPUTED_VALUE"""),"ARTICLE")</f>
        <v>ARTICLE</v>
      </c>
      <c r="E8" s="11" t="str">
        <f>IFERROR(__xludf.DUMMYFUNCTION("""COMPUTED_VALUE"""),"REFERENCE")</f>
        <v>REFERENCE</v>
      </c>
      <c r="F8" s="11" t="str">
        <f>IFERROR(__xludf.DUMMYFUNCTION("""COMPUTED_VALUE"""),"Article")</f>
        <v>Article</v>
      </c>
      <c r="G8" s="11" t="b">
        <f>IFERROR(__xludf.DUMMYFUNCTION("""COMPUTED_VALUE"""),FALSE)</f>
        <v>0</v>
      </c>
      <c r="H8" s="11" t="str">
        <f>IFERROR(__xludf.DUMMYFUNCTION("""COMPUTED_VALUE"""),"Jung von Matt, Momentum")</f>
        <v>Jung von Matt, Momentum</v>
      </c>
      <c r="I8" s="11">
        <f>IFERROR(__xludf.DUMMYFUNCTION("""COMPUTED_VALUE"""),4.0)</f>
        <v>4</v>
      </c>
      <c r="J8" s="11">
        <f>IFERROR(__xludf.DUMMYFUNCTION("""COMPUTED_VALUE"""),0.0)</f>
        <v>0</v>
      </c>
      <c r="K8" s="11">
        <f>IFERROR(__xludf.DUMMYFUNCTION("""COMPUTED_VALUE"""),1.25)</f>
        <v>1.25</v>
      </c>
    </row>
    <row r="9" ht="15.75" customHeight="1">
      <c r="A9" s="8" t="str">
        <f>IFERROR(__xludf.DUMMYFUNCTION("""COMPUTED_VALUE"""),"https://www.reuters.com/business/publicis-raises-growth-target-ai-driven-marketing-demand-stays-strong-2026-07-16/")</f>
        <v>https://www.reuters.com/business/publicis-raises-growth-target-ai-driven-marketing-demand-stays-strong-2026-07-16/</v>
      </c>
      <c r="B9" s="11" t="str">
        <f>IFERROR(__xludf.DUMMYFUNCTION("""COMPUTED_VALUE"""),"Publicis raises growth target as AI-driven marketing demand stays strong \| Reuters")</f>
        <v>Publicis raises growth target as AI-driven marketing demand stays strong \| Reuters</v>
      </c>
      <c r="C9" s="8" t="str">
        <f>IFERROR(__xludf.DUMMYFUNCTION("""COMPUTED_VALUE"""),"reuters.com")</f>
        <v>reuters.com</v>
      </c>
      <c r="D9" s="11" t="str">
        <f>IFERROR(__xludf.DUMMYFUNCTION("""COMPUTED_VALUE"""),"ARTICLE")</f>
        <v>ARTICLE</v>
      </c>
      <c r="E9" s="11" t="str">
        <f>IFERROR(__xludf.DUMMYFUNCTION("""COMPUTED_VALUE"""),"EDITORIAL")</f>
        <v>EDITORIAL</v>
      </c>
      <c r="F9" s="11" t="str">
        <f>IFERROR(__xludf.DUMMYFUNCTION("""COMPUTED_VALUE"""),"Article")</f>
        <v>Article</v>
      </c>
      <c r="G9" s="11" t="b">
        <f>IFERROR(__xludf.DUMMYFUNCTION("""COMPUTED_VALUE"""),FALSE)</f>
        <v>0</v>
      </c>
      <c r="H9" s="11" t="str">
        <f>IFERROR(__xludf.DUMMYFUNCTION("""COMPUTED_VALUE"""),"Publicis Groupe")</f>
        <v>Publicis Groupe</v>
      </c>
      <c r="I9" s="11">
        <f>IFERROR(__xludf.DUMMYFUNCTION("""COMPUTED_VALUE"""),4.0)</f>
        <v>4</v>
      </c>
      <c r="J9" s="11">
        <f>IFERROR(__xludf.DUMMYFUNCTION("""COMPUTED_VALUE"""),0.0)</f>
        <v>0</v>
      </c>
      <c r="K9" s="11">
        <f>IFERROR(__xludf.DUMMYFUNCTION("""COMPUTED_VALUE"""),1.5)</f>
        <v>1.5</v>
      </c>
    </row>
    <row r="10" ht="15.75" customHeight="1">
      <c r="A10" s="8" t="str">
        <f>IFERROR(__xludf.DUMMYFUNCTION("""COMPUTED_VALUE"""),"https://www.sortlist.com/de/performance-marketing")</f>
        <v>https://www.sortlist.com/de/performance-marketing</v>
      </c>
      <c r="B10" s="11" t="str">
        <f>IFERROR(__xludf.DUMMYFUNCTION("""COMPUTED_VALUE"""),"Unsere 100 Besten Performance Marketing Agenturen - 2026 Bewertungen")</f>
        <v>Unsere 100 Besten Performance Marketing Agenturen - 2026 Bewertungen</v>
      </c>
      <c r="C10" s="8" t="str">
        <f>IFERROR(__xludf.DUMMYFUNCTION("""COMPUTED_VALUE"""),"sortlist.com")</f>
        <v>sortlist.com</v>
      </c>
      <c r="D10" s="11" t="str">
        <f>IFERROR(__xludf.DUMMYFUNCTION("""COMPUTED_VALUE"""),"ARTICLE")</f>
        <v>ARTICLE</v>
      </c>
      <c r="E10" s="11" t="str">
        <f>IFERROR(__xludf.DUMMYFUNCTION("""COMPUTED_VALUE"""),"CORPORATE")</f>
        <v>CORPORATE</v>
      </c>
      <c r="F10" s="11" t="str">
        <f>IFERROR(__xludf.DUMMYFUNCTION("""COMPUTED_VALUE"""),"Article")</f>
        <v>Article</v>
      </c>
      <c r="G10" s="11" t="b">
        <f>IFERROR(__xludf.DUMMYFUNCTION("""COMPUTED_VALUE"""),FALSE)</f>
        <v>0</v>
      </c>
      <c r="H10" s="11" t="str">
        <f>IFERROR(__xludf.DUMMYFUNCTION("""COMPUTED_VALUE"""),"KlickPiloten, MONSOON, Triple Whale, Northbeam, Dreamdata, Mediacharge")</f>
        <v>KlickPiloten, MONSOON, Triple Whale, Northbeam, Dreamdata, Mediacharge</v>
      </c>
      <c r="I10" s="11">
        <f>IFERROR(__xludf.DUMMYFUNCTION("""COMPUTED_VALUE"""),4.0)</f>
        <v>4</v>
      </c>
      <c r="J10" s="11">
        <f>IFERROR(__xludf.DUMMYFUNCTION("""COMPUTED_VALUE"""),0.0)</f>
        <v>0</v>
      </c>
      <c r="K10" s="11">
        <f>IFERROR(__xludf.DUMMYFUNCTION("""COMPUTED_VALUE"""),0.0)</f>
        <v>0</v>
      </c>
    </row>
    <row r="11" ht="15.75" customHeight="1">
      <c r="A11" s="8" t="str">
        <f>IFERROR(__xludf.DUMMYFUNCTION("""COMPUTED_VALUE"""),"https://supermetrics.com/blog/incrementality-testing")</f>
        <v>https://supermetrics.com/blog/incrementality-testing</v>
      </c>
      <c r="B11" s="11" t="str">
        <f>IFERROR(__xludf.DUMMYFUNCTION("""COMPUTED_VALUE"""),"Incrementality Testing – The Only Guide You Need")</f>
        <v>Incrementality Testing – The Only Guide You Need</v>
      </c>
      <c r="C11" s="8" t="str">
        <f>IFERROR(__xludf.DUMMYFUNCTION("""COMPUTED_VALUE"""),"supermetrics.com")</f>
        <v>supermetrics.com</v>
      </c>
      <c r="D11" s="11" t="str">
        <f>IFERROR(__xludf.DUMMYFUNCTION("""COMPUTED_VALUE"""),"ARTICLE")</f>
        <v>ARTICLE</v>
      </c>
      <c r="E11" s="11" t="str">
        <f>IFERROR(__xludf.DUMMYFUNCTION("""COMPUTED_VALUE"""),"CORPORATE")</f>
        <v>CORPORATE</v>
      </c>
      <c r="F11" s="11" t="str">
        <f>IFERROR(__xludf.DUMMYFUNCTION("""COMPUTED_VALUE"""),"Article")</f>
        <v>Article</v>
      </c>
      <c r="G11" s="11" t="b">
        <f>IFERROR(__xludf.DUMMYFUNCTION("""COMPUTED_VALUE"""),FALSE)</f>
        <v>0</v>
      </c>
      <c r="H11" s="11" t="str">
        <f>IFERROR(__xludf.DUMMYFUNCTION("""COMPUTED_VALUE"""),"Haus, Measured")</f>
        <v>Haus, Measured</v>
      </c>
      <c r="I11" s="11">
        <f>IFERROR(__xludf.DUMMYFUNCTION("""COMPUTED_VALUE"""),4.0)</f>
        <v>4</v>
      </c>
      <c r="J11" s="11">
        <f>IFERROR(__xludf.DUMMYFUNCTION("""COMPUTED_VALUE"""),0.0)</f>
        <v>0</v>
      </c>
      <c r="K11" s="11">
        <f>IFERROR(__xludf.DUMMYFUNCTION("""COMPUTED_VALUE"""),0.0)</f>
        <v>0</v>
      </c>
    </row>
    <row r="12" ht="15.75" customHeight="1">
      <c r="A12" s="8" t="str">
        <f>IFERROR(__xludf.DUMMYFUNCTION("""COMPUTED_VALUE"""),"https://www.youtube.com/watch?v=JmDHPizWIOA")</f>
        <v>https://www.youtube.com/watch?v=JmDHPizWIOA</v>
      </c>
      <c r="B12" s="11" t="str">
        <f>IFERROR(__xludf.DUMMYFUNCTION("""COMPUTED_VALUE"""),"What Are the Best Generative Engine Optimization (GEO) Agencies in Germany")</f>
        <v>What Are the Best Generative Engine Optimization (GEO) Agencies in Germany</v>
      </c>
      <c r="C12" s="8" t="str">
        <f>IFERROR(__xludf.DUMMYFUNCTION("""COMPUTED_VALUE"""),"youtube.com")</f>
        <v>youtube.com</v>
      </c>
      <c r="D12" s="11" t="str">
        <f>IFERROR(__xludf.DUMMYFUNCTION("""COMPUTED_VALUE"""),"ARTICLE")</f>
        <v>ARTICLE</v>
      </c>
      <c r="E12" s="11" t="str">
        <f>IFERROR(__xludf.DUMMYFUNCTION("""COMPUTED_VALUE"""),"UGC")</f>
        <v>UGC</v>
      </c>
      <c r="F12" s="11" t="str">
        <f>IFERROR(__xludf.DUMMYFUNCTION("""COMPUTED_VALUE"""),"Article")</f>
        <v>Article</v>
      </c>
      <c r="G12" s="11" t="b">
        <f>IFERROR(__xludf.DUMMYFUNCTION("""COMPUTED_VALUE"""),FALSE)</f>
        <v>0</v>
      </c>
      <c r="H12" s="11"/>
      <c r="I12" s="11">
        <f>IFERROR(__xludf.DUMMYFUNCTION("""COMPUTED_VALUE"""),4.0)</f>
        <v>4</v>
      </c>
      <c r="J12" s="11">
        <f>IFERROR(__xludf.DUMMYFUNCTION("""COMPUTED_VALUE"""),0.0)</f>
        <v>0</v>
      </c>
      <c r="K12" s="11">
        <f>IFERROR(__xludf.DUMMYFUNCTION("""COMPUTED_VALUE"""),0.0)</f>
        <v>0</v>
      </c>
    </row>
    <row r="13" ht="15.75" customHeight="1">
      <c r="A13" s="8" t="str">
        <f>IFERROR(__xludf.DUMMYFUNCTION("""COMPUTED_VALUE"""),"https://arxiv.org/abs/2604.07585")</f>
        <v>https://arxiv.org/abs/2604.07585</v>
      </c>
      <c r="B13" s="11" t="str">
        <f>IFERROR(__xludf.DUMMYFUNCTION("""COMPUTED_VALUE"""),"[2604.07585] Don't Measure Once: Measuring Visibility in AI Search (GEO)")</f>
        <v>[2604.07585] Don't Measure Once: Measuring Visibility in AI Search (GEO)</v>
      </c>
      <c r="C13" s="8" t="str">
        <f>IFERROR(__xludf.DUMMYFUNCTION("""COMPUTED_VALUE"""),"arxiv.org")</f>
        <v>arxiv.org</v>
      </c>
      <c r="D13" s="11" t="str">
        <f>IFERROR(__xludf.DUMMYFUNCTION("""COMPUTED_VALUE"""),"ARTICLE")</f>
        <v>ARTICLE</v>
      </c>
      <c r="E13" s="11" t="str">
        <f>IFERROR(__xludf.DUMMYFUNCTION("""COMPUTED_VALUE"""),"REFERENCE")</f>
        <v>REFERENCE</v>
      </c>
      <c r="F13" s="11" t="str">
        <f>IFERROR(__xludf.DUMMYFUNCTION("""COMPUTED_VALUE"""),"Article")</f>
        <v>Article</v>
      </c>
      <c r="G13" s="11" t="b">
        <f>IFERROR(__xludf.DUMMYFUNCTION("""COMPUTED_VALUE"""),FALSE)</f>
        <v>0</v>
      </c>
      <c r="H13" s="11"/>
      <c r="I13" s="11">
        <f>IFERROR(__xludf.DUMMYFUNCTION("""COMPUTED_VALUE"""),3.0)</f>
        <v>3</v>
      </c>
      <c r="J13" s="11">
        <f>IFERROR(__xludf.DUMMYFUNCTION("""COMPUTED_VALUE"""),0.0)</f>
        <v>0</v>
      </c>
      <c r="K13" s="11">
        <f>IFERROR(__xludf.DUMMYFUNCTION("""COMPUTED_VALUE"""),2.0)</f>
        <v>2</v>
      </c>
    </row>
    <row r="14" ht="15.75" customHeight="1">
      <c r="A14" s="8" t="str">
        <f>IFERROR(__xludf.DUMMYFUNCTION("""COMPUTED_VALUE"""),"https://meedia.de/news/beitrag/20776-serviceplan-dominiert-das-ranking-der-top-50-kreativagenturen-in-deutschland.html")</f>
        <v>https://meedia.de/news/beitrag/20776-serviceplan-dominiert-das-ranking-der-top-50-kreativagenturen-in-deutschland.html</v>
      </c>
      <c r="B14" s="11" t="str">
        <f>IFERROR(__xludf.DUMMYFUNCTION("""COMPUTED_VALUE"""),"Serviceplan dominiert das Ranking der Top 50 Kreativagenturen in Deutschland")</f>
        <v>Serviceplan dominiert das Ranking der Top 50 Kreativagenturen in Deutschland</v>
      </c>
      <c r="C14" s="8" t="str">
        <f>IFERROR(__xludf.DUMMYFUNCTION("""COMPUTED_VALUE"""),"meedia.de")</f>
        <v>meedia.de</v>
      </c>
      <c r="D14" s="11" t="str">
        <f>IFERROR(__xludf.DUMMYFUNCTION("""COMPUTED_VALUE"""),"ARTICLE")</f>
        <v>ARTICLE</v>
      </c>
      <c r="E14" s="11" t="str">
        <f>IFERROR(__xludf.DUMMYFUNCTION("""COMPUTED_VALUE"""),"EDITORIAL")</f>
        <v>EDITORIAL</v>
      </c>
      <c r="F14" s="11" t="str">
        <f>IFERROR(__xludf.DUMMYFUNCTION("""COMPUTED_VALUE"""),"Article")</f>
        <v>Article</v>
      </c>
      <c r="G14" s="11" t="b">
        <f>IFERROR(__xludf.DUMMYFUNCTION("""COMPUTED_VALUE"""),FALSE)</f>
        <v>0</v>
      </c>
      <c r="H14" s="11" t="str">
        <f>IFERROR(__xludf.DUMMYFUNCTION("""COMPUTED_VALUE"""),"Serviceplan Group, Jung von Matt, Scholz &amp; Friends, Haus")</f>
        <v>Serviceplan Group, Jung von Matt, Scholz &amp; Friends, Haus</v>
      </c>
      <c r="I14" s="11">
        <f>IFERROR(__xludf.DUMMYFUNCTION("""COMPUTED_VALUE"""),3.0)</f>
        <v>3</v>
      </c>
      <c r="J14" s="11">
        <f>IFERROR(__xludf.DUMMYFUNCTION("""COMPUTED_VALUE"""),0.0)</f>
        <v>0</v>
      </c>
      <c r="K14" s="11">
        <f>IFERROR(__xludf.DUMMYFUNCTION("""COMPUTED_VALUE"""),0.0)</f>
        <v>0</v>
      </c>
    </row>
    <row r="15" ht="15.75" customHeight="1">
      <c r="A15" s="8" t="str">
        <f>IFERROR(__xludf.DUMMYFUNCTION("""COMPUTED_VALUE"""),"https://s360digital.com/news/s360-enters-dach-through-a-strategic-minority-investment-in-dreifive/")</f>
        <v>https://s360digital.com/news/s360-enters-dach-through-a-strategic-minority-investment-in-dreifive/</v>
      </c>
      <c r="B15" s="11" t="str">
        <f>IFERROR(__xludf.DUMMYFUNCTION("""COMPUTED_VALUE"""),"s360 enters DACH through a strategic minority investment in dreifive")</f>
        <v>s360 enters DACH through a strategic minority investment in dreifive</v>
      </c>
      <c r="C15" s="8" t="str">
        <f>IFERROR(__xludf.DUMMYFUNCTION("""COMPUTED_VALUE"""),"s360digital.com")</f>
        <v>s360digital.com</v>
      </c>
      <c r="D15" s="11" t="str">
        <f>IFERROR(__xludf.DUMMYFUNCTION("""COMPUTED_VALUE"""),"ARTICLE")</f>
        <v>ARTICLE</v>
      </c>
      <c r="E15" s="11" t="str">
        <f>IFERROR(__xludf.DUMMYFUNCTION("""COMPUTED_VALUE"""),"COMPETITOR")</f>
        <v>COMPETITOR</v>
      </c>
      <c r="F15" s="11" t="str">
        <f>IFERROR(__xludf.DUMMYFUNCTION("""COMPUTED_VALUE"""),"Article")</f>
        <v>Article</v>
      </c>
      <c r="G15" s="11" t="b">
        <f>IFERROR(__xludf.DUMMYFUNCTION("""COMPUTED_VALUE"""),FALSE)</f>
        <v>0</v>
      </c>
      <c r="H15" s="11" t="str">
        <f>IFERROR(__xludf.DUMMYFUNCTION("""COMPUTED_VALUE"""),"s360")</f>
        <v>s360</v>
      </c>
      <c r="I15" s="11">
        <f>IFERROR(__xludf.DUMMYFUNCTION("""COMPUTED_VALUE"""),3.0)</f>
        <v>3</v>
      </c>
      <c r="J15" s="11">
        <f>IFERROR(__xludf.DUMMYFUNCTION("""COMPUTED_VALUE"""),0.0)</f>
        <v>0</v>
      </c>
      <c r="K15" s="11">
        <f>IFERROR(__xludf.DUMMYFUNCTION("""COMPUTED_VALUE"""),1.0)</f>
        <v>1</v>
      </c>
    </row>
    <row r="16" ht="15.75" customHeight="1">
      <c r="A16" s="8" t="str">
        <f>IFERROR(__xludf.DUMMYFUNCTION("""COMPUTED_VALUE"""),"https://www.adc.de/2024/12/05/adc-kreativranking-2024-serviceplan-auf-dem-ersten-platz/")</f>
        <v>https://www.adc.de/2024/12/05/adc-kreativranking-2024-serviceplan-auf-dem-ersten-platz/</v>
      </c>
      <c r="B16" s="11" t="str">
        <f>IFERROR(__xludf.DUMMYFUNCTION("""COMPUTED_VALUE"""),"ADC Kreativranking 2024 – SERVICEPLAN auf dem ersten Platz | Art Directors Club für Deutschland – ADC")</f>
        <v>ADC Kreativranking 2024 – SERVICEPLAN auf dem ersten Platz | Art Directors Club für Deutschland – ADC</v>
      </c>
      <c r="C16" s="8" t="str">
        <f>IFERROR(__xludf.DUMMYFUNCTION("""COMPUTED_VALUE"""),"adc.de")</f>
        <v>adc.de</v>
      </c>
      <c r="D16" s="11" t="str">
        <f>IFERROR(__xludf.DUMMYFUNCTION("""COMPUTED_VALUE"""),"ARTICLE")</f>
        <v>ARTICLE</v>
      </c>
      <c r="E16" s="11" t="str">
        <f>IFERROR(__xludf.DUMMYFUNCTION("""COMPUTED_VALUE"""),"INSTITUTIONAL")</f>
        <v>INSTITUTIONAL</v>
      </c>
      <c r="F16" s="11" t="str">
        <f>IFERROR(__xludf.DUMMYFUNCTION("""COMPUTED_VALUE"""),"Article")</f>
        <v>Article</v>
      </c>
      <c r="G16" s="11" t="b">
        <f>IFERROR(__xludf.DUMMYFUNCTION("""COMPUTED_VALUE"""),FALSE)</f>
        <v>0</v>
      </c>
      <c r="H16" s="11" t="str">
        <f>IFERROR(__xludf.DUMMYFUNCTION("""COMPUTED_VALUE"""),"Jung von Matt, Momentum, Accenture Song, Ogilvy, Scholz &amp; Friends")</f>
        <v>Jung von Matt, Momentum, Accenture Song, Ogilvy, Scholz &amp; Friends</v>
      </c>
      <c r="I16" s="11">
        <f>IFERROR(__xludf.DUMMYFUNCTION("""COMPUTED_VALUE"""),2.0)</f>
        <v>2</v>
      </c>
      <c r="J16" s="11">
        <f>IFERROR(__xludf.DUMMYFUNCTION("""COMPUTED_VALUE"""),0.0)</f>
        <v>0</v>
      </c>
      <c r="K16" s="11">
        <f>IFERROR(__xludf.DUMMYFUNCTION("""COMPUTED_VALUE"""),1.0)</f>
        <v>1</v>
      </c>
    </row>
    <row r="17" ht="15.75" customHeight="1">
      <c r="A17" s="8" t="str">
        <f>IFERROR(__xludf.DUMMYFUNCTION("""COMPUTED_VALUE"""),"https://www.axios.com/2025/01/07/new-groupm-ceo-unveils-5-year-plan")</f>
        <v>https://www.axios.com/2025/01/07/new-groupm-ceo-unveils-5-year-plan</v>
      </c>
      <c r="B17" s="11" t="str">
        <f>IFERROR(__xludf.DUMMYFUNCTION("""COMPUTED_VALUE"""),"New GroupM CEO Brian Lesser 5-year plan")</f>
        <v>New GroupM CEO Brian Lesser 5-year plan</v>
      </c>
      <c r="C17" s="8" t="str">
        <f>IFERROR(__xludf.DUMMYFUNCTION("""COMPUTED_VALUE"""),"axios.com")</f>
        <v>axios.com</v>
      </c>
      <c r="D17" s="11" t="str">
        <f>IFERROR(__xludf.DUMMYFUNCTION("""COMPUTED_VALUE"""),"ARTICLE")</f>
        <v>ARTICLE</v>
      </c>
      <c r="E17" s="11" t="str">
        <f>IFERROR(__xludf.DUMMYFUNCTION("""COMPUTED_VALUE"""),"EDITORIAL")</f>
        <v>EDITORIAL</v>
      </c>
      <c r="F17" s="11" t="str">
        <f>IFERROR(__xludf.DUMMYFUNCTION("""COMPUTED_VALUE"""),"Article")</f>
        <v>Article</v>
      </c>
      <c r="G17" s="11" t="b">
        <f>IFERROR(__xludf.DUMMYFUNCTION("""COMPUTED_VALUE"""),FALSE)</f>
        <v>0</v>
      </c>
      <c r="H17" s="11" t="str">
        <f>IFERROR(__xludf.DUMMYFUNCTION("""COMPUTED_VALUE"""),"GroupM, Omnicom, WPP, Epsilon, Publicis Groupe, Mindshare")</f>
        <v>GroupM, Omnicom, WPP, Epsilon, Publicis Groupe, Mindshare</v>
      </c>
      <c r="I17" s="11">
        <f>IFERROR(__xludf.DUMMYFUNCTION("""COMPUTED_VALUE"""),2.0)</f>
        <v>2</v>
      </c>
      <c r="J17" s="11">
        <f>IFERROR(__xludf.DUMMYFUNCTION("""COMPUTED_VALUE"""),0.0)</f>
        <v>0</v>
      </c>
      <c r="K17" s="11">
        <f>IFERROR(__xludf.DUMMYFUNCTION("""COMPUTED_VALUE"""),2.0)</f>
        <v>2</v>
      </c>
    </row>
    <row r="18" ht="15.75" customHeight="1">
      <c r="A18" s="8" t="str">
        <f>IFERROR(__xludf.DUMMYFUNCTION("""COMPUTED_VALUE"""),"https://business.google.com/us/think/measurement/incrementality-testing/")</f>
        <v>https://business.google.com/us/think/measurement/incrementality-testing/</v>
      </c>
      <c r="B18" s="11" t="str">
        <f>IFERROR(__xludf.DUMMYFUNCTION("""COMPUTED_VALUE"""),"Use incrementality testing for effective marketing measurement")</f>
        <v>Use incrementality testing for effective marketing measurement</v>
      </c>
      <c r="C18" s="8" t="str">
        <f>IFERROR(__xludf.DUMMYFUNCTION("""COMPUTED_VALUE"""),"google.com")</f>
        <v>google.com</v>
      </c>
      <c r="D18" s="11" t="str">
        <f>IFERROR(__xludf.DUMMYFUNCTION("""COMPUTED_VALUE"""),"ARTICLE")</f>
        <v>ARTICLE</v>
      </c>
      <c r="E18" s="11" t="str">
        <f>IFERROR(__xludf.DUMMYFUNCTION("""COMPUTED_VALUE"""),"OTHER")</f>
        <v>OTHER</v>
      </c>
      <c r="F18" s="11" t="str">
        <f>IFERROR(__xludf.DUMMYFUNCTION("""COMPUTED_VALUE"""),"Article")</f>
        <v>Article</v>
      </c>
      <c r="G18" s="11" t="b">
        <f>IFERROR(__xludf.DUMMYFUNCTION("""COMPUTED_VALUE"""),FALSE)</f>
        <v>0</v>
      </c>
      <c r="H18" s="11"/>
      <c r="I18" s="11">
        <f>IFERROR(__xludf.DUMMYFUNCTION("""COMPUTED_VALUE"""),2.0)</f>
        <v>2</v>
      </c>
      <c r="J18" s="11">
        <f>IFERROR(__xludf.DUMMYFUNCTION("""COMPUTED_VALUE"""),0.0)</f>
        <v>0</v>
      </c>
      <c r="K18" s="11">
        <f>IFERROR(__xludf.DUMMYFUNCTION("""COMPUTED_VALUE"""),0.5)</f>
        <v>0.5</v>
      </c>
    </row>
    <row r="19" ht="15.75" customHeight="1">
      <c r="A19" s="8" t="str">
        <f>IFERROR(__xludf.DUMMYFUNCTION("""COMPUTED_VALUE"""),"https://www.businessinsider.com/ai-consulting-mckinsey-pwc-deloitte-bcg-kpmg-accenture-ey-ibm-2026-5")</f>
        <v>https://www.businessinsider.com/ai-consulting-mckinsey-pwc-deloitte-bcg-kpmg-accenture-ey-ibm-2026-5</v>
      </c>
      <c r="B19" s="11" t="str">
        <f>IFERROR(__xludf.DUMMYFUNCTION("""COMPUTED_VALUE"""),"How AI Is Upending the Consulting Industry - Business Insider")</f>
        <v>How AI Is Upending the Consulting Industry - Business Insider</v>
      </c>
      <c r="C19" s="8" t="str">
        <f>IFERROR(__xludf.DUMMYFUNCTION("""COMPUTED_VALUE"""),"businessinsider.com")</f>
        <v>businessinsider.com</v>
      </c>
      <c r="D19" s="11" t="str">
        <f>IFERROR(__xludf.DUMMYFUNCTION("""COMPUTED_VALUE"""),"ARTICLE")</f>
        <v>ARTICLE</v>
      </c>
      <c r="E19" s="11" t="str">
        <f>IFERROR(__xludf.DUMMYFUNCTION("""COMPUTED_VALUE"""),"EDITORIAL")</f>
        <v>EDITORIAL</v>
      </c>
      <c r="F19" s="11" t="str">
        <f>IFERROR(__xludf.DUMMYFUNCTION("""COMPUTED_VALUE"""),"Article")</f>
        <v>Article</v>
      </c>
      <c r="G19" s="11" t="b">
        <f>IFERROR(__xludf.DUMMYFUNCTION("""COMPUTED_VALUE"""),FALSE)</f>
        <v>0</v>
      </c>
      <c r="H19" s="11" t="str">
        <f>IFERROR(__xludf.DUMMYFUNCTION("""COMPUTED_VALUE"""),"PwC, BCG, EY, Measured, Boston Consulting Group, McKinsey &amp; Company")</f>
        <v>PwC, BCG, EY, Measured, Boston Consulting Group, McKinsey &amp; Company</v>
      </c>
      <c r="I19" s="11">
        <f>IFERROR(__xludf.DUMMYFUNCTION("""COMPUTED_VALUE"""),2.0)</f>
        <v>2</v>
      </c>
      <c r="J19" s="11">
        <f>IFERROR(__xludf.DUMMYFUNCTION("""COMPUTED_VALUE"""),0.0)</f>
        <v>0</v>
      </c>
      <c r="K19" s="11">
        <f>IFERROR(__xludf.DUMMYFUNCTION("""COMPUTED_VALUE"""),1.5)</f>
        <v>1.5</v>
      </c>
    </row>
    <row r="20" ht="15.75" customHeight="1">
      <c r="A20" s="8" t="str">
        <f>IFERROR(__xludf.DUMMYFUNCTION("""COMPUTED_VALUE"""),"https://www.businessinsider.com/ai-search-reshapes-seo-fueling-geo-gold-rush-2025-11")</f>
        <v>https://www.businessinsider.com/ai-search-reshapes-seo-fueling-geo-gold-rush-2025-11</v>
      </c>
      <c r="B20" s="11" t="str">
        <f>IFERROR(__xludf.DUMMYFUNCTION("""COMPUTED_VALUE"""),"AI Search Reshapes SEO, Fueling GEO Gold Rush - Business Insider")</f>
        <v>AI Search Reshapes SEO, Fueling GEO Gold Rush - Business Insider</v>
      </c>
      <c r="C20" s="8" t="str">
        <f>IFERROR(__xludf.DUMMYFUNCTION("""COMPUTED_VALUE"""),"businessinsider.com")</f>
        <v>businessinsider.com</v>
      </c>
      <c r="D20" s="11" t="str">
        <f>IFERROR(__xludf.DUMMYFUNCTION("""COMPUTED_VALUE"""),"ARTICLE")</f>
        <v>ARTICLE</v>
      </c>
      <c r="E20" s="11" t="str">
        <f>IFERROR(__xludf.DUMMYFUNCTION("""COMPUTED_VALUE"""),"EDITORIAL")</f>
        <v>EDITORIAL</v>
      </c>
      <c r="F20" s="11" t="str">
        <f>IFERROR(__xludf.DUMMYFUNCTION("""COMPUTED_VALUE"""),"Article")</f>
        <v>Article</v>
      </c>
      <c r="G20" s="11" t="b">
        <f>IFERROR(__xludf.DUMMYFUNCTION("""COMPUTED_VALUE"""),FALSE)</f>
        <v>0</v>
      </c>
      <c r="H20" s="11" t="str">
        <f>IFERROR(__xludf.DUMMYFUNCTION("""COMPUTED_VALUE"""),"Huge, appliedAI, Measured, WPP")</f>
        <v>Huge, appliedAI, Measured, WPP</v>
      </c>
      <c r="I20" s="11">
        <f>IFERROR(__xludf.DUMMYFUNCTION("""COMPUTED_VALUE"""),2.0)</f>
        <v>2</v>
      </c>
      <c r="J20" s="11">
        <f>IFERROR(__xludf.DUMMYFUNCTION("""COMPUTED_VALUE"""),0.0)</f>
        <v>0</v>
      </c>
      <c r="K20" s="11">
        <f>IFERROR(__xludf.DUMMYFUNCTION("""COMPUTED_VALUE"""),2.0)</f>
        <v>2</v>
      </c>
    </row>
    <row r="21" ht="15.75" customHeight="1">
      <c r="A21" s="8" t="str">
        <f>IFERROR(__xludf.DUMMYFUNCTION("""COMPUTED_VALUE"""),"https://www.eology.de/presse/google-premier-partner-2025")</f>
        <v>https://www.eology.de/presse/google-premier-partner-2025</v>
      </c>
      <c r="B21" s="11" t="str">
        <f>IFERROR(__xludf.DUMMYFUNCTION("""COMPUTED_VALUE"""),"eology erneut unter den Top 3 % - Google Premier Partner 2025")</f>
        <v>eology erneut unter den Top 3 % - Google Premier Partner 2025</v>
      </c>
      <c r="C21" s="8" t="str">
        <f>IFERROR(__xludf.DUMMYFUNCTION("""COMPUTED_VALUE"""),"eology.de")</f>
        <v>eology.de</v>
      </c>
      <c r="D21" s="11" t="str">
        <f>IFERROR(__xludf.DUMMYFUNCTION("""COMPUTED_VALUE"""),"ARTICLE")</f>
        <v>ARTICLE</v>
      </c>
      <c r="E21" s="11" t="str">
        <f>IFERROR(__xludf.DUMMYFUNCTION("""COMPUTED_VALUE"""),"CORPORATE")</f>
        <v>CORPORATE</v>
      </c>
      <c r="F21" s="11" t="str">
        <f>IFERROR(__xludf.DUMMYFUNCTION("""COMPUTED_VALUE"""),"Article")</f>
        <v>Article</v>
      </c>
      <c r="G21" s="11" t="b">
        <f>IFERROR(__xludf.DUMMYFUNCTION("""COMPUTED_VALUE"""),FALSE)</f>
        <v>0</v>
      </c>
      <c r="H21" s="11"/>
      <c r="I21" s="11">
        <f>IFERROR(__xludf.DUMMYFUNCTION("""COMPUTED_VALUE"""),2.0)</f>
        <v>2</v>
      </c>
      <c r="J21" s="11">
        <f>IFERROR(__xludf.DUMMYFUNCTION("""COMPUTED_VALUE"""),0.0)</f>
        <v>0</v>
      </c>
      <c r="K21" s="11">
        <f>IFERROR(__xludf.DUMMYFUNCTION("""COMPUTED_VALUE"""),0.0)</f>
        <v>0</v>
      </c>
    </row>
    <row r="22" ht="15.75" customHeight="1">
      <c r="A22" s="8" t="str">
        <f>IFERROR(__xludf.DUMMYFUNCTION("""COMPUTED_VALUE"""),"https://www.itpro.com/business/business-strategy/ai-projects-are-stalling-at-mid-market-firms-google-cloud-and-accenture-want-to-solve-that")</f>
        <v>https://www.itpro.com/business/business-strategy/ai-projects-are-stalling-at-mid-market-firms-google-cloud-and-accenture-want-to-solve-that</v>
      </c>
      <c r="B22" s="11" t="str">
        <f>IFERROR(__xludf.DUMMYFUNCTION("""COMPUTED_VALUE"""),"AI projects are stalling at mid-market firms – Google Cloud and Accenture want to solve that | IT Pro")</f>
        <v>AI projects are stalling at mid-market firms – Google Cloud and Accenture want to solve that | IT Pro</v>
      </c>
      <c r="C22" s="8" t="str">
        <f>IFERROR(__xludf.DUMMYFUNCTION("""COMPUTED_VALUE"""),"itpro.com")</f>
        <v>itpro.com</v>
      </c>
      <c r="D22" s="11" t="str">
        <f>IFERROR(__xludf.DUMMYFUNCTION("""COMPUTED_VALUE"""),"ARTICLE")</f>
        <v>ARTICLE</v>
      </c>
      <c r="E22" s="11" t="str">
        <f>IFERROR(__xludf.DUMMYFUNCTION("""COMPUTED_VALUE"""),"EDITORIAL")</f>
        <v>EDITORIAL</v>
      </c>
      <c r="F22" s="11" t="str">
        <f>IFERROR(__xludf.DUMMYFUNCTION("""COMPUTED_VALUE"""),"Article")</f>
        <v>Article</v>
      </c>
      <c r="G22" s="11" t="b">
        <f>IFERROR(__xludf.DUMMYFUNCTION("""COMPUTED_VALUE"""),FALSE)</f>
        <v>0</v>
      </c>
      <c r="H22" s="11" t="str">
        <f>IFERROR(__xludf.DUMMYFUNCTION("""COMPUTED_VALUE"""),"Pilot")</f>
        <v>Pilot</v>
      </c>
      <c r="I22" s="11">
        <f>IFERROR(__xludf.DUMMYFUNCTION("""COMPUTED_VALUE"""),2.0)</f>
        <v>2</v>
      </c>
      <c r="J22" s="11">
        <f>IFERROR(__xludf.DUMMYFUNCTION("""COMPUTED_VALUE"""),0.0)</f>
        <v>0</v>
      </c>
      <c r="K22" s="11">
        <f>IFERROR(__xludf.DUMMYFUNCTION("""COMPUTED_VALUE"""),2.5)</f>
        <v>2.5</v>
      </c>
    </row>
    <row r="23" ht="15.75" customHeight="1">
      <c r="A23" s="8" t="str">
        <f>IFERROR(__xludf.DUMMYFUNCTION("""COMPUTED_VALUE"""),"https://www.mir.de/en/top10")</f>
        <v>https://www.mir.de/en/top10</v>
      </c>
      <c r="B23" s="11" t="str">
        <f>IFERROR(__xludf.DUMMYFUNCTION("""COMPUTED_VALUE"""),"TOP 10 most creative digital agencies in Germany - Internetagentur Köln, Digitalagentur, Python/Django/CMS - MIR MEDIA")</f>
        <v>TOP 10 most creative digital agencies in Germany - Internetagentur Köln, Digitalagentur, Python/Django/CMS - MIR MEDIA</v>
      </c>
      <c r="C23" s="8" t="str">
        <f>IFERROR(__xludf.DUMMYFUNCTION("""COMPUTED_VALUE"""),"mir.de")</f>
        <v>mir.de</v>
      </c>
      <c r="D23" s="11" t="str">
        <f>IFERROR(__xludf.DUMMYFUNCTION("""COMPUTED_VALUE"""),"ARTICLE")</f>
        <v>ARTICLE</v>
      </c>
      <c r="E23" s="11" t="str">
        <f>IFERROR(__xludf.DUMMYFUNCTION("""COMPUTED_VALUE"""),"CORPORATE")</f>
        <v>CORPORATE</v>
      </c>
      <c r="F23" s="11" t="str">
        <f>IFERROR(__xludf.DUMMYFUNCTION("""COMPUTED_VALUE"""),"Article")</f>
        <v>Article</v>
      </c>
      <c r="G23" s="11" t="b">
        <f>IFERROR(__xludf.DUMMYFUNCTION("""COMPUTED_VALUE"""),FALSE)</f>
        <v>0</v>
      </c>
      <c r="H23" s="11"/>
      <c r="I23" s="11">
        <f>IFERROR(__xludf.DUMMYFUNCTION("""COMPUTED_VALUE"""),2.0)</f>
        <v>2</v>
      </c>
      <c r="J23" s="11">
        <f>IFERROR(__xludf.DUMMYFUNCTION("""COMPUTED_VALUE"""),0.0)</f>
        <v>0</v>
      </c>
      <c r="K23" s="11">
        <f>IFERROR(__xludf.DUMMYFUNCTION("""COMPUTED_VALUE"""),0.5)</f>
        <v>0.5</v>
      </c>
    </row>
    <row r="24" ht="15.75" customHeight="1">
      <c r="A24" s="8" t="str">
        <f>IFERROR(__xludf.DUMMYFUNCTION("""COMPUTED_VALUE"""),"https://omnicommediagroup.de/news/germany/pressemitteilungen/nachster-meilenstein-trkkn-erhalt-google-cloud-spezialisierung-in-marketing-analytics/")</f>
        <v>https://omnicommediagroup.de/news/germany/pressemitteilungen/nachster-meilenstein-trkkn-erhalt-google-cloud-spezialisierung-in-marketing-analytics/</v>
      </c>
      <c r="B24" s="11" t="str">
        <f>IFERROR(__xludf.DUMMYFUNCTION("""COMPUTED_VALUE"""),"Nächster Meilenstein: TRKKN erhält Google-Cloud-Spezialisierung in Marketing Analytics - Omnicom Media")</f>
        <v>Nächster Meilenstein: TRKKN erhält Google-Cloud-Spezialisierung in Marketing Analytics - Omnicom Media</v>
      </c>
      <c r="C24" s="8" t="str">
        <f>IFERROR(__xludf.DUMMYFUNCTION("""COMPUTED_VALUE"""),"omnicommediagroup.de")</f>
        <v>omnicommediagroup.de</v>
      </c>
      <c r="D24" s="11" t="str">
        <f>IFERROR(__xludf.DUMMYFUNCTION("""COMPUTED_VALUE"""),"ARTICLE")</f>
        <v>ARTICLE</v>
      </c>
      <c r="E24" s="11" t="str">
        <f>IFERROR(__xludf.DUMMYFUNCTION("""COMPUTED_VALUE"""),"CORPORATE")</f>
        <v>CORPORATE</v>
      </c>
      <c r="F24" s="11" t="str">
        <f>IFERROR(__xludf.DUMMYFUNCTION("""COMPUTED_VALUE"""),"Article")</f>
        <v>Article</v>
      </c>
      <c r="G24" s="11" t="b">
        <f>IFERROR(__xludf.DUMMYFUNCTION("""COMPUTED_VALUE"""),FALSE)</f>
        <v>0</v>
      </c>
      <c r="H24" s="11" t="str">
        <f>IFERROR(__xludf.DUMMYFUNCTION("""COMPUTED_VALUE"""),"Omnicom Media Group, Omnicom")</f>
        <v>Omnicom Media Group, Omnicom</v>
      </c>
      <c r="I24" s="11">
        <f>IFERROR(__xludf.DUMMYFUNCTION("""COMPUTED_VALUE"""),2.0)</f>
        <v>2</v>
      </c>
      <c r="J24" s="11">
        <f>IFERROR(__xludf.DUMMYFUNCTION("""COMPUTED_VALUE"""),0.0)</f>
        <v>0</v>
      </c>
      <c r="K24" s="11">
        <f>IFERROR(__xludf.DUMMYFUNCTION("""COMPUTED_VALUE"""),0.0)</f>
        <v>0</v>
      </c>
    </row>
    <row r="25" ht="15.75" customHeight="1">
      <c r="A25" s="8" t="str">
        <f>IFERROR(__xludf.DUMMYFUNCTION("""COMPUTED_VALUE"""),"https://www.red-dot.org/magazine/accenture-song-is-red-dot-agency-of-the-year-2025")</f>
        <v>https://www.red-dot.org/magazine/accenture-song-is-red-dot-agency-of-the-year-2025</v>
      </c>
      <c r="B25" s="11" t="str">
        <f>IFERROR(__xludf.DUMMYFUNCTION("""COMPUTED_VALUE"""),"Accenture Song is Red Dot: Agency of the Year 2025")</f>
        <v>Accenture Song is Red Dot: Agency of the Year 2025</v>
      </c>
      <c r="C25" s="8" t="str">
        <f>IFERROR(__xludf.DUMMYFUNCTION("""COMPUTED_VALUE"""),"red-dot.org")</f>
        <v>red-dot.org</v>
      </c>
      <c r="D25" s="11" t="str">
        <f>IFERROR(__xludf.DUMMYFUNCTION("""COMPUTED_VALUE"""),"ARTICLE")</f>
        <v>ARTICLE</v>
      </c>
      <c r="E25" s="11" t="str">
        <f>IFERROR(__xludf.DUMMYFUNCTION("""COMPUTED_VALUE"""),"INSTITUTIONAL")</f>
        <v>INSTITUTIONAL</v>
      </c>
      <c r="F25" s="11" t="str">
        <f>IFERROR(__xludf.DUMMYFUNCTION("""COMPUTED_VALUE"""),"Article")</f>
        <v>Article</v>
      </c>
      <c r="G25" s="11" t="b">
        <f>IFERROR(__xludf.DUMMYFUNCTION("""COMPUTED_VALUE"""),FALSE)</f>
        <v>0</v>
      </c>
      <c r="H25" s="11" t="str">
        <f>IFERROR(__xludf.DUMMYFUNCTION("""COMPUTED_VALUE"""),"Accenture Song, MetaDesign, Scholz &amp; Friends")</f>
        <v>Accenture Song, MetaDesign, Scholz &amp; Friends</v>
      </c>
      <c r="I25" s="11">
        <f>IFERROR(__xludf.DUMMYFUNCTION("""COMPUTED_VALUE"""),2.0)</f>
        <v>2</v>
      </c>
      <c r="J25" s="11">
        <f>IFERROR(__xludf.DUMMYFUNCTION("""COMPUTED_VALUE"""),0.0)</f>
        <v>0</v>
      </c>
      <c r="K25" s="11">
        <f>IFERROR(__xludf.DUMMYFUNCTION("""COMPUTED_VALUE"""),0.0)</f>
        <v>0</v>
      </c>
    </row>
    <row r="26" ht="15.75" customHeight="1">
      <c r="A26" s="8" t="str">
        <f>IFERROR(__xludf.DUMMYFUNCTION("""COMPUTED_VALUE"""),"https://www.thedrum.com/news/serviceplan-ceo-breaking-out-bavaria-and-climbing-the-world-creative-rankings")</f>
        <v>https://www.thedrum.com/news/serviceplan-ceo-breaking-out-bavaria-and-climbing-the-world-creative-rankings</v>
      </c>
      <c r="B26" s="11" t="str">
        <f>IFERROR(__xludf.DUMMYFUNCTION("""COMPUTED_VALUE"""),"Serviceplan CEO on breaking out of Bavaria and climbing the World Creative Rankings \| The Drum")</f>
        <v>Serviceplan CEO on breaking out of Bavaria and climbing the World Creative Rankings \| The Drum</v>
      </c>
      <c r="C26" s="8" t="str">
        <f>IFERROR(__xludf.DUMMYFUNCTION("""COMPUTED_VALUE"""),"thedrum.com")</f>
        <v>thedrum.com</v>
      </c>
      <c r="D26" s="11" t="str">
        <f>IFERROR(__xludf.DUMMYFUNCTION("""COMPUTED_VALUE"""),"ARTICLE")</f>
        <v>ARTICLE</v>
      </c>
      <c r="E26" s="11" t="str">
        <f>IFERROR(__xludf.DUMMYFUNCTION("""COMPUTED_VALUE"""),"EDITORIAL")</f>
        <v>EDITORIAL</v>
      </c>
      <c r="F26" s="11" t="str">
        <f>IFERROR(__xludf.DUMMYFUNCTION("""COMPUTED_VALUE"""),"Article")</f>
        <v>Article</v>
      </c>
      <c r="G26" s="11" t="b">
        <f>IFERROR(__xludf.DUMMYFUNCTION("""COMPUTED_VALUE"""),FALSE)</f>
        <v>0</v>
      </c>
      <c r="H26" s="11" t="str">
        <f>IFERROR(__xludf.DUMMYFUNCTION("""COMPUTED_VALUE"""),"Serviceplan Group, Huge, Measured, Omnicom")</f>
        <v>Serviceplan Group, Huge, Measured, Omnicom</v>
      </c>
      <c r="I26" s="11">
        <f>IFERROR(__xludf.DUMMYFUNCTION("""COMPUTED_VALUE"""),2.0)</f>
        <v>2</v>
      </c>
      <c r="J26" s="11">
        <f>IFERROR(__xludf.DUMMYFUNCTION("""COMPUTED_VALUE"""),0.0)</f>
        <v>0</v>
      </c>
      <c r="K26" s="11">
        <f>IFERROR(__xludf.DUMMYFUNCTION("""COMPUTED_VALUE"""),0.0)</f>
        <v>0</v>
      </c>
    </row>
    <row r="27" ht="15.75" customHeight="1">
      <c r="A27" s="8" t="str">
        <f>IFERROR(__xludf.DUMMYFUNCTION("""COMPUTED_VALUE"""),"https://www.theverge.com/podcast/959792/digitas-ceo-amy-lanzi-cannes-ad-industry-marketing-ai-creators")</f>
        <v>https://www.theverge.com/podcast/959792/digitas-ceo-amy-lanzi-cannes-ad-industry-marketing-ai-creators</v>
      </c>
      <c r="B27" s="11" t="str">
        <f>IFERROR(__xludf.DUMMYFUNCTION("""COMPUTED_VALUE"""),"AI won’t save advertising, says Digitas’ Amy Lanzi | The Verge")</f>
        <v>AI won’t save advertising, says Digitas’ Amy Lanzi | The Verge</v>
      </c>
      <c r="C27" s="8" t="str">
        <f>IFERROR(__xludf.DUMMYFUNCTION("""COMPUTED_VALUE"""),"theverge.com")</f>
        <v>theverge.com</v>
      </c>
      <c r="D27" s="11" t="str">
        <f>IFERROR(__xludf.DUMMYFUNCTION("""COMPUTED_VALUE"""),"ARTICLE")</f>
        <v>ARTICLE</v>
      </c>
      <c r="E27" s="11" t="str">
        <f>IFERROR(__xludf.DUMMYFUNCTION("""COMPUTED_VALUE"""),"EDITORIAL")</f>
        <v>EDITORIAL</v>
      </c>
      <c r="F27" s="11" t="str">
        <f>IFERROR(__xludf.DUMMYFUNCTION("""COMPUTED_VALUE"""),"Article")</f>
        <v>Article</v>
      </c>
      <c r="G27" s="11" t="b">
        <f>IFERROR(__xludf.DUMMYFUNCTION("""COMPUTED_VALUE"""),FALSE)</f>
        <v>0</v>
      </c>
      <c r="H27" s="11" t="str">
        <f>IFERROR(__xludf.DUMMYFUNCTION("""COMPUTED_VALUE"""),"Publicis Groupe, Huge, Omnicom, Recast")</f>
        <v>Publicis Groupe, Huge, Omnicom, Recast</v>
      </c>
      <c r="I27" s="11">
        <f>IFERROR(__xludf.DUMMYFUNCTION("""COMPUTED_VALUE"""),2.0)</f>
        <v>2</v>
      </c>
      <c r="J27" s="11">
        <f>IFERROR(__xludf.DUMMYFUNCTION("""COMPUTED_VALUE"""),0.0)</f>
        <v>0</v>
      </c>
      <c r="K27" s="11">
        <f>IFERROR(__xludf.DUMMYFUNCTION("""COMPUTED_VALUE"""),2.0)</f>
        <v>2</v>
      </c>
    </row>
    <row r="28" ht="15.75" customHeight="1">
      <c r="A28" s="8" t="str">
        <f>IFERROR(__xludf.DUMMYFUNCTION("""COMPUTED_VALUE"""),"https://www.theverge.com/tech/900302/ai-seo-industry-google-search-chatgpt-gemini-marketing")</f>
        <v>https://www.theverge.com/tech/900302/ai-seo-industry-google-search-chatgpt-gemini-marketing</v>
      </c>
      <c r="B28" s="11" t="str">
        <f>IFERROR(__xludf.DUMMYFUNCTION("""COMPUTED_VALUE"""),"Can AI responses be influenced? The SEO industry is trying | The Verge")</f>
        <v>Can AI responses be influenced? The SEO industry is trying | The Verge</v>
      </c>
      <c r="C28" s="8" t="str">
        <f>IFERROR(__xludf.DUMMYFUNCTION("""COMPUTED_VALUE"""),"theverge.com")</f>
        <v>theverge.com</v>
      </c>
      <c r="D28" s="11" t="str">
        <f>IFERROR(__xludf.DUMMYFUNCTION("""COMPUTED_VALUE"""),"ARTICLE")</f>
        <v>ARTICLE</v>
      </c>
      <c r="E28" s="11" t="str">
        <f>IFERROR(__xludf.DUMMYFUNCTION("""COMPUTED_VALUE"""),"EDITORIAL")</f>
        <v>EDITORIAL</v>
      </c>
      <c r="F28" s="11" t="str">
        <f>IFERROR(__xludf.DUMMYFUNCTION("""COMPUTED_VALUE"""),"Article")</f>
        <v>Article</v>
      </c>
      <c r="G28" s="11" t="b">
        <f>IFERROR(__xludf.DUMMYFUNCTION("""COMPUTED_VALUE"""),FALSE)</f>
        <v>0</v>
      </c>
      <c r="H28" s="11" t="str">
        <f>IFERROR(__xludf.DUMMYFUNCTION("""COMPUTED_VALUE"""),"Huge, Recast")</f>
        <v>Huge, Recast</v>
      </c>
      <c r="I28" s="11">
        <f>IFERROR(__xludf.DUMMYFUNCTION("""COMPUTED_VALUE"""),2.0)</f>
        <v>2</v>
      </c>
      <c r="J28" s="11">
        <f>IFERROR(__xludf.DUMMYFUNCTION("""COMPUTED_VALUE"""),0.0)</f>
        <v>0</v>
      </c>
      <c r="K28" s="11">
        <f>IFERROR(__xludf.DUMMYFUNCTION("""COMPUTED_VALUE"""),2.0)</f>
        <v>2</v>
      </c>
    </row>
    <row r="29" ht="15.75" customHeight="1">
      <c r="A29" s="8" t="str">
        <f>IFERROR(__xludf.DUMMYFUNCTION("""COMPUTED_VALUE"""),"https://www.werbeagentur.de/en/scoring/programmatic-advertising")</f>
        <v>https://www.werbeagentur.de/en/scoring/programmatic-advertising</v>
      </c>
      <c r="B29" s="11" t="str">
        <f>IFERROR(__xludf.DUMMYFUNCTION("""COMPUTED_VALUE"""),"28 Top Agenturen für Programmatic Advertising. Hier vergleichen")</f>
        <v>28 Top Agenturen für Programmatic Advertising. Hier vergleichen</v>
      </c>
      <c r="C29" s="8" t="str">
        <f>IFERROR(__xludf.DUMMYFUNCTION("""COMPUTED_VALUE"""),"werbeagentur.de")</f>
        <v>werbeagentur.de</v>
      </c>
      <c r="D29" s="11" t="str">
        <f>IFERROR(__xludf.DUMMYFUNCTION("""COMPUTED_VALUE"""),"ARTICLE")</f>
        <v>ARTICLE</v>
      </c>
      <c r="E29" s="11" t="str">
        <f>IFERROR(__xludf.DUMMYFUNCTION("""COMPUTED_VALUE"""),"REFERENCE")</f>
        <v>REFERENCE</v>
      </c>
      <c r="F29" s="11" t="str">
        <f>IFERROR(__xludf.DUMMYFUNCTION("""COMPUTED_VALUE"""),"Article")</f>
        <v>Article</v>
      </c>
      <c r="G29" s="11" t="b">
        <f>IFERROR(__xludf.DUMMYFUNCTION("""COMPUTED_VALUE"""),FALSE)</f>
        <v>0</v>
      </c>
      <c r="H29" s="11" t="str">
        <f>IFERROR(__xludf.DUMMYFUNCTION("""COMPUTED_VALUE"""),"Artefact, Digital Masters GmbH, Löwenstark")</f>
        <v>Artefact, Digital Masters GmbH, Löwenstark</v>
      </c>
      <c r="I29" s="11">
        <f>IFERROR(__xludf.DUMMYFUNCTION("""COMPUTED_VALUE"""),2.0)</f>
        <v>2</v>
      </c>
      <c r="J29" s="11">
        <f>IFERROR(__xludf.DUMMYFUNCTION("""COMPUTED_VALUE"""),0.0)</f>
        <v>0</v>
      </c>
      <c r="K29" s="11">
        <f>IFERROR(__xludf.DUMMYFUNCTION("""COMPUTED_VALUE"""),2.0)</f>
        <v>2</v>
      </c>
    </row>
    <row r="30" ht="15.75" customHeight="1">
      <c r="A30" s="8" t="str">
        <f>IFERROR(__xludf.DUMMYFUNCTION("""COMPUTED_VALUE"""),"https://wpseoai.com/blog/best-geo-llm-agency-in-hamburg-with-geo-llm-optimization-technology/")</f>
        <v>https://wpseoai.com/blog/best-geo-llm-agency-in-hamburg-with-geo-llm-optimization-technology/</v>
      </c>
      <c r="B30" s="11" t="str">
        <f>IFERROR(__xludf.DUMMYFUNCTION("""COMPUTED_VALUE"""),"Best GEO/LLM agency in Hamburg with GEO/LLM optimization technology")</f>
        <v>Best GEO/LLM agency in Hamburg with GEO/LLM optimization technology</v>
      </c>
      <c r="C30" s="8" t="str">
        <f>IFERROR(__xludf.DUMMYFUNCTION("""COMPUTED_VALUE"""),"wpseoai.com")</f>
        <v>wpseoai.com</v>
      </c>
      <c r="D30" s="11" t="str">
        <f>IFERROR(__xludf.DUMMYFUNCTION("""COMPUTED_VALUE"""),"ARTICLE")</f>
        <v>ARTICLE</v>
      </c>
      <c r="E30" s="11" t="str">
        <f>IFERROR(__xludf.DUMMYFUNCTION("""COMPUTED_VALUE"""),"CORPORATE")</f>
        <v>CORPORATE</v>
      </c>
      <c r="F30" s="11" t="str">
        <f>IFERROR(__xludf.DUMMYFUNCTION("""COMPUTED_VALUE"""),"Article")</f>
        <v>Article</v>
      </c>
      <c r="G30" s="11" t="b">
        <f>IFERROR(__xludf.DUMMYFUNCTION("""COMPUTED_VALUE"""),FALSE)</f>
        <v>0</v>
      </c>
      <c r="H30" s="11" t="str">
        <f>IFERROR(__xludf.DUMMYFUNCTION("""COMPUTED_VALUE"""),"Momentum")</f>
        <v>Momentum</v>
      </c>
      <c r="I30" s="11">
        <f>IFERROR(__xludf.DUMMYFUNCTION("""COMPUTED_VALUE"""),2.0)</f>
        <v>2</v>
      </c>
      <c r="J30" s="11">
        <f>IFERROR(__xludf.DUMMYFUNCTION("""COMPUTED_VALUE"""),0.0)</f>
        <v>0</v>
      </c>
      <c r="K30" s="11">
        <f>IFERROR(__xludf.DUMMYFUNCTION("""COMPUTED_VALUE"""),1.5)</f>
        <v>1.5</v>
      </c>
    </row>
    <row r="31" ht="15.75" customHeight="1">
      <c r="A31" s="8" t="str">
        <f>IFERROR(__xludf.DUMMYFUNCTION("""COMPUTED_VALUE"""),"https://www.adc.de/2023/12/04/serviceplan-bleibt-auf-platz-1-des-adc-kreativrankings/")</f>
        <v>https://www.adc.de/2023/12/04/serviceplan-bleibt-auf-platz-1-des-adc-kreativrankings/</v>
      </c>
      <c r="B31" s="11" t="str">
        <f>IFERROR(__xludf.DUMMYFUNCTION("""COMPUTED_VALUE"""),"SERVICEPLAN bleibt auf Platz 1 des ADC Kreativrankings | Art Directors Club für Deutschland – ADC")</f>
        <v>SERVICEPLAN bleibt auf Platz 1 des ADC Kreativrankings | Art Directors Club für Deutschland – ADC</v>
      </c>
      <c r="C31" s="8" t="str">
        <f>IFERROR(__xludf.DUMMYFUNCTION("""COMPUTED_VALUE"""),"adc.de")</f>
        <v>adc.de</v>
      </c>
      <c r="D31" s="11" t="str">
        <f>IFERROR(__xludf.DUMMYFUNCTION("""COMPUTED_VALUE"""),"ARTICLE")</f>
        <v>ARTICLE</v>
      </c>
      <c r="E31" s="11" t="str">
        <f>IFERROR(__xludf.DUMMYFUNCTION("""COMPUTED_VALUE"""),"INSTITUTIONAL")</f>
        <v>INSTITUTIONAL</v>
      </c>
      <c r="F31" s="11" t="str">
        <f>IFERROR(__xludf.DUMMYFUNCTION("""COMPUTED_VALUE"""),"Article")</f>
        <v>Article</v>
      </c>
      <c r="G31" s="11" t="b">
        <f>IFERROR(__xludf.DUMMYFUNCTION("""COMPUTED_VALUE"""),FALSE)</f>
        <v>0</v>
      </c>
      <c r="H31" s="11" t="str">
        <f>IFERROR(__xludf.DUMMYFUNCTION("""COMPUTED_VALUE"""),"Publicis Groupe, Ogilvy, MetaDesign, Accenture Song, Haus")</f>
        <v>Publicis Groupe, Ogilvy, MetaDesign, Accenture Song, Haus</v>
      </c>
      <c r="I31" s="11">
        <f>IFERROR(__xludf.DUMMYFUNCTION("""COMPUTED_VALUE"""),1.0)</f>
        <v>1</v>
      </c>
      <c r="J31" s="11">
        <f>IFERROR(__xludf.DUMMYFUNCTION("""COMPUTED_VALUE"""),0.0)</f>
        <v>0</v>
      </c>
      <c r="K31" s="11">
        <f>IFERROR(__xludf.DUMMYFUNCTION("""COMPUTED_VALUE"""),0.0)</f>
        <v>0</v>
      </c>
    </row>
    <row r="32" ht="15.75" customHeight="1">
      <c r="A32" s="8" t="str">
        <f>IFERROR(__xludf.DUMMYFUNCTION("""COMPUTED_VALUE"""),"https://www.adito.de/knowhow/blog/performance-marketing")</f>
        <v>https://www.adito.de/knowhow/blog/performance-marketing</v>
      </c>
      <c r="B32" s="11" t="str">
        <f>IFERROR(__xludf.DUMMYFUNCTION("""COMPUTED_VALUE"""),"Was ist Performance Marketing? | ADITO Blog")</f>
        <v>Was ist Performance Marketing? | ADITO Blog</v>
      </c>
      <c r="C32" s="8" t="str">
        <f>IFERROR(__xludf.DUMMYFUNCTION("""COMPUTED_VALUE"""),"adito.de")</f>
        <v>adito.de</v>
      </c>
      <c r="D32" s="11" t="str">
        <f>IFERROR(__xludf.DUMMYFUNCTION("""COMPUTED_VALUE"""),"ARTICLE")</f>
        <v>ARTICLE</v>
      </c>
      <c r="E32" s="11" t="str">
        <f>IFERROR(__xludf.DUMMYFUNCTION("""COMPUTED_VALUE"""),"CORPORATE")</f>
        <v>CORPORATE</v>
      </c>
      <c r="F32" s="11" t="str">
        <f>IFERROR(__xludf.DUMMYFUNCTION("""COMPUTED_VALUE"""),"Article")</f>
        <v>Article</v>
      </c>
      <c r="G32" s="11" t="b">
        <f>IFERROR(__xludf.DUMMYFUNCTION("""COMPUTED_VALUE"""),FALSE)</f>
        <v>0</v>
      </c>
      <c r="H32" s="11"/>
      <c r="I32" s="11">
        <f>IFERROR(__xludf.DUMMYFUNCTION("""COMPUTED_VALUE"""),1.0)</f>
        <v>1</v>
      </c>
      <c r="J32" s="11">
        <f>IFERROR(__xludf.DUMMYFUNCTION("""COMPUTED_VALUE"""),0.0)</f>
        <v>0</v>
      </c>
      <c r="K32" s="11">
        <f>IFERROR(__xludf.DUMMYFUNCTION("""COMPUTED_VALUE"""),1.0)</f>
        <v>1</v>
      </c>
    </row>
    <row r="33" ht="15.75" customHeight="1">
      <c r="A33" s="8" t="str">
        <f>IFERROR(__xludf.DUMMYFUNCTION("""COMPUTED_VALUE"""),"https://www.advanced-television.com/2026/03/17/smartly-acquires-incrmntal-measurement-platform/")</f>
        <v>https://www.advanced-television.com/2026/03/17/smartly-acquires-incrmntal-measurement-platform/</v>
      </c>
      <c r="B33" s="11" t="str">
        <f>IFERROR(__xludf.DUMMYFUNCTION("""COMPUTED_VALUE"""),"Smartly set to acquire Incrmntal | Advanced Television")</f>
        <v>Smartly set to acquire Incrmntal | Advanced Television</v>
      </c>
      <c r="C33" s="8" t="str">
        <f>IFERROR(__xludf.DUMMYFUNCTION("""COMPUTED_VALUE"""),"advanced-television.com")</f>
        <v>advanced-television.com</v>
      </c>
      <c r="D33" s="11" t="str">
        <f>IFERROR(__xludf.DUMMYFUNCTION("""COMPUTED_VALUE"""),"ARTICLE")</f>
        <v>ARTICLE</v>
      </c>
      <c r="E33" s="11" t="str">
        <f>IFERROR(__xludf.DUMMYFUNCTION("""COMPUTED_VALUE"""),"EDITORIAL")</f>
        <v>EDITORIAL</v>
      </c>
      <c r="F33" s="11" t="str">
        <f>IFERROR(__xludf.DUMMYFUNCTION("""COMPUTED_VALUE"""),"Article")</f>
        <v>Article</v>
      </c>
      <c r="G33" s="11" t="b">
        <f>IFERROR(__xludf.DUMMYFUNCTION("""COMPUTED_VALUE"""),FALSE)</f>
        <v>0</v>
      </c>
      <c r="H33" s="11" t="str">
        <f>IFERROR(__xludf.DUMMYFUNCTION("""COMPUTED_VALUE"""),"INCRMNTAL")</f>
        <v>INCRMNTAL</v>
      </c>
      <c r="I33" s="11">
        <f>IFERROR(__xludf.DUMMYFUNCTION("""COMPUTED_VALUE"""),1.0)</f>
        <v>1</v>
      </c>
      <c r="J33" s="11">
        <f>IFERROR(__xludf.DUMMYFUNCTION("""COMPUTED_VALUE"""),0.0)</f>
        <v>0</v>
      </c>
      <c r="K33" s="11">
        <f>IFERROR(__xludf.DUMMYFUNCTION("""COMPUTED_VALUE"""),1.0)</f>
        <v>1</v>
      </c>
    </row>
    <row r="34" ht="15.75" customHeight="1">
      <c r="A34" s="8" t="str">
        <f>IFERROR(__xludf.DUMMYFUNCTION("""COMPUTED_VALUE"""),"https://www.and-marketing.com/future-of-ai-in-marketing-analytics/")</f>
        <v>https://www.and-marketing.com/future-of-ai-in-marketing-analytics/</v>
      </c>
      <c r="B34" s="11" t="str">
        <f>IFERROR(__xludf.DUMMYFUNCTION("""COMPUTED_VALUE"""),"The Future of Marketing Analytics: AI-Driven Insights")</f>
        <v>The Future of Marketing Analytics: AI-Driven Insights</v>
      </c>
      <c r="C34" s="8" t="str">
        <f>IFERROR(__xludf.DUMMYFUNCTION("""COMPUTED_VALUE"""),"and-marketing.com")</f>
        <v>and-marketing.com</v>
      </c>
      <c r="D34" s="11" t="str">
        <f>IFERROR(__xludf.DUMMYFUNCTION("""COMPUTED_VALUE"""),"ARTICLE")</f>
        <v>ARTICLE</v>
      </c>
      <c r="E34" s="11" t="str">
        <f>IFERROR(__xludf.DUMMYFUNCTION("""COMPUTED_VALUE"""),"CORPORATE")</f>
        <v>CORPORATE</v>
      </c>
      <c r="F34" s="11" t="str">
        <f>IFERROR(__xludf.DUMMYFUNCTION("""COMPUTED_VALUE"""),"Article")</f>
        <v>Article</v>
      </c>
      <c r="G34" s="11" t="b">
        <f>IFERROR(__xludf.DUMMYFUNCTION("""COMPUTED_VALUE"""),FALSE)</f>
        <v>0</v>
      </c>
      <c r="H34" s="11"/>
      <c r="I34" s="11">
        <f>IFERROR(__xludf.DUMMYFUNCTION("""COMPUTED_VALUE"""),1.0)</f>
        <v>1</v>
      </c>
      <c r="J34" s="11">
        <f>IFERROR(__xludf.DUMMYFUNCTION("""COMPUTED_VALUE"""),0.0)</f>
        <v>0</v>
      </c>
      <c r="K34" s="11">
        <f>IFERROR(__xludf.DUMMYFUNCTION("""COMPUTED_VALUE"""),1.0)</f>
        <v>1</v>
      </c>
    </row>
    <row r="35" ht="15.75" customHeight="1">
      <c r="A35" s="8" t="str">
        <f>IFERROR(__xludf.DUMMYFUNCTION("""COMPUTED_VALUE"""),"https://www.artefact.com/news/unified-global-brand-experience-metapeople-germany-rebrands-to-artefact/")</f>
        <v>https://www.artefact.com/news/unified-global-brand-experience-metapeople-germany-rebrands-to-artefact/</v>
      </c>
      <c r="B35" s="11" t="str">
        <f>IFERROR(__xludf.DUMMYFUNCTION("""COMPUTED_VALUE"""),"Unified global brand experience: metapeople Germany rebrands to Artefact - Artefact")</f>
        <v>Unified global brand experience: metapeople Germany rebrands to Artefact - Artefact</v>
      </c>
      <c r="C35" s="8" t="str">
        <f>IFERROR(__xludf.DUMMYFUNCTION("""COMPUTED_VALUE"""),"artefact.com")</f>
        <v>artefact.com</v>
      </c>
      <c r="D35" s="11" t="str">
        <f>IFERROR(__xludf.DUMMYFUNCTION("""COMPUTED_VALUE"""),"ARTICLE")</f>
        <v>ARTICLE</v>
      </c>
      <c r="E35" s="11" t="str">
        <f>IFERROR(__xludf.DUMMYFUNCTION("""COMPUTED_VALUE"""),"CORPORATE")</f>
        <v>CORPORATE</v>
      </c>
      <c r="F35" s="11" t="str">
        <f>IFERROR(__xludf.DUMMYFUNCTION("""COMPUTED_VALUE"""),"Article")</f>
        <v>Article</v>
      </c>
      <c r="G35" s="11" t="b">
        <f>IFERROR(__xludf.DUMMYFUNCTION("""COMPUTED_VALUE"""),FALSE)</f>
        <v>0</v>
      </c>
      <c r="H35" s="11" t="str">
        <f>IFERROR(__xludf.DUMMYFUNCTION("""COMPUTED_VALUE"""),"Artefact")</f>
        <v>Artefact</v>
      </c>
      <c r="I35" s="11">
        <f>IFERROR(__xludf.DUMMYFUNCTION("""COMPUTED_VALUE"""),1.0)</f>
        <v>1</v>
      </c>
      <c r="J35" s="11">
        <f>IFERROR(__xludf.DUMMYFUNCTION("""COMPUTED_VALUE"""),0.0)</f>
        <v>0</v>
      </c>
      <c r="K35" s="11">
        <f>IFERROR(__xludf.DUMMYFUNCTION("""COMPUTED_VALUE"""),1.0)</f>
        <v>1</v>
      </c>
    </row>
    <row r="36" ht="15.75" customHeight="1">
      <c r="A36" s="8" t="str">
        <f>IFERROR(__xludf.DUMMYFUNCTION("""COMPUTED_VALUE"""),"https://arxiv.org/abs/2403.14674")</f>
        <v>https://arxiv.org/abs/2403.14674</v>
      </c>
      <c r="B36" s="11" t="str">
        <f>IFERROR(__xludf.DUMMYFUNCTION("""COMPUTED_VALUE"""),"[2403.14674] Packaging Up Media Mix Modeling: An Introduction to Robyn's Open-Source Approach")</f>
        <v>[2403.14674] Packaging Up Media Mix Modeling: An Introduction to Robyn's Open-Source Approach</v>
      </c>
      <c r="C36" s="8" t="str">
        <f>IFERROR(__xludf.DUMMYFUNCTION("""COMPUTED_VALUE"""),"arxiv.org")</f>
        <v>arxiv.org</v>
      </c>
      <c r="D36" s="11" t="str">
        <f>IFERROR(__xludf.DUMMYFUNCTION("""COMPUTED_VALUE"""),"ARTICLE")</f>
        <v>ARTICLE</v>
      </c>
      <c r="E36" s="11" t="str">
        <f>IFERROR(__xludf.DUMMYFUNCTION("""COMPUTED_VALUE"""),"REFERENCE")</f>
        <v>REFERENCE</v>
      </c>
      <c r="F36" s="11" t="str">
        <f>IFERROR(__xludf.DUMMYFUNCTION("""COMPUTED_VALUE"""),"Article")</f>
        <v>Article</v>
      </c>
      <c r="G36" s="11" t="b">
        <f>IFERROR(__xludf.DUMMYFUNCTION("""COMPUTED_VALUE"""),FALSE)</f>
        <v>0</v>
      </c>
      <c r="H36" s="11"/>
      <c r="I36" s="11">
        <f>IFERROR(__xludf.DUMMYFUNCTION("""COMPUTED_VALUE"""),1.0)</f>
        <v>1</v>
      </c>
      <c r="J36" s="11">
        <f>IFERROR(__xludf.DUMMYFUNCTION("""COMPUTED_VALUE"""),0.0)</f>
        <v>0</v>
      </c>
      <c r="K36" s="11">
        <f>IFERROR(__xludf.DUMMYFUNCTION("""COMPUTED_VALUE"""),2.0)</f>
        <v>2</v>
      </c>
    </row>
    <row r="37" ht="15.75" customHeight="1">
      <c r="A37" s="8" t="str">
        <f>IFERROR(__xludf.DUMMYFUNCTION("""COMPUTED_VALUE"""),"https://arxiv.org/abs/2604.16369")</f>
        <v>https://arxiv.org/abs/2604.16369</v>
      </c>
      <c r="B37" s="11" t="str">
        <f>IFERROR(__xludf.DUMMYFUNCTION("""COMPUTED_VALUE"""),"[2604.16369] Why AI Readiness Is an Organizational Learning Problem, Not a Technology Purchase")</f>
        <v>[2604.16369] Why AI Readiness Is an Organizational Learning Problem, Not a Technology Purchase</v>
      </c>
      <c r="C37" s="8" t="str">
        <f>IFERROR(__xludf.DUMMYFUNCTION("""COMPUTED_VALUE"""),"arxiv.org")</f>
        <v>arxiv.org</v>
      </c>
      <c r="D37" s="11" t="str">
        <f>IFERROR(__xludf.DUMMYFUNCTION("""COMPUTED_VALUE"""),"ARTICLE")</f>
        <v>ARTICLE</v>
      </c>
      <c r="E37" s="11" t="str">
        <f>IFERROR(__xludf.DUMMYFUNCTION("""COMPUTED_VALUE"""),"REFERENCE")</f>
        <v>REFERENCE</v>
      </c>
      <c r="F37" s="11" t="str">
        <f>IFERROR(__xludf.DUMMYFUNCTION("""COMPUTED_VALUE"""),"Article")</f>
        <v>Article</v>
      </c>
      <c r="G37" s="11" t="b">
        <f>IFERROR(__xludf.DUMMYFUNCTION("""COMPUTED_VALUE"""),FALSE)</f>
        <v>0</v>
      </c>
      <c r="H37" s="11"/>
      <c r="I37" s="11">
        <f>IFERROR(__xludf.DUMMYFUNCTION("""COMPUTED_VALUE"""),1.0)</f>
        <v>1</v>
      </c>
      <c r="J37" s="11">
        <f>IFERROR(__xludf.DUMMYFUNCTION("""COMPUTED_VALUE"""),0.0)</f>
        <v>0</v>
      </c>
      <c r="K37" s="11">
        <f>IFERROR(__xludf.DUMMYFUNCTION("""COMPUTED_VALUE"""),2.0)</f>
        <v>2</v>
      </c>
    </row>
    <row r="38" ht="15.75" customHeight="1">
      <c r="A38" s="8" t="str">
        <f>IFERROR(__xludf.DUMMYFUNCTION("""COMPUTED_VALUE"""),"https://arxiv.org/abs/2606.16878")</f>
        <v>https://arxiv.org/abs/2606.16878</v>
      </c>
      <c r="B38" s="11" t="str">
        <f>IFERROR(__xludf.DUMMYFUNCTION("""COMPUTED_VALUE"""),"[2606.16878] Integrated Marketing Attribution: A Bayesian Framework for Privacy-Safe Granular Measurement Anchored in MMM")</f>
        <v>[2606.16878] Integrated Marketing Attribution: A Bayesian Framework for Privacy-Safe Granular Measurement Anchored in MMM</v>
      </c>
      <c r="C38" s="8" t="str">
        <f>IFERROR(__xludf.DUMMYFUNCTION("""COMPUTED_VALUE"""),"arxiv.org")</f>
        <v>arxiv.org</v>
      </c>
      <c r="D38" s="11" t="str">
        <f>IFERROR(__xludf.DUMMYFUNCTION("""COMPUTED_VALUE"""),"ARTICLE")</f>
        <v>ARTICLE</v>
      </c>
      <c r="E38" s="11" t="str">
        <f>IFERROR(__xludf.DUMMYFUNCTION("""COMPUTED_VALUE"""),"REFERENCE")</f>
        <v>REFERENCE</v>
      </c>
      <c r="F38" s="11" t="str">
        <f>IFERROR(__xludf.DUMMYFUNCTION("""COMPUTED_VALUE"""),"Article")</f>
        <v>Article</v>
      </c>
      <c r="G38" s="11" t="b">
        <f>IFERROR(__xludf.DUMMYFUNCTION("""COMPUTED_VALUE"""),FALSE)</f>
        <v>0</v>
      </c>
      <c r="H38" s="11"/>
      <c r="I38" s="11">
        <f>IFERROR(__xludf.DUMMYFUNCTION("""COMPUTED_VALUE"""),1.0)</f>
        <v>1</v>
      </c>
      <c r="J38" s="11">
        <f>IFERROR(__xludf.DUMMYFUNCTION("""COMPUTED_VALUE"""),0.0)</f>
        <v>0</v>
      </c>
      <c r="K38" s="11">
        <f>IFERROR(__xludf.DUMMYFUNCTION("""COMPUTED_VALUE"""),2.0)</f>
        <v>2</v>
      </c>
    </row>
    <row r="39" ht="15.75" customHeight="1">
      <c r="A39" s="8" t="str">
        <f>IFERROR(__xludf.DUMMYFUNCTION("""COMPUTED_VALUE"""),"https://www.axios.com/2026/07/16/geo-communications-marketing-strategy")</f>
        <v>https://www.axios.com/2026/07/16/geo-communications-marketing-strategy</v>
      </c>
      <c r="B39" s="11" t="str">
        <f>IFERROR(__xludf.DUMMYFUNCTION("""COMPUTED_VALUE"""),"GEO and AI: How brands are shifting their strategies")</f>
        <v>GEO and AI: How brands are shifting their strategies</v>
      </c>
      <c r="C39" s="8" t="str">
        <f>IFERROR(__xludf.DUMMYFUNCTION("""COMPUTED_VALUE"""),"axios.com")</f>
        <v>axios.com</v>
      </c>
      <c r="D39" s="11" t="str">
        <f>IFERROR(__xludf.DUMMYFUNCTION("""COMPUTED_VALUE"""),"ARTICLE")</f>
        <v>ARTICLE</v>
      </c>
      <c r="E39" s="11" t="str">
        <f>IFERROR(__xludf.DUMMYFUNCTION("""COMPUTED_VALUE"""),"EDITORIAL")</f>
        <v>EDITORIAL</v>
      </c>
      <c r="F39" s="11" t="str">
        <f>IFERROR(__xludf.DUMMYFUNCTION("""COMPUTED_VALUE"""),"Article")</f>
        <v>Article</v>
      </c>
      <c r="G39" s="11" t="b">
        <f>IFERROR(__xludf.DUMMYFUNCTION("""COMPUTED_VALUE"""),FALSE)</f>
        <v>0</v>
      </c>
      <c r="H39" s="11"/>
      <c r="I39" s="11">
        <f>IFERROR(__xludf.DUMMYFUNCTION("""COMPUTED_VALUE"""),1.0)</f>
        <v>1</v>
      </c>
      <c r="J39" s="11">
        <f>IFERROR(__xludf.DUMMYFUNCTION("""COMPUTED_VALUE"""),0.0)</f>
        <v>0</v>
      </c>
      <c r="K39" s="11">
        <f>IFERROR(__xludf.DUMMYFUNCTION("""COMPUTED_VALUE"""),2.0)</f>
        <v>2</v>
      </c>
    </row>
    <row r="40" ht="15.75" customHeight="1">
      <c r="A40" s="8" t="str">
        <f>IFERROR(__xludf.DUMMYFUNCTION("""COMPUTED_VALUE"""),"https://www.berlin.de/sen/web/en/economics-and-technology/branches/creative-industries-and-communication/advertising/artikel.447824.en.php")</f>
        <v>https://www.berlin.de/sen/web/en/economics-and-technology/branches/creative-industries-and-communication/advertising/artikel.447824.en.php</v>
      </c>
      <c r="B40" s="11" t="str">
        <f>IFERROR(__xludf.DUMMYFUNCTION("""COMPUTED_VALUE"""),"Advertising - Berlin.de")</f>
        <v>Advertising - Berlin.de</v>
      </c>
      <c r="C40" s="8" t="str">
        <f>IFERROR(__xludf.DUMMYFUNCTION("""COMPUTED_VALUE"""),"berlin.de")</f>
        <v>berlin.de</v>
      </c>
      <c r="D40" s="11" t="str">
        <f>IFERROR(__xludf.DUMMYFUNCTION("""COMPUTED_VALUE"""),"ARTICLE")</f>
        <v>ARTICLE</v>
      </c>
      <c r="E40" s="11" t="str">
        <f>IFERROR(__xludf.DUMMYFUNCTION("""COMPUTED_VALUE"""),"INSTITUTIONAL")</f>
        <v>INSTITUTIONAL</v>
      </c>
      <c r="F40" s="11" t="str">
        <f>IFERROR(__xludf.DUMMYFUNCTION("""COMPUTED_VALUE"""),"Article")</f>
        <v>Article</v>
      </c>
      <c r="G40" s="11" t="b">
        <f>IFERROR(__xludf.DUMMYFUNCTION("""COMPUTED_VALUE"""),FALSE)</f>
        <v>0</v>
      </c>
      <c r="H40" s="11" t="str">
        <f>IFERROR(__xludf.DUMMYFUNCTION("""COMPUTED_VALUE"""),"Scholz &amp; Friends, Ogilvy, Jung von Matt")</f>
        <v>Scholz &amp; Friends, Ogilvy, Jung von Matt</v>
      </c>
      <c r="I40" s="11">
        <f>IFERROR(__xludf.DUMMYFUNCTION("""COMPUTED_VALUE"""),1.0)</f>
        <v>1</v>
      </c>
      <c r="J40" s="11">
        <f>IFERROR(__xludf.DUMMYFUNCTION("""COMPUTED_VALUE"""),0.0)</f>
        <v>0</v>
      </c>
      <c r="K40" s="11">
        <f>IFERROR(__xludf.DUMMYFUNCTION("""COMPUTED_VALUE"""),2.0)</f>
        <v>2</v>
      </c>
    </row>
    <row r="41" ht="15.75" customHeight="1">
      <c r="A41" s="8" t="str">
        <f>IFERROR(__xludf.DUMMYFUNCTION("""COMPUTED_VALUE"""),"https://bluealpha.ai/articles/why-your-marketing-agency-needs-mmm-and-incrementality-testing")</f>
        <v>https://bluealpha.ai/articles/why-your-marketing-agency-needs-mmm-and-incrementality-testing</v>
      </c>
      <c r="B41" s="11" t="str">
        <f>IFERROR(__xludf.DUMMYFUNCTION("""COMPUTED_VALUE"""),"Why Your Marketing Agency Needs MMM and Incrementality Testing | BlueAlpha")</f>
        <v>Why Your Marketing Agency Needs MMM and Incrementality Testing | BlueAlpha</v>
      </c>
      <c r="C41" s="8" t="str">
        <f>IFERROR(__xludf.DUMMYFUNCTION("""COMPUTED_VALUE"""),"bluealpha.ai")</f>
        <v>bluealpha.ai</v>
      </c>
      <c r="D41" s="11" t="str">
        <f>IFERROR(__xludf.DUMMYFUNCTION("""COMPUTED_VALUE"""),"ARTICLE")</f>
        <v>ARTICLE</v>
      </c>
      <c r="E41" s="11" t="str">
        <f>IFERROR(__xludf.DUMMYFUNCTION("""COMPUTED_VALUE"""),"CORPORATE")</f>
        <v>CORPORATE</v>
      </c>
      <c r="F41" s="11" t="str">
        <f>IFERROR(__xludf.DUMMYFUNCTION("""COMPUTED_VALUE"""),"Article")</f>
        <v>Article</v>
      </c>
      <c r="G41" s="11" t="b">
        <f>IFERROR(__xludf.DUMMYFUNCTION("""COMPUTED_VALUE"""),FALSE)</f>
        <v>0</v>
      </c>
      <c r="H41" s="11"/>
      <c r="I41" s="11">
        <f>IFERROR(__xludf.DUMMYFUNCTION("""COMPUTED_VALUE"""),1.0)</f>
        <v>1</v>
      </c>
      <c r="J41" s="11">
        <f>IFERROR(__xludf.DUMMYFUNCTION("""COMPUTED_VALUE"""),0.0)</f>
        <v>0</v>
      </c>
      <c r="K41" s="11">
        <f>IFERROR(__xludf.DUMMYFUNCTION("""COMPUTED_VALUE"""),1.0)</f>
        <v>1</v>
      </c>
    </row>
    <row r="42" ht="15.75" customHeight="1">
      <c r="A42" s="8" t="str">
        <f>IFERROR(__xludf.DUMMYFUNCTION("""COMPUTED_VALUE"""),"https://www.btelligent.com/en/news-posts/btelligent-again-best-ai-consultancy")</f>
        <v>https://www.btelligent.com/en/news-posts/btelligent-again-best-ai-consultancy</v>
      </c>
      <c r="B42" s="11" t="str">
        <f>IFERROR(__xludf.DUMMYFUNCTION("""COMPUTED_VALUE"""),"b.telligent Again in First Place Among AI Consultancies")</f>
        <v>b.telligent Again in First Place Among AI Consultancies</v>
      </c>
      <c r="C42" s="8" t="str">
        <f>IFERROR(__xludf.DUMMYFUNCTION("""COMPUTED_VALUE"""),"btelligent.com")</f>
        <v>btelligent.com</v>
      </c>
      <c r="D42" s="11" t="str">
        <f>IFERROR(__xludf.DUMMYFUNCTION("""COMPUTED_VALUE"""),"ARTICLE")</f>
        <v>ARTICLE</v>
      </c>
      <c r="E42" s="11" t="str">
        <f>IFERROR(__xludf.DUMMYFUNCTION("""COMPUTED_VALUE"""),"COMPETITOR")</f>
        <v>COMPETITOR</v>
      </c>
      <c r="F42" s="11" t="str">
        <f>IFERROR(__xludf.DUMMYFUNCTION("""COMPUTED_VALUE"""),"Article")</f>
        <v>Article</v>
      </c>
      <c r="G42" s="11" t="b">
        <f>IFERROR(__xludf.DUMMYFUNCTION("""COMPUTED_VALUE"""),FALSE)</f>
        <v>0</v>
      </c>
      <c r="H42" s="11" t="str">
        <f>IFERROR(__xludf.DUMMYFUNCTION("""COMPUTED_VALUE"""),"b.telligent, Huge, Pilot, EY")</f>
        <v>b.telligent, Huge, Pilot, EY</v>
      </c>
      <c r="I42" s="11">
        <f>IFERROR(__xludf.DUMMYFUNCTION("""COMPUTED_VALUE"""),1.0)</f>
        <v>1</v>
      </c>
      <c r="J42" s="11">
        <f>IFERROR(__xludf.DUMMYFUNCTION("""COMPUTED_VALUE"""),0.0)</f>
        <v>0</v>
      </c>
      <c r="K42" s="11">
        <f>IFERROR(__xludf.DUMMYFUNCTION("""COMPUTED_VALUE"""),0.0)</f>
        <v>0</v>
      </c>
    </row>
    <row r="43" ht="15.75" customHeight="1">
      <c r="A43" s="8" t="str">
        <f>IFERROR(__xludf.DUMMYFUNCTION("""COMPUTED_VALUE"""),"https://www.businessinsider.com/ai-adoption-strategies-companies-2026-7")</f>
        <v>https://www.businessinsider.com/ai-adoption-strategies-companies-2026-7</v>
      </c>
      <c r="B43" s="11" t="str">
        <f>IFERROR(__xludf.DUMMYFUNCTION("""COMPUTED_VALUE"""),"Adopting AI Is Easy. Using AI Effectively Is Hard. - Business Insider")</f>
        <v>Adopting AI Is Easy. Using AI Effectively Is Hard. - Business Insider</v>
      </c>
      <c r="C43" s="8" t="str">
        <f>IFERROR(__xludf.DUMMYFUNCTION("""COMPUTED_VALUE"""),"businessinsider.com")</f>
        <v>businessinsider.com</v>
      </c>
      <c r="D43" s="11" t="str">
        <f>IFERROR(__xludf.DUMMYFUNCTION("""COMPUTED_VALUE"""),"ARTICLE")</f>
        <v>ARTICLE</v>
      </c>
      <c r="E43" s="11" t="str">
        <f>IFERROR(__xludf.DUMMYFUNCTION("""COMPUTED_VALUE"""),"EDITORIAL")</f>
        <v>EDITORIAL</v>
      </c>
      <c r="F43" s="11" t="str">
        <f>IFERROR(__xludf.DUMMYFUNCTION("""COMPUTED_VALUE"""),"Article")</f>
        <v>Article</v>
      </c>
      <c r="G43" s="11" t="b">
        <f>IFERROR(__xludf.DUMMYFUNCTION("""COMPUTED_VALUE"""),FALSE)</f>
        <v>0</v>
      </c>
      <c r="H43" s="11" t="str">
        <f>IFERROR(__xludf.DUMMYFUNCTION("""COMPUTED_VALUE"""),"Boston Consulting Group, BCG, McKinsey &amp; Company, PwC")</f>
        <v>Boston Consulting Group, BCG, McKinsey &amp; Company, PwC</v>
      </c>
      <c r="I43" s="11">
        <f>IFERROR(__xludf.DUMMYFUNCTION("""COMPUTED_VALUE"""),1.0)</f>
        <v>1</v>
      </c>
      <c r="J43" s="11">
        <f>IFERROR(__xludf.DUMMYFUNCTION("""COMPUTED_VALUE"""),0.0)</f>
        <v>0</v>
      </c>
      <c r="K43" s="11">
        <f>IFERROR(__xludf.DUMMYFUNCTION("""COMPUTED_VALUE"""),2.0)</f>
        <v>2</v>
      </c>
    </row>
    <row r="44" ht="15.75" customHeight="1">
      <c r="A44" s="8" t="str">
        <f>IFERROR(__xludf.DUMMYFUNCTION("""COMPUTED_VALUE"""),"https://www.businessinsider.com/ai-questions-consulting-firms-are-answering-for-clients-2024-6")</f>
        <v>https://www.businessinsider.com/ai-questions-consulting-firms-are-answering-for-clients-2024-6</v>
      </c>
      <c r="B44" s="11" t="str">
        <f>IFERROR(__xludf.DUMMYFUNCTION("""COMPUTED_VALUE"""),"Here's What BCG, Bain, and Deloitte Are Telling Their Clients About AI - Business Insider")</f>
        <v>Here's What BCG, Bain, and Deloitte Are Telling Their Clients About AI - Business Insider</v>
      </c>
      <c r="C44" s="8" t="str">
        <f>IFERROR(__xludf.DUMMYFUNCTION("""COMPUTED_VALUE"""),"businessinsider.com")</f>
        <v>businessinsider.com</v>
      </c>
      <c r="D44" s="11" t="str">
        <f>IFERROR(__xludf.DUMMYFUNCTION("""COMPUTED_VALUE"""),"ARTICLE")</f>
        <v>ARTICLE</v>
      </c>
      <c r="E44" s="11" t="str">
        <f>IFERROR(__xludf.DUMMYFUNCTION("""COMPUTED_VALUE"""),"EDITORIAL")</f>
        <v>EDITORIAL</v>
      </c>
      <c r="F44" s="11" t="str">
        <f>IFERROR(__xludf.DUMMYFUNCTION("""COMPUTED_VALUE"""),"Article")</f>
        <v>Article</v>
      </c>
      <c r="G44" s="11" t="b">
        <f>IFERROR(__xludf.DUMMYFUNCTION("""COMPUTED_VALUE"""),FALSE)</f>
        <v>0</v>
      </c>
      <c r="H44" s="11" t="str">
        <f>IFERROR(__xludf.DUMMYFUNCTION("""COMPUTED_VALUE"""),"BCG, PwC, McKinsey &amp; Company, Boston Consulting Group, Huge")</f>
        <v>BCG, PwC, McKinsey &amp; Company, Boston Consulting Group, Huge</v>
      </c>
      <c r="I44" s="11">
        <f>IFERROR(__xludf.DUMMYFUNCTION("""COMPUTED_VALUE"""),1.0)</f>
        <v>1</v>
      </c>
      <c r="J44" s="11">
        <f>IFERROR(__xludf.DUMMYFUNCTION("""COMPUTED_VALUE"""),0.0)</f>
        <v>0</v>
      </c>
      <c r="K44" s="11">
        <f>IFERROR(__xludf.DUMMYFUNCTION("""COMPUTED_VALUE"""),3.0)</f>
        <v>3</v>
      </c>
    </row>
    <row r="45" ht="15.75" customHeight="1">
      <c r="A45" s="8" t="str">
        <f>IFERROR(__xludf.DUMMYFUNCTION("""COMPUTED_VALUE"""),"https://www.businessinsider.com/consulting-ai-mckinsey-bcg-deloitte-pwc-kpmg-chatbots-ai-tools-2025-4")</f>
        <v>https://www.businessinsider.com/consulting-ai-mckinsey-bcg-deloitte-pwc-kpmg-chatbots-ai-tools-2025-4</v>
      </c>
      <c r="B45" s="11" t="str">
        <f>IFERROR(__xludf.DUMMYFUNCTION("""COMPUTED_VALUE"""),"How AI Is Transforming Consulting at McKinsey, BCG, and Deloitte - Business Insider")</f>
        <v>How AI Is Transforming Consulting at McKinsey, BCG, and Deloitte - Business Insider</v>
      </c>
      <c r="C45" s="8" t="str">
        <f>IFERROR(__xludf.DUMMYFUNCTION("""COMPUTED_VALUE"""),"businessinsider.com")</f>
        <v>businessinsider.com</v>
      </c>
      <c r="D45" s="11" t="str">
        <f>IFERROR(__xludf.DUMMYFUNCTION("""COMPUTED_VALUE"""),"ARTICLE")</f>
        <v>ARTICLE</v>
      </c>
      <c r="E45" s="11" t="str">
        <f>IFERROR(__xludf.DUMMYFUNCTION("""COMPUTED_VALUE"""),"EDITORIAL")</f>
        <v>EDITORIAL</v>
      </c>
      <c r="F45" s="11" t="str">
        <f>IFERROR(__xludf.DUMMYFUNCTION("""COMPUTED_VALUE"""),"Article")</f>
        <v>Article</v>
      </c>
      <c r="G45" s="11" t="b">
        <f>IFERROR(__xludf.DUMMYFUNCTION("""COMPUTED_VALUE"""),FALSE)</f>
        <v>0</v>
      </c>
      <c r="H45" s="11" t="str">
        <f>IFERROR(__xludf.DUMMYFUNCTION("""COMPUTED_VALUE"""),"BCG, PwC, McKinsey &amp; Company, Boston Consulting Group, EY")</f>
        <v>BCG, PwC, McKinsey &amp; Company, Boston Consulting Group, EY</v>
      </c>
      <c r="I45" s="11">
        <f>IFERROR(__xludf.DUMMYFUNCTION("""COMPUTED_VALUE"""),1.0)</f>
        <v>1</v>
      </c>
      <c r="J45" s="11">
        <f>IFERROR(__xludf.DUMMYFUNCTION("""COMPUTED_VALUE"""),0.0)</f>
        <v>0</v>
      </c>
      <c r="K45" s="11">
        <f>IFERROR(__xludf.DUMMYFUNCTION("""COMPUTED_VALUE"""),2.0)</f>
        <v>2</v>
      </c>
    </row>
    <row r="46" ht="15.75" customHeight="1">
      <c r="A46" s="8" t="str">
        <f>IFERROR(__xludf.DUMMYFUNCTION("""COMPUTED_VALUE"""),"https://www.businesswire.com/news/home/20260316251472/de")</f>
        <v>https://www.businesswire.com/news/home/20260316251472/de</v>
      </c>
      <c r="B46" s="11" t="str">
        <f>IFERROR(__xludf.DUMMYFUNCTION("""COMPUTED_VALUE"""),"Smartly unterzeichnet Absichtserklärung zur Übernahme von INCRMNTAL")</f>
        <v>Smartly unterzeichnet Absichtserklärung zur Übernahme von INCRMNTAL</v>
      </c>
      <c r="C46" s="8" t="str">
        <f>IFERROR(__xludf.DUMMYFUNCTION("""COMPUTED_VALUE"""),"businesswire.com")</f>
        <v>businesswire.com</v>
      </c>
      <c r="D46" s="11" t="str">
        <f>IFERROR(__xludf.DUMMYFUNCTION("""COMPUTED_VALUE"""),"ARTICLE")</f>
        <v>ARTICLE</v>
      </c>
      <c r="E46" s="11" t="str">
        <f>IFERROR(__xludf.DUMMYFUNCTION("""COMPUTED_VALUE"""),"EDITORIAL")</f>
        <v>EDITORIAL</v>
      </c>
      <c r="F46" s="11" t="str">
        <f>IFERROR(__xludf.DUMMYFUNCTION("""COMPUTED_VALUE"""),"Article")</f>
        <v>Article</v>
      </c>
      <c r="G46" s="11" t="b">
        <f>IFERROR(__xludf.DUMMYFUNCTION("""COMPUTED_VALUE"""),FALSE)</f>
        <v>0</v>
      </c>
      <c r="H46" s="11" t="str">
        <f>IFERROR(__xludf.DUMMYFUNCTION("""COMPUTED_VALUE"""),"INCRMNTAL, PwC")</f>
        <v>INCRMNTAL, PwC</v>
      </c>
      <c r="I46" s="11">
        <f>IFERROR(__xludf.DUMMYFUNCTION("""COMPUTED_VALUE"""),1.0)</f>
        <v>1</v>
      </c>
      <c r="J46" s="11">
        <f>IFERROR(__xludf.DUMMYFUNCTION("""COMPUTED_VALUE"""),0.0)</f>
        <v>0</v>
      </c>
      <c r="K46" s="11">
        <f>IFERROR(__xludf.DUMMYFUNCTION("""COMPUTED_VALUE"""),1.0)</f>
        <v>1</v>
      </c>
    </row>
    <row r="47" ht="15.75" customHeight="1">
      <c r="A47" s="8" t="str">
        <f>IFERROR(__xludf.DUMMYFUNCTION("""COMPUTED_VALUE"""),"https://www.bvdw.org/news-und-publikationen/deep-dive-retail-mediaagenturen/")</f>
        <v>https://www.bvdw.org/news-und-publikationen/deep-dive-retail-mediaagenturen/</v>
      </c>
      <c r="B47" s="11" t="str">
        <f>IFERROR(__xludf.DUMMYFUNCTION("""COMPUTED_VALUE"""),"Mediaagenturen im Retail-Media-Ökosystem")</f>
        <v>Mediaagenturen im Retail-Media-Ökosystem</v>
      </c>
      <c r="C47" s="8" t="str">
        <f>IFERROR(__xludf.DUMMYFUNCTION("""COMPUTED_VALUE"""),"bvdw.org")</f>
        <v>bvdw.org</v>
      </c>
      <c r="D47" s="11" t="str">
        <f>IFERROR(__xludf.DUMMYFUNCTION("""COMPUTED_VALUE"""),"ARTICLE")</f>
        <v>ARTICLE</v>
      </c>
      <c r="E47" s="11" t="str">
        <f>IFERROR(__xludf.DUMMYFUNCTION("""COMPUTED_VALUE"""),"INSTITUTIONAL")</f>
        <v>INSTITUTIONAL</v>
      </c>
      <c r="F47" s="11" t="str">
        <f>IFERROR(__xludf.DUMMYFUNCTION("""COMPUTED_VALUE"""),"Article")</f>
        <v>Article</v>
      </c>
      <c r="G47" s="11" t="b">
        <f>IFERROR(__xludf.DUMMYFUNCTION("""COMPUTED_VALUE"""),FALSE)</f>
        <v>0</v>
      </c>
      <c r="H47" s="11"/>
      <c r="I47" s="11">
        <f>IFERROR(__xludf.DUMMYFUNCTION("""COMPUTED_VALUE"""),1.0)</f>
        <v>1</v>
      </c>
      <c r="J47" s="11">
        <f>IFERROR(__xludf.DUMMYFUNCTION("""COMPUTED_VALUE"""),0.0)</f>
        <v>0</v>
      </c>
      <c r="K47" s="11">
        <f>IFERROR(__xludf.DUMMYFUNCTION("""COMPUTED_VALUE"""),1.0)</f>
        <v>1</v>
      </c>
    </row>
    <row r="48" ht="15.75" customHeight="1">
      <c r="A48" s="8" t="str">
        <f>IFERROR(__xludf.DUMMYFUNCTION("""COMPUTED_VALUE"""),"https://campaignme.com/publicis-groupes-performics-secures-gmp-partner-reseller-status/")</f>
        <v>https://campaignme.com/publicis-groupes-performics-secures-gmp-partner-reseller-status/</v>
      </c>
      <c r="B48" s="11" t="str">
        <f>IFERROR(__xludf.DUMMYFUNCTION("""COMPUTED_VALUE"""),"Publicis Groupe's Performics secures GMP partner, reseller status - Campaign Middle East")</f>
        <v>Publicis Groupe's Performics secures GMP partner, reseller status - Campaign Middle East</v>
      </c>
      <c r="C48" s="8" t="str">
        <f>IFERROR(__xludf.DUMMYFUNCTION("""COMPUTED_VALUE"""),"campaignme.com")</f>
        <v>campaignme.com</v>
      </c>
      <c r="D48" s="11" t="str">
        <f>IFERROR(__xludf.DUMMYFUNCTION("""COMPUTED_VALUE"""),"ARTICLE")</f>
        <v>ARTICLE</v>
      </c>
      <c r="E48" s="11" t="str">
        <f>IFERROR(__xludf.DUMMYFUNCTION("""COMPUTED_VALUE"""),"EDITORIAL")</f>
        <v>EDITORIAL</v>
      </c>
      <c r="F48" s="11" t="str">
        <f>IFERROR(__xludf.DUMMYFUNCTION("""COMPUTED_VALUE"""),"Article")</f>
        <v>Article</v>
      </c>
      <c r="G48" s="11" t="b">
        <f>IFERROR(__xludf.DUMMYFUNCTION("""COMPUTED_VALUE"""),FALSE)</f>
        <v>0</v>
      </c>
      <c r="H48" s="11" t="str">
        <f>IFERROR(__xludf.DUMMYFUNCTION("""COMPUTED_VALUE"""),"Publicis Groupe")</f>
        <v>Publicis Groupe</v>
      </c>
      <c r="I48" s="11">
        <f>IFERROR(__xludf.DUMMYFUNCTION("""COMPUTED_VALUE"""),1.0)</f>
        <v>1</v>
      </c>
      <c r="J48" s="11">
        <f>IFERROR(__xludf.DUMMYFUNCTION("""COMPUTED_VALUE"""),0.0)</f>
        <v>0</v>
      </c>
      <c r="K48" s="11">
        <f>IFERROR(__xludf.DUMMYFUNCTION("""COMPUTED_VALUE"""),1.0)</f>
        <v>1</v>
      </c>
    </row>
    <row r="49" ht="15.75" customHeight="1">
      <c r="A49" s="8" t="str">
        <f>IFERROR(__xludf.DUMMYFUNCTION("""COMPUTED_VALUE"""),"https://www.consultancy.eu/news/7008/googles-top-emea-premier-partner-digital-marketing-consultancies")</f>
        <v>https://www.consultancy.eu/news/7008/googles-top-emea-premier-partner-digital-marketing-consultancies</v>
      </c>
      <c r="B49" s="11" t="str">
        <f>IFERROR(__xludf.DUMMYFUNCTION("""COMPUTED_VALUE"""),"Google’s top EMEA premier partner digital marketing consultancies")</f>
        <v>Google’s top EMEA premier partner digital marketing consultancies</v>
      </c>
      <c r="C49" s="11" t="str">
        <f>IFERROR(__xludf.DUMMYFUNCTION("""COMPUTED_VALUE"""),"consultancy.eu")</f>
        <v>consultancy.eu</v>
      </c>
      <c r="D49" s="11" t="str">
        <f>IFERROR(__xludf.DUMMYFUNCTION("""COMPUTED_VALUE"""),"ARTICLE")</f>
        <v>ARTICLE</v>
      </c>
      <c r="E49" s="11" t="str">
        <f>IFERROR(__xludf.DUMMYFUNCTION("""COMPUTED_VALUE"""),"REFERENCE")</f>
        <v>REFERENCE</v>
      </c>
      <c r="F49" s="11" t="str">
        <f>IFERROR(__xludf.DUMMYFUNCTION("""COMPUTED_VALUE"""),"Article")</f>
        <v>Article</v>
      </c>
      <c r="G49" s="11" t="b">
        <f>IFERROR(__xludf.DUMMYFUNCTION("""COMPUTED_VALUE"""),FALSE)</f>
        <v>0</v>
      </c>
      <c r="H49" s="11" t="str">
        <f>IFERROR(__xludf.DUMMYFUNCTION("""COMPUTED_VALUE"""),"Merkle, Croud, Labelium, Making Science, iProspect, Smarketer, Jellyfish, appliedAI, Artefact")</f>
        <v>Merkle, Croud, Labelium, Making Science, iProspect, Smarketer, Jellyfish, appliedAI, Artefact</v>
      </c>
      <c r="I49" s="11">
        <f>IFERROR(__xludf.DUMMYFUNCTION("""COMPUTED_VALUE"""),1.0)</f>
        <v>1</v>
      </c>
      <c r="J49" s="11">
        <f>IFERROR(__xludf.DUMMYFUNCTION("""COMPUTED_VALUE"""),0.0)</f>
        <v>0</v>
      </c>
      <c r="K49" s="11">
        <f>IFERROR(__xludf.DUMMYFUNCTION("""COMPUTED_VALUE"""),1.0)</f>
        <v>1</v>
      </c>
    </row>
    <row r="50" ht="15.75" customHeight="1">
      <c r="A50" s="8" t="str">
        <f>IFERROR(__xludf.DUMMYFUNCTION("""COMPUTED_VALUE"""),"https://de.finance.yahoo.com/nachrichten/bias-recruiting-ki-beratungsunternehmen-statworx-070000538.html")</f>
        <v>https://de.finance.yahoo.com/nachrichten/bias-recruiting-ki-beratungsunternehmen-statworx-070000538.html</v>
      </c>
      <c r="B50" s="11" t="str">
        <f>IFERROR(__xludf.DUMMYFUNCTION("""COMPUTED_VALUE"""),"Bias im Recruiting: KI-Beratungsunternehmen statworx warnt vor Diskriminierung durch KI")</f>
        <v>Bias im Recruiting: KI-Beratungsunternehmen statworx warnt vor Diskriminierung durch KI</v>
      </c>
      <c r="C50" s="8" t="str">
        <f>IFERROR(__xludf.DUMMYFUNCTION("""COMPUTED_VALUE"""),"yahoo.com")</f>
        <v>yahoo.com</v>
      </c>
      <c r="D50" s="11" t="str">
        <f>IFERROR(__xludf.DUMMYFUNCTION("""COMPUTED_VALUE"""),"ARTICLE")</f>
        <v>ARTICLE</v>
      </c>
      <c r="E50" s="11" t="str">
        <f>IFERROR(__xludf.DUMMYFUNCTION("""COMPUTED_VALUE"""),"OTHER")</f>
        <v>OTHER</v>
      </c>
      <c r="F50" s="11" t="str">
        <f>IFERROR(__xludf.DUMMYFUNCTION("""COMPUTED_VALUE"""),"Article")</f>
        <v>Article</v>
      </c>
      <c r="G50" s="11" t="b">
        <f>IFERROR(__xludf.DUMMYFUNCTION("""COMPUTED_VALUE"""),FALSE)</f>
        <v>0</v>
      </c>
      <c r="H50" s="11" t="str">
        <f>IFERROR(__xludf.DUMMYFUNCTION("""COMPUTED_VALUE"""),"statworx")</f>
        <v>statworx</v>
      </c>
      <c r="I50" s="11">
        <f>IFERROR(__xludf.DUMMYFUNCTION("""COMPUTED_VALUE"""),1.0)</f>
        <v>1</v>
      </c>
      <c r="J50" s="11">
        <f>IFERROR(__xludf.DUMMYFUNCTION("""COMPUTED_VALUE"""),0.0)</f>
        <v>0</v>
      </c>
      <c r="K50" s="11">
        <f>IFERROR(__xludf.DUMMYFUNCTION("""COMPUTED_VALUE"""),1.0)</f>
        <v>1</v>
      </c>
    </row>
    <row r="51" ht="15.75" customHeight="1">
      <c r="A51" s="8" t="str">
        <f>IFERROR(__xludf.DUMMYFUNCTION("""COMPUTED_VALUE"""),"https://www.deptagency.com/insight/embracing-creative-automation-for-scaling-asset-creation/")</f>
        <v>https://www.deptagency.com/insight/embracing-creative-automation-for-scaling-asset-creation/</v>
      </c>
      <c r="B51" s="11" t="str">
        <f>IFERROR(__xludf.DUMMYFUNCTION("""COMPUTED_VALUE"""),"Embracing creative automation for scaling asset creation - DEPT®")</f>
        <v>Embracing creative automation for scaling asset creation - DEPT®</v>
      </c>
      <c r="C51" s="8" t="str">
        <f>IFERROR(__xludf.DUMMYFUNCTION("""COMPUTED_VALUE"""),"deptagency.com")</f>
        <v>deptagency.com</v>
      </c>
      <c r="D51" s="11" t="str">
        <f>IFERROR(__xludf.DUMMYFUNCTION("""COMPUTED_VALUE"""),"ARTICLE")</f>
        <v>ARTICLE</v>
      </c>
      <c r="E51" s="11" t="str">
        <f>IFERROR(__xludf.DUMMYFUNCTION("""COMPUTED_VALUE"""),"COMPETITOR")</f>
        <v>COMPETITOR</v>
      </c>
      <c r="F51" s="11" t="str">
        <f>IFERROR(__xludf.DUMMYFUNCTION("""COMPUTED_VALUE"""),"Article")</f>
        <v>Article</v>
      </c>
      <c r="G51" s="11" t="b">
        <f>IFERROR(__xludf.DUMMYFUNCTION("""COMPUTED_VALUE"""),FALSE)</f>
        <v>0</v>
      </c>
      <c r="H51" s="11" t="str">
        <f>IFERROR(__xludf.DUMMYFUNCTION("""COMPUTED_VALUE"""),"DEPT")</f>
        <v>DEPT</v>
      </c>
      <c r="I51" s="11">
        <f>IFERROR(__xludf.DUMMYFUNCTION("""COMPUTED_VALUE"""),1.0)</f>
        <v>1</v>
      </c>
      <c r="J51" s="11">
        <f>IFERROR(__xludf.DUMMYFUNCTION("""COMPUTED_VALUE"""),0.0)</f>
        <v>0</v>
      </c>
      <c r="K51" s="11">
        <f>IFERROR(__xludf.DUMMYFUNCTION("""COMPUTED_VALUE"""),2.0)</f>
        <v>2</v>
      </c>
    </row>
    <row r="52" ht="15.75" customHeight="1">
      <c r="A52" s="8" t="str">
        <f>IFERROR(__xludf.DUMMYFUNCTION("""COMPUTED_VALUE"""),"https://www.deptagency.com/insight/leading-german-digital-agencies-unite-to-form-dept/")</f>
        <v>https://www.deptagency.com/insight/leading-german-digital-agencies-unite-to-form-dept/</v>
      </c>
      <c r="B52" s="11" t="str">
        <f>IFERROR(__xludf.DUMMYFUNCTION("""COMPUTED_VALUE"""),"Leading German digital agencies unite to form Dept - DEPT®")</f>
        <v>Leading German digital agencies unite to form Dept - DEPT®</v>
      </c>
      <c r="C52" s="8" t="str">
        <f>IFERROR(__xludf.DUMMYFUNCTION("""COMPUTED_VALUE"""),"deptagency.com")</f>
        <v>deptagency.com</v>
      </c>
      <c r="D52" s="11" t="str">
        <f>IFERROR(__xludf.DUMMYFUNCTION("""COMPUTED_VALUE"""),"ARTICLE")</f>
        <v>ARTICLE</v>
      </c>
      <c r="E52" s="11" t="str">
        <f>IFERROR(__xludf.DUMMYFUNCTION("""COMPUTED_VALUE"""),"COMPETITOR")</f>
        <v>COMPETITOR</v>
      </c>
      <c r="F52" s="11" t="str">
        <f>IFERROR(__xludf.DUMMYFUNCTION("""COMPUTED_VALUE"""),"Article")</f>
        <v>Article</v>
      </c>
      <c r="G52" s="11" t="b">
        <f>IFERROR(__xludf.DUMMYFUNCTION("""COMPUTED_VALUE"""),FALSE)</f>
        <v>0</v>
      </c>
      <c r="H52" s="11" t="str">
        <f>IFERROR(__xludf.DUMMYFUNCTION("""COMPUTED_VALUE"""),"DEPT")</f>
        <v>DEPT</v>
      </c>
      <c r="I52" s="11">
        <f>IFERROR(__xludf.DUMMYFUNCTION("""COMPUTED_VALUE"""),1.0)</f>
        <v>1</v>
      </c>
      <c r="J52" s="11">
        <f>IFERROR(__xludf.DUMMYFUNCTION("""COMPUTED_VALUE"""),0.0)</f>
        <v>0</v>
      </c>
      <c r="K52" s="11">
        <f>IFERROR(__xludf.DUMMYFUNCTION("""COMPUTED_VALUE"""),1.0)</f>
        <v>1</v>
      </c>
    </row>
    <row r="53" ht="15.75" customHeight="1">
      <c r="A53" s="8" t="str">
        <f>IFERROR(__xludf.DUMMYFUNCTION("""COMPUTED_VALUE"""),"https://digitalrhetoric.in/which-digital-marketing-agency-offers-the-best-roi-for-small-businesses/")</f>
        <v>https://digitalrhetoric.in/which-digital-marketing-agency-offers-the-best-roi-for-small-businesses/</v>
      </c>
      <c r="B53" s="11" t="str">
        <f>IFERROR(__xludf.DUMMYFUNCTION("""COMPUTED_VALUE"""),"Digital Marketing Agencies with Highest ROI for Small SMEs")</f>
        <v>Digital Marketing Agencies with Highest ROI for Small SMEs</v>
      </c>
      <c r="C53" s="8" t="str">
        <f>IFERROR(__xludf.DUMMYFUNCTION("""COMPUTED_VALUE"""),"digitalrhetoric.in")</f>
        <v>digitalrhetoric.in</v>
      </c>
      <c r="D53" s="11" t="str">
        <f>IFERROR(__xludf.DUMMYFUNCTION("""COMPUTED_VALUE"""),"ARTICLE")</f>
        <v>ARTICLE</v>
      </c>
      <c r="E53" s="11" t="str">
        <f>IFERROR(__xludf.DUMMYFUNCTION("""COMPUTED_VALUE"""),"CORPORATE")</f>
        <v>CORPORATE</v>
      </c>
      <c r="F53" s="11" t="str">
        <f>IFERROR(__xludf.DUMMYFUNCTION("""COMPUTED_VALUE"""),"Article")</f>
        <v>Article</v>
      </c>
      <c r="G53" s="11" t="b">
        <f>IFERROR(__xludf.DUMMYFUNCTION("""COMPUTED_VALUE"""),FALSE)</f>
        <v>0</v>
      </c>
      <c r="H53" s="11"/>
      <c r="I53" s="11">
        <f>IFERROR(__xludf.DUMMYFUNCTION("""COMPUTED_VALUE"""),1.0)</f>
        <v>1</v>
      </c>
      <c r="J53" s="11">
        <f>IFERROR(__xludf.DUMMYFUNCTION("""COMPUTED_VALUE"""),0.0)</f>
        <v>0</v>
      </c>
      <c r="K53" s="11">
        <f>IFERROR(__xludf.DUMMYFUNCTION("""COMPUTED_VALUE"""),1.0)</f>
        <v>1</v>
      </c>
    </row>
    <row r="54" ht="15.75" customHeight="1">
      <c r="A54" s="8" t="str">
        <f>IFERROR(__xludf.DUMMYFUNCTION("""COMPUTED_VALUE"""),"https://directiveconsulting.com/blog/creative-strategy-agency/")</f>
        <v>https://directiveconsulting.com/blog/creative-strategy-agency/</v>
      </c>
      <c r="B54" s="11" t="str">
        <f>IFERROR(__xludf.DUMMYFUNCTION("""COMPUTED_VALUE"""),"17 Best Creative Strategy Agencies For B2B - Directive")</f>
        <v>17 Best Creative Strategy Agencies For B2B - Directive</v>
      </c>
      <c r="C54" s="8" t="str">
        <f>IFERROR(__xludf.DUMMYFUNCTION("""COMPUTED_VALUE"""),"directiveconsulting.com")</f>
        <v>directiveconsulting.com</v>
      </c>
      <c r="D54" s="11" t="str">
        <f>IFERROR(__xludf.DUMMYFUNCTION("""COMPUTED_VALUE"""),"ARTICLE")</f>
        <v>ARTICLE</v>
      </c>
      <c r="E54" s="11" t="str">
        <f>IFERROR(__xludf.DUMMYFUNCTION("""COMPUTED_VALUE"""),"COMPETITOR")</f>
        <v>COMPETITOR</v>
      </c>
      <c r="F54" s="11" t="str">
        <f>IFERROR(__xludf.DUMMYFUNCTION("""COMPUTED_VALUE"""),"Article")</f>
        <v>Article</v>
      </c>
      <c r="G54" s="11" t="b">
        <f>IFERROR(__xludf.DUMMYFUNCTION("""COMPUTED_VALUE"""),FALSE)</f>
        <v>0</v>
      </c>
      <c r="H54" s="11" t="str">
        <f>IFERROR(__xludf.DUMMYFUNCTION("""COMPUTED_VALUE"""),"Directive Consulting, Merkle, Dentsu, Momentum, Measured")</f>
        <v>Directive Consulting, Merkle, Dentsu, Momentum, Measured</v>
      </c>
      <c r="I54" s="11">
        <f>IFERROR(__xludf.DUMMYFUNCTION("""COMPUTED_VALUE"""),1.0)</f>
        <v>1</v>
      </c>
      <c r="J54" s="11">
        <f>IFERROR(__xludf.DUMMYFUNCTION("""COMPUTED_VALUE"""),0.0)</f>
        <v>0</v>
      </c>
      <c r="K54" s="11">
        <f>IFERROR(__xludf.DUMMYFUNCTION("""COMPUTED_VALUE"""),1.0)</f>
        <v>1</v>
      </c>
    </row>
    <row r="55" ht="15.75" customHeight="1">
      <c r="A55" s="8" t="str">
        <f>IFERROR(__xludf.DUMMYFUNCTION("""COMPUTED_VALUE"""),"https://www.emarketer.com/content/faq-on-ai-media-buying--platform-tools--agency-strategy--how-win-2026")</f>
        <v>https://www.emarketer.com/content/faq-on-ai-media-buying--platform-tools--agency-strategy--how-win-2026</v>
      </c>
      <c r="B55" s="11" t="str">
        <f>IFERROR(__xludf.DUMMYFUNCTION("""COMPUTED_VALUE"""),"FAQ on AI media buying: Platform tools, agency strategy, and how to win in 2026")</f>
        <v>FAQ on AI media buying: Platform tools, agency strategy, and how to win in 2026</v>
      </c>
      <c r="C55" s="8" t="str">
        <f>IFERROR(__xludf.DUMMYFUNCTION("""COMPUTED_VALUE"""),"emarketer.com")</f>
        <v>emarketer.com</v>
      </c>
      <c r="D55" s="11" t="str">
        <f>IFERROR(__xludf.DUMMYFUNCTION("""COMPUTED_VALUE"""),"ARTICLE")</f>
        <v>ARTICLE</v>
      </c>
      <c r="E55" s="11" t="str">
        <f>IFERROR(__xludf.DUMMYFUNCTION("""COMPUTED_VALUE"""),"EDITORIAL")</f>
        <v>EDITORIAL</v>
      </c>
      <c r="F55" s="11" t="str">
        <f>IFERROR(__xludf.DUMMYFUNCTION("""COMPUTED_VALUE"""),"Article")</f>
        <v>Article</v>
      </c>
      <c r="G55" s="11" t="b">
        <f>IFERROR(__xludf.DUMMYFUNCTION("""COMPUTED_VALUE"""),FALSE)</f>
        <v>0</v>
      </c>
      <c r="H55" s="11" t="str">
        <f>IFERROR(__xludf.DUMMYFUNCTION("""COMPUTED_VALUE"""),"Publicis Groupe, Omnicom, WPP")</f>
        <v>Publicis Groupe, Omnicom, WPP</v>
      </c>
      <c r="I55" s="11">
        <f>IFERROR(__xludf.DUMMYFUNCTION("""COMPUTED_VALUE"""),1.0)</f>
        <v>1</v>
      </c>
      <c r="J55" s="11">
        <f>IFERROR(__xludf.DUMMYFUNCTION("""COMPUTED_VALUE"""),0.0)</f>
        <v>0</v>
      </c>
      <c r="K55" s="11">
        <f>IFERROR(__xludf.DUMMYFUNCTION("""COMPUTED_VALUE"""),0.0)</f>
        <v>0</v>
      </c>
    </row>
    <row r="56" ht="15.75" customHeight="1">
      <c r="A56" s="8" t="str">
        <f>IFERROR(__xludf.DUMMYFUNCTION("""COMPUTED_VALUE"""),"https://www.experian.com/blogs/marketing-forward/first-party-data-activation-2026/")</f>
        <v>https://www.experian.com/blogs/marketing-forward/first-party-data-activation-2026/</v>
      </c>
      <c r="B56" s="11" t="str">
        <f>IFERROR(__xludf.DUMMYFUNCTION("""COMPUTED_VALUE"""),"How activation drives first-party value | Experian Marketing")</f>
        <v>How activation drives first-party value | Experian Marketing</v>
      </c>
      <c r="C56" s="8" t="str">
        <f>IFERROR(__xludf.DUMMYFUNCTION("""COMPUTED_VALUE"""),"experian.com")</f>
        <v>experian.com</v>
      </c>
      <c r="D56" s="11" t="str">
        <f>IFERROR(__xludf.DUMMYFUNCTION("""COMPUTED_VALUE"""),"ARTICLE")</f>
        <v>ARTICLE</v>
      </c>
      <c r="E56" s="11" t="str">
        <f>IFERROR(__xludf.DUMMYFUNCTION("""COMPUTED_VALUE"""),"CORPORATE")</f>
        <v>CORPORATE</v>
      </c>
      <c r="F56" s="11" t="str">
        <f>IFERROR(__xludf.DUMMYFUNCTION("""COMPUTED_VALUE"""),"Article")</f>
        <v>Article</v>
      </c>
      <c r="G56" s="11" t="b">
        <f>IFERROR(__xludf.DUMMYFUNCTION("""COMPUTED_VALUE"""),FALSE)</f>
        <v>0</v>
      </c>
      <c r="H56" s="11"/>
      <c r="I56" s="11">
        <f>IFERROR(__xludf.DUMMYFUNCTION("""COMPUTED_VALUE"""),1.0)</f>
        <v>1</v>
      </c>
      <c r="J56" s="11">
        <f>IFERROR(__xludf.DUMMYFUNCTION("""COMPUTED_VALUE"""),0.0)</f>
        <v>0</v>
      </c>
      <c r="K56" s="11">
        <f>IFERROR(__xludf.DUMMYFUNCTION("""COMPUTED_VALUE"""),1.0)</f>
        <v>1</v>
      </c>
    </row>
    <row r="57" ht="15.75" customHeight="1">
      <c r="A57" s="8" t="str">
        <f>IFERROR(__xludf.DUMMYFUNCTION("""COMPUTED_VALUE"""),"https://www.fortismedia.com/en/articles/roi-marketing-agency/")</f>
        <v>https://www.fortismedia.com/en/articles/roi-marketing-agency/</v>
      </c>
      <c r="B57" s="11" t="str">
        <f>IFERROR(__xludf.DUMMYFUNCTION("""COMPUTED_VALUE"""),"Articles - Fortis Media")</f>
        <v>Articles - Fortis Media</v>
      </c>
      <c r="C57" s="8" t="str">
        <f>IFERROR(__xludf.DUMMYFUNCTION("""COMPUTED_VALUE"""),"fortismedia.com")</f>
        <v>fortismedia.com</v>
      </c>
      <c r="D57" s="11" t="str">
        <f>IFERROR(__xludf.DUMMYFUNCTION("""COMPUTED_VALUE"""),"ARTICLE")</f>
        <v>ARTICLE</v>
      </c>
      <c r="E57" s="11" t="str">
        <f>IFERROR(__xludf.DUMMYFUNCTION("""COMPUTED_VALUE"""),"CORPORATE")</f>
        <v>CORPORATE</v>
      </c>
      <c r="F57" s="11" t="str">
        <f>IFERROR(__xludf.DUMMYFUNCTION("""COMPUTED_VALUE"""),"Article")</f>
        <v>Article</v>
      </c>
      <c r="G57" s="11" t="b">
        <f>IFERROR(__xludf.DUMMYFUNCTION("""COMPUTED_VALUE"""),FALSE)</f>
        <v>0</v>
      </c>
      <c r="H57" s="11"/>
      <c r="I57" s="11">
        <f>IFERROR(__xludf.DUMMYFUNCTION("""COMPUTED_VALUE"""),1.0)</f>
        <v>1</v>
      </c>
      <c r="J57" s="11">
        <f>IFERROR(__xludf.DUMMYFUNCTION("""COMPUTED_VALUE"""),0.0)</f>
        <v>0</v>
      </c>
      <c r="K57" s="11">
        <f>IFERROR(__xludf.DUMMYFUNCTION("""COMPUTED_VALUE"""),0.0)</f>
        <v>0</v>
      </c>
    </row>
    <row r="58" ht="15.75" customHeight="1">
      <c r="A58" s="8" t="str">
        <f>IFERROR(__xludf.DUMMYFUNCTION("""COMPUTED_VALUE"""),"https://globaldev.tech/case-studies/recruiting-ai-avatar")</f>
        <v>https://globaldev.tech/case-studies/recruiting-ai-avatar</v>
      </c>
      <c r="B58" s="11" t="str">
        <f>IFERROR(__xludf.DUMMYFUNCTION("""COMPUTED_VALUE"""),"AI avatar interviewing platform for recruiters")</f>
        <v>AI avatar interviewing platform for recruiters</v>
      </c>
      <c r="C58" s="11" t="str">
        <f>IFERROR(__xludf.DUMMYFUNCTION("""COMPUTED_VALUE"""),"globaldev.tech")</f>
        <v>globaldev.tech</v>
      </c>
      <c r="D58" s="11" t="str">
        <f>IFERROR(__xludf.DUMMYFUNCTION("""COMPUTED_VALUE"""),"ARTICLE")</f>
        <v>ARTICLE</v>
      </c>
      <c r="E58" s="11" t="str">
        <f>IFERROR(__xludf.DUMMYFUNCTION("""COMPUTED_VALUE"""),"CORPORATE")</f>
        <v>CORPORATE</v>
      </c>
      <c r="F58" s="11" t="str">
        <f>IFERROR(__xludf.DUMMYFUNCTION("""COMPUTED_VALUE"""),"Article")</f>
        <v>Article</v>
      </c>
      <c r="G58" s="11" t="b">
        <f>IFERROR(__xludf.DUMMYFUNCTION("""COMPUTED_VALUE"""),FALSE)</f>
        <v>0</v>
      </c>
      <c r="H58" s="11"/>
      <c r="I58" s="11">
        <f>IFERROR(__xludf.DUMMYFUNCTION("""COMPUTED_VALUE"""),1.0)</f>
        <v>1</v>
      </c>
      <c r="J58" s="11">
        <f>IFERROR(__xludf.DUMMYFUNCTION("""COMPUTED_VALUE"""),0.0)</f>
        <v>0</v>
      </c>
      <c r="K58" s="11">
        <f>IFERROR(__xludf.DUMMYFUNCTION("""COMPUTED_VALUE"""),1.0)</f>
        <v>1</v>
      </c>
    </row>
    <row r="59" ht="15.75" customHeight="1">
      <c r="A59" s="8" t="str">
        <f>IFERROR(__xludf.DUMMYFUNCTION("""COMPUTED_VALUE"""),"https://www.handelsblatt.com/adv/firmen/beste-geo-agentur.html")</f>
        <v>https://www.handelsblatt.com/adv/firmen/beste-geo-agentur.html</v>
      </c>
      <c r="B59" s="11" t="str">
        <f>IFERROR(__xludf.DUMMYFUNCTION("""COMPUTED_VALUE"""),"Beste GEO-Agentur: das neue Online-Marketing")</f>
        <v>Beste GEO-Agentur: das neue Online-Marketing</v>
      </c>
      <c r="C59" s="8" t="str">
        <f>IFERROR(__xludf.DUMMYFUNCTION("""COMPUTED_VALUE"""),"handelsblatt.com")</f>
        <v>handelsblatt.com</v>
      </c>
      <c r="D59" s="11" t="str">
        <f>IFERROR(__xludf.DUMMYFUNCTION("""COMPUTED_VALUE"""),"ARTICLE")</f>
        <v>ARTICLE</v>
      </c>
      <c r="E59" s="11" t="str">
        <f>IFERROR(__xludf.DUMMYFUNCTION("""COMPUTED_VALUE"""),"EDITORIAL")</f>
        <v>EDITORIAL</v>
      </c>
      <c r="F59" s="11" t="str">
        <f>IFERROR(__xludf.DUMMYFUNCTION("""COMPUTED_VALUE"""),"Article")</f>
        <v>Article</v>
      </c>
      <c r="G59" s="11" t="b">
        <f>IFERROR(__xludf.DUMMYFUNCTION("""COMPUTED_VALUE"""),FALSE)</f>
        <v>0</v>
      </c>
      <c r="H59" s="11" t="str">
        <f>IFERROR(__xludf.DUMMYFUNCTION("""COMPUTED_VALUE"""),"Suchhelden")</f>
        <v>Suchhelden</v>
      </c>
      <c r="I59" s="11">
        <f>IFERROR(__xludf.DUMMYFUNCTION("""COMPUTED_VALUE"""),1.0)</f>
        <v>1</v>
      </c>
      <c r="J59" s="11">
        <f>IFERROR(__xludf.DUMMYFUNCTION("""COMPUTED_VALUE"""),0.0)</f>
        <v>0</v>
      </c>
      <c r="K59" s="11">
        <f>IFERROR(__xludf.DUMMYFUNCTION("""COMPUTED_VALUE"""),0.0)</f>
        <v>0</v>
      </c>
    </row>
    <row r="60" ht="15.75" customHeight="1">
      <c r="A60" s="8" t="str">
        <f>IFERROR(__xludf.DUMMYFUNCTION("""COMPUTED_VALUE"""),"https://www.haus.io/article/incrementality-testing-frameworks-for-health-brands")</f>
        <v>https://www.haus.io/article/incrementality-testing-frameworks-for-health-brands</v>
      </c>
      <c r="B60" s="11" t="str">
        <f>IFERROR(__xludf.DUMMYFUNCTION("""COMPUTED_VALUE"""),"Incrementality testing frameworks for health brands | Haus")</f>
        <v>Incrementality testing frameworks for health brands | Haus</v>
      </c>
      <c r="C60" s="8" t="str">
        <f>IFERROR(__xludf.DUMMYFUNCTION("""COMPUTED_VALUE"""),"haus.io")</f>
        <v>haus.io</v>
      </c>
      <c r="D60" s="11" t="str">
        <f>IFERROR(__xludf.DUMMYFUNCTION("""COMPUTED_VALUE"""),"ARTICLE")</f>
        <v>ARTICLE</v>
      </c>
      <c r="E60" s="11" t="str">
        <f>IFERROR(__xludf.DUMMYFUNCTION("""COMPUTED_VALUE"""),"COMPETITOR")</f>
        <v>COMPETITOR</v>
      </c>
      <c r="F60" s="11" t="str">
        <f>IFERROR(__xludf.DUMMYFUNCTION("""COMPUTED_VALUE"""),"Article")</f>
        <v>Article</v>
      </c>
      <c r="G60" s="11" t="b">
        <f>IFERROR(__xludf.DUMMYFUNCTION("""COMPUTED_VALUE"""),FALSE)</f>
        <v>0</v>
      </c>
      <c r="H60" s="11" t="str">
        <f>IFERROR(__xludf.DUMMYFUNCTION("""COMPUTED_VALUE"""),"Haus, Momentum")</f>
        <v>Haus, Momentum</v>
      </c>
      <c r="I60" s="11">
        <f>IFERROR(__xludf.DUMMYFUNCTION("""COMPUTED_VALUE"""),1.0)</f>
        <v>1</v>
      </c>
      <c r="J60" s="11">
        <f>IFERROR(__xludf.DUMMYFUNCTION("""COMPUTED_VALUE"""),0.0)</f>
        <v>0</v>
      </c>
      <c r="K60" s="11">
        <f>IFERROR(__xludf.DUMMYFUNCTION("""COMPUTED_VALUE"""),1.0)</f>
        <v>1</v>
      </c>
    </row>
    <row r="61" ht="15.75" customHeight="1">
      <c r="A61" s="8" t="str">
        <f>IFERROR(__xludf.DUMMYFUNCTION("""COMPUTED_VALUE"""),"https://www.house-of-communication.com/de/de/newsroom/2025/07/serviceplan-group-2024-2025-fiscal-year.html")</f>
        <v>https://www.house-of-communication.com/de/de/newsroom/2025/07/serviceplan-group-2024-2025-fiscal-year.html</v>
      </c>
      <c r="B61" s="11" t="str">
        <f>IFERROR(__xludf.DUMMYFUNCTION("""COMPUTED_VALUE"""),"Serviceplan Group | Serviceplan Group 2024 / 2025 fiscal year")</f>
        <v>Serviceplan Group | Serviceplan Group 2024 / 2025 fiscal year</v>
      </c>
      <c r="C61" s="8" t="str">
        <f>IFERROR(__xludf.DUMMYFUNCTION("""COMPUTED_VALUE"""),"house-of-communication.com")</f>
        <v>house-of-communication.com</v>
      </c>
      <c r="D61" s="11" t="str">
        <f>IFERROR(__xludf.DUMMYFUNCTION("""COMPUTED_VALUE"""),"ARTICLE")</f>
        <v>ARTICLE</v>
      </c>
      <c r="E61" s="11" t="str">
        <f>IFERROR(__xludf.DUMMYFUNCTION("""COMPUTED_VALUE"""),"COMPETITOR")</f>
        <v>COMPETITOR</v>
      </c>
      <c r="F61" s="11" t="str">
        <f>IFERROR(__xludf.DUMMYFUNCTION("""COMPUTED_VALUE"""),"Article")</f>
        <v>Article</v>
      </c>
      <c r="G61" s="11" t="b">
        <f>IFERROR(__xludf.DUMMYFUNCTION("""COMPUTED_VALUE"""),FALSE)</f>
        <v>0</v>
      </c>
      <c r="H61" s="11" t="str">
        <f>IFERROR(__xludf.DUMMYFUNCTION("""COMPUTED_VALUE"""),"Serviceplan Group, Momentum, Mediaplus Group, Mediaplus Performance")</f>
        <v>Serviceplan Group, Momentum, Mediaplus Group, Mediaplus Performance</v>
      </c>
      <c r="I61" s="11">
        <f>IFERROR(__xludf.DUMMYFUNCTION("""COMPUTED_VALUE"""),1.0)</f>
        <v>1</v>
      </c>
      <c r="J61" s="11">
        <f>IFERROR(__xludf.DUMMYFUNCTION("""COMPUTED_VALUE"""),0.0)</f>
        <v>0</v>
      </c>
      <c r="K61" s="11">
        <f>IFERROR(__xludf.DUMMYFUNCTION("""COMPUTED_VALUE"""),0.0)</f>
        <v>0</v>
      </c>
    </row>
    <row r="62" ht="15.75" customHeight="1">
      <c r="A62" s="8" t="str">
        <f>IFERROR(__xludf.DUMMYFUNCTION("""COMPUTED_VALUE"""),"https://www.ibusiness.de/aktuell/db/446658jg.html")</f>
        <v>https://www.ibusiness.de/aktuell/db/446658jg.html</v>
      </c>
      <c r="B62" s="11" t="str">
        <f>IFERROR(__xludf.DUMMYFUNCTION("""COMPUTED_VALUE"""),"Mehr Auto, weniger B2B: Das Ranking der gr��ten Performance-Agenturen 2025")</f>
        <v>Mehr Auto, weniger B2B: Das Ranking der gr��ten Performance-Agenturen 2025</v>
      </c>
      <c r="C62" s="8" t="str">
        <f>IFERROR(__xludf.DUMMYFUNCTION("""COMPUTED_VALUE"""),"ibusiness.de")</f>
        <v>ibusiness.de</v>
      </c>
      <c r="D62" s="11" t="str">
        <f>IFERROR(__xludf.DUMMYFUNCTION("""COMPUTED_VALUE"""),"ARTICLE")</f>
        <v>ARTICLE</v>
      </c>
      <c r="E62" s="11" t="str">
        <f>IFERROR(__xludf.DUMMYFUNCTION("""COMPUTED_VALUE"""),"EDITORIAL")</f>
        <v>EDITORIAL</v>
      </c>
      <c r="F62" s="11" t="str">
        <f>IFERROR(__xludf.DUMMYFUNCTION("""COMPUTED_VALUE"""),"Article")</f>
        <v>Article</v>
      </c>
      <c r="G62" s="11" t="b">
        <f>IFERROR(__xludf.DUMMYFUNCTION("""COMPUTED_VALUE"""),FALSE)</f>
        <v>0</v>
      </c>
      <c r="H62" s="11" t="str">
        <f>IFERROR(__xludf.DUMMYFUNCTION("""COMPUTED_VALUE"""),"morefire, Artefact, e-dialog, iProspect, Peak Ace, Smarketer")</f>
        <v>morefire, Artefact, e-dialog, iProspect, Peak Ace, Smarketer</v>
      </c>
      <c r="I62" s="11">
        <f>IFERROR(__xludf.DUMMYFUNCTION("""COMPUTED_VALUE"""),1.0)</f>
        <v>1</v>
      </c>
      <c r="J62" s="11">
        <f>IFERROR(__xludf.DUMMYFUNCTION("""COMPUTED_VALUE"""),0.0)</f>
        <v>0</v>
      </c>
      <c r="K62" s="11">
        <f>IFERROR(__xludf.DUMMYFUNCTION("""COMPUTED_VALUE"""),0.0)</f>
        <v>0</v>
      </c>
    </row>
    <row r="63" ht="15.75" customHeight="1">
      <c r="A63" s="8" t="str">
        <f>IFERROR(__xludf.DUMMYFUNCTION("""COMPUTED_VALUE"""),"https://www.imrg.org/blog/why-incrementality-testing-is-essential-for-multi-channel-retailers/")</f>
        <v>https://www.imrg.org/blog/why-incrementality-testing-is-essential-for-multi-channel-retailers/</v>
      </c>
      <c r="B63" s="11" t="str">
        <f>IFERROR(__xludf.DUMMYFUNCTION("""COMPUTED_VALUE"""),"Why incrementality testing is essential for multi-channel retailers - IMRG")</f>
        <v>Why incrementality testing is essential for multi-channel retailers - IMRG</v>
      </c>
      <c r="C63" s="8" t="str">
        <f>IFERROR(__xludf.DUMMYFUNCTION("""COMPUTED_VALUE"""),"imrg.org")</f>
        <v>imrg.org</v>
      </c>
      <c r="D63" s="11" t="str">
        <f>IFERROR(__xludf.DUMMYFUNCTION("""COMPUTED_VALUE"""),"ARTICLE")</f>
        <v>ARTICLE</v>
      </c>
      <c r="E63" s="11" t="str">
        <f>IFERROR(__xludf.DUMMYFUNCTION("""COMPUTED_VALUE"""),"INSTITUTIONAL")</f>
        <v>INSTITUTIONAL</v>
      </c>
      <c r="F63" s="11" t="str">
        <f>IFERROR(__xludf.DUMMYFUNCTION("""COMPUTED_VALUE"""),"Article")</f>
        <v>Article</v>
      </c>
      <c r="G63" s="11" t="b">
        <f>IFERROR(__xludf.DUMMYFUNCTION("""COMPUTED_VALUE"""),FALSE)</f>
        <v>0</v>
      </c>
      <c r="H63" s="11" t="str">
        <f>IFERROR(__xludf.DUMMYFUNCTION("""COMPUTED_VALUE"""),"Measured, Huge")</f>
        <v>Measured, Huge</v>
      </c>
      <c r="I63" s="11">
        <f>IFERROR(__xludf.DUMMYFUNCTION("""COMPUTED_VALUE"""),1.0)</f>
        <v>1</v>
      </c>
      <c r="J63" s="11">
        <f>IFERROR(__xludf.DUMMYFUNCTION("""COMPUTED_VALUE"""),0.0)</f>
        <v>0</v>
      </c>
      <c r="K63" s="11">
        <f>IFERROR(__xludf.DUMMYFUNCTION("""COMPUTED_VALUE"""),1.0)</f>
        <v>1</v>
      </c>
    </row>
    <row r="64" ht="15.75" customHeight="1">
      <c r="A64" s="8" t="str">
        <f>IFERROR(__xludf.DUMMYFUNCTION("""COMPUTED_VALUE"""),"https://inbeat.agency/blog/incrementality-testing")</f>
        <v>https://inbeat.agency/blog/incrementality-testing</v>
      </c>
      <c r="B64" s="11" t="str">
        <f>IFERROR(__xludf.DUMMYFUNCTION("""COMPUTED_VALUE"""),"Incrementality Testing: Calculations, Examples, and More for 2025 - inBeat Agency")</f>
        <v>Incrementality Testing: Calculations, Examples, and More for 2025 - inBeat Agency</v>
      </c>
      <c r="C64" s="11" t="str">
        <f>IFERROR(__xludf.DUMMYFUNCTION("""COMPUTED_VALUE"""),"inbeat.agency")</f>
        <v>inbeat.agency</v>
      </c>
      <c r="D64" s="11" t="str">
        <f>IFERROR(__xludf.DUMMYFUNCTION("""COMPUTED_VALUE"""),"ARTICLE")</f>
        <v>ARTICLE</v>
      </c>
      <c r="E64" s="11" t="str">
        <f>IFERROR(__xludf.DUMMYFUNCTION("""COMPUTED_VALUE"""),"COMPETITOR")</f>
        <v>COMPETITOR</v>
      </c>
      <c r="F64" s="11" t="str">
        <f>IFERROR(__xludf.DUMMYFUNCTION("""COMPUTED_VALUE"""),"Article")</f>
        <v>Article</v>
      </c>
      <c r="G64" s="11" t="b">
        <f>IFERROR(__xludf.DUMMYFUNCTION("""COMPUTED_VALUE"""),FALSE)</f>
        <v>0</v>
      </c>
      <c r="H64" s="11" t="str">
        <f>IFERROR(__xludf.DUMMYFUNCTION("""COMPUTED_VALUE"""),"inBeat, Nielsen, Measured")</f>
        <v>inBeat, Nielsen, Measured</v>
      </c>
      <c r="I64" s="11">
        <f>IFERROR(__xludf.DUMMYFUNCTION("""COMPUTED_VALUE"""),1.0)</f>
        <v>1</v>
      </c>
      <c r="J64" s="11">
        <f>IFERROR(__xludf.DUMMYFUNCTION("""COMPUTED_VALUE"""),0.0)</f>
        <v>0</v>
      </c>
      <c r="K64" s="11">
        <f>IFERROR(__xludf.DUMMYFUNCTION("""COMPUTED_VALUE"""),0.0)</f>
        <v>0</v>
      </c>
    </row>
    <row r="65" ht="15.75" customHeight="1">
      <c r="A65" s="8" t="str">
        <f>IFERROR(__xludf.DUMMYFUNCTION("""COMPUTED_VALUE"""),"https://www.incrmntal.com/resources/incrementality-software")</f>
        <v>https://www.incrmntal.com/resources/incrementality-software</v>
      </c>
      <c r="B65" s="11" t="str">
        <f>IFERROR(__xludf.DUMMYFUNCTION("""COMPUTED_VALUE"""),"Best Software for Measuring Incrementality Impact")</f>
        <v>Best Software for Measuring Incrementality Impact</v>
      </c>
      <c r="C65" s="8" t="str">
        <f>IFERROR(__xludf.DUMMYFUNCTION("""COMPUTED_VALUE"""),"incrmntal.com")</f>
        <v>incrmntal.com</v>
      </c>
      <c r="D65" s="11" t="str">
        <f>IFERROR(__xludf.DUMMYFUNCTION("""COMPUTED_VALUE"""),"ARTICLE")</f>
        <v>ARTICLE</v>
      </c>
      <c r="E65" s="11" t="str">
        <f>IFERROR(__xludf.DUMMYFUNCTION("""COMPUTED_VALUE"""),"COMPETITOR")</f>
        <v>COMPETITOR</v>
      </c>
      <c r="F65" s="11" t="str">
        <f>IFERROR(__xludf.DUMMYFUNCTION("""COMPUTED_VALUE"""),"Article")</f>
        <v>Article</v>
      </c>
      <c r="G65" s="11" t="b">
        <f>IFERROR(__xludf.DUMMYFUNCTION("""COMPUTED_VALUE"""),FALSE)</f>
        <v>0</v>
      </c>
      <c r="H65" s="11" t="str">
        <f>IFERROR(__xludf.DUMMYFUNCTION("""COMPUTED_VALUE"""),"INCRMNTAL")</f>
        <v>INCRMNTAL</v>
      </c>
      <c r="I65" s="11">
        <f>IFERROR(__xludf.DUMMYFUNCTION("""COMPUTED_VALUE"""),1.0)</f>
        <v>1</v>
      </c>
      <c r="J65" s="11">
        <f>IFERROR(__xludf.DUMMYFUNCTION("""COMPUTED_VALUE"""),0.0)</f>
        <v>0</v>
      </c>
      <c r="K65" s="11">
        <f>IFERROR(__xludf.DUMMYFUNCTION("""COMPUTED_VALUE"""),1.0)</f>
        <v>1</v>
      </c>
    </row>
    <row r="66" ht="15.75" customHeight="1">
      <c r="A66" s="8" t="str">
        <f>IFERROR(__xludf.DUMMYFUNCTION("""COMPUTED_VALUE"""),"https://incubeta.com/our-work/delivering-incrementality-for-superdrug/")</f>
        <v>https://incubeta.com/our-work/delivering-incrementality-for-superdrug/</v>
      </c>
      <c r="B66" s="11" t="str">
        <f>IFERROR(__xludf.DUMMYFUNCTION("""COMPUTED_VALUE"""),"Delivering Incrementality With Machine Learning | Incubeta")</f>
        <v>Delivering Incrementality With Machine Learning | Incubeta</v>
      </c>
      <c r="C66" s="8" t="str">
        <f>IFERROR(__xludf.DUMMYFUNCTION("""COMPUTED_VALUE"""),"incubeta.com")</f>
        <v>incubeta.com</v>
      </c>
      <c r="D66" s="11" t="str">
        <f>IFERROR(__xludf.DUMMYFUNCTION("""COMPUTED_VALUE"""),"ARTICLE")</f>
        <v>ARTICLE</v>
      </c>
      <c r="E66" s="11" t="str">
        <f>IFERROR(__xludf.DUMMYFUNCTION("""COMPUTED_VALUE"""),"OWN")</f>
        <v>OWN</v>
      </c>
      <c r="F66" s="11" t="str">
        <f>IFERROR(__xludf.DUMMYFUNCTION("""COMPUTED_VALUE"""),"Article")</f>
        <v>Article</v>
      </c>
      <c r="G66" s="11" t="b">
        <f>IFERROR(__xludf.DUMMYFUNCTION("""COMPUTED_VALUE"""),TRUE)</f>
        <v>1</v>
      </c>
      <c r="H66" s="11" t="str">
        <f>IFERROR(__xludf.DUMMYFUNCTION("""COMPUTED_VALUE"""),"Incubeta")</f>
        <v>Incubeta</v>
      </c>
      <c r="I66" s="11">
        <f>IFERROR(__xludf.DUMMYFUNCTION("""COMPUTED_VALUE"""),1.0)</f>
        <v>1</v>
      </c>
      <c r="J66" s="11">
        <f>IFERROR(__xludf.DUMMYFUNCTION("""COMPUTED_VALUE"""),0.0)</f>
        <v>0</v>
      </c>
      <c r="K66" s="11">
        <f>IFERROR(__xludf.DUMMYFUNCTION("""COMPUTED_VALUE"""),1.0)</f>
        <v>1</v>
      </c>
    </row>
    <row r="67" ht="15.75" customHeight="1">
      <c r="A67" s="8" t="str">
        <f>IFERROR(__xludf.DUMMYFUNCTION("""COMPUTED_VALUE"""),"https://www.jaeckert-odaniel.com/en/geo-case-study-46-7-ai-visibility-in-7-days/")</f>
        <v>https://www.jaeckert-odaniel.com/en/geo-case-study-46-7-ai-visibility-in-7-days/</v>
      </c>
      <c r="B67" s="11" t="str">
        <f>IFERROR(__xludf.DUMMYFUNCTION("""COMPUTED_VALUE"""),"GEO Case Study: 46.7% AI Visibility in 7 Days")</f>
        <v>GEO Case Study: 46.7% AI Visibility in 7 Days</v>
      </c>
      <c r="C67" s="8" t="str">
        <f>IFERROR(__xludf.DUMMYFUNCTION("""COMPUTED_VALUE"""),"jaeckert-odaniel.com")</f>
        <v>jaeckert-odaniel.com</v>
      </c>
      <c r="D67" s="11" t="str">
        <f>IFERROR(__xludf.DUMMYFUNCTION("""COMPUTED_VALUE"""),"ARTICLE")</f>
        <v>ARTICLE</v>
      </c>
      <c r="E67" s="11" t="str">
        <f>IFERROR(__xludf.DUMMYFUNCTION("""COMPUTED_VALUE"""),"OTHER")</f>
        <v>OTHER</v>
      </c>
      <c r="F67" s="11" t="str">
        <f>IFERROR(__xludf.DUMMYFUNCTION("""COMPUTED_VALUE"""),"Article")</f>
        <v>Article</v>
      </c>
      <c r="G67" s="11" t="b">
        <f>IFERROR(__xludf.DUMMYFUNCTION("""COMPUTED_VALUE"""),FALSE)</f>
        <v>0</v>
      </c>
      <c r="H67" s="11" t="str">
        <f>IFERROR(__xludf.DUMMYFUNCTION("""COMPUTED_VALUE"""),"Measured")</f>
        <v>Measured</v>
      </c>
      <c r="I67" s="11">
        <f>IFERROR(__xludf.DUMMYFUNCTION("""COMPUTED_VALUE"""),1.0)</f>
        <v>1</v>
      </c>
      <c r="J67" s="11">
        <f>IFERROR(__xludf.DUMMYFUNCTION("""COMPUTED_VALUE"""),0.0)</f>
        <v>0</v>
      </c>
      <c r="K67" s="11">
        <f>IFERROR(__xludf.DUMMYFUNCTION("""COMPUTED_VALUE"""),1.0)</f>
        <v>1</v>
      </c>
    </row>
    <row r="68" ht="15.75" customHeight="1">
      <c r="A68" s="8" t="str">
        <f>IFERROR(__xludf.DUMMYFUNCTION("""COMPUTED_VALUE"""),"https://www.krick.com/unternehmen/news/auch-2026-krickcom-ist-erneut-google-premier-partner")</f>
        <v>https://www.krick.com/unternehmen/news/auch-2026-krickcom-ist-erneut-google-premier-partner</v>
      </c>
      <c r="B68" s="11" t="str">
        <f>IFERROR(__xludf.DUMMYFUNCTION("""COMPUTED_VALUE"""),"Auch 2026: krick.com ist erneut Google Premier Partner | krick.com")</f>
        <v>Auch 2026: krick.com ist erneut Google Premier Partner | krick.com</v>
      </c>
      <c r="C68" s="8" t="str">
        <f>IFERROR(__xludf.DUMMYFUNCTION("""COMPUTED_VALUE"""),"krick.com")</f>
        <v>krick.com</v>
      </c>
      <c r="D68" s="11" t="str">
        <f>IFERROR(__xludf.DUMMYFUNCTION("""COMPUTED_VALUE"""),"ARTICLE")</f>
        <v>ARTICLE</v>
      </c>
      <c r="E68" s="11" t="str">
        <f>IFERROR(__xludf.DUMMYFUNCTION("""COMPUTED_VALUE"""),"CORPORATE")</f>
        <v>CORPORATE</v>
      </c>
      <c r="F68" s="11" t="str">
        <f>IFERROR(__xludf.DUMMYFUNCTION("""COMPUTED_VALUE"""),"Article")</f>
        <v>Article</v>
      </c>
      <c r="G68" s="11" t="b">
        <f>IFERROR(__xludf.DUMMYFUNCTION("""COMPUTED_VALUE"""),FALSE)</f>
        <v>0</v>
      </c>
      <c r="H68" s="11"/>
      <c r="I68" s="11">
        <f>IFERROR(__xludf.DUMMYFUNCTION("""COMPUTED_VALUE"""),1.0)</f>
        <v>1</v>
      </c>
      <c r="J68" s="11">
        <f>IFERROR(__xludf.DUMMYFUNCTION("""COMPUTED_VALUE"""),0.0)</f>
        <v>0</v>
      </c>
      <c r="K68" s="11">
        <f>IFERROR(__xludf.DUMMYFUNCTION("""COMPUTED_VALUE"""),0.0)</f>
        <v>0</v>
      </c>
    </row>
    <row r="69" ht="15.75" customHeight="1">
      <c r="A69" s="8" t="str">
        <f>IFERROR(__xludf.DUMMYFUNCTION("""COMPUTED_VALUE"""),"https://www.leansummits.com/how-marketing-teams-are-using-ai-agents-to-automate-campaign-management")</f>
        <v>https://www.leansummits.com/how-marketing-teams-are-using-ai-agents-to-automate-campaign-management</v>
      </c>
      <c r="B69" s="11" t="str">
        <f>IFERROR(__xludf.DUMMYFUNCTION("""COMPUTED_VALUE"""),"How Marketing Teams Are Using AI Agents to Automate Campaign Management in 2026")</f>
        <v>How Marketing Teams Are Using AI Agents to Automate Campaign Management in 2026</v>
      </c>
      <c r="C69" s="8" t="str">
        <f>IFERROR(__xludf.DUMMYFUNCTION("""COMPUTED_VALUE"""),"leansummits.com")</f>
        <v>leansummits.com</v>
      </c>
      <c r="D69" s="11" t="str">
        <f>IFERROR(__xludf.DUMMYFUNCTION("""COMPUTED_VALUE"""),"ARTICLE")</f>
        <v>ARTICLE</v>
      </c>
      <c r="E69" s="11" t="str">
        <f>IFERROR(__xludf.DUMMYFUNCTION("""COMPUTED_VALUE"""),"OTHER")</f>
        <v>OTHER</v>
      </c>
      <c r="F69" s="11" t="str">
        <f>IFERROR(__xludf.DUMMYFUNCTION("""COMPUTED_VALUE"""),"Article")</f>
        <v>Article</v>
      </c>
      <c r="G69" s="11" t="b">
        <f>IFERROR(__xludf.DUMMYFUNCTION("""COMPUTED_VALUE"""),FALSE)</f>
        <v>0</v>
      </c>
      <c r="H69" s="11" t="str">
        <f>IFERROR(__xludf.DUMMYFUNCTION("""COMPUTED_VALUE"""),"Pilot")</f>
        <v>Pilot</v>
      </c>
      <c r="I69" s="11">
        <f>IFERROR(__xludf.DUMMYFUNCTION("""COMPUTED_VALUE"""),1.0)</f>
        <v>1</v>
      </c>
      <c r="J69" s="11">
        <f>IFERROR(__xludf.DUMMYFUNCTION("""COMPUTED_VALUE"""),0.0)</f>
        <v>0</v>
      </c>
      <c r="K69" s="11">
        <f>IFERROR(__xludf.DUMMYFUNCTION("""COMPUTED_VALUE"""),1.0)</f>
        <v>1</v>
      </c>
    </row>
    <row r="70" ht="15.75" customHeight="1">
      <c r="A70" s="8" t="str">
        <f>IFERROR(__xludf.DUMMYFUNCTION("""COMPUTED_VALUE"""),"https://www.linkedin.com/pulse/deconstructing-common-solutions-first-party-data-pierre-cholet-booce")</f>
        <v>https://www.linkedin.com/pulse/deconstructing-common-solutions-first-party-data-pierre-cholet-booce</v>
      </c>
      <c r="B70" s="11" t="str">
        <f>IFERROR(__xludf.DUMMYFUNCTION("""COMPUTED_VALUE"""),"Deconstructing common solutions for first-party data activation")</f>
        <v>Deconstructing common solutions for first-party data activation</v>
      </c>
      <c r="C70" s="8" t="str">
        <f>IFERROR(__xludf.DUMMYFUNCTION("""COMPUTED_VALUE"""),"linkedin.com")</f>
        <v>linkedin.com</v>
      </c>
      <c r="D70" s="11" t="str">
        <f>IFERROR(__xludf.DUMMYFUNCTION("""COMPUTED_VALUE"""),"ARTICLE")</f>
        <v>ARTICLE</v>
      </c>
      <c r="E70" s="11" t="str">
        <f>IFERROR(__xludf.DUMMYFUNCTION("""COMPUTED_VALUE"""),"UGC")</f>
        <v>UGC</v>
      </c>
      <c r="F70" s="11" t="str">
        <f>IFERROR(__xludf.DUMMYFUNCTION("""COMPUTED_VALUE"""),"Article")</f>
        <v>Article</v>
      </c>
      <c r="G70" s="11" t="b">
        <f>IFERROR(__xludf.DUMMYFUNCTION("""COMPUTED_VALUE"""),FALSE)</f>
        <v>0</v>
      </c>
      <c r="H70" s="11" t="str">
        <f>IFERROR(__xludf.DUMMYFUNCTION("""COMPUTED_VALUE"""),"Epsilon")</f>
        <v>Epsilon</v>
      </c>
      <c r="I70" s="11">
        <f>IFERROR(__xludf.DUMMYFUNCTION("""COMPUTED_VALUE"""),1.0)</f>
        <v>1</v>
      </c>
      <c r="J70" s="11">
        <f>IFERROR(__xludf.DUMMYFUNCTION("""COMPUTED_VALUE"""),0.0)</f>
        <v>0</v>
      </c>
      <c r="K70" s="11">
        <f>IFERROR(__xludf.DUMMYFUNCTION("""COMPUTED_VALUE"""),0.0)</f>
        <v>0</v>
      </c>
    </row>
    <row r="71" ht="15.75" customHeight="1">
      <c r="A71" s="8" t="str">
        <f>IFERROR(__xludf.DUMMYFUNCTION("""COMPUTED_VALUE"""),"https://www.linkedin.com/pulse/what-sales-branding-value-adding-awareness-phase-your-daniel-opler")</f>
        <v>https://www.linkedin.com/pulse/what-sales-branding-value-adding-awareness-phase-your-daniel-opler</v>
      </c>
      <c r="B71" s="11" t="str">
        <f>IFERROR(__xludf.DUMMYFUNCTION("""COMPUTED_VALUE"""),"What is the sales and branding value of adding an awareness phase (branding phase) to your existing consideration and purchase phase?")</f>
        <v>What is the sales and branding value of adding an awareness phase (branding phase) to your existing consideration and purchase phase?</v>
      </c>
      <c r="C71" s="8" t="str">
        <f>IFERROR(__xludf.DUMMYFUNCTION("""COMPUTED_VALUE"""),"linkedin.com")</f>
        <v>linkedin.com</v>
      </c>
      <c r="D71" s="11" t="str">
        <f>IFERROR(__xludf.DUMMYFUNCTION("""COMPUTED_VALUE"""),"ARTICLE")</f>
        <v>ARTICLE</v>
      </c>
      <c r="E71" s="11" t="str">
        <f>IFERROR(__xludf.DUMMYFUNCTION("""COMPUTED_VALUE"""),"UGC")</f>
        <v>UGC</v>
      </c>
      <c r="F71" s="11" t="str">
        <f>IFERROR(__xludf.DUMMYFUNCTION("""COMPUTED_VALUE"""),"Article")</f>
        <v>Article</v>
      </c>
      <c r="G71" s="11" t="b">
        <f>IFERROR(__xludf.DUMMYFUNCTION("""COMPUTED_VALUE"""),FALSE)</f>
        <v>0</v>
      </c>
      <c r="H71" s="11" t="str">
        <f>IFERROR(__xludf.DUMMYFUNCTION("""COMPUTED_VALUE"""),"Measured")</f>
        <v>Measured</v>
      </c>
      <c r="I71" s="11">
        <f>IFERROR(__xludf.DUMMYFUNCTION("""COMPUTED_VALUE"""),1.0)</f>
        <v>1</v>
      </c>
      <c r="J71" s="11">
        <f>IFERROR(__xludf.DUMMYFUNCTION("""COMPUTED_VALUE"""),0.0)</f>
        <v>0</v>
      </c>
      <c r="K71" s="11">
        <f>IFERROR(__xludf.DUMMYFUNCTION("""COMPUTED_VALUE"""),1.0)</f>
        <v>1</v>
      </c>
    </row>
    <row r="72" ht="15.75" customHeight="1">
      <c r="A72" s="8" t="str">
        <f>IFERROR(__xludf.DUMMYFUNCTION("""COMPUTED_VALUE"""),"https://liveramp.com/blog/first-party-data-strategy")</f>
        <v>https://liveramp.com/blog/first-party-data-strategy</v>
      </c>
      <c r="B72" s="11" t="str">
        <f>IFERROR(__xludf.DUMMYFUNCTION("""COMPUTED_VALUE"""),"8 Steps to Create a First-Party Data Strategy | LiveRamp")</f>
        <v>8 Steps to Create a First-Party Data Strategy | LiveRamp</v>
      </c>
      <c r="C72" s="8" t="str">
        <f>IFERROR(__xludf.DUMMYFUNCTION("""COMPUTED_VALUE"""),"liveramp.com")</f>
        <v>liveramp.com</v>
      </c>
      <c r="D72" s="11" t="str">
        <f>IFERROR(__xludf.DUMMYFUNCTION("""COMPUTED_VALUE"""),"ARTICLE")</f>
        <v>ARTICLE</v>
      </c>
      <c r="E72" s="11" t="str">
        <f>IFERROR(__xludf.DUMMYFUNCTION("""COMPUTED_VALUE"""),"CORPORATE")</f>
        <v>CORPORATE</v>
      </c>
      <c r="F72" s="11" t="str">
        <f>IFERROR(__xludf.DUMMYFUNCTION("""COMPUTED_VALUE"""),"Article")</f>
        <v>Article</v>
      </c>
      <c r="G72" s="11" t="b">
        <f>IFERROR(__xludf.DUMMYFUNCTION("""COMPUTED_VALUE"""),FALSE)</f>
        <v>0</v>
      </c>
      <c r="H72" s="11"/>
      <c r="I72" s="11">
        <f>IFERROR(__xludf.DUMMYFUNCTION("""COMPUTED_VALUE"""),1.0)</f>
        <v>1</v>
      </c>
      <c r="J72" s="11">
        <f>IFERROR(__xludf.DUMMYFUNCTION("""COMPUTED_VALUE"""),0.0)</f>
        <v>0</v>
      </c>
      <c r="K72" s="11">
        <f>IFERROR(__xludf.DUMMYFUNCTION("""COMPUTED_VALUE"""),1.0)</f>
        <v>1</v>
      </c>
    </row>
    <row r="73" ht="15.75" customHeight="1">
      <c r="A73" s="8" t="str">
        <f>IFERROR(__xludf.DUMMYFUNCTION("""COMPUTED_VALUE"""),"https://www.marketing-boerse.de/news/details/2513-bvdw-kreativranking-2024-neue-gewinner-grosse-verlierer/200049")</f>
        <v>https://www.marketing-boerse.de/news/details/2513-bvdw-kreativranking-2024-neue-gewinner-grosse-verlierer/200049</v>
      </c>
      <c r="B73" s="11" t="str">
        <f>IFERROR(__xludf.DUMMYFUNCTION("""COMPUTED_VALUE"""),"Die 30 kreativsten Agenturen")</f>
        <v>Die 30 kreativsten Agenturen</v>
      </c>
      <c r="C73" s="8" t="str">
        <f>IFERROR(__xludf.DUMMYFUNCTION("""COMPUTED_VALUE"""),"marketing-boerse.de")</f>
        <v>marketing-boerse.de</v>
      </c>
      <c r="D73" s="11" t="str">
        <f>IFERROR(__xludf.DUMMYFUNCTION("""COMPUTED_VALUE"""),"ARTICLE")</f>
        <v>ARTICLE</v>
      </c>
      <c r="E73" s="11" t="str">
        <f>IFERROR(__xludf.DUMMYFUNCTION("""COMPUTED_VALUE"""),"REFERENCE")</f>
        <v>REFERENCE</v>
      </c>
      <c r="F73" s="11" t="str">
        <f>IFERROR(__xludf.DUMMYFUNCTION("""COMPUTED_VALUE"""),"Article")</f>
        <v>Article</v>
      </c>
      <c r="G73" s="11" t="b">
        <f>IFERROR(__xludf.DUMMYFUNCTION("""COMPUTED_VALUE"""),FALSE)</f>
        <v>0</v>
      </c>
      <c r="H73" s="11" t="str">
        <f>IFERROR(__xludf.DUMMYFUNCTION("""COMPUTED_VALUE"""),"Jung von Matt, Publicis Groupe, Accenture Song, Ogilvy, Scholz &amp; Friends, Dentsu")</f>
        <v>Jung von Matt, Publicis Groupe, Accenture Song, Ogilvy, Scholz &amp; Friends, Dentsu</v>
      </c>
      <c r="I73" s="11">
        <f>IFERROR(__xludf.DUMMYFUNCTION("""COMPUTED_VALUE"""),1.0)</f>
        <v>1</v>
      </c>
      <c r="J73" s="11">
        <f>IFERROR(__xludf.DUMMYFUNCTION("""COMPUTED_VALUE"""),0.0)</f>
        <v>0</v>
      </c>
      <c r="K73" s="11">
        <f>IFERROR(__xludf.DUMMYFUNCTION("""COMPUTED_VALUE"""),0.0)</f>
        <v>0</v>
      </c>
    </row>
    <row r="74" ht="15.75" customHeight="1">
      <c r="A74" s="8" t="str">
        <f>IFERROR(__xludf.DUMMYFUNCTION("""COMPUTED_VALUE"""),"https://www.media-marketing.com/en/news/the-global-and-regional-creative-rankings-of-the-one-club-for-2025-have-been-announced/")</f>
        <v>https://www.media-marketing.com/en/news/the-global-and-regional-creative-rankings-of-the-one-club-for-2025-have-been-announced/</v>
      </c>
      <c r="B74" s="11" t="str">
        <f>IFERROR(__xludf.DUMMYFUNCTION("""COMPUTED_VALUE"""),"The global and regional creative rankings of The One Club for 2025 have been announced")</f>
        <v>The global and regional creative rankings of The One Club for 2025 have been announced</v>
      </c>
      <c r="C74" s="8" t="str">
        <f>IFERROR(__xludf.DUMMYFUNCTION("""COMPUTED_VALUE"""),"media-marketing.com")</f>
        <v>media-marketing.com</v>
      </c>
      <c r="D74" s="11" t="str">
        <f>IFERROR(__xludf.DUMMYFUNCTION("""COMPUTED_VALUE"""),"ARTICLE")</f>
        <v>ARTICLE</v>
      </c>
      <c r="E74" s="11" t="str">
        <f>IFERROR(__xludf.DUMMYFUNCTION("""COMPUTED_VALUE"""),"EDITORIAL")</f>
        <v>EDITORIAL</v>
      </c>
      <c r="F74" s="11" t="str">
        <f>IFERROR(__xludf.DUMMYFUNCTION("""COMPUTED_VALUE"""),"Article")</f>
        <v>Article</v>
      </c>
      <c r="G74" s="11" t="b">
        <f>IFERROR(__xludf.DUMMYFUNCTION("""COMPUTED_VALUE"""),FALSE)</f>
        <v>0</v>
      </c>
      <c r="H74" s="11" t="str">
        <f>IFERROR(__xludf.DUMMYFUNCTION("""COMPUTED_VALUE"""),"Serviceplan Group")</f>
        <v>Serviceplan Group</v>
      </c>
      <c r="I74" s="11">
        <f>IFERROR(__xludf.DUMMYFUNCTION("""COMPUTED_VALUE"""),1.0)</f>
        <v>1</v>
      </c>
      <c r="J74" s="11">
        <f>IFERROR(__xludf.DUMMYFUNCTION("""COMPUTED_VALUE"""),0.0)</f>
        <v>0</v>
      </c>
      <c r="K74" s="11">
        <f>IFERROR(__xludf.DUMMYFUNCTION("""COMPUTED_VALUE"""),0.0)</f>
        <v>0</v>
      </c>
    </row>
    <row r="75" ht="15.75" customHeight="1">
      <c r="A75" s="8" t="str">
        <f>IFERROR(__xludf.DUMMYFUNCTION("""COMPUTED_VALUE"""),"https://meedia.de/news/beitrag/18957-bvdw-ranking-das-sind-die-kreativsten-agenturen-kampagnen-und-marken.html")</f>
        <v>https://meedia.de/news/beitrag/18957-bvdw-ranking-das-sind-die-kreativsten-agenturen-kampagnen-und-marken.html</v>
      </c>
      <c r="B75" s="11" t="str">
        <f>IFERROR(__xludf.DUMMYFUNCTION("""COMPUTED_VALUE"""),"BVDW-Ranking: Das sind die kreativsten Agenturen, Kampagnen und Marken")</f>
        <v>BVDW-Ranking: Das sind die kreativsten Agenturen, Kampagnen und Marken</v>
      </c>
      <c r="C75" s="8" t="str">
        <f>IFERROR(__xludf.DUMMYFUNCTION("""COMPUTED_VALUE"""),"meedia.de")</f>
        <v>meedia.de</v>
      </c>
      <c r="D75" s="11" t="str">
        <f>IFERROR(__xludf.DUMMYFUNCTION("""COMPUTED_VALUE"""),"ARTICLE")</f>
        <v>ARTICLE</v>
      </c>
      <c r="E75" s="11" t="str">
        <f>IFERROR(__xludf.DUMMYFUNCTION("""COMPUTED_VALUE"""),"EDITORIAL")</f>
        <v>EDITORIAL</v>
      </c>
      <c r="F75" s="11" t="str">
        <f>IFERROR(__xludf.DUMMYFUNCTION("""COMPUTED_VALUE"""),"Article")</f>
        <v>Article</v>
      </c>
      <c r="G75" s="11" t="b">
        <f>IFERROR(__xludf.DUMMYFUNCTION("""COMPUTED_VALUE"""),FALSE)</f>
        <v>0</v>
      </c>
      <c r="H75" s="11" t="str">
        <f>IFERROR(__xludf.DUMMYFUNCTION("""COMPUTED_VALUE"""),"Jung von Matt, Accenture Song, Omnicom, Scholz &amp; Friends, Ogilvy")</f>
        <v>Jung von Matt, Accenture Song, Omnicom, Scholz &amp; Friends, Ogilvy</v>
      </c>
      <c r="I75" s="11">
        <f>IFERROR(__xludf.DUMMYFUNCTION("""COMPUTED_VALUE"""),1.0)</f>
        <v>1</v>
      </c>
      <c r="J75" s="11">
        <f>IFERROR(__xludf.DUMMYFUNCTION("""COMPUTED_VALUE"""),0.0)</f>
        <v>0</v>
      </c>
      <c r="K75" s="11">
        <f>IFERROR(__xludf.DUMMYFUNCTION("""COMPUTED_VALUE"""),0.0)</f>
        <v>0</v>
      </c>
    </row>
    <row r="76" ht="15.75" customHeight="1">
      <c r="A76" s="8" t="str">
        <f>IFERROR(__xludf.DUMMYFUNCTION("""COMPUTED_VALUE"""),"https://most2414.com/insights-ai-agents/")</f>
        <v>https://most2414.com/insights-ai-agents/</v>
      </c>
      <c r="B76" s="11" t="str">
        <f>IFERROR(__xludf.DUMMYFUNCTION("""COMPUTED_VALUE"""),"AI Agents in Marketing | MOST 2414")</f>
        <v>AI Agents in Marketing | MOST 2414</v>
      </c>
      <c r="C76" s="8" t="str">
        <f>IFERROR(__xludf.DUMMYFUNCTION("""COMPUTED_VALUE"""),"most2414.com")</f>
        <v>most2414.com</v>
      </c>
      <c r="D76" s="11" t="str">
        <f>IFERROR(__xludf.DUMMYFUNCTION("""COMPUTED_VALUE"""),"ARTICLE")</f>
        <v>ARTICLE</v>
      </c>
      <c r="E76" s="11" t="str">
        <f>IFERROR(__xludf.DUMMYFUNCTION("""COMPUTED_VALUE"""),"CORPORATE")</f>
        <v>CORPORATE</v>
      </c>
      <c r="F76" s="11" t="str">
        <f>IFERROR(__xludf.DUMMYFUNCTION("""COMPUTED_VALUE"""),"Article")</f>
        <v>Article</v>
      </c>
      <c r="G76" s="11" t="b">
        <f>IFERROR(__xludf.DUMMYFUNCTION("""COMPUTED_VALUE"""),FALSE)</f>
        <v>0</v>
      </c>
      <c r="H76" s="11" t="str">
        <f>IFERROR(__xludf.DUMMYFUNCTION("""COMPUTED_VALUE"""),"Deloitte Digital")</f>
        <v>Deloitte Digital</v>
      </c>
      <c r="I76" s="11">
        <f>IFERROR(__xludf.DUMMYFUNCTION("""COMPUTED_VALUE"""),1.0)</f>
        <v>1</v>
      </c>
      <c r="J76" s="11">
        <f>IFERROR(__xludf.DUMMYFUNCTION("""COMPUTED_VALUE"""),0.0)</f>
        <v>0</v>
      </c>
      <c r="K76" s="11">
        <f>IFERROR(__xludf.DUMMYFUNCTION("""COMPUTED_VALUE"""),1.0)</f>
        <v>1</v>
      </c>
    </row>
    <row r="77" ht="15.75" customHeight="1">
      <c r="A77" s="8" t="str">
        <f>IFERROR(__xludf.DUMMYFUNCTION("""COMPUTED_VALUE"""),"https://www.oneclub.org/press/-toc-2025-global-rankings")</f>
        <v>https://www.oneclub.org/press/-toc-2025-global-rankings</v>
      </c>
      <c r="B77" s="11" t="str">
        <f>IFERROR(__xludf.DUMMYFUNCTION("""COMPUTED_VALUE"""),"The One Club’s 2025 Global Creative Rankings Crown FCB for Third Straight Year | The One Club")</f>
        <v>The One Club’s 2025 Global Creative Rankings Crown FCB for Third Straight Year | The One Club</v>
      </c>
      <c r="C77" s="8" t="str">
        <f>IFERROR(__xludf.DUMMYFUNCTION("""COMPUTED_VALUE"""),"oneclub.org")</f>
        <v>oneclub.org</v>
      </c>
      <c r="D77" s="11" t="str">
        <f>IFERROR(__xludf.DUMMYFUNCTION("""COMPUTED_VALUE"""),"ARTICLE")</f>
        <v>ARTICLE</v>
      </c>
      <c r="E77" s="11" t="str">
        <f>IFERROR(__xludf.DUMMYFUNCTION("""COMPUTED_VALUE"""),"INSTITUTIONAL")</f>
        <v>INSTITUTIONAL</v>
      </c>
      <c r="F77" s="11" t="str">
        <f>IFERROR(__xludf.DUMMYFUNCTION("""COMPUTED_VALUE"""),"Article")</f>
        <v>Article</v>
      </c>
      <c r="G77" s="11" t="b">
        <f>IFERROR(__xludf.DUMMYFUNCTION("""COMPUTED_VALUE"""),FALSE)</f>
        <v>0</v>
      </c>
      <c r="H77" s="11" t="str">
        <f>IFERROR(__xludf.DUMMYFUNCTION("""COMPUTED_VALUE"""),"Ogilvy, Jung von Matt, Serviceplan Group")</f>
        <v>Ogilvy, Jung von Matt, Serviceplan Group</v>
      </c>
      <c r="I77" s="11">
        <f>IFERROR(__xludf.DUMMYFUNCTION("""COMPUTED_VALUE"""),1.0)</f>
        <v>1</v>
      </c>
      <c r="J77" s="11">
        <f>IFERROR(__xludf.DUMMYFUNCTION("""COMPUTED_VALUE"""),0.0)</f>
        <v>0</v>
      </c>
      <c r="K77" s="11">
        <f>IFERROR(__xludf.DUMMYFUNCTION("""COMPUTED_VALUE"""),0.0)</f>
        <v>0</v>
      </c>
    </row>
    <row r="78" ht="15.75" customHeight="1">
      <c r="A78" s="8" t="str">
        <f>IFERROR(__xludf.DUMMYFUNCTION("""COMPUTED_VALUE"""),"https://prescientai.com/blog/incrementality-testing-guide")</f>
        <v>https://prescientai.com/blog/incrementality-testing-guide</v>
      </c>
      <c r="B78" s="11" t="str">
        <f>IFERROR(__xludf.DUMMYFUNCTION("""COMPUTED_VALUE"""),"Incrementality testing: the complete guide")</f>
        <v>Incrementality testing: the complete guide</v>
      </c>
      <c r="C78" s="8" t="str">
        <f>IFERROR(__xludf.DUMMYFUNCTION("""COMPUTED_VALUE"""),"prescientai.com")</f>
        <v>prescientai.com</v>
      </c>
      <c r="D78" s="11" t="str">
        <f>IFERROR(__xludf.DUMMYFUNCTION("""COMPUTED_VALUE"""),"ARTICLE")</f>
        <v>ARTICLE</v>
      </c>
      <c r="E78" s="11" t="str">
        <f>IFERROR(__xludf.DUMMYFUNCTION("""COMPUTED_VALUE"""),"CORPORATE")</f>
        <v>CORPORATE</v>
      </c>
      <c r="F78" s="11" t="str">
        <f>IFERROR(__xludf.DUMMYFUNCTION("""COMPUTED_VALUE"""),"Article")</f>
        <v>Article</v>
      </c>
      <c r="G78" s="11" t="b">
        <f>IFERROR(__xludf.DUMMYFUNCTION("""COMPUTED_VALUE"""),FALSE)</f>
        <v>0</v>
      </c>
      <c r="H78" s="11"/>
      <c r="I78" s="11">
        <f>IFERROR(__xludf.DUMMYFUNCTION("""COMPUTED_VALUE"""),1.0)</f>
        <v>1</v>
      </c>
      <c r="J78" s="11">
        <f>IFERROR(__xludf.DUMMYFUNCTION("""COMPUTED_VALUE"""),0.0)</f>
        <v>0</v>
      </c>
      <c r="K78" s="11">
        <f>IFERROR(__xludf.DUMMYFUNCTION("""COMPUTED_VALUE"""),1.0)</f>
        <v>1</v>
      </c>
    </row>
    <row r="79" ht="15.75" customHeight="1">
      <c r="A79" s="8" t="str">
        <f>IFERROR(__xludf.DUMMYFUNCTION("""COMPUTED_VALUE"""),"https://rajeshjain.com/progency-the-ai-first-agency-of-the-future/")</f>
        <v>https://rajeshjain.com/progency-the-ai-first-agency-of-the-future/</v>
      </c>
      <c r="B79" s="11" t="str">
        <f>IFERROR(__xludf.DUMMYFUNCTION("""COMPUTED_VALUE"""),"Progency: The AI-First Agency of the Future – Rajesh Jain")</f>
        <v>Progency: The AI-First Agency of the Future – Rajesh Jain</v>
      </c>
      <c r="C79" s="8" t="str">
        <f>IFERROR(__xludf.DUMMYFUNCTION("""COMPUTED_VALUE"""),"rajeshjain.com")</f>
        <v>rajeshjain.com</v>
      </c>
      <c r="D79" s="11" t="str">
        <f>IFERROR(__xludf.DUMMYFUNCTION("""COMPUTED_VALUE"""),"ARTICLE")</f>
        <v>ARTICLE</v>
      </c>
      <c r="E79" s="11" t="str">
        <f>IFERROR(__xludf.DUMMYFUNCTION("""COMPUTED_VALUE"""),"EDITORIAL")</f>
        <v>EDITORIAL</v>
      </c>
      <c r="F79" s="11" t="str">
        <f>IFERROR(__xludf.DUMMYFUNCTION("""COMPUTED_VALUE"""),"Article")</f>
        <v>Article</v>
      </c>
      <c r="G79" s="11" t="b">
        <f>IFERROR(__xludf.DUMMYFUNCTION("""COMPUTED_VALUE"""),FALSE)</f>
        <v>0</v>
      </c>
      <c r="H79" s="11" t="str">
        <f>IFERROR(__xludf.DUMMYFUNCTION("""COMPUTED_VALUE"""),"Ogilvy, WPP, Omnicom, Dentsu, AKQA, R/GA, PwC, Accenture Song, Deloitte Digital, GroupM, Huge, Publicis Groupe, Epsilon")</f>
        <v>Ogilvy, WPP, Omnicom, Dentsu, AKQA, R/GA, PwC, Accenture Song, Deloitte Digital, GroupM, Huge, Publicis Groupe, Epsilon</v>
      </c>
      <c r="I79" s="11">
        <f>IFERROR(__xludf.DUMMYFUNCTION("""COMPUTED_VALUE"""),1.0)</f>
        <v>1</v>
      </c>
      <c r="J79" s="11">
        <f>IFERROR(__xludf.DUMMYFUNCTION("""COMPUTED_VALUE"""),0.0)</f>
        <v>0</v>
      </c>
      <c r="K79" s="11">
        <f>IFERROR(__xludf.DUMMYFUNCTION("""COMPUTED_VALUE"""),1.0)</f>
        <v>1</v>
      </c>
    </row>
    <row r="80" ht="15.75" customHeight="1">
      <c r="A80" s="8" t="str">
        <f>IFERROR(__xludf.DUMMYFUNCTION("""COMPUTED_VALUE"""),"https://www.red-dot.org/magazine/interview-with-jung-von-matt")</f>
        <v>https://www.red-dot.org/magazine/interview-with-jung-von-matt</v>
      </c>
      <c r="B80" s="11" t="str">
        <f>IFERROR(__xludf.DUMMYFUNCTION("""COMPUTED_VALUE"""),"Interview with Jung von Matt")</f>
        <v>Interview with Jung von Matt</v>
      </c>
      <c r="C80" s="8" t="str">
        <f>IFERROR(__xludf.DUMMYFUNCTION("""COMPUTED_VALUE"""),"red-dot.org")</f>
        <v>red-dot.org</v>
      </c>
      <c r="D80" s="11" t="str">
        <f>IFERROR(__xludf.DUMMYFUNCTION("""COMPUTED_VALUE"""),"ARTICLE")</f>
        <v>ARTICLE</v>
      </c>
      <c r="E80" s="11" t="str">
        <f>IFERROR(__xludf.DUMMYFUNCTION("""COMPUTED_VALUE"""),"INSTITUTIONAL")</f>
        <v>INSTITUTIONAL</v>
      </c>
      <c r="F80" s="11" t="str">
        <f>IFERROR(__xludf.DUMMYFUNCTION("""COMPUTED_VALUE"""),"Article")</f>
        <v>Article</v>
      </c>
      <c r="G80" s="11" t="b">
        <f>IFERROR(__xludf.DUMMYFUNCTION("""COMPUTED_VALUE"""),FALSE)</f>
        <v>0</v>
      </c>
      <c r="H80" s="11" t="str">
        <f>IFERROR(__xludf.DUMMYFUNCTION("""COMPUTED_VALUE"""),"Jung von Matt")</f>
        <v>Jung von Matt</v>
      </c>
      <c r="I80" s="11">
        <f>IFERROR(__xludf.DUMMYFUNCTION("""COMPUTED_VALUE"""),1.0)</f>
        <v>1</v>
      </c>
      <c r="J80" s="11">
        <f>IFERROR(__xludf.DUMMYFUNCTION("""COMPUTED_VALUE"""),0.0)</f>
        <v>0</v>
      </c>
      <c r="K80" s="11">
        <f>IFERROR(__xludf.DUMMYFUNCTION("""COMPUTED_VALUE"""),1.0)</f>
        <v>1</v>
      </c>
    </row>
    <row r="81" ht="15.75" customHeight="1">
      <c r="A81" s="8" t="str">
        <f>IFERROR(__xludf.DUMMYFUNCTION("""COMPUTED_VALUE"""),"https://www.reply.com/en/newsroom/news/luenendonk-dxs-study-2025")</f>
        <v>https://www.reply.com/en/newsroom/news/luenendonk-dxs-study-2025</v>
      </c>
      <c r="B81" s="11" t="str">
        <f>IFERROR(__xludf.DUMMYFUNCTION("""COMPUTED_VALUE"""),"Lünendonk study confirms Reply’s continued leading position in Digital Experience Services | Reply")</f>
        <v>Lünendonk study confirms Reply’s continued leading position in Digital Experience Services | Reply</v>
      </c>
      <c r="C81" s="8" t="str">
        <f>IFERROR(__xludf.DUMMYFUNCTION("""COMPUTED_VALUE"""),"reply.com")</f>
        <v>reply.com</v>
      </c>
      <c r="D81" s="11" t="str">
        <f>IFERROR(__xludf.DUMMYFUNCTION("""COMPUTED_VALUE"""),"ARTICLE")</f>
        <v>ARTICLE</v>
      </c>
      <c r="E81" s="11" t="str">
        <f>IFERROR(__xludf.DUMMYFUNCTION("""COMPUTED_VALUE"""),"CORPORATE")</f>
        <v>CORPORATE</v>
      </c>
      <c r="F81" s="11" t="str">
        <f>IFERROR(__xludf.DUMMYFUNCTION("""COMPUTED_VALUE"""),"Article")</f>
        <v>Article</v>
      </c>
      <c r="G81" s="11" t="b">
        <f>IFERROR(__xludf.DUMMYFUNCTION("""COMPUTED_VALUE"""),FALSE)</f>
        <v>0</v>
      </c>
      <c r="H81" s="11"/>
      <c r="I81" s="11">
        <f>IFERROR(__xludf.DUMMYFUNCTION("""COMPUTED_VALUE"""),1.0)</f>
        <v>1</v>
      </c>
      <c r="J81" s="11">
        <f>IFERROR(__xludf.DUMMYFUNCTION("""COMPUTED_VALUE"""),0.0)</f>
        <v>0</v>
      </c>
      <c r="K81" s="11">
        <f>IFERROR(__xludf.DUMMYFUNCTION("""COMPUTED_VALUE"""),0.0)</f>
        <v>0</v>
      </c>
    </row>
    <row r="82" ht="15.75" customHeight="1">
      <c r="A82" s="8" t="str">
        <f>IFERROR(__xludf.DUMMYFUNCTION("""COMPUTED_VALUE"""),"https://www.reuters.com/business/media-telecom/frances-publicis-buy-us-data-firm-liveramp-22-billion-2026-05-17/")</f>
        <v>https://www.reuters.com/business/media-telecom/frances-publicis-buy-us-data-firm-liveramp-22-billion-2026-05-17/</v>
      </c>
      <c r="B82" s="11" t="str">
        <f>IFERROR(__xludf.DUMMYFUNCTION("""COMPUTED_VALUE"""),"France's Publicis to buy US data firm LiveRamp for $2.2 billion \| Reuters")</f>
        <v>France's Publicis to buy US data firm LiveRamp for $2.2 billion \| Reuters</v>
      </c>
      <c r="C82" s="8" t="str">
        <f>IFERROR(__xludf.DUMMYFUNCTION("""COMPUTED_VALUE"""),"reuters.com")</f>
        <v>reuters.com</v>
      </c>
      <c r="D82" s="11" t="str">
        <f>IFERROR(__xludf.DUMMYFUNCTION("""COMPUTED_VALUE"""),"ARTICLE")</f>
        <v>ARTICLE</v>
      </c>
      <c r="E82" s="11" t="str">
        <f>IFERROR(__xludf.DUMMYFUNCTION("""COMPUTED_VALUE"""),"EDITORIAL")</f>
        <v>EDITORIAL</v>
      </c>
      <c r="F82" s="11" t="str">
        <f>IFERROR(__xludf.DUMMYFUNCTION("""COMPUTED_VALUE"""),"Article")</f>
        <v>Article</v>
      </c>
      <c r="G82" s="11" t="b">
        <f>IFERROR(__xludf.DUMMYFUNCTION("""COMPUTED_VALUE"""),FALSE)</f>
        <v>0</v>
      </c>
      <c r="H82" s="11" t="str">
        <f>IFERROR(__xludf.DUMMYFUNCTION("""COMPUTED_VALUE"""),"Publicis Groupe, Epsilon, WPP, Omnicom")</f>
        <v>Publicis Groupe, Epsilon, WPP, Omnicom</v>
      </c>
      <c r="I82" s="11">
        <f>IFERROR(__xludf.DUMMYFUNCTION("""COMPUTED_VALUE"""),1.0)</f>
        <v>1</v>
      </c>
      <c r="J82" s="11">
        <f>IFERROR(__xludf.DUMMYFUNCTION("""COMPUTED_VALUE"""),0.0)</f>
        <v>0</v>
      </c>
      <c r="K82" s="11">
        <f>IFERROR(__xludf.DUMMYFUNCTION("""COMPUTED_VALUE"""),2.0)</f>
        <v>2</v>
      </c>
    </row>
    <row r="83" ht="15.75" customHeight="1">
      <c r="A83" s="8" t="str">
        <f>IFERROR(__xludf.DUMMYFUNCTION("""COMPUTED_VALUE"""),"https://www.reuters.com/sustainability/boards-policy-regulation/ad-group-wpp-says-mark-read-retire-ceo-end-year-2025-06-09/")</f>
        <v>https://www.reuters.com/sustainability/boards-policy-regulation/ad-group-wpp-says-mark-read-retire-ceo-end-year-2025-06-09/</v>
      </c>
      <c r="B83" s="11" t="str">
        <f>IFERROR(__xludf.DUMMYFUNCTION("""COMPUTED_VALUE"""),"Ad group WPP says CEO Mark Read to step down at end of the year \| Reuters")</f>
        <v>Ad group WPP says CEO Mark Read to step down at end of the year \| Reuters</v>
      </c>
      <c r="C83" s="8" t="str">
        <f>IFERROR(__xludf.DUMMYFUNCTION("""COMPUTED_VALUE"""),"reuters.com")</f>
        <v>reuters.com</v>
      </c>
      <c r="D83" s="11" t="str">
        <f>IFERROR(__xludf.DUMMYFUNCTION("""COMPUTED_VALUE"""),"ARTICLE")</f>
        <v>ARTICLE</v>
      </c>
      <c r="E83" s="11" t="str">
        <f>IFERROR(__xludf.DUMMYFUNCTION("""COMPUTED_VALUE"""),"EDITORIAL")</f>
        <v>EDITORIAL</v>
      </c>
      <c r="F83" s="11" t="str">
        <f>IFERROR(__xludf.DUMMYFUNCTION("""COMPUTED_VALUE"""),"Article")</f>
        <v>Article</v>
      </c>
      <c r="G83" s="11" t="b">
        <f>IFERROR(__xludf.DUMMYFUNCTION("""COMPUTED_VALUE"""),FALSE)</f>
        <v>0</v>
      </c>
      <c r="H83" s="11" t="str">
        <f>IFERROR(__xludf.DUMMYFUNCTION("""COMPUTED_VALUE"""),"WPP, Ogilvy, GroupM")</f>
        <v>WPP, Ogilvy, GroupM</v>
      </c>
      <c r="I83" s="11">
        <f>IFERROR(__xludf.DUMMYFUNCTION("""COMPUTED_VALUE"""),1.0)</f>
        <v>1</v>
      </c>
      <c r="J83" s="11">
        <f>IFERROR(__xludf.DUMMYFUNCTION("""COMPUTED_VALUE"""),0.0)</f>
        <v>0</v>
      </c>
      <c r="K83" s="11">
        <f>IFERROR(__xludf.DUMMYFUNCTION("""COMPUTED_VALUE"""),2.0)</f>
        <v>2</v>
      </c>
    </row>
    <row r="84" ht="15.75" customHeight="1">
      <c r="A84" s="8" t="str">
        <f>IFERROR(__xludf.DUMMYFUNCTION("""COMPUTED_VALUE"""),"https://s360digital.com/news/s360-becomes-one-of-the-first-smartly-certified-agencies/")</f>
        <v>https://s360digital.com/news/s360-becomes-one-of-the-first-smartly-certified-agencies/</v>
      </c>
      <c r="B84" s="11" t="str">
        <f>IFERROR(__xludf.DUMMYFUNCTION("""COMPUTED_VALUE"""),"s360 becomes one of the first Smartly Certified Agencies globally")</f>
        <v>s360 becomes one of the first Smartly Certified Agencies globally</v>
      </c>
      <c r="C84" s="8" t="str">
        <f>IFERROR(__xludf.DUMMYFUNCTION("""COMPUTED_VALUE"""),"s360digital.com")</f>
        <v>s360digital.com</v>
      </c>
      <c r="D84" s="11" t="str">
        <f>IFERROR(__xludf.DUMMYFUNCTION("""COMPUTED_VALUE"""),"ARTICLE")</f>
        <v>ARTICLE</v>
      </c>
      <c r="E84" s="11" t="str">
        <f>IFERROR(__xludf.DUMMYFUNCTION("""COMPUTED_VALUE"""),"COMPETITOR")</f>
        <v>COMPETITOR</v>
      </c>
      <c r="F84" s="11" t="str">
        <f>IFERROR(__xludf.DUMMYFUNCTION("""COMPUTED_VALUE"""),"Article")</f>
        <v>Article</v>
      </c>
      <c r="G84" s="11" t="b">
        <f>IFERROR(__xludf.DUMMYFUNCTION("""COMPUTED_VALUE"""),FALSE)</f>
        <v>0</v>
      </c>
      <c r="H84" s="11" t="str">
        <f>IFERROR(__xludf.DUMMYFUNCTION("""COMPUTED_VALUE"""),"s360")</f>
        <v>s360</v>
      </c>
      <c r="I84" s="11">
        <f>IFERROR(__xludf.DUMMYFUNCTION("""COMPUTED_VALUE"""),1.0)</f>
        <v>1</v>
      </c>
      <c r="J84" s="11">
        <f>IFERROR(__xludf.DUMMYFUNCTION("""COMPUTED_VALUE"""),0.0)</f>
        <v>0</v>
      </c>
      <c r="K84" s="11">
        <f>IFERROR(__xludf.DUMMYFUNCTION("""COMPUTED_VALUE"""),1.0)</f>
        <v>1</v>
      </c>
    </row>
    <row r="85" ht="15.75" customHeight="1">
      <c r="A85" s="8" t="str">
        <f>IFERROR(__xludf.DUMMYFUNCTION("""COMPUTED_VALUE"""),"https://www.schalk-and-friends.de/en/magazine/modern-marketing-winners/")</f>
        <v>https://www.schalk-and-friends.de/en/magazine/modern-marketing-winners/</v>
      </c>
      <c r="B85" s="11" t="str">
        <f>IFERROR(__xludf.DUMMYFUNCTION("""COMPUTED_VALUE"""),"Top 70 German digital agencies | schalk&amp;amp;friends")</f>
        <v>Top 70 German digital agencies | schalk&amp;amp;friends</v>
      </c>
      <c r="C85" s="8" t="str">
        <f>IFERROR(__xludf.DUMMYFUNCTION("""COMPUTED_VALUE"""),"schalk-and-friends.de")</f>
        <v>schalk-and-friends.de</v>
      </c>
      <c r="D85" s="11" t="str">
        <f>IFERROR(__xludf.DUMMYFUNCTION("""COMPUTED_VALUE"""),"ARTICLE")</f>
        <v>ARTICLE</v>
      </c>
      <c r="E85" s="11" t="str">
        <f>IFERROR(__xludf.DUMMYFUNCTION("""COMPUTED_VALUE"""),"CORPORATE")</f>
        <v>CORPORATE</v>
      </c>
      <c r="F85" s="11" t="str">
        <f>IFERROR(__xludf.DUMMYFUNCTION("""COMPUTED_VALUE"""),"Article")</f>
        <v>Article</v>
      </c>
      <c r="G85" s="11" t="b">
        <f>IFERROR(__xludf.DUMMYFUNCTION("""COMPUTED_VALUE"""),FALSE)</f>
        <v>0</v>
      </c>
      <c r="H85" s="11"/>
      <c r="I85" s="11">
        <f>IFERROR(__xludf.DUMMYFUNCTION("""COMPUTED_VALUE"""),1.0)</f>
        <v>1</v>
      </c>
      <c r="J85" s="11">
        <f>IFERROR(__xludf.DUMMYFUNCTION("""COMPUTED_VALUE"""),0.0)</f>
        <v>0</v>
      </c>
      <c r="K85" s="11">
        <f>IFERROR(__xludf.DUMMYFUNCTION("""COMPUTED_VALUE"""),2.0)</f>
        <v>2</v>
      </c>
    </row>
    <row r="86" ht="15.75" customHeight="1">
      <c r="A86" s="8" t="str">
        <f>IFERROR(__xludf.DUMMYFUNCTION("""COMPUTED_VALUE"""),"https://sellforte.com/customer-news/case-study-released-brand-alley-x-sellforte")</f>
        <v>https://sellforte.com/customer-news/case-study-released-brand-alley-x-sellforte</v>
      </c>
      <c r="B86" s="11" t="str">
        <f>IFERROR(__xludf.DUMMYFUNCTION("""COMPUTED_VALUE"""),"BrandAlley Case Study: Validating Models with Sellforte")</f>
        <v>BrandAlley Case Study: Validating Models with Sellforte</v>
      </c>
      <c r="C86" s="8" t="str">
        <f>IFERROR(__xludf.DUMMYFUNCTION("""COMPUTED_VALUE"""),"sellforte.com")</f>
        <v>sellforte.com</v>
      </c>
      <c r="D86" s="11" t="str">
        <f>IFERROR(__xludf.DUMMYFUNCTION("""COMPUTED_VALUE"""),"ARTICLE")</f>
        <v>ARTICLE</v>
      </c>
      <c r="E86" s="11" t="str">
        <f>IFERROR(__xludf.DUMMYFUNCTION("""COMPUTED_VALUE"""),"COMPETITOR")</f>
        <v>COMPETITOR</v>
      </c>
      <c r="F86" s="11" t="str">
        <f>IFERROR(__xludf.DUMMYFUNCTION("""COMPUTED_VALUE"""),"Article")</f>
        <v>Article</v>
      </c>
      <c r="G86" s="11" t="b">
        <f>IFERROR(__xludf.DUMMYFUNCTION("""COMPUTED_VALUE"""),FALSE)</f>
        <v>0</v>
      </c>
      <c r="H86" s="11" t="str">
        <f>IFERROR(__xludf.DUMMYFUNCTION("""COMPUTED_VALUE"""),"Sellforte")</f>
        <v>Sellforte</v>
      </c>
      <c r="I86" s="11">
        <f>IFERROR(__xludf.DUMMYFUNCTION("""COMPUTED_VALUE"""),1.0)</f>
        <v>1</v>
      </c>
      <c r="J86" s="11">
        <f>IFERROR(__xludf.DUMMYFUNCTION("""COMPUTED_VALUE"""),0.0)</f>
        <v>0</v>
      </c>
      <c r="K86" s="11">
        <f>IFERROR(__xludf.DUMMYFUNCTION("""COMPUTED_VALUE"""),1.0)</f>
        <v>1</v>
      </c>
    </row>
    <row r="87" ht="15.75" customHeight="1">
      <c r="A87" s="8" t="str">
        <f>IFERROR(__xludf.DUMMYFUNCTION("""COMPUTED_VALUE"""),"https://seosupport.de/generative-engine-optimization/")</f>
        <v>https://seosupport.de/generative-engine-optimization/</v>
      </c>
      <c r="B87" s="11" t="str">
        <f>IFERROR(__xludf.DUMMYFUNCTION("""COMPUTED_VALUE"""),"GEO / KI SEO Agentur in Berlin - seosupport GmbH")</f>
        <v>GEO / KI SEO Agentur in Berlin - seosupport GmbH</v>
      </c>
      <c r="C87" s="8" t="str">
        <f>IFERROR(__xludf.DUMMYFUNCTION("""COMPUTED_VALUE"""),"seosupport.de")</f>
        <v>seosupport.de</v>
      </c>
      <c r="D87" s="11" t="str">
        <f>IFERROR(__xludf.DUMMYFUNCTION("""COMPUTED_VALUE"""),"ARTICLE")</f>
        <v>ARTICLE</v>
      </c>
      <c r="E87" s="11" t="str">
        <f>IFERROR(__xludf.DUMMYFUNCTION("""COMPUTED_VALUE"""),"CORPORATE")</f>
        <v>CORPORATE</v>
      </c>
      <c r="F87" s="11" t="str">
        <f>IFERROR(__xludf.DUMMYFUNCTION("""COMPUTED_VALUE"""),"Article")</f>
        <v>Article</v>
      </c>
      <c r="G87" s="11" t="b">
        <f>IFERROR(__xludf.DUMMYFUNCTION("""COMPUTED_VALUE"""),FALSE)</f>
        <v>0</v>
      </c>
      <c r="H87" s="11"/>
      <c r="I87" s="11">
        <f>IFERROR(__xludf.DUMMYFUNCTION("""COMPUTED_VALUE"""),1.0)</f>
        <v>1</v>
      </c>
      <c r="J87" s="11">
        <f>IFERROR(__xludf.DUMMYFUNCTION("""COMPUTED_VALUE"""),0.0)</f>
        <v>0</v>
      </c>
      <c r="K87" s="11">
        <f>IFERROR(__xludf.DUMMYFUNCTION("""COMPUTED_VALUE"""),1.0)</f>
        <v>1</v>
      </c>
    </row>
    <row r="88" ht="15.75" customHeight="1">
      <c r="A88" s="8" t="str">
        <f>IFERROR(__xludf.DUMMYFUNCTION("""COMPUTED_VALUE"""),"https://skai.io/blog/retail-media-incrementality/")</f>
        <v>https://skai.io/blog/retail-media-incrementality/</v>
      </c>
      <c r="B88" s="11" t="str">
        <f>IFERROR(__xludf.DUMMYFUNCTION("""COMPUTED_VALUE"""),"Retail Media Incrementality Testing: Measuring True Campaign Impact")</f>
        <v>Retail Media Incrementality Testing: Measuring True Campaign Impact</v>
      </c>
      <c r="C88" s="8" t="str">
        <f>IFERROR(__xludf.DUMMYFUNCTION("""COMPUTED_VALUE"""),"skai.io")</f>
        <v>skai.io</v>
      </c>
      <c r="D88" s="11" t="str">
        <f>IFERROR(__xludf.DUMMYFUNCTION("""COMPUTED_VALUE"""),"ARTICLE")</f>
        <v>ARTICLE</v>
      </c>
      <c r="E88" s="11" t="str">
        <f>IFERROR(__xludf.DUMMYFUNCTION("""COMPUTED_VALUE"""),"CORPORATE")</f>
        <v>CORPORATE</v>
      </c>
      <c r="F88" s="11" t="str">
        <f>IFERROR(__xludf.DUMMYFUNCTION("""COMPUTED_VALUE"""),"Article")</f>
        <v>Article</v>
      </c>
      <c r="G88" s="11" t="b">
        <f>IFERROR(__xludf.DUMMYFUNCTION("""COMPUTED_VALUE"""),FALSE)</f>
        <v>0</v>
      </c>
      <c r="H88" s="11"/>
      <c r="I88" s="11">
        <f>IFERROR(__xludf.DUMMYFUNCTION("""COMPUTED_VALUE"""),1.0)</f>
        <v>1</v>
      </c>
      <c r="J88" s="11">
        <f>IFERROR(__xludf.DUMMYFUNCTION("""COMPUTED_VALUE"""),0.0)</f>
        <v>0</v>
      </c>
      <c r="K88" s="11">
        <f>IFERROR(__xludf.DUMMYFUNCTION("""COMPUTED_VALUE"""),1.0)</f>
        <v>1</v>
      </c>
    </row>
    <row r="89" ht="15.75" customHeight="1">
      <c r="A89" s="8" t="str">
        <f>IFERROR(__xludf.DUMMYFUNCTION("""COMPUTED_VALUE"""),"https://www.smarketer.co.uk/google-shopping/css/")</f>
        <v>https://www.smarketer.co.uk/google-shopping/css/</v>
      </c>
      <c r="B89" s="11" t="str">
        <f>IFERROR(__xludf.DUMMYFUNCTION("""COMPUTED_VALUE"""),"Google Shopping CSS Agency | Premium Partner | Smarketer")</f>
        <v>Google Shopping CSS Agency | Premium Partner | Smarketer</v>
      </c>
      <c r="C89" s="8" t="str">
        <f>IFERROR(__xludf.DUMMYFUNCTION("""COMPUTED_VALUE"""),"smarketer.co.uk")</f>
        <v>smarketer.co.uk</v>
      </c>
      <c r="D89" s="11" t="str">
        <f>IFERROR(__xludf.DUMMYFUNCTION("""COMPUTED_VALUE"""),"ARTICLE")</f>
        <v>ARTICLE</v>
      </c>
      <c r="E89" s="11" t="str">
        <f>IFERROR(__xludf.DUMMYFUNCTION("""COMPUTED_VALUE"""),"CORPORATE")</f>
        <v>CORPORATE</v>
      </c>
      <c r="F89" s="11" t="str">
        <f>IFERROR(__xludf.DUMMYFUNCTION("""COMPUTED_VALUE"""),"Article")</f>
        <v>Article</v>
      </c>
      <c r="G89" s="11" t="b">
        <f>IFERROR(__xludf.DUMMYFUNCTION("""COMPUTED_VALUE"""),FALSE)</f>
        <v>0</v>
      </c>
      <c r="H89" s="11" t="str">
        <f>IFERROR(__xludf.DUMMYFUNCTION("""COMPUTED_VALUE"""),"Smarketer")</f>
        <v>Smarketer</v>
      </c>
      <c r="I89" s="11">
        <f>IFERROR(__xludf.DUMMYFUNCTION("""COMPUTED_VALUE"""),1.0)</f>
        <v>1</v>
      </c>
      <c r="J89" s="11">
        <f>IFERROR(__xludf.DUMMYFUNCTION("""COMPUTED_VALUE"""),0.0)</f>
        <v>0</v>
      </c>
      <c r="K89" s="11">
        <f>IFERROR(__xludf.DUMMYFUNCTION("""COMPUTED_VALUE"""),0.0)</f>
        <v>0</v>
      </c>
    </row>
    <row r="90" ht="15.75" customHeight="1">
      <c r="A90" s="8" t="str">
        <f>IFERROR(__xludf.DUMMYFUNCTION("""COMPUTED_VALUE"""),"https://stape.io/blog/marketing-attribution-models")</f>
        <v>https://stape.io/blog/marketing-attribution-models</v>
      </c>
      <c r="B90" s="11" t="str">
        <f>IFERROR(__xludf.DUMMYFUNCTION("""COMPUTED_VALUE"""),"Marketing Attribution Models | Which One to Choose?")</f>
        <v>Marketing Attribution Models | Which One to Choose?</v>
      </c>
      <c r="C90" s="8" t="str">
        <f>IFERROR(__xludf.DUMMYFUNCTION("""COMPUTED_VALUE"""),"stape.io")</f>
        <v>stape.io</v>
      </c>
      <c r="D90" s="11" t="str">
        <f>IFERROR(__xludf.DUMMYFUNCTION("""COMPUTED_VALUE"""),"ARTICLE")</f>
        <v>ARTICLE</v>
      </c>
      <c r="E90" s="11" t="str">
        <f>IFERROR(__xludf.DUMMYFUNCTION("""COMPUTED_VALUE"""),"CORPORATE")</f>
        <v>CORPORATE</v>
      </c>
      <c r="F90" s="11" t="str">
        <f>IFERROR(__xludf.DUMMYFUNCTION("""COMPUTED_VALUE"""),"Article")</f>
        <v>Article</v>
      </c>
      <c r="G90" s="11" t="b">
        <f>IFERROR(__xludf.DUMMYFUNCTION("""COMPUTED_VALUE"""),FALSE)</f>
        <v>0</v>
      </c>
      <c r="H90" s="11"/>
      <c r="I90" s="11">
        <f>IFERROR(__xludf.DUMMYFUNCTION("""COMPUTED_VALUE"""),1.0)</f>
        <v>1</v>
      </c>
      <c r="J90" s="11">
        <f>IFERROR(__xludf.DUMMYFUNCTION("""COMPUTED_VALUE"""),0.0)</f>
        <v>0</v>
      </c>
      <c r="K90" s="11">
        <f>IFERROR(__xludf.DUMMYFUNCTION("""COMPUTED_VALUE"""),1.0)</f>
        <v>1</v>
      </c>
    </row>
    <row r="91" ht="15.75" customHeight="1">
      <c r="A91" s="8" t="str">
        <f>IFERROR(__xludf.DUMMYFUNCTION("""COMPUTED_VALUE"""),"https://www.superside.com/blog/creative-at-scale")</f>
        <v>https://www.superside.com/blog/creative-at-scale</v>
      </c>
      <c r="B91" s="11" t="str">
        <f>IFERROR(__xludf.DUMMYFUNCTION("""COMPUTED_VALUE"""),"Driving Creative at Scale for Brands To Achieve Success (Services &amp;amp; Tips)")</f>
        <v>Driving Creative at Scale for Brands To Achieve Success (Services &amp;amp; Tips)</v>
      </c>
      <c r="C91" s="8" t="str">
        <f>IFERROR(__xludf.DUMMYFUNCTION("""COMPUTED_VALUE"""),"superside.com")</f>
        <v>superside.com</v>
      </c>
      <c r="D91" s="11" t="str">
        <f>IFERROR(__xludf.DUMMYFUNCTION("""COMPUTED_VALUE"""),"ARTICLE")</f>
        <v>ARTICLE</v>
      </c>
      <c r="E91" s="11" t="str">
        <f>IFERROR(__xludf.DUMMYFUNCTION("""COMPUTED_VALUE"""),"COMPETITOR")</f>
        <v>COMPETITOR</v>
      </c>
      <c r="F91" s="11" t="str">
        <f>IFERROR(__xludf.DUMMYFUNCTION("""COMPUTED_VALUE"""),"Article")</f>
        <v>Article</v>
      </c>
      <c r="G91" s="11" t="b">
        <f>IFERROR(__xludf.DUMMYFUNCTION("""COMPUTED_VALUE"""),FALSE)</f>
        <v>0</v>
      </c>
      <c r="H91" s="11" t="str">
        <f>IFERROR(__xludf.DUMMYFUNCTION("""COMPUTED_VALUE"""),"Superside, GroupM, WPP, Publicis Groupe, Accenture Song, Deloitte Digital")</f>
        <v>Superside, GroupM, WPP, Publicis Groupe, Accenture Song, Deloitte Digital</v>
      </c>
      <c r="I91" s="11">
        <f>IFERROR(__xludf.DUMMYFUNCTION("""COMPUTED_VALUE"""),1.0)</f>
        <v>1</v>
      </c>
      <c r="J91" s="11">
        <f>IFERROR(__xludf.DUMMYFUNCTION("""COMPUTED_VALUE"""),0.0)</f>
        <v>0</v>
      </c>
      <c r="K91" s="11">
        <f>IFERROR(__xludf.DUMMYFUNCTION("""COMPUTED_VALUE"""),1.0)</f>
        <v>1</v>
      </c>
    </row>
    <row r="92" ht="15.75" customHeight="1">
      <c r="A92" s="8" t="str">
        <f>IFERROR(__xludf.DUMMYFUNCTION("""COMPUTED_VALUE"""),"https://support.google.com/google-ads/answer/9029203?hl=en")</f>
        <v>https://support.google.com/google-ads/answer/9029203?hl=en</v>
      </c>
      <c r="B92" s="11" t="str">
        <f>IFERROR(__xludf.DUMMYFUNCTION("""COMPUTED_VALUE"""),"About the Google Partners program")</f>
        <v>About the Google Partners program</v>
      </c>
      <c r="C92" s="8" t="str">
        <f>IFERROR(__xludf.DUMMYFUNCTION("""COMPUTED_VALUE"""),"google.com")</f>
        <v>google.com</v>
      </c>
      <c r="D92" s="11" t="str">
        <f>IFERROR(__xludf.DUMMYFUNCTION("""COMPUTED_VALUE"""),"ARTICLE")</f>
        <v>ARTICLE</v>
      </c>
      <c r="E92" s="11" t="str">
        <f>IFERROR(__xludf.DUMMYFUNCTION("""COMPUTED_VALUE"""),"OTHER")</f>
        <v>OTHER</v>
      </c>
      <c r="F92" s="11" t="str">
        <f>IFERROR(__xludf.DUMMYFUNCTION("""COMPUTED_VALUE"""),"Article")</f>
        <v>Article</v>
      </c>
      <c r="G92" s="11" t="b">
        <f>IFERROR(__xludf.DUMMYFUNCTION("""COMPUTED_VALUE"""),FALSE)</f>
        <v>0</v>
      </c>
      <c r="H92" s="11"/>
      <c r="I92" s="11">
        <f>IFERROR(__xludf.DUMMYFUNCTION("""COMPUTED_VALUE"""),1.0)</f>
        <v>1</v>
      </c>
      <c r="J92" s="11">
        <f>IFERROR(__xludf.DUMMYFUNCTION("""COMPUTED_VALUE"""),0.0)</f>
        <v>0</v>
      </c>
      <c r="K92" s="11">
        <f>IFERROR(__xludf.DUMMYFUNCTION("""COMPUTED_VALUE"""),1.0)</f>
        <v>1</v>
      </c>
    </row>
    <row r="93" ht="15.75" customHeight="1">
      <c r="A93" s="8" t="str">
        <f>IFERROR(__xludf.DUMMYFUNCTION("""COMPUTED_VALUE"""),"https://www.techradar.com/pro/agentic-search-optimization-reshapes-brand-visibility-in-ai-search")</f>
        <v>https://www.techradar.com/pro/agentic-search-optimization-reshapes-brand-visibility-in-ai-search</v>
      </c>
      <c r="B93" s="11" t="str">
        <f>IFERROR(__xludf.DUMMYFUNCTION("""COMPUTED_VALUE"""),"Agentic Search Optimization reshapes brand visibility in AI search | TechRadar")</f>
        <v>Agentic Search Optimization reshapes brand visibility in AI search | TechRadar</v>
      </c>
      <c r="C93" s="8" t="str">
        <f>IFERROR(__xludf.DUMMYFUNCTION("""COMPUTED_VALUE"""),"techradar.com")</f>
        <v>techradar.com</v>
      </c>
      <c r="D93" s="11" t="str">
        <f>IFERROR(__xludf.DUMMYFUNCTION("""COMPUTED_VALUE"""),"ARTICLE")</f>
        <v>ARTICLE</v>
      </c>
      <c r="E93" s="11" t="str">
        <f>IFERROR(__xludf.DUMMYFUNCTION("""COMPUTED_VALUE"""),"EDITORIAL")</f>
        <v>EDITORIAL</v>
      </c>
      <c r="F93" s="11" t="str">
        <f>IFERROR(__xludf.DUMMYFUNCTION("""COMPUTED_VALUE"""),"Article")</f>
        <v>Article</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8" t="str">
        <f>IFERROR(__xludf.DUMMYFUNCTION("""COMPUTED_VALUE"""),"https://www.techradar.com/pro/hubspot-increased-leads-by-1850-percent-and-we-asked-them-how-the-aeo-playbook")</f>
        <v>https://www.techradar.com/pro/hubspot-increased-leads-by-1850-percent-and-we-asked-them-how-the-aeo-playbook</v>
      </c>
      <c r="B94" s="11" t="str">
        <f>IFERROR(__xludf.DUMMYFUNCTION("""COMPUTED_VALUE"""),"HubSpot increased leads by 1850%, and we asked them how: The AEO playbook | TechRadar")</f>
        <v>HubSpot increased leads by 1850%, and we asked them how: The AEO playbook | TechRadar</v>
      </c>
      <c r="C94" s="8" t="str">
        <f>IFERROR(__xludf.DUMMYFUNCTION("""COMPUTED_VALUE"""),"techradar.com")</f>
        <v>techradar.com</v>
      </c>
      <c r="D94" s="11" t="str">
        <f>IFERROR(__xludf.DUMMYFUNCTION("""COMPUTED_VALUE"""),"ARTICLE")</f>
        <v>ARTICLE</v>
      </c>
      <c r="E94" s="11" t="str">
        <f>IFERROR(__xludf.DUMMYFUNCTION("""COMPUTED_VALUE"""),"EDITORIAL")</f>
        <v>EDITORIAL</v>
      </c>
      <c r="F94" s="11" t="str">
        <f>IFERROR(__xludf.DUMMYFUNCTION("""COMPUTED_VALUE"""),"Article")</f>
        <v>Article</v>
      </c>
      <c r="G94" s="11" t="b">
        <f>IFERROR(__xludf.DUMMYFUNCTION("""COMPUTED_VALUE"""),FALSE)</f>
        <v>0</v>
      </c>
      <c r="H94" s="11"/>
      <c r="I94" s="11">
        <f>IFERROR(__xludf.DUMMYFUNCTION("""COMPUTED_VALUE"""),1.0)</f>
        <v>1</v>
      </c>
      <c r="J94" s="11">
        <f>IFERROR(__xludf.DUMMYFUNCTION("""COMPUTED_VALUE"""),0.0)</f>
        <v>0</v>
      </c>
      <c r="K94" s="11">
        <f>IFERROR(__xludf.DUMMYFUNCTION("""COMPUTED_VALUE"""),1.0)</f>
        <v>1</v>
      </c>
    </row>
    <row r="95" ht="15.75" customHeight="1">
      <c r="A95" s="8" t="str">
        <f>IFERROR(__xludf.DUMMYFUNCTION("""COMPUTED_VALUE"""),"https://www.thjnk.de/en/post/thjnk-and-ogilvy-launch-a-unique-partnership-on-equal-footing-a-significant-step-in-the-german-agen")</f>
        <v>https://www.thjnk.de/en/post/thjnk-and-ogilvy-launch-a-unique-partnership-on-equal-footing-a-significant-step-in-the-german-agen</v>
      </c>
      <c r="B95" s="11" t="str">
        <f>IFERROR(__xludf.DUMMYFUNCTION("""COMPUTED_VALUE"""),"thjnk AND OGILVY LAUNCH A UNIQUE PARTNERSHIP ON EQUAL FOOTING. A SIGNIFICANT STEP IN THE GERMAN AGENCY MARKET")</f>
        <v>thjnk AND OGILVY LAUNCH A UNIQUE PARTNERSHIP ON EQUAL FOOTING. A SIGNIFICANT STEP IN THE GERMAN AGENCY MARKET</v>
      </c>
      <c r="C95" s="8" t="str">
        <f>IFERROR(__xludf.DUMMYFUNCTION("""COMPUTED_VALUE"""),"thjnk.de")</f>
        <v>thjnk.de</v>
      </c>
      <c r="D95" s="11" t="str">
        <f>IFERROR(__xludf.DUMMYFUNCTION("""COMPUTED_VALUE"""),"ARTICLE")</f>
        <v>ARTICLE</v>
      </c>
      <c r="E95" s="11" t="str">
        <f>IFERROR(__xludf.DUMMYFUNCTION("""COMPUTED_VALUE"""),"CORPORATE")</f>
        <v>CORPORATE</v>
      </c>
      <c r="F95" s="11" t="str">
        <f>IFERROR(__xludf.DUMMYFUNCTION("""COMPUTED_VALUE"""),"Article")</f>
        <v>Article</v>
      </c>
      <c r="G95" s="11" t="b">
        <f>IFERROR(__xludf.DUMMYFUNCTION("""COMPUTED_VALUE"""),FALSE)</f>
        <v>0</v>
      </c>
      <c r="H95" s="11" t="str">
        <f>IFERROR(__xludf.DUMMYFUNCTION("""COMPUTED_VALUE"""),"Ogilvy")</f>
        <v>Ogilvy</v>
      </c>
      <c r="I95" s="11">
        <f>IFERROR(__xludf.DUMMYFUNCTION("""COMPUTED_VALUE"""),1.0)</f>
        <v>1</v>
      </c>
      <c r="J95" s="11">
        <f>IFERROR(__xludf.DUMMYFUNCTION("""COMPUTED_VALUE"""),0.0)</f>
        <v>0</v>
      </c>
      <c r="K95" s="11">
        <f>IFERROR(__xludf.DUMMYFUNCTION("""COMPUTED_VALUE"""),1.0)</f>
        <v>1</v>
      </c>
    </row>
    <row r="96" ht="15.75" customHeight="1">
      <c r="A96" s="8" t="str">
        <f>IFERROR(__xludf.DUMMYFUNCTION("""COMPUTED_VALUE"""),"https://www.valtech.com/blog/closing-the-ai-readiness-gap/")</f>
        <v>https://www.valtech.com/blog/closing-the-ai-readiness-gap/</v>
      </c>
      <c r="B96" s="11" t="str">
        <f>IFERROR(__xludf.DUMMYFUNCTION("""COMPUTED_VALUE"""),"From adoption to advantage: Closing the AI readiness gap | Valtech")</f>
        <v>From adoption to advantage: Closing the AI readiness gap | Valtech</v>
      </c>
      <c r="C96" s="8" t="str">
        <f>IFERROR(__xludf.DUMMYFUNCTION("""COMPUTED_VALUE"""),"valtech.com")</f>
        <v>valtech.com</v>
      </c>
      <c r="D96" s="11" t="str">
        <f>IFERROR(__xludf.DUMMYFUNCTION("""COMPUTED_VALUE"""),"ARTICLE")</f>
        <v>ARTICLE</v>
      </c>
      <c r="E96" s="11" t="str">
        <f>IFERROR(__xludf.DUMMYFUNCTION("""COMPUTED_VALUE"""),"CORPORATE")</f>
        <v>CORPORATE</v>
      </c>
      <c r="F96" s="11" t="str">
        <f>IFERROR(__xludf.DUMMYFUNCTION("""COMPUTED_VALUE"""),"Article")</f>
        <v>Article</v>
      </c>
      <c r="G96" s="11" t="b">
        <f>IFERROR(__xludf.DUMMYFUNCTION("""COMPUTED_VALUE"""),FALSE)</f>
        <v>0</v>
      </c>
      <c r="H96" s="11" t="str">
        <f>IFERROR(__xludf.DUMMYFUNCTION("""COMPUTED_VALUE"""),"Momentum")</f>
        <v>Momentum</v>
      </c>
      <c r="I96" s="11">
        <f>IFERROR(__xludf.DUMMYFUNCTION("""COMPUTED_VALUE"""),1.0)</f>
        <v>1</v>
      </c>
      <c r="J96" s="11">
        <f>IFERROR(__xludf.DUMMYFUNCTION("""COMPUTED_VALUE"""),0.0)</f>
        <v>0</v>
      </c>
      <c r="K96" s="11">
        <f>IFERROR(__xludf.DUMMYFUNCTION("""COMPUTED_VALUE"""),1.0)</f>
        <v>1</v>
      </c>
    </row>
    <row r="97" ht="15.75" customHeight="1">
      <c r="A97" s="8" t="str">
        <f>IFERROR(__xludf.DUMMYFUNCTION("""COMPUTED_VALUE"""),"https://www.wsj.com/business/earnings/publicis-raises-guidance-citing-new-business-wins-ad4f0d98")</f>
        <v>https://www.wsj.com/business/earnings/publicis-raises-guidance-citing-new-business-wins-ad4f0d98</v>
      </c>
      <c r="B97" s="11" t="str">
        <f>IFERROR(__xludf.DUMMYFUNCTION("""COMPUTED_VALUE"""),"Publicis Raises Guidance, Citing New Business Wins - WSJ")</f>
        <v>Publicis Raises Guidance, Citing New Business Wins - WSJ</v>
      </c>
      <c r="C97" s="8" t="str">
        <f>IFERROR(__xludf.DUMMYFUNCTION("""COMPUTED_VALUE"""),"wsj.com")</f>
        <v>wsj.com</v>
      </c>
      <c r="D97" s="11" t="str">
        <f>IFERROR(__xludf.DUMMYFUNCTION("""COMPUTED_VALUE"""),"ARTICLE")</f>
        <v>ARTICLE</v>
      </c>
      <c r="E97" s="11" t="str">
        <f>IFERROR(__xludf.DUMMYFUNCTION("""COMPUTED_VALUE"""),"EDITORIAL")</f>
        <v>EDITORIAL</v>
      </c>
      <c r="F97" s="11" t="str">
        <f>IFERROR(__xludf.DUMMYFUNCTION("""COMPUTED_VALUE"""),"Article")</f>
        <v>Article</v>
      </c>
      <c r="G97" s="11" t="b">
        <f>IFERROR(__xludf.DUMMYFUNCTION("""COMPUTED_VALUE"""),FALSE)</f>
        <v>0</v>
      </c>
      <c r="H97" s="11" t="str">
        <f>IFERROR(__xludf.DUMMYFUNCTION("""COMPUTED_VALUE"""),"Publicis Groupe, Momentum")</f>
        <v>Publicis Groupe, Momentum</v>
      </c>
      <c r="I97" s="11">
        <f>IFERROR(__xludf.DUMMYFUNCTION("""COMPUTED_VALUE"""),1.0)</f>
        <v>1</v>
      </c>
      <c r="J97" s="11">
        <f>IFERROR(__xludf.DUMMYFUNCTION("""COMPUTED_VALUE"""),0.0)</f>
        <v>0</v>
      </c>
      <c r="K97" s="11">
        <f>IFERROR(__xludf.DUMMYFUNCTION("""COMPUTED_VALUE"""),2.0)</f>
        <v>2</v>
      </c>
    </row>
    <row r="98" ht="15.75" customHeight="1">
      <c r="A98" s="8" t="str">
        <f>IFERROR(__xludf.DUMMYFUNCTION("""COMPUTED_VALUE"""),"https://www.wsj.com/cio-journal/the-ai-superfans-companies-count-on-to-convert-the-skeptics-5b301a90")</f>
        <v>https://www.wsj.com/cio-journal/the-ai-superfans-companies-count-on-to-convert-the-skeptics-5b301a90</v>
      </c>
      <c r="B98" s="11" t="str">
        <f>IFERROR(__xludf.DUMMYFUNCTION("""COMPUTED_VALUE"""),"The AI Superfans Companies Count On to Convert the Skeptics - WSJ")</f>
        <v>The AI Superfans Companies Count On to Convert the Skeptics - WSJ</v>
      </c>
      <c r="C98" s="8" t="str">
        <f>IFERROR(__xludf.DUMMYFUNCTION("""COMPUTED_VALUE"""),"wsj.com")</f>
        <v>wsj.com</v>
      </c>
      <c r="D98" s="11" t="str">
        <f>IFERROR(__xludf.DUMMYFUNCTION("""COMPUTED_VALUE"""),"ARTICLE")</f>
        <v>ARTICLE</v>
      </c>
      <c r="E98" s="11" t="str">
        <f>IFERROR(__xludf.DUMMYFUNCTION("""COMPUTED_VALUE"""),"EDITORIAL")</f>
        <v>EDITORIAL</v>
      </c>
      <c r="F98" s="11" t="str">
        <f>IFERROR(__xludf.DUMMYFUNCTION("""COMPUTED_VALUE"""),"Article")</f>
        <v>Article</v>
      </c>
      <c r="G98" s="11" t="b">
        <f>IFERROR(__xludf.DUMMYFUNCTION("""COMPUTED_VALUE"""),FALSE)</f>
        <v>0</v>
      </c>
      <c r="H98" s="11"/>
      <c r="I98" s="11">
        <f>IFERROR(__xludf.DUMMYFUNCTION("""COMPUTED_VALUE"""),1.0)</f>
        <v>1</v>
      </c>
      <c r="J98" s="11">
        <f>IFERROR(__xludf.DUMMYFUNCTION("""COMPUTED_VALUE"""),0.0)</f>
        <v>0</v>
      </c>
      <c r="K98" s="11">
        <f>IFERROR(__xludf.DUMMYFUNCTION("""COMPUTED_VALUE"""),2.0)</f>
        <v>2</v>
      </c>
    </row>
    <row r="99" ht="15.75" customHeight="1">
      <c r="A99" s="8" t="str">
        <f>IFERROR(__xludf.DUMMYFUNCTION("""COMPUTED_VALUE"""),"https://www.wuv.de/Archiv/Jung-von-Matt-ist-kreativste-Agentur-Deutschlands")</f>
        <v>https://www.wuv.de/Archiv/Jung-von-Matt-ist-kreativste-Agentur-Deutschlands</v>
      </c>
      <c r="B99" s="11" t="str">
        <f>IFERROR(__xludf.DUMMYFUNCTION("""COMPUTED_VALUE"""),"Jung von Matt ist die kreativste Agentur Deutschlands | W&amp;amp;V")</f>
        <v>Jung von Matt ist die kreativste Agentur Deutschlands | W&amp;amp;V</v>
      </c>
      <c r="C99" s="8" t="str">
        <f>IFERROR(__xludf.DUMMYFUNCTION("""COMPUTED_VALUE"""),"wuv.de")</f>
        <v>wuv.de</v>
      </c>
      <c r="D99" s="11" t="str">
        <f>IFERROR(__xludf.DUMMYFUNCTION("""COMPUTED_VALUE"""),"ARTICLE")</f>
        <v>ARTICLE</v>
      </c>
      <c r="E99" s="11" t="str">
        <f>IFERROR(__xludf.DUMMYFUNCTION("""COMPUTED_VALUE"""),"EDITORIAL")</f>
        <v>EDITORIAL</v>
      </c>
      <c r="F99" s="11" t="str">
        <f>IFERROR(__xludf.DUMMYFUNCTION("""COMPUTED_VALUE"""),"Article")</f>
        <v>Article</v>
      </c>
      <c r="G99" s="11" t="b">
        <f>IFERROR(__xludf.DUMMYFUNCTION("""COMPUTED_VALUE"""),FALSE)</f>
        <v>0</v>
      </c>
      <c r="H99" s="11" t="str">
        <f>IFERROR(__xludf.DUMMYFUNCTION("""COMPUTED_VALUE"""),"Jung von Matt, Ogilvy")</f>
        <v>Jung von Matt, Ogilvy</v>
      </c>
      <c r="I99" s="11">
        <f>IFERROR(__xludf.DUMMYFUNCTION("""COMPUTED_VALUE"""),1.0)</f>
        <v>1</v>
      </c>
      <c r="J99" s="11">
        <f>IFERROR(__xludf.DUMMYFUNCTION("""COMPUTED_VALUE"""),0.0)</f>
        <v>0</v>
      </c>
      <c r="K99" s="11">
        <f>IFERROR(__xludf.DUMMYFUNCTION("""COMPUTED_VALUE"""),1.0)</f>
        <v>1</v>
      </c>
    </row>
    <row r="100" ht="15.75" customHeight="1">
      <c r="A100" s="8" t="str">
        <f>IFERROR(__xludf.DUMMYFUNCTION("""COMPUTED_VALUE"""),"https://www.youtube.com/watch?v=LPvRUxJ5J1E&amp;t=45")</f>
        <v>https://www.youtube.com/watch?v=LPvRUxJ5J1E&amp;t=45</v>
      </c>
      <c r="B100" s="11" t="str">
        <f>IFERROR(__xludf.DUMMYFUNCTION("""COMPUTED_VALUE"""),"Incrementality Testing and Marketing ROI with Aleksandra Semenenko - Data Coffee")</f>
        <v>Incrementality Testing and Marketing ROI with Aleksandra Semenenko - Data Coffee</v>
      </c>
      <c r="C100" s="8" t="str">
        <f>IFERROR(__xludf.DUMMYFUNCTION("""COMPUTED_VALUE"""),"youtube.com")</f>
        <v>youtube.com</v>
      </c>
      <c r="D100" s="11" t="str">
        <f>IFERROR(__xludf.DUMMYFUNCTION("""COMPUTED_VALUE"""),"ARTICLE")</f>
        <v>ARTICLE</v>
      </c>
      <c r="E100" s="11" t="str">
        <f>IFERROR(__xludf.DUMMYFUNCTION("""COMPUTED_VALUE"""),"UGC")</f>
        <v>UGC</v>
      </c>
      <c r="F100" s="11" t="str">
        <f>IFERROR(__xludf.DUMMYFUNCTION("""COMPUTED_VALUE"""),"Article")</f>
        <v>Article</v>
      </c>
      <c r="G100" s="11" t="b">
        <f>IFERROR(__xludf.DUMMYFUNCTION("""COMPUTED_VALUE"""),FALSE)</f>
        <v>0</v>
      </c>
      <c r="H100" s="11" t="str">
        <f>IFERROR(__xludf.DUMMYFUNCTION("""COMPUTED_VALUE"""),"Huge")</f>
        <v>Huge</v>
      </c>
      <c r="I100" s="11">
        <f>IFERROR(__xludf.DUMMYFUNCTION("""COMPUTED_VALUE"""),1.0)</f>
        <v>1</v>
      </c>
      <c r="J100" s="11">
        <f>IFERROR(__xludf.DUMMYFUNCTION("""COMPUTED_VALUE"""),0.0)</f>
        <v>0</v>
      </c>
      <c r="K100" s="11">
        <f>IFERROR(__xludf.DUMMYFUNCTION("""COMPUTED_VALUE"""),1.0)</f>
        <v>1</v>
      </c>
    </row>
    <row r="101" ht="15.75" customHeight="1">
      <c r="A101" s="8" t="str">
        <f>IFERROR(__xludf.DUMMYFUNCTION("""COMPUTED_VALUE"""),"https://www.youtube.com/watch?v=XhMbeN7cH34&amp;vl=de&amp;t=707")</f>
        <v>https://www.youtube.com/watch?v=XhMbeN7cH34&amp;vl=de&amp;t=707</v>
      </c>
      <c r="B101" s="11" t="str">
        <f>IFERROR(__xludf.DUMMYFUNCTION("""COMPUTED_VALUE"""),"Incrementality Testing: How to Actually Measure Marketing Effectiveness (2026)")</f>
        <v>Incrementality Testing: How to Actually Measure Marketing Effectiveness (2026)</v>
      </c>
      <c r="C101" s="8" t="str">
        <f>IFERROR(__xludf.DUMMYFUNCTION("""COMPUTED_VALUE"""),"youtube.com")</f>
        <v>youtube.com</v>
      </c>
      <c r="D101" s="11" t="str">
        <f>IFERROR(__xludf.DUMMYFUNCTION("""COMPUTED_VALUE"""),"ARTICLE")</f>
        <v>ARTICLE</v>
      </c>
      <c r="E101" s="11" t="str">
        <f>IFERROR(__xludf.DUMMYFUNCTION("""COMPUTED_VALUE"""),"UGC")</f>
        <v>UGC</v>
      </c>
      <c r="F101" s="11" t="str">
        <f>IFERROR(__xludf.DUMMYFUNCTION("""COMPUTED_VALUE"""),"Article")</f>
        <v>Article</v>
      </c>
      <c r="G101" s="11" t="b">
        <f>IFERROR(__xludf.DUMMYFUNCTION("""COMPUTED_VALUE"""),FALSE)</f>
        <v>0</v>
      </c>
      <c r="H101" s="11" t="str">
        <f>IFERROR(__xludf.DUMMYFUNCTION("""COMPUTED_VALUE"""),"Recast")</f>
        <v>Recast</v>
      </c>
      <c r="I101" s="11">
        <f>IFERROR(__xludf.DUMMYFUNCTION("""COMPUTED_VALUE"""),1.0)</f>
        <v>1</v>
      </c>
      <c r="J101" s="11">
        <f>IFERROR(__xludf.DUMMYFUNCTION("""COMPUTED_VALUE"""),0.0)</f>
        <v>0</v>
      </c>
      <c r="K101" s="11">
        <f>IFERROR(__xludf.DUMMYFUNCTION("""COMPUTED_VALUE"""),1.0)</f>
        <v>1</v>
      </c>
    </row>
    <row r="102" ht="15.75" customHeight="1">
      <c r="A102" s="8" t="str">
        <f>IFERROR(__xludf.DUMMYFUNCTION("""COMPUTED_VALUE"""),"https://www.youtube.com/watch?v=kfjxG-B28VY&amp;t=53")</f>
        <v>https://www.youtube.com/watch?v=kfjxG-B28VY&amp;t=53</v>
      </c>
      <c r="B102" s="11" t="str">
        <f>IFERROR(__xludf.DUMMYFUNCTION("""COMPUTED_VALUE"""),"Unlock True Marketing ROI: Incrementality Testing Explained (eBay Case Study) | Lifesight")</f>
        <v>Unlock True Marketing ROI: Incrementality Testing Explained (eBay Case Study) | Lifesight</v>
      </c>
      <c r="C102" s="8" t="str">
        <f>IFERROR(__xludf.DUMMYFUNCTION("""COMPUTED_VALUE"""),"youtube.com")</f>
        <v>youtube.com</v>
      </c>
      <c r="D102" s="11" t="str">
        <f>IFERROR(__xludf.DUMMYFUNCTION("""COMPUTED_VALUE"""),"ARTICLE")</f>
        <v>ARTICLE</v>
      </c>
      <c r="E102" s="11" t="str">
        <f>IFERROR(__xludf.DUMMYFUNCTION("""COMPUTED_VALUE"""),"UGC")</f>
        <v>UGC</v>
      </c>
      <c r="F102" s="11" t="str">
        <f>IFERROR(__xludf.DUMMYFUNCTION("""COMPUTED_VALUE"""),"Article")</f>
        <v>Article</v>
      </c>
      <c r="G102" s="11" t="b">
        <f>IFERROR(__xludf.DUMMYFUNCTION("""COMPUTED_VALUE"""),FALSE)</f>
        <v>0</v>
      </c>
      <c r="H102" s="11" t="str">
        <f>IFERROR(__xludf.DUMMYFUNCTION("""COMPUTED_VALUE"""),"LifeSight")</f>
        <v>LifeSight</v>
      </c>
      <c r="I102" s="11">
        <f>IFERROR(__xludf.DUMMYFUNCTION("""COMPUTED_VALUE"""),1.0)</f>
        <v>1</v>
      </c>
      <c r="J102" s="11">
        <f>IFERROR(__xludf.DUMMYFUNCTION("""COMPUTED_VALUE"""),0.0)</f>
        <v>0</v>
      </c>
      <c r="K102" s="11">
        <f>IFERROR(__xludf.DUMMYFUNCTION("""COMPUTED_VALUE"""),1.0)</f>
        <v>1</v>
      </c>
    </row>
    <row r="103" ht="15.75" customHeight="1">
      <c r="A103" s="8" t="str">
        <f>IFERROR(__xludf.DUMMYFUNCTION("""COMPUTED_VALUE"""),"https://zeotap.com/blog/how-zeotap-and-pwc-germany-are-transforming-enterprise-customer-intelligence/")</f>
        <v>https://zeotap.com/blog/how-zeotap-and-pwc-germany-are-transforming-enterprise-customer-intelligence/</v>
      </c>
      <c r="B103" s="11" t="str">
        <f>IFERROR(__xludf.DUMMYFUNCTION("""COMPUTED_VALUE"""),"Transforming Enterprise Customer Intelligence |")</f>
        <v>Transforming Enterprise Customer Intelligence |</v>
      </c>
      <c r="C103" s="8" t="str">
        <f>IFERROR(__xludf.DUMMYFUNCTION("""COMPUTED_VALUE"""),"zeotap.com")</f>
        <v>zeotap.com</v>
      </c>
      <c r="D103" s="11" t="str">
        <f>IFERROR(__xludf.DUMMYFUNCTION("""COMPUTED_VALUE"""),"ARTICLE")</f>
        <v>ARTICLE</v>
      </c>
      <c r="E103" s="11" t="str">
        <f>IFERROR(__xludf.DUMMYFUNCTION("""COMPUTED_VALUE"""),"CORPORATE")</f>
        <v>CORPORATE</v>
      </c>
      <c r="F103" s="11" t="str">
        <f>IFERROR(__xludf.DUMMYFUNCTION("""COMPUTED_VALUE"""),"Article")</f>
        <v>Article</v>
      </c>
      <c r="G103" s="11" t="b">
        <f>IFERROR(__xludf.DUMMYFUNCTION("""COMPUTED_VALUE"""),FALSE)</f>
        <v>0</v>
      </c>
      <c r="H103" s="11" t="str">
        <f>IFERROR(__xludf.DUMMYFUNCTION("""COMPUTED_VALUE"""),"PwC")</f>
        <v>PwC</v>
      </c>
      <c r="I103" s="11">
        <f>IFERROR(__xludf.DUMMYFUNCTION("""COMPUTED_VALUE"""),1.0)</f>
        <v>1</v>
      </c>
      <c r="J103" s="11">
        <f>IFERROR(__xludf.DUMMYFUNCTION("""COMPUTED_VALUE"""),0.0)</f>
        <v>0</v>
      </c>
      <c r="K103" s="11">
        <f>IFERROR(__xludf.DUMMYFUNCTION("""COMPUTED_VALUE"""),0.0)</f>
        <v>0</v>
      </c>
    </row>
    <row r="104" ht="15.75" customHeight="1">
      <c r="A104" s="8" t="str">
        <f>IFERROR(__xludf.DUMMYFUNCTION("""COMPUTED_VALUE"""),"https://zetaglobal.com/resource-center/ai-first-party-data-agency-growth/")</f>
        <v>https://zetaglobal.com/resource-center/ai-first-party-data-agency-growth/</v>
      </c>
      <c r="B104" s="11" t="str">
        <f>IFERROR(__xludf.DUMMYFUNCTION("""COMPUTED_VALUE"""),"AI-Powered First-Party Data for Agency Growth | Zeta")</f>
        <v>AI-Powered First-Party Data for Agency Growth | Zeta</v>
      </c>
      <c r="C104" s="8" t="str">
        <f>IFERROR(__xludf.DUMMYFUNCTION("""COMPUTED_VALUE"""),"zetaglobal.com")</f>
        <v>zetaglobal.com</v>
      </c>
      <c r="D104" s="11" t="str">
        <f>IFERROR(__xludf.DUMMYFUNCTION("""COMPUTED_VALUE"""),"ARTICLE")</f>
        <v>ARTICLE</v>
      </c>
      <c r="E104" s="11" t="str">
        <f>IFERROR(__xludf.DUMMYFUNCTION("""COMPUTED_VALUE"""),"CORPORATE")</f>
        <v>CORPORATE</v>
      </c>
      <c r="F104" s="11" t="str">
        <f>IFERROR(__xludf.DUMMYFUNCTION("""COMPUTED_VALUE"""),"Article")</f>
        <v>Article</v>
      </c>
      <c r="G104" s="11" t="b">
        <f>IFERROR(__xludf.DUMMYFUNCTION("""COMPUTED_VALUE"""),FALSE)</f>
        <v>0</v>
      </c>
      <c r="H104" s="11" t="str">
        <f>IFERROR(__xludf.DUMMYFUNCTION("""COMPUTED_VALUE"""),"Measured")</f>
        <v>Measured</v>
      </c>
      <c r="I104" s="11">
        <f>IFERROR(__xludf.DUMMYFUNCTION("""COMPUTED_VALUE"""),1.0)</f>
        <v>1</v>
      </c>
      <c r="J104" s="11">
        <f>IFERROR(__xludf.DUMMYFUNCTION("""COMPUTED_VALUE"""),0.0)</f>
        <v>0</v>
      </c>
      <c r="K104" s="11">
        <f>IFERROR(__xludf.DUMMYFUNCTION("""COMPUTED_VALUE"""),3.0)</f>
        <v>3</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ref="A92"/>
    <hyperlink r:id="rId178" ref="C92"/>
    <hyperlink r:id="rId179" ref="A93"/>
    <hyperlink r:id="rId180" ref="C93"/>
    <hyperlink r:id="rId181" ref="A94"/>
    <hyperlink r:id="rId182" ref="C94"/>
    <hyperlink r:id="rId183" ref="A95"/>
    <hyperlink r:id="rId184" ref="C95"/>
    <hyperlink r:id="rId185" ref="A96"/>
    <hyperlink r:id="rId186" ref="C96"/>
    <hyperlink r:id="rId187" ref="A97"/>
    <hyperlink r:id="rId188" ref="C97"/>
    <hyperlink r:id="rId189" ref="A98"/>
    <hyperlink r:id="rId190" ref="C98"/>
    <hyperlink r:id="rId191" ref="A99"/>
    <hyperlink r:id="rId192" ref="C99"/>
    <hyperlink r:id="rId193" ref="A100"/>
    <hyperlink r:id="rId194" ref="C100"/>
    <hyperlink r:id="rId195" ref="A101"/>
    <hyperlink r:id="rId196" ref="C101"/>
    <hyperlink r:id="rId197" ref="A102"/>
    <hyperlink r:id="rId198" ref="C102"/>
    <hyperlink r:id="rId199" ref="A103"/>
    <hyperlink r:id="rId200" ref="C103"/>
    <hyperlink r:id="rId201" ref="A104"/>
    <hyperlink r:id="rId202" ref="C104"/>
  </hyperlinks>
  <drawing r:id="rId20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All'!D2:D1000)))=""category_page""
  ),
  """"
)"),"https://clutch.co/de/agencies/digital-marketing")</f>
        <v>https://clutch.co/de/agencies/digital-marketing</v>
      </c>
      <c r="B2" s="11" t="str">
        <f>IFERROR(__xludf.DUMMYFUNCTION("""COMPUTED_VALUE"""),"Top Digital Marketing Agencies in Germany - Jul 2026 Rankings | Clutch.co")</f>
        <v>Top Digital Marketing Agencies in Germany - Jul 2026 Rankings | Clutch.co</v>
      </c>
      <c r="C2" s="8" t="str">
        <f>IFERROR(__xludf.DUMMYFUNCTION("""COMPUTED_VALUE"""),"clutch.co")</f>
        <v>clutch.co</v>
      </c>
      <c r="D2" s="11" t="str">
        <f>IFERROR(__xludf.DUMMYFUNCTION("""COMPUTED_VALUE"""),"CATEGORY_PAGE")</f>
        <v>CATEGORY_PAGE</v>
      </c>
      <c r="E2" s="11" t="str">
        <f>IFERROR(__xludf.DUMMYFUNCTION("""COMPUTED_VALUE"""),"CORPORATE")</f>
        <v>CORPORATE</v>
      </c>
      <c r="F2" s="11" t="str">
        <f>IFERROR(__xludf.DUMMYFUNCTION("""COMPUTED_VALUE"""),"Category Page")</f>
        <v>Category Page</v>
      </c>
      <c r="G2" s="11" t="b">
        <f>IFERROR(__xludf.DUMMYFUNCTION("""COMPUTED_VALUE"""),FALSE)</f>
        <v>0</v>
      </c>
      <c r="H2" s="11" t="str">
        <f>IFERROR(__xludf.DUMMYFUNCTION("""COMPUTED_VALUE"""),"MONSOON, Mediacharge, REPLUG, Claneo, Huge, Phiture, PANORAMA3000, Seeders, Admiral Media, HECHT INS GEFECHT")</f>
        <v>MONSOON, Mediacharge, REPLUG, Claneo, Huge, Phiture, PANORAMA3000, Seeders, Admiral Media, HECHT INS GEFECHT</v>
      </c>
      <c r="I2" s="11">
        <f>IFERROR(__xludf.DUMMYFUNCTION("""COMPUTED_VALUE"""),111.0)</f>
        <v>111</v>
      </c>
      <c r="J2" s="11">
        <f>IFERROR(__xludf.DUMMYFUNCTION("""COMPUTED_VALUE"""),0.12)</f>
        <v>0.12</v>
      </c>
      <c r="K2" s="11">
        <f>IFERROR(__xludf.DUMMYFUNCTION("""COMPUTED_VALUE"""),0.92)</f>
        <v>0.92</v>
      </c>
    </row>
    <row r="3" ht="15.75" customHeight="1">
      <c r="A3" s="8" t="str">
        <f>IFERROR(__xludf.DUMMYFUNCTION("""COMPUTED_VALUE"""),"https://clutch.co/de/agencies")</f>
        <v>https://clutch.co/de/agencies</v>
      </c>
      <c r="B3" s="11" t="str">
        <f>IFERROR(__xludf.DUMMYFUNCTION("""COMPUTED_VALUE"""),"Top Advertising Agencies in Germany - Jul 2026 Rankings \| Clutch.co")</f>
        <v>Top Advertising Agencies in Germany - Jul 2026 Rankings \| Clutch.co</v>
      </c>
      <c r="C3" s="8" t="str">
        <f>IFERROR(__xludf.DUMMYFUNCTION("""COMPUTED_VALUE"""),"clutch.co")</f>
        <v>clutch.co</v>
      </c>
      <c r="D3" s="11" t="str">
        <f>IFERROR(__xludf.DUMMYFUNCTION("""COMPUTED_VALUE"""),"CATEGORY_PAGE")</f>
        <v>CATEGORY_PAGE</v>
      </c>
      <c r="E3" s="11" t="str">
        <f>IFERROR(__xludf.DUMMYFUNCTION("""COMPUTED_VALUE"""),"CORPORATE")</f>
        <v>CORPORATE</v>
      </c>
      <c r="F3" s="11" t="str">
        <f>IFERROR(__xludf.DUMMYFUNCTION("""COMPUTED_VALUE"""),"Category Page")</f>
        <v>Category Page</v>
      </c>
      <c r="G3" s="11" t="b">
        <f>IFERROR(__xludf.DUMMYFUNCTION("""COMPUTED_VALUE"""),FALSE)</f>
        <v>0</v>
      </c>
      <c r="H3" s="11" t="str">
        <f>IFERROR(__xludf.DUMMYFUNCTION("""COMPUTED_VALUE"""),"MONSOON, Phiture, PANORAMA3000, Seeders, Mediacharge, Digitalyze, morefire, Scholz &amp; Friends, Haus")</f>
        <v>MONSOON, Phiture, PANORAMA3000, Seeders, Mediacharge, Digitalyze, morefire, Scholz &amp; Friends, Haus</v>
      </c>
      <c r="I3" s="11">
        <f>IFERROR(__xludf.DUMMYFUNCTION("""COMPUTED_VALUE"""),87.0)</f>
        <v>87</v>
      </c>
      <c r="J3" s="11">
        <f>IFERROR(__xludf.DUMMYFUNCTION("""COMPUTED_VALUE"""),0.09)</f>
        <v>0.09</v>
      </c>
      <c r="K3" s="11">
        <f>IFERROR(__xludf.DUMMYFUNCTION("""COMPUTED_VALUE"""),1.1)</f>
        <v>1.1</v>
      </c>
    </row>
    <row r="4" ht="15.75" customHeight="1">
      <c r="A4" s="8" t="str">
        <f>IFERROR(__xludf.DUMMYFUNCTION("""COMPUTED_VALUE"""),"https://www.sortlist.com/s/marketing/germany-de")</f>
        <v>https://www.sortlist.com/s/marketing/germany-de</v>
      </c>
      <c r="B4" s="11" t="str">
        <f>IFERROR(__xludf.DUMMYFUNCTION("""COMPUTED_VALUE"""),"The 10 Best Marketing Agencies in Germany - 2026 Reviews")</f>
        <v>The 10 Best Marketing Agencies in Germany - 2026 Reviews</v>
      </c>
      <c r="C4" s="8" t="str">
        <f>IFERROR(__xludf.DUMMYFUNCTION("""COMPUTED_VALUE"""),"sortlist.com")</f>
        <v>sortlist.com</v>
      </c>
      <c r="D4" s="11" t="str">
        <f>IFERROR(__xludf.DUMMYFUNCTION("""COMPUTED_VALUE"""),"CATEGORY_PAGE")</f>
        <v>CATEGORY_PAGE</v>
      </c>
      <c r="E4" s="11" t="str">
        <f>IFERROR(__xludf.DUMMYFUNCTION("""COMPUTED_VALUE"""),"CORPORATE")</f>
        <v>CORPORATE</v>
      </c>
      <c r="F4" s="11" t="str">
        <f>IFERROR(__xludf.DUMMYFUNCTION("""COMPUTED_VALUE"""),"Category Page")</f>
        <v>Category Page</v>
      </c>
      <c r="G4" s="11" t="b">
        <f>IFERROR(__xludf.DUMMYFUNCTION("""COMPUTED_VALUE"""),FALSE)</f>
        <v>0</v>
      </c>
      <c r="H4" s="11" t="str">
        <f>IFERROR(__xludf.DUMMYFUNCTION("""COMPUTED_VALUE"""),"MONSOON, lehof")</f>
        <v>MONSOON, lehof</v>
      </c>
      <c r="I4" s="11">
        <f>IFERROR(__xludf.DUMMYFUNCTION("""COMPUTED_VALUE"""),75.0)</f>
        <v>75</v>
      </c>
      <c r="J4" s="11">
        <f>IFERROR(__xludf.DUMMYFUNCTION("""COMPUTED_VALUE"""),0.08)</f>
        <v>0.08</v>
      </c>
      <c r="K4" s="11">
        <f>IFERROR(__xludf.DUMMYFUNCTION("""COMPUTED_VALUE"""),0.96)</f>
        <v>0.96</v>
      </c>
    </row>
    <row r="5" ht="15.75" customHeight="1">
      <c r="A5" s="8" t="str">
        <f>IFERROR(__xludf.DUMMYFUNCTION("""COMPUTED_VALUE"""),"https://www.designrush.com/agency/digital-marketing/de")</f>
        <v>https://www.designrush.com/agency/digital-marketing/de</v>
      </c>
      <c r="B5" s="11" t="str">
        <f>IFERROR(__xludf.DUMMYFUNCTION("""COMPUTED_VALUE"""),"Top Digital Marketing Agencies in Germany | 2026")</f>
        <v>Top Digital Marketing Agencies in Germany | 2026</v>
      </c>
      <c r="C5" s="8" t="str">
        <f>IFERROR(__xludf.DUMMYFUNCTION("""COMPUTED_VALUE"""),"designrush.com")</f>
        <v>designrush.com</v>
      </c>
      <c r="D5" s="11" t="str">
        <f>IFERROR(__xludf.DUMMYFUNCTION("""COMPUTED_VALUE"""),"CATEGORY_PAGE")</f>
        <v>CATEGORY_PAGE</v>
      </c>
      <c r="E5" s="11" t="str">
        <f>IFERROR(__xludf.DUMMYFUNCTION("""COMPUTED_VALUE"""),"CORPORATE")</f>
        <v>CORPORATE</v>
      </c>
      <c r="F5" s="11" t="str">
        <f>IFERROR(__xludf.DUMMYFUNCTION("""COMPUTED_VALUE"""),"Category Page")</f>
        <v>Category Page</v>
      </c>
      <c r="G5" s="11" t="b">
        <f>IFERROR(__xludf.DUMMYFUNCTION("""COMPUTED_VALUE"""),FALSE)</f>
        <v>0</v>
      </c>
      <c r="H5" s="11" t="str">
        <f>IFERROR(__xludf.DUMMYFUNCTION("""COMPUTED_VALUE"""),"MONSOON, REPLUG, Admiral Media, Phiture")</f>
        <v>MONSOON, REPLUG, Admiral Media, Phiture</v>
      </c>
      <c r="I5" s="11">
        <f>IFERROR(__xludf.DUMMYFUNCTION("""COMPUTED_VALUE"""),66.0)</f>
        <v>66</v>
      </c>
      <c r="J5" s="11">
        <f>IFERROR(__xludf.DUMMYFUNCTION("""COMPUTED_VALUE"""),0.07)</f>
        <v>0.07</v>
      </c>
      <c r="K5" s="11">
        <f>IFERROR(__xludf.DUMMYFUNCTION("""COMPUTED_VALUE"""),0.68)</f>
        <v>0.68</v>
      </c>
    </row>
    <row r="6" ht="15.75" customHeight="1">
      <c r="A6" s="8" t="str">
        <f>IFERROR(__xludf.DUMMYFUNCTION("""COMPUTED_VALUE"""),"https://www.sortlist.com/s/artificial-intelligence/germany-de#:~:text=Adastra%20achieved%20Elite%20Partner%20Status,Worked%20in%20Retail%20(%2B10)")</f>
        <v>https://www.sortlist.com/s/artificial-intelligence/germany-de#:~:text=Adastra%20achieved%20Elite%20Partner%20Status,Worked%20in%20Retail%20(%2B10)</v>
      </c>
      <c r="B6" s="11" t="str">
        <f>IFERROR(__xludf.DUMMYFUNCTION("""COMPUTED_VALUE"""),"The 10 Best Artificial Intelligence Agencies in Germany - 2026 Reviews")</f>
        <v>The 10 Best Artificial Intelligence Agencies in Germany - 2026 Reviews</v>
      </c>
      <c r="C6" s="8" t="str">
        <f>IFERROR(__xludf.DUMMYFUNCTION("""COMPUTED_VALUE"""),"sortlist.com")</f>
        <v>sortlist.com</v>
      </c>
      <c r="D6" s="11" t="str">
        <f>IFERROR(__xludf.DUMMYFUNCTION("""COMPUTED_VALUE"""),"CATEGORY_PAGE")</f>
        <v>CATEGORY_PAGE</v>
      </c>
      <c r="E6" s="11" t="str">
        <f>IFERROR(__xludf.DUMMYFUNCTION("""COMPUTED_VALUE"""),"CORPORATE")</f>
        <v>CORPORATE</v>
      </c>
      <c r="F6" s="11" t="str">
        <f>IFERROR(__xludf.DUMMYFUNCTION("""COMPUTED_VALUE"""),"Category Page")</f>
        <v>Category Page</v>
      </c>
      <c r="G6" s="11" t="b">
        <f>IFERROR(__xludf.DUMMYFUNCTION("""COMPUTED_VALUE"""),FALSE)</f>
        <v>0</v>
      </c>
      <c r="H6" s="11" t="str">
        <f>IFERROR(__xludf.DUMMYFUNCTION("""COMPUTED_VALUE"""),"Momentum")</f>
        <v>Momentum</v>
      </c>
      <c r="I6" s="11">
        <f>IFERROR(__xludf.DUMMYFUNCTION("""COMPUTED_VALUE"""),50.0)</f>
        <v>50</v>
      </c>
      <c r="J6" s="11">
        <f>IFERROR(__xludf.DUMMYFUNCTION("""COMPUTED_VALUE"""),0.05)</f>
        <v>0.05</v>
      </c>
      <c r="K6" s="11">
        <f>IFERROR(__xludf.DUMMYFUNCTION("""COMPUTED_VALUE"""),0.62)</f>
        <v>0.62</v>
      </c>
    </row>
    <row r="7" ht="15.75" customHeight="1">
      <c r="A7" s="8" t="str">
        <f>IFERROR(__xludf.DUMMYFUNCTION("""COMPUTED_VALUE"""),"https://agencies.semrush.com/list/ai-optimization/germany/")</f>
        <v>https://agencies.semrush.com/list/ai-optimization/germany/</v>
      </c>
      <c r="B7" s="11" t="str">
        <f>IFERROR(__xludf.DUMMYFUNCTION("""COMPUTED_VALUE"""),"Best AI Search Optimization Agencies in Germany 2026 | Semrush")</f>
        <v>Best AI Search Optimization Agencies in Germany 2026 | Semrush</v>
      </c>
      <c r="C7" s="8" t="str">
        <f>IFERROR(__xludf.DUMMYFUNCTION("""COMPUTED_VALUE"""),"semrush.com")</f>
        <v>semrush.com</v>
      </c>
      <c r="D7" s="11" t="str">
        <f>IFERROR(__xludf.DUMMYFUNCTION("""COMPUTED_VALUE"""),"CATEGORY_PAGE")</f>
        <v>CATEGORY_PAGE</v>
      </c>
      <c r="E7" s="11" t="str">
        <f>IFERROR(__xludf.DUMMYFUNCTION("""COMPUTED_VALUE"""),"CORPORATE")</f>
        <v>CORPORATE</v>
      </c>
      <c r="F7" s="11" t="str">
        <f>IFERROR(__xludf.DUMMYFUNCTION("""COMPUTED_VALUE"""),"Category Page")</f>
        <v>Category Page</v>
      </c>
      <c r="G7" s="11" t="b">
        <f>IFERROR(__xludf.DUMMYFUNCTION("""COMPUTED_VALUE"""),FALSE)</f>
        <v>0</v>
      </c>
      <c r="H7" s="11" t="str">
        <f>IFERROR(__xludf.DUMMYFUNCTION("""COMPUTED_VALUE"""),"HECHT INS GEFECHT, morefire, Mediaplus Performance")</f>
        <v>HECHT INS GEFECHT, morefire, Mediaplus Performance</v>
      </c>
      <c r="I7" s="11">
        <f>IFERROR(__xludf.DUMMYFUNCTION("""COMPUTED_VALUE"""),48.0)</f>
        <v>48</v>
      </c>
      <c r="J7" s="11">
        <f>IFERROR(__xludf.DUMMYFUNCTION("""COMPUTED_VALUE"""),0.05)</f>
        <v>0.05</v>
      </c>
      <c r="K7" s="11">
        <f>IFERROR(__xludf.DUMMYFUNCTION("""COMPUTED_VALUE"""),0.98)</f>
        <v>0.98</v>
      </c>
    </row>
    <row r="8" ht="15.75" customHeight="1">
      <c r="A8" s="8" t="str">
        <f>IFERROR(__xludf.DUMMYFUNCTION("""COMPUTED_VALUE"""),"https://www.sortlist.com/s/display-advertising/germany-de")</f>
        <v>https://www.sortlist.com/s/display-advertising/germany-de</v>
      </c>
      <c r="B8" s="11" t="str">
        <f>IFERROR(__xludf.DUMMYFUNCTION("""COMPUTED_VALUE"""),"The 10 Best Display Advertising Agencies in Germany - 2026 Reviews")</f>
        <v>The 10 Best Display Advertising Agencies in Germany - 2026 Reviews</v>
      </c>
      <c r="C8" s="8" t="str">
        <f>IFERROR(__xludf.DUMMYFUNCTION("""COMPUTED_VALUE"""),"sortlist.com")</f>
        <v>sortlist.com</v>
      </c>
      <c r="D8" s="11" t="str">
        <f>IFERROR(__xludf.DUMMYFUNCTION("""COMPUTED_VALUE"""),"CATEGORY_PAGE")</f>
        <v>CATEGORY_PAGE</v>
      </c>
      <c r="E8" s="11" t="str">
        <f>IFERROR(__xludf.DUMMYFUNCTION("""COMPUTED_VALUE"""),"CORPORATE")</f>
        <v>CORPORATE</v>
      </c>
      <c r="F8" s="11" t="str">
        <f>IFERROR(__xludf.DUMMYFUNCTION("""COMPUTED_VALUE"""),"Category Page")</f>
        <v>Category Page</v>
      </c>
      <c r="G8" s="11" t="b">
        <f>IFERROR(__xludf.DUMMYFUNCTION("""COMPUTED_VALUE"""),FALSE)</f>
        <v>0</v>
      </c>
      <c r="H8" s="11" t="str">
        <f>IFERROR(__xludf.DUMMYFUNCTION("""COMPUTED_VALUE"""),"MONSOON, Triple Whale, Northbeam, Dreamdata, Mediacharge, PANORAMA3000")</f>
        <v>MONSOON, Triple Whale, Northbeam, Dreamdata, Mediacharge, PANORAMA3000</v>
      </c>
      <c r="I8" s="11">
        <f>IFERROR(__xludf.DUMMYFUNCTION("""COMPUTED_VALUE"""),47.0)</f>
        <v>47</v>
      </c>
      <c r="J8" s="11">
        <f>IFERROR(__xludf.DUMMYFUNCTION("""COMPUTED_VALUE"""),0.05)</f>
        <v>0.05</v>
      </c>
      <c r="K8" s="11">
        <f>IFERROR(__xludf.DUMMYFUNCTION("""COMPUTED_VALUE"""),1.49)</f>
        <v>1.49</v>
      </c>
    </row>
    <row r="9" ht="15.75" customHeight="1">
      <c r="A9" s="8" t="str">
        <f>IFERROR(__xludf.DUMMYFUNCTION("""COMPUTED_VALUE"""),"https://www.goodfirms.co/directory/country/top-digital-marketing-companies/de")</f>
        <v>https://www.goodfirms.co/directory/country/top-digital-marketing-companies/de</v>
      </c>
      <c r="B9" s="11" t="str">
        <f>IFERROR(__xludf.DUMMYFUNCTION("""COMPUTED_VALUE"""),"Top 10+ Digital Marketing Agencies in Germany - 2026 Reviews | Goodfirms")</f>
        <v>Top 10+ Digital Marketing Agencies in Germany - 2026 Reviews | Goodfirms</v>
      </c>
      <c r="C9" s="8" t="str">
        <f>IFERROR(__xludf.DUMMYFUNCTION("""COMPUTED_VALUE"""),"goodfirms.co")</f>
        <v>goodfirms.co</v>
      </c>
      <c r="D9" s="11" t="str">
        <f>IFERROR(__xludf.DUMMYFUNCTION("""COMPUTED_VALUE"""),"CATEGORY_PAGE")</f>
        <v>CATEGORY_PAGE</v>
      </c>
      <c r="E9" s="11" t="str">
        <f>IFERROR(__xludf.DUMMYFUNCTION("""COMPUTED_VALUE"""),"UGC")</f>
        <v>UGC</v>
      </c>
      <c r="F9" s="11" t="str">
        <f>IFERROR(__xludf.DUMMYFUNCTION("""COMPUTED_VALUE"""),"Category Page")</f>
        <v>Category Page</v>
      </c>
      <c r="G9" s="11" t="b">
        <f>IFERROR(__xludf.DUMMYFUNCTION("""COMPUTED_VALUE"""),FALSE)</f>
        <v>0</v>
      </c>
      <c r="H9" s="11" t="str">
        <f>IFERROR(__xludf.DUMMYFUNCTION("""COMPUTED_VALUE"""),"WebFX, Mediacharge, HECHT INS GEFECHT, Momentum")</f>
        <v>WebFX, Mediacharge, HECHT INS GEFECHT, Momentum</v>
      </c>
      <c r="I9" s="11">
        <f>IFERROR(__xludf.DUMMYFUNCTION("""COMPUTED_VALUE"""),43.0)</f>
        <v>43</v>
      </c>
      <c r="J9" s="11">
        <f>IFERROR(__xludf.DUMMYFUNCTION("""COMPUTED_VALUE"""),0.04)</f>
        <v>0.04</v>
      </c>
      <c r="K9" s="11">
        <f>IFERROR(__xludf.DUMMYFUNCTION("""COMPUTED_VALUE"""),0.09)</f>
        <v>0.09</v>
      </c>
    </row>
    <row r="10" ht="15.75" customHeight="1">
      <c r="A10" s="8" t="str">
        <f>IFERROR(__xludf.DUMMYFUNCTION("""COMPUTED_VALUE"""),"https://techbehemoths.com/companies/marketing-analytics/germany")</f>
        <v>https://techbehemoths.com/companies/marketing-analytics/germany</v>
      </c>
      <c r="B10" s="11" t="str">
        <f>IFERROR(__xludf.DUMMYFUNCTION("""COMPUTED_VALUE"""),"Top 20+ Marketing analytics Companies in Germany (2026) - TechBehemoths")</f>
        <v>Top 20+ Marketing analytics Companies in Germany (2026) - TechBehemoths</v>
      </c>
      <c r="C10" s="8" t="str">
        <f>IFERROR(__xludf.DUMMYFUNCTION("""COMPUTED_VALUE"""),"techbehemoths.com")</f>
        <v>techbehemoths.com</v>
      </c>
      <c r="D10" s="11" t="str">
        <f>IFERROR(__xludf.DUMMYFUNCTION("""COMPUTED_VALUE"""),"CATEGORY_PAGE")</f>
        <v>CATEGORY_PAGE</v>
      </c>
      <c r="E10" s="11" t="str">
        <f>IFERROR(__xludf.DUMMYFUNCTION("""COMPUTED_VALUE"""),"REFERENCE")</f>
        <v>REFERENCE</v>
      </c>
      <c r="F10" s="11" t="str">
        <f>IFERROR(__xludf.DUMMYFUNCTION("""COMPUTED_VALUE"""),"Category Page")</f>
        <v>Category Page</v>
      </c>
      <c r="G10" s="11" t="b">
        <f>IFERROR(__xludf.DUMMYFUNCTION("""COMPUTED_VALUE"""),FALSE)</f>
        <v>0</v>
      </c>
      <c r="H10" s="11" t="str">
        <f>IFERROR(__xludf.DUMMYFUNCTION("""COMPUTED_VALUE"""),"KlickPiloten, Huge")</f>
        <v>KlickPiloten, Huge</v>
      </c>
      <c r="I10" s="11">
        <f>IFERROR(__xludf.DUMMYFUNCTION("""COMPUTED_VALUE"""),39.0)</f>
        <v>39</v>
      </c>
      <c r="J10" s="11">
        <f>IFERROR(__xludf.DUMMYFUNCTION("""COMPUTED_VALUE"""),0.04)</f>
        <v>0.04</v>
      </c>
      <c r="K10" s="11">
        <f>IFERROR(__xludf.DUMMYFUNCTION("""COMPUTED_VALUE"""),1.33)</f>
        <v>1.33</v>
      </c>
    </row>
    <row r="11" ht="15.75" customHeight="1">
      <c r="A11" s="8" t="str">
        <f>IFERROR(__xludf.DUMMYFUNCTION("""COMPUTED_VALUE"""),"https://www.sortlist.com/i/digital-marketing/germany-de")</f>
        <v>https://www.sortlist.com/i/digital-marketing/germany-de</v>
      </c>
      <c r="B11" s="11" t="str">
        <f>IFERROR(__xludf.DUMMYFUNCTION("""COMPUTED_VALUE"""),"The 10 Best Digital Marketing Agencies in Germany - 2026 Reviews")</f>
        <v>The 10 Best Digital Marketing Agencies in Germany - 2026 Reviews</v>
      </c>
      <c r="C11" s="8" t="str">
        <f>IFERROR(__xludf.DUMMYFUNCTION("""COMPUTED_VALUE"""),"sortlist.com")</f>
        <v>sortlist.com</v>
      </c>
      <c r="D11" s="11" t="str">
        <f>IFERROR(__xludf.DUMMYFUNCTION("""COMPUTED_VALUE"""),"CATEGORY_PAGE")</f>
        <v>CATEGORY_PAGE</v>
      </c>
      <c r="E11" s="11" t="str">
        <f>IFERROR(__xludf.DUMMYFUNCTION("""COMPUTED_VALUE"""),"CORPORATE")</f>
        <v>CORPORATE</v>
      </c>
      <c r="F11" s="11" t="str">
        <f>IFERROR(__xludf.DUMMYFUNCTION("""COMPUTED_VALUE"""),"Category Page")</f>
        <v>Category Page</v>
      </c>
      <c r="G11" s="11" t="b">
        <f>IFERROR(__xludf.DUMMYFUNCTION("""COMPUTED_VALUE"""),FALSE)</f>
        <v>0</v>
      </c>
      <c r="H11" s="11" t="str">
        <f>IFERROR(__xludf.DUMMYFUNCTION("""COMPUTED_VALUE"""),"PANORAMA3000, MONSOON")</f>
        <v>PANORAMA3000, MONSOON</v>
      </c>
      <c r="I11" s="11">
        <f>IFERROR(__xludf.DUMMYFUNCTION("""COMPUTED_VALUE"""),37.0)</f>
        <v>37</v>
      </c>
      <c r="J11" s="11">
        <f>IFERROR(__xludf.DUMMYFUNCTION("""COMPUTED_VALUE"""),0.04)</f>
        <v>0.04</v>
      </c>
      <c r="K11" s="11">
        <f>IFERROR(__xludf.DUMMYFUNCTION("""COMPUTED_VALUE"""),0.57)</f>
        <v>0.57</v>
      </c>
    </row>
    <row r="12" ht="15.75" customHeight="1">
      <c r="A12" s="8" t="str">
        <f>IFERROR(__xludf.DUMMYFUNCTION("""COMPUTED_VALUE"""),"https://www.ziya.de/en/locations/deutschland")</f>
        <v>https://www.ziya.de/en/locations/deutschland</v>
      </c>
      <c r="B12" s="11" t="str">
        <f>IFERROR(__xludf.DUMMYFUNCTION("""COMPUTED_VALUE"""),"AI Agency for Germany – Innovation Despite Bureaucracy")</f>
        <v>AI Agency for Germany – Innovation Despite Bureaucracy</v>
      </c>
      <c r="C12" s="8" t="str">
        <f>IFERROR(__xludf.DUMMYFUNCTION("""COMPUTED_VALUE"""),"ziya.de")</f>
        <v>ziya.de</v>
      </c>
      <c r="D12" s="11" t="str">
        <f>IFERROR(__xludf.DUMMYFUNCTION("""COMPUTED_VALUE"""),"CATEGORY_PAGE")</f>
        <v>CATEGORY_PAGE</v>
      </c>
      <c r="E12" s="11" t="str">
        <f>IFERROR(__xludf.DUMMYFUNCTION("""COMPUTED_VALUE"""),"OTHER")</f>
        <v>OTHER</v>
      </c>
      <c r="F12" s="11" t="str">
        <f>IFERROR(__xludf.DUMMYFUNCTION("""COMPUTED_VALUE"""),"Category Page")</f>
        <v>Category Page</v>
      </c>
      <c r="G12" s="11" t="b">
        <f>IFERROR(__xludf.DUMMYFUNCTION("""COMPUTED_VALUE"""),FALSE)</f>
        <v>0</v>
      </c>
      <c r="H12" s="11" t="str">
        <f>IFERROR(__xludf.DUMMYFUNCTION("""COMPUTED_VALUE"""),"Measured")</f>
        <v>Measured</v>
      </c>
      <c r="I12" s="11">
        <f>IFERROR(__xludf.DUMMYFUNCTION("""COMPUTED_VALUE"""),37.0)</f>
        <v>37</v>
      </c>
      <c r="J12" s="11">
        <f>IFERROR(__xludf.DUMMYFUNCTION("""COMPUTED_VALUE"""),0.04)</f>
        <v>0.04</v>
      </c>
      <c r="K12" s="11">
        <f>IFERROR(__xludf.DUMMYFUNCTION("""COMPUTED_VALUE"""),0.51)</f>
        <v>0.51</v>
      </c>
    </row>
    <row r="13" ht="15.75" customHeight="1">
      <c r="A13" s="8" t="str">
        <f>IFERROR(__xludf.DUMMYFUNCTION("""COMPUTED_VALUE"""),"https://www.sortlist.com/s/marketing-analytics/germany-de")</f>
        <v>https://www.sortlist.com/s/marketing-analytics/germany-de</v>
      </c>
      <c r="B13" s="11" t="str">
        <f>IFERROR(__xludf.DUMMYFUNCTION("""COMPUTED_VALUE"""),"The 10 Best Marketing Analytics Companies in Germany - 2026 Reviews")</f>
        <v>The 10 Best Marketing Analytics Companies in Germany - 2026 Reviews</v>
      </c>
      <c r="C13" s="8" t="str">
        <f>IFERROR(__xludf.DUMMYFUNCTION("""COMPUTED_VALUE"""),"sortlist.com")</f>
        <v>sortlist.com</v>
      </c>
      <c r="D13" s="11" t="str">
        <f>IFERROR(__xludf.DUMMYFUNCTION("""COMPUTED_VALUE"""),"CATEGORY_PAGE")</f>
        <v>CATEGORY_PAGE</v>
      </c>
      <c r="E13" s="11" t="str">
        <f>IFERROR(__xludf.DUMMYFUNCTION("""COMPUTED_VALUE"""),"CORPORATE")</f>
        <v>CORPORATE</v>
      </c>
      <c r="F13" s="11" t="str">
        <f>IFERROR(__xludf.DUMMYFUNCTION("""COMPUTED_VALUE"""),"Category Page")</f>
        <v>Category Page</v>
      </c>
      <c r="G13" s="11" t="b">
        <f>IFERROR(__xludf.DUMMYFUNCTION("""COMPUTED_VALUE"""),FALSE)</f>
        <v>0</v>
      </c>
      <c r="H13" s="11" t="str">
        <f>IFERROR(__xludf.DUMMYFUNCTION("""COMPUTED_VALUE"""),"lehof, MONSOON, Measured")</f>
        <v>lehof, MONSOON, Measured</v>
      </c>
      <c r="I13" s="11">
        <f>IFERROR(__xludf.DUMMYFUNCTION("""COMPUTED_VALUE"""),36.0)</f>
        <v>36</v>
      </c>
      <c r="J13" s="11">
        <f>IFERROR(__xludf.DUMMYFUNCTION("""COMPUTED_VALUE"""),0.04)</f>
        <v>0.04</v>
      </c>
      <c r="K13" s="11">
        <f>IFERROR(__xludf.DUMMYFUNCTION("""COMPUTED_VALUE"""),1.14)</f>
        <v>1.14</v>
      </c>
    </row>
    <row r="14" ht="15.75" customHeight="1">
      <c r="A14" s="8" t="str">
        <f>IFERROR(__xludf.DUMMYFUNCTION("""COMPUTED_VALUE"""),"https://clutch.co/de/agencies/social-media-marketing")</f>
        <v>https://clutch.co/de/agencies/social-media-marketing</v>
      </c>
      <c r="B14" s="11" t="str">
        <f>IFERROR(__xludf.DUMMYFUNCTION("""COMPUTED_VALUE"""),"Top Social Media Marketing Companies in Germany - Jul 2026 Rankings \| Clutch.co")</f>
        <v>Top Social Media Marketing Companies in Germany - Jul 2026 Rankings \| Clutch.co</v>
      </c>
      <c r="C14" s="8" t="str">
        <f>IFERROR(__xludf.DUMMYFUNCTION("""COMPUTED_VALUE"""),"clutch.co")</f>
        <v>clutch.co</v>
      </c>
      <c r="D14" s="11" t="str">
        <f>IFERROR(__xludf.DUMMYFUNCTION("""COMPUTED_VALUE"""),"CATEGORY_PAGE")</f>
        <v>CATEGORY_PAGE</v>
      </c>
      <c r="E14" s="11" t="str">
        <f>IFERROR(__xludf.DUMMYFUNCTION("""COMPUTED_VALUE"""),"CORPORATE")</f>
        <v>CORPORATE</v>
      </c>
      <c r="F14" s="11" t="str">
        <f>IFERROR(__xludf.DUMMYFUNCTION("""COMPUTED_VALUE"""),"Category Page")</f>
        <v>Category Page</v>
      </c>
      <c r="G14" s="11" t="b">
        <f>IFERROR(__xludf.DUMMYFUNCTION("""COMPUTED_VALUE"""),FALSE)</f>
        <v>0</v>
      </c>
      <c r="H14" s="11" t="str">
        <f>IFERROR(__xludf.DUMMYFUNCTION("""COMPUTED_VALUE"""),"MONSOON, Mediacharge, PwC, PANORAMA3000, HY.AM STUDIOS, Digitalyze, KlickPiloten, Pulse Advertising, DREIKON")</f>
        <v>MONSOON, Mediacharge, PwC, PANORAMA3000, HY.AM STUDIOS, Digitalyze, KlickPiloten, Pulse Advertising, DREIKON</v>
      </c>
      <c r="I14" s="11">
        <f>IFERROR(__xludf.DUMMYFUNCTION("""COMPUTED_VALUE"""),34.0)</f>
        <v>34</v>
      </c>
      <c r="J14" s="11">
        <f>IFERROR(__xludf.DUMMYFUNCTION("""COMPUTED_VALUE"""),0.04)</f>
        <v>0.04</v>
      </c>
      <c r="K14" s="11">
        <f>IFERROR(__xludf.DUMMYFUNCTION("""COMPUTED_VALUE"""),0.79)</f>
        <v>0.79</v>
      </c>
    </row>
    <row r="15" ht="15.75" customHeight="1">
      <c r="A15" s="8" t="str">
        <f>IFERROR(__xludf.DUMMYFUNCTION("""COMPUTED_VALUE"""),"https://www.sortlist.com/i/social-media/germany-de")</f>
        <v>https://www.sortlist.com/i/social-media/germany-de</v>
      </c>
      <c r="B15" s="11" t="str">
        <f>IFERROR(__xludf.DUMMYFUNCTION("""COMPUTED_VALUE"""),"The 10 Best Social Media Agencies in Germany - 2026 Reviews")</f>
        <v>The 10 Best Social Media Agencies in Germany - 2026 Reviews</v>
      </c>
      <c r="C15" s="8" t="str">
        <f>IFERROR(__xludf.DUMMYFUNCTION("""COMPUTED_VALUE"""),"sortlist.com")</f>
        <v>sortlist.com</v>
      </c>
      <c r="D15" s="11" t="str">
        <f>IFERROR(__xludf.DUMMYFUNCTION("""COMPUTED_VALUE"""),"CATEGORY_PAGE")</f>
        <v>CATEGORY_PAGE</v>
      </c>
      <c r="E15" s="11" t="str">
        <f>IFERROR(__xludf.DUMMYFUNCTION("""COMPUTED_VALUE"""),"CORPORATE")</f>
        <v>CORPORATE</v>
      </c>
      <c r="F15" s="11" t="str">
        <f>IFERROR(__xludf.DUMMYFUNCTION("""COMPUTED_VALUE"""),"Category Page")</f>
        <v>Category Page</v>
      </c>
      <c r="G15" s="11" t="b">
        <f>IFERROR(__xludf.DUMMYFUNCTION("""COMPUTED_VALUE"""),FALSE)</f>
        <v>0</v>
      </c>
      <c r="H15" s="11" t="str">
        <f>IFERROR(__xludf.DUMMYFUNCTION("""COMPUTED_VALUE"""),"lehof, Momentum, PANORAMA3000")</f>
        <v>lehof, Momentum, PANORAMA3000</v>
      </c>
      <c r="I15" s="11">
        <f>IFERROR(__xludf.DUMMYFUNCTION("""COMPUTED_VALUE"""),34.0)</f>
        <v>34</v>
      </c>
      <c r="J15" s="11">
        <f>IFERROR(__xludf.DUMMYFUNCTION("""COMPUTED_VALUE"""),0.04)</f>
        <v>0.04</v>
      </c>
      <c r="K15" s="11">
        <f>IFERROR(__xludf.DUMMYFUNCTION("""COMPUTED_VALUE"""),1.09)</f>
        <v>1.09</v>
      </c>
    </row>
    <row r="16" ht="15.75" customHeight="1">
      <c r="A16" s="8" t="str">
        <f>IFERROR(__xludf.DUMMYFUNCTION("""COMPUTED_VALUE"""),"https://www.sortlist.com/s/paid-media/germany-de")</f>
        <v>https://www.sortlist.com/s/paid-media/germany-de</v>
      </c>
      <c r="B16" s="11" t="str">
        <f>IFERROR(__xludf.DUMMYFUNCTION("""COMPUTED_VALUE"""),"The 10 Best Paid Media Agencies in Germany - 2026 Reviews")</f>
        <v>The 10 Best Paid Media Agencies in Germany - 2026 Reviews</v>
      </c>
      <c r="C16" s="8" t="str">
        <f>IFERROR(__xludf.DUMMYFUNCTION("""COMPUTED_VALUE"""),"sortlist.com")</f>
        <v>sortlist.com</v>
      </c>
      <c r="D16" s="11" t="str">
        <f>IFERROR(__xludf.DUMMYFUNCTION("""COMPUTED_VALUE"""),"CATEGORY_PAGE")</f>
        <v>CATEGORY_PAGE</v>
      </c>
      <c r="E16" s="11" t="str">
        <f>IFERROR(__xludf.DUMMYFUNCTION("""COMPUTED_VALUE"""),"CORPORATE")</f>
        <v>CORPORATE</v>
      </c>
      <c r="F16" s="11" t="str">
        <f>IFERROR(__xludf.DUMMYFUNCTION("""COMPUTED_VALUE"""),"Category Page")</f>
        <v>Category Page</v>
      </c>
      <c r="G16" s="11" t="b">
        <f>IFERROR(__xludf.DUMMYFUNCTION("""COMPUTED_VALUE"""),FALSE)</f>
        <v>0</v>
      </c>
      <c r="H16" s="11" t="str">
        <f>IFERROR(__xludf.DUMMYFUNCTION("""COMPUTED_VALUE"""),"Triple Whale, Northbeam, Dreamdata, MONSOON, lehof, Mediacharge, PANORAMA3000")</f>
        <v>Triple Whale, Northbeam, Dreamdata, MONSOON, lehof, Mediacharge, PANORAMA3000</v>
      </c>
      <c r="I16" s="11">
        <f>IFERROR(__xludf.DUMMYFUNCTION("""COMPUTED_VALUE"""),34.0)</f>
        <v>34</v>
      </c>
      <c r="J16" s="11">
        <f>IFERROR(__xludf.DUMMYFUNCTION("""COMPUTED_VALUE"""),0.04)</f>
        <v>0.04</v>
      </c>
      <c r="K16" s="11">
        <f>IFERROR(__xludf.DUMMYFUNCTION("""COMPUTED_VALUE"""),2.32)</f>
        <v>2.32</v>
      </c>
    </row>
    <row r="17" ht="15.75" customHeight="1">
      <c r="A17" s="8" t="str">
        <f>IFERROR(__xludf.DUMMYFUNCTION("""COMPUTED_VALUE"""),"https://clutch.co/de/agencies/creative")</f>
        <v>https://clutch.co/de/agencies/creative</v>
      </c>
      <c r="B17" s="11" t="str">
        <f>IFERROR(__xludf.DUMMYFUNCTION("""COMPUTED_VALUE"""),"Top Creative Agencies in Germany - Jul 2026 Rankings \| Clutch.co")</f>
        <v>Top Creative Agencies in Germany - Jul 2026 Rankings \| Clutch.co</v>
      </c>
      <c r="C17" s="8" t="str">
        <f>IFERROR(__xludf.DUMMYFUNCTION("""COMPUTED_VALUE"""),"clutch.co")</f>
        <v>clutch.co</v>
      </c>
      <c r="D17" s="11" t="str">
        <f>IFERROR(__xludf.DUMMYFUNCTION("""COMPUTED_VALUE"""),"CATEGORY_PAGE")</f>
        <v>CATEGORY_PAGE</v>
      </c>
      <c r="E17" s="11" t="str">
        <f>IFERROR(__xludf.DUMMYFUNCTION("""COMPUTED_VALUE"""),"CORPORATE")</f>
        <v>CORPORATE</v>
      </c>
      <c r="F17" s="11" t="str">
        <f>IFERROR(__xludf.DUMMYFUNCTION("""COMPUTED_VALUE"""),"Category Page")</f>
        <v>Category Page</v>
      </c>
      <c r="G17" s="11" t="b">
        <f>IFERROR(__xludf.DUMMYFUNCTION("""COMPUTED_VALUE"""),FALSE)</f>
        <v>0</v>
      </c>
      <c r="H17" s="11" t="str">
        <f>IFERROR(__xludf.DUMMYFUNCTION("""COMPUTED_VALUE"""),"PANORAMA3000, Digitalyze, morefire, Haus")</f>
        <v>PANORAMA3000, Digitalyze, morefire, Haus</v>
      </c>
      <c r="I17" s="11">
        <f>IFERROR(__xludf.DUMMYFUNCTION("""COMPUTED_VALUE"""),33.0)</f>
        <v>33</v>
      </c>
      <c r="J17" s="11">
        <f>IFERROR(__xludf.DUMMYFUNCTION("""COMPUTED_VALUE"""),0.03)</f>
        <v>0.03</v>
      </c>
      <c r="K17" s="11">
        <f>IFERROR(__xludf.DUMMYFUNCTION("""COMPUTED_VALUE"""),0.36)</f>
        <v>0.36</v>
      </c>
    </row>
    <row r="18" ht="15.75" customHeight="1">
      <c r="A18" s="8" t="str">
        <f>IFERROR(__xludf.DUMMYFUNCTION("""COMPUTED_VALUE"""),"https://www.sortlist.com/i/s/creative/germany-de")</f>
        <v>https://www.sortlist.com/i/s/creative/germany-de</v>
      </c>
      <c r="B18" s="11" t="str">
        <f>IFERROR(__xludf.DUMMYFUNCTION("""COMPUTED_VALUE"""),"The 10 Best Creative Agencies in Germany - 2026 Reviews")</f>
        <v>The 10 Best Creative Agencies in Germany - 2026 Reviews</v>
      </c>
      <c r="C18" s="8" t="str">
        <f>IFERROR(__xludf.DUMMYFUNCTION("""COMPUTED_VALUE"""),"sortlist.com")</f>
        <v>sortlist.com</v>
      </c>
      <c r="D18" s="11" t="str">
        <f>IFERROR(__xludf.DUMMYFUNCTION("""COMPUTED_VALUE"""),"CATEGORY_PAGE")</f>
        <v>CATEGORY_PAGE</v>
      </c>
      <c r="E18" s="11" t="str">
        <f>IFERROR(__xludf.DUMMYFUNCTION("""COMPUTED_VALUE"""),"CORPORATE")</f>
        <v>CORPORATE</v>
      </c>
      <c r="F18" s="11" t="str">
        <f>IFERROR(__xludf.DUMMYFUNCTION("""COMPUTED_VALUE"""),"Category Page")</f>
        <v>Category Page</v>
      </c>
      <c r="G18" s="11" t="b">
        <f>IFERROR(__xludf.DUMMYFUNCTION("""COMPUTED_VALUE"""),FALSE)</f>
        <v>0</v>
      </c>
      <c r="H18" s="11" t="str">
        <f>IFERROR(__xludf.DUMMYFUNCTION("""COMPUTED_VALUE"""),"PANORAMA3000, Measured")</f>
        <v>PANORAMA3000, Measured</v>
      </c>
      <c r="I18" s="11">
        <f>IFERROR(__xludf.DUMMYFUNCTION("""COMPUTED_VALUE"""),32.0)</f>
        <v>32</v>
      </c>
      <c r="J18" s="11">
        <f>IFERROR(__xludf.DUMMYFUNCTION("""COMPUTED_VALUE"""),0.03)</f>
        <v>0.03</v>
      </c>
      <c r="K18" s="11">
        <f>IFERROR(__xludf.DUMMYFUNCTION("""COMPUTED_VALUE"""),0.56)</f>
        <v>0.56</v>
      </c>
    </row>
    <row r="19" ht="15.75" customHeight="1">
      <c r="A19" s="8" t="str">
        <f>IFERROR(__xludf.DUMMYFUNCTION("""COMPUTED_VALUE"""),"https://www.sortlist.com/s/ai-marketing/germany-de")</f>
        <v>https://www.sortlist.com/s/ai-marketing/germany-de</v>
      </c>
      <c r="B19" s="11" t="str">
        <f>IFERROR(__xludf.DUMMYFUNCTION("""COMPUTED_VALUE"""),"The 10 Best AI Marketing Companies in Germany - 2026 Reviews")</f>
        <v>The 10 Best AI Marketing Companies in Germany - 2026 Reviews</v>
      </c>
      <c r="C19" s="8" t="str">
        <f>IFERROR(__xludf.DUMMYFUNCTION("""COMPUTED_VALUE"""),"sortlist.com")</f>
        <v>sortlist.com</v>
      </c>
      <c r="D19" s="11" t="str">
        <f>IFERROR(__xludf.DUMMYFUNCTION("""COMPUTED_VALUE"""),"CATEGORY_PAGE")</f>
        <v>CATEGORY_PAGE</v>
      </c>
      <c r="E19" s="11" t="str">
        <f>IFERROR(__xludf.DUMMYFUNCTION("""COMPUTED_VALUE"""),"CORPORATE")</f>
        <v>CORPORATE</v>
      </c>
      <c r="F19" s="11" t="str">
        <f>IFERROR(__xludf.DUMMYFUNCTION("""COMPUTED_VALUE"""),"Category Page")</f>
        <v>Category Page</v>
      </c>
      <c r="G19" s="11" t="b">
        <f>IFERROR(__xludf.DUMMYFUNCTION("""COMPUTED_VALUE"""),FALSE)</f>
        <v>0</v>
      </c>
      <c r="H19" s="11"/>
      <c r="I19" s="11">
        <f>IFERROR(__xludf.DUMMYFUNCTION("""COMPUTED_VALUE"""),32.0)</f>
        <v>32</v>
      </c>
      <c r="J19" s="11">
        <f>IFERROR(__xludf.DUMMYFUNCTION("""COMPUTED_VALUE"""),0.03)</f>
        <v>0.03</v>
      </c>
      <c r="K19" s="11">
        <f>IFERROR(__xludf.DUMMYFUNCTION("""COMPUTED_VALUE"""),0.84)</f>
        <v>0.84</v>
      </c>
    </row>
    <row r="20" ht="15.75" customHeight="1">
      <c r="A20" s="8" t="str">
        <f>IFERROR(__xludf.DUMMYFUNCTION("""COMPUTED_VALUE"""),"https://clutch.co/de/consulting/ai")</f>
        <v>https://clutch.co/de/consulting/ai</v>
      </c>
      <c r="B20" s="11" t="str">
        <f>IFERROR(__xludf.DUMMYFUNCTION("""COMPUTED_VALUE"""),"Top AI Consultants in Germany - Jul 2026 Rankings \| Clutch.co")</f>
        <v>Top AI Consultants in Germany - Jul 2026 Rankings \| Clutch.co</v>
      </c>
      <c r="C20" s="8" t="str">
        <f>IFERROR(__xludf.DUMMYFUNCTION("""COMPUTED_VALUE"""),"clutch.co")</f>
        <v>clutch.co</v>
      </c>
      <c r="D20" s="11" t="str">
        <f>IFERROR(__xludf.DUMMYFUNCTION("""COMPUTED_VALUE"""),"CATEGORY_PAGE")</f>
        <v>CATEGORY_PAGE</v>
      </c>
      <c r="E20" s="11" t="str">
        <f>IFERROR(__xludf.DUMMYFUNCTION("""COMPUTED_VALUE"""),"CORPORATE")</f>
        <v>CORPORATE</v>
      </c>
      <c r="F20" s="11" t="str">
        <f>IFERROR(__xludf.DUMMYFUNCTION("""COMPUTED_VALUE"""),"Category Page")</f>
        <v>Category Page</v>
      </c>
      <c r="G20" s="11" t="b">
        <f>IFERROR(__xludf.DUMMYFUNCTION("""COMPUTED_VALUE"""),FALSE)</f>
        <v>0</v>
      </c>
      <c r="H20" s="11"/>
      <c r="I20" s="11">
        <f>IFERROR(__xludf.DUMMYFUNCTION("""COMPUTED_VALUE"""),31.0)</f>
        <v>31</v>
      </c>
      <c r="J20" s="11">
        <f>IFERROR(__xludf.DUMMYFUNCTION("""COMPUTED_VALUE"""),0.03)</f>
        <v>0.03</v>
      </c>
      <c r="K20" s="11">
        <f>IFERROR(__xludf.DUMMYFUNCTION("""COMPUTED_VALUE"""),0.19)</f>
        <v>0.19</v>
      </c>
    </row>
    <row r="21" ht="15.75" customHeight="1">
      <c r="A21" s="8" t="str">
        <f>IFERROR(__xludf.DUMMYFUNCTION("""COMPUTED_VALUE"""),"https://agencies.semrush.com/list/smm/germany/")</f>
        <v>https://agencies.semrush.com/list/smm/germany/</v>
      </c>
      <c r="B21" s="11" t="str">
        <f>IFERROR(__xludf.DUMMYFUNCTION("""COMPUTED_VALUE"""),"Best Social Media Marketing Agencies in Germany 2026 | Semrush")</f>
        <v>Best Social Media Marketing Agencies in Germany 2026 | Semrush</v>
      </c>
      <c r="C21" s="8" t="str">
        <f>IFERROR(__xludf.DUMMYFUNCTION("""COMPUTED_VALUE"""),"semrush.com")</f>
        <v>semrush.com</v>
      </c>
      <c r="D21" s="11" t="str">
        <f>IFERROR(__xludf.DUMMYFUNCTION("""COMPUTED_VALUE"""),"CATEGORY_PAGE")</f>
        <v>CATEGORY_PAGE</v>
      </c>
      <c r="E21" s="11" t="str">
        <f>IFERROR(__xludf.DUMMYFUNCTION("""COMPUTED_VALUE"""),"CORPORATE")</f>
        <v>CORPORATE</v>
      </c>
      <c r="F21" s="11" t="str">
        <f>IFERROR(__xludf.DUMMYFUNCTION("""COMPUTED_VALUE"""),"Category Page")</f>
        <v>Category Page</v>
      </c>
      <c r="G21" s="11" t="b">
        <f>IFERROR(__xludf.DUMMYFUNCTION("""COMPUTED_VALUE"""),FALSE)</f>
        <v>0</v>
      </c>
      <c r="H21" s="11" t="str">
        <f>IFERROR(__xludf.DUMMYFUNCTION("""COMPUTED_VALUE"""),"Baseplus DIGITAL MEDIA GmbH, morefire, Mediaplus Performance, MONSOON, KlickPiloten")</f>
        <v>Baseplus DIGITAL MEDIA GmbH, morefire, Mediaplus Performance, MONSOON, KlickPiloten</v>
      </c>
      <c r="I21" s="11">
        <f>IFERROR(__xludf.DUMMYFUNCTION("""COMPUTED_VALUE"""),29.0)</f>
        <v>29</v>
      </c>
      <c r="J21" s="11">
        <f>IFERROR(__xludf.DUMMYFUNCTION("""COMPUTED_VALUE"""),0.03)</f>
        <v>0.03</v>
      </c>
      <c r="K21" s="11">
        <f>IFERROR(__xludf.DUMMYFUNCTION("""COMPUTED_VALUE"""),1.07)</f>
        <v>1.07</v>
      </c>
    </row>
    <row r="22" ht="15.75" customHeight="1">
      <c r="A22" s="8" t="str">
        <f>IFERROR(__xludf.DUMMYFUNCTION("""COMPUTED_VALUE"""),"https://www.designrush.com/agency/creative-agencies/de")</f>
        <v>https://www.designrush.com/agency/creative-agencies/de</v>
      </c>
      <c r="B22" s="11" t="str">
        <f>IFERROR(__xludf.DUMMYFUNCTION("""COMPUTED_VALUE"""),"Top Creative Agencies in Germany | 2026")</f>
        <v>Top Creative Agencies in Germany | 2026</v>
      </c>
      <c r="C22" s="8" t="str">
        <f>IFERROR(__xludf.DUMMYFUNCTION("""COMPUTED_VALUE"""),"designrush.com")</f>
        <v>designrush.com</v>
      </c>
      <c r="D22" s="11" t="str">
        <f>IFERROR(__xludf.DUMMYFUNCTION("""COMPUTED_VALUE"""),"CATEGORY_PAGE")</f>
        <v>CATEGORY_PAGE</v>
      </c>
      <c r="E22" s="11" t="str">
        <f>IFERROR(__xludf.DUMMYFUNCTION("""COMPUTED_VALUE"""),"CORPORATE")</f>
        <v>CORPORATE</v>
      </c>
      <c r="F22" s="11" t="str">
        <f>IFERROR(__xludf.DUMMYFUNCTION("""COMPUTED_VALUE"""),"Category Page")</f>
        <v>Category Page</v>
      </c>
      <c r="G22" s="11" t="b">
        <f>IFERROR(__xludf.DUMMYFUNCTION("""COMPUTED_VALUE"""),FALSE)</f>
        <v>0</v>
      </c>
      <c r="H22" s="11" t="str">
        <f>IFERROR(__xludf.DUMMYFUNCTION("""COMPUTED_VALUE"""),"REPLUG, EY")</f>
        <v>REPLUG, EY</v>
      </c>
      <c r="I22" s="11">
        <f>IFERROR(__xludf.DUMMYFUNCTION("""COMPUTED_VALUE"""),28.0)</f>
        <v>28</v>
      </c>
      <c r="J22" s="11">
        <f>IFERROR(__xludf.DUMMYFUNCTION("""COMPUTED_VALUE"""),0.03)</f>
        <v>0.03</v>
      </c>
      <c r="K22" s="11">
        <f>IFERROR(__xludf.DUMMYFUNCTION("""COMPUTED_VALUE"""),0.57)</f>
        <v>0.57</v>
      </c>
    </row>
    <row r="23" ht="15.75" customHeight="1">
      <c r="A23" s="8" t="str">
        <f>IFERROR(__xludf.DUMMYFUNCTION("""COMPUTED_VALUE"""),"https://sourceforge.net/software/incrementality-testing/germany/")</f>
        <v>https://sourceforge.net/software/incrementality-testing/germany/</v>
      </c>
      <c r="B23" s="11" t="str">
        <f>IFERROR(__xludf.DUMMYFUNCTION("""COMPUTED_VALUE"""),"Best Incrementality Testing Tools in Germany of 2026 - Reviews &amp;amp; Comparison")</f>
        <v>Best Incrementality Testing Tools in Germany of 2026 - Reviews &amp;amp; Comparison</v>
      </c>
      <c r="C23" s="8" t="str">
        <f>IFERROR(__xludf.DUMMYFUNCTION("""COMPUTED_VALUE"""),"sourceforge.net")</f>
        <v>sourceforge.net</v>
      </c>
      <c r="D23" s="11" t="str">
        <f>IFERROR(__xludf.DUMMYFUNCTION("""COMPUTED_VALUE"""),"CATEGORY_PAGE")</f>
        <v>CATEGORY_PAGE</v>
      </c>
      <c r="E23" s="11" t="str">
        <f>IFERROR(__xludf.DUMMYFUNCTION("""COMPUTED_VALUE"""),"OTHER")</f>
        <v>OTHER</v>
      </c>
      <c r="F23" s="11" t="str">
        <f>IFERROR(__xludf.DUMMYFUNCTION("""COMPUTED_VALUE"""),"Category Page")</f>
        <v>Category Page</v>
      </c>
      <c r="G23" s="11" t="b">
        <f>IFERROR(__xludf.DUMMYFUNCTION("""COMPUTED_VALUE"""),FALSE)</f>
        <v>0</v>
      </c>
      <c r="H23" s="11" t="str">
        <f>IFERROR(__xludf.DUMMYFUNCTION("""COMPUTED_VALUE"""),"Measured, LifeSight, Sellforte, Rockerbox, Recast, Haus, Analytic Partners")</f>
        <v>Measured, LifeSight, Sellforte, Rockerbox, Recast, Haus, Analytic Partners</v>
      </c>
      <c r="I23" s="11">
        <f>IFERROR(__xludf.DUMMYFUNCTION("""COMPUTED_VALUE"""),28.0)</f>
        <v>28</v>
      </c>
      <c r="J23" s="11">
        <f>IFERROR(__xludf.DUMMYFUNCTION("""COMPUTED_VALUE"""),0.03)</f>
        <v>0.03</v>
      </c>
      <c r="K23" s="11">
        <f>IFERROR(__xludf.DUMMYFUNCTION("""COMPUTED_VALUE"""),0.89)</f>
        <v>0.89</v>
      </c>
    </row>
    <row r="24" ht="15.75" customHeight="1">
      <c r="A24" s="8" t="str">
        <f>IFERROR(__xludf.DUMMYFUNCTION("""COMPUTED_VALUE"""),"https://agencies.semrush.com/list/advertising/germany/")</f>
        <v>https://agencies.semrush.com/list/advertising/germany/</v>
      </c>
      <c r="B24" s="11" t="str">
        <f>IFERROR(__xludf.DUMMYFUNCTION("""COMPUTED_VALUE"""),"Best Advertising Agencies in Germany 2026 | Semrush")</f>
        <v>Best Advertising Agencies in Germany 2026 | Semrush</v>
      </c>
      <c r="C24" s="8" t="str">
        <f>IFERROR(__xludf.DUMMYFUNCTION("""COMPUTED_VALUE"""),"semrush.com")</f>
        <v>semrush.com</v>
      </c>
      <c r="D24" s="11" t="str">
        <f>IFERROR(__xludf.DUMMYFUNCTION("""COMPUTED_VALUE"""),"CATEGORY_PAGE")</f>
        <v>CATEGORY_PAGE</v>
      </c>
      <c r="E24" s="11" t="str">
        <f>IFERROR(__xludf.DUMMYFUNCTION("""COMPUTED_VALUE"""),"CORPORATE")</f>
        <v>CORPORATE</v>
      </c>
      <c r="F24" s="11" t="str">
        <f>IFERROR(__xludf.DUMMYFUNCTION("""COMPUTED_VALUE"""),"Category Page")</f>
        <v>Category Page</v>
      </c>
      <c r="G24" s="11" t="b">
        <f>IFERROR(__xludf.DUMMYFUNCTION("""COMPUTED_VALUE"""),FALSE)</f>
        <v>0</v>
      </c>
      <c r="H24" s="11" t="str">
        <f>IFERROR(__xludf.DUMMYFUNCTION("""COMPUTED_VALUE"""),"Baseplus DIGITAL MEDIA GmbH, morefire, Mediaplus Performance, MONSOON, Mediacharge, KlickPiloten, Huge")</f>
        <v>Baseplus DIGITAL MEDIA GmbH, morefire, Mediaplus Performance, MONSOON, Mediacharge, KlickPiloten, Huge</v>
      </c>
      <c r="I24" s="11">
        <f>IFERROR(__xludf.DUMMYFUNCTION("""COMPUTED_VALUE"""),27.0)</f>
        <v>27</v>
      </c>
      <c r="J24" s="11">
        <f>IFERROR(__xludf.DUMMYFUNCTION("""COMPUTED_VALUE"""),0.03)</f>
        <v>0.03</v>
      </c>
      <c r="K24" s="11">
        <f>IFERROR(__xludf.DUMMYFUNCTION("""COMPUTED_VALUE"""),0.67)</f>
        <v>0.67</v>
      </c>
    </row>
    <row r="25" ht="15.75" customHeight="1">
      <c r="A25" s="8" t="str">
        <f>IFERROR(__xludf.DUMMYFUNCTION("""COMPUTED_VALUE"""),"https://clutch.co/de/agencies/market-research")</f>
        <v>https://clutch.co/de/agencies/market-research</v>
      </c>
      <c r="B25" s="11" t="str">
        <f>IFERROR(__xludf.DUMMYFUNCTION("""COMPUTED_VALUE"""),"Top Market Research Companies in Germany - Jul 2026 Rankings | Clutch.co")</f>
        <v>Top Market Research Companies in Germany - Jul 2026 Rankings | Clutch.co</v>
      </c>
      <c r="C25" s="8" t="str">
        <f>IFERROR(__xludf.DUMMYFUNCTION("""COMPUTED_VALUE"""),"clutch.co")</f>
        <v>clutch.co</v>
      </c>
      <c r="D25" s="11" t="str">
        <f>IFERROR(__xludf.DUMMYFUNCTION("""COMPUTED_VALUE"""),"CATEGORY_PAGE")</f>
        <v>CATEGORY_PAGE</v>
      </c>
      <c r="E25" s="11" t="str">
        <f>IFERROR(__xludf.DUMMYFUNCTION("""COMPUTED_VALUE"""),"CORPORATE")</f>
        <v>CORPORATE</v>
      </c>
      <c r="F25" s="11" t="str">
        <f>IFERROR(__xludf.DUMMYFUNCTION("""COMPUTED_VALUE"""),"Category Page")</f>
        <v>Category Page</v>
      </c>
      <c r="G25" s="11" t="b">
        <f>IFERROR(__xludf.DUMMYFUNCTION("""COMPUTED_VALUE"""),FALSE)</f>
        <v>0</v>
      </c>
      <c r="H25" s="11" t="str">
        <f>IFERROR(__xludf.DUMMYFUNCTION("""COMPUTED_VALUE"""),"LNQP GmbH, Merkle")</f>
        <v>LNQP GmbH, Merkle</v>
      </c>
      <c r="I25" s="11">
        <f>IFERROR(__xludf.DUMMYFUNCTION("""COMPUTED_VALUE"""),26.0)</f>
        <v>26</v>
      </c>
      <c r="J25" s="11">
        <f>IFERROR(__xludf.DUMMYFUNCTION("""COMPUTED_VALUE"""),0.03)</f>
        <v>0.03</v>
      </c>
      <c r="K25" s="11">
        <f>IFERROR(__xludf.DUMMYFUNCTION("""COMPUTED_VALUE"""),2.23)</f>
        <v>2.23</v>
      </c>
    </row>
    <row r="26" ht="15.75" customHeight="1">
      <c r="A26" s="8" t="str">
        <f>IFERROR(__xludf.DUMMYFUNCTION("""COMPUTED_VALUE"""),"https://www.goodfirms.co/advertising-companies/creative/germany")</f>
        <v>https://www.goodfirms.co/advertising-companies/creative/germany</v>
      </c>
      <c r="B26" s="11" t="str">
        <f>IFERROR(__xludf.DUMMYFUNCTION("""COMPUTED_VALUE"""),"Top Creative Agencies in Germany - 2026 Reviews | Goodfirms")</f>
        <v>Top Creative Agencies in Germany - 2026 Reviews | Goodfirms</v>
      </c>
      <c r="C26" s="8" t="str">
        <f>IFERROR(__xludf.DUMMYFUNCTION("""COMPUTED_VALUE"""),"goodfirms.co")</f>
        <v>goodfirms.co</v>
      </c>
      <c r="D26" s="11" t="str">
        <f>IFERROR(__xludf.DUMMYFUNCTION("""COMPUTED_VALUE"""),"CATEGORY_PAGE")</f>
        <v>CATEGORY_PAGE</v>
      </c>
      <c r="E26" s="11" t="str">
        <f>IFERROR(__xludf.DUMMYFUNCTION("""COMPUTED_VALUE"""),"UGC")</f>
        <v>UGC</v>
      </c>
      <c r="F26" s="11" t="str">
        <f>IFERROR(__xludf.DUMMYFUNCTION("""COMPUTED_VALUE"""),"Category Page")</f>
        <v>Category Page</v>
      </c>
      <c r="G26" s="11" t="b">
        <f>IFERROR(__xludf.DUMMYFUNCTION("""COMPUTED_VALUE"""),FALSE)</f>
        <v>0</v>
      </c>
      <c r="H26" s="11" t="str">
        <f>IFERROR(__xludf.DUMMYFUNCTION("""COMPUTED_VALUE"""),"Mediacharge, Scholz &amp; Friends, Publicis Groupe")</f>
        <v>Mediacharge, Scholz &amp; Friends, Publicis Groupe</v>
      </c>
      <c r="I26" s="11">
        <f>IFERROR(__xludf.DUMMYFUNCTION("""COMPUTED_VALUE"""),26.0)</f>
        <v>26</v>
      </c>
      <c r="J26" s="11">
        <f>IFERROR(__xludf.DUMMYFUNCTION("""COMPUTED_VALUE"""),0.03)</f>
        <v>0.03</v>
      </c>
      <c r="K26" s="11">
        <f>IFERROR(__xludf.DUMMYFUNCTION("""COMPUTED_VALUE"""),0.58)</f>
        <v>0.58</v>
      </c>
    </row>
    <row r="27" ht="15.75" customHeight="1">
      <c r="A27" s="8" t="str">
        <f>IFERROR(__xludf.DUMMYFUNCTION("""COMPUTED_VALUE"""),"https://agencies.semrush.com/list/market-analysis/germany/")</f>
        <v>https://agencies.semrush.com/list/market-analysis/germany/</v>
      </c>
      <c r="B27" s="11" t="str">
        <f>IFERROR(__xludf.DUMMYFUNCTION("""COMPUTED_VALUE"""),"Best Market Research Companies in Germany 2026 | Semrush")</f>
        <v>Best Market Research Companies in Germany 2026 | Semrush</v>
      </c>
      <c r="C27" s="8" t="str">
        <f>IFERROR(__xludf.DUMMYFUNCTION("""COMPUTED_VALUE"""),"semrush.com")</f>
        <v>semrush.com</v>
      </c>
      <c r="D27" s="11" t="str">
        <f>IFERROR(__xludf.DUMMYFUNCTION("""COMPUTED_VALUE"""),"CATEGORY_PAGE")</f>
        <v>CATEGORY_PAGE</v>
      </c>
      <c r="E27" s="11" t="str">
        <f>IFERROR(__xludf.DUMMYFUNCTION("""COMPUTED_VALUE"""),"CORPORATE")</f>
        <v>CORPORATE</v>
      </c>
      <c r="F27" s="11" t="str">
        <f>IFERROR(__xludf.DUMMYFUNCTION("""COMPUTED_VALUE"""),"Category Page")</f>
        <v>Category Page</v>
      </c>
      <c r="G27" s="11" t="b">
        <f>IFERROR(__xludf.DUMMYFUNCTION("""COMPUTED_VALUE"""),FALSE)</f>
        <v>0</v>
      </c>
      <c r="H27" s="11" t="str">
        <f>IFERROR(__xludf.DUMMYFUNCTION("""COMPUTED_VALUE"""),"Baseplus DIGITAL MEDIA GmbH, Mediaplus Performance, KlickPiloten")</f>
        <v>Baseplus DIGITAL MEDIA GmbH, Mediaplus Performance, KlickPiloten</v>
      </c>
      <c r="I27" s="11">
        <f>IFERROR(__xludf.DUMMYFUNCTION("""COMPUTED_VALUE"""),21.0)</f>
        <v>21</v>
      </c>
      <c r="J27" s="11">
        <f>IFERROR(__xludf.DUMMYFUNCTION("""COMPUTED_VALUE"""),0.02)</f>
        <v>0.02</v>
      </c>
      <c r="K27" s="11">
        <f>IFERROR(__xludf.DUMMYFUNCTION("""COMPUTED_VALUE"""),0.76)</f>
        <v>0.76</v>
      </c>
    </row>
    <row r="28" ht="15.75" customHeight="1">
      <c r="A28" s="8" t="str">
        <f>IFERROR(__xludf.DUMMYFUNCTION("""COMPUTED_VALUE"""),"https://digitalagencynetwork.com/agencies/berlin/ai-marketing/")</f>
        <v>https://digitalagencynetwork.com/agencies/berlin/ai-marketing/</v>
      </c>
      <c r="B28" s="11" t="str">
        <f>IFERROR(__xludf.DUMMYFUNCTION("""COMPUTED_VALUE"""),"Top AI Marketing Agencies in Berlin (2026)")</f>
        <v>Top AI Marketing Agencies in Berlin (2026)</v>
      </c>
      <c r="C28" s="8" t="str">
        <f>IFERROR(__xludf.DUMMYFUNCTION("""COMPUTED_VALUE"""),"digitalagencynetwork.com")</f>
        <v>digitalagencynetwork.com</v>
      </c>
      <c r="D28" s="11" t="str">
        <f>IFERROR(__xludf.DUMMYFUNCTION("""COMPUTED_VALUE"""),"CATEGORY_PAGE")</f>
        <v>CATEGORY_PAGE</v>
      </c>
      <c r="E28" s="11" t="str">
        <f>IFERROR(__xludf.DUMMYFUNCTION("""COMPUTED_VALUE"""),"REFERENCE")</f>
        <v>REFERENCE</v>
      </c>
      <c r="F28" s="11" t="str">
        <f>IFERROR(__xludf.DUMMYFUNCTION("""COMPUTED_VALUE"""),"Category Page")</f>
        <v>Category Page</v>
      </c>
      <c r="G28" s="11" t="b">
        <f>IFERROR(__xludf.DUMMYFUNCTION("""COMPUTED_VALUE"""),FALSE)</f>
        <v>0</v>
      </c>
      <c r="H28" s="11"/>
      <c r="I28" s="11">
        <f>IFERROR(__xludf.DUMMYFUNCTION("""COMPUTED_VALUE"""),21.0)</f>
        <v>21</v>
      </c>
      <c r="J28" s="11">
        <f>IFERROR(__xludf.DUMMYFUNCTION("""COMPUTED_VALUE"""),0.02)</f>
        <v>0.02</v>
      </c>
      <c r="K28" s="11">
        <f>IFERROR(__xludf.DUMMYFUNCTION("""COMPUTED_VALUE"""),0.9)</f>
        <v>0.9</v>
      </c>
    </row>
    <row r="29" ht="15.75" customHeight="1">
      <c r="A29" s="8" t="str">
        <f>IFERROR(__xludf.DUMMYFUNCTION("""COMPUTED_VALUE"""),"https://greenbook.org/market-research-companies/germany")</f>
        <v>https://greenbook.org/market-research-companies/germany</v>
      </c>
      <c r="B29" s="11" t="str">
        <f>IFERROR(__xludf.DUMMYFUNCTION("""COMPUTED_VALUE"""),"Top Marketing Research Firms in Germany — Greenbook")</f>
        <v>Top Marketing Research Firms in Germany — Greenbook</v>
      </c>
      <c r="C29" s="8" t="str">
        <f>IFERROR(__xludf.DUMMYFUNCTION("""COMPUTED_VALUE"""),"greenbook.org")</f>
        <v>greenbook.org</v>
      </c>
      <c r="D29" s="11" t="str">
        <f>IFERROR(__xludf.DUMMYFUNCTION("""COMPUTED_VALUE"""),"CATEGORY_PAGE")</f>
        <v>CATEGORY_PAGE</v>
      </c>
      <c r="E29" s="11" t="str">
        <f>IFERROR(__xludf.DUMMYFUNCTION("""COMPUTED_VALUE"""),"REFERENCE")</f>
        <v>REFERENCE</v>
      </c>
      <c r="F29" s="11" t="str">
        <f>IFERROR(__xludf.DUMMYFUNCTION("""COMPUTED_VALUE"""),"Category Page")</f>
        <v>Category Page</v>
      </c>
      <c r="G29" s="11" t="b">
        <f>IFERROR(__xludf.DUMMYFUNCTION("""COMPUTED_VALUE"""),FALSE)</f>
        <v>0</v>
      </c>
      <c r="H29" s="11" t="str">
        <f>IFERROR(__xludf.DUMMYFUNCTION("""COMPUTED_VALUE"""),"Mindshare, Accenture Song, Kantar")</f>
        <v>Mindshare, Accenture Song, Kantar</v>
      </c>
      <c r="I29" s="11">
        <f>IFERROR(__xludf.DUMMYFUNCTION("""COMPUTED_VALUE"""),21.0)</f>
        <v>21</v>
      </c>
      <c r="J29" s="11">
        <f>IFERROR(__xludf.DUMMYFUNCTION("""COMPUTED_VALUE"""),0.02)</f>
        <v>0.02</v>
      </c>
      <c r="K29" s="11">
        <f>IFERROR(__xludf.DUMMYFUNCTION("""COMPUTED_VALUE"""),0.43)</f>
        <v>0.43</v>
      </c>
    </row>
    <row r="30" ht="15.75" customHeight="1">
      <c r="A30" s="8" t="str">
        <f>IFERROR(__xludf.DUMMYFUNCTION("""COMPUTED_VALUE"""),"https://clutch.co/de/agencies/business-services-industry")</f>
        <v>https://clutch.co/de/agencies/business-services-industry</v>
      </c>
      <c r="B30" s="11" t="str">
        <f>IFERROR(__xludf.DUMMYFUNCTION("""COMPUTED_VALUE"""),"Top Advertising Agencies for B2B in Germany - Jul 2026 Rankings | Clutch.co")</f>
        <v>Top Advertising Agencies for B2B in Germany - Jul 2026 Rankings | Clutch.co</v>
      </c>
      <c r="C30" s="8" t="str">
        <f>IFERROR(__xludf.DUMMYFUNCTION("""COMPUTED_VALUE"""),"clutch.co")</f>
        <v>clutch.co</v>
      </c>
      <c r="D30" s="11" t="str">
        <f>IFERROR(__xludf.DUMMYFUNCTION("""COMPUTED_VALUE"""),"CATEGORY_PAGE")</f>
        <v>CATEGORY_PAGE</v>
      </c>
      <c r="E30" s="11" t="str">
        <f>IFERROR(__xludf.DUMMYFUNCTION("""COMPUTED_VALUE"""),"CORPORATE")</f>
        <v>CORPORATE</v>
      </c>
      <c r="F30" s="11" t="str">
        <f>IFERROR(__xludf.DUMMYFUNCTION("""COMPUTED_VALUE"""),"Category Page")</f>
        <v>Category Page</v>
      </c>
      <c r="G30" s="11" t="b">
        <f>IFERROR(__xludf.DUMMYFUNCTION("""COMPUTED_VALUE"""),FALSE)</f>
        <v>0</v>
      </c>
      <c r="H30" s="11" t="str">
        <f>IFERROR(__xludf.DUMMYFUNCTION("""COMPUTED_VALUE"""),"MONSOON, Mediacharge, Digitalyze, morefire, WeLikeWeb GmbH")</f>
        <v>MONSOON, Mediacharge, Digitalyze, morefire, WeLikeWeb GmbH</v>
      </c>
      <c r="I30" s="11">
        <f>IFERROR(__xludf.DUMMYFUNCTION("""COMPUTED_VALUE"""),20.0)</f>
        <v>20</v>
      </c>
      <c r="J30" s="11">
        <f>IFERROR(__xludf.DUMMYFUNCTION("""COMPUTED_VALUE"""),0.02)</f>
        <v>0.02</v>
      </c>
      <c r="K30" s="11">
        <f>IFERROR(__xludf.DUMMYFUNCTION("""COMPUTED_VALUE"""),0.05)</f>
        <v>0.05</v>
      </c>
    </row>
    <row r="31" ht="15.75" customHeight="1">
      <c r="A31" s="8" t="str">
        <f>IFERROR(__xludf.DUMMYFUNCTION("""COMPUTED_VALUE"""),"https://clutch.co/de/agencies/ppc/advertising-industry")</f>
        <v>https://clutch.co/de/agencies/ppc/advertising-industry</v>
      </c>
      <c r="B31" s="11" t="str">
        <f>IFERROR(__xludf.DUMMYFUNCTION("""COMPUTED_VALUE"""),"Top PPC Agencies for Ad Agencies in Germany - Jul 2026 Rankings \| Clutch.co")</f>
        <v>Top PPC Agencies for Ad Agencies in Germany - Jul 2026 Rankings \| Clutch.co</v>
      </c>
      <c r="C31" s="8" t="str">
        <f>IFERROR(__xludf.DUMMYFUNCTION("""COMPUTED_VALUE"""),"clutch.co")</f>
        <v>clutch.co</v>
      </c>
      <c r="D31" s="11" t="str">
        <f>IFERROR(__xludf.DUMMYFUNCTION("""COMPUTED_VALUE"""),"CATEGORY_PAGE")</f>
        <v>CATEGORY_PAGE</v>
      </c>
      <c r="E31" s="11" t="str">
        <f>IFERROR(__xludf.DUMMYFUNCTION("""COMPUTED_VALUE"""),"CORPORATE")</f>
        <v>CORPORATE</v>
      </c>
      <c r="F31" s="11" t="str">
        <f>IFERROR(__xludf.DUMMYFUNCTION("""COMPUTED_VALUE"""),"Category Page")</f>
        <v>Category Page</v>
      </c>
      <c r="G31" s="11" t="b">
        <f>IFERROR(__xludf.DUMMYFUNCTION("""COMPUTED_VALUE"""),FALSE)</f>
        <v>0</v>
      </c>
      <c r="H31" s="11" t="str">
        <f>IFERROR(__xludf.DUMMYFUNCTION("""COMPUTED_VALUE"""),"Mediacharge, Seeders, Medialabel")</f>
        <v>Mediacharge, Seeders, Medialabel</v>
      </c>
      <c r="I31" s="11">
        <f>IFERROR(__xludf.DUMMYFUNCTION("""COMPUTED_VALUE"""),20.0)</f>
        <v>20</v>
      </c>
      <c r="J31" s="11">
        <f>IFERROR(__xludf.DUMMYFUNCTION("""COMPUTED_VALUE"""),0.02)</f>
        <v>0.02</v>
      </c>
      <c r="K31" s="11">
        <f>IFERROR(__xludf.DUMMYFUNCTION("""COMPUTED_VALUE"""),1.35)</f>
        <v>1.35</v>
      </c>
    </row>
    <row r="32" ht="15.75" customHeight="1">
      <c r="A32" s="8" t="str">
        <f>IFERROR(__xludf.DUMMYFUNCTION("""COMPUTED_VALUE"""),"https://clutch.co/de/agencies/media-buying")</f>
        <v>https://clutch.co/de/agencies/media-buying</v>
      </c>
      <c r="B32" s="11" t="str">
        <f>IFERROR(__xludf.DUMMYFUNCTION("""COMPUTED_VALUE"""),"Top Media Buying Agencies in Germany - Jul 2026 Rankings \| Clutch.co")</f>
        <v>Top Media Buying Agencies in Germany - Jul 2026 Rankings \| Clutch.co</v>
      </c>
      <c r="C32" s="8" t="str">
        <f>IFERROR(__xludf.DUMMYFUNCTION("""COMPUTED_VALUE"""),"clutch.co")</f>
        <v>clutch.co</v>
      </c>
      <c r="D32" s="11" t="str">
        <f>IFERROR(__xludf.DUMMYFUNCTION("""COMPUTED_VALUE"""),"CATEGORY_PAGE")</f>
        <v>CATEGORY_PAGE</v>
      </c>
      <c r="E32" s="11" t="str">
        <f>IFERROR(__xludf.DUMMYFUNCTION("""COMPUTED_VALUE"""),"CORPORATE")</f>
        <v>CORPORATE</v>
      </c>
      <c r="F32" s="11" t="str">
        <f>IFERROR(__xludf.DUMMYFUNCTION("""COMPUTED_VALUE"""),"Category Page")</f>
        <v>Category Page</v>
      </c>
      <c r="G32" s="11" t="b">
        <f>IFERROR(__xludf.DUMMYFUNCTION("""COMPUTED_VALUE"""),FALSE)</f>
        <v>0</v>
      </c>
      <c r="H32" s="11" t="str">
        <f>IFERROR(__xludf.DUMMYFUNCTION("""COMPUTED_VALUE"""),"REPLUG, Phiture, Measured, Haus, GroupM, Publicis Media, Mediaplus Group")</f>
        <v>REPLUG, Phiture, Measured, Haus, GroupM, Publicis Media, Mediaplus Group</v>
      </c>
      <c r="I32" s="11">
        <f>IFERROR(__xludf.DUMMYFUNCTION("""COMPUTED_VALUE"""),19.0)</f>
        <v>19</v>
      </c>
      <c r="J32" s="11">
        <f>IFERROR(__xludf.DUMMYFUNCTION("""COMPUTED_VALUE"""),0.02)</f>
        <v>0.02</v>
      </c>
      <c r="K32" s="11">
        <f>IFERROR(__xludf.DUMMYFUNCTION("""COMPUTED_VALUE"""),1.11)</f>
        <v>1.11</v>
      </c>
    </row>
    <row r="33" ht="15.75" customHeight="1">
      <c r="A33" s="8" t="str">
        <f>IFERROR(__xludf.DUMMYFUNCTION("""COMPUTED_VALUE"""),"https://techbehemoths.com/companies/digital-marketing/germany")</f>
        <v>https://techbehemoths.com/companies/digital-marketing/germany</v>
      </c>
      <c r="B33" s="11" t="str">
        <f>IFERROR(__xludf.DUMMYFUNCTION("""COMPUTED_VALUE"""),"Top 20+ Digital Marketing Agencies in Germany (2026) - TechBehemoths")</f>
        <v>Top 20+ Digital Marketing Agencies in Germany (2026) - TechBehemoths</v>
      </c>
      <c r="C33" s="8" t="str">
        <f>IFERROR(__xludf.DUMMYFUNCTION("""COMPUTED_VALUE"""),"techbehemoths.com")</f>
        <v>techbehemoths.com</v>
      </c>
      <c r="D33" s="11" t="str">
        <f>IFERROR(__xludf.DUMMYFUNCTION("""COMPUTED_VALUE"""),"CATEGORY_PAGE")</f>
        <v>CATEGORY_PAGE</v>
      </c>
      <c r="E33" s="11" t="str">
        <f>IFERROR(__xludf.DUMMYFUNCTION("""COMPUTED_VALUE"""),"REFERENCE")</f>
        <v>REFERENCE</v>
      </c>
      <c r="F33" s="11" t="str">
        <f>IFERROR(__xludf.DUMMYFUNCTION("""COMPUTED_VALUE"""),"Category Page")</f>
        <v>Category Page</v>
      </c>
      <c r="G33" s="11" t="b">
        <f>IFERROR(__xludf.DUMMYFUNCTION("""COMPUTED_VALUE"""),FALSE)</f>
        <v>0</v>
      </c>
      <c r="H33" s="11" t="str">
        <f>IFERROR(__xludf.DUMMYFUNCTION("""COMPUTED_VALUE"""),"Huge")</f>
        <v>Huge</v>
      </c>
      <c r="I33" s="11">
        <f>IFERROR(__xludf.DUMMYFUNCTION("""COMPUTED_VALUE"""),19.0)</f>
        <v>19</v>
      </c>
      <c r="J33" s="11">
        <f>IFERROR(__xludf.DUMMYFUNCTION("""COMPUTED_VALUE"""),0.02)</f>
        <v>0.02</v>
      </c>
      <c r="K33" s="11">
        <f>IFERROR(__xludf.DUMMYFUNCTION("""COMPUTED_VALUE"""),0.05)</f>
        <v>0.05</v>
      </c>
    </row>
    <row r="34" ht="15.75" customHeight="1">
      <c r="A34" s="8" t="str">
        <f>IFERROR(__xludf.DUMMYFUNCTION("""COMPUTED_VALUE"""),"https://aeo-copilot.com/partners/agencies/germany/munich")</f>
        <v>https://aeo-copilot.com/partners/agencies/germany/munich</v>
      </c>
      <c r="B34" s="11" t="str">
        <f>IFERROR(__xludf.DUMMYFUNCTION("""COMPUTED_VALUE"""),"Best AEO Agencies in Munich, Germany — AI Visibility Experts | AEO Copilot")</f>
        <v>Best AEO Agencies in Munich, Germany — AI Visibility Experts | AEO Copilot</v>
      </c>
      <c r="C34" s="8" t="str">
        <f>IFERROR(__xludf.DUMMYFUNCTION("""COMPUTED_VALUE"""),"aeo-copilot.com")</f>
        <v>aeo-copilot.com</v>
      </c>
      <c r="D34" s="11" t="str">
        <f>IFERROR(__xludf.DUMMYFUNCTION("""COMPUTED_VALUE"""),"CATEGORY_PAGE")</f>
        <v>CATEGORY_PAGE</v>
      </c>
      <c r="E34" s="11" t="str">
        <f>IFERROR(__xludf.DUMMYFUNCTION("""COMPUTED_VALUE"""),"CORPORATE")</f>
        <v>CORPORATE</v>
      </c>
      <c r="F34" s="11" t="str">
        <f>IFERROR(__xludf.DUMMYFUNCTION("""COMPUTED_VALUE"""),"Category Page")</f>
        <v>Category Page</v>
      </c>
      <c r="G34" s="11" t="b">
        <f>IFERROR(__xludf.DUMMYFUNCTION("""COMPUTED_VALUE"""),FALSE)</f>
        <v>0</v>
      </c>
      <c r="H34" s="11"/>
      <c r="I34" s="11">
        <f>IFERROR(__xludf.DUMMYFUNCTION("""COMPUTED_VALUE"""),18.0)</f>
        <v>18</v>
      </c>
      <c r="J34" s="11">
        <f>IFERROR(__xludf.DUMMYFUNCTION("""COMPUTED_VALUE"""),0.02)</f>
        <v>0.02</v>
      </c>
      <c r="K34" s="11">
        <f>IFERROR(__xludf.DUMMYFUNCTION("""COMPUTED_VALUE"""),0.33)</f>
        <v>0.33</v>
      </c>
    </row>
    <row r="35" ht="15.75" customHeight="1">
      <c r="A35" s="8" t="str">
        <f>IFERROR(__xludf.DUMMYFUNCTION("""COMPUTED_VALUE"""),"https://www.maibornwolff.de/en/ai-consulting/")</f>
        <v>https://www.maibornwolff.de/en/ai-consulting/</v>
      </c>
      <c r="B35" s="11" t="str">
        <f>IFERROR(__xludf.DUMMYFUNCTION("""COMPUTED_VALUE"""),"AI consulting for companies from MaibornWolff")</f>
        <v>AI consulting for companies from MaibornWolff</v>
      </c>
      <c r="C35" s="8" t="str">
        <f>IFERROR(__xludf.DUMMYFUNCTION("""COMPUTED_VALUE"""),"maibornwolff.de")</f>
        <v>maibornwolff.de</v>
      </c>
      <c r="D35" s="11" t="str">
        <f>IFERROR(__xludf.DUMMYFUNCTION("""COMPUTED_VALUE"""),"CATEGORY_PAGE")</f>
        <v>CATEGORY_PAGE</v>
      </c>
      <c r="E35" s="11" t="str">
        <f>IFERROR(__xludf.DUMMYFUNCTION("""COMPUTED_VALUE"""),"COMPETITOR")</f>
        <v>COMPETITOR</v>
      </c>
      <c r="F35" s="11" t="str">
        <f>IFERROR(__xludf.DUMMYFUNCTION("""COMPUTED_VALUE"""),"Category Page")</f>
        <v>Category Page</v>
      </c>
      <c r="G35" s="11" t="b">
        <f>IFERROR(__xludf.DUMMYFUNCTION("""COMPUTED_VALUE"""),FALSE)</f>
        <v>0</v>
      </c>
      <c r="H35" s="11" t="str">
        <f>IFERROR(__xludf.DUMMYFUNCTION("""COMPUTED_VALUE"""),"MaibornWolff, Pilot")</f>
        <v>MaibornWolff, Pilot</v>
      </c>
      <c r="I35" s="11">
        <f>IFERROR(__xludf.DUMMYFUNCTION("""COMPUTED_VALUE"""),18.0)</f>
        <v>18</v>
      </c>
      <c r="J35" s="11">
        <f>IFERROR(__xludf.DUMMYFUNCTION("""COMPUTED_VALUE"""),0.02)</f>
        <v>0.02</v>
      </c>
      <c r="K35" s="11">
        <f>IFERROR(__xludf.DUMMYFUNCTION("""COMPUTED_VALUE"""),1.67)</f>
        <v>1.67</v>
      </c>
    </row>
    <row r="36" ht="15.75" customHeight="1">
      <c r="A36" s="8" t="str">
        <f>IFERROR(__xludf.DUMMYFUNCTION("""COMPUTED_VALUE"""),"https://agencies.semrush.com/list/analytics-data-science/germany/")</f>
        <v>https://agencies.semrush.com/list/analytics-data-science/germany/</v>
      </c>
      <c r="B36" s="11" t="str">
        <f>IFERROR(__xludf.DUMMYFUNCTION("""COMPUTED_VALUE"""),"Best Data Analytics Services in Germany 2026 | Semrush")</f>
        <v>Best Data Analytics Services in Germany 2026 | Semrush</v>
      </c>
      <c r="C36" s="8" t="str">
        <f>IFERROR(__xludf.DUMMYFUNCTION("""COMPUTED_VALUE"""),"semrush.com")</f>
        <v>semrush.com</v>
      </c>
      <c r="D36" s="11" t="str">
        <f>IFERROR(__xludf.DUMMYFUNCTION("""COMPUTED_VALUE"""),"CATEGORY_PAGE")</f>
        <v>CATEGORY_PAGE</v>
      </c>
      <c r="E36" s="11" t="str">
        <f>IFERROR(__xludf.DUMMYFUNCTION("""COMPUTED_VALUE"""),"CORPORATE")</f>
        <v>CORPORATE</v>
      </c>
      <c r="F36" s="11" t="str">
        <f>IFERROR(__xludf.DUMMYFUNCTION("""COMPUTED_VALUE"""),"Category Page")</f>
        <v>Category Page</v>
      </c>
      <c r="G36" s="11" t="b">
        <f>IFERROR(__xludf.DUMMYFUNCTION("""COMPUTED_VALUE"""),FALSE)</f>
        <v>0</v>
      </c>
      <c r="H36" s="11" t="str">
        <f>IFERROR(__xludf.DUMMYFUNCTION("""COMPUTED_VALUE"""),"HECHT INS GEFECHT, Baseplus DIGITAL MEDIA GmbH, morefire, Mediaplus Performance, KlickPiloten")</f>
        <v>HECHT INS GEFECHT, Baseplus DIGITAL MEDIA GmbH, morefire, Mediaplus Performance, KlickPiloten</v>
      </c>
      <c r="I36" s="11">
        <f>IFERROR(__xludf.DUMMYFUNCTION("""COMPUTED_VALUE"""),17.0)</f>
        <v>17</v>
      </c>
      <c r="J36" s="11">
        <f>IFERROR(__xludf.DUMMYFUNCTION("""COMPUTED_VALUE"""),0.02)</f>
        <v>0.02</v>
      </c>
      <c r="K36" s="11">
        <f>IFERROR(__xludf.DUMMYFUNCTION("""COMPUTED_VALUE"""),0.0)</f>
        <v>0</v>
      </c>
    </row>
    <row r="37" ht="15.75" customHeight="1">
      <c r="A37" s="8" t="str">
        <f>IFERROR(__xludf.DUMMYFUNCTION("""COMPUTED_VALUE"""),"https://clutch.co/de/consulting/ai/strategy")</f>
        <v>https://clutch.co/de/consulting/ai/strategy</v>
      </c>
      <c r="B37" s="11" t="str">
        <f>IFERROR(__xludf.DUMMYFUNCTION("""COMPUTED_VALUE"""),"Top AI Strategy Companies in Germany - Jul 2026 Rankings \| Clutch.co")</f>
        <v>Top AI Strategy Companies in Germany - Jul 2026 Rankings \| Clutch.co</v>
      </c>
      <c r="C37" s="8" t="str">
        <f>IFERROR(__xludf.DUMMYFUNCTION("""COMPUTED_VALUE"""),"clutch.co")</f>
        <v>clutch.co</v>
      </c>
      <c r="D37" s="11" t="str">
        <f>IFERROR(__xludf.DUMMYFUNCTION("""COMPUTED_VALUE"""),"CATEGORY_PAGE")</f>
        <v>CATEGORY_PAGE</v>
      </c>
      <c r="E37" s="11" t="str">
        <f>IFERROR(__xludf.DUMMYFUNCTION("""COMPUTED_VALUE"""),"CORPORATE")</f>
        <v>CORPORATE</v>
      </c>
      <c r="F37" s="11" t="str">
        <f>IFERROR(__xludf.DUMMYFUNCTION("""COMPUTED_VALUE"""),"Category Page")</f>
        <v>Category Page</v>
      </c>
      <c r="G37" s="11" t="b">
        <f>IFERROR(__xludf.DUMMYFUNCTION("""COMPUTED_VALUE"""),FALSE)</f>
        <v>0</v>
      </c>
      <c r="H37" s="11" t="str">
        <f>IFERROR(__xludf.DUMMYFUNCTION("""COMPUTED_VALUE"""),"HECHT INS GEFECHT")</f>
        <v>HECHT INS GEFECHT</v>
      </c>
      <c r="I37" s="11">
        <f>IFERROR(__xludf.DUMMYFUNCTION("""COMPUTED_VALUE"""),17.0)</f>
        <v>17</v>
      </c>
      <c r="J37" s="11">
        <f>IFERROR(__xludf.DUMMYFUNCTION("""COMPUTED_VALUE"""),0.02)</f>
        <v>0.02</v>
      </c>
      <c r="K37" s="11">
        <f>IFERROR(__xludf.DUMMYFUNCTION("""COMPUTED_VALUE"""),0.06)</f>
        <v>0.06</v>
      </c>
    </row>
    <row r="38" ht="15.75" customHeight="1">
      <c r="A38" s="8" t="str">
        <f>IFERROR(__xludf.DUMMYFUNCTION("""COMPUTED_VALUE"""),"https://omr.com/de/reviews/service-category/performance-marketing-agenturen")</f>
        <v>https://omr.com/de/reviews/service-category/performance-marketing-agenturen</v>
      </c>
      <c r="B38" s="11" t="str">
        <f>IFERROR(__xludf.DUMMYFUNCTION("""COMPUTED_VALUE"""),"Top Performance Marketing Agenturen in Deutschland, Österreich und Schweiz")</f>
        <v>Top Performance Marketing Agenturen in Deutschland, Österreich und Schweiz</v>
      </c>
      <c r="C38" s="8" t="str">
        <f>IFERROR(__xludf.DUMMYFUNCTION("""COMPUTED_VALUE"""),"omr.com")</f>
        <v>omr.com</v>
      </c>
      <c r="D38" s="11" t="str">
        <f>IFERROR(__xludf.DUMMYFUNCTION("""COMPUTED_VALUE"""),"CATEGORY_PAGE")</f>
        <v>CATEGORY_PAGE</v>
      </c>
      <c r="E38" s="11" t="str">
        <f>IFERROR(__xludf.DUMMYFUNCTION("""COMPUTED_VALUE"""),"OTHER")</f>
        <v>OTHER</v>
      </c>
      <c r="F38" s="11" t="str">
        <f>IFERROR(__xludf.DUMMYFUNCTION("""COMPUTED_VALUE"""),"Category Page")</f>
        <v>Category Page</v>
      </c>
      <c r="G38" s="11" t="b">
        <f>IFERROR(__xludf.DUMMYFUNCTION("""COMPUTED_VALUE"""),FALSE)</f>
        <v>0</v>
      </c>
      <c r="H38" s="11" t="str">
        <f>IFERROR(__xludf.DUMMYFUNCTION("""COMPUTED_VALUE"""),"KlickPiloten, Löwenstark, Smarketer, Jung von Matt")</f>
        <v>KlickPiloten, Löwenstark, Smarketer, Jung von Matt</v>
      </c>
      <c r="I38" s="11">
        <f>IFERROR(__xludf.DUMMYFUNCTION("""COMPUTED_VALUE"""),17.0)</f>
        <v>17</v>
      </c>
      <c r="J38" s="11">
        <f>IFERROR(__xludf.DUMMYFUNCTION("""COMPUTED_VALUE"""),0.02)</f>
        <v>0.02</v>
      </c>
      <c r="K38" s="11">
        <f>IFERROR(__xludf.DUMMYFUNCTION("""COMPUTED_VALUE"""),0.59)</f>
        <v>0.59</v>
      </c>
    </row>
    <row r="39" ht="15.75" customHeight="1">
      <c r="A39" s="8" t="str">
        <f>IFERROR(__xludf.DUMMYFUNCTION("""COMPUTED_VALUE"""),"https://omr.com/en/reviews/service-category/geo-agenturen")</f>
        <v>https://omr.com/en/reviews/service-category/geo-agenturen</v>
      </c>
      <c r="B39" s="11" t="str">
        <f>IFERROR(__xludf.DUMMYFUNCTION("""COMPUTED_VALUE"""),"op GEO Agencies in Germany, Austria &amp;amp; Switzerland")</f>
        <v>op GEO Agencies in Germany, Austria &amp;amp; Switzerland</v>
      </c>
      <c r="C39" s="8" t="str">
        <f>IFERROR(__xludf.DUMMYFUNCTION("""COMPUTED_VALUE"""),"omr.com")</f>
        <v>omr.com</v>
      </c>
      <c r="D39" s="11" t="str">
        <f>IFERROR(__xludf.DUMMYFUNCTION("""COMPUTED_VALUE"""),"CATEGORY_PAGE")</f>
        <v>CATEGORY_PAGE</v>
      </c>
      <c r="E39" s="11" t="str">
        <f>IFERROR(__xludf.DUMMYFUNCTION("""COMPUTED_VALUE"""),"OTHER")</f>
        <v>OTHER</v>
      </c>
      <c r="F39" s="11" t="str">
        <f>IFERROR(__xludf.DUMMYFUNCTION("""COMPUTED_VALUE"""),"Category Page")</f>
        <v>Category Page</v>
      </c>
      <c r="G39" s="11" t="b">
        <f>IFERROR(__xludf.DUMMYFUNCTION("""COMPUTED_VALUE"""),FALSE)</f>
        <v>0</v>
      </c>
      <c r="H39" s="11" t="str">
        <f>IFERROR(__xludf.DUMMYFUNCTION("""COMPUTED_VALUE"""),"Claneo, HECHT INS GEFECHT, TRYSEO, Suchhelden, Kosch Klink Performance, Löwenstark")</f>
        <v>Claneo, HECHT INS GEFECHT, TRYSEO, Suchhelden, Kosch Klink Performance, Löwenstark</v>
      </c>
      <c r="I39" s="11">
        <f>IFERROR(__xludf.DUMMYFUNCTION("""COMPUTED_VALUE"""),17.0)</f>
        <v>17</v>
      </c>
      <c r="J39" s="11">
        <f>IFERROR(__xludf.DUMMYFUNCTION("""COMPUTED_VALUE"""),0.02)</f>
        <v>0.02</v>
      </c>
      <c r="K39" s="11">
        <f>IFERROR(__xludf.DUMMYFUNCTION("""COMPUTED_VALUE"""),0.0)</f>
        <v>0</v>
      </c>
    </row>
    <row r="40" ht="15.75" customHeight="1">
      <c r="A40" s="8" t="str">
        <f>IFERROR(__xludf.DUMMYFUNCTION("""COMPUTED_VALUE"""),"https://www.sortlist.com/s/digital-advertising/germany-de")</f>
        <v>https://www.sortlist.com/s/digital-advertising/germany-de</v>
      </c>
      <c r="B40" s="11" t="str">
        <f>IFERROR(__xludf.DUMMYFUNCTION("""COMPUTED_VALUE"""),"The 10 Best Digital Advertising Agencies in Germany - 2026 Reviews")</f>
        <v>The 10 Best Digital Advertising Agencies in Germany - 2026 Reviews</v>
      </c>
      <c r="C40" s="8" t="str">
        <f>IFERROR(__xludf.DUMMYFUNCTION("""COMPUTED_VALUE"""),"sortlist.com")</f>
        <v>sortlist.com</v>
      </c>
      <c r="D40" s="11" t="str">
        <f>IFERROR(__xludf.DUMMYFUNCTION("""COMPUTED_VALUE"""),"CATEGORY_PAGE")</f>
        <v>CATEGORY_PAGE</v>
      </c>
      <c r="E40" s="11" t="str">
        <f>IFERROR(__xludf.DUMMYFUNCTION("""COMPUTED_VALUE"""),"CORPORATE")</f>
        <v>CORPORATE</v>
      </c>
      <c r="F40" s="11" t="str">
        <f>IFERROR(__xludf.DUMMYFUNCTION("""COMPUTED_VALUE"""),"Category Page")</f>
        <v>Category Page</v>
      </c>
      <c r="G40" s="11" t="b">
        <f>IFERROR(__xludf.DUMMYFUNCTION("""COMPUTED_VALUE"""),FALSE)</f>
        <v>0</v>
      </c>
      <c r="H40" s="11" t="str">
        <f>IFERROR(__xludf.DUMMYFUNCTION("""COMPUTED_VALUE"""),"MONSOON, Triple Whale, Northbeam, Dreamdata, Momentum, Mediacharge")</f>
        <v>MONSOON, Triple Whale, Northbeam, Dreamdata, Momentum, Mediacharge</v>
      </c>
      <c r="I40" s="11">
        <f>IFERROR(__xludf.DUMMYFUNCTION("""COMPUTED_VALUE"""),17.0)</f>
        <v>17</v>
      </c>
      <c r="J40" s="11">
        <f>IFERROR(__xludf.DUMMYFUNCTION("""COMPUTED_VALUE"""),0.02)</f>
        <v>0.02</v>
      </c>
      <c r="K40" s="11">
        <f>IFERROR(__xludf.DUMMYFUNCTION("""COMPUTED_VALUE"""),1.0)</f>
        <v>1</v>
      </c>
    </row>
    <row r="41" ht="15.75" customHeight="1">
      <c r="A41" s="8" t="str">
        <f>IFERROR(__xludf.DUMMYFUNCTION("""COMPUTED_VALUE"""),"https://www.sortlist.com/s/media-planning/germany-de")</f>
        <v>https://www.sortlist.com/s/media-planning/germany-de</v>
      </c>
      <c r="B41" s="11" t="str">
        <f>IFERROR(__xludf.DUMMYFUNCTION("""COMPUTED_VALUE"""),"The 10 Best Media Agencies in Germany - 2026 Reviews")</f>
        <v>The 10 Best Media Agencies in Germany - 2026 Reviews</v>
      </c>
      <c r="C41" s="8" t="str">
        <f>IFERROR(__xludf.DUMMYFUNCTION("""COMPUTED_VALUE"""),"sortlist.com")</f>
        <v>sortlist.com</v>
      </c>
      <c r="D41" s="11" t="str">
        <f>IFERROR(__xludf.DUMMYFUNCTION("""COMPUTED_VALUE"""),"CATEGORY_PAGE")</f>
        <v>CATEGORY_PAGE</v>
      </c>
      <c r="E41" s="11" t="str">
        <f>IFERROR(__xludf.DUMMYFUNCTION("""COMPUTED_VALUE"""),"CORPORATE")</f>
        <v>CORPORATE</v>
      </c>
      <c r="F41" s="11" t="str">
        <f>IFERROR(__xludf.DUMMYFUNCTION("""COMPUTED_VALUE"""),"Category Page")</f>
        <v>Category Page</v>
      </c>
      <c r="G41" s="11" t="b">
        <f>IFERROR(__xludf.DUMMYFUNCTION("""COMPUTED_VALUE"""),FALSE)</f>
        <v>0</v>
      </c>
      <c r="H41" s="11" t="str">
        <f>IFERROR(__xludf.DUMMYFUNCTION("""COMPUTED_VALUE"""),"lehof, Momentum, Triple Whale, Northbeam, Dreamdata, Kantar")</f>
        <v>lehof, Momentum, Triple Whale, Northbeam, Dreamdata, Kantar</v>
      </c>
      <c r="I41" s="11">
        <f>IFERROR(__xludf.DUMMYFUNCTION("""COMPUTED_VALUE"""),17.0)</f>
        <v>17</v>
      </c>
      <c r="J41" s="11">
        <f>IFERROR(__xludf.DUMMYFUNCTION("""COMPUTED_VALUE"""),0.02)</f>
        <v>0.02</v>
      </c>
      <c r="K41" s="11">
        <f>IFERROR(__xludf.DUMMYFUNCTION("""COMPUTED_VALUE"""),0.24)</f>
        <v>0.24</v>
      </c>
    </row>
    <row r="42" ht="15.75" customHeight="1">
      <c r="A42" s="8" t="str">
        <f>IFERROR(__xludf.DUMMYFUNCTION("""COMPUTED_VALUE"""),"https://www.sortlist.de/s/marketing-analytik/deutschland-de")</f>
        <v>https://www.sortlist.de/s/marketing-analytik/deutschland-de</v>
      </c>
      <c r="B42" s="11" t="str">
        <f>IFERROR(__xludf.DUMMYFUNCTION("""COMPUTED_VALUE"""),"Marketing-Analytik Agenturen Deutschland vergleichen")</f>
        <v>Marketing-Analytik Agenturen Deutschland vergleichen</v>
      </c>
      <c r="C42" s="8" t="str">
        <f>IFERROR(__xludf.DUMMYFUNCTION("""COMPUTED_VALUE"""),"sortlist.de")</f>
        <v>sortlist.de</v>
      </c>
      <c r="D42" s="11" t="str">
        <f>IFERROR(__xludf.DUMMYFUNCTION("""COMPUTED_VALUE"""),"CATEGORY_PAGE")</f>
        <v>CATEGORY_PAGE</v>
      </c>
      <c r="E42" s="11" t="str">
        <f>IFERROR(__xludf.DUMMYFUNCTION("""COMPUTED_VALUE"""),"CORPORATE")</f>
        <v>CORPORATE</v>
      </c>
      <c r="F42" s="11" t="str">
        <f>IFERROR(__xludf.DUMMYFUNCTION("""COMPUTED_VALUE"""),"Category Page")</f>
        <v>Category Page</v>
      </c>
      <c r="G42" s="11" t="b">
        <f>IFERROR(__xludf.DUMMYFUNCTION("""COMPUTED_VALUE"""),FALSE)</f>
        <v>0</v>
      </c>
      <c r="H42" s="11" t="str">
        <f>IFERROR(__xludf.DUMMYFUNCTION("""COMPUTED_VALUE"""),"lehof, MONSOON")</f>
        <v>lehof, MONSOON</v>
      </c>
      <c r="I42" s="11">
        <f>IFERROR(__xludf.DUMMYFUNCTION("""COMPUTED_VALUE"""),17.0)</f>
        <v>17</v>
      </c>
      <c r="J42" s="11">
        <f>IFERROR(__xludf.DUMMYFUNCTION("""COMPUTED_VALUE"""),0.02)</f>
        <v>0.02</v>
      </c>
      <c r="K42" s="11">
        <f>IFERROR(__xludf.DUMMYFUNCTION("""COMPUTED_VALUE"""),1.47)</f>
        <v>1.47</v>
      </c>
    </row>
    <row r="43" ht="15.75" customHeight="1">
      <c r="A43" s="8" t="str">
        <f>IFERROR(__xludf.DUMMYFUNCTION("""COMPUTED_VALUE"""),"https://clutch.co/de/agencies/digital")</f>
        <v>https://clutch.co/de/agencies/digital</v>
      </c>
      <c r="B43" s="11" t="str">
        <f>IFERROR(__xludf.DUMMYFUNCTION("""COMPUTED_VALUE"""),"Top Full-Service Digital Agencies in Germany - Jul 2026 Rankings \| Clutch.co")</f>
        <v>Top Full-Service Digital Agencies in Germany - Jul 2026 Rankings \| Clutch.co</v>
      </c>
      <c r="C43" s="8" t="str">
        <f>IFERROR(__xludf.DUMMYFUNCTION("""COMPUTED_VALUE"""),"clutch.co")</f>
        <v>clutch.co</v>
      </c>
      <c r="D43" s="11" t="str">
        <f>IFERROR(__xludf.DUMMYFUNCTION("""COMPUTED_VALUE"""),"CATEGORY_PAGE")</f>
        <v>CATEGORY_PAGE</v>
      </c>
      <c r="E43" s="11" t="str">
        <f>IFERROR(__xludf.DUMMYFUNCTION("""COMPUTED_VALUE"""),"CORPORATE")</f>
        <v>CORPORATE</v>
      </c>
      <c r="F43" s="11" t="str">
        <f>IFERROR(__xludf.DUMMYFUNCTION("""COMPUTED_VALUE"""),"Category Page")</f>
        <v>Category Page</v>
      </c>
      <c r="G43" s="11" t="b">
        <f>IFERROR(__xludf.DUMMYFUNCTION("""COMPUTED_VALUE"""),FALSE)</f>
        <v>0</v>
      </c>
      <c r="H43" s="11" t="str">
        <f>IFERROR(__xludf.DUMMYFUNCTION("""COMPUTED_VALUE"""),"HY.AM STUDIOS, Huge, Digitalyze, DREIKON, morefire, Löwenstark")</f>
        <v>HY.AM STUDIOS, Huge, Digitalyze, DREIKON, morefire, Löwenstark</v>
      </c>
      <c r="I43" s="11">
        <f>IFERROR(__xludf.DUMMYFUNCTION("""COMPUTED_VALUE"""),16.0)</f>
        <v>16</v>
      </c>
      <c r="J43" s="11">
        <f>IFERROR(__xludf.DUMMYFUNCTION("""COMPUTED_VALUE"""),0.02)</f>
        <v>0.02</v>
      </c>
      <c r="K43" s="11">
        <f>IFERROR(__xludf.DUMMYFUNCTION("""COMPUTED_VALUE"""),0.25)</f>
        <v>0.25</v>
      </c>
    </row>
    <row r="44" ht="15.75" customHeight="1">
      <c r="A44" s="8" t="str">
        <f>IFERROR(__xludf.DUMMYFUNCTION("""COMPUTED_VALUE"""),"https://ensun.io/search/multi-touch-attribution/germany")</f>
        <v>https://ensun.io/search/multi-touch-attribution/germany</v>
      </c>
      <c r="B44" s="11" t="str">
        <f>IFERROR(__xludf.DUMMYFUNCTION("""COMPUTED_VALUE"""),"Top 100 Multi-Touch Attribution Companies in Germany (2026) \| ensun")</f>
        <v>Top 100 Multi-Touch Attribution Companies in Germany (2026) \| ensun</v>
      </c>
      <c r="C44" s="8" t="str">
        <f>IFERROR(__xludf.DUMMYFUNCTION("""COMPUTED_VALUE"""),"ensun.io")</f>
        <v>ensun.io</v>
      </c>
      <c r="D44" s="11" t="str">
        <f>IFERROR(__xludf.DUMMYFUNCTION("""COMPUTED_VALUE"""),"CATEGORY_PAGE")</f>
        <v>CATEGORY_PAGE</v>
      </c>
      <c r="E44" s="11" t="str">
        <f>IFERROR(__xludf.DUMMYFUNCTION("""COMPUTED_VALUE"""),"OTHER")</f>
        <v>OTHER</v>
      </c>
      <c r="F44" s="11" t="str">
        <f>IFERROR(__xludf.DUMMYFUNCTION("""COMPUTED_VALUE"""),"Category Page")</f>
        <v>Category Page</v>
      </c>
      <c r="G44" s="11" t="b">
        <f>IFERROR(__xludf.DUMMYFUNCTION("""COMPUTED_VALUE"""),FALSE)</f>
        <v>0</v>
      </c>
      <c r="H44" s="11"/>
      <c r="I44" s="11">
        <f>IFERROR(__xludf.DUMMYFUNCTION("""COMPUTED_VALUE"""),16.0)</f>
        <v>16</v>
      </c>
      <c r="J44" s="11">
        <f>IFERROR(__xludf.DUMMYFUNCTION("""COMPUTED_VALUE"""),0.02)</f>
        <v>0.02</v>
      </c>
      <c r="K44" s="11">
        <f>IFERROR(__xludf.DUMMYFUNCTION("""COMPUTED_VALUE"""),1.25)</f>
        <v>1.25</v>
      </c>
    </row>
    <row r="45" ht="15.75" customHeight="1">
      <c r="A45" s="8" t="str">
        <f>IFERROR(__xludf.DUMMYFUNCTION("""COMPUTED_VALUE"""),"https://slashdot.org/software/incrementality-testing/in-germany/")</f>
        <v>https://slashdot.org/software/incrementality-testing/in-germany/</v>
      </c>
      <c r="B45" s="11" t="str">
        <f>IFERROR(__xludf.DUMMYFUNCTION("""COMPUTED_VALUE"""),"Top Incrementality Testing Tools in Germany in 2026")</f>
        <v>Top Incrementality Testing Tools in Germany in 2026</v>
      </c>
      <c r="C45" s="8" t="str">
        <f>IFERROR(__xludf.DUMMYFUNCTION("""COMPUTED_VALUE"""),"slashdot.org")</f>
        <v>slashdot.org</v>
      </c>
      <c r="D45" s="11" t="str">
        <f>IFERROR(__xludf.DUMMYFUNCTION("""COMPUTED_VALUE"""),"CATEGORY_PAGE")</f>
        <v>CATEGORY_PAGE</v>
      </c>
      <c r="E45" s="11" t="str">
        <f>IFERROR(__xludf.DUMMYFUNCTION("""COMPUTED_VALUE"""),"EDITORIAL")</f>
        <v>EDITORIAL</v>
      </c>
      <c r="F45" s="11" t="str">
        <f>IFERROR(__xludf.DUMMYFUNCTION("""COMPUTED_VALUE"""),"Category Page")</f>
        <v>Category Page</v>
      </c>
      <c r="G45" s="11" t="b">
        <f>IFERROR(__xludf.DUMMYFUNCTION("""COMPUTED_VALUE"""),FALSE)</f>
        <v>0</v>
      </c>
      <c r="H45" s="11" t="str">
        <f>IFERROR(__xludf.DUMMYFUNCTION("""COMPUTED_VALUE"""),"Measured, LifeSight, Sellforte, Rockerbox, Recast, Haus, Analytic Partners")</f>
        <v>Measured, LifeSight, Sellforte, Rockerbox, Recast, Haus, Analytic Partners</v>
      </c>
      <c r="I45" s="11">
        <f>IFERROR(__xludf.DUMMYFUNCTION("""COMPUTED_VALUE"""),16.0)</f>
        <v>16</v>
      </c>
      <c r="J45" s="11">
        <f>IFERROR(__xludf.DUMMYFUNCTION("""COMPUTED_VALUE"""),0.02)</f>
        <v>0.02</v>
      </c>
      <c r="K45" s="11">
        <f>IFERROR(__xludf.DUMMYFUNCTION("""COMPUTED_VALUE"""),1.0)</f>
        <v>1</v>
      </c>
    </row>
    <row r="46" ht="15.75" customHeight="1">
      <c r="A46" s="8" t="str">
        <f>IFERROR(__xludf.DUMMYFUNCTION("""COMPUTED_VALUE"""),"https://enterprisemarketingportal.google/work-with-partners")</f>
        <v>https://enterprisemarketingportal.google/work-with-partners</v>
      </c>
      <c r="B46" s="11" t="str">
        <f>IFERROR(__xludf.DUMMYFUNCTION("""COMPUTED_VALUE"""),"Work with Partners")</f>
        <v>Work with Partners</v>
      </c>
      <c r="C46" s="11" t="str">
        <f>IFERROR(__xludf.DUMMYFUNCTION("""COMPUTED_VALUE"""),"enterprisemarketingportal.google")</f>
        <v>enterprisemarketingportal.google</v>
      </c>
      <c r="D46" s="11" t="str">
        <f>IFERROR(__xludf.DUMMYFUNCTION("""COMPUTED_VALUE"""),"CATEGORY_PAGE")</f>
        <v>CATEGORY_PAGE</v>
      </c>
      <c r="E46" s="11" t="str">
        <f>IFERROR(__xludf.DUMMYFUNCTION("""COMPUTED_VALUE"""),"CORPORATE")</f>
        <v>CORPORATE</v>
      </c>
      <c r="F46" s="11" t="str">
        <f>IFERROR(__xludf.DUMMYFUNCTION("""COMPUTED_VALUE"""),"Category Page")</f>
        <v>Category Page</v>
      </c>
      <c r="G46" s="11" t="b">
        <f>IFERROR(__xludf.DUMMYFUNCTION("""COMPUTED_VALUE"""),FALSE)</f>
        <v>0</v>
      </c>
      <c r="H46" s="11"/>
      <c r="I46" s="11">
        <f>IFERROR(__xludf.DUMMYFUNCTION("""COMPUTED_VALUE"""),15.0)</f>
        <v>15</v>
      </c>
      <c r="J46" s="11">
        <f>IFERROR(__xludf.DUMMYFUNCTION("""COMPUTED_VALUE"""),0.02)</f>
        <v>0.02</v>
      </c>
      <c r="K46" s="11">
        <f>IFERROR(__xludf.DUMMYFUNCTION("""COMPUTED_VALUE"""),0.53)</f>
        <v>0.53</v>
      </c>
    </row>
    <row r="47" ht="15.75" customHeight="1">
      <c r="A47" s="8" t="str">
        <f>IFERROR(__xludf.DUMMYFUNCTION("""COMPUTED_VALUE"""),"https://www.gartner.com/reviews/market/incrementality-measurement-platforms")</f>
        <v>https://www.gartner.com/reviews/market/incrementality-measurement-platforms</v>
      </c>
      <c r="B47" s="11" t="str">
        <f>IFERROR(__xludf.DUMMYFUNCTION("""COMPUTED_VALUE"""),"Best Incrementality Measurement Platforms Reviews 2026 \| Gartner Peer Insights")</f>
        <v>Best Incrementality Measurement Platforms Reviews 2026 \| Gartner Peer Insights</v>
      </c>
      <c r="C47" s="8" t="str">
        <f>IFERROR(__xludf.DUMMYFUNCTION("""COMPUTED_VALUE"""),"gartner.com")</f>
        <v>gartner.com</v>
      </c>
      <c r="D47" s="11" t="str">
        <f>IFERROR(__xludf.DUMMYFUNCTION("""COMPUTED_VALUE"""),"CATEGORY_PAGE")</f>
        <v>CATEGORY_PAGE</v>
      </c>
      <c r="E47" s="11" t="str">
        <f>IFERROR(__xludf.DUMMYFUNCTION("""COMPUTED_VALUE"""),"CORPORATE")</f>
        <v>CORPORATE</v>
      </c>
      <c r="F47" s="11" t="str">
        <f>IFERROR(__xludf.DUMMYFUNCTION("""COMPUTED_VALUE"""),"Category Page")</f>
        <v>Category Page</v>
      </c>
      <c r="G47" s="11" t="b">
        <f>IFERROR(__xludf.DUMMYFUNCTION("""COMPUTED_VALUE"""),FALSE)</f>
        <v>0</v>
      </c>
      <c r="H47" s="11" t="str">
        <f>IFERROR(__xludf.DUMMYFUNCTION("""COMPUTED_VALUE"""),"Haus, SegmentStream, Measured, INCRMNTAL, LifeSight, Recast")</f>
        <v>Haus, SegmentStream, Measured, INCRMNTAL, LifeSight, Recast</v>
      </c>
      <c r="I47" s="11">
        <f>IFERROR(__xludf.DUMMYFUNCTION("""COMPUTED_VALUE"""),15.0)</f>
        <v>15</v>
      </c>
      <c r="J47" s="11">
        <f>IFERROR(__xludf.DUMMYFUNCTION("""COMPUTED_VALUE"""),0.02)</f>
        <v>0.02</v>
      </c>
      <c r="K47" s="11">
        <f>IFERROR(__xludf.DUMMYFUNCTION("""COMPUTED_VALUE"""),0.47)</f>
        <v>0.47</v>
      </c>
    </row>
    <row r="48" ht="15.75" customHeight="1">
      <c r="A48" s="8" t="str">
        <f>IFERROR(__xludf.DUMMYFUNCTION("""COMPUTED_VALUE"""),"https://agencyvista.com/lists/google-marketing-platform-sales-partners/")</f>
        <v>https://agencyvista.com/lists/google-marketing-platform-sales-partners/</v>
      </c>
      <c r="B48" s="11" t="str">
        <f>IFERROR(__xludf.DUMMYFUNCTION("""COMPUTED_VALUE"""),"Google Marketing Platform Sales Partners. May 2025 Reviews. | Agency Vista")</f>
        <v>Google Marketing Platform Sales Partners. May 2025 Reviews. | Agency Vista</v>
      </c>
      <c r="C48" s="8" t="str">
        <f>IFERROR(__xludf.DUMMYFUNCTION("""COMPUTED_VALUE"""),"agencyvista.com")</f>
        <v>agencyvista.com</v>
      </c>
      <c r="D48" s="11" t="str">
        <f>IFERROR(__xludf.DUMMYFUNCTION("""COMPUTED_VALUE"""),"CATEGORY_PAGE")</f>
        <v>CATEGORY_PAGE</v>
      </c>
      <c r="E48" s="11" t="str">
        <f>IFERROR(__xludf.DUMMYFUNCTION("""COMPUTED_VALUE"""),"CORPORATE")</f>
        <v>CORPORATE</v>
      </c>
      <c r="F48" s="11" t="str">
        <f>IFERROR(__xludf.DUMMYFUNCTION("""COMPUTED_VALUE"""),"Category Page")</f>
        <v>Category Page</v>
      </c>
      <c r="G48" s="11" t="b">
        <f>IFERROR(__xludf.DUMMYFUNCTION("""COMPUTED_VALUE"""),FALSE)</f>
        <v>0</v>
      </c>
      <c r="H48" s="11" t="str">
        <f>IFERROR(__xludf.DUMMYFUNCTION("""COMPUTED_VALUE"""),"AKQA, Brainlabs, Artefact, e-dialog, Merkle, Jellyfish, Adswerve, Deloitte Digital, Dentsu, Croud, Making Science, Ogilvy, iProspect, DEPT")</f>
        <v>AKQA, Brainlabs, Artefact, e-dialog, Merkle, Jellyfish, Adswerve, Deloitte Digital, Dentsu, Croud, Making Science, Ogilvy, iProspect, DEPT</v>
      </c>
      <c r="I48" s="11">
        <f>IFERROR(__xludf.DUMMYFUNCTION("""COMPUTED_VALUE"""),14.0)</f>
        <v>14</v>
      </c>
      <c r="J48" s="11">
        <f>IFERROR(__xludf.DUMMYFUNCTION("""COMPUTED_VALUE"""),0.01)</f>
        <v>0.01</v>
      </c>
      <c r="K48" s="11">
        <f>IFERROR(__xludf.DUMMYFUNCTION("""COMPUTED_VALUE"""),0.43)</f>
        <v>0.43</v>
      </c>
    </row>
    <row r="49" ht="15.75" customHeight="1">
      <c r="A49" s="8" t="str">
        <f>IFERROR(__xludf.DUMMYFUNCTION("""COMPUTED_VALUE"""),"https://omr.com/en/reviews/service-category/performance-marketing-agenturen/berlin")</f>
        <v>https://omr.com/en/reviews/service-category/performance-marketing-agenturen/berlin</v>
      </c>
      <c r="B49" s="11" t="str">
        <f>IFERROR(__xludf.DUMMYFUNCTION("""COMPUTED_VALUE"""),"Performance Marketing Agencies Compared | OMR Reviews")</f>
        <v>Performance Marketing Agencies Compared | OMR Reviews</v>
      </c>
      <c r="C49" s="8" t="str">
        <f>IFERROR(__xludf.DUMMYFUNCTION("""COMPUTED_VALUE"""),"omr.com")</f>
        <v>omr.com</v>
      </c>
      <c r="D49" s="11" t="str">
        <f>IFERROR(__xludf.DUMMYFUNCTION("""COMPUTED_VALUE"""),"CATEGORY_PAGE")</f>
        <v>CATEGORY_PAGE</v>
      </c>
      <c r="E49" s="11" t="str">
        <f>IFERROR(__xludf.DUMMYFUNCTION("""COMPUTED_VALUE"""),"OTHER")</f>
        <v>OTHER</v>
      </c>
      <c r="F49" s="11" t="str">
        <f>IFERROR(__xludf.DUMMYFUNCTION("""COMPUTED_VALUE"""),"Category Page")</f>
        <v>Category Page</v>
      </c>
      <c r="G49" s="11" t="b">
        <f>IFERROR(__xludf.DUMMYFUNCTION("""COMPUTED_VALUE"""),FALSE)</f>
        <v>0</v>
      </c>
      <c r="H49" s="11" t="str">
        <f>IFERROR(__xludf.DUMMYFUNCTION("""COMPUTED_VALUE"""),"KlickPiloten, Löwenstark, Smarketer")</f>
        <v>KlickPiloten, Löwenstark, Smarketer</v>
      </c>
      <c r="I49" s="11">
        <f>IFERROR(__xludf.DUMMYFUNCTION("""COMPUTED_VALUE"""),14.0)</f>
        <v>14</v>
      </c>
      <c r="J49" s="11">
        <f>IFERROR(__xludf.DUMMYFUNCTION("""COMPUTED_VALUE"""),0.01)</f>
        <v>0.01</v>
      </c>
      <c r="K49" s="11">
        <f>IFERROR(__xludf.DUMMYFUNCTION("""COMPUTED_VALUE"""),0.71)</f>
        <v>0.71</v>
      </c>
    </row>
    <row r="50" ht="15.75" customHeight="1">
      <c r="A50" s="8" t="str">
        <f>IFERROR(__xludf.DUMMYFUNCTION("""COMPUTED_VALUE"""),"https://slashdot.org/software/marketing-attribution/in-germany/")</f>
        <v>https://slashdot.org/software/marketing-attribution/in-germany/</v>
      </c>
      <c r="B50" s="11" t="str">
        <f>IFERROR(__xludf.DUMMYFUNCTION("""COMPUTED_VALUE"""),"Top Marketing Attribution Software in Germany in 2026")</f>
        <v>Top Marketing Attribution Software in Germany in 2026</v>
      </c>
      <c r="C50" s="8" t="str">
        <f>IFERROR(__xludf.DUMMYFUNCTION("""COMPUTED_VALUE"""),"slashdot.org")</f>
        <v>slashdot.org</v>
      </c>
      <c r="D50" s="11" t="str">
        <f>IFERROR(__xludf.DUMMYFUNCTION("""COMPUTED_VALUE"""),"CATEGORY_PAGE")</f>
        <v>CATEGORY_PAGE</v>
      </c>
      <c r="E50" s="11" t="str">
        <f>IFERROR(__xludf.DUMMYFUNCTION("""COMPUTED_VALUE"""),"EDITORIAL")</f>
        <v>EDITORIAL</v>
      </c>
      <c r="F50" s="11" t="str">
        <f>IFERROR(__xludf.DUMMYFUNCTION("""COMPUTED_VALUE"""),"Category Page")</f>
        <v>Category Page</v>
      </c>
      <c r="G50" s="11" t="b">
        <f>IFERROR(__xludf.DUMMYFUNCTION("""COMPUTED_VALUE"""),FALSE)</f>
        <v>0</v>
      </c>
      <c r="H50" s="11" t="str">
        <f>IFERROR(__xludf.DUMMYFUNCTION("""COMPUTED_VALUE"""),"Triple Whale, Cometly, Measured")</f>
        <v>Triple Whale, Cometly, Measured</v>
      </c>
      <c r="I50" s="11">
        <f>IFERROR(__xludf.DUMMYFUNCTION("""COMPUTED_VALUE"""),14.0)</f>
        <v>14</v>
      </c>
      <c r="J50" s="11">
        <f>IFERROR(__xludf.DUMMYFUNCTION("""COMPUTED_VALUE"""),0.01)</f>
        <v>0.01</v>
      </c>
      <c r="K50" s="11">
        <f>IFERROR(__xludf.DUMMYFUNCTION("""COMPUTED_VALUE"""),0.0)</f>
        <v>0</v>
      </c>
    </row>
    <row r="51" ht="15.75" customHeight="1">
      <c r="A51" s="8" t="str">
        <f>IFERROR(__xludf.DUMMYFUNCTION("""COMPUTED_VALUE"""),"https://www.sortlist.de/s/display-werbung/deutschland-de")</f>
        <v>https://www.sortlist.de/s/display-werbung/deutschland-de</v>
      </c>
      <c r="B51" s="11" t="str">
        <f>IFERROR(__xludf.DUMMYFUNCTION("""COMPUTED_VALUE"""),"Unsere 10 Besten Display Anzeigen Agenturen in Deutschland - 2026 Bewertungen")</f>
        <v>Unsere 10 Besten Display Anzeigen Agenturen in Deutschland - 2026 Bewertungen</v>
      </c>
      <c r="C51" s="8" t="str">
        <f>IFERROR(__xludf.DUMMYFUNCTION("""COMPUTED_VALUE"""),"sortlist.de")</f>
        <v>sortlist.de</v>
      </c>
      <c r="D51" s="11" t="str">
        <f>IFERROR(__xludf.DUMMYFUNCTION("""COMPUTED_VALUE"""),"CATEGORY_PAGE")</f>
        <v>CATEGORY_PAGE</v>
      </c>
      <c r="E51" s="11" t="str">
        <f>IFERROR(__xludf.DUMMYFUNCTION("""COMPUTED_VALUE"""),"CORPORATE")</f>
        <v>CORPORATE</v>
      </c>
      <c r="F51" s="11" t="str">
        <f>IFERROR(__xludf.DUMMYFUNCTION("""COMPUTED_VALUE"""),"Category Page")</f>
        <v>Category Page</v>
      </c>
      <c r="G51" s="11" t="b">
        <f>IFERROR(__xludf.DUMMYFUNCTION("""COMPUTED_VALUE"""),FALSE)</f>
        <v>0</v>
      </c>
      <c r="H51" s="11" t="str">
        <f>IFERROR(__xludf.DUMMYFUNCTION("""COMPUTED_VALUE"""),"MONSOON, Triple Whale, Northbeam, Dreamdata, KlickPiloten, Mediacharge")</f>
        <v>MONSOON, Triple Whale, Northbeam, Dreamdata, KlickPiloten, Mediacharge</v>
      </c>
      <c r="I51" s="11">
        <f>IFERROR(__xludf.DUMMYFUNCTION("""COMPUTED_VALUE"""),14.0)</f>
        <v>14</v>
      </c>
      <c r="J51" s="11">
        <f>IFERROR(__xludf.DUMMYFUNCTION("""COMPUTED_VALUE"""),0.01)</f>
        <v>0.01</v>
      </c>
      <c r="K51" s="11">
        <f>IFERROR(__xludf.DUMMYFUNCTION("""COMPUTED_VALUE"""),2.86)</f>
        <v>2.86</v>
      </c>
    </row>
    <row r="52" ht="15.75" customHeight="1">
      <c r="A52" s="8" t="str">
        <f>IFERROR(__xludf.DUMMYFUNCTION("""COMPUTED_VALUE"""),"https://clutch.co/de/agencies/branding")</f>
        <v>https://clutch.co/de/agencies/branding</v>
      </c>
      <c r="B52" s="11" t="str">
        <f>IFERROR(__xludf.DUMMYFUNCTION("""COMPUTED_VALUE"""),"Top Branding Agencies in Germany - Jul 2026 Rankings \| Clutch.co")</f>
        <v>Top Branding Agencies in Germany - Jul 2026 Rankings \| Clutch.co</v>
      </c>
      <c r="C52" s="8" t="str">
        <f>IFERROR(__xludf.DUMMYFUNCTION("""COMPUTED_VALUE"""),"clutch.co")</f>
        <v>clutch.co</v>
      </c>
      <c r="D52" s="11" t="str">
        <f>IFERROR(__xludf.DUMMYFUNCTION("""COMPUTED_VALUE"""),"CATEGORY_PAGE")</f>
        <v>CATEGORY_PAGE</v>
      </c>
      <c r="E52" s="11" t="str">
        <f>IFERROR(__xludf.DUMMYFUNCTION("""COMPUTED_VALUE"""),"CORPORATE")</f>
        <v>CORPORATE</v>
      </c>
      <c r="F52" s="11" t="str">
        <f>IFERROR(__xludf.DUMMYFUNCTION("""COMPUTED_VALUE"""),"Category Page")</f>
        <v>Category Page</v>
      </c>
      <c r="G52" s="11" t="b">
        <f>IFERROR(__xludf.DUMMYFUNCTION("""COMPUTED_VALUE"""),FALSE)</f>
        <v>0</v>
      </c>
      <c r="H52" s="11" t="str">
        <f>IFERROR(__xludf.DUMMYFUNCTION("""COMPUTED_VALUE"""),"PANORAMA3000, HY.AM STUDIOS")</f>
        <v>PANORAMA3000, HY.AM STUDIOS</v>
      </c>
      <c r="I52" s="11">
        <f>IFERROR(__xludf.DUMMYFUNCTION("""COMPUTED_VALUE"""),13.0)</f>
        <v>13</v>
      </c>
      <c r="J52" s="11">
        <f>IFERROR(__xludf.DUMMYFUNCTION("""COMPUTED_VALUE"""),0.01)</f>
        <v>0.01</v>
      </c>
      <c r="K52" s="11">
        <f>IFERROR(__xludf.DUMMYFUNCTION("""COMPUTED_VALUE"""),0.0)</f>
        <v>0</v>
      </c>
    </row>
    <row r="53" ht="15.75" customHeight="1">
      <c r="A53" s="8" t="str">
        <f>IFERROR(__xludf.DUMMYFUNCTION("""COMPUTED_VALUE"""),"https://clutch.co/de/agencies/ppc")</f>
        <v>https://clutch.co/de/agencies/ppc</v>
      </c>
      <c r="B53" s="11" t="str">
        <f>IFERROR(__xludf.DUMMYFUNCTION("""COMPUTED_VALUE"""),"Top PPC Agencies in Germany - Jul 2026 Rankings \| Clutch.co")</f>
        <v>Top PPC Agencies in Germany - Jul 2026 Rankings \| Clutch.co</v>
      </c>
      <c r="C53" s="8" t="str">
        <f>IFERROR(__xludf.DUMMYFUNCTION("""COMPUTED_VALUE"""),"clutch.co")</f>
        <v>clutch.co</v>
      </c>
      <c r="D53" s="11" t="str">
        <f>IFERROR(__xludf.DUMMYFUNCTION("""COMPUTED_VALUE"""),"CATEGORY_PAGE")</f>
        <v>CATEGORY_PAGE</v>
      </c>
      <c r="E53" s="11" t="str">
        <f>IFERROR(__xludf.DUMMYFUNCTION("""COMPUTED_VALUE"""),"CORPORATE")</f>
        <v>CORPORATE</v>
      </c>
      <c r="F53" s="11" t="str">
        <f>IFERROR(__xludf.DUMMYFUNCTION("""COMPUTED_VALUE"""),"Category Page")</f>
        <v>Category Page</v>
      </c>
      <c r="G53" s="11" t="b">
        <f>IFERROR(__xludf.DUMMYFUNCTION("""COMPUTED_VALUE"""),FALSE)</f>
        <v>0</v>
      </c>
      <c r="H53" s="11" t="str">
        <f>IFERROR(__xludf.DUMMYFUNCTION("""COMPUTED_VALUE"""),"Mediacharge, MONSOON, REPLUG, Seeders, KlickPiloten, Smarketer, eMinded GmbH, Peak Ace, Think11")</f>
        <v>Mediacharge, MONSOON, REPLUG, Seeders, KlickPiloten, Smarketer, eMinded GmbH, Peak Ace, Think11</v>
      </c>
      <c r="I53" s="11">
        <f>IFERROR(__xludf.DUMMYFUNCTION("""COMPUTED_VALUE"""),13.0)</f>
        <v>13</v>
      </c>
      <c r="J53" s="11">
        <f>IFERROR(__xludf.DUMMYFUNCTION("""COMPUTED_VALUE"""),0.01)</f>
        <v>0.01</v>
      </c>
      <c r="K53" s="11">
        <f>IFERROR(__xludf.DUMMYFUNCTION("""COMPUTED_VALUE"""),0.54)</f>
        <v>0.54</v>
      </c>
    </row>
    <row r="54" ht="15.75" customHeight="1">
      <c r="A54" s="8" t="str">
        <f>IFERROR(__xludf.DUMMYFUNCTION("""COMPUTED_VALUE"""),"https://ensun.io/search/ai-marketing/germany")</f>
        <v>https://ensun.io/search/ai-marketing/germany</v>
      </c>
      <c r="B54" s="11" t="str">
        <f>IFERROR(__xludf.DUMMYFUNCTION("""COMPUTED_VALUE"""),"Top 100 AI Marketing Companies in Germany (2026) \| ensun")</f>
        <v>Top 100 AI Marketing Companies in Germany (2026) \| ensun</v>
      </c>
      <c r="C54" s="8" t="str">
        <f>IFERROR(__xludf.DUMMYFUNCTION("""COMPUTED_VALUE"""),"ensun.io")</f>
        <v>ensun.io</v>
      </c>
      <c r="D54" s="11" t="str">
        <f>IFERROR(__xludf.DUMMYFUNCTION("""COMPUTED_VALUE"""),"CATEGORY_PAGE")</f>
        <v>CATEGORY_PAGE</v>
      </c>
      <c r="E54" s="11" t="str">
        <f>IFERROR(__xludf.DUMMYFUNCTION("""COMPUTED_VALUE"""),"OTHER")</f>
        <v>OTHER</v>
      </c>
      <c r="F54" s="11" t="str">
        <f>IFERROR(__xludf.DUMMYFUNCTION("""COMPUTED_VALUE"""),"Category Page")</f>
        <v>Category Page</v>
      </c>
      <c r="G54" s="11" t="b">
        <f>IFERROR(__xludf.DUMMYFUNCTION("""COMPUTED_VALUE"""),FALSE)</f>
        <v>0</v>
      </c>
      <c r="H54" s="11"/>
      <c r="I54" s="11">
        <f>IFERROR(__xludf.DUMMYFUNCTION("""COMPUTED_VALUE"""),13.0)</f>
        <v>13</v>
      </c>
      <c r="J54" s="11">
        <f>IFERROR(__xludf.DUMMYFUNCTION("""COMPUTED_VALUE"""),0.01)</f>
        <v>0.01</v>
      </c>
      <c r="K54" s="11">
        <f>IFERROR(__xludf.DUMMYFUNCTION("""COMPUTED_VALUE"""),0.46)</f>
        <v>0.46</v>
      </c>
    </row>
    <row r="55" ht="15.75" customHeight="1">
      <c r="A55" s="8" t="str">
        <f>IFERROR(__xludf.DUMMYFUNCTION("""COMPUTED_VALUE"""),"https://feedbax.de/performance-marketing-agentur/deutschland")</f>
        <v>https://feedbax.de/performance-marketing-agentur/deutschland</v>
      </c>
      <c r="B55" s="11" t="str">
        <f>IFERROR(__xludf.DUMMYFUNCTION("""COMPUTED_VALUE"""),"Die 20 besten Performance Marketing Agenturen in Deutschland 🥇 2026 Ranking")</f>
        <v>Die 20 besten Performance Marketing Agenturen in Deutschland 🥇 2026 Ranking</v>
      </c>
      <c r="C55" s="8" t="str">
        <f>IFERROR(__xludf.DUMMYFUNCTION("""COMPUTED_VALUE"""),"feedbax.de")</f>
        <v>feedbax.de</v>
      </c>
      <c r="D55" s="11" t="str">
        <f>IFERROR(__xludf.DUMMYFUNCTION("""COMPUTED_VALUE"""),"CATEGORY_PAGE")</f>
        <v>CATEGORY_PAGE</v>
      </c>
      <c r="E55" s="11" t="str">
        <f>IFERROR(__xludf.DUMMYFUNCTION("""COMPUTED_VALUE"""),"REFERENCE")</f>
        <v>REFERENCE</v>
      </c>
      <c r="F55" s="11" t="str">
        <f>IFERROR(__xludf.DUMMYFUNCTION("""COMPUTED_VALUE"""),"Category Page")</f>
        <v>Category Page</v>
      </c>
      <c r="G55" s="11" t="b">
        <f>IFERROR(__xludf.DUMMYFUNCTION("""COMPUTED_VALUE"""),FALSE)</f>
        <v>0</v>
      </c>
      <c r="H55" s="11" t="str">
        <f>IFERROR(__xludf.DUMMYFUNCTION("""COMPUTED_VALUE"""),"PANORAMA3000, KlickPiloten, Mediacharge, Smarketer, DREIKON, Suchhelden")</f>
        <v>PANORAMA3000, KlickPiloten, Mediacharge, Smarketer, DREIKON, Suchhelden</v>
      </c>
      <c r="I55" s="11">
        <f>IFERROR(__xludf.DUMMYFUNCTION("""COMPUTED_VALUE"""),13.0)</f>
        <v>13</v>
      </c>
      <c r="J55" s="11">
        <f>IFERROR(__xludf.DUMMYFUNCTION("""COMPUTED_VALUE"""),0.01)</f>
        <v>0.01</v>
      </c>
      <c r="K55" s="11">
        <f>IFERROR(__xludf.DUMMYFUNCTION("""COMPUTED_VALUE"""),0.23)</f>
        <v>0.23</v>
      </c>
    </row>
    <row r="56" ht="15.75" customHeight="1">
      <c r="A56" s="8" t="str">
        <f>IFERROR(__xludf.DUMMYFUNCTION("""COMPUTED_VALUE"""),"https://www.sortlist.com/s/attribution-marketing/berlin-de")</f>
        <v>https://www.sortlist.com/s/attribution-marketing/berlin-de</v>
      </c>
      <c r="B56" s="11" t="str">
        <f>IFERROR(__xludf.DUMMYFUNCTION("""COMPUTED_VALUE"""),"The 10 Best Attribution Marketing Agencies in Berlin - 2026 Reviews")</f>
        <v>The 10 Best Attribution Marketing Agencies in Berlin - 2026 Reviews</v>
      </c>
      <c r="C56" s="8" t="str">
        <f>IFERROR(__xludf.DUMMYFUNCTION("""COMPUTED_VALUE"""),"sortlist.com")</f>
        <v>sortlist.com</v>
      </c>
      <c r="D56" s="11" t="str">
        <f>IFERROR(__xludf.DUMMYFUNCTION("""COMPUTED_VALUE"""),"CATEGORY_PAGE")</f>
        <v>CATEGORY_PAGE</v>
      </c>
      <c r="E56" s="11" t="str">
        <f>IFERROR(__xludf.DUMMYFUNCTION("""COMPUTED_VALUE"""),"CORPORATE")</f>
        <v>CORPORATE</v>
      </c>
      <c r="F56" s="11" t="str">
        <f>IFERROR(__xludf.DUMMYFUNCTION("""COMPUTED_VALUE"""),"Category Page")</f>
        <v>Category Page</v>
      </c>
      <c r="G56" s="11" t="b">
        <f>IFERROR(__xludf.DUMMYFUNCTION("""COMPUTED_VALUE"""),FALSE)</f>
        <v>0</v>
      </c>
      <c r="H56" s="11" t="str">
        <f>IFERROR(__xludf.DUMMYFUNCTION("""COMPUTED_VALUE"""),"Triple Whale, Northbeam, Dreamdata, Customlytics")</f>
        <v>Triple Whale, Northbeam, Dreamdata, Customlytics</v>
      </c>
      <c r="I56" s="11">
        <f>IFERROR(__xludf.DUMMYFUNCTION("""COMPUTED_VALUE"""),13.0)</f>
        <v>13</v>
      </c>
      <c r="J56" s="11">
        <f>IFERROR(__xludf.DUMMYFUNCTION("""COMPUTED_VALUE"""),0.01)</f>
        <v>0.01</v>
      </c>
      <c r="K56" s="11">
        <f>IFERROR(__xludf.DUMMYFUNCTION("""COMPUTED_VALUE"""),0.85)</f>
        <v>0.85</v>
      </c>
    </row>
    <row r="57" ht="15.75" customHeight="1">
      <c r="A57" s="8" t="str">
        <f>IFERROR(__xludf.DUMMYFUNCTION("""COMPUTED_VALUE"""),"https://www.sortlist.com/s/attribution-marketing/germany-de")</f>
        <v>https://www.sortlist.com/s/attribution-marketing/germany-de</v>
      </c>
      <c r="B57" s="11" t="str">
        <f>IFERROR(__xludf.DUMMYFUNCTION("""COMPUTED_VALUE"""),"The 10 Best Attribution Marketing Agencies in Germany - 2026 Reviews")</f>
        <v>The 10 Best Attribution Marketing Agencies in Germany - 2026 Reviews</v>
      </c>
      <c r="C57" s="8" t="str">
        <f>IFERROR(__xludf.DUMMYFUNCTION("""COMPUTED_VALUE"""),"sortlist.com")</f>
        <v>sortlist.com</v>
      </c>
      <c r="D57" s="11" t="str">
        <f>IFERROR(__xludf.DUMMYFUNCTION("""COMPUTED_VALUE"""),"CATEGORY_PAGE")</f>
        <v>CATEGORY_PAGE</v>
      </c>
      <c r="E57" s="11" t="str">
        <f>IFERROR(__xludf.DUMMYFUNCTION("""COMPUTED_VALUE"""),"CORPORATE")</f>
        <v>CORPORATE</v>
      </c>
      <c r="F57" s="11" t="str">
        <f>IFERROR(__xludf.DUMMYFUNCTION("""COMPUTED_VALUE"""),"Category Page")</f>
        <v>Category Page</v>
      </c>
      <c r="G57" s="11" t="b">
        <f>IFERROR(__xludf.DUMMYFUNCTION("""COMPUTED_VALUE"""),FALSE)</f>
        <v>0</v>
      </c>
      <c r="H57" s="11" t="str">
        <f>IFERROR(__xludf.DUMMYFUNCTION("""COMPUTED_VALUE"""),"Triple Whale, Northbeam, Dreamdata, Customlytics")</f>
        <v>Triple Whale, Northbeam, Dreamdata, Customlytics</v>
      </c>
      <c r="I57" s="11">
        <f>IFERROR(__xludf.DUMMYFUNCTION("""COMPUTED_VALUE"""),13.0)</f>
        <v>13</v>
      </c>
      <c r="J57" s="11">
        <f>IFERROR(__xludf.DUMMYFUNCTION("""COMPUTED_VALUE"""),0.01)</f>
        <v>0.01</v>
      </c>
      <c r="K57" s="11">
        <f>IFERROR(__xludf.DUMMYFUNCTION("""COMPUTED_VALUE"""),1.77)</f>
        <v>1.77</v>
      </c>
    </row>
    <row r="58" ht="15.75" customHeight="1">
      <c r="A58" s="8" t="str">
        <f>IFERROR(__xludf.DUMMYFUNCTION("""COMPUTED_VALUE"""),"https://themanifest.com/de/digital-marketing/agencies")</f>
        <v>https://themanifest.com/de/digital-marketing/agencies</v>
      </c>
      <c r="B58" s="11" t="str">
        <f>IFERROR(__xludf.DUMMYFUNCTION("""COMPUTED_VALUE"""),"The Best Digital Marketing Companies in Germany - Jul 2026 | The Manifest")</f>
        <v>The Best Digital Marketing Companies in Germany - Jul 2026 | The Manifest</v>
      </c>
      <c r="C58" s="8" t="str">
        <f>IFERROR(__xludf.DUMMYFUNCTION("""COMPUTED_VALUE"""),"themanifest.com")</f>
        <v>themanifest.com</v>
      </c>
      <c r="D58" s="11" t="str">
        <f>IFERROR(__xludf.DUMMYFUNCTION("""COMPUTED_VALUE"""),"CATEGORY_PAGE")</f>
        <v>CATEGORY_PAGE</v>
      </c>
      <c r="E58" s="11" t="str">
        <f>IFERROR(__xludf.DUMMYFUNCTION("""COMPUTED_VALUE"""),"REFERENCE")</f>
        <v>REFERENCE</v>
      </c>
      <c r="F58" s="11" t="str">
        <f>IFERROR(__xludf.DUMMYFUNCTION("""COMPUTED_VALUE"""),"Category Page")</f>
        <v>Category Page</v>
      </c>
      <c r="G58" s="11" t="b">
        <f>IFERROR(__xludf.DUMMYFUNCTION("""COMPUTED_VALUE"""),FALSE)</f>
        <v>0</v>
      </c>
      <c r="H58" s="11" t="str">
        <f>IFERROR(__xludf.DUMMYFUNCTION("""COMPUTED_VALUE"""),"MONSOON, Admiral Media, Phiture, REPLUG, Mediacharge, HECHT INS GEFECHT, Claneo, HY.AM STUDIOS, Seeders")</f>
        <v>MONSOON, Admiral Media, Phiture, REPLUG, Mediacharge, HECHT INS GEFECHT, Claneo, HY.AM STUDIOS, Seeders</v>
      </c>
      <c r="I58" s="11">
        <f>IFERROR(__xludf.DUMMYFUNCTION("""COMPUTED_VALUE"""),13.0)</f>
        <v>13</v>
      </c>
      <c r="J58" s="11">
        <f>IFERROR(__xludf.DUMMYFUNCTION("""COMPUTED_VALUE"""),0.01)</f>
        <v>0.01</v>
      </c>
      <c r="K58" s="11">
        <f>IFERROR(__xludf.DUMMYFUNCTION("""COMPUTED_VALUE"""),0.0)</f>
        <v>0</v>
      </c>
    </row>
    <row r="59" ht="15.75" customHeight="1">
      <c r="A59" s="8" t="str">
        <f>IFERROR(__xludf.DUMMYFUNCTION("""COMPUTED_VALUE"""),"https://agencies.semrush.com/list/machine-learning-and-ai/germany/")</f>
        <v>https://agencies.semrush.com/list/machine-learning-and-ai/germany/</v>
      </c>
      <c r="B59" s="11" t="str">
        <f>IFERROR(__xludf.DUMMYFUNCTION("""COMPUTED_VALUE"""),"Best Machine Learning and AI Services in Germany 2026 | Semrush")</f>
        <v>Best Machine Learning and AI Services in Germany 2026 | Semrush</v>
      </c>
      <c r="C59" s="8" t="str">
        <f>IFERROR(__xludf.DUMMYFUNCTION("""COMPUTED_VALUE"""),"semrush.com")</f>
        <v>semrush.com</v>
      </c>
      <c r="D59" s="11" t="str">
        <f>IFERROR(__xludf.DUMMYFUNCTION("""COMPUTED_VALUE"""),"CATEGORY_PAGE")</f>
        <v>CATEGORY_PAGE</v>
      </c>
      <c r="E59" s="11" t="str">
        <f>IFERROR(__xludf.DUMMYFUNCTION("""COMPUTED_VALUE"""),"CORPORATE")</f>
        <v>CORPORATE</v>
      </c>
      <c r="F59" s="11" t="str">
        <f>IFERROR(__xludf.DUMMYFUNCTION("""COMPUTED_VALUE"""),"Category Page")</f>
        <v>Category Page</v>
      </c>
      <c r="G59" s="11" t="b">
        <f>IFERROR(__xludf.DUMMYFUNCTION("""COMPUTED_VALUE"""),FALSE)</f>
        <v>0</v>
      </c>
      <c r="H59" s="11" t="str">
        <f>IFERROR(__xludf.DUMMYFUNCTION("""COMPUTED_VALUE"""),"HECHT INS GEFECHT, Baseplus DIGITAL MEDIA GmbH, morefire, Mediaplus Performance")</f>
        <v>HECHT INS GEFECHT, Baseplus DIGITAL MEDIA GmbH, morefire, Mediaplus Performance</v>
      </c>
      <c r="I59" s="11">
        <f>IFERROR(__xludf.DUMMYFUNCTION("""COMPUTED_VALUE"""),12.0)</f>
        <v>12</v>
      </c>
      <c r="J59" s="11">
        <f>IFERROR(__xludf.DUMMYFUNCTION("""COMPUTED_VALUE"""),0.01)</f>
        <v>0.01</v>
      </c>
      <c r="K59" s="11">
        <f>IFERROR(__xludf.DUMMYFUNCTION("""COMPUTED_VALUE"""),0.25)</f>
        <v>0.25</v>
      </c>
    </row>
    <row r="60" ht="15.75" customHeight="1">
      <c r="A60" s="8" t="str">
        <f>IFERROR(__xludf.DUMMYFUNCTION("""COMPUTED_VALUE"""),"https://clutch.co/de/agencies/conversion-optimization")</f>
        <v>https://clutch.co/de/agencies/conversion-optimization</v>
      </c>
      <c r="B60" s="11" t="str">
        <f>IFERROR(__xludf.DUMMYFUNCTION("""COMPUTED_VALUE"""),"Top Conversion Rate Optimization Services in Germany - Jul 2026 Rankings \| Clutch.co")</f>
        <v>Top Conversion Rate Optimization Services in Germany - Jul 2026 Rankings \| Clutch.co</v>
      </c>
      <c r="C60" s="8" t="str">
        <f>IFERROR(__xludf.DUMMYFUNCTION("""COMPUTED_VALUE"""),"clutch.co")</f>
        <v>clutch.co</v>
      </c>
      <c r="D60" s="11" t="str">
        <f>IFERROR(__xludf.DUMMYFUNCTION("""COMPUTED_VALUE"""),"CATEGORY_PAGE")</f>
        <v>CATEGORY_PAGE</v>
      </c>
      <c r="E60" s="11" t="str">
        <f>IFERROR(__xludf.DUMMYFUNCTION("""COMPUTED_VALUE"""),"CORPORATE")</f>
        <v>CORPORATE</v>
      </c>
      <c r="F60" s="11" t="str">
        <f>IFERROR(__xludf.DUMMYFUNCTION("""COMPUTED_VALUE"""),"Category Page")</f>
        <v>Category Page</v>
      </c>
      <c r="G60" s="11" t="b">
        <f>IFERROR(__xludf.DUMMYFUNCTION("""COMPUTED_VALUE"""),FALSE)</f>
        <v>0</v>
      </c>
      <c r="H60" s="11" t="str">
        <f>IFERROR(__xludf.DUMMYFUNCTION("""COMPUTED_VALUE"""),"REPLUG, morefire, The Boutique Agency, Peak Ace")</f>
        <v>REPLUG, morefire, The Boutique Agency, Peak Ace</v>
      </c>
      <c r="I60" s="11">
        <f>IFERROR(__xludf.DUMMYFUNCTION("""COMPUTED_VALUE"""),12.0)</f>
        <v>12</v>
      </c>
      <c r="J60" s="11">
        <f>IFERROR(__xludf.DUMMYFUNCTION("""COMPUTED_VALUE"""),0.01)</f>
        <v>0.01</v>
      </c>
      <c r="K60" s="11">
        <f>IFERROR(__xludf.DUMMYFUNCTION("""COMPUTED_VALUE"""),1.83)</f>
        <v>1.83</v>
      </c>
    </row>
    <row r="61" ht="15.75" customHeight="1">
      <c r="A61" s="8" t="str">
        <f>IFERROR(__xludf.DUMMYFUNCTION("""COMPUTED_VALUE"""),"https://clutch.co/de/consulting/ai/deployment")</f>
        <v>https://clutch.co/de/consulting/ai/deployment</v>
      </c>
      <c r="B61" s="11" t="str">
        <f>IFERROR(__xludf.DUMMYFUNCTION("""COMPUTED_VALUE"""),"Top Artificial Intelligence as a Service Companies in Germany - Jul 2026 Rankings \| Clutch.co")</f>
        <v>Top Artificial Intelligence as a Service Companies in Germany - Jul 2026 Rankings \| Clutch.co</v>
      </c>
      <c r="C61" s="8" t="str">
        <f>IFERROR(__xludf.DUMMYFUNCTION("""COMPUTED_VALUE"""),"clutch.co")</f>
        <v>clutch.co</v>
      </c>
      <c r="D61" s="11" t="str">
        <f>IFERROR(__xludf.DUMMYFUNCTION("""COMPUTED_VALUE"""),"CATEGORY_PAGE")</f>
        <v>CATEGORY_PAGE</v>
      </c>
      <c r="E61" s="11" t="str">
        <f>IFERROR(__xludf.DUMMYFUNCTION("""COMPUTED_VALUE"""),"CORPORATE")</f>
        <v>CORPORATE</v>
      </c>
      <c r="F61" s="11" t="str">
        <f>IFERROR(__xludf.DUMMYFUNCTION("""COMPUTED_VALUE"""),"Category Page")</f>
        <v>Category Page</v>
      </c>
      <c r="G61" s="11" t="b">
        <f>IFERROR(__xludf.DUMMYFUNCTION("""COMPUTED_VALUE"""),FALSE)</f>
        <v>0</v>
      </c>
      <c r="H61" s="11"/>
      <c r="I61" s="11">
        <f>IFERROR(__xludf.DUMMYFUNCTION("""COMPUTED_VALUE"""),12.0)</f>
        <v>12</v>
      </c>
      <c r="J61" s="11">
        <f>IFERROR(__xludf.DUMMYFUNCTION("""COMPUTED_VALUE"""),0.01)</f>
        <v>0.01</v>
      </c>
      <c r="K61" s="11">
        <f>IFERROR(__xludf.DUMMYFUNCTION("""COMPUTED_VALUE"""),0.17)</f>
        <v>0.17</v>
      </c>
    </row>
    <row r="62" ht="15.75" customHeight="1">
      <c r="A62" s="8" t="str">
        <f>IFERROR(__xludf.DUMMYFUNCTION("""COMPUTED_VALUE"""),"https://feedbax.ai/advertising")</f>
        <v>https://feedbax.ai/advertising</v>
      </c>
      <c r="B62" s="11" t="str">
        <f>IFERROR(__xludf.DUMMYFUNCTION("""COMPUTED_VALUE"""),"Top 20 Advertising Agencies - 2026 Reviews")</f>
        <v>Top 20 Advertising Agencies - 2026 Reviews</v>
      </c>
      <c r="C62" s="8" t="str">
        <f>IFERROR(__xludf.DUMMYFUNCTION("""COMPUTED_VALUE"""),"feedbax.ai")</f>
        <v>feedbax.ai</v>
      </c>
      <c r="D62" s="11" t="str">
        <f>IFERROR(__xludf.DUMMYFUNCTION("""COMPUTED_VALUE"""),"CATEGORY_PAGE")</f>
        <v>CATEGORY_PAGE</v>
      </c>
      <c r="E62" s="11" t="str">
        <f>IFERROR(__xludf.DUMMYFUNCTION("""COMPUTED_VALUE"""),"UGC")</f>
        <v>UGC</v>
      </c>
      <c r="F62" s="11" t="str">
        <f>IFERROR(__xludf.DUMMYFUNCTION("""COMPUTED_VALUE"""),"Category Page")</f>
        <v>Category Page</v>
      </c>
      <c r="G62" s="11" t="b">
        <f>IFERROR(__xludf.DUMMYFUNCTION("""COMPUTED_VALUE"""),FALSE)</f>
        <v>0</v>
      </c>
      <c r="H62" s="11" t="str">
        <f>IFERROR(__xludf.DUMMYFUNCTION("""COMPUTED_VALUE"""),"Smarketer, DREIKON")</f>
        <v>Smarketer, DREIKON</v>
      </c>
      <c r="I62" s="11">
        <f>IFERROR(__xludf.DUMMYFUNCTION("""COMPUTED_VALUE"""),12.0)</f>
        <v>12</v>
      </c>
      <c r="J62" s="11">
        <f>IFERROR(__xludf.DUMMYFUNCTION("""COMPUTED_VALUE"""),0.01)</f>
        <v>0.01</v>
      </c>
      <c r="K62" s="11">
        <f>IFERROR(__xludf.DUMMYFUNCTION("""COMPUTED_VALUE"""),0.33)</f>
        <v>0.33</v>
      </c>
    </row>
    <row r="63" ht="15.75" customHeight="1">
      <c r="A63" s="8" t="str">
        <f>IFERROR(__xludf.DUMMYFUNCTION("""COMPUTED_VALUE"""),"https://www.sortlist.com/s/performance-marketing/berlin-de")</f>
        <v>https://www.sortlist.com/s/performance-marketing/berlin-de</v>
      </c>
      <c r="B63" s="11" t="str">
        <f>IFERROR(__xludf.DUMMYFUNCTION("""COMPUTED_VALUE"""),"The 10 Best Performance Marketing Agencies in Berlin - 2026 Reviews")</f>
        <v>The 10 Best Performance Marketing Agencies in Berlin - 2026 Reviews</v>
      </c>
      <c r="C63" s="8" t="str">
        <f>IFERROR(__xludf.DUMMYFUNCTION("""COMPUTED_VALUE"""),"sortlist.com")</f>
        <v>sortlist.com</v>
      </c>
      <c r="D63" s="11" t="str">
        <f>IFERROR(__xludf.DUMMYFUNCTION("""COMPUTED_VALUE"""),"CATEGORY_PAGE")</f>
        <v>CATEGORY_PAGE</v>
      </c>
      <c r="E63" s="11" t="str">
        <f>IFERROR(__xludf.DUMMYFUNCTION("""COMPUTED_VALUE"""),"CORPORATE")</f>
        <v>CORPORATE</v>
      </c>
      <c r="F63" s="11" t="str">
        <f>IFERROR(__xludf.DUMMYFUNCTION("""COMPUTED_VALUE"""),"Category Page")</f>
        <v>Category Page</v>
      </c>
      <c r="G63" s="11" t="b">
        <f>IFERROR(__xludf.DUMMYFUNCTION("""COMPUTED_VALUE"""),FALSE)</f>
        <v>0</v>
      </c>
      <c r="H63" s="11" t="str">
        <f>IFERROR(__xludf.DUMMYFUNCTION("""COMPUTED_VALUE"""),"lehof, MONSOON, Triple Whale, Northbeam, Dreamdata, KlickPiloten, PANORAMA3000, Pilot")</f>
        <v>lehof, MONSOON, Triple Whale, Northbeam, Dreamdata, KlickPiloten, PANORAMA3000, Pilot</v>
      </c>
      <c r="I63" s="11">
        <f>IFERROR(__xludf.DUMMYFUNCTION("""COMPUTED_VALUE"""),12.0)</f>
        <v>12</v>
      </c>
      <c r="J63" s="11">
        <f>IFERROR(__xludf.DUMMYFUNCTION("""COMPUTED_VALUE"""),0.01)</f>
        <v>0.01</v>
      </c>
      <c r="K63" s="11">
        <f>IFERROR(__xludf.DUMMYFUNCTION("""COMPUTED_VALUE"""),0.08)</f>
        <v>0.08</v>
      </c>
    </row>
    <row r="64" ht="15.75" customHeight="1">
      <c r="A64" s="8" t="str">
        <f>IFERROR(__xludf.DUMMYFUNCTION("""COMPUTED_VALUE"""),"https://agencies.semrush.com/list/display-advertising/berlin/small-business/")</f>
        <v>https://agencies.semrush.com/list/display-advertising/berlin/small-business/</v>
      </c>
      <c r="B64" s="11" t="str">
        <f>IFERROR(__xludf.DUMMYFUNCTION("""COMPUTED_VALUE"""),"Best Display Ads Agencies for Small Business in Berlin 2026 | Semrush")</f>
        <v>Best Display Ads Agencies for Small Business in Berlin 2026 | Semrush</v>
      </c>
      <c r="C64" s="8" t="str">
        <f>IFERROR(__xludf.DUMMYFUNCTION("""COMPUTED_VALUE"""),"semrush.com")</f>
        <v>semrush.com</v>
      </c>
      <c r="D64" s="11" t="str">
        <f>IFERROR(__xludf.DUMMYFUNCTION("""COMPUTED_VALUE"""),"CATEGORY_PAGE")</f>
        <v>CATEGORY_PAGE</v>
      </c>
      <c r="E64" s="11" t="str">
        <f>IFERROR(__xludf.DUMMYFUNCTION("""COMPUTED_VALUE"""),"CORPORATE")</f>
        <v>CORPORATE</v>
      </c>
      <c r="F64" s="11" t="str">
        <f>IFERROR(__xludf.DUMMYFUNCTION("""COMPUTED_VALUE"""),"Category Page")</f>
        <v>Category Page</v>
      </c>
      <c r="G64" s="11" t="b">
        <f>IFERROR(__xludf.DUMMYFUNCTION("""COMPUTED_VALUE"""),FALSE)</f>
        <v>0</v>
      </c>
      <c r="H64" s="11" t="str">
        <f>IFERROR(__xludf.DUMMYFUNCTION("""COMPUTED_VALUE"""),"MONSOON, KlickPiloten, Baseplus DIGITAL MEDIA GmbH, Mediaplus Performance")</f>
        <v>MONSOON, KlickPiloten, Baseplus DIGITAL MEDIA GmbH, Mediaplus Performance</v>
      </c>
      <c r="I64" s="11">
        <f>IFERROR(__xludf.DUMMYFUNCTION("""COMPUTED_VALUE"""),11.0)</f>
        <v>11</v>
      </c>
      <c r="J64" s="11">
        <f>IFERROR(__xludf.DUMMYFUNCTION("""COMPUTED_VALUE"""),0.01)</f>
        <v>0.01</v>
      </c>
      <c r="K64" s="11">
        <f>IFERROR(__xludf.DUMMYFUNCTION("""COMPUTED_VALUE"""),0.0)</f>
        <v>0</v>
      </c>
    </row>
    <row r="65" ht="15.75" customHeight="1">
      <c r="A65" s="8" t="str">
        <f>IFERROR(__xludf.DUMMYFUNCTION("""COMPUTED_VALUE"""),"https://www.bvdw.org/rankings/kreativranking-rankings/")</f>
        <v>https://www.bvdw.org/rankings/kreativranking-rankings/</v>
      </c>
      <c r="B65" s="11" t="str">
        <f>IFERROR(__xludf.DUMMYFUNCTION("""COMPUTED_VALUE"""),"Die größten, besten und kreativsten Digital-Agenturen - Bundesverband Digitale Wirtschaft (BVDW) e.V.")</f>
        <v>Die größten, besten und kreativsten Digital-Agenturen - Bundesverband Digitale Wirtschaft (BVDW) e.V.</v>
      </c>
      <c r="C65" s="8" t="str">
        <f>IFERROR(__xludf.DUMMYFUNCTION("""COMPUTED_VALUE"""),"bvdw.org")</f>
        <v>bvdw.org</v>
      </c>
      <c r="D65" s="11" t="str">
        <f>IFERROR(__xludf.DUMMYFUNCTION("""COMPUTED_VALUE"""),"CATEGORY_PAGE")</f>
        <v>CATEGORY_PAGE</v>
      </c>
      <c r="E65" s="11" t="str">
        <f>IFERROR(__xludf.DUMMYFUNCTION("""COMPUTED_VALUE"""),"INSTITUTIONAL")</f>
        <v>INSTITUTIONAL</v>
      </c>
      <c r="F65" s="11" t="str">
        <f>IFERROR(__xludf.DUMMYFUNCTION("""COMPUTED_VALUE"""),"Category Page")</f>
        <v>Category Page</v>
      </c>
      <c r="G65" s="11" t="b">
        <f>IFERROR(__xludf.DUMMYFUNCTION("""COMPUTED_VALUE"""),FALSE)</f>
        <v>0</v>
      </c>
      <c r="H65" s="11" t="str">
        <f>IFERROR(__xludf.DUMMYFUNCTION("""COMPUTED_VALUE"""),"Serviceplan Group, Publicis Groupe, Accenture Song, Ogilvy, Scholz &amp; Friends, OMD, AKQA, Jung von Matt, MetaDesign, Publicis Media, Monks, Deloitte Digital, Havas Media, Omnicom, Omnicom Media Group, DEPT, DDB Germany")</f>
        <v>Serviceplan Group, Publicis Groupe, Accenture Song, Ogilvy, Scholz &amp; Friends, OMD, AKQA, Jung von Matt, MetaDesign, Publicis Media, Monks, Deloitte Digital, Havas Media, Omnicom, Omnicom Media Group, DEPT, DDB Germany</v>
      </c>
      <c r="I65" s="11">
        <f>IFERROR(__xludf.DUMMYFUNCTION("""COMPUTED_VALUE"""),11.0)</f>
        <v>11</v>
      </c>
      <c r="J65" s="11">
        <f>IFERROR(__xludf.DUMMYFUNCTION("""COMPUTED_VALUE"""),0.01)</f>
        <v>0.01</v>
      </c>
      <c r="K65" s="11">
        <f>IFERROR(__xludf.DUMMYFUNCTION("""COMPUTED_VALUE"""),1.36)</f>
        <v>1.36</v>
      </c>
    </row>
    <row r="66" ht="15.75" customHeight="1">
      <c r="A66" s="8" t="str">
        <f>IFERROR(__xludf.DUMMYFUNCTION("""COMPUTED_VALUE"""),"https://ensun.io/search/marketing-analytics/germany")</f>
        <v>https://ensun.io/search/marketing-analytics/germany</v>
      </c>
      <c r="B66" s="11" t="str">
        <f>IFERROR(__xludf.DUMMYFUNCTION("""COMPUTED_VALUE"""),"Top 100 Marketing Analytics Companies in Germany (2026) \| ensun")</f>
        <v>Top 100 Marketing Analytics Companies in Germany (2026) \| ensun</v>
      </c>
      <c r="C66" s="8" t="str">
        <f>IFERROR(__xludf.DUMMYFUNCTION("""COMPUTED_VALUE"""),"ensun.io")</f>
        <v>ensun.io</v>
      </c>
      <c r="D66" s="11" t="str">
        <f>IFERROR(__xludf.DUMMYFUNCTION("""COMPUTED_VALUE"""),"CATEGORY_PAGE")</f>
        <v>CATEGORY_PAGE</v>
      </c>
      <c r="E66" s="11" t="str">
        <f>IFERROR(__xludf.DUMMYFUNCTION("""COMPUTED_VALUE"""),"OTHER")</f>
        <v>OTHER</v>
      </c>
      <c r="F66" s="11" t="str">
        <f>IFERROR(__xludf.DUMMYFUNCTION("""COMPUTED_VALUE"""),"Category Page")</f>
        <v>Category Page</v>
      </c>
      <c r="G66" s="11" t="b">
        <f>IFERROR(__xludf.DUMMYFUNCTION("""COMPUTED_VALUE"""),FALSE)</f>
        <v>0</v>
      </c>
      <c r="H66" s="11" t="str">
        <f>IFERROR(__xludf.DUMMYFUNCTION("""COMPUTED_VALUE"""),"Kantar, Customlytics")</f>
        <v>Kantar, Customlytics</v>
      </c>
      <c r="I66" s="11">
        <f>IFERROR(__xludf.DUMMYFUNCTION("""COMPUTED_VALUE"""),11.0)</f>
        <v>11</v>
      </c>
      <c r="J66" s="11">
        <f>IFERROR(__xludf.DUMMYFUNCTION("""COMPUTED_VALUE"""),0.01)</f>
        <v>0.01</v>
      </c>
      <c r="K66" s="11">
        <f>IFERROR(__xludf.DUMMYFUNCTION("""COMPUTED_VALUE"""),1.09)</f>
        <v>1.09</v>
      </c>
    </row>
    <row r="67" ht="15.75" customHeight="1">
      <c r="A67" s="8" t="str">
        <f>IFERROR(__xludf.DUMMYFUNCTION("""COMPUTED_VALUE"""),"https://www.google.com/ads/publisher/partners/find-a-partner/")</f>
        <v>https://www.google.com/ads/publisher/partners/find-a-partner/</v>
      </c>
      <c r="B67" s="11" t="str">
        <f>IFERROR(__xludf.DUMMYFUNCTION("""COMPUTED_VALUE"""),"Find a Publishing Partner \| Certified Publishing Partner – Google")</f>
        <v>Find a Publishing Partner \| Certified Publishing Partner – Google</v>
      </c>
      <c r="C67" s="8" t="str">
        <f>IFERROR(__xludf.DUMMYFUNCTION("""COMPUTED_VALUE"""),"google.com")</f>
        <v>google.com</v>
      </c>
      <c r="D67" s="11" t="str">
        <f>IFERROR(__xludf.DUMMYFUNCTION("""COMPUTED_VALUE"""),"CATEGORY_PAGE")</f>
        <v>CATEGORY_PAGE</v>
      </c>
      <c r="E67" s="11" t="str">
        <f>IFERROR(__xludf.DUMMYFUNCTION("""COMPUTED_VALUE"""),"OTHER")</f>
        <v>OTHER</v>
      </c>
      <c r="F67" s="11" t="str">
        <f>IFERROR(__xludf.DUMMYFUNCTION("""COMPUTED_VALUE"""),"Category Page")</f>
        <v>Category Page</v>
      </c>
      <c r="G67" s="11" t="b">
        <f>IFERROR(__xludf.DUMMYFUNCTION("""COMPUTED_VALUE"""),FALSE)</f>
        <v>0</v>
      </c>
      <c r="H67" s="11"/>
      <c r="I67" s="11">
        <f>IFERROR(__xludf.DUMMYFUNCTION("""COMPUTED_VALUE"""),11.0)</f>
        <v>11</v>
      </c>
      <c r="J67" s="11">
        <f>IFERROR(__xludf.DUMMYFUNCTION("""COMPUTED_VALUE"""),0.01)</f>
        <v>0.01</v>
      </c>
      <c r="K67" s="11">
        <f>IFERROR(__xludf.DUMMYFUNCTION("""COMPUTED_VALUE"""),0.0)</f>
        <v>0</v>
      </c>
    </row>
    <row r="68" ht="15.75" customHeight="1">
      <c r="A68" s="8" t="str">
        <f>IFERROR(__xludf.DUMMYFUNCTION("""COMPUTED_VALUE"""),"https://www.sortlist.com/i/advertising/germany-de")</f>
        <v>https://www.sortlist.com/i/advertising/germany-de</v>
      </c>
      <c r="B68" s="11" t="str">
        <f>IFERROR(__xludf.DUMMYFUNCTION("""COMPUTED_VALUE"""),"The 10 Best Advertising Agencies in Germany - 2026 Reviews")</f>
        <v>The 10 Best Advertising Agencies in Germany - 2026 Reviews</v>
      </c>
      <c r="C68" s="8" t="str">
        <f>IFERROR(__xludf.DUMMYFUNCTION("""COMPUTED_VALUE"""),"sortlist.com")</f>
        <v>sortlist.com</v>
      </c>
      <c r="D68" s="11" t="str">
        <f>IFERROR(__xludf.DUMMYFUNCTION("""COMPUTED_VALUE"""),"CATEGORY_PAGE")</f>
        <v>CATEGORY_PAGE</v>
      </c>
      <c r="E68" s="11" t="str">
        <f>IFERROR(__xludf.DUMMYFUNCTION("""COMPUTED_VALUE"""),"CORPORATE")</f>
        <v>CORPORATE</v>
      </c>
      <c r="F68" s="11" t="str">
        <f>IFERROR(__xludf.DUMMYFUNCTION("""COMPUTED_VALUE"""),"Category Page")</f>
        <v>Category Page</v>
      </c>
      <c r="G68" s="11" t="b">
        <f>IFERROR(__xludf.DUMMYFUNCTION("""COMPUTED_VALUE"""),FALSE)</f>
        <v>0</v>
      </c>
      <c r="H68" s="11" t="str">
        <f>IFERROR(__xludf.DUMMYFUNCTION("""COMPUTED_VALUE"""),"MONSOON")</f>
        <v>MONSOON</v>
      </c>
      <c r="I68" s="11">
        <f>IFERROR(__xludf.DUMMYFUNCTION("""COMPUTED_VALUE"""),11.0)</f>
        <v>11</v>
      </c>
      <c r="J68" s="11">
        <f>IFERROR(__xludf.DUMMYFUNCTION("""COMPUTED_VALUE"""),0.01)</f>
        <v>0.01</v>
      </c>
      <c r="K68" s="11">
        <f>IFERROR(__xludf.DUMMYFUNCTION("""COMPUTED_VALUE"""),0.0)</f>
        <v>0</v>
      </c>
    </row>
    <row r="69" ht="15.75" customHeight="1">
      <c r="A69" s="8" t="str">
        <f>IFERROR(__xludf.DUMMYFUNCTION("""COMPUTED_VALUE"""),"https://agencies.semrush.com/list/ai-optimization/germany/mid-business/")</f>
        <v>https://agencies.semrush.com/list/ai-optimization/germany/mid-business/</v>
      </c>
      <c r="B69" s="11" t="str">
        <f>IFERROR(__xludf.DUMMYFUNCTION("""COMPUTED_VALUE"""),"Best AI Search Optimization Agencies for Mid Business in Germany 2026 | Semrush")</f>
        <v>Best AI Search Optimization Agencies for Mid Business in Germany 2026 | Semrush</v>
      </c>
      <c r="C69" s="8" t="str">
        <f>IFERROR(__xludf.DUMMYFUNCTION("""COMPUTED_VALUE"""),"semrush.com")</f>
        <v>semrush.com</v>
      </c>
      <c r="D69" s="11" t="str">
        <f>IFERROR(__xludf.DUMMYFUNCTION("""COMPUTED_VALUE"""),"CATEGORY_PAGE")</f>
        <v>CATEGORY_PAGE</v>
      </c>
      <c r="E69" s="11" t="str">
        <f>IFERROR(__xludf.DUMMYFUNCTION("""COMPUTED_VALUE"""),"CORPORATE")</f>
        <v>CORPORATE</v>
      </c>
      <c r="F69" s="11" t="str">
        <f>IFERROR(__xludf.DUMMYFUNCTION("""COMPUTED_VALUE"""),"Category Page")</f>
        <v>Category Page</v>
      </c>
      <c r="G69" s="11" t="b">
        <f>IFERROR(__xludf.DUMMYFUNCTION("""COMPUTED_VALUE"""),FALSE)</f>
        <v>0</v>
      </c>
      <c r="H69" s="11" t="str">
        <f>IFERROR(__xludf.DUMMYFUNCTION("""COMPUTED_VALUE"""),"HECHT INS GEFECHT, morefire, Mediaplus Performance")</f>
        <v>HECHT INS GEFECHT, morefire, Mediaplus Performance</v>
      </c>
      <c r="I69" s="11">
        <f>IFERROR(__xludf.DUMMYFUNCTION("""COMPUTED_VALUE"""),10.0)</f>
        <v>10</v>
      </c>
      <c r="J69" s="11">
        <f>IFERROR(__xludf.DUMMYFUNCTION("""COMPUTED_VALUE"""),0.01)</f>
        <v>0.01</v>
      </c>
      <c r="K69" s="11">
        <f>IFERROR(__xludf.DUMMYFUNCTION("""COMPUTED_VALUE"""),0.5)</f>
        <v>0.5</v>
      </c>
    </row>
    <row r="70" ht="15.75" customHeight="1">
      <c r="A70" s="8" t="str">
        <f>IFERROR(__xludf.DUMMYFUNCTION("""COMPUTED_VALUE"""),"https://clutch.co/de/consulting/ai?page=1")</f>
        <v>https://clutch.co/de/consulting/ai?page=1</v>
      </c>
      <c r="B70" s="11" t="str">
        <f>IFERROR(__xludf.DUMMYFUNCTION("""COMPUTED_VALUE"""),"Page 2 - Top AI Consultants in Germany - Jul 2026 Rankings \| Clutch.co")</f>
        <v>Page 2 - Top AI Consultants in Germany - Jul 2026 Rankings \| Clutch.co</v>
      </c>
      <c r="C70" s="8" t="str">
        <f>IFERROR(__xludf.DUMMYFUNCTION("""COMPUTED_VALUE"""),"clutch.co")</f>
        <v>clutch.co</v>
      </c>
      <c r="D70" s="11" t="str">
        <f>IFERROR(__xludf.DUMMYFUNCTION("""COMPUTED_VALUE"""),"CATEGORY_PAGE")</f>
        <v>CATEGORY_PAGE</v>
      </c>
      <c r="E70" s="11" t="str">
        <f>IFERROR(__xludf.DUMMYFUNCTION("""COMPUTED_VALUE"""),"CORPORATE")</f>
        <v>CORPORATE</v>
      </c>
      <c r="F70" s="11" t="str">
        <f>IFERROR(__xludf.DUMMYFUNCTION("""COMPUTED_VALUE"""),"Category Page")</f>
        <v>Category Page</v>
      </c>
      <c r="G70" s="11" t="b">
        <f>IFERROR(__xludf.DUMMYFUNCTION("""COMPUTED_VALUE"""),FALSE)</f>
        <v>0</v>
      </c>
      <c r="H70" s="11"/>
      <c r="I70" s="11">
        <f>IFERROR(__xludf.DUMMYFUNCTION("""COMPUTED_VALUE"""),10.0)</f>
        <v>10</v>
      </c>
      <c r="J70" s="11">
        <f>IFERROR(__xludf.DUMMYFUNCTION("""COMPUTED_VALUE"""),0.01)</f>
        <v>0.01</v>
      </c>
      <c r="K70" s="11">
        <f>IFERROR(__xludf.DUMMYFUNCTION("""COMPUTED_VALUE"""),0.0)</f>
        <v>0</v>
      </c>
    </row>
    <row r="71" ht="15.75" customHeight="1">
      <c r="A71" s="8" t="str">
        <f>IFERROR(__xludf.DUMMYFUNCTION("""COMPUTED_VALUE"""),"https://www.google.de/intl/de/ads/publisher/partners/find-a-partner/")</f>
        <v>https://www.google.de/intl/de/ads/publisher/partners/find-a-partner/</v>
      </c>
      <c r="B71" s="11" t="str">
        <f>IFERROR(__xludf.DUMMYFUNCTION("""COMPUTED_VALUE"""),"Publisher-Partner finden")</f>
        <v>Publisher-Partner finden</v>
      </c>
      <c r="C71" s="8" t="str">
        <f>IFERROR(__xludf.DUMMYFUNCTION("""COMPUTED_VALUE"""),"google.de")</f>
        <v>google.de</v>
      </c>
      <c r="D71" s="11" t="str">
        <f>IFERROR(__xludf.DUMMYFUNCTION("""COMPUTED_VALUE"""),"CATEGORY_PAGE")</f>
        <v>CATEGORY_PAGE</v>
      </c>
      <c r="E71" s="11" t="str">
        <f>IFERROR(__xludf.DUMMYFUNCTION("""COMPUTED_VALUE"""),"CORPORATE")</f>
        <v>CORPORATE</v>
      </c>
      <c r="F71" s="11" t="str">
        <f>IFERROR(__xludf.DUMMYFUNCTION("""COMPUTED_VALUE"""),"Category Page")</f>
        <v>Category Page</v>
      </c>
      <c r="G71" s="11" t="b">
        <f>IFERROR(__xludf.DUMMYFUNCTION("""COMPUTED_VALUE"""),FALSE)</f>
        <v>0</v>
      </c>
      <c r="H71" s="11"/>
      <c r="I71" s="11">
        <f>IFERROR(__xludf.DUMMYFUNCTION("""COMPUTED_VALUE"""),10.0)</f>
        <v>10</v>
      </c>
      <c r="J71" s="11">
        <f>IFERROR(__xludf.DUMMYFUNCTION("""COMPUTED_VALUE"""),0.01)</f>
        <v>0.01</v>
      </c>
      <c r="K71" s="11">
        <f>IFERROR(__xludf.DUMMYFUNCTION("""COMPUTED_VALUE"""),1.4)</f>
        <v>1.4</v>
      </c>
    </row>
    <row r="72" ht="15.75" customHeight="1">
      <c r="A72" s="8" t="str">
        <f>IFERROR(__xludf.DUMMYFUNCTION("""COMPUTED_VALUE"""),"https://www.marketing-companies-in-germany.com/google-ads")</f>
        <v>https://www.marketing-companies-in-germany.com/google-ads</v>
      </c>
      <c r="B72" s="11" t="str">
        <f>IFERROR(__xludf.DUMMYFUNCTION("""COMPUTED_VALUE"""),"The best Google Ads Agencies")</f>
        <v>The best Google Ads Agencies</v>
      </c>
      <c r="C72" s="8" t="str">
        <f>IFERROR(__xludf.DUMMYFUNCTION("""COMPUTED_VALUE"""),"marketing-companies-in-germany.com")</f>
        <v>marketing-companies-in-germany.com</v>
      </c>
      <c r="D72" s="11" t="str">
        <f>IFERROR(__xludf.DUMMYFUNCTION("""COMPUTED_VALUE"""),"CATEGORY_PAGE")</f>
        <v>CATEGORY_PAGE</v>
      </c>
      <c r="E72" s="11" t="str">
        <f>IFERROR(__xludf.DUMMYFUNCTION("""COMPUTED_VALUE"""),"CORPORATE")</f>
        <v>CORPORATE</v>
      </c>
      <c r="F72" s="11" t="str">
        <f>IFERROR(__xludf.DUMMYFUNCTION("""COMPUTED_VALUE"""),"Category Page")</f>
        <v>Category Page</v>
      </c>
      <c r="G72" s="11" t="b">
        <f>IFERROR(__xludf.DUMMYFUNCTION("""COMPUTED_VALUE"""),FALSE)</f>
        <v>0</v>
      </c>
      <c r="H72" s="11" t="str">
        <f>IFERROR(__xludf.DUMMYFUNCTION("""COMPUTED_VALUE"""),"MONSOON, Mediacharge, Measured, eMinded GmbH")</f>
        <v>MONSOON, Mediacharge, Measured, eMinded GmbH</v>
      </c>
      <c r="I72" s="11">
        <f>IFERROR(__xludf.DUMMYFUNCTION("""COMPUTED_VALUE"""),10.0)</f>
        <v>10</v>
      </c>
      <c r="J72" s="11">
        <f>IFERROR(__xludf.DUMMYFUNCTION("""COMPUTED_VALUE"""),0.01)</f>
        <v>0.01</v>
      </c>
      <c r="K72" s="11">
        <f>IFERROR(__xludf.DUMMYFUNCTION("""COMPUTED_VALUE"""),0.0)</f>
        <v>0</v>
      </c>
    </row>
    <row r="73" ht="15.75" customHeight="1">
      <c r="A73" s="8" t="str">
        <f>IFERROR(__xludf.DUMMYFUNCTION("""COMPUTED_VALUE"""),"https://www.sortlist.com/marketing-analytics")</f>
        <v>https://www.sortlist.com/marketing-analytics</v>
      </c>
      <c r="B73" s="11" t="str">
        <f>IFERROR(__xludf.DUMMYFUNCTION("""COMPUTED_VALUE"""),"The 100 Best Marketing Analytics Companies - 2026 Reviews")</f>
        <v>The 100 Best Marketing Analytics Companies - 2026 Reviews</v>
      </c>
      <c r="C73" s="8" t="str">
        <f>IFERROR(__xludf.DUMMYFUNCTION("""COMPUTED_VALUE"""),"sortlist.com")</f>
        <v>sortlist.com</v>
      </c>
      <c r="D73" s="11" t="str">
        <f>IFERROR(__xludf.DUMMYFUNCTION("""COMPUTED_VALUE"""),"CATEGORY_PAGE")</f>
        <v>CATEGORY_PAGE</v>
      </c>
      <c r="E73" s="11" t="str">
        <f>IFERROR(__xludf.DUMMYFUNCTION("""COMPUTED_VALUE"""),"CORPORATE")</f>
        <v>CORPORATE</v>
      </c>
      <c r="F73" s="11" t="str">
        <f>IFERROR(__xludf.DUMMYFUNCTION("""COMPUTED_VALUE"""),"Category Page")</f>
        <v>Category Page</v>
      </c>
      <c r="G73" s="11" t="b">
        <f>IFERROR(__xludf.DUMMYFUNCTION("""COMPUTED_VALUE"""),FALSE)</f>
        <v>0</v>
      </c>
      <c r="H73" s="11" t="str">
        <f>IFERROR(__xludf.DUMMYFUNCTION("""COMPUTED_VALUE"""),"lehof, MONSOON")</f>
        <v>lehof, MONSOON</v>
      </c>
      <c r="I73" s="11">
        <f>IFERROR(__xludf.DUMMYFUNCTION("""COMPUTED_VALUE"""),10.0)</f>
        <v>10</v>
      </c>
      <c r="J73" s="11">
        <f>IFERROR(__xludf.DUMMYFUNCTION("""COMPUTED_VALUE"""),0.01)</f>
        <v>0.01</v>
      </c>
      <c r="K73" s="11">
        <f>IFERROR(__xludf.DUMMYFUNCTION("""COMPUTED_VALUE"""),0.0)</f>
        <v>0</v>
      </c>
    </row>
    <row r="74" ht="15.75" customHeight="1">
      <c r="A74" s="8" t="str">
        <f>IFERROR(__xludf.DUMMYFUNCTION("""COMPUTED_VALUE"""),"https://www.sortlist.com/paid-media")</f>
        <v>https://www.sortlist.com/paid-media</v>
      </c>
      <c r="B74" s="11" t="str">
        <f>IFERROR(__xludf.DUMMYFUNCTION("""COMPUTED_VALUE"""),"The 100 Best Paid Media Agencies - 2026 Reviews")</f>
        <v>The 100 Best Paid Media Agencies - 2026 Reviews</v>
      </c>
      <c r="C74" s="8" t="str">
        <f>IFERROR(__xludf.DUMMYFUNCTION("""COMPUTED_VALUE"""),"sortlist.com")</f>
        <v>sortlist.com</v>
      </c>
      <c r="D74" s="11" t="str">
        <f>IFERROR(__xludf.DUMMYFUNCTION("""COMPUTED_VALUE"""),"CATEGORY_PAGE")</f>
        <v>CATEGORY_PAGE</v>
      </c>
      <c r="E74" s="11" t="str">
        <f>IFERROR(__xludf.DUMMYFUNCTION("""COMPUTED_VALUE"""),"CORPORATE")</f>
        <v>CORPORATE</v>
      </c>
      <c r="F74" s="11" t="str">
        <f>IFERROR(__xludf.DUMMYFUNCTION("""COMPUTED_VALUE"""),"Category Page")</f>
        <v>Category Page</v>
      </c>
      <c r="G74" s="11" t="b">
        <f>IFERROR(__xludf.DUMMYFUNCTION("""COMPUTED_VALUE"""),FALSE)</f>
        <v>0</v>
      </c>
      <c r="H74" s="11" t="str">
        <f>IFERROR(__xludf.DUMMYFUNCTION("""COMPUTED_VALUE"""),"lehof, Measured, MONSOON, Triple Whale, Northbeam, Dreamdata")</f>
        <v>lehof, Measured, MONSOON, Triple Whale, Northbeam, Dreamdata</v>
      </c>
      <c r="I74" s="11">
        <f>IFERROR(__xludf.DUMMYFUNCTION("""COMPUTED_VALUE"""),10.0)</f>
        <v>10</v>
      </c>
      <c r="J74" s="11">
        <f>IFERROR(__xludf.DUMMYFUNCTION("""COMPUTED_VALUE"""),0.01)</f>
        <v>0.01</v>
      </c>
      <c r="K74" s="11">
        <f>IFERROR(__xludf.DUMMYFUNCTION("""COMPUTED_VALUE"""),0.0)</f>
        <v>0</v>
      </c>
    </row>
    <row r="75" ht="15.75" customHeight="1">
      <c r="A75" s="8" t="str">
        <f>IFERROR(__xludf.DUMMYFUNCTION("""COMPUTED_VALUE"""),"https://sourceforge.net/software/marketing-attribution/germany/?page=4")</f>
        <v>https://sourceforge.net/software/marketing-attribution/germany/?page=4</v>
      </c>
      <c r="B75" s="11" t="str">
        <f>IFERROR(__xludf.DUMMYFUNCTION("""COMPUTED_VALUE"""),"Page 4 | Best Marketing Attribution Software in Germany of 2026 - Reviews &amp;amp; Comparison")</f>
        <v>Page 4 | Best Marketing Attribution Software in Germany of 2026 - Reviews &amp;amp; Comparison</v>
      </c>
      <c r="C75" s="8" t="str">
        <f>IFERROR(__xludf.DUMMYFUNCTION("""COMPUTED_VALUE"""),"sourceforge.net")</f>
        <v>sourceforge.net</v>
      </c>
      <c r="D75" s="11" t="str">
        <f>IFERROR(__xludf.DUMMYFUNCTION("""COMPUTED_VALUE"""),"CATEGORY_PAGE")</f>
        <v>CATEGORY_PAGE</v>
      </c>
      <c r="E75" s="11" t="str">
        <f>IFERROR(__xludf.DUMMYFUNCTION("""COMPUTED_VALUE"""),"OTHER")</f>
        <v>OTHER</v>
      </c>
      <c r="F75" s="11" t="str">
        <f>IFERROR(__xludf.DUMMYFUNCTION("""COMPUTED_VALUE"""),"Category Page")</f>
        <v>Category Page</v>
      </c>
      <c r="G75" s="11" t="b">
        <f>IFERROR(__xludf.DUMMYFUNCTION("""COMPUTED_VALUE"""),FALSE)</f>
        <v>0</v>
      </c>
      <c r="H75" s="11" t="str">
        <f>IFERROR(__xludf.DUMMYFUNCTION("""COMPUTED_VALUE"""),"Rockerbox, Nielsen, Recast, Tinuiti")</f>
        <v>Rockerbox, Nielsen, Recast, Tinuiti</v>
      </c>
      <c r="I75" s="11">
        <f>IFERROR(__xludf.DUMMYFUNCTION("""COMPUTED_VALUE"""),10.0)</f>
        <v>10</v>
      </c>
      <c r="J75" s="11">
        <f>IFERROR(__xludf.DUMMYFUNCTION("""COMPUTED_VALUE"""),0.01)</f>
        <v>0.01</v>
      </c>
      <c r="K75" s="11">
        <f>IFERROR(__xludf.DUMMYFUNCTION("""COMPUTED_VALUE"""),0.1)</f>
        <v>0.1</v>
      </c>
    </row>
    <row r="76" ht="15.75" customHeight="1">
      <c r="A76" s="8" t="str">
        <f>IFERROR(__xludf.DUMMYFUNCTION("""COMPUTED_VALUE"""),"https://agencies.semrush.com/list/ai-optimization/germany/small-business/")</f>
        <v>https://agencies.semrush.com/list/ai-optimization/germany/small-business/</v>
      </c>
      <c r="B76" s="11" t="str">
        <f>IFERROR(__xludf.DUMMYFUNCTION("""COMPUTED_VALUE"""),"Best AI Search Optimization Agencies for Small Business in Germany 2026 | Semrush")</f>
        <v>Best AI Search Optimization Agencies for Small Business in Germany 2026 | Semrush</v>
      </c>
      <c r="C76" s="8" t="str">
        <f>IFERROR(__xludf.DUMMYFUNCTION("""COMPUTED_VALUE"""),"semrush.com")</f>
        <v>semrush.com</v>
      </c>
      <c r="D76" s="11" t="str">
        <f>IFERROR(__xludf.DUMMYFUNCTION("""COMPUTED_VALUE"""),"CATEGORY_PAGE")</f>
        <v>CATEGORY_PAGE</v>
      </c>
      <c r="E76" s="11" t="str">
        <f>IFERROR(__xludf.DUMMYFUNCTION("""COMPUTED_VALUE"""),"CORPORATE")</f>
        <v>CORPORATE</v>
      </c>
      <c r="F76" s="11" t="str">
        <f>IFERROR(__xludf.DUMMYFUNCTION("""COMPUTED_VALUE"""),"Category Page")</f>
        <v>Category Page</v>
      </c>
      <c r="G76" s="11" t="b">
        <f>IFERROR(__xludf.DUMMYFUNCTION("""COMPUTED_VALUE"""),FALSE)</f>
        <v>0</v>
      </c>
      <c r="H76" s="11" t="str">
        <f>IFERROR(__xludf.DUMMYFUNCTION("""COMPUTED_VALUE"""),"HECHT INS GEFECHT, Mediaplus Performance")</f>
        <v>HECHT INS GEFECHT, Mediaplus Performance</v>
      </c>
      <c r="I76" s="11">
        <f>IFERROR(__xludf.DUMMYFUNCTION("""COMPUTED_VALUE"""),9.0)</f>
        <v>9</v>
      </c>
      <c r="J76" s="11">
        <f>IFERROR(__xludf.DUMMYFUNCTION("""COMPUTED_VALUE"""),0.01)</f>
        <v>0.01</v>
      </c>
      <c r="K76" s="11">
        <f>IFERROR(__xludf.DUMMYFUNCTION("""COMPUTED_VALUE"""),0.33)</f>
        <v>0.33</v>
      </c>
    </row>
    <row r="77" ht="15.75" customHeight="1">
      <c r="A77" s="8" t="str">
        <f>IFERROR(__xludf.DUMMYFUNCTION("""COMPUTED_VALUE"""),"https://www.brandcrock.com/ai-services/")</f>
        <v>https://www.brandcrock.com/ai-services/</v>
      </c>
      <c r="B77" s="11" t="str">
        <f>IFERROR(__xludf.DUMMYFUNCTION("""COMPUTED_VALUE"""),"Best AI &amp; Automation Agency in Germany")</f>
        <v>Best AI &amp; Automation Agency in Germany</v>
      </c>
      <c r="C77" s="8" t="str">
        <f>IFERROR(__xludf.DUMMYFUNCTION("""COMPUTED_VALUE"""),"brandcrock.com")</f>
        <v>brandcrock.com</v>
      </c>
      <c r="D77" s="11" t="str">
        <f>IFERROR(__xludf.DUMMYFUNCTION("""COMPUTED_VALUE"""),"CATEGORY_PAGE")</f>
        <v>CATEGORY_PAGE</v>
      </c>
      <c r="E77" s="11" t="str">
        <f>IFERROR(__xludf.DUMMYFUNCTION("""COMPUTED_VALUE"""),"OTHER")</f>
        <v>OTHER</v>
      </c>
      <c r="F77" s="11" t="str">
        <f>IFERROR(__xludf.DUMMYFUNCTION("""COMPUTED_VALUE"""),"Category Page")</f>
        <v>Category Page</v>
      </c>
      <c r="G77" s="11" t="b">
        <f>IFERROR(__xludf.DUMMYFUNCTION("""COMPUTED_VALUE"""),FALSE)</f>
        <v>0</v>
      </c>
      <c r="H77" s="11"/>
      <c r="I77" s="11">
        <f>IFERROR(__xludf.DUMMYFUNCTION("""COMPUTED_VALUE"""),9.0)</f>
        <v>9</v>
      </c>
      <c r="J77" s="11">
        <f>IFERROR(__xludf.DUMMYFUNCTION("""COMPUTED_VALUE"""),0.01)</f>
        <v>0.01</v>
      </c>
      <c r="K77" s="11">
        <f>IFERROR(__xludf.DUMMYFUNCTION("""COMPUTED_VALUE"""),0.11)</f>
        <v>0.11</v>
      </c>
    </row>
    <row r="78" ht="15.75" customHeight="1">
      <c r="A78" s="8" t="str">
        <f>IFERROR(__xludf.DUMMYFUNCTION("""COMPUTED_VALUE"""),"https://enterprisemarketingportal.google/find-a-partner")</f>
        <v>https://enterprisemarketingportal.google/find-a-partner</v>
      </c>
      <c r="B78" s="11" t="str">
        <f>IFERROR(__xludf.DUMMYFUNCTION("""COMPUTED_VALUE"""),"Find a Partner Gallery")</f>
        <v>Find a Partner Gallery</v>
      </c>
      <c r="C78" s="11" t="str">
        <f>IFERROR(__xludf.DUMMYFUNCTION("""COMPUTED_VALUE"""),"enterprisemarketingportal.google")</f>
        <v>enterprisemarketingportal.google</v>
      </c>
      <c r="D78" s="11" t="str">
        <f>IFERROR(__xludf.DUMMYFUNCTION("""COMPUTED_VALUE"""),"CATEGORY_PAGE")</f>
        <v>CATEGORY_PAGE</v>
      </c>
      <c r="E78" s="11" t="str">
        <f>IFERROR(__xludf.DUMMYFUNCTION("""COMPUTED_VALUE"""),"CORPORATE")</f>
        <v>CORPORATE</v>
      </c>
      <c r="F78" s="11" t="str">
        <f>IFERROR(__xludf.DUMMYFUNCTION("""COMPUTED_VALUE"""),"Category Page")</f>
        <v>Category Page</v>
      </c>
      <c r="G78" s="11" t="b">
        <f>IFERROR(__xludf.DUMMYFUNCTION("""COMPUTED_VALUE"""),TRUE)</f>
        <v>1</v>
      </c>
      <c r="H78" s="11" t="str">
        <f>IFERROR(__xludf.DUMMYFUNCTION("""COMPUTED_VALUE"""),"Making Science, Jellyfish, Incubeta, Brainlabs, Monks, Adswerve, Merkle, DEPT, Wpromote, PMG, Mindshare, OMD, Tinuiti")</f>
        <v>Making Science, Jellyfish, Incubeta, Brainlabs, Monks, Adswerve, Merkle, DEPT, Wpromote, PMG, Mindshare, OMD, Tinuiti</v>
      </c>
      <c r="I78" s="11">
        <f>IFERROR(__xludf.DUMMYFUNCTION("""COMPUTED_VALUE"""),9.0)</f>
        <v>9</v>
      </c>
      <c r="J78" s="11">
        <f>IFERROR(__xludf.DUMMYFUNCTION("""COMPUTED_VALUE"""),0.01)</f>
        <v>0.01</v>
      </c>
      <c r="K78" s="11">
        <f>IFERROR(__xludf.DUMMYFUNCTION("""COMPUTED_VALUE"""),0.22)</f>
        <v>0.22</v>
      </c>
    </row>
    <row r="79" ht="15.75" customHeight="1">
      <c r="A79" s="8" t="str">
        <f>IFERROR(__xludf.DUMMYFUNCTION("""COMPUTED_VALUE"""),"https://feedbax.de/ki/deutschland")</f>
        <v>https://feedbax.de/ki/deutschland</v>
      </c>
      <c r="B79" s="11" t="str">
        <f>IFERROR(__xludf.DUMMYFUNCTION("""COMPUTED_VALUE"""),"Die 20 besten KI Agenturen in Deutschland 🥇 2026 Ranking")</f>
        <v>Die 20 besten KI Agenturen in Deutschland 🥇 2026 Ranking</v>
      </c>
      <c r="C79" s="8" t="str">
        <f>IFERROR(__xludf.DUMMYFUNCTION("""COMPUTED_VALUE"""),"feedbax.de")</f>
        <v>feedbax.de</v>
      </c>
      <c r="D79" s="11" t="str">
        <f>IFERROR(__xludf.DUMMYFUNCTION("""COMPUTED_VALUE"""),"CATEGORY_PAGE")</f>
        <v>CATEGORY_PAGE</v>
      </c>
      <c r="E79" s="11" t="str">
        <f>IFERROR(__xludf.DUMMYFUNCTION("""COMPUTED_VALUE"""),"REFERENCE")</f>
        <v>REFERENCE</v>
      </c>
      <c r="F79" s="11" t="str">
        <f>IFERROR(__xludf.DUMMYFUNCTION("""COMPUTED_VALUE"""),"Category Page")</f>
        <v>Category Page</v>
      </c>
      <c r="G79" s="11" t="b">
        <f>IFERROR(__xludf.DUMMYFUNCTION("""COMPUTED_VALUE"""),FALSE)</f>
        <v>0</v>
      </c>
      <c r="H79" s="11"/>
      <c r="I79" s="11">
        <f>IFERROR(__xludf.DUMMYFUNCTION("""COMPUTED_VALUE"""),9.0)</f>
        <v>9</v>
      </c>
      <c r="J79" s="11">
        <f>IFERROR(__xludf.DUMMYFUNCTION("""COMPUTED_VALUE"""),0.01)</f>
        <v>0.01</v>
      </c>
      <c r="K79" s="11">
        <f>IFERROR(__xludf.DUMMYFUNCTION("""COMPUTED_VALUE"""),0.0)</f>
        <v>0</v>
      </c>
    </row>
    <row r="80" ht="15.75" customHeight="1">
      <c r="A80" s="8" t="str">
        <f>IFERROR(__xludf.DUMMYFUNCTION("""COMPUTED_VALUE"""),"https://www.goodfirms.co/directory/country/top-digital-marketing-companies/market-research/germany")</f>
        <v>https://www.goodfirms.co/directory/country/top-digital-marketing-companies/market-research/germany</v>
      </c>
      <c r="B80" s="11" t="str">
        <f>IFERROR(__xludf.DUMMYFUNCTION("""COMPUTED_VALUE"""),"Market Research Companies in Germany - 2026 Reviews | Goodfirms")</f>
        <v>Market Research Companies in Germany - 2026 Reviews | Goodfirms</v>
      </c>
      <c r="C80" s="8" t="str">
        <f>IFERROR(__xludf.DUMMYFUNCTION("""COMPUTED_VALUE"""),"goodfirms.co")</f>
        <v>goodfirms.co</v>
      </c>
      <c r="D80" s="11" t="str">
        <f>IFERROR(__xludf.DUMMYFUNCTION("""COMPUTED_VALUE"""),"CATEGORY_PAGE")</f>
        <v>CATEGORY_PAGE</v>
      </c>
      <c r="E80" s="11" t="str">
        <f>IFERROR(__xludf.DUMMYFUNCTION("""COMPUTED_VALUE"""),"UGC")</f>
        <v>UGC</v>
      </c>
      <c r="F80" s="11" t="str">
        <f>IFERROR(__xludf.DUMMYFUNCTION("""COMPUTED_VALUE"""),"Category Page")</f>
        <v>Category Page</v>
      </c>
      <c r="G80" s="11" t="b">
        <f>IFERROR(__xludf.DUMMYFUNCTION("""COMPUTED_VALUE"""),FALSE)</f>
        <v>0</v>
      </c>
      <c r="H80" s="11" t="str">
        <f>IFERROR(__xludf.DUMMYFUNCTION("""COMPUTED_VALUE"""),"Mediacharge, REPLUG, Momentum")</f>
        <v>Mediacharge, REPLUG, Momentum</v>
      </c>
      <c r="I80" s="11">
        <f>IFERROR(__xludf.DUMMYFUNCTION("""COMPUTED_VALUE"""),9.0)</f>
        <v>9</v>
      </c>
      <c r="J80" s="11">
        <f>IFERROR(__xludf.DUMMYFUNCTION("""COMPUTED_VALUE"""),0.01)</f>
        <v>0.01</v>
      </c>
      <c r="K80" s="11">
        <f>IFERROR(__xludf.DUMMYFUNCTION("""COMPUTED_VALUE"""),0.0)</f>
        <v>0</v>
      </c>
    </row>
    <row r="81" ht="15.75" customHeight="1">
      <c r="A81" s="8" t="str">
        <f>IFERROR(__xludf.DUMMYFUNCTION("""COMPUTED_VALUE"""),"https://omr.com/de/reviews/service-category/geo-agenturen")</f>
        <v>https://omr.com/de/reviews/service-category/geo-agenturen</v>
      </c>
      <c r="B81" s="11" t="str">
        <f>IFERROR(__xludf.DUMMYFUNCTION("""COMPUTED_VALUE"""),"Top GEO Agenturen in Deutschland, Österreich &amp;amp; der Schweiz")</f>
        <v>Top GEO Agenturen in Deutschland, Österreich &amp;amp; der Schweiz</v>
      </c>
      <c r="C81" s="8" t="str">
        <f>IFERROR(__xludf.DUMMYFUNCTION("""COMPUTED_VALUE"""),"omr.com")</f>
        <v>omr.com</v>
      </c>
      <c r="D81" s="11" t="str">
        <f>IFERROR(__xludf.DUMMYFUNCTION("""COMPUTED_VALUE"""),"CATEGORY_PAGE")</f>
        <v>CATEGORY_PAGE</v>
      </c>
      <c r="E81" s="11" t="str">
        <f>IFERROR(__xludf.DUMMYFUNCTION("""COMPUTED_VALUE"""),"OTHER")</f>
        <v>OTHER</v>
      </c>
      <c r="F81" s="11" t="str">
        <f>IFERROR(__xludf.DUMMYFUNCTION("""COMPUTED_VALUE"""),"Category Page")</f>
        <v>Category Page</v>
      </c>
      <c r="G81" s="11" t="b">
        <f>IFERROR(__xludf.DUMMYFUNCTION("""COMPUTED_VALUE"""),FALSE)</f>
        <v>0</v>
      </c>
      <c r="H81" s="11" t="str">
        <f>IFERROR(__xludf.DUMMYFUNCTION("""COMPUTED_VALUE"""),"Claneo, HECHT INS GEFECHT, TRYSEO, Suchhelden, Kosch Klink Performance, Löwenstark")</f>
        <v>Claneo, HECHT INS GEFECHT, TRYSEO, Suchhelden, Kosch Klink Performance, Löwenstark</v>
      </c>
      <c r="I81" s="11">
        <f>IFERROR(__xludf.DUMMYFUNCTION("""COMPUTED_VALUE"""),9.0)</f>
        <v>9</v>
      </c>
      <c r="J81" s="11">
        <f>IFERROR(__xludf.DUMMYFUNCTION("""COMPUTED_VALUE"""),0.01)</f>
        <v>0.01</v>
      </c>
      <c r="K81" s="11">
        <f>IFERROR(__xludf.DUMMYFUNCTION("""COMPUTED_VALUE"""),0.44)</f>
        <v>0.44</v>
      </c>
    </row>
    <row r="82" ht="15.75" customHeight="1">
      <c r="A82" s="8" t="str">
        <f>IFERROR(__xludf.DUMMYFUNCTION("""COMPUTED_VALUE"""),"https://www.sortlist.com/s/marketing-automation/germany-de")</f>
        <v>https://www.sortlist.com/s/marketing-automation/germany-de</v>
      </c>
      <c r="B82" s="11" t="str">
        <f>IFERROR(__xludf.DUMMYFUNCTION("""COMPUTED_VALUE"""),"The 10 Best Marketing Automation Agencies in Germany - 2026 Reviews")</f>
        <v>The 10 Best Marketing Automation Agencies in Germany - 2026 Reviews</v>
      </c>
      <c r="C82" s="8" t="str">
        <f>IFERROR(__xludf.DUMMYFUNCTION("""COMPUTED_VALUE"""),"sortlist.com")</f>
        <v>sortlist.com</v>
      </c>
      <c r="D82" s="11" t="str">
        <f>IFERROR(__xludf.DUMMYFUNCTION("""COMPUTED_VALUE"""),"CATEGORY_PAGE")</f>
        <v>CATEGORY_PAGE</v>
      </c>
      <c r="E82" s="11" t="str">
        <f>IFERROR(__xludf.DUMMYFUNCTION("""COMPUTED_VALUE"""),"CORPORATE")</f>
        <v>CORPORATE</v>
      </c>
      <c r="F82" s="11" t="str">
        <f>IFERROR(__xludf.DUMMYFUNCTION("""COMPUTED_VALUE"""),"Category Page")</f>
        <v>Category Page</v>
      </c>
      <c r="G82" s="11" t="b">
        <f>IFERROR(__xludf.DUMMYFUNCTION("""COMPUTED_VALUE"""),FALSE)</f>
        <v>0</v>
      </c>
      <c r="H82" s="11" t="str">
        <f>IFERROR(__xludf.DUMMYFUNCTION("""COMPUTED_VALUE"""),"MONSOON, Measured")</f>
        <v>MONSOON, Measured</v>
      </c>
      <c r="I82" s="11">
        <f>IFERROR(__xludf.DUMMYFUNCTION("""COMPUTED_VALUE"""),9.0)</f>
        <v>9</v>
      </c>
      <c r="J82" s="11">
        <f>IFERROR(__xludf.DUMMYFUNCTION("""COMPUTED_VALUE"""),0.01)</f>
        <v>0.01</v>
      </c>
      <c r="K82" s="11">
        <f>IFERROR(__xludf.DUMMYFUNCTION("""COMPUTED_VALUE"""),0.44)</f>
        <v>0.44</v>
      </c>
    </row>
    <row r="83" ht="15.75" customHeight="1">
      <c r="A83" s="8" t="str">
        <f>IFERROR(__xludf.DUMMYFUNCTION("""COMPUTED_VALUE"""),"https://sourceforge.net/software/marketing-attribution/germany/?page=2")</f>
        <v>https://sourceforge.net/software/marketing-attribution/germany/?page=2</v>
      </c>
      <c r="B83" s="11" t="str">
        <f>IFERROR(__xludf.DUMMYFUNCTION("""COMPUTED_VALUE"""),"Page 2 | Best Marketing Attribution Software in Germany of 2026 - Reviews &amp;amp; Comparison")</f>
        <v>Page 2 | Best Marketing Attribution Software in Germany of 2026 - Reviews &amp;amp; Comparison</v>
      </c>
      <c r="C83" s="8" t="str">
        <f>IFERROR(__xludf.DUMMYFUNCTION("""COMPUTED_VALUE"""),"sourceforge.net")</f>
        <v>sourceforge.net</v>
      </c>
      <c r="D83" s="11" t="str">
        <f>IFERROR(__xludf.DUMMYFUNCTION("""COMPUTED_VALUE"""),"CATEGORY_PAGE")</f>
        <v>CATEGORY_PAGE</v>
      </c>
      <c r="E83" s="11" t="str">
        <f>IFERROR(__xludf.DUMMYFUNCTION("""COMPUTED_VALUE"""),"OTHER")</f>
        <v>OTHER</v>
      </c>
      <c r="F83" s="11" t="str">
        <f>IFERROR(__xludf.DUMMYFUNCTION("""COMPUTED_VALUE"""),"Category Page")</f>
        <v>Category Page</v>
      </c>
      <c r="G83" s="11" t="b">
        <f>IFERROR(__xludf.DUMMYFUNCTION("""COMPUTED_VALUE"""),FALSE)</f>
        <v>0</v>
      </c>
      <c r="H83" s="11" t="str">
        <f>IFERROR(__xludf.DUMMYFUNCTION("""COMPUTED_VALUE"""),"LifeSight, GroupM, Dentsu")</f>
        <v>LifeSight, GroupM, Dentsu</v>
      </c>
      <c r="I83" s="11">
        <f>IFERROR(__xludf.DUMMYFUNCTION("""COMPUTED_VALUE"""),9.0)</f>
        <v>9</v>
      </c>
      <c r="J83" s="11">
        <f>IFERROR(__xludf.DUMMYFUNCTION("""COMPUTED_VALUE"""),0.01)</f>
        <v>0.01</v>
      </c>
      <c r="K83" s="11">
        <f>IFERROR(__xludf.DUMMYFUNCTION("""COMPUTED_VALUE"""),0.0)</f>
        <v>0</v>
      </c>
    </row>
    <row r="84" ht="15.75" customHeight="1">
      <c r="A84" s="8" t="str">
        <f>IFERROR(__xludf.DUMMYFUNCTION("""COMPUTED_VALUE"""),"https://clutch.co/de/agencies/ppc/advertising-industry?page=2")</f>
        <v>https://clutch.co/de/agencies/ppc/advertising-industry?page=2</v>
      </c>
      <c r="B84" s="11" t="str">
        <f>IFERROR(__xludf.DUMMYFUNCTION("""COMPUTED_VALUE"""),"Page 2 - Top PPC Agencies for Ad Agencies in Germany - Jul 2026 Rankings \| Clutch.co")</f>
        <v>Page 2 - Top PPC Agencies for Ad Agencies in Germany - Jul 2026 Rankings \| Clutch.co</v>
      </c>
      <c r="C84" s="8" t="str">
        <f>IFERROR(__xludf.DUMMYFUNCTION("""COMPUTED_VALUE"""),"clutch.co")</f>
        <v>clutch.co</v>
      </c>
      <c r="D84" s="11" t="str">
        <f>IFERROR(__xludf.DUMMYFUNCTION("""COMPUTED_VALUE"""),"CATEGORY_PAGE")</f>
        <v>CATEGORY_PAGE</v>
      </c>
      <c r="E84" s="11" t="str">
        <f>IFERROR(__xludf.DUMMYFUNCTION("""COMPUTED_VALUE"""),"CORPORATE")</f>
        <v>CORPORATE</v>
      </c>
      <c r="F84" s="11" t="str">
        <f>IFERROR(__xludf.DUMMYFUNCTION("""COMPUTED_VALUE"""),"Category Page")</f>
        <v>Category Page</v>
      </c>
      <c r="G84" s="11" t="b">
        <f>IFERROR(__xludf.DUMMYFUNCTION("""COMPUTED_VALUE"""),FALSE)</f>
        <v>0</v>
      </c>
      <c r="H84" s="11" t="str">
        <f>IFERROR(__xludf.DUMMYFUNCTION("""COMPUTED_VALUE"""),"Mediacharge, Medialabel")</f>
        <v>Mediacharge, Medialabel</v>
      </c>
      <c r="I84" s="11">
        <f>IFERROR(__xludf.DUMMYFUNCTION("""COMPUTED_VALUE"""),8.0)</f>
        <v>8</v>
      </c>
      <c r="J84" s="11">
        <f>IFERROR(__xludf.DUMMYFUNCTION("""COMPUTED_VALUE"""),0.01)</f>
        <v>0.01</v>
      </c>
      <c r="K84" s="11">
        <f>IFERROR(__xludf.DUMMYFUNCTION("""COMPUTED_VALUE"""),0.0)</f>
        <v>0</v>
      </c>
    </row>
    <row r="85" ht="15.75" customHeight="1">
      <c r="A85" s="8" t="str">
        <f>IFERROR(__xludf.DUMMYFUNCTION("""COMPUTED_VALUE"""),"https://www.designrush.com/agency/social-media-marketing/de")</f>
        <v>https://www.designrush.com/agency/social-media-marketing/de</v>
      </c>
      <c r="B85" s="11" t="str">
        <f>IFERROR(__xludf.DUMMYFUNCTION("""COMPUTED_VALUE"""),"Top Social Media Marketing Agencies in Germany | 2026")</f>
        <v>Top Social Media Marketing Agencies in Germany | 2026</v>
      </c>
      <c r="C85" s="8" t="str">
        <f>IFERROR(__xludf.DUMMYFUNCTION("""COMPUTED_VALUE"""),"designrush.com")</f>
        <v>designrush.com</v>
      </c>
      <c r="D85" s="11" t="str">
        <f>IFERROR(__xludf.DUMMYFUNCTION("""COMPUTED_VALUE"""),"CATEGORY_PAGE")</f>
        <v>CATEGORY_PAGE</v>
      </c>
      <c r="E85" s="11" t="str">
        <f>IFERROR(__xludf.DUMMYFUNCTION("""COMPUTED_VALUE"""),"CORPORATE")</f>
        <v>CORPORATE</v>
      </c>
      <c r="F85" s="11" t="str">
        <f>IFERROR(__xludf.DUMMYFUNCTION("""COMPUTED_VALUE"""),"Category Page")</f>
        <v>Category Page</v>
      </c>
      <c r="G85" s="11" t="b">
        <f>IFERROR(__xludf.DUMMYFUNCTION("""COMPUTED_VALUE"""),FALSE)</f>
        <v>0</v>
      </c>
      <c r="H85" s="11" t="str">
        <f>IFERROR(__xludf.DUMMYFUNCTION("""COMPUTED_VALUE"""),"MONSOON, REPLUG, Pulse Advertising, PANORAMA3000")</f>
        <v>MONSOON, REPLUG, Pulse Advertising, PANORAMA3000</v>
      </c>
      <c r="I85" s="11">
        <f>IFERROR(__xludf.DUMMYFUNCTION("""COMPUTED_VALUE"""),8.0)</f>
        <v>8</v>
      </c>
      <c r="J85" s="11">
        <f>IFERROR(__xludf.DUMMYFUNCTION("""COMPUTED_VALUE"""),0.01)</f>
        <v>0.01</v>
      </c>
      <c r="K85" s="11">
        <f>IFERROR(__xludf.DUMMYFUNCTION("""COMPUTED_VALUE"""),0.25)</f>
        <v>0.25</v>
      </c>
    </row>
    <row r="86" ht="15.75" customHeight="1">
      <c r="A86" s="8" t="str">
        <f>IFERROR(__xludf.DUMMYFUNCTION("""COMPUTED_VALUE"""),"https://omr.com/en/reviews/service-category/performance-marketing-agenturen")</f>
        <v>https://omr.com/en/reviews/service-category/performance-marketing-agenturen</v>
      </c>
      <c r="B86" s="11" t="str">
        <f>IFERROR(__xludf.DUMMYFUNCTION("""COMPUTED_VALUE"""),"Performance Marketing Agencies Compared | OMR Reviews")</f>
        <v>Performance Marketing Agencies Compared | OMR Reviews</v>
      </c>
      <c r="C86" s="8" t="str">
        <f>IFERROR(__xludf.DUMMYFUNCTION("""COMPUTED_VALUE"""),"omr.com")</f>
        <v>omr.com</v>
      </c>
      <c r="D86" s="11" t="str">
        <f>IFERROR(__xludf.DUMMYFUNCTION("""COMPUTED_VALUE"""),"CATEGORY_PAGE")</f>
        <v>CATEGORY_PAGE</v>
      </c>
      <c r="E86" s="11" t="str">
        <f>IFERROR(__xludf.DUMMYFUNCTION("""COMPUTED_VALUE"""),"OTHER")</f>
        <v>OTHER</v>
      </c>
      <c r="F86" s="11" t="str">
        <f>IFERROR(__xludf.DUMMYFUNCTION("""COMPUTED_VALUE"""),"Category Page")</f>
        <v>Category Page</v>
      </c>
      <c r="G86" s="11" t="b">
        <f>IFERROR(__xludf.DUMMYFUNCTION("""COMPUTED_VALUE"""),FALSE)</f>
        <v>0</v>
      </c>
      <c r="H86" s="11" t="str">
        <f>IFERROR(__xludf.DUMMYFUNCTION("""COMPUTED_VALUE"""),"KlickPiloten, Löwenstark, Smarketer, Jung von Matt")</f>
        <v>KlickPiloten, Löwenstark, Smarketer, Jung von Matt</v>
      </c>
      <c r="I86" s="11">
        <f>IFERROR(__xludf.DUMMYFUNCTION("""COMPUTED_VALUE"""),8.0)</f>
        <v>8</v>
      </c>
      <c r="J86" s="11">
        <f>IFERROR(__xludf.DUMMYFUNCTION("""COMPUTED_VALUE"""),0.01)</f>
        <v>0.01</v>
      </c>
      <c r="K86" s="11">
        <f>IFERROR(__xludf.DUMMYFUNCTION("""COMPUTED_VALUE"""),1.5)</f>
        <v>1.5</v>
      </c>
    </row>
    <row r="87" ht="15.75" customHeight="1">
      <c r="A87" s="8" t="str">
        <f>IFERROR(__xludf.DUMMYFUNCTION("""COMPUTED_VALUE"""),"https://www.sortlist.com/s/international-marketing/germany-de")</f>
        <v>https://www.sortlist.com/s/international-marketing/germany-de</v>
      </c>
      <c r="B87" s="11" t="str">
        <f>IFERROR(__xludf.DUMMYFUNCTION("""COMPUTED_VALUE"""),"The 10 Best International Marketing Agencies in Germany - 2026 Reviews")</f>
        <v>The 10 Best International Marketing Agencies in Germany - 2026 Reviews</v>
      </c>
      <c r="C87" s="8" t="str">
        <f>IFERROR(__xludf.DUMMYFUNCTION("""COMPUTED_VALUE"""),"sortlist.com")</f>
        <v>sortlist.com</v>
      </c>
      <c r="D87" s="11" t="str">
        <f>IFERROR(__xludf.DUMMYFUNCTION("""COMPUTED_VALUE"""),"CATEGORY_PAGE")</f>
        <v>CATEGORY_PAGE</v>
      </c>
      <c r="E87" s="11" t="str">
        <f>IFERROR(__xludf.DUMMYFUNCTION("""COMPUTED_VALUE"""),"CORPORATE")</f>
        <v>CORPORATE</v>
      </c>
      <c r="F87" s="11" t="str">
        <f>IFERROR(__xludf.DUMMYFUNCTION("""COMPUTED_VALUE"""),"Category Page")</f>
        <v>Category Page</v>
      </c>
      <c r="G87" s="11" t="b">
        <f>IFERROR(__xludf.DUMMYFUNCTION("""COMPUTED_VALUE"""),FALSE)</f>
        <v>0</v>
      </c>
      <c r="H87" s="11" t="str">
        <f>IFERROR(__xludf.DUMMYFUNCTION("""COMPUTED_VALUE"""),"MONSOON, Measured")</f>
        <v>MONSOON, Measured</v>
      </c>
      <c r="I87" s="11">
        <f>IFERROR(__xludf.DUMMYFUNCTION("""COMPUTED_VALUE"""),8.0)</f>
        <v>8</v>
      </c>
      <c r="J87" s="11">
        <f>IFERROR(__xludf.DUMMYFUNCTION("""COMPUTED_VALUE"""),0.01)</f>
        <v>0.01</v>
      </c>
      <c r="K87" s="11">
        <f>IFERROR(__xludf.DUMMYFUNCTION("""COMPUTED_VALUE"""),0.38)</f>
        <v>0.38</v>
      </c>
    </row>
    <row r="88" ht="15.75" customHeight="1">
      <c r="A88" s="8" t="str">
        <f>IFERROR(__xludf.DUMMYFUNCTION("""COMPUTED_VALUE"""),"https://www.sortlist.com/s/marketing-analytics/frankfurt-he-de")</f>
        <v>https://www.sortlist.com/s/marketing-analytics/frankfurt-he-de</v>
      </c>
      <c r="B88" s="11" t="str">
        <f>IFERROR(__xludf.DUMMYFUNCTION("""COMPUTED_VALUE"""),"The 10 Best Marketing Analytics Companies in Germany - 2026 Reviews")</f>
        <v>The 10 Best Marketing Analytics Companies in Germany - 2026 Reviews</v>
      </c>
      <c r="C88" s="8" t="str">
        <f>IFERROR(__xludf.DUMMYFUNCTION("""COMPUTED_VALUE"""),"sortlist.com")</f>
        <v>sortlist.com</v>
      </c>
      <c r="D88" s="11" t="str">
        <f>IFERROR(__xludf.DUMMYFUNCTION("""COMPUTED_VALUE"""),"CATEGORY_PAGE")</f>
        <v>CATEGORY_PAGE</v>
      </c>
      <c r="E88" s="11" t="str">
        <f>IFERROR(__xludf.DUMMYFUNCTION("""COMPUTED_VALUE"""),"CORPORATE")</f>
        <v>CORPORATE</v>
      </c>
      <c r="F88" s="11" t="str">
        <f>IFERROR(__xludf.DUMMYFUNCTION("""COMPUTED_VALUE"""),"Category Page")</f>
        <v>Category Page</v>
      </c>
      <c r="G88" s="11" t="b">
        <f>IFERROR(__xludf.DUMMYFUNCTION("""COMPUTED_VALUE"""),FALSE)</f>
        <v>0</v>
      </c>
      <c r="H88" s="11" t="str">
        <f>IFERROR(__xludf.DUMMYFUNCTION("""COMPUTED_VALUE"""),"Digital Masters GmbH, lehof, MONSOON, Measured")</f>
        <v>Digital Masters GmbH, lehof, MONSOON, Measured</v>
      </c>
      <c r="I88" s="11">
        <f>IFERROR(__xludf.DUMMYFUNCTION("""COMPUTED_VALUE"""),8.0)</f>
        <v>8</v>
      </c>
      <c r="J88" s="11">
        <f>IFERROR(__xludf.DUMMYFUNCTION("""COMPUTED_VALUE"""),0.01)</f>
        <v>0.01</v>
      </c>
      <c r="K88" s="11">
        <f>IFERROR(__xludf.DUMMYFUNCTION("""COMPUTED_VALUE"""),0.5)</f>
        <v>0.5</v>
      </c>
    </row>
    <row r="89" ht="15.75" customHeight="1">
      <c r="A89" s="8" t="str">
        <f>IFERROR(__xludf.DUMMYFUNCTION("""COMPUTED_VALUE"""),"https://www.sortlist.com/s/sm-analytics/germany-de")</f>
        <v>https://www.sortlist.com/s/sm-analytics/germany-de</v>
      </c>
      <c r="B89" s="11" t="str">
        <f>IFERROR(__xludf.DUMMYFUNCTION("""COMPUTED_VALUE"""),"The 10 Best SM Analytics Consultants in Germany - 2026 Reviews")</f>
        <v>The 10 Best SM Analytics Consultants in Germany - 2026 Reviews</v>
      </c>
      <c r="C89" s="8" t="str">
        <f>IFERROR(__xludf.DUMMYFUNCTION("""COMPUTED_VALUE"""),"sortlist.com")</f>
        <v>sortlist.com</v>
      </c>
      <c r="D89" s="11" t="str">
        <f>IFERROR(__xludf.DUMMYFUNCTION("""COMPUTED_VALUE"""),"CATEGORY_PAGE")</f>
        <v>CATEGORY_PAGE</v>
      </c>
      <c r="E89" s="11" t="str">
        <f>IFERROR(__xludf.DUMMYFUNCTION("""COMPUTED_VALUE"""),"CORPORATE")</f>
        <v>CORPORATE</v>
      </c>
      <c r="F89" s="11" t="str">
        <f>IFERROR(__xludf.DUMMYFUNCTION("""COMPUTED_VALUE"""),"Category Page")</f>
        <v>Category Page</v>
      </c>
      <c r="G89" s="11" t="b">
        <f>IFERROR(__xludf.DUMMYFUNCTION("""COMPUTED_VALUE"""),FALSE)</f>
        <v>0</v>
      </c>
      <c r="H89" s="11" t="str">
        <f>IFERROR(__xludf.DUMMYFUNCTION("""COMPUTED_VALUE"""),"PANORAMA3000, Momentum, ZweiDigital GmbH")</f>
        <v>PANORAMA3000, Momentum, ZweiDigital GmbH</v>
      </c>
      <c r="I89" s="11">
        <f>IFERROR(__xludf.DUMMYFUNCTION("""COMPUTED_VALUE"""),8.0)</f>
        <v>8</v>
      </c>
      <c r="J89" s="11">
        <f>IFERROR(__xludf.DUMMYFUNCTION("""COMPUTED_VALUE"""),0.01)</f>
        <v>0.01</v>
      </c>
      <c r="K89" s="11">
        <f>IFERROR(__xludf.DUMMYFUNCTION("""COMPUTED_VALUE"""),0.0)</f>
        <v>0</v>
      </c>
    </row>
    <row r="90" ht="15.75" customHeight="1">
      <c r="A90" s="8" t="str">
        <f>IFERROR(__xludf.DUMMYFUNCTION("""COMPUTED_VALUE"""),"https://aeo-copilot.com/partners/agencies/germany/berlin")</f>
        <v>https://aeo-copilot.com/partners/agencies/germany/berlin</v>
      </c>
      <c r="B90" s="11" t="str">
        <f>IFERROR(__xludf.DUMMYFUNCTION("""COMPUTED_VALUE"""),"Best AEO Agencies in Berlin, Germany — AI Visibility Experts | AEO Copilot")</f>
        <v>Best AEO Agencies in Berlin, Germany — AI Visibility Experts | AEO Copilot</v>
      </c>
      <c r="C90" s="8" t="str">
        <f>IFERROR(__xludf.DUMMYFUNCTION("""COMPUTED_VALUE"""),"aeo-copilot.com")</f>
        <v>aeo-copilot.com</v>
      </c>
      <c r="D90" s="11" t="str">
        <f>IFERROR(__xludf.DUMMYFUNCTION("""COMPUTED_VALUE"""),"CATEGORY_PAGE")</f>
        <v>CATEGORY_PAGE</v>
      </c>
      <c r="E90" s="11" t="str">
        <f>IFERROR(__xludf.DUMMYFUNCTION("""COMPUTED_VALUE"""),"CORPORATE")</f>
        <v>CORPORATE</v>
      </c>
      <c r="F90" s="11" t="str">
        <f>IFERROR(__xludf.DUMMYFUNCTION("""COMPUTED_VALUE"""),"Category Page")</f>
        <v>Category Page</v>
      </c>
      <c r="G90" s="11" t="b">
        <f>IFERROR(__xludf.DUMMYFUNCTION("""COMPUTED_VALUE"""),FALSE)</f>
        <v>0</v>
      </c>
      <c r="H90" s="11"/>
      <c r="I90" s="11">
        <f>IFERROR(__xludf.DUMMYFUNCTION("""COMPUTED_VALUE"""),7.0)</f>
        <v>7</v>
      </c>
      <c r="J90" s="11">
        <f>IFERROR(__xludf.DUMMYFUNCTION("""COMPUTED_VALUE"""),0.01)</f>
        <v>0.01</v>
      </c>
      <c r="K90" s="11">
        <f>IFERROR(__xludf.DUMMYFUNCTION("""COMPUTED_VALUE"""),0.57)</f>
        <v>0.57</v>
      </c>
    </row>
    <row r="91" ht="15.75" customHeight="1">
      <c r="A91" s="8" t="str">
        <f>IFERROR(__xludf.DUMMYFUNCTION("""COMPUTED_VALUE"""),"https://www.aeodirectory.com/aeo/search/?country=Germany&amp;order_by=industry_sector&amp;page=162")</f>
        <v>https://www.aeodirectory.com/aeo/search/?country=Germany&amp;order_by=industry_sector&amp;page=162</v>
      </c>
      <c r="B91" s="11"/>
      <c r="C91" s="8" t="str">
        <f>IFERROR(__xludf.DUMMYFUNCTION("""COMPUTED_VALUE"""),"aeodirectory.com")</f>
        <v>aeodirectory.com</v>
      </c>
      <c r="D91" s="11" t="str">
        <f>IFERROR(__xludf.DUMMYFUNCTION("""COMPUTED_VALUE"""),"CATEGORY_PAGE")</f>
        <v>CATEGORY_PAGE</v>
      </c>
      <c r="E91" s="11" t="str">
        <f>IFERROR(__xludf.DUMMYFUNCTION("""COMPUTED_VALUE"""),"REFERENCE")</f>
        <v>REFERENCE</v>
      </c>
      <c r="F91" s="11" t="str">
        <f>IFERROR(__xludf.DUMMYFUNCTION("""COMPUTED_VALUE"""),"Category Page")</f>
        <v>Category Page</v>
      </c>
      <c r="G91" s="11" t="b">
        <f>IFERROR(__xludf.DUMMYFUNCTION("""COMPUTED_VALUE"""),FALSE)</f>
        <v>0</v>
      </c>
      <c r="H91" s="11"/>
      <c r="I91" s="11">
        <f>IFERROR(__xludf.DUMMYFUNCTION("""COMPUTED_VALUE"""),7.0)</f>
        <v>7</v>
      </c>
      <c r="J91" s="11">
        <f>IFERROR(__xludf.DUMMYFUNCTION("""COMPUTED_VALUE"""),0.01)</f>
        <v>0.01</v>
      </c>
      <c r="K91" s="11">
        <f>IFERROR(__xludf.DUMMYFUNCTION("""COMPUTED_VALUE"""),0.0)</f>
        <v>0</v>
      </c>
    </row>
    <row r="92" ht="15.75" customHeight="1">
      <c r="A92" s="8" t="str">
        <f>IFERROR(__xludf.DUMMYFUNCTION("""COMPUTED_VALUE"""),"https://www.aeodirectory.com/aeo/search/?country=Germany&amp;order_by=registered_country_name&amp;page=33")</f>
        <v>https://www.aeodirectory.com/aeo/search/?country=Germany&amp;order_by=registered_country_name&amp;page=33</v>
      </c>
      <c r="B92" s="11"/>
      <c r="C92" s="8" t="str">
        <f>IFERROR(__xludf.DUMMYFUNCTION("""COMPUTED_VALUE"""),"aeodirectory.com")</f>
        <v>aeodirectory.com</v>
      </c>
      <c r="D92" s="11" t="str">
        <f>IFERROR(__xludf.DUMMYFUNCTION("""COMPUTED_VALUE"""),"CATEGORY_PAGE")</f>
        <v>CATEGORY_PAGE</v>
      </c>
      <c r="E92" s="11" t="str">
        <f>IFERROR(__xludf.DUMMYFUNCTION("""COMPUTED_VALUE"""),"REFERENCE")</f>
        <v>REFERENCE</v>
      </c>
      <c r="F92" s="11" t="str">
        <f>IFERROR(__xludf.DUMMYFUNCTION("""COMPUTED_VALUE"""),"Category Page")</f>
        <v>Category Page</v>
      </c>
      <c r="G92" s="11" t="b">
        <f>IFERROR(__xludf.DUMMYFUNCTION("""COMPUTED_VALUE"""),FALSE)</f>
        <v>0</v>
      </c>
      <c r="H92" s="11"/>
      <c r="I92" s="11">
        <f>IFERROR(__xludf.DUMMYFUNCTION("""COMPUTED_VALUE"""),7.0)</f>
        <v>7</v>
      </c>
      <c r="J92" s="11">
        <f>IFERROR(__xludf.DUMMYFUNCTION("""COMPUTED_VALUE"""),0.01)</f>
        <v>0.01</v>
      </c>
      <c r="K92" s="11">
        <f>IFERROR(__xludf.DUMMYFUNCTION("""COMPUTED_VALUE"""),0.0)</f>
        <v>0</v>
      </c>
    </row>
    <row r="93" ht="15.75" customHeight="1">
      <c r="A93" s="8" t="str">
        <f>IFERROR(__xludf.DUMMYFUNCTION("""COMPUTED_VALUE"""),"https://agencies.semrush.com/list/seo/germany/")</f>
        <v>https://agencies.semrush.com/list/seo/germany/</v>
      </c>
      <c r="B93" s="11" t="str">
        <f>IFERROR(__xludf.DUMMYFUNCTION("""COMPUTED_VALUE"""),"Best SEO Companies in Germany 2026 | Semrush")</f>
        <v>Best SEO Companies in Germany 2026 | Semrush</v>
      </c>
      <c r="C93" s="8" t="str">
        <f>IFERROR(__xludf.DUMMYFUNCTION("""COMPUTED_VALUE"""),"semrush.com")</f>
        <v>semrush.com</v>
      </c>
      <c r="D93" s="11" t="str">
        <f>IFERROR(__xludf.DUMMYFUNCTION("""COMPUTED_VALUE"""),"CATEGORY_PAGE")</f>
        <v>CATEGORY_PAGE</v>
      </c>
      <c r="E93" s="11" t="str">
        <f>IFERROR(__xludf.DUMMYFUNCTION("""COMPUTED_VALUE"""),"CORPORATE")</f>
        <v>CORPORATE</v>
      </c>
      <c r="F93" s="11" t="str">
        <f>IFERROR(__xludf.DUMMYFUNCTION("""COMPUTED_VALUE"""),"Category Page")</f>
        <v>Category Page</v>
      </c>
      <c r="G93" s="11" t="b">
        <f>IFERROR(__xludf.DUMMYFUNCTION("""COMPUTED_VALUE"""),FALSE)</f>
        <v>0</v>
      </c>
      <c r="H93"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93" s="11">
        <f>IFERROR(__xludf.DUMMYFUNCTION("""COMPUTED_VALUE"""),7.0)</f>
        <v>7</v>
      </c>
      <c r="J93" s="11">
        <f>IFERROR(__xludf.DUMMYFUNCTION("""COMPUTED_VALUE"""),0.01)</f>
        <v>0.01</v>
      </c>
      <c r="K93" s="11">
        <f>IFERROR(__xludf.DUMMYFUNCTION("""COMPUTED_VALUE"""),0.14)</f>
        <v>0.14</v>
      </c>
    </row>
    <row r="94" ht="15.75" customHeight="1">
      <c r="A94" s="8" t="str">
        <f>IFERROR(__xludf.DUMMYFUNCTION("""COMPUTED_VALUE"""),"https://clutch.co/de/consulting/ai/strategy?page=1")</f>
        <v>https://clutch.co/de/consulting/ai/strategy?page=1</v>
      </c>
      <c r="B94" s="11" t="str">
        <f>IFERROR(__xludf.DUMMYFUNCTION("""COMPUTED_VALUE"""),"Page 2 - Top AI Strategy Companies in Germany - Jul 2026 Rankings \| Clutch.co")</f>
        <v>Page 2 - Top AI Strategy Companies in Germany - Jul 2026 Rankings \| Clutch.co</v>
      </c>
      <c r="C94" s="8" t="str">
        <f>IFERROR(__xludf.DUMMYFUNCTION("""COMPUTED_VALUE"""),"clutch.co")</f>
        <v>clutch.co</v>
      </c>
      <c r="D94" s="11" t="str">
        <f>IFERROR(__xludf.DUMMYFUNCTION("""COMPUTED_VALUE"""),"CATEGORY_PAGE")</f>
        <v>CATEGORY_PAGE</v>
      </c>
      <c r="E94" s="11" t="str">
        <f>IFERROR(__xludf.DUMMYFUNCTION("""COMPUTED_VALUE"""),"CORPORATE")</f>
        <v>CORPORATE</v>
      </c>
      <c r="F94" s="11" t="str">
        <f>IFERROR(__xludf.DUMMYFUNCTION("""COMPUTED_VALUE"""),"Category Page")</f>
        <v>Category Page</v>
      </c>
      <c r="G94" s="11" t="b">
        <f>IFERROR(__xludf.DUMMYFUNCTION("""COMPUTED_VALUE"""),FALSE)</f>
        <v>0</v>
      </c>
      <c r="H94" s="11"/>
      <c r="I94" s="11">
        <f>IFERROR(__xludf.DUMMYFUNCTION("""COMPUTED_VALUE"""),7.0)</f>
        <v>7</v>
      </c>
      <c r="J94" s="11">
        <f>IFERROR(__xludf.DUMMYFUNCTION("""COMPUTED_VALUE"""),0.01)</f>
        <v>0.01</v>
      </c>
      <c r="K94" s="11">
        <f>IFERROR(__xludf.DUMMYFUNCTION("""COMPUTED_VALUE"""),0.0)</f>
        <v>0</v>
      </c>
    </row>
    <row r="95" ht="15.75" customHeight="1">
      <c r="A95" s="8" t="str">
        <f>IFERROR(__xludf.DUMMYFUNCTION("""COMPUTED_VALUE"""),"https://ecosystem.hubspot.com/de/marketplace/solutions/marketing-services/germany")</f>
        <v>https://ecosystem.hubspot.com/de/marketplace/solutions/marketing-services/germany</v>
      </c>
      <c r="B95" s="11" t="str">
        <f>IFERROR(__xludf.DUMMYFUNCTION("""COMPUTED_VALUE"""),"Die 107 besten Agenturen und Dienstanbieter für Marketing-Services in Deutschland | HubSpot")</f>
        <v>Die 107 besten Agenturen und Dienstanbieter für Marketing-Services in Deutschland | HubSpot</v>
      </c>
      <c r="C95" s="8" t="str">
        <f>IFERROR(__xludf.DUMMYFUNCTION("""COMPUTED_VALUE"""),"hubspot.com")</f>
        <v>hubspot.com</v>
      </c>
      <c r="D95" s="11" t="str">
        <f>IFERROR(__xludf.DUMMYFUNCTION("""COMPUTED_VALUE"""),"CATEGORY_PAGE")</f>
        <v>CATEGORY_PAGE</v>
      </c>
      <c r="E95" s="11" t="str">
        <f>IFERROR(__xludf.DUMMYFUNCTION("""COMPUTED_VALUE"""),"CORPORATE")</f>
        <v>CORPORATE</v>
      </c>
      <c r="F95" s="11" t="str">
        <f>IFERROR(__xludf.DUMMYFUNCTION("""COMPUTED_VALUE"""),"Category Page")</f>
        <v>Category Page</v>
      </c>
      <c r="G95" s="11" t="b">
        <f>IFERROR(__xludf.DUMMYFUNCTION("""COMPUTED_VALUE"""),FALSE)</f>
        <v>0</v>
      </c>
      <c r="H95" s="11" t="str">
        <f>IFERROR(__xludf.DUMMYFUNCTION("""COMPUTED_VALUE"""),"Radyant")</f>
        <v>Radyant</v>
      </c>
      <c r="I95" s="11">
        <f>IFERROR(__xludf.DUMMYFUNCTION("""COMPUTED_VALUE"""),7.0)</f>
        <v>7</v>
      </c>
      <c r="J95" s="11">
        <f>IFERROR(__xludf.DUMMYFUNCTION("""COMPUTED_VALUE"""),0.01)</f>
        <v>0.01</v>
      </c>
      <c r="K95" s="11">
        <f>IFERROR(__xludf.DUMMYFUNCTION("""COMPUTED_VALUE"""),0.0)</f>
        <v>0</v>
      </c>
    </row>
    <row r="96" ht="15.75" customHeight="1">
      <c r="A96" s="8" t="str">
        <f>IFERROR(__xludf.DUMMYFUNCTION("""COMPUTED_VALUE"""),"https://ensun.io/search/display-advertising/germany")</f>
        <v>https://ensun.io/search/display-advertising/germany</v>
      </c>
      <c r="B96" s="11" t="str">
        <f>IFERROR(__xludf.DUMMYFUNCTION("""COMPUTED_VALUE"""),"Top 100 Display Advertising Companies in Germany (2026) \| ensun")</f>
        <v>Top 100 Display Advertising Companies in Germany (2026) \| ensun</v>
      </c>
      <c r="C96" s="8" t="str">
        <f>IFERROR(__xludf.DUMMYFUNCTION("""COMPUTED_VALUE"""),"ensun.io")</f>
        <v>ensun.io</v>
      </c>
      <c r="D96" s="11" t="str">
        <f>IFERROR(__xludf.DUMMYFUNCTION("""COMPUTED_VALUE"""),"CATEGORY_PAGE")</f>
        <v>CATEGORY_PAGE</v>
      </c>
      <c r="E96" s="11" t="str">
        <f>IFERROR(__xludf.DUMMYFUNCTION("""COMPUTED_VALUE"""),"OTHER")</f>
        <v>OTHER</v>
      </c>
      <c r="F96" s="11" t="str">
        <f>IFERROR(__xludf.DUMMYFUNCTION("""COMPUTED_VALUE"""),"Category Page")</f>
        <v>Category Page</v>
      </c>
      <c r="G96" s="11" t="b">
        <f>IFERROR(__xludf.DUMMYFUNCTION("""COMPUTED_VALUE"""),FALSE)</f>
        <v>0</v>
      </c>
      <c r="H96" s="11"/>
      <c r="I96" s="11">
        <f>IFERROR(__xludf.DUMMYFUNCTION("""COMPUTED_VALUE"""),7.0)</f>
        <v>7</v>
      </c>
      <c r="J96" s="11">
        <f>IFERROR(__xludf.DUMMYFUNCTION("""COMPUTED_VALUE"""),0.01)</f>
        <v>0.01</v>
      </c>
      <c r="K96" s="11">
        <f>IFERROR(__xludf.DUMMYFUNCTION("""COMPUTED_VALUE"""),2.43)</f>
        <v>2.43</v>
      </c>
    </row>
    <row r="97" ht="15.75" customHeight="1">
      <c r="A97" s="8" t="str">
        <f>IFERROR(__xludf.DUMMYFUNCTION("""COMPUTED_VALUE"""),"https://feedbax.ai/geo-agencies/dach")</f>
        <v>https://feedbax.ai/geo-agencies/dach</v>
      </c>
      <c r="B97" s="11" t="str">
        <f>IFERROR(__xludf.DUMMYFUNCTION("""COMPUTED_VALUE"""),"Top 20 GEO Agencies in DACH - 2026 Reviews")</f>
        <v>Top 20 GEO Agencies in DACH - 2026 Reviews</v>
      </c>
      <c r="C97" s="8" t="str">
        <f>IFERROR(__xludf.DUMMYFUNCTION("""COMPUTED_VALUE"""),"feedbax.ai")</f>
        <v>feedbax.ai</v>
      </c>
      <c r="D97" s="11" t="str">
        <f>IFERROR(__xludf.DUMMYFUNCTION("""COMPUTED_VALUE"""),"CATEGORY_PAGE")</f>
        <v>CATEGORY_PAGE</v>
      </c>
      <c r="E97" s="11" t="str">
        <f>IFERROR(__xludf.DUMMYFUNCTION("""COMPUTED_VALUE"""),"UGC")</f>
        <v>UGC</v>
      </c>
      <c r="F97" s="11" t="str">
        <f>IFERROR(__xludf.DUMMYFUNCTION("""COMPUTED_VALUE"""),"Category Page")</f>
        <v>Category Page</v>
      </c>
      <c r="G97" s="11" t="b">
        <f>IFERROR(__xludf.DUMMYFUNCTION("""COMPUTED_VALUE"""),FALSE)</f>
        <v>0</v>
      </c>
      <c r="H97" s="11" t="str">
        <f>IFERROR(__xludf.DUMMYFUNCTION("""COMPUTED_VALUE"""),"DREIKON, HECHT INS GEFECHT")</f>
        <v>DREIKON, HECHT INS GEFECHT</v>
      </c>
      <c r="I97" s="11">
        <f>IFERROR(__xludf.DUMMYFUNCTION("""COMPUTED_VALUE"""),7.0)</f>
        <v>7</v>
      </c>
      <c r="J97" s="11">
        <f>IFERROR(__xludf.DUMMYFUNCTION("""COMPUTED_VALUE"""),0.01)</f>
        <v>0.01</v>
      </c>
      <c r="K97" s="11">
        <f>IFERROR(__xludf.DUMMYFUNCTION("""COMPUTED_VALUE"""),0.43)</f>
        <v>0.43</v>
      </c>
    </row>
    <row r="98" ht="15.75" customHeight="1">
      <c r="A98" s="8" t="str">
        <f>IFERROR(__xludf.DUMMYFUNCTION("""COMPUTED_VALUE"""),"https://www.goodfirms.co/directory/country/top-digital-marketing-companies/advertising-ppc/germany")</f>
        <v>https://www.goodfirms.co/directory/country/top-digital-marketing-companies/advertising-ppc/germany</v>
      </c>
      <c r="B98" s="11" t="str">
        <f>IFERROR(__xludf.DUMMYFUNCTION("""COMPUTED_VALUE"""),"Top PPC Agencies in Germany - 2026 Reviews | Goodfirms")</f>
        <v>Top PPC Agencies in Germany - 2026 Reviews | Goodfirms</v>
      </c>
      <c r="C98" s="8" t="str">
        <f>IFERROR(__xludf.DUMMYFUNCTION("""COMPUTED_VALUE"""),"goodfirms.co")</f>
        <v>goodfirms.co</v>
      </c>
      <c r="D98" s="11" t="str">
        <f>IFERROR(__xludf.DUMMYFUNCTION("""COMPUTED_VALUE"""),"CATEGORY_PAGE")</f>
        <v>CATEGORY_PAGE</v>
      </c>
      <c r="E98" s="11" t="str">
        <f>IFERROR(__xludf.DUMMYFUNCTION("""COMPUTED_VALUE"""),"UGC")</f>
        <v>UGC</v>
      </c>
      <c r="F98" s="11" t="str">
        <f>IFERROR(__xludf.DUMMYFUNCTION("""COMPUTED_VALUE"""),"Category Page")</f>
        <v>Category Page</v>
      </c>
      <c r="G98" s="11" t="b">
        <f>IFERROR(__xludf.DUMMYFUNCTION("""COMPUTED_VALUE"""),FALSE)</f>
        <v>0</v>
      </c>
      <c r="H98" s="11" t="str">
        <f>IFERROR(__xludf.DUMMYFUNCTION("""COMPUTED_VALUE"""),"WebFX, Mediacharge, Smarketer, Aufgesang")</f>
        <v>WebFX, Mediacharge, Smarketer, Aufgesang</v>
      </c>
      <c r="I98" s="11">
        <f>IFERROR(__xludf.DUMMYFUNCTION("""COMPUTED_VALUE"""),7.0)</f>
        <v>7</v>
      </c>
      <c r="J98" s="11">
        <f>IFERROR(__xludf.DUMMYFUNCTION("""COMPUTED_VALUE"""),0.01)</f>
        <v>0.01</v>
      </c>
      <c r="K98" s="11">
        <f>IFERROR(__xludf.DUMMYFUNCTION("""COMPUTED_VALUE"""),0.0)</f>
        <v>0</v>
      </c>
    </row>
    <row r="99" ht="15.75" customHeight="1">
      <c r="A99" s="8" t="str">
        <f>IFERROR(__xludf.DUMMYFUNCTION("""COMPUTED_VALUE"""),"https://www.sortlist.de/s/bezahlte-media/deutschland-de?page=2")</f>
        <v>https://www.sortlist.de/s/bezahlte-media/deutschland-de?page=2</v>
      </c>
      <c r="B99" s="11" t="str">
        <f>IFERROR(__xludf.DUMMYFUNCTION("""COMPUTED_VALUE"""),"Unsere 10 Besten Bezahlte Media Agenturen in Deutschland - 2026 Bewertungen – Seite 2")</f>
        <v>Unsere 10 Besten Bezahlte Media Agenturen in Deutschland - 2026 Bewertungen – Seite 2</v>
      </c>
      <c r="C99" s="8" t="str">
        <f>IFERROR(__xludf.DUMMYFUNCTION("""COMPUTED_VALUE"""),"sortlist.de")</f>
        <v>sortlist.de</v>
      </c>
      <c r="D99" s="11" t="str">
        <f>IFERROR(__xludf.DUMMYFUNCTION("""COMPUTED_VALUE"""),"CATEGORY_PAGE")</f>
        <v>CATEGORY_PAGE</v>
      </c>
      <c r="E99" s="11" t="str">
        <f>IFERROR(__xludf.DUMMYFUNCTION("""COMPUTED_VALUE"""),"CORPORATE")</f>
        <v>CORPORATE</v>
      </c>
      <c r="F99" s="11" t="str">
        <f>IFERROR(__xludf.DUMMYFUNCTION("""COMPUTED_VALUE"""),"Category Page")</f>
        <v>Category Page</v>
      </c>
      <c r="G99" s="11" t="b">
        <f>IFERROR(__xludf.DUMMYFUNCTION("""COMPUTED_VALUE"""),FALSE)</f>
        <v>0</v>
      </c>
      <c r="H99" s="11" t="str">
        <f>IFERROR(__xludf.DUMMYFUNCTION("""COMPUTED_VALUE"""),"Digital Masters GmbH, lehof, MONSOON, PANORAMA3000, eMinded GmbH, Loyamo, Medialabel, morefire, WeLikeWeb GmbH")</f>
        <v>Digital Masters GmbH, lehof, MONSOON, PANORAMA3000, eMinded GmbH, Loyamo, Medialabel, morefire, WeLikeWeb GmbH</v>
      </c>
      <c r="I99" s="11">
        <f>IFERROR(__xludf.DUMMYFUNCTION("""COMPUTED_VALUE"""),7.0)</f>
        <v>7</v>
      </c>
      <c r="J99" s="11">
        <f>IFERROR(__xludf.DUMMYFUNCTION("""COMPUTED_VALUE"""),0.01)</f>
        <v>0.01</v>
      </c>
      <c r="K99" s="11">
        <f>IFERROR(__xludf.DUMMYFUNCTION("""COMPUTED_VALUE"""),0.0)</f>
        <v>0</v>
      </c>
    </row>
    <row r="100" ht="15.75" customHeight="1">
      <c r="A100" s="8" t="str">
        <f>IFERROR(__xludf.DUMMYFUNCTION("""COMPUTED_VALUE"""),"https://www.topdevelopers.co/directory/digital-marketing-agencies-in-germany")</f>
        <v>https://www.topdevelopers.co/directory/digital-marketing-agencies-in-germany</v>
      </c>
      <c r="B100" s="11" t="str">
        <f>IFERROR(__xludf.DUMMYFUNCTION("""COMPUTED_VALUE"""),"Top 10+ Digital Marketing Agencies in Germany - July 2026 Reviews | Topdevelopers.co")</f>
        <v>Top 10+ Digital Marketing Agencies in Germany - July 2026 Reviews | Topdevelopers.co</v>
      </c>
      <c r="C100" s="8" t="str">
        <f>IFERROR(__xludf.DUMMYFUNCTION("""COMPUTED_VALUE"""),"topdevelopers.co")</f>
        <v>topdevelopers.co</v>
      </c>
      <c r="D100" s="11" t="str">
        <f>IFERROR(__xludf.DUMMYFUNCTION("""COMPUTED_VALUE"""),"CATEGORY_PAGE")</f>
        <v>CATEGORY_PAGE</v>
      </c>
      <c r="E100" s="11" t="str">
        <f>IFERROR(__xludf.DUMMYFUNCTION("""COMPUTED_VALUE"""),"UGC")</f>
        <v>UGC</v>
      </c>
      <c r="F100" s="11" t="str">
        <f>IFERROR(__xludf.DUMMYFUNCTION("""COMPUTED_VALUE"""),"Category Page")</f>
        <v>Category Page</v>
      </c>
      <c r="G100" s="11" t="b">
        <f>IFERROR(__xludf.DUMMYFUNCTION("""COMPUTED_VALUE"""),FALSE)</f>
        <v>0</v>
      </c>
      <c r="H100" s="11" t="str">
        <f>IFERROR(__xludf.DUMMYFUNCTION("""COMPUTED_VALUE"""),"Huge")</f>
        <v>Huge</v>
      </c>
      <c r="I100" s="11">
        <f>IFERROR(__xludf.DUMMYFUNCTION("""COMPUTED_VALUE"""),7.0)</f>
        <v>7</v>
      </c>
      <c r="J100" s="11">
        <f>IFERROR(__xludf.DUMMYFUNCTION("""COMPUTED_VALUE"""),0.01)</f>
        <v>0.01</v>
      </c>
      <c r="K100" s="11">
        <f>IFERROR(__xludf.DUMMYFUNCTION("""COMPUTED_VALUE"""),0.0)</f>
        <v>0</v>
      </c>
    </row>
    <row r="101" ht="15.75" customHeight="1">
      <c r="A101" s="8" t="str">
        <f>IFERROR(__xludf.DUMMYFUNCTION("""COMPUTED_VALUE"""),"https://agencies.semrush.com/list/ai-optimization/germany/enterprise-business/")</f>
        <v>https://agencies.semrush.com/list/ai-optimization/germany/enterprise-business/</v>
      </c>
      <c r="B101" s="11" t="str">
        <f>IFERROR(__xludf.DUMMYFUNCTION("""COMPUTED_VALUE"""),"Best AI Search Optimization Agencies for Enterprise Business in Germany 2026 | Semrush")</f>
        <v>Best AI Search Optimization Agencies for Enterprise Business in Germany 2026 | Semrush</v>
      </c>
      <c r="C101" s="8" t="str">
        <f>IFERROR(__xludf.DUMMYFUNCTION("""COMPUTED_VALUE"""),"semrush.com")</f>
        <v>semrush.com</v>
      </c>
      <c r="D101" s="11" t="str">
        <f>IFERROR(__xludf.DUMMYFUNCTION("""COMPUTED_VALUE"""),"CATEGORY_PAGE")</f>
        <v>CATEGORY_PAGE</v>
      </c>
      <c r="E101" s="11" t="str">
        <f>IFERROR(__xludf.DUMMYFUNCTION("""COMPUTED_VALUE"""),"CORPORATE")</f>
        <v>CORPORATE</v>
      </c>
      <c r="F101" s="11" t="str">
        <f>IFERROR(__xludf.DUMMYFUNCTION("""COMPUTED_VALUE"""),"Category Page")</f>
        <v>Category Page</v>
      </c>
      <c r="G101" s="11" t="b">
        <f>IFERROR(__xludf.DUMMYFUNCTION("""COMPUTED_VALUE"""),FALSE)</f>
        <v>0</v>
      </c>
      <c r="H101" s="11" t="str">
        <f>IFERROR(__xludf.DUMMYFUNCTION("""COMPUTED_VALUE"""),"HECHT INS GEFECHT, morefire, Mediaplus Performance")</f>
        <v>HECHT INS GEFECHT, morefire, Mediaplus Performance</v>
      </c>
      <c r="I101" s="11">
        <f>IFERROR(__xludf.DUMMYFUNCTION("""COMPUTED_VALUE"""),6.0)</f>
        <v>6</v>
      </c>
      <c r="J101" s="11">
        <f>IFERROR(__xludf.DUMMYFUNCTION("""COMPUTED_VALUE"""),0.01)</f>
        <v>0.01</v>
      </c>
      <c r="K101" s="11">
        <f>IFERROR(__xludf.DUMMYFUNCTION("""COMPUTED_VALUE"""),0.17)</f>
        <v>0.17</v>
      </c>
    </row>
    <row r="102" ht="15.75" customHeight="1">
      <c r="A102" s="8" t="str">
        <f>IFERROR(__xludf.DUMMYFUNCTION("""COMPUTED_VALUE"""),"https://clutch.co/de/agencies?page=6")</f>
        <v>https://clutch.co/de/agencies?page=6</v>
      </c>
      <c r="B102" s="11" t="str">
        <f>IFERROR(__xludf.DUMMYFUNCTION("""COMPUTED_VALUE"""),"Page 6 - Top Advertising Agencies in Germany - Jul 2026 Rankings \| Clutch.co")</f>
        <v>Page 6 - Top Advertising Agencies in Germany - Jul 2026 Rankings \| Clutch.co</v>
      </c>
      <c r="C102" s="8" t="str">
        <f>IFERROR(__xludf.DUMMYFUNCTION("""COMPUTED_VALUE"""),"clutch.co")</f>
        <v>clutch.co</v>
      </c>
      <c r="D102" s="11" t="str">
        <f>IFERROR(__xludf.DUMMYFUNCTION("""COMPUTED_VALUE"""),"CATEGORY_PAGE")</f>
        <v>CATEGORY_PAGE</v>
      </c>
      <c r="E102" s="11" t="str">
        <f>IFERROR(__xludf.DUMMYFUNCTION("""COMPUTED_VALUE"""),"CORPORATE")</f>
        <v>CORPORATE</v>
      </c>
      <c r="F102" s="11" t="str">
        <f>IFERROR(__xludf.DUMMYFUNCTION("""COMPUTED_VALUE"""),"Category Page")</f>
        <v>Category Page</v>
      </c>
      <c r="G102" s="11" t="b">
        <f>IFERROR(__xludf.DUMMYFUNCTION("""COMPUTED_VALUE"""),FALSE)</f>
        <v>0</v>
      </c>
      <c r="H102" s="11" t="str">
        <f>IFERROR(__xludf.DUMMYFUNCTION("""COMPUTED_VALUE"""),"MONSOON, Phiture, PANORAMA3000, Seeders, Mediacharge, Digitalyze, morefire, Scholz &amp; Friends")</f>
        <v>MONSOON, Phiture, PANORAMA3000, Seeders, Mediacharge, Digitalyze, morefire, Scholz &amp; Friends</v>
      </c>
      <c r="I102" s="11">
        <f>IFERROR(__xludf.DUMMYFUNCTION("""COMPUTED_VALUE"""),6.0)</f>
        <v>6</v>
      </c>
      <c r="J102" s="11">
        <f>IFERROR(__xludf.DUMMYFUNCTION("""COMPUTED_VALUE"""),0.01)</f>
        <v>0.01</v>
      </c>
      <c r="K102" s="11">
        <f>IFERROR(__xludf.DUMMYFUNCTION("""COMPUTED_VALUE"""),0.0)</f>
        <v>0</v>
      </c>
    </row>
    <row r="103" ht="15.75" customHeight="1">
      <c r="A103" s="8" t="str">
        <f>IFERROR(__xludf.DUMMYFUNCTION("""COMPUTED_VALUE"""),"https://feedbax.ai/creative-agencies")</f>
        <v>https://feedbax.ai/creative-agencies</v>
      </c>
      <c r="B103" s="11" t="str">
        <f>IFERROR(__xludf.DUMMYFUNCTION("""COMPUTED_VALUE"""),"Top 20 Creative Agencies - 2026 Reviews")</f>
        <v>Top 20 Creative Agencies - 2026 Reviews</v>
      </c>
      <c r="C103" s="8" t="str">
        <f>IFERROR(__xludf.DUMMYFUNCTION("""COMPUTED_VALUE"""),"feedbax.ai")</f>
        <v>feedbax.ai</v>
      </c>
      <c r="D103" s="11" t="str">
        <f>IFERROR(__xludf.DUMMYFUNCTION("""COMPUTED_VALUE"""),"CATEGORY_PAGE")</f>
        <v>CATEGORY_PAGE</v>
      </c>
      <c r="E103" s="11" t="str">
        <f>IFERROR(__xludf.DUMMYFUNCTION("""COMPUTED_VALUE"""),"UGC")</f>
        <v>UGC</v>
      </c>
      <c r="F103" s="11" t="str">
        <f>IFERROR(__xludf.DUMMYFUNCTION("""COMPUTED_VALUE"""),"Category Page")</f>
        <v>Category Page</v>
      </c>
      <c r="G103" s="11" t="b">
        <f>IFERROR(__xludf.DUMMYFUNCTION("""COMPUTED_VALUE"""),FALSE)</f>
        <v>0</v>
      </c>
      <c r="H103" s="11" t="str">
        <f>IFERROR(__xludf.DUMMYFUNCTION("""COMPUTED_VALUE"""),"PANORAMA3000, DREIKON, Mediacharge, Smarketer, KlickPiloten, ZweiDigital GmbH, Measured")</f>
        <v>PANORAMA3000, DREIKON, Mediacharge, Smarketer, KlickPiloten, ZweiDigital GmbH, Measured</v>
      </c>
      <c r="I103" s="11">
        <f>IFERROR(__xludf.DUMMYFUNCTION("""COMPUTED_VALUE"""),6.0)</f>
        <v>6</v>
      </c>
      <c r="J103" s="11">
        <f>IFERROR(__xludf.DUMMYFUNCTION("""COMPUTED_VALUE"""),0.01)</f>
        <v>0.01</v>
      </c>
      <c r="K103" s="11">
        <f>IFERROR(__xludf.DUMMYFUNCTION("""COMPUTED_VALUE"""),0.0)</f>
        <v>0</v>
      </c>
    </row>
    <row r="104" ht="15.75" customHeight="1">
      <c r="A104" s="8" t="str">
        <f>IFERROR(__xludf.DUMMYFUNCTION("""COMPUTED_VALUE"""),"https://www.onetoone.de/performance-ranking/performance_2024.html")</f>
        <v>https://www.onetoone.de/performance-ranking/performance_2024.html</v>
      </c>
      <c r="B104" s="11" t="str">
        <f>IFERROR(__xludf.DUMMYFUNCTION("""COMPUTED_VALUE"""),"Performance-Agentur-Ranking")</f>
        <v>Performance-Agentur-Ranking</v>
      </c>
      <c r="C104" s="8" t="str">
        <f>IFERROR(__xludf.DUMMYFUNCTION("""COMPUTED_VALUE"""),"onetoone.de")</f>
        <v>onetoone.de</v>
      </c>
      <c r="D104" s="11" t="str">
        <f>IFERROR(__xludf.DUMMYFUNCTION("""COMPUTED_VALUE"""),"CATEGORY_PAGE")</f>
        <v>CATEGORY_PAGE</v>
      </c>
      <c r="E104" s="11" t="str">
        <f>IFERROR(__xludf.DUMMYFUNCTION("""COMPUTED_VALUE"""),"OTHER")</f>
        <v>OTHER</v>
      </c>
      <c r="F104" s="11" t="str">
        <f>IFERROR(__xludf.DUMMYFUNCTION("""COMPUTED_VALUE"""),"Category Page")</f>
        <v>Category Page</v>
      </c>
      <c r="G104" s="11" t="b">
        <f>IFERROR(__xludf.DUMMYFUNCTION("""COMPUTED_VALUE"""),FALSE)</f>
        <v>0</v>
      </c>
      <c r="H104" s="11" t="str">
        <f>IFERROR(__xludf.DUMMYFUNCTION("""COMPUTED_VALUE"""),"iProspect, Smarketer, Peak Ace, e-dialog, morefire, The Boutique Agency, 42DIGITAL, Aufgesang, eMinded GmbH")</f>
        <v>iProspect, Smarketer, Peak Ace, e-dialog, morefire, The Boutique Agency, 42DIGITAL, Aufgesang, eMinded GmbH</v>
      </c>
      <c r="I104" s="11">
        <f>IFERROR(__xludf.DUMMYFUNCTION("""COMPUTED_VALUE"""),6.0)</f>
        <v>6</v>
      </c>
      <c r="J104" s="11">
        <f>IFERROR(__xludf.DUMMYFUNCTION("""COMPUTED_VALUE"""),0.01)</f>
        <v>0.01</v>
      </c>
      <c r="K104" s="11">
        <f>IFERROR(__xludf.DUMMYFUNCTION("""COMPUTED_VALUE"""),0.33)</f>
        <v>0.33</v>
      </c>
    </row>
    <row r="105" ht="15.75" customHeight="1">
      <c r="A105" s="8" t="str">
        <f>IFERROR(__xludf.DUMMYFUNCTION("""COMPUTED_VALUE"""),"https://agencies.semrush.com/list/information-technology/germany/")</f>
        <v>https://agencies.semrush.com/list/information-technology/germany/</v>
      </c>
      <c r="B105" s="11" t="str">
        <f>IFERROR(__xludf.DUMMYFUNCTION("""COMPUTED_VALUE"""),"Best IT Digital Marketing Agencies in Germany 2026 | Semrush")</f>
        <v>Best IT Digital Marketing Agencies in Germany 2026 | Semrush</v>
      </c>
      <c r="C105" s="8" t="str">
        <f>IFERROR(__xludf.DUMMYFUNCTION("""COMPUTED_VALUE"""),"semrush.com")</f>
        <v>semrush.com</v>
      </c>
      <c r="D105" s="11" t="str">
        <f>IFERROR(__xludf.DUMMYFUNCTION("""COMPUTED_VALUE"""),"CATEGORY_PAGE")</f>
        <v>CATEGORY_PAGE</v>
      </c>
      <c r="E105" s="11" t="str">
        <f>IFERROR(__xludf.DUMMYFUNCTION("""COMPUTED_VALUE"""),"CORPORATE")</f>
        <v>CORPORATE</v>
      </c>
      <c r="F105" s="11" t="str">
        <f>IFERROR(__xludf.DUMMYFUNCTION("""COMPUTED_VALUE"""),"Category Page")</f>
        <v>Category Page</v>
      </c>
      <c r="G105" s="11" t="b">
        <f>IFERROR(__xludf.DUMMYFUNCTION("""COMPUTED_VALUE"""),FALSE)</f>
        <v>0</v>
      </c>
      <c r="H105" s="11"/>
      <c r="I105" s="11">
        <f>IFERROR(__xludf.DUMMYFUNCTION("""COMPUTED_VALUE"""),5.0)</f>
        <v>5</v>
      </c>
      <c r="J105" s="11">
        <f>IFERROR(__xludf.DUMMYFUNCTION("""COMPUTED_VALUE"""),0.01)</f>
        <v>0.01</v>
      </c>
      <c r="K105" s="11">
        <f>IFERROR(__xludf.DUMMYFUNCTION("""COMPUTED_VALUE"""),1.0)</f>
        <v>1</v>
      </c>
    </row>
    <row r="106" ht="15.75" customHeight="1">
      <c r="A106" s="8" t="str">
        <f>IFERROR(__xludf.DUMMYFUNCTION("""COMPUTED_VALUE"""),"https://agencies.semrush.com/list/programmatic-advertising/germany/")</f>
        <v>https://agencies.semrush.com/list/programmatic-advertising/germany/</v>
      </c>
      <c r="B106" s="11" t="str">
        <f>IFERROR(__xludf.DUMMYFUNCTION("""COMPUTED_VALUE"""),"Best Programmatic Advertising Agencies in Germany 2026 | Semrush")</f>
        <v>Best Programmatic Advertising Agencies in Germany 2026 | Semrush</v>
      </c>
      <c r="C106" s="8" t="str">
        <f>IFERROR(__xludf.DUMMYFUNCTION("""COMPUTED_VALUE"""),"semrush.com")</f>
        <v>semrush.com</v>
      </c>
      <c r="D106" s="11" t="str">
        <f>IFERROR(__xludf.DUMMYFUNCTION("""COMPUTED_VALUE"""),"CATEGORY_PAGE")</f>
        <v>CATEGORY_PAGE</v>
      </c>
      <c r="E106" s="11" t="str">
        <f>IFERROR(__xludf.DUMMYFUNCTION("""COMPUTED_VALUE"""),"CORPORATE")</f>
        <v>CORPORATE</v>
      </c>
      <c r="F106" s="11" t="str">
        <f>IFERROR(__xludf.DUMMYFUNCTION("""COMPUTED_VALUE"""),"Category Page")</f>
        <v>Category Page</v>
      </c>
      <c r="G106" s="11" t="b">
        <f>IFERROR(__xludf.DUMMYFUNCTION("""COMPUTED_VALUE"""),FALSE)</f>
        <v>0</v>
      </c>
      <c r="H106" s="11" t="str">
        <f>IFERROR(__xludf.DUMMYFUNCTION("""COMPUTED_VALUE"""),"morefire, Mediaplus Performance, KlickPiloten")</f>
        <v>morefire, Mediaplus Performance, KlickPiloten</v>
      </c>
      <c r="I106" s="11">
        <f>IFERROR(__xludf.DUMMYFUNCTION("""COMPUTED_VALUE"""),5.0)</f>
        <v>5</v>
      </c>
      <c r="J106" s="11">
        <f>IFERROR(__xludf.DUMMYFUNCTION("""COMPUTED_VALUE"""),0.01)</f>
        <v>0.01</v>
      </c>
      <c r="K106" s="11">
        <f>IFERROR(__xludf.DUMMYFUNCTION("""COMPUTED_VALUE"""),0.8)</f>
        <v>0.8</v>
      </c>
    </row>
    <row r="107" ht="15.75" customHeight="1">
      <c r="A107" s="8" t="str">
        <f>IFERROR(__xludf.DUMMYFUNCTION("""COMPUTED_VALUE"""),"https://clutch.co/agencies/ppc/display")</f>
        <v>https://clutch.co/agencies/ppc/display</v>
      </c>
      <c r="B107" s="11" t="str">
        <f>IFERROR(__xludf.DUMMYFUNCTION("""COMPUTED_VALUE"""),"Top Display Advertising Agencies - Jul 2026 Rankings | Clutch.co")</f>
        <v>Top Display Advertising Agencies - Jul 2026 Rankings | Clutch.co</v>
      </c>
      <c r="C107" s="8" t="str">
        <f>IFERROR(__xludf.DUMMYFUNCTION("""COMPUTED_VALUE"""),"clutch.co")</f>
        <v>clutch.co</v>
      </c>
      <c r="D107" s="11" t="str">
        <f>IFERROR(__xludf.DUMMYFUNCTION("""COMPUTED_VALUE"""),"CATEGORY_PAGE")</f>
        <v>CATEGORY_PAGE</v>
      </c>
      <c r="E107" s="11" t="str">
        <f>IFERROR(__xludf.DUMMYFUNCTION("""COMPUTED_VALUE"""),"CORPORATE")</f>
        <v>CORPORATE</v>
      </c>
      <c r="F107" s="11" t="str">
        <f>IFERROR(__xludf.DUMMYFUNCTION("""COMPUTED_VALUE"""),"Category Page")</f>
        <v>Category Page</v>
      </c>
      <c r="G107" s="11" t="b">
        <f>IFERROR(__xludf.DUMMYFUNCTION("""COMPUTED_VALUE"""),FALSE)</f>
        <v>0</v>
      </c>
      <c r="H107" s="11"/>
      <c r="I107" s="11">
        <f>IFERROR(__xludf.DUMMYFUNCTION("""COMPUTED_VALUE"""),5.0)</f>
        <v>5</v>
      </c>
      <c r="J107" s="11">
        <f>IFERROR(__xludf.DUMMYFUNCTION("""COMPUTED_VALUE"""),0.01)</f>
        <v>0.01</v>
      </c>
      <c r="K107" s="11">
        <f>IFERROR(__xludf.DUMMYFUNCTION("""COMPUTED_VALUE"""),0.0)</f>
        <v>0</v>
      </c>
    </row>
    <row r="108" ht="15.75" customHeight="1">
      <c r="A108" s="8" t="str">
        <f>IFERROR(__xludf.DUMMYFUNCTION("""COMPUTED_VALUE"""),"https://clutch.co/de/agencies/programmatic")</f>
        <v>https://clutch.co/de/agencies/programmatic</v>
      </c>
      <c r="B108" s="11" t="str">
        <f>IFERROR(__xludf.DUMMYFUNCTION("""COMPUTED_VALUE"""),"Top Programmatic Advertising Companies in Germany - Jul 2026 Rankings | Clutch.co")</f>
        <v>Top Programmatic Advertising Companies in Germany - Jul 2026 Rankings | Clutch.co</v>
      </c>
      <c r="C108" s="8" t="str">
        <f>IFERROR(__xludf.DUMMYFUNCTION("""COMPUTED_VALUE"""),"clutch.co")</f>
        <v>clutch.co</v>
      </c>
      <c r="D108" s="11" t="str">
        <f>IFERROR(__xludf.DUMMYFUNCTION("""COMPUTED_VALUE"""),"CATEGORY_PAGE")</f>
        <v>CATEGORY_PAGE</v>
      </c>
      <c r="E108" s="11" t="str">
        <f>IFERROR(__xludf.DUMMYFUNCTION("""COMPUTED_VALUE"""),"CORPORATE")</f>
        <v>CORPORATE</v>
      </c>
      <c r="F108" s="11" t="str">
        <f>IFERROR(__xludf.DUMMYFUNCTION("""COMPUTED_VALUE"""),"Category Page")</f>
        <v>Category Page</v>
      </c>
      <c r="G108" s="11" t="b">
        <f>IFERROR(__xludf.DUMMYFUNCTION("""COMPUTED_VALUE"""),FALSE)</f>
        <v>0</v>
      </c>
      <c r="H108" s="11" t="str">
        <f>IFERROR(__xludf.DUMMYFUNCTION("""COMPUTED_VALUE"""),"Phiture, PANORAMA3000, morefire, WeLikeWeb GmbH")</f>
        <v>Phiture, PANORAMA3000, morefire, WeLikeWeb GmbH</v>
      </c>
      <c r="I108" s="11">
        <f>IFERROR(__xludf.DUMMYFUNCTION("""COMPUTED_VALUE"""),5.0)</f>
        <v>5</v>
      </c>
      <c r="J108" s="11">
        <f>IFERROR(__xludf.DUMMYFUNCTION("""COMPUTED_VALUE"""),0.01)</f>
        <v>0.01</v>
      </c>
      <c r="K108" s="11">
        <f>IFERROR(__xludf.DUMMYFUNCTION("""COMPUTED_VALUE"""),1.4)</f>
        <v>1.4</v>
      </c>
    </row>
    <row r="109" ht="15.75" customHeight="1">
      <c r="A109" s="8" t="str">
        <f>IFERROR(__xludf.DUMMYFUNCTION("""COMPUTED_VALUE"""),"https://clutch.co/de/developers/artificial-intelligence")</f>
        <v>https://clutch.co/de/developers/artificial-intelligence</v>
      </c>
      <c r="B109" s="11" t="str">
        <f>IFERROR(__xludf.DUMMYFUNCTION("""COMPUTED_VALUE"""),"Top Artificial Intelligence Companies in Germany - Jul 2026 Rankings | Clutch.co")</f>
        <v>Top Artificial Intelligence Companies in Germany - Jul 2026 Rankings | Clutch.co</v>
      </c>
      <c r="C109" s="8" t="str">
        <f>IFERROR(__xludf.DUMMYFUNCTION("""COMPUTED_VALUE"""),"clutch.co")</f>
        <v>clutch.co</v>
      </c>
      <c r="D109" s="11" t="str">
        <f>IFERROR(__xludf.DUMMYFUNCTION("""COMPUTED_VALUE"""),"CATEGORY_PAGE")</f>
        <v>CATEGORY_PAGE</v>
      </c>
      <c r="E109" s="11" t="str">
        <f>IFERROR(__xludf.DUMMYFUNCTION("""COMPUTED_VALUE"""),"CORPORATE")</f>
        <v>CORPORATE</v>
      </c>
      <c r="F109" s="11" t="str">
        <f>IFERROR(__xludf.DUMMYFUNCTION("""COMPUTED_VALUE"""),"Category Page")</f>
        <v>Category Page</v>
      </c>
      <c r="G109" s="11" t="b">
        <f>IFERROR(__xludf.DUMMYFUNCTION("""COMPUTED_VALUE"""),FALSE)</f>
        <v>0</v>
      </c>
      <c r="H109" s="11"/>
      <c r="I109" s="11">
        <f>IFERROR(__xludf.DUMMYFUNCTION("""COMPUTED_VALUE"""),5.0)</f>
        <v>5</v>
      </c>
      <c r="J109" s="11">
        <f>IFERROR(__xludf.DUMMYFUNCTION("""COMPUTED_VALUE"""),0.01)</f>
        <v>0.01</v>
      </c>
      <c r="K109" s="11">
        <f>IFERROR(__xludf.DUMMYFUNCTION("""COMPUTED_VALUE"""),0.2)</f>
        <v>0.2</v>
      </c>
    </row>
    <row r="110" ht="15.75" customHeight="1">
      <c r="A110" s="8" t="str">
        <f>IFERROR(__xludf.DUMMYFUNCTION("""COMPUTED_VALUE"""),"https://clutch.co/de/developers/artificial-intelligence/generative")</f>
        <v>https://clutch.co/de/developers/artificial-intelligence/generative</v>
      </c>
      <c r="B110" s="11" t="str">
        <f>IFERROR(__xludf.DUMMYFUNCTION("""COMPUTED_VALUE"""),"Top Generative AI Companies in Germany - Jul 2026 Rankings \| Clutch.co")</f>
        <v>Top Generative AI Companies in Germany - Jul 2026 Rankings \| Clutch.co</v>
      </c>
      <c r="C110" s="8" t="str">
        <f>IFERROR(__xludf.DUMMYFUNCTION("""COMPUTED_VALUE"""),"clutch.co")</f>
        <v>clutch.co</v>
      </c>
      <c r="D110" s="11" t="str">
        <f>IFERROR(__xludf.DUMMYFUNCTION("""COMPUTED_VALUE"""),"CATEGORY_PAGE")</f>
        <v>CATEGORY_PAGE</v>
      </c>
      <c r="E110" s="11" t="str">
        <f>IFERROR(__xludf.DUMMYFUNCTION("""COMPUTED_VALUE"""),"CORPORATE")</f>
        <v>CORPORATE</v>
      </c>
      <c r="F110" s="11" t="str">
        <f>IFERROR(__xludf.DUMMYFUNCTION("""COMPUTED_VALUE"""),"Category Page")</f>
        <v>Category Page</v>
      </c>
      <c r="G110" s="11" t="b">
        <f>IFERROR(__xludf.DUMMYFUNCTION("""COMPUTED_VALUE"""),FALSE)</f>
        <v>0</v>
      </c>
      <c r="H110" s="11" t="str">
        <f>IFERROR(__xludf.DUMMYFUNCTION("""COMPUTED_VALUE"""),"Admiral Media, Aufgesang")</f>
        <v>Admiral Media, Aufgesang</v>
      </c>
      <c r="I110" s="11">
        <f>IFERROR(__xludf.DUMMYFUNCTION("""COMPUTED_VALUE"""),5.0)</f>
        <v>5</v>
      </c>
      <c r="J110" s="11">
        <f>IFERROR(__xludf.DUMMYFUNCTION("""COMPUTED_VALUE"""),0.01)</f>
        <v>0.01</v>
      </c>
      <c r="K110" s="11">
        <f>IFERROR(__xludf.DUMMYFUNCTION("""COMPUTED_VALUE"""),0.0)</f>
        <v>0</v>
      </c>
    </row>
    <row r="111" ht="15.75" customHeight="1">
      <c r="A111" s="8" t="str">
        <f>IFERROR(__xludf.DUMMYFUNCTION("""COMPUTED_VALUE"""),"https://www.designrush.com/agency/ai-companies/de")</f>
        <v>https://www.designrush.com/agency/ai-companies/de</v>
      </c>
      <c r="B111" s="11" t="str">
        <f>IFERROR(__xludf.DUMMYFUNCTION("""COMPUTED_VALUE"""),"Top AI Companies in Germany | 2026")</f>
        <v>Top AI Companies in Germany | 2026</v>
      </c>
      <c r="C111" s="8" t="str">
        <f>IFERROR(__xludf.DUMMYFUNCTION("""COMPUTED_VALUE"""),"designrush.com")</f>
        <v>designrush.com</v>
      </c>
      <c r="D111" s="11" t="str">
        <f>IFERROR(__xludf.DUMMYFUNCTION("""COMPUTED_VALUE"""),"CATEGORY_PAGE")</f>
        <v>CATEGORY_PAGE</v>
      </c>
      <c r="E111" s="11" t="str">
        <f>IFERROR(__xludf.DUMMYFUNCTION("""COMPUTED_VALUE"""),"CORPORATE")</f>
        <v>CORPORATE</v>
      </c>
      <c r="F111" s="11" t="str">
        <f>IFERROR(__xludf.DUMMYFUNCTION("""COMPUTED_VALUE"""),"Category Page")</f>
        <v>Category Page</v>
      </c>
      <c r="G111" s="11" t="b">
        <f>IFERROR(__xludf.DUMMYFUNCTION("""COMPUTED_VALUE"""),FALSE)</f>
        <v>0</v>
      </c>
      <c r="H111" s="11"/>
      <c r="I111" s="11">
        <f>IFERROR(__xludf.DUMMYFUNCTION("""COMPUTED_VALUE"""),5.0)</f>
        <v>5</v>
      </c>
      <c r="J111" s="11">
        <f>IFERROR(__xludf.DUMMYFUNCTION("""COMPUTED_VALUE"""),0.01)</f>
        <v>0.01</v>
      </c>
      <c r="K111" s="11">
        <f>IFERROR(__xludf.DUMMYFUNCTION("""COMPUTED_VALUE"""),0.0)</f>
        <v>0</v>
      </c>
    </row>
    <row r="112" ht="15.75" customHeight="1">
      <c r="A112" s="8" t="str">
        <f>IFERROR(__xludf.DUMMYFUNCTION("""COMPUTED_VALUE"""),"https://marketingplatform.google.com/about/partners/?hl=de")</f>
        <v>https://marketingplatform.google.com/about/partners/?hl=de</v>
      </c>
      <c r="B112" s="11" t="str">
        <f>IFERROR(__xludf.DUMMYFUNCTION("""COMPUTED_VALUE"""),"Meet Your New Marketing Partner - Google Marketing Platform Partners")</f>
        <v>Meet Your New Marketing Partner - Google Marketing Platform Partners</v>
      </c>
      <c r="C112" s="8" t="str">
        <f>IFERROR(__xludf.DUMMYFUNCTION("""COMPUTED_VALUE"""),"google.com")</f>
        <v>google.com</v>
      </c>
      <c r="D112" s="11" t="str">
        <f>IFERROR(__xludf.DUMMYFUNCTION("""COMPUTED_VALUE"""),"CATEGORY_PAGE")</f>
        <v>CATEGORY_PAGE</v>
      </c>
      <c r="E112" s="11" t="str">
        <f>IFERROR(__xludf.DUMMYFUNCTION("""COMPUTED_VALUE"""),"OTHER")</f>
        <v>OTHER</v>
      </c>
      <c r="F112" s="11" t="str">
        <f>IFERROR(__xludf.DUMMYFUNCTION("""COMPUTED_VALUE"""),"Category Page")</f>
        <v>Category Page</v>
      </c>
      <c r="G112" s="11" t="b">
        <f>IFERROR(__xludf.DUMMYFUNCTION("""COMPUTED_VALUE"""),FALSE)</f>
        <v>0</v>
      </c>
      <c r="H112" s="11"/>
      <c r="I112" s="11">
        <f>IFERROR(__xludf.DUMMYFUNCTION("""COMPUTED_VALUE"""),5.0)</f>
        <v>5</v>
      </c>
      <c r="J112" s="11">
        <f>IFERROR(__xludf.DUMMYFUNCTION("""COMPUTED_VALUE"""),0.01)</f>
        <v>0.01</v>
      </c>
      <c r="K112" s="11">
        <f>IFERROR(__xludf.DUMMYFUNCTION("""COMPUTED_VALUE"""),0.8)</f>
        <v>0.8</v>
      </c>
    </row>
    <row r="113" ht="15.75" customHeight="1">
      <c r="A113" s="8" t="str">
        <f>IFERROR(__xludf.DUMMYFUNCTION("""COMPUTED_VALUE"""),"https://partnersdirectory.withgoogle.com/intl/de/")</f>
        <v>https://partnersdirectory.withgoogle.com/intl/de/</v>
      </c>
      <c r="B113" s="11" t="str">
        <f>IFERROR(__xludf.DUMMYFUNCTION("""COMPUTED_VALUE"""),"Google Partner-Verzeichnis – Unternehmenswachstum mit dem richtigen Partner beschleunigen")</f>
        <v>Google Partner-Verzeichnis – Unternehmenswachstum mit dem richtigen Partner beschleunigen</v>
      </c>
      <c r="C113" s="8" t="str">
        <f>IFERROR(__xludf.DUMMYFUNCTION("""COMPUTED_VALUE"""),"withgoogle.com")</f>
        <v>withgoogle.com</v>
      </c>
      <c r="D113" s="11" t="str">
        <f>IFERROR(__xludf.DUMMYFUNCTION("""COMPUTED_VALUE"""),"CATEGORY_PAGE")</f>
        <v>CATEGORY_PAGE</v>
      </c>
      <c r="E113" s="11" t="str">
        <f>IFERROR(__xludf.DUMMYFUNCTION("""COMPUTED_VALUE"""),"CORPORATE")</f>
        <v>CORPORATE</v>
      </c>
      <c r="F113" s="11" t="str">
        <f>IFERROR(__xludf.DUMMYFUNCTION("""COMPUTED_VALUE"""),"Category Page")</f>
        <v>Category Page</v>
      </c>
      <c r="G113" s="11" t="b">
        <f>IFERROR(__xludf.DUMMYFUNCTION("""COMPUTED_VALUE"""),FALSE)</f>
        <v>0</v>
      </c>
      <c r="H113" s="11" t="str">
        <f>IFERROR(__xludf.DUMMYFUNCTION("""COMPUTED_VALUE"""),"Acadia")</f>
        <v>Acadia</v>
      </c>
      <c r="I113" s="11">
        <f>IFERROR(__xludf.DUMMYFUNCTION("""COMPUTED_VALUE"""),5.0)</f>
        <v>5</v>
      </c>
      <c r="J113" s="11">
        <f>IFERROR(__xludf.DUMMYFUNCTION("""COMPUTED_VALUE"""),0.01)</f>
        <v>0.01</v>
      </c>
      <c r="K113" s="11">
        <f>IFERROR(__xludf.DUMMYFUNCTION("""COMPUTED_VALUE"""),0.2)</f>
        <v>0.2</v>
      </c>
    </row>
    <row r="114" ht="15.75" customHeight="1">
      <c r="A114" s="8" t="str">
        <f>IFERROR(__xludf.DUMMYFUNCTION("""COMPUTED_VALUE"""),"https://www.sortlist.com/s/artificial-intelligence/munich-by-de")</f>
        <v>https://www.sortlist.com/s/artificial-intelligence/munich-by-de</v>
      </c>
      <c r="B114" s="11" t="str">
        <f>IFERROR(__xludf.DUMMYFUNCTION("""COMPUTED_VALUE"""),"The 10 Best Artificial Intelligence Agencies in Munich - 2026 Reviews")</f>
        <v>The 10 Best Artificial Intelligence Agencies in Munich - 2026 Reviews</v>
      </c>
      <c r="C114" s="8" t="str">
        <f>IFERROR(__xludf.DUMMYFUNCTION("""COMPUTED_VALUE"""),"sortlist.com")</f>
        <v>sortlist.com</v>
      </c>
      <c r="D114" s="11" t="str">
        <f>IFERROR(__xludf.DUMMYFUNCTION("""COMPUTED_VALUE"""),"CATEGORY_PAGE")</f>
        <v>CATEGORY_PAGE</v>
      </c>
      <c r="E114" s="11" t="str">
        <f>IFERROR(__xludf.DUMMYFUNCTION("""COMPUTED_VALUE"""),"CORPORATE")</f>
        <v>CORPORATE</v>
      </c>
      <c r="F114" s="11" t="str">
        <f>IFERROR(__xludf.DUMMYFUNCTION("""COMPUTED_VALUE"""),"Category Page")</f>
        <v>Category Page</v>
      </c>
      <c r="G114" s="11" t="b">
        <f>IFERROR(__xludf.DUMMYFUNCTION("""COMPUTED_VALUE"""),FALSE)</f>
        <v>0</v>
      </c>
      <c r="H114" s="11" t="str">
        <f>IFERROR(__xludf.DUMMYFUNCTION("""COMPUTED_VALUE"""),"Momentum, Pilot")</f>
        <v>Momentum, Pilot</v>
      </c>
      <c r="I114" s="11">
        <f>IFERROR(__xludf.DUMMYFUNCTION("""COMPUTED_VALUE"""),5.0)</f>
        <v>5</v>
      </c>
      <c r="J114" s="11">
        <f>IFERROR(__xludf.DUMMYFUNCTION("""COMPUTED_VALUE"""),0.01)</f>
        <v>0.01</v>
      </c>
      <c r="K114" s="11">
        <f>IFERROR(__xludf.DUMMYFUNCTION("""COMPUTED_VALUE"""),1.4)</f>
        <v>1.4</v>
      </c>
    </row>
    <row r="115" ht="15.75" customHeight="1">
      <c r="A115" s="8" t="str">
        <f>IFERROR(__xludf.DUMMYFUNCTION("""COMPUTED_VALUE"""),"https://www.sortlist.de/s/attributionsmarketing/deutschland-de")</f>
        <v>https://www.sortlist.de/s/attributionsmarketing/deutschland-de</v>
      </c>
      <c r="B115" s="11" t="str">
        <f>IFERROR(__xludf.DUMMYFUNCTION("""COMPUTED_VALUE"""),"Attributionsmarketing Agentur Deutschland vergleichen")</f>
        <v>Attributionsmarketing Agentur Deutschland vergleichen</v>
      </c>
      <c r="C115" s="8" t="str">
        <f>IFERROR(__xludf.DUMMYFUNCTION("""COMPUTED_VALUE"""),"sortlist.de")</f>
        <v>sortlist.de</v>
      </c>
      <c r="D115" s="11" t="str">
        <f>IFERROR(__xludf.DUMMYFUNCTION("""COMPUTED_VALUE"""),"CATEGORY_PAGE")</f>
        <v>CATEGORY_PAGE</v>
      </c>
      <c r="E115" s="11" t="str">
        <f>IFERROR(__xludf.DUMMYFUNCTION("""COMPUTED_VALUE"""),"CORPORATE")</f>
        <v>CORPORATE</v>
      </c>
      <c r="F115" s="11" t="str">
        <f>IFERROR(__xludf.DUMMYFUNCTION("""COMPUTED_VALUE"""),"Category Page")</f>
        <v>Category Page</v>
      </c>
      <c r="G115" s="11" t="b">
        <f>IFERROR(__xludf.DUMMYFUNCTION("""COMPUTED_VALUE"""),FALSE)</f>
        <v>0</v>
      </c>
      <c r="H115" s="11" t="str">
        <f>IFERROR(__xludf.DUMMYFUNCTION("""COMPUTED_VALUE"""),"Customlytics")</f>
        <v>Customlytics</v>
      </c>
      <c r="I115" s="11">
        <f>IFERROR(__xludf.DUMMYFUNCTION("""COMPUTED_VALUE"""),5.0)</f>
        <v>5</v>
      </c>
      <c r="J115" s="11">
        <f>IFERROR(__xludf.DUMMYFUNCTION("""COMPUTED_VALUE"""),0.01)</f>
        <v>0.01</v>
      </c>
      <c r="K115" s="11">
        <f>IFERROR(__xludf.DUMMYFUNCTION("""COMPUTED_VALUE"""),2.4)</f>
        <v>2.4</v>
      </c>
    </row>
    <row r="116" ht="15.75" customHeight="1">
      <c r="A116" s="8" t="str">
        <f>IFERROR(__xludf.DUMMYFUNCTION("""COMPUTED_VALUE"""),"https://www.sortlist.de/web-analytics/deutschland-de")</f>
        <v>https://www.sortlist.de/web-analytics/deutschland-de</v>
      </c>
      <c r="B116" s="11" t="str">
        <f>IFERROR(__xludf.DUMMYFUNCTION("""COMPUTED_VALUE"""),"Unsere 10 Besten Webanalytics Agenturen in Deutschland - 2026 Bewertungen")</f>
        <v>Unsere 10 Besten Webanalytics Agenturen in Deutschland - 2026 Bewertungen</v>
      </c>
      <c r="C116" s="8" t="str">
        <f>IFERROR(__xludf.DUMMYFUNCTION("""COMPUTED_VALUE"""),"sortlist.de")</f>
        <v>sortlist.de</v>
      </c>
      <c r="D116" s="11" t="str">
        <f>IFERROR(__xludf.DUMMYFUNCTION("""COMPUTED_VALUE"""),"CATEGORY_PAGE")</f>
        <v>CATEGORY_PAGE</v>
      </c>
      <c r="E116" s="11" t="str">
        <f>IFERROR(__xludf.DUMMYFUNCTION("""COMPUTED_VALUE"""),"CORPORATE")</f>
        <v>CORPORATE</v>
      </c>
      <c r="F116" s="11" t="str">
        <f>IFERROR(__xludf.DUMMYFUNCTION("""COMPUTED_VALUE"""),"Category Page")</f>
        <v>Category Page</v>
      </c>
      <c r="G116" s="11" t="b">
        <f>IFERROR(__xludf.DUMMYFUNCTION("""COMPUTED_VALUE"""),FALSE)</f>
        <v>0</v>
      </c>
      <c r="H116" s="11" t="str">
        <f>IFERROR(__xludf.DUMMYFUNCTION("""COMPUTED_VALUE"""),"KlickPiloten, Baseplus DIGITAL MEDIA GmbH")</f>
        <v>KlickPiloten, Baseplus DIGITAL MEDIA GmbH</v>
      </c>
      <c r="I116" s="11">
        <f>IFERROR(__xludf.DUMMYFUNCTION("""COMPUTED_VALUE"""),5.0)</f>
        <v>5</v>
      </c>
      <c r="J116" s="11">
        <f>IFERROR(__xludf.DUMMYFUNCTION("""COMPUTED_VALUE"""),0.01)</f>
        <v>0.01</v>
      </c>
      <c r="K116" s="11">
        <f>IFERROR(__xludf.DUMMYFUNCTION("""COMPUTED_VALUE"""),0.6)</f>
        <v>0.6</v>
      </c>
    </row>
    <row r="117" ht="15.75" customHeight="1">
      <c r="A117" s="8" t="str">
        <f>IFERROR(__xludf.DUMMYFUNCTION("""COMPUTED_VALUE"""),"https://sourceforge.net/software/ai-marketing/germany/")</f>
        <v>https://sourceforge.net/software/ai-marketing/germany/</v>
      </c>
      <c r="B117" s="11" t="str">
        <f>IFERROR(__xludf.DUMMYFUNCTION("""COMPUTED_VALUE"""),"Best AI Marketing Tools in Germany of 2026 - Reviews &amp;amp; Comparison")</f>
        <v>Best AI Marketing Tools in Germany of 2026 - Reviews &amp;amp; Comparison</v>
      </c>
      <c r="C117" s="8" t="str">
        <f>IFERROR(__xludf.DUMMYFUNCTION("""COMPUTED_VALUE"""),"sourceforge.net")</f>
        <v>sourceforge.net</v>
      </c>
      <c r="D117" s="11" t="str">
        <f>IFERROR(__xludf.DUMMYFUNCTION("""COMPUTED_VALUE"""),"CATEGORY_PAGE")</f>
        <v>CATEGORY_PAGE</v>
      </c>
      <c r="E117" s="11" t="str">
        <f>IFERROR(__xludf.DUMMYFUNCTION("""COMPUTED_VALUE"""),"OTHER")</f>
        <v>OTHER</v>
      </c>
      <c r="F117" s="11" t="str">
        <f>IFERROR(__xludf.DUMMYFUNCTION("""COMPUTED_VALUE"""),"Category Page")</f>
        <v>Category Page</v>
      </c>
      <c r="G117" s="11" t="b">
        <f>IFERROR(__xludf.DUMMYFUNCTION("""COMPUTED_VALUE"""),FALSE)</f>
        <v>0</v>
      </c>
      <c r="H117" s="11"/>
      <c r="I117" s="11">
        <f>IFERROR(__xludf.DUMMYFUNCTION("""COMPUTED_VALUE"""),5.0)</f>
        <v>5</v>
      </c>
      <c r="J117" s="11">
        <f>IFERROR(__xludf.DUMMYFUNCTION("""COMPUTED_VALUE"""),0.01)</f>
        <v>0.01</v>
      </c>
      <c r="K117" s="11">
        <f>IFERROR(__xludf.DUMMYFUNCTION("""COMPUTED_VALUE"""),0.0)</f>
        <v>0</v>
      </c>
    </row>
    <row r="118" ht="15.75" customHeight="1">
      <c r="A118" s="8" t="str">
        <f>IFERROR(__xludf.DUMMYFUNCTION("""COMPUTED_VALUE"""),"https://agencies.semrush.com/list/analytics-data-science/business-professional-services/germany/")</f>
        <v>https://agencies.semrush.com/list/analytics-data-science/business-professional-services/germany/</v>
      </c>
      <c r="B118" s="11" t="str">
        <f>IFERROR(__xludf.DUMMYFUNCTION("""COMPUTED_VALUE"""),"Best B2B Services Data Analytics Services in Germany 2026 | Semrush")</f>
        <v>Best B2B Services Data Analytics Services in Germany 2026 | Semrush</v>
      </c>
      <c r="C118" s="8" t="str">
        <f>IFERROR(__xludf.DUMMYFUNCTION("""COMPUTED_VALUE"""),"semrush.com")</f>
        <v>semrush.com</v>
      </c>
      <c r="D118" s="11" t="str">
        <f>IFERROR(__xludf.DUMMYFUNCTION("""COMPUTED_VALUE"""),"CATEGORY_PAGE")</f>
        <v>CATEGORY_PAGE</v>
      </c>
      <c r="E118" s="11" t="str">
        <f>IFERROR(__xludf.DUMMYFUNCTION("""COMPUTED_VALUE"""),"CORPORATE")</f>
        <v>CORPORATE</v>
      </c>
      <c r="F118" s="11" t="str">
        <f>IFERROR(__xludf.DUMMYFUNCTION("""COMPUTED_VALUE"""),"Category Page")</f>
        <v>Category Page</v>
      </c>
      <c r="G118" s="11" t="b">
        <f>IFERROR(__xludf.DUMMYFUNCTION("""COMPUTED_VALUE"""),FALSE)</f>
        <v>0</v>
      </c>
      <c r="H118" s="11" t="str">
        <f>IFERROR(__xludf.DUMMYFUNCTION("""COMPUTED_VALUE"""),"HECHT INS GEFECHT, Baseplus DIGITAL MEDIA GmbH, morefire, Mediaplus Performance")</f>
        <v>HECHT INS GEFECHT, Baseplus DIGITAL MEDIA GmbH, morefire, Mediaplus Performance</v>
      </c>
      <c r="I118" s="11">
        <f>IFERROR(__xludf.DUMMYFUNCTION("""COMPUTED_VALUE"""),4.0)</f>
        <v>4</v>
      </c>
      <c r="J118" s="11">
        <f>IFERROR(__xludf.DUMMYFUNCTION("""COMPUTED_VALUE"""),0.0)</f>
        <v>0</v>
      </c>
      <c r="K118" s="11">
        <f>IFERROR(__xludf.DUMMYFUNCTION("""COMPUTED_VALUE"""),0.0)</f>
        <v>0</v>
      </c>
    </row>
    <row r="119" ht="15.75" customHeight="1">
      <c r="A119" s="8" t="str">
        <f>IFERROR(__xludf.DUMMYFUNCTION("""COMPUTED_VALUE"""),"https://agencies.semrush.com/list/ppc/germany/")</f>
        <v>https://agencies.semrush.com/list/ppc/germany/</v>
      </c>
      <c r="B119" s="11" t="str">
        <f>IFERROR(__xludf.DUMMYFUNCTION("""COMPUTED_VALUE"""),"Best PPC Agencies in Germany 2026 | Semrush")</f>
        <v>Best PPC Agencies in Germany 2026 | Semrush</v>
      </c>
      <c r="C119" s="8" t="str">
        <f>IFERROR(__xludf.DUMMYFUNCTION("""COMPUTED_VALUE"""),"semrush.com")</f>
        <v>semrush.com</v>
      </c>
      <c r="D119" s="11" t="str">
        <f>IFERROR(__xludf.DUMMYFUNCTION("""COMPUTED_VALUE"""),"CATEGORY_PAGE")</f>
        <v>CATEGORY_PAGE</v>
      </c>
      <c r="E119" s="11" t="str">
        <f>IFERROR(__xludf.DUMMYFUNCTION("""COMPUTED_VALUE"""),"CORPORATE")</f>
        <v>CORPORATE</v>
      </c>
      <c r="F119" s="11" t="str">
        <f>IFERROR(__xludf.DUMMYFUNCTION("""COMPUTED_VALUE"""),"Category Page")</f>
        <v>Category Page</v>
      </c>
      <c r="G119" s="11" t="b">
        <f>IFERROR(__xludf.DUMMYFUNCTION("""COMPUTED_VALUE"""),FALSE)</f>
        <v>0</v>
      </c>
      <c r="H119" s="11" t="str">
        <f>IFERROR(__xludf.DUMMYFUNCTION("""COMPUTED_VALUE"""),"morefire, Mediaplus Performance, MONSOON, Mediacharge, KlickPiloten")</f>
        <v>morefire, Mediaplus Performance, MONSOON, Mediacharge, KlickPiloten</v>
      </c>
      <c r="I119" s="11">
        <f>IFERROR(__xludf.DUMMYFUNCTION("""COMPUTED_VALUE"""),4.0)</f>
        <v>4</v>
      </c>
      <c r="J119" s="11">
        <f>IFERROR(__xludf.DUMMYFUNCTION("""COMPUTED_VALUE"""),0.0)</f>
        <v>0</v>
      </c>
      <c r="K119" s="11">
        <f>IFERROR(__xludf.DUMMYFUNCTION("""COMPUTED_VALUE"""),0.75)</f>
        <v>0.75</v>
      </c>
    </row>
    <row r="120" ht="15.75" customHeight="1">
      <c r="A120" s="8" t="str">
        <f>IFERROR(__xludf.DUMMYFUNCTION("""COMPUTED_VALUE"""),"https://www.artefact.com/offers/marketing-data-driven/measurements-mroi-insights/")</f>
        <v>https://www.artefact.com/offers/marketing-data-driven/measurements-mroi-insights/</v>
      </c>
      <c r="B120" s="11" t="str">
        <f>IFERROR(__xludf.DUMMYFUNCTION("""COMPUTED_VALUE"""),"Our Measurements (MROI) &amp;amp; Insights Services - Artefact")</f>
        <v>Our Measurements (MROI) &amp;amp; Insights Services - Artefact</v>
      </c>
      <c r="C120" s="8" t="str">
        <f>IFERROR(__xludf.DUMMYFUNCTION("""COMPUTED_VALUE"""),"artefact.com")</f>
        <v>artefact.com</v>
      </c>
      <c r="D120" s="11" t="str">
        <f>IFERROR(__xludf.DUMMYFUNCTION("""COMPUTED_VALUE"""),"CATEGORY_PAGE")</f>
        <v>CATEGORY_PAGE</v>
      </c>
      <c r="E120" s="11" t="str">
        <f>IFERROR(__xludf.DUMMYFUNCTION("""COMPUTED_VALUE"""),"CORPORATE")</f>
        <v>CORPORATE</v>
      </c>
      <c r="F120" s="11" t="str">
        <f>IFERROR(__xludf.DUMMYFUNCTION("""COMPUTED_VALUE"""),"Category Page")</f>
        <v>Category Page</v>
      </c>
      <c r="G120" s="11" t="b">
        <f>IFERROR(__xludf.DUMMYFUNCTION("""COMPUTED_VALUE"""),FALSE)</f>
        <v>0</v>
      </c>
      <c r="H120" s="11" t="str">
        <f>IFERROR(__xludf.DUMMYFUNCTION("""COMPUTED_VALUE"""),"Artefact")</f>
        <v>Artefact</v>
      </c>
      <c r="I120" s="11">
        <f>IFERROR(__xludf.DUMMYFUNCTION("""COMPUTED_VALUE"""),4.0)</f>
        <v>4</v>
      </c>
      <c r="J120" s="11">
        <f>IFERROR(__xludf.DUMMYFUNCTION("""COMPUTED_VALUE"""),0.0)</f>
        <v>0</v>
      </c>
      <c r="K120" s="11">
        <f>IFERROR(__xludf.DUMMYFUNCTION("""COMPUTED_VALUE"""),0.75)</f>
        <v>0.75</v>
      </c>
    </row>
    <row r="121" ht="15.75" customHeight="1">
      <c r="A121" s="8" t="str">
        <f>IFERROR(__xludf.DUMMYFUNCTION("""COMPUTED_VALUE"""),"https://clutch.co/de/agencies/social-media-marketing/influencer")</f>
        <v>https://clutch.co/de/agencies/social-media-marketing/influencer</v>
      </c>
      <c r="B121" s="11" t="str">
        <f>IFERROR(__xludf.DUMMYFUNCTION("""COMPUTED_VALUE"""),"Top Influencer Advertising Agencies in Germany - Jul 2026 Rankings \| Clutch.co")</f>
        <v>Top Influencer Advertising Agencies in Germany - Jul 2026 Rankings \| Clutch.co</v>
      </c>
      <c r="C121" s="8" t="str">
        <f>IFERROR(__xludf.DUMMYFUNCTION("""COMPUTED_VALUE"""),"clutch.co")</f>
        <v>clutch.co</v>
      </c>
      <c r="D121" s="11" t="str">
        <f>IFERROR(__xludf.DUMMYFUNCTION("""COMPUTED_VALUE"""),"CATEGORY_PAGE")</f>
        <v>CATEGORY_PAGE</v>
      </c>
      <c r="E121" s="11" t="str">
        <f>IFERROR(__xludf.DUMMYFUNCTION("""COMPUTED_VALUE"""),"CORPORATE")</f>
        <v>CORPORATE</v>
      </c>
      <c r="F121" s="11" t="str">
        <f>IFERROR(__xludf.DUMMYFUNCTION("""COMPUTED_VALUE"""),"Category Page")</f>
        <v>Category Page</v>
      </c>
      <c r="G121" s="11" t="b">
        <f>IFERROR(__xludf.DUMMYFUNCTION("""COMPUTED_VALUE"""),FALSE)</f>
        <v>0</v>
      </c>
      <c r="H121" s="11" t="str">
        <f>IFERROR(__xludf.DUMMYFUNCTION("""COMPUTED_VALUE"""),"MONSOON, PANORAMA3000, HY.AM STUDIOS, KlickPiloten, Medialabel, GroupM")</f>
        <v>MONSOON, PANORAMA3000, HY.AM STUDIOS, KlickPiloten, Medialabel, GroupM</v>
      </c>
      <c r="I121" s="11">
        <f>IFERROR(__xludf.DUMMYFUNCTION("""COMPUTED_VALUE"""),4.0)</f>
        <v>4</v>
      </c>
      <c r="J121" s="11">
        <f>IFERROR(__xludf.DUMMYFUNCTION("""COMPUTED_VALUE"""),0.0)</f>
        <v>0</v>
      </c>
      <c r="K121" s="11">
        <f>IFERROR(__xludf.DUMMYFUNCTION("""COMPUTED_VALUE"""),0.0)</f>
        <v>0</v>
      </c>
    </row>
    <row r="122" ht="15.75" customHeight="1">
      <c r="A122" s="8" t="str">
        <f>IFERROR(__xludf.DUMMYFUNCTION("""COMPUTED_VALUE"""),"https://feedbax.ai/performance-marketing/berlin")</f>
        <v>https://feedbax.ai/performance-marketing/berlin</v>
      </c>
      <c r="B122" s="11" t="str">
        <f>IFERROR(__xludf.DUMMYFUNCTION("""COMPUTED_VALUE"""),"Top 20 Performance Marketing Agencies in Berlin - 2026 Reviews")</f>
        <v>Top 20 Performance Marketing Agencies in Berlin - 2026 Reviews</v>
      </c>
      <c r="C122" s="8" t="str">
        <f>IFERROR(__xludf.DUMMYFUNCTION("""COMPUTED_VALUE"""),"feedbax.ai")</f>
        <v>feedbax.ai</v>
      </c>
      <c r="D122" s="11" t="str">
        <f>IFERROR(__xludf.DUMMYFUNCTION("""COMPUTED_VALUE"""),"CATEGORY_PAGE")</f>
        <v>CATEGORY_PAGE</v>
      </c>
      <c r="E122" s="11" t="str">
        <f>IFERROR(__xludf.DUMMYFUNCTION("""COMPUTED_VALUE"""),"UGC")</f>
        <v>UGC</v>
      </c>
      <c r="F122" s="11" t="str">
        <f>IFERROR(__xludf.DUMMYFUNCTION("""COMPUTED_VALUE"""),"Category Page")</f>
        <v>Category Page</v>
      </c>
      <c r="G122" s="11" t="b">
        <f>IFERROR(__xludf.DUMMYFUNCTION("""COMPUTED_VALUE"""),FALSE)</f>
        <v>0</v>
      </c>
      <c r="H122" s="11" t="str">
        <f>IFERROR(__xludf.DUMMYFUNCTION("""COMPUTED_VALUE"""),"PANORAMA3000, KlickPiloten, Mediacharge, Smarketer")</f>
        <v>PANORAMA3000, KlickPiloten, Mediacharge, Smarketer</v>
      </c>
      <c r="I122" s="11">
        <f>IFERROR(__xludf.DUMMYFUNCTION("""COMPUTED_VALUE"""),4.0)</f>
        <v>4</v>
      </c>
      <c r="J122" s="11">
        <f>IFERROR(__xludf.DUMMYFUNCTION("""COMPUTED_VALUE"""),0.0)</f>
        <v>0</v>
      </c>
      <c r="K122" s="11">
        <f>IFERROR(__xludf.DUMMYFUNCTION("""COMPUTED_VALUE"""),0.25)</f>
        <v>0.25</v>
      </c>
    </row>
    <row r="123" ht="15.75" customHeight="1">
      <c r="A123" s="8" t="str">
        <f>IFERROR(__xludf.DUMMYFUNCTION("""COMPUTED_VALUE"""),"https://seranking.com/agencies/location/germany/")</f>
        <v>https://seranking.com/agencies/location/germany/</v>
      </c>
      <c r="B123" s="11" t="str">
        <f>IFERROR(__xludf.DUMMYFUNCTION("""COMPUTED_VALUE"""),"40+ Best SEO Agencies in Germany: Screened and Scored")</f>
        <v>40+ Best SEO Agencies in Germany: Screened and Scored</v>
      </c>
      <c r="C123" s="8" t="str">
        <f>IFERROR(__xludf.DUMMYFUNCTION("""COMPUTED_VALUE"""),"seranking.com")</f>
        <v>seranking.com</v>
      </c>
      <c r="D123" s="11" t="str">
        <f>IFERROR(__xludf.DUMMYFUNCTION("""COMPUTED_VALUE"""),"CATEGORY_PAGE")</f>
        <v>CATEGORY_PAGE</v>
      </c>
      <c r="E123" s="11" t="str">
        <f>IFERROR(__xludf.DUMMYFUNCTION("""COMPUTED_VALUE"""),"CORPORATE")</f>
        <v>CORPORATE</v>
      </c>
      <c r="F123" s="11" t="str">
        <f>IFERROR(__xludf.DUMMYFUNCTION("""COMPUTED_VALUE"""),"Category Page")</f>
        <v>Category Page</v>
      </c>
      <c r="G123" s="11" t="b">
        <f>IFERROR(__xludf.DUMMYFUNCTION("""COMPUTED_VALUE"""),FALSE)</f>
        <v>0</v>
      </c>
      <c r="H123" s="11" t="str">
        <f>IFERROR(__xludf.DUMMYFUNCTION("""COMPUTED_VALUE"""),"DEPT, Haus")</f>
        <v>DEPT, Haus</v>
      </c>
      <c r="I123" s="11">
        <f>IFERROR(__xludf.DUMMYFUNCTION("""COMPUTED_VALUE"""),4.0)</f>
        <v>4</v>
      </c>
      <c r="J123" s="11">
        <f>IFERROR(__xludf.DUMMYFUNCTION("""COMPUTED_VALUE"""),0.0)</f>
        <v>0</v>
      </c>
      <c r="K123" s="11">
        <f>IFERROR(__xludf.DUMMYFUNCTION("""COMPUTED_VALUE"""),0.5)</f>
        <v>0.5</v>
      </c>
    </row>
    <row r="124" ht="15.75" customHeight="1">
      <c r="A124" s="8" t="str">
        <f>IFERROR(__xludf.DUMMYFUNCTION("""COMPUTED_VALUE"""),"https://www.sortlist.com/s/b2b-marketing/germany-de")</f>
        <v>https://www.sortlist.com/s/b2b-marketing/germany-de</v>
      </c>
      <c r="B124" s="11" t="str">
        <f>IFERROR(__xludf.DUMMYFUNCTION("""COMPUTED_VALUE"""),"The 10 Best B2B Marketing Agencies in Germany - 2026 Reviews")</f>
        <v>The 10 Best B2B Marketing Agencies in Germany - 2026 Reviews</v>
      </c>
      <c r="C124" s="8" t="str">
        <f>IFERROR(__xludf.DUMMYFUNCTION("""COMPUTED_VALUE"""),"sortlist.com")</f>
        <v>sortlist.com</v>
      </c>
      <c r="D124" s="11" t="str">
        <f>IFERROR(__xludf.DUMMYFUNCTION("""COMPUTED_VALUE"""),"CATEGORY_PAGE")</f>
        <v>CATEGORY_PAGE</v>
      </c>
      <c r="E124" s="11" t="str">
        <f>IFERROR(__xludf.DUMMYFUNCTION("""COMPUTED_VALUE"""),"CORPORATE")</f>
        <v>CORPORATE</v>
      </c>
      <c r="F124" s="11" t="str">
        <f>IFERROR(__xludf.DUMMYFUNCTION("""COMPUTED_VALUE"""),"Category Page")</f>
        <v>Category Page</v>
      </c>
      <c r="G124" s="11" t="b">
        <f>IFERROR(__xludf.DUMMYFUNCTION("""COMPUTED_VALUE"""),FALSE)</f>
        <v>0</v>
      </c>
      <c r="H124" s="11" t="str">
        <f>IFERROR(__xludf.DUMMYFUNCTION("""COMPUTED_VALUE"""),"MONSOON, Measured")</f>
        <v>MONSOON, Measured</v>
      </c>
      <c r="I124" s="11">
        <f>IFERROR(__xludf.DUMMYFUNCTION("""COMPUTED_VALUE"""),4.0)</f>
        <v>4</v>
      </c>
      <c r="J124" s="11">
        <f>IFERROR(__xludf.DUMMYFUNCTION("""COMPUTED_VALUE"""),0.0)</f>
        <v>0</v>
      </c>
      <c r="K124" s="11">
        <f>IFERROR(__xludf.DUMMYFUNCTION("""COMPUTED_VALUE"""),1.75)</f>
        <v>1.75</v>
      </c>
    </row>
    <row r="125" ht="15.75" customHeight="1">
      <c r="A125" s="8" t="str">
        <f>IFERROR(__xludf.DUMMYFUNCTION("""COMPUTED_VALUE"""),"https://www.sortlist.com/s/google-ads/germany-de")</f>
        <v>https://www.sortlist.com/s/google-ads/germany-de</v>
      </c>
      <c r="B125" s="11" t="str">
        <f>IFERROR(__xludf.DUMMYFUNCTION("""COMPUTED_VALUE"""),"The 10 Best Google Ads Agencies in Germany - 2026 Reviews")</f>
        <v>The 10 Best Google Ads Agencies in Germany - 2026 Reviews</v>
      </c>
      <c r="C125" s="8" t="str">
        <f>IFERROR(__xludf.DUMMYFUNCTION("""COMPUTED_VALUE"""),"sortlist.com")</f>
        <v>sortlist.com</v>
      </c>
      <c r="D125" s="11" t="str">
        <f>IFERROR(__xludf.DUMMYFUNCTION("""COMPUTED_VALUE"""),"CATEGORY_PAGE")</f>
        <v>CATEGORY_PAGE</v>
      </c>
      <c r="E125" s="11" t="str">
        <f>IFERROR(__xludf.DUMMYFUNCTION("""COMPUTED_VALUE"""),"CORPORATE")</f>
        <v>CORPORATE</v>
      </c>
      <c r="F125" s="11" t="str">
        <f>IFERROR(__xludf.DUMMYFUNCTION("""COMPUTED_VALUE"""),"Category Page")</f>
        <v>Category Page</v>
      </c>
      <c r="G125" s="11" t="b">
        <f>IFERROR(__xludf.DUMMYFUNCTION("""COMPUTED_VALUE"""),FALSE)</f>
        <v>0</v>
      </c>
      <c r="H125" s="11" t="str">
        <f>IFERROR(__xludf.DUMMYFUNCTION("""COMPUTED_VALUE"""),"MONSOON, Triple Whale, Northbeam, Dreamdata")</f>
        <v>MONSOON, Triple Whale, Northbeam, Dreamdata</v>
      </c>
      <c r="I125" s="11">
        <f>IFERROR(__xludf.DUMMYFUNCTION("""COMPUTED_VALUE"""),4.0)</f>
        <v>4</v>
      </c>
      <c r="J125" s="11">
        <f>IFERROR(__xludf.DUMMYFUNCTION("""COMPUTED_VALUE"""),0.0)</f>
        <v>0</v>
      </c>
      <c r="K125" s="11">
        <f>IFERROR(__xludf.DUMMYFUNCTION("""COMPUTED_VALUE"""),0.75)</f>
        <v>0.75</v>
      </c>
    </row>
    <row r="126" ht="15.75" customHeight="1">
      <c r="A126" s="8" t="str">
        <f>IFERROR(__xludf.DUMMYFUNCTION("""COMPUTED_VALUE"""),"https://www.sortlist.com/s/marketing-analytics/berlin-de")</f>
        <v>https://www.sortlist.com/s/marketing-analytics/berlin-de</v>
      </c>
      <c r="B126" s="11" t="str">
        <f>IFERROR(__xludf.DUMMYFUNCTION("""COMPUTED_VALUE"""),"The 10 Best Marketing Analytics Companies in Berlin - 2026 Reviews")</f>
        <v>The 10 Best Marketing Analytics Companies in Berlin - 2026 Reviews</v>
      </c>
      <c r="C126" s="8" t="str">
        <f>IFERROR(__xludf.DUMMYFUNCTION("""COMPUTED_VALUE"""),"sortlist.com")</f>
        <v>sortlist.com</v>
      </c>
      <c r="D126" s="11" t="str">
        <f>IFERROR(__xludf.DUMMYFUNCTION("""COMPUTED_VALUE"""),"CATEGORY_PAGE")</f>
        <v>CATEGORY_PAGE</v>
      </c>
      <c r="E126" s="11" t="str">
        <f>IFERROR(__xludf.DUMMYFUNCTION("""COMPUTED_VALUE"""),"CORPORATE")</f>
        <v>CORPORATE</v>
      </c>
      <c r="F126" s="11" t="str">
        <f>IFERROR(__xludf.DUMMYFUNCTION("""COMPUTED_VALUE"""),"Category Page")</f>
        <v>Category Page</v>
      </c>
      <c r="G126" s="11" t="b">
        <f>IFERROR(__xludf.DUMMYFUNCTION("""COMPUTED_VALUE"""),FALSE)</f>
        <v>0</v>
      </c>
      <c r="H126" s="11" t="str">
        <f>IFERROR(__xludf.DUMMYFUNCTION("""COMPUTED_VALUE"""),"MONSOON, Triple Whale, Northbeam, Dreamdata, KlickPiloten, lehof")</f>
        <v>MONSOON, Triple Whale, Northbeam, Dreamdata, KlickPiloten, lehof</v>
      </c>
      <c r="I126" s="11">
        <f>IFERROR(__xludf.DUMMYFUNCTION("""COMPUTED_VALUE"""),4.0)</f>
        <v>4</v>
      </c>
      <c r="J126" s="11">
        <f>IFERROR(__xludf.DUMMYFUNCTION("""COMPUTED_VALUE"""),0.0)</f>
        <v>0</v>
      </c>
      <c r="K126" s="11">
        <f>IFERROR(__xludf.DUMMYFUNCTION("""COMPUTED_VALUE"""),0.25)</f>
        <v>0.25</v>
      </c>
    </row>
    <row r="127" ht="15.75" customHeight="1">
      <c r="A127" s="8" t="str">
        <f>IFERROR(__xludf.DUMMYFUNCTION("""COMPUTED_VALUE"""),"https://www.sortlist.de/s/ai-marketing/baden-wuerttemberg-bw-de")</f>
        <v>https://www.sortlist.de/s/ai-marketing/baden-wuerttemberg-bw-de</v>
      </c>
      <c r="B127" s="11" t="str">
        <f>IFERROR(__xludf.DUMMYFUNCTION("""COMPUTED_VALUE"""),"AI Marketing Agentur Baden-Württemberg | Vergleich")</f>
        <v>AI Marketing Agentur Baden-Württemberg | Vergleich</v>
      </c>
      <c r="C127" s="8" t="str">
        <f>IFERROR(__xludf.DUMMYFUNCTION("""COMPUTED_VALUE"""),"sortlist.de")</f>
        <v>sortlist.de</v>
      </c>
      <c r="D127" s="11" t="str">
        <f>IFERROR(__xludf.DUMMYFUNCTION("""COMPUTED_VALUE"""),"CATEGORY_PAGE")</f>
        <v>CATEGORY_PAGE</v>
      </c>
      <c r="E127" s="11" t="str">
        <f>IFERROR(__xludf.DUMMYFUNCTION("""COMPUTED_VALUE"""),"CORPORATE")</f>
        <v>CORPORATE</v>
      </c>
      <c r="F127" s="11" t="str">
        <f>IFERROR(__xludf.DUMMYFUNCTION("""COMPUTED_VALUE"""),"Category Page")</f>
        <v>Category Page</v>
      </c>
      <c r="G127" s="11" t="b">
        <f>IFERROR(__xludf.DUMMYFUNCTION("""COMPUTED_VALUE"""),FALSE)</f>
        <v>0</v>
      </c>
      <c r="H127" s="11"/>
      <c r="I127" s="11">
        <f>IFERROR(__xludf.DUMMYFUNCTION("""COMPUTED_VALUE"""),4.0)</f>
        <v>4</v>
      </c>
      <c r="J127" s="11">
        <f>IFERROR(__xludf.DUMMYFUNCTION("""COMPUTED_VALUE"""),0.0)</f>
        <v>0</v>
      </c>
      <c r="K127" s="11">
        <f>IFERROR(__xludf.DUMMYFUNCTION("""COMPUTED_VALUE"""),0.0)</f>
        <v>0</v>
      </c>
    </row>
    <row r="128" ht="15.75" customHeight="1">
      <c r="A128" s="8" t="str">
        <f>IFERROR(__xludf.DUMMYFUNCTION("""COMPUTED_VALUE"""),"https://www.sortlist.de/s/ai-marketing/muenchen-by-de")</f>
        <v>https://www.sortlist.de/s/ai-marketing/muenchen-by-de</v>
      </c>
      <c r="B128" s="11" t="str">
        <f>IFERROR(__xludf.DUMMYFUNCTION("""COMPUTED_VALUE"""),"Unsere 10 Besten AI Marketing Agenturen in München - 2026 Bewertungen")</f>
        <v>Unsere 10 Besten AI Marketing Agenturen in München - 2026 Bewertungen</v>
      </c>
      <c r="C128" s="8" t="str">
        <f>IFERROR(__xludf.DUMMYFUNCTION("""COMPUTED_VALUE"""),"sortlist.de")</f>
        <v>sortlist.de</v>
      </c>
      <c r="D128" s="11" t="str">
        <f>IFERROR(__xludf.DUMMYFUNCTION("""COMPUTED_VALUE"""),"CATEGORY_PAGE")</f>
        <v>CATEGORY_PAGE</v>
      </c>
      <c r="E128" s="11" t="str">
        <f>IFERROR(__xludf.DUMMYFUNCTION("""COMPUTED_VALUE"""),"CORPORATE")</f>
        <v>CORPORATE</v>
      </c>
      <c r="F128" s="11" t="str">
        <f>IFERROR(__xludf.DUMMYFUNCTION("""COMPUTED_VALUE"""),"Category Page")</f>
        <v>Category Page</v>
      </c>
      <c r="G128" s="11" t="b">
        <f>IFERROR(__xludf.DUMMYFUNCTION("""COMPUTED_VALUE"""),FALSE)</f>
        <v>0</v>
      </c>
      <c r="H128" s="11" t="str">
        <f>IFERROR(__xludf.DUMMYFUNCTION("""COMPUTED_VALUE"""),"Pilot")</f>
        <v>Pilot</v>
      </c>
      <c r="I128" s="11">
        <f>IFERROR(__xludf.DUMMYFUNCTION("""COMPUTED_VALUE"""),4.0)</f>
        <v>4</v>
      </c>
      <c r="J128" s="11">
        <f>IFERROR(__xludf.DUMMYFUNCTION("""COMPUTED_VALUE"""),0.0)</f>
        <v>0</v>
      </c>
      <c r="K128" s="11">
        <f>IFERROR(__xludf.DUMMYFUNCTION("""COMPUTED_VALUE"""),0.0)</f>
        <v>0</v>
      </c>
    </row>
    <row r="129" ht="15.75" customHeight="1">
      <c r="A129" s="8" t="str">
        <f>IFERROR(__xludf.DUMMYFUNCTION("""COMPUTED_VALUE"""),"https://www.sortlist.de/s/google-analytics/deutschland-de")</f>
        <v>https://www.sortlist.de/s/google-analytics/deutschland-de</v>
      </c>
      <c r="B129" s="11" t="str">
        <f>IFERROR(__xludf.DUMMYFUNCTION("""COMPUTED_VALUE"""),"Unsere 10 Besten Google Analytics Beratung Agenturen in Deutschland - 2026 Bewertungen")</f>
        <v>Unsere 10 Besten Google Analytics Beratung Agenturen in Deutschland - 2026 Bewertungen</v>
      </c>
      <c r="C129" s="8" t="str">
        <f>IFERROR(__xludf.DUMMYFUNCTION("""COMPUTED_VALUE"""),"sortlist.de")</f>
        <v>sortlist.de</v>
      </c>
      <c r="D129" s="11" t="str">
        <f>IFERROR(__xludf.DUMMYFUNCTION("""COMPUTED_VALUE"""),"CATEGORY_PAGE")</f>
        <v>CATEGORY_PAGE</v>
      </c>
      <c r="E129" s="11" t="str">
        <f>IFERROR(__xludf.DUMMYFUNCTION("""COMPUTED_VALUE"""),"CORPORATE")</f>
        <v>CORPORATE</v>
      </c>
      <c r="F129" s="11" t="str">
        <f>IFERROR(__xludf.DUMMYFUNCTION("""COMPUTED_VALUE"""),"Category Page")</f>
        <v>Category Page</v>
      </c>
      <c r="G129" s="11" t="b">
        <f>IFERROR(__xludf.DUMMYFUNCTION("""COMPUTED_VALUE"""),FALSE)</f>
        <v>0</v>
      </c>
      <c r="H129" s="11" t="str">
        <f>IFERROR(__xludf.DUMMYFUNCTION("""COMPUTED_VALUE"""),"Mediacharge, Loyamo")</f>
        <v>Mediacharge, Loyamo</v>
      </c>
      <c r="I129" s="11">
        <f>IFERROR(__xludf.DUMMYFUNCTION("""COMPUTED_VALUE"""),4.0)</f>
        <v>4</v>
      </c>
      <c r="J129" s="11">
        <f>IFERROR(__xludf.DUMMYFUNCTION("""COMPUTED_VALUE"""),0.0)</f>
        <v>0</v>
      </c>
      <c r="K129" s="11">
        <f>IFERROR(__xludf.DUMMYFUNCTION("""COMPUTED_VALUE"""),0.0)</f>
        <v>0</v>
      </c>
    </row>
    <row r="130" ht="15.75" customHeight="1">
      <c r="A130" s="8" t="str">
        <f>IFERROR(__xludf.DUMMYFUNCTION("""COMPUTED_VALUE"""),"https://www.sortlist.de/s/programmatic-advertising/deutschland-de")</f>
        <v>https://www.sortlist.de/s/programmatic-advertising/deutschland-de</v>
      </c>
      <c r="B130" s="11" t="str">
        <f>IFERROR(__xludf.DUMMYFUNCTION("""COMPUTED_VALUE"""),"Unsere 10 Besten Programmatic Advertising Agenturen in Deutschland - 2026 Bewertungen")</f>
        <v>Unsere 10 Besten Programmatic Advertising Agenturen in Deutschland - 2026 Bewertungen</v>
      </c>
      <c r="C130" s="8" t="str">
        <f>IFERROR(__xludf.DUMMYFUNCTION("""COMPUTED_VALUE"""),"sortlist.de")</f>
        <v>sortlist.de</v>
      </c>
      <c r="D130" s="11" t="str">
        <f>IFERROR(__xludf.DUMMYFUNCTION("""COMPUTED_VALUE"""),"CATEGORY_PAGE")</f>
        <v>CATEGORY_PAGE</v>
      </c>
      <c r="E130" s="11" t="str">
        <f>IFERROR(__xludf.DUMMYFUNCTION("""COMPUTED_VALUE"""),"CORPORATE")</f>
        <v>CORPORATE</v>
      </c>
      <c r="F130" s="11" t="str">
        <f>IFERROR(__xludf.DUMMYFUNCTION("""COMPUTED_VALUE"""),"Category Page")</f>
        <v>Category Page</v>
      </c>
      <c r="G130" s="11" t="b">
        <f>IFERROR(__xludf.DUMMYFUNCTION("""COMPUTED_VALUE"""),FALSE)</f>
        <v>0</v>
      </c>
      <c r="H130" s="11" t="str">
        <f>IFERROR(__xludf.DUMMYFUNCTION("""COMPUTED_VALUE"""),"lehof, MONSOON, Triple Whale, Northbeam, Dreamdata, KlickPiloten")</f>
        <v>lehof, MONSOON, Triple Whale, Northbeam, Dreamdata, KlickPiloten</v>
      </c>
      <c r="I130" s="11">
        <f>IFERROR(__xludf.DUMMYFUNCTION("""COMPUTED_VALUE"""),4.0)</f>
        <v>4</v>
      </c>
      <c r="J130" s="11">
        <f>IFERROR(__xludf.DUMMYFUNCTION("""COMPUTED_VALUE"""),0.0)</f>
        <v>0</v>
      </c>
      <c r="K130" s="11">
        <f>IFERROR(__xludf.DUMMYFUNCTION("""COMPUTED_VALUE"""),1.25)</f>
        <v>1.25</v>
      </c>
    </row>
    <row r="131" ht="15.75" customHeight="1">
      <c r="A131" s="8" t="str">
        <f>IFERROR(__xludf.DUMMYFUNCTION("""COMPUTED_VALUE"""),"https://think11.de/unternehmen/zertifikate/")</f>
        <v>https://think11.de/unternehmen/zertifikate/</v>
      </c>
      <c r="B131" s="11" t="str">
        <f>IFERROR(__xludf.DUMMYFUNCTION("""COMPUTED_VALUE"""),"Zertifikate: Google, HubSpot &amp;amp; Partnerschaften | Think11")</f>
        <v>Zertifikate: Google, HubSpot &amp;amp; Partnerschaften | Think11</v>
      </c>
      <c r="C131" s="8" t="str">
        <f>IFERROR(__xludf.DUMMYFUNCTION("""COMPUTED_VALUE"""),"think11.de")</f>
        <v>think11.de</v>
      </c>
      <c r="D131" s="11" t="str">
        <f>IFERROR(__xludf.DUMMYFUNCTION("""COMPUTED_VALUE"""),"CATEGORY_PAGE")</f>
        <v>CATEGORY_PAGE</v>
      </c>
      <c r="E131" s="11" t="str">
        <f>IFERROR(__xludf.DUMMYFUNCTION("""COMPUTED_VALUE"""),"COMPETITOR")</f>
        <v>COMPETITOR</v>
      </c>
      <c r="F131" s="11" t="str">
        <f>IFERROR(__xludf.DUMMYFUNCTION("""COMPUTED_VALUE"""),"Category Page")</f>
        <v>Category Page</v>
      </c>
      <c r="G131" s="11" t="b">
        <f>IFERROR(__xludf.DUMMYFUNCTION("""COMPUTED_VALUE"""),FALSE)</f>
        <v>0</v>
      </c>
      <c r="H131" s="11" t="str">
        <f>IFERROR(__xludf.DUMMYFUNCTION("""COMPUTED_VALUE"""),"Think11")</f>
        <v>Think11</v>
      </c>
      <c r="I131" s="11">
        <f>IFERROR(__xludf.DUMMYFUNCTION("""COMPUTED_VALUE"""),4.0)</f>
        <v>4</v>
      </c>
      <c r="J131" s="11">
        <f>IFERROR(__xludf.DUMMYFUNCTION("""COMPUTED_VALUE"""),0.0)</f>
        <v>0</v>
      </c>
      <c r="K131" s="11">
        <f>IFERROR(__xludf.DUMMYFUNCTION("""COMPUTED_VALUE"""),1.25)</f>
        <v>1.25</v>
      </c>
    </row>
    <row r="132" ht="15.75" customHeight="1">
      <c r="A132" s="8" t="str">
        <f>IFERROR(__xludf.DUMMYFUNCTION("""COMPUTED_VALUE"""),"https://www.werbeagentur.de/de/scoring/performance-marketing")</f>
        <v>https://www.werbeagentur.de/de/scoring/performance-marketing</v>
      </c>
      <c r="B132" s="11" t="str">
        <f>IFERROR(__xludf.DUMMYFUNCTION("""COMPUTED_VALUE"""),"261 Top Agenturen für Performance Marketing. Hier vergleichen")</f>
        <v>261 Top Agenturen für Performance Marketing. Hier vergleichen</v>
      </c>
      <c r="C132" s="8" t="str">
        <f>IFERROR(__xludf.DUMMYFUNCTION("""COMPUTED_VALUE"""),"werbeagentur.de")</f>
        <v>werbeagentur.de</v>
      </c>
      <c r="D132" s="11" t="str">
        <f>IFERROR(__xludf.DUMMYFUNCTION("""COMPUTED_VALUE"""),"CATEGORY_PAGE")</f>
        <v>CATEGORY_PAGE</v>
      </c>
      <c r="E132" s="11" t="str">
        <f>IFERROR(__xludf.DUMMYFUNCTION("""COMPUTED_VALUE"""),"REFERENCE")</f>
        <v>REFERENCE</v>
      </c>
      <c r="F132" s="11" t="str">
        <f>IFERROR(__xludf.DUMMYFUNCTION("""COMPUTED_VALUE"""),"Category Page")</f>
        <v>Category Page</v>
      </c>
      <c r="G132" s="11" t="b">
        <f>IFERROR(__xludf.DUMMYFUNCTION("""COMPUTED_VALUE"""),FALSE)</f>
        <v>0</v>
      </c>
      <c r="H132" s="11" t="str">
        <f>IFERROR(__xludf.DUMMYFUNCTION("""COMPUTED_VALUE"""),"Artefact, Digital Masters GmbH, Customlytics, Löwenstark, Aufgesang, Mawave, Loyamo, Social Media Pirates, Smarketer, eMinded GmbH, ZweiDigital GmbH")</f>
        <v>Artefact, Digital Masters GmbH, Customlytics, Löwenstark, Aufgesang, Mawave, Loyamo, Social Media Pirates, Smarketer, eMinded GmbH, ZweiDigital GmbH</v>
      </c>
      <c r="I132" s="11">
        <f>IFERROR(__xludf.DUMMYFUNCTION("""COMPUTED_VALUE"""),4.0)</f>
        <v>4</v>
      </c>
      <c r="J132" s="11">
        <f>IFERROR(__xludf.DUMMYFUNCTION("""COMPUTED_VALUE"""),0.0)</f>
        <v>0</v>
      </c>
      <c r="K132" s="11">
        <f>IFERROR(__xludf.DUMMYFUNCTION("""COMPUTED_VALUE"""),0.0)</f>
        <v>0</v>
      </c>
    </row>
    <row r="133" ht="15.75" customHeight="1">
      <c r="A133" s="8" t="str">
        <f>IFERROR(__xludf.DUMMYFUNCTION("""COMPUTED_VALUE"""),"https://www.werbeagentur.de/en/scoring/performance-marketing")</f>
        <v>https://www.werbeagentur.de/en/scoring/performance-marketing</v>
      </c>
      <c r="B133" s="11" t="str">
        <f>IFERROR(__xludf.DUMMYFUNCTION("""COMPUTED_VALUE"""),"260 Top Agenturen für Performance Marketing. Hier vergleichen")</f>
        <v>260 Top Agenturen für Performance Marketing. Hier vergleichen</v>
      </c>
      <c r="C133" s="8" t="str">
        <f>IFERROR(__xludf.DUMMYFUNCTION("""COMPUTED_VALUE"""),"werbeagentur.de")</f>
        <v>werbeagentur.de</v>
      </c>
      <c r="D133" s="11" t="str">
        <f>IFERROR(__xludf.DUMMYFUNCTION("""COMPUTED_VALUE"""),"CATEGORY_PAGE")</f>
        <v>CATEGORY_PAGE</v>
      </c>
      <c r="E133" s="11" t="str">
        <f>IFERROR(__xludf.DUMMYFUNCTION("""COMPUTED_VALUE"""),"REFERENCE")</f>
        <v>REFERENCE</v>
      </c>
      <c r="F133" s="11" t="str">
        <f>IFERROR(__xludf.DUMMYFUNCTION("""COMPUTED_VALUE"""),"Category Page")</f>
        <v>Category Page</v>
      </c>
      <c r="G133" s="11" t="b">
        <f>IFERROR(__xludf.DUMMYFUNCTION("""COMPUTED_VALUE"""),FALSE)</f>
        <v>0</v>
      </c>
      <c r="H133" s="11" t="str">
        <f>IFERROR(__xludf.DUMMYFUNCTION("""COMPUTED_VALUE"""),"Artefact, Digital Masters GmbH, Customlytics, Löwenstark, Aufgesang, Mawave, Loyamo, Social Media Pirates, Smarketer, eMinded GmbH, ZweiDigital GmbH")</f>
        <v>Artefact, Digital Masters GmbH, Customlytics, Löwenstark, Aufgesang, Mawave, Loyamo, Social Media Pirates, Smarketer, eMinded GmbH, ZweiDigital GmbH</v>
      </c>
      <c r="I133" s="11">
        <f>IFERROR(__xludf.DUMMYFUNCTION("""COMPUTED_VALUE"""),4.0)</f>
        <v>4</v>
      </c>
      <c r="J133" s="11">
        <f>IFERROR(__xludf.DUMMYFUNCTION("""COMPUTED_VALUE"""),0.0)</f>
        <v>0</v>
      </c>
      <c r="K133" s="11">
        <f>IFERROR(__xludf.DUMMYFUNCTION("""COMPUTED_VALUE"""),0.0)</f>
        <v>0</v>
      </c>
    </row>
    <row r="134" ht="15.75" customHeight="1">
      <c r="A134" s="8" t="str">
        <f>IFERROR(__xludf.DUMMYFUNCTION("""COMPUTED_VALUE"""),"https://agencies.semrush.com/list/content-marketing/business-professional-services/germany/")</f>
        <v>https://agencies.semrush.com/list/content-marketing/business-professional-services/germany/</v>
      </c>
      <c r="B134" s="11" t="str">
        <f>IFERROR(__xludf.DUMMYFUNCTION("""COMPUTED_VALUE"""),"Best B2B Services Content Marketing Agencies in Germany 2026 | Semrush")</f>
        <v>Best B2B Services Content Marketing Agencies in Germany 2026 | Semrush</v>
      </c>
      <c r="C134" s="8" t="str">
        <f>IFERROR(__xludf.DUMMYFUNCTION("""COMPUTED_VALUE"""),"semrush.com")</f>
        <v>semrush.com</v>
      </c>
      <c r="D134" s="11" t="str">
        <f>IFERROR(__xludf.DUMMYFUNCTION("""COMPUTED_VALUE"""),"CATEGORY_PAGE")</f>
        <v>CATEGORY_PAGE</v>
      </c>
      <c r="E134" s="11" t="str">
        <f>IFERROR(__xludf.DUMMYFUNCTION("""COMPUTED_VALUE"""),"CORPORATE")</f>
        <v>CORPORATE</v>
      </c>
      <c r="F134" s="11" t="str">
        <f>IFERROR(__xludf.DUMMYFUNCTION("""COMPUTED_VALUE"""),"Category Page")</f>
        <v>Category Page</v>
      </c>
      <c r="G134" s="11" t="b">
        <f>IFERROR(__xludf.DUMMYFUNCTION("""COMPUTED_VALUE"""),FALSE)</f>
        <v>0</v>
      </c>
      <c r="H134" s="11" t="str">
        <f>IFERROR(__xludf.DUMMYFUNCTION("""COMPUTED_VALUE"""),"HECHT INS GEFECHT, Baseplus DIGITAL MEDIA GmbH, Mediaplus Performance")</f>
        <v>HECHT INS GEFECHT, Baseplus DIGITAL MEDIA GmbH, Mediaplus Performance</v>
      </c>
      <c r="I134" s="11">
        <f>IFERROR(__xludf.DUMMYFUNCTION("""COMPUTED_VALUE"""),3.0)</f>
        <v>3</v>
      </c>
      <c r="J134" s="11">
        <f>IFERROR(__xludf.DUMMYFUNCTION("""COMPUTED_VALUE"""),0.0)</f>
        <v>0</v>
      </c>
      <c r="K134" s="11">
        <f>IFERROR(__xludf.DUMMYFUNCTION("""COMPUTED_VALUE"""),0.33)</f>
        <v>0.33</v>
      </c>
    </row>
    <row r="135" ht="15.75" customHeight="1">
      <c r="A135" s="8" t="str">
        <f>IFERROR(__xludf.DUMMYFUNCTION("""COMPUTED_VALUE"""),"https://agencies.semrush.com/list/display-advertising/arts-entertainment/germany/")</f>
        <v>https://agencies.semrush.com/list/display-advertising/arts-entertainment/germany/</v>
      </c>
      <c r="B135" s="11" t="str">
        <f>IFERROR(__xludf.DUMMYFUNCTION("""COMPUTED_VALUE"""),"Best Media &amp;amp; Entertainment Display Ads Agencies in Germany 2026 | Semrush")</f>
        <v>Best Media &amp;amp; Entertainment Display Ads Agencies in Germany 2026 | Semrush</v>
      </c>
      <c r="C135" s="8" t="str">
        <f>IFERROR(__xludf.DUMMYFUNCTION("""COMPUTED_VALUE"""),"semrush.com")</f>
        <v>semrush.com</v>
      </c>
      <c r="D135" s="11" t="str">
        <f>IFERROR(__xludf.DUMMYFUNCTION("""COMPUTED_VALUE"""),"CATEGORY_PAGE")</f>
        <v>CATEGORY_PAGE</v>
      </c>
      <c r="E135" s="11" t="str">
        <f>IFERROR(__xludf.DUMMYFUNCTION("""COMPUTED_VALUE"""),"CORPORATE")</f>
        <v>CORPORATE</v>
      </c>
      <c r="F135" s="11" t="str">
        <f>IFERROR(__xludf.DUMMYFUNCTION("""COMPUTED_VALUE"""),"Category Page")</f>
        <v>Category Page</v>
      </c>
      <c r="G135" s="11" t="b">
        <f>IFERROR(__xludf.DUMMYFUNCTION("""COMPUTED_VALUE"""),FALSE)</f>
        <v>0</v>
      </c>
      <c r="H135" s="11" t="str">
        <f>IFERROR(__xludf.DUMMYFUNCTION("""COMPUTED_VALUE"""),"KlickPiloten")</f>
        <v>KlickPiloten</v>
      </c>
      <c r="I135" s="11">
        <f>IFERROR(__xludf.DUMMYFUNCTION("""COMPUTED_VALUE"""),3.0)</f>
        <v>3</v>
      </c>
      <c r="J135" s="11">
        <f>IFERROR(__xludf.DUMMYFUNCTION("""COMPUTED_VALUE"""),0.0)</f>
        <v>0</v>
      </c>
      <c r="K135" s="11">
        <f>IFERROR(__xludf.DUMMYFUNCTION("""COMPUTED_VALUE"""),0.0)</f>
        <v>0</v>
      </c>
    </row>
    <row r="136" ht="15.75" customHeight="1">
      <c r="A136" s="8" t="str">
        <f>IFERROR(__xludf.DUMMYFUNCTION("""COMPUTED_VALUE"""),"https://agencies.semrush.com/list/llm-optimization/germany/")</f>
        <v>https://agencies.semrush.com/list/llm-optimization/germany/</v>
      </c>
      <c r="B136" s="11" t="str">
        <f>IFERROR(__xludf.DUMMYFUNCTION("""COMPUTED_VALUE"""),"Best LLM optimization Agencies in Germany 2026 | Semrush")</f>
        <v>Best LLM optimization Agencies in Germany 2026 | Semrush</v>
      </c>
      <c r="C136" s="8" t="str">
        <f>IFERROR(__xludf.DUMMYFUNCTION("""COMPUTED_VALUE"""),"semrush.com")</f>
        <v>semrush.com</v>
      </c>
      <c r="D136" s="11" t="str">
        <f>IFERROR(__xludf.DUMMYFUNCTION("""COMPUTED_VALUE"""),"CATEGORY_PAGE")</f>
        <v>CATEGORY_PAGE</v>
      </c>
      <c r="E136" s="11" t="str">
        <f>IFERROR(__xludf.DUMMYFUNCTION("""COMPUTED_VALUE"""),"CORPORATE")</f>
        <v>CORPORATE</v>
      </c>
      <c r="F136" s="11" t="str">
        <f>IFERROR(__xludf.DUMMYFUNCTION("""COMPUTED_VALUE"""),"Category Page")</f>
        <v>Category Page</v>
      </c>
      <c r="G136" s="11" t="b">
        <f>IFERROR(__xludf.DUMMYFUNCTION("""COMPUTED_VALUE"""),FALSE)</f>
        <v>0</v>
      </c>
      <c r="H136" s="11" t="str">
        <f>IFERROR(__xludf.DUMMYFUNCTION("""COMPUTED_VALUE"""),"HECHT INS GEFECHT, morefire, Mediaplus Performance")</f>
        <v>HECHT INS GEFECHT, morefire, Mediaplus Performance</v>
      </c>
      <c r="I136" s="11">
        <f>IFERROR(__xludf.DUMMYFUNCTION("""COMPUTED_VALUE"""),3.0)</f>
        <v>3</v>
      </c>
      <c r="J136" s="11">
        <f>IFERROR(__xludf.DUMMYFUNCTION("""COMPUTED_VALUE"""),0.0)</f>
        <v>0</v>
      </c>
      <c r="K136" s="11">
        <f>IFERROR(__xludf.DUMMYFUNCTION("""COMPUTED_VALUE"""),1.0)</f>
        <v>1</v>
      </c>
    </row>
    <row r="137" ht="15.75" customHeight="1">
      <c r="A137" s="8" t="str">
        <f>IFERROR(__xludf.DUMMYFUNCTION("""COMPUTED_VALUE"""),"https://clutch.co/de/agencies/demand-generation-marketing")</f>
        <v>https://clutch.co/de/agencies/demand-generation-marketing</v>
      </c>
      <c r="B137" s="11" t="str">
        <f>IFERROR(__xludf.DUMMYFUNCTION("""COMPUTED_VALUE"""),"Top Demand Generation Agencies in Germany - Jul 2026 Rankings \| Clutch.co")</f>
        <v>Top Demand Generation Agencies in Germany - Jul 2026 Rankings \| Clutch.co</v>
      </c>
      <c r="C137" s="8" t="str">
        <f>IFERROR(__xludf.DUMMYFUNCTION("""COMPUTED_VALUE"""),"clutch.co")</f>
        <v>clutch.co</v>
      </c>
      <c r="D137" s="11" t="str">
        <f>IFERROR(__xludf.DUMMYFUNCTION("""COMPUTED_VALUE"""),"CATEGORY_PAGE")</f>
        <v>CATEGORY_PAGE</v>
      </c>
      <c r="E137" s="11" t="str">
        <f>IFERROR(__xludf.DUMMYFUNCTION("""COMPUTED_VALUE"""),"CORPORATE")</f>
        <v>CORPORATE</v>
      </c>
      <c r="F137" s="11" t="str">
        <f>IFERROR(__xludf.DUMMYFUNCTION("""COMPUTED_VALUE"""),"Category Page")</f>
        <v>Category Page</v>
      </c>
      <c r="G137" s="11" t="b">
        <f>IFERROR(__xludf.DUMMYFUNCTION("""COMPUTED_VALUE"""),FALSE)</f>
        <v>0</v>
      </c>
      <c r="H137" s="11"/>
      <c r="I137" s="11">
        <f>IFERROR(__xludf.DUMMYFUNCTION("""COMPUTED_VALUE"""),3.0)</f>
        <v>3</v>
      </c>
      <c r="J137" s="11">
        <f>IFERROR(__xludf.DUMMYFUNCTION("""COMPUTED_VALUE"""),0.0)</f>
        <v>0</v>
      </c>
      <c r="K137" s="11">
        <f>IFERROR(__xludf.DUMMYFUNCTION("""COMPUTED_VALUE"""),0.0)</f>
        <v>0</v>
      </c>
    </row>
    <row r="138" ht="15.75" customHeight="1">
      <c r="A138" s="8" t="str">
        <f>IFERROR(__xludf.DUMMYFUNCTION("""COMPUTED_VALUE"""),"https://clutch.co/de/seo-firms/international")</f>
        <v>https://clutch.co/de/seo-firms/international</v>
      </c>
      <c r="B138" s="11" t="str">
        <f>IFERROR(__xludf.DUMMYFUNCTION("""COMPUTED_VALUE"""),"Top International SEO Agencies in Germany - Jul 2026 Rankings | Clutch.co")</f>
        <v>Top International SEO Agencies in Germany - Jul 2026 Rankings | Clutch.co</v>
      </c>
      <c r="C138" s="8" t="str">
        <f>IFERROR(__xludf.DUMMYFUNCTION("""COMPUTED_VALUE"""),"clutch.co")</f>
        <v>clutch.co</v>
      </c>
      <c r="D138" s="11" t="str">
        <f>IFERROR(__xludf.DUMMYFUNCTION("""COMPUTED_VALUE"""),"CATEGORY_PAGE")</f>
        <v>CATEGORY_PAGE</v>
      </c>
      <c r="E138" s="11" t="str">
        <f>IFERROR(__xludf.DUMMYFUNCTION("""COMPUTED_VALUE"""),"CORPORATE")</f>
        <v>CORPORATE</v>
      </c>
      <c r="F138" s="11" t="str">
        <f>IFERROR(__xludf.DUMMYFUNCTION("""COMPUTED_VALUE"""),"Category Page")</f>
        <v>Category Page</v>
      </c>
      <c r="G138" s="11" t="b">
        <f>IFERROR(__xludf.DUMMYFUNCTION("""COMPUTED_VALUE"""),FALSE)</f>
        <v>0</v>
      </c>
      <c r="H138" s="11" t="str">
        <f>IFERROR(__xludf.DUMMYFUNCTION("""COMPUTED_VALUE"""),"MONSOON, Claneo, morefire, WeLikeWeb GmbH, Peak Ace, eMinded GmbH")</f>
        <v>MONSOON, Claneo, morefire, WeLikeWeb GmbH, Peak Ace, eMinded GmbH</v>
      </c>
      <c r="I138" s="11">
        <f>IFERROR(__xludf.DUMMYFUNCTION("""COMPUTED_VALUE"""),3.0)</f>
        <v>3</v>
      </c>
      <c r="J138" s="11">
        <f>IFERROR(__xludf.DUMMYFUNCTION("""COMPUTED_VALUE"""),0.0)</f>
        <v>0</v>
      </c>
      <c r="K138" s="11">
        <f>IFERROR(__xludf.DUMMYFUNCTION("""COMPUTED_VALUE"""),0.0)</f>
        <v>0</v>
      </c>
    </row>
    <row r="139" ht="15.75" customHeight="1">
      <c r="A139" s="8" t="str">
        <f>IFERROR(__xludf.DUMMYFUNCTION("""COMPUTED_VALUE"""),"https://www.deloitte.com/de/de/services/consulting/services/ki-transformation.html")</f>
        <v>https://www.deloitte.com/de/de/services/consulting/services/ki-transformation.html</v>
      </c>
      <c r="B139" s="11" t="str">
        <f>IFERROR(__xludf.DUMMYFUNCTION("""COMPUTED_VALUE"""),"KI-Transformation holistisch gestalten | Deloitte Deutschland")</f>
        <v>KI-Transformation holistisch gestalten | Deloitte Deutschland</v>
      </c>
      <c r="C139" s="8" t="str">
        <f>IFERROR(__xludf.DUMMYFUNCTION("""COMPUTED_VALUE"""),"deloitte.com")</f>
        <v>deloitte.com</v>
      </c>
      <c r="D139" s="11" t="str">
        <f>IFERROR(__xludf.DUMMYFUNCTION("""COMPUTED_VALUE"""),"CATEGORY_PAGE")</f>
        <v>CATEGORY_PAGE</v>
      </c>
      <c r="E139" s="11" t="str">
        <f>IFERROR(__xludf.DUMMYFUNCTION("""COMPUTED_VALUE"""),"CORPORATE")</f>
        <v>CORPORATE</v>
      </c>
      <c r="F139" s="11" t="str">
        <f>IFERROR(__xludf.DUMMYFUNCTION("""COMPUTED_VALUE"""),"Category Page")</f>
        <v>Category Page</v>
      </c>
      <c r="G139" s="11" t="b">
        <f>IFERROR(__xludf.DUMMYFUNCTION("""COMPUTED_VALUE"""),FALSE)</f>
        <v>0</v>
      </c>
      <c r="H139" s="11"/>
      <c r="I139" s="11">
        <f>IFERROR(__xludf.DUMMYFUNCTION("""COMPUTED_VALUE"""),3.0)</f>
        <v>3</v>
      </c>
      <c r="J139" s="11">
        <f>IFERROR(__xludf.DUMMYFUNCTION("""COMPUTED_VALUE"""),0.0)</f>
        <v>0</v>
      </c>
      <c r="K139" s="11">
        <f>IFERROR(__xludf.DUMMYFUNCTION("""COMPUTED_VALUE"""),1.67)</f>
        <v>1.67</v>
      </c>
    </row>
    <row r="140" ht="15.75" customHeight="1">
      <c r="A140" s="8" t="str">
        <f>IFERROR(__xludf.DUMMYFUNCTION("""COMPUTED_VALUE"""),"https://marketingplatform.google.com/about/partners/?authuser=1")</f>
        <v>https://marketingplatform.google.com/about/partners/?authuser=1</v>
      </c>
      <c r="B140" s="11" t="str">
        <f>IFERROR(__xludf.DUMMYFUNCTION("""COMPUTED_VALUE"""),"Meet Your New Marketing Partner - Google Marketing Platform Partners")</f>
        <v>Meet Your New Marketing Partner - Google Marketing Platform Partners</v>
      </c>
      <c r="C140" s="8" t="str">
        <f>IFERROR(__xludf.DUMMYFUNCTION("""COMPUTED_VALUE"""),"google.com")</f>
        <v>google.com</v>
      </c>
      <c r="D140" s="11" t="str">
        <f>IFERROR(__xludf.DUMMYFUNCTION("""COMPUTED_VALUE"""),"CATEGORY_PAGE")</f>
        <v>CATEGORY_PAGE</v>
      </c>
      <c r="E140" s="11" t="str">
        <f>IFERROR(__xludf.DUMMYFUNCTION("""COMPUTED_VALUE"""),"OTHER")</f>
        <v>OTHER</v>
      </c>
      <c r="F140" s="11" t="str">
        <f>IFERROR(__xludf.DUMMYFUNCTION("""COMPUTED_VALUE"""),"Category Page")</f>
        <v>Category Page</v>
      </c>
      <c r="G140" s="11" t="b">
        <f>IFERROR(__xludf.DUMMYFUNCTION("""COMPUTED_VALUE"""),FALSE)</f>
        <v>0</v>
      </c>
      <c r="H140" s="11"/>
      <c r="I140" s="11">
        <f>IFERROR(__xludf.DUMMYFUNCTION("""COMPUTED_VALUE"""),3.0)</f>
        <v>3</v>
      </c>
      <c r="J140" s="11">
        <f>IFERROR(__xludf.DUMMYFUNCTION("""COMPUTED_VALUE"""),0.0)</f>
        <v>0</v>
      </c>
      <c r="K140" s="11">
        <f>IFERROR(__xludf.DUMMYFUNCTION("""COMPUTED_VALUE"""),0.67)</f>
        <v>0.67</v>
      </c>
    </row>
    <row r="141" ht="15.75" customHeight="1">
      <c r="A141" s="8" t="str">
        <f>IFERROR(__xludf.DUMMYFUNCTION("""COMPUTED_VALUE"""),"https://omr.com/en/reviews/service-category/performance-marketing-agenturen/frankfurt-am-main-82cbde3b-e695-4572-b23f-a50592fba3d4")</f>
        <v>https://omr.com/en/reviews/service-category/performance-marketing-agenturen/frankfurt-am-main-82cbde3b-e695-4572-b23f-a50592fba3d4</v>
      </c>
      <c r="B141" s="11" t="str">
        <f>IFERROR(__xludf.DUMMYFUNCTION("""COMPUTED_VALUE"""),"Performance Marketing Agencies Compared | OMR Reviews")</f>
        <v>Performance Marketing Agencies Compared | OMR Reviews</v>
      </c>
      <c r="C141" s="8" t="str">
        <f>IFERROR(__xludf.DUMMYFUNCTION("""COMPUTED_VALUE"""),"omr.com")</f>
        <v>omr.com</v>
      </c>
      <c r="D141" s="11" t="str">
        <f>IFERROR(__xludf.DUMMYFUNCTION("""COMPUTED_VALUE"""),"CATEGORY_PAGE")</f>
        <v>CATEGORY_PAGE</v>
      </c>
      <c r="E141" s="11" t="str">
        <f>IFERROR(__xludf.DUMMYFUNCTION("""COMPUTED_VALUE"""),"OTHER")</f>
        <v>OTHER</v>
      </c>
      <c r="F141" s="11" t="str">
        <f>IFERROR(__xludf.DUMMYFUNCTION("""COMPUTED_VALUE"""),"Category Page")</f>
        <v>Category Page</v>
      </c>
      <c r="G141" s="11" t="b">
        <f>IFERROR(__xludf.DUMMYFUNCTION("""COMPUTED_VALUE"""),FALSE)</f>
        <v>0</v>
      </c>
      <c r="H141" s="11" t="str">
        <f>IFERROR(__xludf.DUMMYFUNCTION("""COMPUTED_VALUE"""),"KlickPiloten")</f>
        <v>KlickPiloten</v>
      </c>
      <c r="I141" s="11">
        <f>IFERROR(__xludf.DUMMYFUNCTION("""COMPUTED_VALUE"""),3.0)</f>
        <v>3</v>
      </c>
      <c r="J141" s="11">
        <f>IFERROR(__xludf.DUMMYFUNCTION("""COMPUTED_VALUE"""),0.0)</f>
        <v>0</v>
      </c>
      <c r="K141" s="11">
        <f>IFERROR(__xludf.DUMMYFUNCTION("""COMPUTED_VALUE"""),0.0)</f>
        <v>0</v>
      </c>
    </row>
    <row r="142" ht="15.75" customHeight="1">
      <c r="A142" s="8" t="str">
        <f>IFERROR(__xludf.DUMMYFUNCTION("""COMPUTED_VALUE"""),"https://www.omt.de/agentur-finden/google-agentur/")</f>
        <v>https://www.omt.de/agentur-finden/google-agentur/</v>
      </c>
      <c r="B142" s="11" t="str">
        <f>IFERROR(__xludf.DUMMYFUNCTION("""COMPUTED_VALUE"""),"Der OMT-Agenturfinder: Finde die passende Google Agentur")</f>
        <v>Der OMT-Agenturfinder: Finde die passende Google Agentur</v>
      </c>
      <c r="C142" s="8" t="str">
        <f>IFERROR(__xludf.DUMMYFUNCTION("""COMPUTED_VALUE"""),"omt.de")</f>
        <v>omt.de</v>
      </c>
      <c r="D142" s="11" t="str">
        <f>IFERROR(__xludf.DUMMYFUNCTION("""COMPUTED_VALUE"""),"CATEGORY_PAGE")</f>
        <v>CATEGORY_PAGE</v>
      </c>
      <c r="E142" s="11" t="str">
        <f>IFERROR(__xludf.DUMMYFUNCTION("""COMPUTED_VALUE"""),"OTHER")</f>
        <v>OTHER</v>
      </c>
      <c r="F142" s="11" t="str">
        <f>IFERROR(__xludf.DUMMYFUNCTION("""COMPUTED_VALUE"""),"Category Page")</f>
        <v>Category Page</v>
      </c>
      <c r="G142" s="11" t="b">
        <f>IFERROR(__xludf.DUMMYFUNCTION("""COMPUTED_VALUE"""),FALSE)</f>
        <v>0</v>
      </c>
      <c r="H142" s="11" t="str">
        <f>IFERROR(__xludf.DUMMYFUNCTION("""COMPUTED_VALUE"""),"KlickPiloten")</f>
        <v>KlickPiloten</v>
      </c>
      <c r="I142" s="11">
        <f>IFERROR(__xludf.DUMMYFUNCTION("""COMPUTED_VALUE"""),3.0)</f>
        <v>3</v>
      </c>
      <c r="J142" s="11">
        <f>IFERROR(__xludf.DUMMYFUNCTION("""COMPUTED_VALUE"""),0.0)</f>
        <v>0</v>
      </c>
      <c r="K142" s="11">
        <f>IFERROR(__xludf.DUMMYFUNCTION("""COMPUTED_VALUE"""),0.0)</f>
        <v>0</v>
      </c>
    </row>
    <row r="143" ht="15.75" customHeight="1">
      <c r="A143" s="8" t="str">
        <f>IFERROR(__xludf.DUMMYFUNCTION("""COMPUTED_VALUE"""),"https://www.omt.de/agentur-finden/ki-agentur/")</f>
        <v>https://www.omt.de/agentur-finden/ki-agentur/</v>
      </c>
      <c r="B143" s="11" t="str">
        <f>IFERROR(__xludf.DUMMYFUNCTION("""COMPUTED_VALUE"""),"Der OMT-Agenturfinder: Finde die passende KI Agentur")</f>
        <v>Der OMT-Agenturfinder: Finde die passende KI Agentur</v>
      </c>
      <c r="C143" s="8" t="str">
        <f>IFERROR(__xludf.DUMMYFUNCTION("""COMPUTED_VALUE"""),"omt.de")</f>
        <v>omt.de</v>
      </c>
      <c r="D143" s="11" t="str">
        <f>IFERROR(__xludf.DUMMYFUNCTION("""COMPUTED_VALUE"""),"CATEGORY_PAGE")</f>
        <v>CATEGORY_PAGE</v>
      </c>
      <c r="E143" s="11" t="str">
        <f>IFERROR(__xludf.DUMMYFUNCTION("""COMPUTED_VALUE"""),"OTHER")</f>
        <v>OTHER</v>
      </c>
      <c r="F143" s="11" t="str">
        <f>IFERROR(__xludf.DUMMYFUNCTION("""COMPUTED_VALUE"""),"Category Page")</f>
        <v>Category Page</v>
      </c>
      <c r="G143" s="11" t="b">
        <f>IFERROR(__xludf.DUMMYFUNCTION("""COMPUTED_VALUE"""),FALSE)</f>
        <v>0</v>
      </c>
      <c r="H143" s="11" t="str">
        <f>IFERROR(__xludf.DUMMYFUNCTION("""COMPUTED_VALUE"""),"KlickPiloten, eMinded GmbH, Haus")</f>
        <v>KlickPiloten, eMinded GmbH, Haus</v>
      </c>
      <c r="I143" s="11">
        <f>IFERROR(__xludf.DUMMYFUNCTION("""COMPUTED_VALUE"""),3.0)</f>
        <v>3</v>
      </c>
      <c r="J143" s="11">
        <f>IFERROR(__xludf.DUMMYFUNCTION("""COMPUTED_VALUE"""),0.0)</f>
        <v>0</v>
      </c>
      <c r="K143" s="11">
        <f>IFERROR(__xludf.DUMMYFUNCTION("""COMPUTED_VALUE"""),0.0)</f>
        <v>0</v>
      </c>
    </row>
    <row r="144" ht="15.75" customHeight="1">
      <c r="A144" s="8" t="str">
        <f>IFERROR(__xludf.DUMMYFUNCTION("""COMPUTED_VALUE"""),"https://www.oneclub.org/awards/adcawards/-archive/agency/2024/38/all/2/208")</f>
        <v>https://www.oneclub.org/awards/adcawards/-archive/agency/2024/38/all/2/208</v>
      </c>
      <c r="B144" s="11" t="str">
        <f>IFERROR(__xludf.DUMMYFUNCTION("""COMPUTED_VALUE"""),"ADC Awards | Agency Rankings | 2024 | Advertising | Europe")</f>
        <v>ADC Awards | Agency Rankings | 2024 | Advertising | Europe</v>
      </c>
      <c r="C144" s="8" t="str">
        <f>IFERROR(__xludf.DUMMYFUNCTION("""COMPUTED_VALUE"""),"oneclub.org")</f>
        <v>oneclub.org</v>
      </c>
      <c r="D144" s="11" t="str">
        <f>IFERROR(__xludf.DUMMYFUNCTION("""COMPUTED_VALUE"""),"CATEGORY_PAGE")</f>
        <v>CATEGORY_PAGE</v>
      </c>
      <c r="E144" s="11" t="str">
        <f>IFERROR(__xludf.DUMMYFUNCTION("""COMPUTED_VALUE"""),"INSTITUTIONAL")</f>
        <v>INSTITUTIONAL</v>
      </c>
      <c r="F144" s="11" t="str">
        <f>IFERROR(__xludf.DUMMYFUNCTION("""COMPUTED_VALUE"""),"Category Page")</f>
        <v>Category Page</v>
      </c>
      <c r="G144" s="11" t="b">
        <f>IFERROR(__xludf.DUMMYFUNCTION("""COMPUTED_VALUE"""),FALSE)</f>
        <v>0</v>
      </c>
      <c r="H144" s="11" t="str">
        <f>IFERROR(__xludf.DUMMYFUNCTION("""COMPUTED_VALUE"""),"Ogilvy, Dentsu, Havas Media, Jung von Matt")</f>
        <v>Ogilvy, Dentsu, Havas Media, Jung von Matt</v>
      </c>
      <c r="I144" s="11">
        <f>IFERROR(__xludf.DUMMYFUNCTION("""COMPUTED_VALUE"""),3.0)</f>
        <v>3</v>
      </c>
      <c r="J144" s="11">
        <f>IFERROR(__xludf.DUMMYFUNCTION("""COMPUTED_VALUE"""),0.0)</f>
        <v>0</v>
      </c>
      <c r="K144" s="11">
        <f>IFERROR(__xludf.DUMMYFUNCTION("""COMPUTED_VALUE"""),0.0)</f>
        <v>0</v>
      </c>
    </row>
    <row r="145" ht="15.75" customHeight="1">
      <c r="A145" s="8" t="str">
        <f>IFERROR(__xludf.DUMMYFUNCTION("""COMPUTED_VALUE"""),"https://www.sem-deutschland.de/seo-glossar/generative-engine-optimierung-agentur-llmo-agentur/")</f>
        <v>https://www.sem-deutschland.de/seo-glossar/generative-engine-optimierung-agentur-llmo-agentur/</v>
      </c>
      <c r="B145" s="11" t="str">
        <f>IFERROR(__xludf.DUMMYFUNCTION("""COMPUTED_VALUE"""),"Beste GEO-Agentur für Generative Engine Optimierung für 2026")</f>
        <v>Beste GEO-Agentur für Generative Engine Optimierung für 2026</v>
      </c>
      <c r="C145" s="8" t="str">
        <f>IFERROR(__xludf.DUMMYFUNCTION("""COMPUTED_VALUE"""),"sem-deutschland.de")</f>
        <v>sem-deutschland.de</v>
      </c>
      <c r="D145" s="11" t="str">
        <f>IFERROR(__xludf.DUMMYFUNCTION("""COMPUTED_VALUE"""),"CATEGORY_PAGE")</f>
        <v>CATEGORY_PAGE</v>
      </c>
      <c r="E145" s="11" t="str">
        <f>IFERROR(__xludf.DUMMYFUNCTION("""COMPUTED_VALUE"""),"CORPORATE")</f>
        <v>CORPORATE</v>
      </c>
      <c r="F145" s="11" t="str">
        <f>IFERROR(__xludf.DUMMYFUNCTION("""COMPUTED_VALUE"""),"Category Page")</f>
        <v>Category Page</v>
      </c>
      <c r="G145" s="11" t="b">
        <f>IFERROR(__xludf.DUMMYFUNCTION("""COMPUTED_VALUE"""),FALSE)</f>
        <v>0</v>
      </c>
      <c r="H145" s="11" t="str">
        <f>IFERROR(__xludf.DUMMYFUNCTION("""COMPUTED_VALUE"""),"Aufgesang, MaibornWolff")</f>
        <v>Aufgesang, MaibornWolff</v>
      </c>
      <c r="I145" s="11">
        <f>IFERROR(__xludf.DUMMYFUNCTION("""COMPUTED_VALUE"""),3.0)</f>
        <v>3</v>
      </c>
      <c r="J145" s="11">
        <f>IFERROR(__xludf.DUMMYFUNCTION("""COMPUTED_VALUE"""),0.0)</f>
        <v>0</v>
      </c>
      <c r="K145" s="11">
        <f>IFERROR(__xludf.DUMMYFUNCTION("""COMPUTED_VALUE"""),0.67)</f>
        <v>0.67</v>
      </c>
    </row>
    <row r="146" ht="15.75" customHeight="1">
      <c r="A146" s="8" t="str">
        <f>IFERROR(__xludf.DUMMYFUNCTION("""COMPUTED_VALUE"""),"https://www.sortlist.com/i/s/creative/berlin-de")</f>
        <v>https://www.sortlist.com/i/s/creative/berlin-de</v>
      </c>
      <c r="B146" s="11" t="str">
        <f>IFERROR(__xludf.DUMMYFUNCTION("""COMPUTED_VALUE"""),"The 10 Best Creative Agencies in Berlin - 2026 Reviews")</f>
        <v>The 10 Best Creative Agencies in Berlin - 2026 Reviews</v>
      </c>
      <c r="C146" s="8" t="str">
        <f>IFERROR(__xludf.DUMMYFUNCTION("""COMPUTED_VALUE"""),"sortlist.com")</f>
        <v>sortlist.com</v>
      </c>
      <c r="D146" s="11" t="str">
        <f>IFERROR(__xludf.DUMMYFUNCTION("""COMPUTED_VALUE"""),"CATEGORY_PAGE")</f>
        <v>CATEGORY_PAGE</v>
      </c>
      <c r="E146" s="11" t="str">
        <f>IFERROR(__xludf.DUMMYFUNCTION("""COMPUTED_VALUE"""),"CORPORATE")</f>
        <v>CORPORATE</v>
      </c>
      <c r="F146" s="11" t="str">
        <f>IFERROR(__xludf.DUMMYFUNCTION("""COMPUTED_VALUE"""),"Category Page")</f>
        <v>Category Page</v>
      </c>
      <c r="G146" s="11" t="b">
        <f>IFERROR(__xludf.DUMMYFUNCTION("""COMPUTED_VALUE"""),FALSE)</f>
        <v>0</v>
      </c>
      <c r="H146" s="11" t="str">
        <f>IFERROR(__xludf.DUMMYFUNCTION("""COMPUTED_VALUE"""),"PANORAMA3000, Momentum")</f>
        <v>PANORAMA3000, Momentum</v>
      </c>
      <c r="I146" s="11">
        <f>IFERROR(__xludf.DUMMYFUNCTION("""COMPUTED_VALUE"""),3.0)</f>
        <v>3</v>
      </c>
      <c r="J146" s="11">
        <f>IFERROR(__xludf.DUMMYFUNCTION("""COMPUTED_VALUE"""),0.0)</f>
        <v>0</v>
      </c>
      <c r="K146" s="11">
        <f>IFERROR(__xludf.DUMMYFUNCTION("""COMPUTED_VALUE"""),0.0)</f>
        <v>0</v>
      </c>
    </row>
    <row r="147" ht="15.75" customHeight="1">
      <c r="A147" s="8" t="str">
        <f>IFERROR(__xludf.DUMMYFUNCTION("""COMPUTED_VALUE"""),"https://www.sortlist.com/s/display-advertising/munich-by-de")</f>
        <v>https://www.sortlist.com/s/display-advertising/munich-by-de</v>
      </c>
      <c r="B147" s="11" t="str">
        <f>IFERROR(__xludf.DUMMYFUNCTION("""COMPUTED_VALUE"""),"The 10 Best Display Advertising Agencies in Munich - 2026 Reviews")</f>
        <v>The 10 Best Display Advertising Agencies in Munich - 2026 Reviews</v>
      </c>
      <c r="C147" s="8" t="str">
        <f>IFERROR(__xludf.DUMMYFUNCTION("""COMPUTED_VALUE"""),"sortlist.com")</f>
        <v>sortlist.com</v>
      </c>
      <c r="D147" s="11" t="str">
        <f>IFERROR(__xludf.DUMMYFUNCTION("""COMPUTED_VALUE"""),"CATEGORY_PAGE")</f>
        <v>CATEGORY_PAGE</v>
      </c>
      <c r="E147" s="11" t="str">
        <f>IFERROR(__xludf.DUMMYFUNCTION("""COMPUTED_VALUE"""),"CORPORATE")</f>
        <v>CORPORATE</v>
      </c>
      <c r="F147" s="11" t="str">
        <f>IFERROR(__xludf.DUMMYFUNCTION("""COMPUTED_VALUE"""),"Category Page")</f>
        <v>Category Page</v>
      </c>
      <c r="G147" s="11" t="b">
        <f>IFERROR(__xludf.DUMMYFUNCTION("""COMPUTED_VALUE"""),FALSE)</f>
        <v>0</v>
      </c>
      <c r="H147" s="11" t="str">
        <f>IFERROR(__xludf.DUMMYFUNCTION("""COMPUTED_VALUE"""),"Mediacharge, Triple Whale, Northbeam, Dreamdata, MONSOON, Loyamo")</f>
        <v>Mediacharge, Triple Whale, Northbeam, Dreamdata, MONSOON, Loyamo</v>
      </c>
      <c r="I147" s="11">
        <f>IFERROR(__xludf.DUMMYFUNCTION("""COMPUTED_VALUE"""),3.0)</f>
        <v>3</v>
      </c>
      <c r="J147" s="11">
        <f>IFERROR(__xludf.DUMMYFUNCTION("""COMPUTED_VALUE"""),0.0)</f>
        <v>0</v>
      </c>
      <c r="K147" s="11">
        <f>IFERROR(__xludf.DUMMYFUNCTION("""COMPUTED_VALUE"""),0.67)</f>
        <v>0.67</v>
      </c>
    </row>
    <row r="148" ht="15.75" customHeight="1">
      <c r="A148" s="8" t="str">
        <f>IFERROR(__xludf.DUMMYFUNCTION("""COMPUTED_VALUE"""),"https://www.sortlist.com/s/programmatic-advertising/germany-de")</f>
        <v>https://www.sortlist.com/s/programmatic-advertising/germany-de</v>
      </c>
      <c r="B148" s="11" t="str">
        <f>IFERROR(__xludf.DUMMYFUNCTION("""COMPUTED_VALUE"""),"The 10 Best Programmatic Advertising Companies in Germany - 2026 Reviews")</f>
        <v>The 10 Best Programmatic Advertising Companies in Germany - 2026 Reviews</v>
      </c>
      <c r="C148" s="8" t="str">
        <f>IFERROR(__xludf.DUMMYFUNCTION("""COMPUTED_VALUE"""),"sortlist.com")</f>
        <v>sortlist.com</v>
      </c>
      <c r="D148" s="11" t="str">
        <f>IFERROR(__xludf.DUMMYFUNCTION("""COMPUTED_VALUE"""),"CATEGORY_PAGE")</f>
        <v>CATEGORY_PAGE</v>
      </c>
      <c r="E148" s="11" t="str">
        <f>IFERROR(__xludf.DUMMYFUNCTION("""COMPUTED_VALUE"""),"CORPORATE")</f>
        <v>CORPORATE</v>
      </c>
      <c r="F148" s="11" t="str">
        <f>IFERROR(__xludf.DUMMYFUNCTION("""COMPUTED_VALUE"""),"Category Page")</f>
        <v>Category Page</v>
      </c>
      <c r="G148" s="11" t="b">
        <f>IFERROR(__xludf.DUMMYFUNCTION("""COMPUTED_VALUE"""),FALSE)</f>
        <v>0</v>
      </c>
      <c r="H148" s="11" t="str">
        <f>IFERROR(__xludf.DUMMYFUNCTION("""COMPUTED_VALUE"""),"lehof, MONSOON, Triple Whale, Northbeam, Dreamdata, KlickPiloten")</f>
        <v>lehof, MONSOON, Triple Whale, Northbeam, Dreamdata, KlickPiloten</v>
      </c>
      <c r="I148" s="11">
        <f>IFERROR(__xludf.DUMMYFUNCTION("""COMPUTED_VALUE"""),3.0)</f>
        <v>3</v>
      </c>
      <c r="J148" s="11">
        <f>IFERROR(__xludf.DUMMYFUNCTION("""COMPUTED_VALUE"""),0.0)</f>
        <v>0</v>
      </c>
      <c r="K148" s="11">
        <f>IFERROR(__xludf.DUMMYFUNCTION("""COMPUTED_VALUE"""),0.0)</f>
        <v>0</v>
      </c>
    </row>
    <row r="149" ht="15.75" customHeight="1">
      <c r="A149" s="8" t="str">
        <f>IFERROR(__xludf.DUMMYFUNCTION("""COMPUTED_VALUE"""),"https://www.sortlist.de/s/ai-marketing/berlin-de")</f>
        <v>https://www.sortlist.de/s/ai-marketing/berlin-de</v>
      </c>
      <c r="B149" s="11" t="str">
        <f>IFERROR(__xludf.DUMMYFUNCTION("""COMPUTED_VALUE"""),"Unsere 10 Besten AI Marketing Agenturen in Berlin - 2026 Bewertungen")</f>
        <v>Unsere 10 Besten AI Marketing Agenturen in Berlin - 2026 Bewertungen</v>
      </c>
      <c r="C149" s="8" t="str">
        <f>IFERROR(__xludf.DUMMYFUNCTION("""COMPUTED_VALUE"""),"sortlist.de")</f>
        <v>sortlist.de</v>
      </c>
      <c r="D149" s="11" t="str">
        <f>IFERROR(__xludf.DUMMYFUNCTION("""COMPUTED_VALUE"""),"CATEGORY_PAGE")</f>
        <v>CATEGORY_PAGE</v>
      </c>
      <c r="E149" s="11" t="str">
        <f>IFERROR(__xludf.DUMMYFUNCTION("""COMPUTED_VALUE"""),"CORPORATE")</f>
        <v>CORPORATE</v>
      </c>
      <c r="F149" s="11" t="str">
        <f>IFERROR(__xludf.DUMMYFUNCTION("""COMPUTED_VALUE"""),"Category Page")</f>
        <v>Category Page</v>
      </c>
      <c r="G149" s="11" t="b">
        <f>IFERROR(__xludf.DUMMYFUNCTION("""COMPUTED_VALUE"""),FALSE)</f>
        <v>0</v>
      </c>
      <c r="H149" s="11" t="str">
        <f>IFERROR(__xludf.DUMMYFUNCTION("""COMPUTED_VALUE"""),"Pilot")</f>
        <v>Pilot</v>
      </c>
      <c r="I149" s="11">
        <f>IFERROR(__xludf.DUMMYFUNCTION("""COMPUTED_VALUE"""),3.0)</f>
        <v>3</v>
      </c>
      <c r="J149" s="11">
        <f>IFERROR(__xludf.DUMMYFUNCTION("""COMPUTED_VALUE"""),0.0)</f>
        <v>0</v>
      </c>
      <c r="K149" s="11">
        <f>IFERROR(__xludf.DUMMYFUNCTION("""COMPUTED_VALUE"""),0.0)</f>
        <v>0</v>
      </c>
    </row>
    <row r="150" ht="15.75" customHeight="1">
      <c r="A150" s="8" t="str">
        <f>IFERROR(__xludf.DUMMYFUNCTION("""COMPUTED_VALUE"""),"https://www.sortlist.de/s/big-data-marketing/deutschland-de")</f>
        <v>https://www.sortlist.de/s/big-data-marketing/deutschland-de</v>
      </c>
      <c r="B150" s="11" t="str">
        <f>IFERROR(__xludf.DUMMYFUNCTION("""COMPUTED_VALUE"""),"Unsere 10 Besten Big Data Marketing Agenturen in Deutschland - 2026 Bewertungen")</f>
        <v>Unsere 10 Besten Big Data Marketing Agenturen in Deutschland - 2026 Bewertungen</v>
      </c>
      <c r="C150" s="8" t="str">
        <f>IFERROR(__xludf.DUMMYFUNCTION("""COMPUTED_VALUE"""),"sortlist.de")</f>
        <v>sortlist.de</v>
      </c>
      <c r="D150" s="11" t="str">
        <f>IFERROR(__xludf.DUMMYFUNCTION("""COMPUTED_VALUE"""),"CATEGORY_PAGE")</f>
        <v>CATEGORY_PAGE</v>
      </c>
      <c r="E150" s="11" t="str">
        <f>IFERROR(__xludf.DUMMYFUNCTION("""COMPUTED_VALUE"""),"CORPORATE")</f>
        <v>CORPORATE</v>
      </c>
      <c r="F150" s="11" t="str">
        <f>IFERROR(__xludf.DUMMYFUNCTION("""COMPUTED_VALUE"""),"Category Page")</f>
        <v>Category Page</v>
      </c>
      <c r="G150" s="11" t="b">
        <f>IFERROR(__xludf.DUMMYFUNCTION("""COMPUTED_VALUE"""),FALSE)</f>
        <v>0</v>
      </c>
      <c r="H150" s="11" t="str">
        <f>IFERROR(__xludf.DUMMYFUNCTION("""COMPUTED_VALUE"""),"KlickPiloten, morefire, Pilot")</f>
        <v>KlickPiloten, morefire, Pilot</v>
      </c>
      <c r="I150" s="11">
        <f>IFERROR(__xludf.DUMMYFUNCTION("""COMPUTED_VALUE"""),3.0)</f>
        <v>3</v>
      </c>
      <c r="J150" s="11">
        <f>IFERROR(__xludf.DUMMYFUNCTION("""COMPUTED_VALUE"""),0.0)</f>
        <v>0</v>
      </c>
      <c r="K150" s="11">
        <f>IFERROR(__xludf.DUMMYFUNCTION("""COMPUTED_VALUE"""),0.0)</f>
        <v>0</v>
      </c>
    </row>
    <row r="151" ht="15.75" customHeight="1">
      <c r="A151" s="8" t="str">
        <f>IFERROR(__xludf.DUMMYFUNCTION("""COMPUTED_VALUE"""),"https://www.sortlist.de/s/instagram-werbung/deutschland-de")</f>
        <v>https://www.sortlist.de/s/instagram-werbung/deutschland-de</v>
      </c>
      <c r="B151" s="11" t="str">
        <f>IFERROR(__xludf.DUMMYFUNCTION("""COMPUTED_VALUE"""),"Unsere 10 Besten Instagram Werbung Agenturen in Deutschland - 2026 Bewertungen")</f>
        <v>Unsere 10 Besten Instagram Werbung Agenturen in Deutschland - 2026 Bewertungen</v>
      </c>
      <c r="C151" s="8" t="str">
        <f>IFERROR(__xludf.DUMMYFUNCTION("""COMPUTED_VALUE"""),"sortlist.de")</f>
        <v>sortlist.de</v>
      </c>
      <c r="D151" s="11" t="str">
        <f>IFERROR(__xludf.DUMMYFUNCTION("""COMPUTED_VALUE"""),"CATEGORY_PAGE")</f>
        <v>CATEGORY_PAGE</v>
      </c>
      <c r="E151" s="11" t="str">
        <f>IFERROR(__xludf.DUMMYFUNCTION("""COMPUTED_VALUE"""),"CORPORATE")</f>
        <v>CORPORATE</v>
      </c>
      <c r="F151" s="11" t="str">
        <f>IFERROR(__xludf.DUMMYFUNCTION("""COMPUTED_VALUE"""),"Category Page")</f>
        <v>Category Page</v>
      </c>
      <c r="G151" s="11" t="b">
        <f>IFERROR(__xludf.DUMMYFUNCTION("""COMPUTED_VALUE"""),FALSE)</f>
        <v>0</v>
      </c>
      <c r="H151" s="11" t="str">
        <f>IFERROR(__xludf.DUMMYFUNCTION("""COMPUTED_VALUE"""),"KlickPiloten, PANORAMA3000, MONSOON, lehof, Triple Whale, Northbeam, Dreamdata")</f>
        <v>KlickPiloten, PANORAMA3000, MONSOON, lehof, Triple Whale, Northbeam, Dreamdata</v>
      </c>
      <c r="I151" s="11">
        <f>IFERROR(__xludf.DUMMYFUNCTION("""COMPUTED_VALUE"""),3.0)</f>
        <v>3</v>
      </c>
      <c r="J151" s="11">
        <f>IFERROR(__xludf.DUMMYFUNCTION("""COMPUTED_VALUE"""),0.0)</f>
        <v>0</v>
      </c>
      <c r="K151" s="11">
        <f>IFERROR(__xludf.DUMMYFUNCTION("""COMPUTED_VALUE"""),0.0)</f>
        <v>0</v>
      </c>
    </row>
    <row r="152" ht="15.75" customHeight="1">
      <c r="A152" s="8" t="str">
        <f>IFERROR(__xludf.DUMMYFUNCTION("""COMPUTED_VALUE"""),"https://themanifest.com/de/digital/agencies")</f>
        <v>https://themanifest.com/de/digital/agencies</v>
      </c>
      <c r="B152" s="11" t="str">
        <f>IFERROR(__xludf.DUMMYFUNCTION("""COMPUTED_VALUE"""),"Top-Rated Full Service Digital &amp;amp; 360° Online Agencies for eCommerce, Healthcare, FinTech in Germany, Berlin, Munich | Vetted &amp;amp; Reviewed July 2026 | The Manifest")</f>
        <v>Top-Rated Full Service Digital &amp;amp; 360° Online Agencies for eCommerce, Healthcare, FinTech in Germany, Berlin, Munich | Vetted &amp;amp; Reviewed July 2026 | The Manifest</v>
      </c>
      <c r="C152" s="8" t="str">
        <f>IFERROR(__xludf.DUMMYFUNCTION("""COMPUTED_VALUE"""),"themanifest.com")</f>
        <v>themanifest.com</v>
      </c>
      <c r="D152" s="11" t="str">
        <f>IFERROR(__xludf.DUMMYFUNCTION("""COMPUTED_VALUE"""),"CATEGORY_PAGE")</f>
        <v>CATEGORY_PAGE</v>
      </c>
      <c r="E152" s="11" t="str">
        <f>IFERROR(__xludf.DUMMYFUNCTION("""COMPUTED_VALUE"""),"REFERENCE")</f>
        <v>REFERENCE</v>
      </c>
      <c r="F152" s="11" t="str">
        <f>IFERROR(__xludf.DUMMYFUNCTION("""COMPUTED_VALUE"""),"Category Page")</f>
        <v>Category Page</v>
      </c>
      <c r="G152" s="11" t="b">
        <f>IFERROR(__xludf.DUMMYFUNCTION("""COMPUTED_VALUE"""),FALSE)</f>
        <v>0</v>
      </c>
      <c r="H152" s="11" t="str">
        <f>IFERROR(__xludf.DUMMYFUNCTION("""COMPUTED_VALUE"""),"HY.AM STUDIOS, DREIKON, Digitalyze, morefire")</f>
        <v>HY.AM STUDIOS, DREIKON, Digitalyze, morefire</v>
      </c>
      <c r="I152" s="11">
        <f>IFERROR(__xludf.DUMMYFUNCTION("""COMPUTED_VALUE"""),3.0)</f>
        <v>3</v>
      </c>
      <c r="J152" s="11">
        <f>IFERROR(__xludf.DUMMYFUNCTION("""COMPUTED_VALUE"""),0.0)</f>
        <v>0</v>
      </c>
      <c r="K152" s="11">
        <f>IFERROR(__xludf.DUMMYFUNCTION("""COMPUTED_VALUE"""),0.0)</f>
        <v>0</v>
      </c>
    </row>
    <row r="153" ht="15.75" customHeight="1">
      <c r="A153" s="8" t="str">
        <f>IFERROR(__xludf.DUMMYFUNCTION("""COMPUTED_VALUE"""),"https://www.ziya.de/en/locations/berlin")</f>
        <v>https://www.ziya.de/en/locations/berlin</v>
      </c>
      <c r="B153" s="11" t="str">
        <f>IFERROR(__xludf.DUMMYFUNCTION("""COMPUTED_VALUE"""),"AI Agency for Berlin – Innovative Solutions for Your Digital Future")</f>
        <v>AI Agency for Berlin – Innovative Solutions for Your Digital Future</v>
      </c>
      <c r="C153" s="8" t="str">
        <f>IFERROR(__xludf.DUMMYFUNCTION("""COMPUTED_VALUE"""),"ziya.de")</f>
        <v>ziya.de</v>
      </c>
      <c r="D153" s="11" t="str">
        <f>IFERROR(__xludf.DUMMYFUNCTION("""COMPUTED_VALUE"""),"CATEGORY_PAGE")</f>
        <v>CATEGORY_PAGE</v>
      </c>
      <c r="E153" s="11" t="str">
        <f>IFERROR(__xludf.DUMMYFUNCTION("""COMPUTED_VALUE"""),"OTHER")</f>
        <v>OTHER</v>
      </c>
      <c r="F153" s="11" t="str">
        <f>IFERROR(__xludf.DUMMYFUNCTION("""COMPUTED_VALUE"""),"Category Page")</f>
        <v>Category Page</v>
      </c>
      <c r="G153" s="11" t="b">
        <f>IFERROR(__xludf.DUMMYFUNCTION("""COMPUTED_VALUE"""),FALSE)</f>
        <v>0</v>
      </c>
      <c r="H153" s="11" t="str">
        <f>IFERROR(__xludf.DUMMYFUNCTION("""COMPUTED_VALUE"""),"Measured")</f>
        <v>Measured</v>
      </c>
      <c r="I153" s="11">
        <f>IFERROR(__xludf.DUMMYFUNCTION("""COMPUTED_VALUE"""),3.0)</f>
        <v>3</v>
      </c>
      <c r="J153" s="11">
        <f>IFERROR(__xludf.DUMMYFUNCTION("""COMPUTED_VALUE"""),0.0)</f>
        <v>0</v>
      </c>
      <c r="K153" s="11">
        <f>IFERROR(__xludf.DUMMYFUNCTION("""COMPUTED_VALUE"""),1.33)</f>
        <v>1.33</v>
      </c>
    </row>
    <row r="154" ht="15.75" customHeight="1">
      <c r="A154" s="8" t="str">
        <f>IFERROR(__xludf.DUMMYFUNCTION("""COMPUTED_VALUE"""),"https://agencies.semrush.com/list/analytics-data-science/germany/enterprise-business/")</f>
        <v>https://agencies.semrush.com/list/analytics-data-science/germany/enterprise-business/</v>
      </c>
      <c r="B154" s="11" t="str">
        <f>IFERROR(__xludf.DUMMYFUNCTION("""COMPUTED_VALUE"""),"Best Data Analytics Services for Enterprise Business in Germany 2026 | Semrush")</f>
        <v>Best Data Analytics Services for Enterprise Business in Germany 2026 | Semrush</v>
      </c>
      <c r="C154" s="8" t="str">
        <f>IFERROR(__xludf.DUMMYFUNCTION("""COMPUTED_VALUE"""),"semrush.com")</f>
        <v>semrush.com</v>
      </c>
      <c r="D154" s="11" t="str">
        <f>IFERROR(__xludf.DUMMYFUNCTION("""COMPUTED_VALUE"""),"CATEGORY_PAGE")</f>
        <v>CATEGORY_PAGE</v>
      </c>
      <c r="E154" s="11" t="str">
        <f>IFERROR(__xludf.DUMMYFUNCTION("""COMPUTED_VALUE"""),"CORPORATE")</f>
        <v>CORPORATE</v>
      </c>
      <c r="F154" s="11" t="str">
        <f>IFERROR(__xludf.DUMMYFUNCTION("""COMPUTED_VALUE"""),"Category Page")</f>
        <v>Category Page</v>
      </c>
      <c r="G154" s="11" t="b">
        <f>IFERROR(__xludf.DUMMYFUNCTION("""COMPUTED_VALUE"""),FALSE)</f>
        <v>0</v>
      </c>
      <c r="H154" s="11" t="str">
        <f>IFERROR(__xludf.DUMMYFUNCTION("""COMPUTED_VALUE"""),"HECHT INS GEFECHT, Baseplus DIGITAL MEDIA GmbH, morefire, Mediaplus Performance, KlickPiloten")</f>
        <v>HECHT INS GEFECHT, Baseplus DIGITAL MEDIA GmbH, morefire, Mediaplus Performance, KlickPiloten</v>
      </c>
      <c r="I154" s="11">
        <f>IFERROR(__xludf.DUMMYFUNCTION("""COMPUTED_VALUE"""),2.0)</f>
        <v>2</v>
      </c>
      <c r="J154" s="11">
        <f>IFERROR(__xludf.DUMMYFUNCTION("""COMPUTED_VALUE"""),0.0)</f>
        <v>0</v>
      </c>
      <c r="K154" s="11">
        <f>IFERROR(__xludf.DUMMYFUNCTION("""COMPUTED_VALUE"""),0.0)</f>
        <v>0</v>
      </c>
    </row>
    <row r="155" ht="15.75" customHeight="1">
      <c r="A155" s="8" t="str">
        <f>IFERROR(__xludf.DUMMYFUNCTION("""COMPUTED_VALUE"""),"https://agencyvista.com/lists/google-marketing-platform-sales-partners/page/2/")</f>
        <v>https://agencyvista.com/lists/google-marketing-platform-sales-partners/page/2/</v>
      </c>
      <c r="B155" s="11" t="str">
        <f>IFERROR(__xludf.DUMMYFUNCTION("""COMPUTED_VALUE"""),"Google Marketing Platform Sales Partners. May 2025 Reviews. | Agency Vista")</f>
        <v>Google Marketing Platform Sales Partners. May 2025 Reviews. | Agency Vista</v>
      </c>
      <c r="C155" s="8" t="str">
        <f>IFERROR(__xludf.DUMMYFUNCTION("""COMPUTED_VALUE"""),"agencyvista.com")</f>
        <v>agencyvista.com</v>
      </c>
      <c r="D155" s="11" t="str">
        <f>IFERROR(__xludf.DUMMYFUNCTION("""COMPUTED_VALUE"""),"CATEGORY_PAGE")</f>
        <v>CATEGORY_PAGE</v>
      </c>
      <c r="E155" s="11" t="str">
        <f>IFERROR(__xludf.DUMMYFUNCTION("""COMPUTED_VALUE"""),"CORPORATE")</f>
        <v>CORPORATE</v>
      </c>
      <c r="F155" s="11" t="str">
        <f>IFERROR(__xludf.DUMMYFUNCTION("""COMPUTED_VALUE"""),"Category Page")</f>
        <v>Category Page</v>
      </c>
      <c r="G155" s="11" t="b">
        <f>IFERROR(__xludf.DUMMYFUNCTION("""COMPUTED_VALUE"""),FALSE)</f>
        <v>0</v>
      </c>
      <c r="H155" s="11" t="str">
        <f>IFERROR(__xludf.DUMMYFUNCTION("""COMPUTED_VALUE"""),"iProspect, GroupM, OMD, Dentsu, Jellyfish, Deloitte Digital")</f>
        <v>iProspect, GroupM, OMD, Dentsu, Jellyfish, Deloitte Digital</v>
      </c>
      <c r="I155" s="11">
        <f>IFERROR(__xludf.DUMMYFUNCTION("""COMPUTED_VALUE"""),2.0)</f>
        <v>2</v>
      </c>
      <c r="J155" s="11">
        <f>IFERROR(__xludf.DUMMYFUNCTION("""COMPUTED_VALUE"""),0.0)</f>
        <v>0</v>
      </c>
      <c r="K155" s="11">
        <f>IFERROR(__xludf.DUMMYFUNCTION("""COMPUTED_VALUE"""),0.0)</f>
        <v>0</v>
      </c>
    </row>
    <row r="156" ht="15.75" customHeight="1">
      <c r="A156" s="8" t="str">
        <f>IFERROR(__xludf.DUMMYFUNCTION("""COMPUTED_VALUE"""),"https://www.capterra.com.de/directory/31081/marketing-attribution/software")</f>
        <v>https://www.capterra.com.de/directory/31081/marketing-attribution/software</v>
      </c>
      <c r="B156" s="11" t="str">
        <f>IFERROR(__xludf.DUMMYFUNCTION("""COMPUTED_VALUE"""),"Marketing Attribution Software Preisvergleich &amp; Top Anbieter - Capterra Deutschland 2026")</f>
        <v>Marketing Attribution Software Preisvergleich &amp; Top Anbieter - Capterra Deutschland 2026</v>
      </c>
      <c r="C156" s="8" t="str">
        <f>IFERROR(__xludf.DUMMYFUNCTION("""COMPUTED_VALUE"""),"com.de")</f>
        <v>com.de</v>
      </c>
      <c r="D156" s="11" t="str">
        <f>IFERROR(__xludf.DUMMYFUNCTION("""COMPUTED_VALUE"""),"CATEGORY_PAGE")</f>
        <v>CATEGORY_PAGE</v>
      </c>
      <c r="E156" s="11" t="str">
        <f>IFERROR(__xludf.DUMMYFUNCTION("""COMPUTED_VALUE"""),"OTHER")</f>
        <v>OTHER</v>
      </c>
      <c r="F156" s="11" t="str">
        <f>IFERROR(__xludf.DUMMYFUNCTION("""COMPUTED_VALUE"""),"Category Page")</f>
        <v>Category Page</v>
      </c>
      <c r="G156" s="11" t="b">
        <f>IFERROR(__xludf.DUMMYFUNCTION("""COMPUTED_VALUE"""),FALSE)</f>
        <v>0</v>
      </c>
      <c r="H156" s="11" t="str">
        <f>IFERROR(__xludf.DUMMYFUNCTION("""COMPUTED_VALUE"""),"Dreamdata")</f>
        <v>Dreamdata</v>
      </c>
      <c r="I156" s="11">
        <f>IFERROR(__xludf.DUMMYFUNCTION("""COMPUTED_VALUE"""),2.0)</f>
        <v>2</v>
      </c>
      <c r="J156" s="11">
        <f>IFERROR(__xludf.DUMMYFUNCTION("""COMPUTED_VALUE"""),0.0)</f>
        <v>0</v>
      </c>
      <c r="K156" s="11">
        <f>IFERROR(__xludf.DUMMYFUNCTION("""COMPUTED_VALUE"""),0.0)</f>
        <v>0</v>
      </c>
    </row>
    <row r="157" ht="15.75" customHeight="1">
      <c r="A157" s="8" t="str">
        <f>IFERROR(__xludf.DUMMYFUNCTION("""COMPUTED_VALUE"""),"https://clutch.co/de/agencies/digital-marketing/ecommerce-industry/berlin")</f>
        <v>https://clutch.co/de/agencies/digital-marketing/ecommerce-industry/berlin</v>
      </c>
      <c r="B157" s="11" t="str">
        <f>IFERROR(__xludf.DUMMYFUNCTION("""COMPUTED_VALUE"""),"Top Digital Marketing Agencies for E-Commerce Businesses in Berlin - Jul 2026 Rankings | Clutch.co")</f>
        <v>Top Digital Marketing Agencies for E-Commerce Businesses in Berlin - Jul 2026 Rankings | Clutch.co</v>
      </c>
      <c r="C157" s="8" t="str">
        <f>IFERROR(__xludf.DUMMYFUNCTION("""COMPUTED_VALUE"""),"clutch.co")</f>
        <v>clutch.co</v>
      </c>
      <c r="D157" s="11" t="str">
        <f>IFERROR(__xludf.DUMMYFUNCTION("""COMPUTED_VALUE"""),"CATEGORY_PAGE")</f>
        <v>CATEGORY_PAGE</v>
      </c>
      <c r="E157" s="11" t="str">
        <f>IFERROR(__xludf.DUMMYFUNCTION("""COMPUTED_VALUE"""),"CORPORATE")</f>
        <v>CORPORATE</v>
      </c>
      <c r="F157" s="11" t="str">
        <f>IFERROR(__xludf.DUMMYFUNCTION("""COMPUTED_VALUE"""),"Category Page")</f>
        <v>Category Page</v>
      </c>
      <c r="G157" s="11" t="b">
        <f>IFERROR(__xludf.DUMMYFUNCTION("""COMPUTED_VALUE"""),FALSE)</f>
        <v>0</v>
      </c>
      <c r="H157" s="11" t="str">
        <f>IFERROR(__xludf.DUMMYFUNCTION("""COMPUTED_VALUE"""),"MONSOON, Mediacharge, REPLUG, Claneo, Admiral Media, HY.AM STUDIOS, Peak Ace, Medialabel")</f>
        <v>MONSOON, Mediacharge, REPLUG, Claneo, Admiral Media, HY.AM STUDIOS, Peak Ace, Medialabel</v>
      </c>
      <c r="I157" s="11">
        <f>IFERROR(__xludf.DUMMYFUNCTION("""COMPUTED_VALUE"""),2.0)</f>
        <v>2</v>
      </c>
      <c r="J157" s="11">
        <f>IFERROR(__xludf.DUMMYFUNCTION("""COMPUTED_VALUE"""),0.0)</f>
        <v>0</v>
      </c>
      <c r="K157" s="11">
        <f>IFERROR(__xludf.DUMMYFUNCTION("""COMPUTED_VALUE"""),1.0)</f>
        <v>1</v>
      </c>
    </row>
    <row r="158" ht="15.75" customHeight="1">
      <c r="A158" s="8" t="str">
        <f>IFERROR(__xludf.DUMMYFUNCTION("""COMPUTED_VALUE"""),"https://clutch.co/de/agencies/digital-marketing/munich")</f>
        <v>https://clutch.co/de/agencies/digital-marketing/munich</v>
      </c>
      <c r="B158" s="11" t="str">
        <f>IFERROR(__xludf.DUMMYFUNCTION("""COMPUTED_VALUE"""),"Top Digital Marketing Agencies in Munich - Jul 2026 Rankings \| Clutch.co")</f>
        <v>Top Digital Marketing Agencies in Munich - Jul 2026 Rankings \| Clutch.co</v>
      </c>
      <c r="C158" s="8" t="str">
        <f>IFERROR(__xludf.DUMMYFUNCTION("""COMPUTED_VALUE"""),"clutch.co")</f>
        <v>clutch.co</v>
      </c>
      <c r="D158" s="11" t="str">
        <f>IFERROR(__xludf.DUMMYFUNCTION("""COMPUTED_VALUE"""),"CATEGORY_PAGE")</f>
        <v>CATEGORY_PAGE</v>
      </c>
      <c r="E158" s="11" t="str">
        <f>IFERROR(__xludf.DUMMYFUNCTION("""COMPUTED_VALUE"""),"CORPORATE")</f>
        <v>CORPORATE</v>
      </c>
      <c r="F158" s="11" t="str">
        <f>IFERROR(__xludf.DUMMYFUNCTION("""COMPUTED_VALUE"""),"Category Page")</f>
        <v>Category Page</v>
      </c>
      <c r="G158" s="11" t="b">
        <f>IFERROR(__xludf.DUMMYFUNCTION("""COMPUTED_VALUE"""),FALSE)</f>
        <v>0</v>
      </c>
      <c r="H158" s="11" t="str">
        <f>IFERROR(__xludf.DUMMYFUNCTION("""COMPUTED_VALUE"""),"MONSOON, Mediacharge, eMinded GmbH, GroupM, WeLikeWeb GmbH")</f>
        <v>MONSOON, Mediacharge, eMinded GmbH, GroupM, WeLikeWeb GmbH</v>
      </c>
      <c r="I158" s="11">
        <f>IFERROR(__xludf.DUMMYFUNCTION("""COMPUTED_VALUE"""),2.0)</f>
        <v>2</v>
      </c>
      <c r="J158" s="11">
        <f>IFERROR(__xludf.DUMMYFUNCTION("""COMPUTED_VALUE"""),0.0)</f>
        <v>0</v>
      </c>
      <c r="K158" s="11">
        <f>IFERROR(__xludf.DUMMYFUNCTION("""COMPUTED_VALUE"""),1.0)</f>
        <v>1</v>
      </c>
    </row>
    <row r="159" ht="15.75" customHeight="1">
      <c r="A159" s="8" t="str">
        <f>IFERROR(__xludf.DUMMYFUNCTION("""COMPUTED_VALUE"""),"https://clutch.co/de/agencies/social-media-marketing/tik-tok")</f>
        <v>https://clutch.co/de/agencies/social-media-marketing/tik-tok</v>
      </c>
      <c r="B159" s="11" t="str">
        <f>IFERROR(__xludf.DUMMYFUNCTION("""COMPUTED_VALUE"""),"Top TikTok Advertising Agencies in Germany - Jul 2026 Rankings | Clutch.co")</f>
        <v>Top TikTok Advertising Agencies in Germany - Jul 2026 Rankings | Clutch.co</v>
      </c>
      <c r="C159" s="8" t="str">
        <f>IFERROR(__xludf.DUMMYFUNCTION("""COMPUTED_VALUE"""),"clutch.co")</f>
        <v>clutch.co</v>
      </c>
      <c r="D159" s="11" t="str">
        <f>IFERROR(__xludf.DUMMYFUNCTION("""COMPUTED_VALUE"""),"CATEGORY_PAGE")</f>
        <v>CATEGORY_PAGE</v>
      </c>
      <c r="E159" s="11" t="str">
        <f>IFERROR(__xludf.DUMMYFUNCTION("""COMPUTED_VALUE"""),"CORPORATE")</f>
        <v>CORPORATE</v>
      </c>
      <c r="F159" s="11" t="str">
        <f>IFERROR(__xludf.DUMMYFUNCTION("""COMPUTED_VALUE"""),"Category Page")</f>
        <v>Category Page</v>
      </c>
      <c r="G159" s="11" t="b">
        <f>IFERROR(__xludf.DUMMYFUNCTION("""COMPUTED_VALUE"""),FALSE)</f>
        <v>0</v>
      </c>
      <c r="H159" s="11" t="str">
        <f>IFERROR(__xludf.DUMMYFUNCTION("""COMPUTED_VALUE"""),"MONSOON, HY.AM STUDIOS, Pulse Advertising, Medialabel")</f>
        <v>MONSOON, HY.AM STUDIOS, Pulse Advertising, Medialabel</v>
      </c>
      <c r="I159" s="11">
        <f>IFERROR(__xludf.DUMMYFUNCTION("""COMPUTED_VALUE"""),2.0)</f>
        <v>2</v>
      </c>
      <c r="J159" s="11">
        <f>IFERROR(__xludf.DUMMYFUNCTION("""COMPUTED_VALUE"""),0.0)</f>
        <v>0</v>
      </c>
      <c r="K159" s="11">
        <f>IFERROR(__xludf.DUMMYFUNCTION("""COMPUTED_VALUE"""),0.0)</f>
        <v>0</v>
      </c>
    </row>
    <row r="160" ht="15.75" customHeight="1">
      <c r="A160" s="8" t="str">
        <f>IFERROR(__xludf.DUMMYFUNCTION("""COMPUTED_VALUE"""),"https://clutch.co/de/it-services/analytics")</f>
        <v>https://clutch.co/de/it-services/analytics</v>
      </c>
      <c r="B160" s="11" t="str">
        <f>IFERROR(__xludf.DUMMYFUNCTION("""COMPUTED_VALUE"""),"Top Big Data Analytics Companies in Germany - Jul 2026 Rankings \| Clutch.co")</f>
        <v>Top Big Data Analytics Companies in Germany - Jul 2026 Rankings \| Clutch.co</v>
      </c>
      <c r="C160" s="8" t="str">
        <f>IFERROR(__xludf.DUMMYFUNCTION("""COMPUTED_VALUE"""),"clutch.co")</f>
        <v>clutch.co</v>
      </c>
      <c r="D160" s="11" t="str">
        <f>IFERROR(__xludf.DUMMYFUNCTION("""COMPUTED_VALUE"""),"CATEGORY_PAGE")</f>
        <v>CATEGORY_PAGE</v>
      </c>
      <c r="E160" s="11" t="str">
        <f>IFERROR(__xludf.DUMMYFUNCTION("""COMPUTED_VALUE"""),"CORPORATE")</f>
        <v>CORPORATE</v>
      </c>
      <c r="F160" s="11" t="str">
        <f>IFERROR(__xludf.DUMMYFUNCTION("""COMPUTED_VALUE"""),"Category Page")</f>
        <v>Category Page</v>
      </c>
      <c r="G160" s="11" t="b">
        <f>IFERROR(__xludf.DUMMYFUNCTION("""COMPUTED_VALUE"""),FALSE)</f>
        <v>0</v>
      </c>
      <c r="H160" s="11"/>
      <c r="I160" s="11">
        <f>IFERROR(__xludf.DUMMYFUNCTION("""COMPUTED_VALUE"""),2.0)</f>
        <v>2</v>
      </c>
      <c r="J160" s="11">
        <f>IFERROR(__xludf.DUMMYFUNCTION("""COMPUTED_VALUE"""),0.0)</f>
        <v>0</v>
      </c>
      <c r="K160" s="11">
        <f>IFERROR(__xludf.DUMMYFUNCTION("""COMPUTED_VALUE"""),1.0)</f>
        <v>1</v>
      </c>
    </row>
    <row r="161" ht="15.75" customHeight="1">
      <c r="A161" s="8" t="str">
        <f>IFERROR(__xludf.DUMMYFUNCTION("""COMPUTED_VALUE"""),"https://digitalagencynetwork.com/agencies/berlin/creative/")</f>
        <v>https://digitalagencynetwork.com/agencies/berlin/creative/</v>
      </c>
      <c r="B161" s="11" t="str">
        <f>IFERROR(__xludf.DUMMYFUNCTION("""COMPUTED_VALUE"""),"Top Creative Agencies in Berlin (2026)")</f>
        <v>Top Creative Agencies in Berlin (2026)</v>
      </c>
      <c r="C161" s="8" t="str">
        <f>IFERROR(__xludf.DUMMYFUNCTION("""COMPUTED_VALUE"""),"digitalagencynetwork.com")</f>
        <v>digitalagencynetwork.com</v>
      </c>
      <c r="D161" s="11" t="str">
        <f>IFERROR(__xludf.DUMMYFUNCTION("""COMPUTED_VALUE"""),"CATEGORY_PAGE")</f>
        <v>CATEGORY_PAGE</v>
      </c>
      <c r="E161" s="11" t="str">
        <f>IFERROR(__xludf.DUMMYFUNCTION("""COMPUTED_VALUE"""),"REFERENCE")</f>
        <v>REFERENCE</v>
      </c>
      <c r="F161" s="11" t="str">
        <f>IFERROR(__xludf.DUMMYFUNCTION("""COMPUTED_VALUE"""),"Category Page")</f>
        <v>Category Page</v>
      </c>
      <c r="G161" s="11" t="b">
        <f>IFERROR(__xludf.DUMMYFUNCTION("""COMPUTED_VALUE"""),FALSE)</f>
        <v>0</v>
      </c>
      <c r="H161" s="11" t="str">
        <f>IFERROR(__xludf.DUMMYFUNCTION("""COMPUTED_VALUE"""),"PANORAMA3000, HY.AM STUDIOS")</f>
        <v>PANORAMA3000, HY.AM STUDIOS</v>
      </c>
      <c r="I161" s="11">
        <f>IFERROR(__xludf.DUMMYFUNCTION("""COMPUTED_VALUE"""),2.0)</f>
        <v>2</v>
      </c>
      <c r="J161" s="11">
        <f>IFERROR(__xludf.DUMMYFUNCTION("""COMPUTED_VALUE"""),0.0)</f>
        <v>0</v>
      </c>
      <c r="K161" s="11">
        <f>IFERROR(__xludf.DUMMYFUNCTION("""COMPUTED_VALUE"""),0.5)</f>
        <v>0.5</v>
      </c>
    </row>
    <row r="162" ht="15.75" customHeight="1">
      <c r="A162" s="8" t="str">
        <f>IFERROR(__xludf.DUMMYFUNCTION("""COMPUTED_VALUE"""),"https://feedbax.ai/performance-marketing")</f>
        <v>https://feedbax.ai/performance-marketing</v>
      </c>
      <c r="B162" s="11" t="str">
        <f>IFERROR(__xludf.DUMMYFUNCTION("""COMPUTED_VALUE"""),"Top 20 Performance Marketing Agencies - 2026 Reviews")</f>
        <v>Top 20 Performance Marketing Agencies - 2026 Reviews</v>
      </c>
      <c r="C162" s="8" t="str">
        <f>IFERROR(__xludf.DUMMYFUNCTION("""COMPUTED_VALUE"""),"feedbax.ai")</f>
        <v>feedbax.ai</v>
      </c>
      <c r="D162" s="11" t="str">
        <f>IFERROR(__xludf.DUMMYFUNCTION("""COMPUTED_VALUE"""),"CATEGORY_PAGE")</f>
        <v>CATEGORY_PAGE</v>
      </c>
      <c r="E162" s="11" t="str">
        <f>IFERROR(__xludf.DUMMYFUNCTION("""COMPUTED_VALUE"""),"UGC")</f>
        <v>UGC</v>
      </c>
      <c r="F162" s="11" t="str">
        <f>IFERROR(__xludf.DUMMYFUNCTION("""COMPUTED_VALUE"""),"Category Page")</f>
        <v>Category Page</v>
      </c>
      <c r="G162" s="11" t="b">
        <f>IFERROR(__xludf.DUMMYFUNCTION("""COMPUTED_VALUE"""),FALSE)</f>
        <v>0</v>
      </c>
      <c r="H162" s="11" t="str">
        <f>IFERROR(__xludf.DUMMYFUNCTION("""COMPUTED_VALUE"""),"PANORAMA3000, KlickPiloten, HECHT INS GEFECHT, DREIKON, morefire, Loyamo, Mediacharge, Smarketer, Suchhelden")</f>
        <v>PANORAMA3000, KlickPiloten, HECHT INS GEFECHT, DREIKON, morefire, Loyamo, Mediacharge, Smarketer, Suchhelden</v>
      </c>
      <c r="I162" s="11">
        <f>IFERROR(__xludf.DUMMYFUNCTION("""COMPUTED_VALUE"""),2.0)</f>
        <v>2</v>
      </c>
      <c r="J162" s="11">
        <f>IFERROR(__xludf.DUMMYFUNCTION("""COMPUTED_VALUE"""),0.0)</f>
        <v>0</v>
      </c>
      <c r="K162" s="11">
        <f>IFERROR(__xludf.DUMMYFUNCTION("""COMPUTED_VALUE"""),0.0)</f>
        <v>0</v>
      </c>
    </row>
    <row r="163" ht="15.75" customHeight="1">
      <c r="A163" s="8" t="str">
        <f>IFERROR(__xludf.DUMMYFUNCTION("""COMPUTED_VALUE"""),"https://www.google.de/intl/de/ads/publisher/partners/work-with-a-partner/")</f>
        <v>https://www.google.de/intl/de/ads/publisher/partners/work-with-a-partner/</v>
      </c>
      <c r="B163" s="11" t="str">
        <f>IFERROR(__xludf.DUMMYFUNCTION("""COMPUTED_VALUE"""),"Mit einem Partner zusammenarbeiten | Zertifizierter Publisher-Partner – Google")</f>
        <v>Mit einem Partner zusammenarbeiten | Zertifizierter Publisher-Partner – Google</v>
      </c>
      <c r="C163" s="8" t="str">
        <f>IFERROR(__xludf.DUMMYFUNCTION("""COMPUTED_VALUE"""),"google.de")</f>
        <v>google.de</v>
      </c>
      <c r="D163" s="11" t="str">
        <f>IFERROR(__xludf.DUMMYFUNCTION("""COMPUTED_VALUE"""),"CATEGORY_PAGE")</f>
        <v>CATEGORY_PAGE</v>
      </c>
      <c r="E163" s="11" t="str">
        <f>IFERROR(__xludf.DUMMYFUNCTION("""COMPUTED_VALUE"""),"CORPORATE")</f>
        <v>CORPORATE</v>
      </c>
      <c r="F163" s="11" t="str">
        <f>IFERROR(__xludf.DUMMYFUNCTION("""COMPUTED_VALUE"""),"Category Page")</f>
        <v>Category Page</v>
      </c>
      <c r="G163" s="11" t="b">
        <f>IFERROR(__xludf.DUMMYFUNCTION("""COMPUTED_VALUE"""),FALSE)</f>
        <v>0</v>
      </c>
      <c r="H163" s="11"/>
      <c r="I163" s="11">
        <f>IFERROR(__xludf.DUMMYFUNCTION("""COMPUTED_VALUE"""),2.0)</f>
        <v>2</v>
      </c>
      <c r="J163" s="11">
        <f>IFERROR(__xludf.DUMMYFUNCTION("""COMPUTED_VALUE"""),0.0)</f>
        <v>0</v>
      </c>
      <c r="K163" s="11">
        <f>IFERROR(__xludf.DUMMYFUNCTION("""COMPUTED_VALUE"""),0.0)</f>
        <v>0</v>
      </c>
    </row>
    <row r="164" ht="15.75" customHeight="1">
      <c r="A164" s="8" t="str">
        <f>IFERROR(__xludf.DUMMYFUNCTION("""COMPUTED_VALUE"""),"https://www.google.de/intl/en/ads/publisher/partners/find-a-partner/")</f>
        <v>https://www.google.de/intl/en/ads/publisher/partners/find-a-partner/</v>
      </c>
      <c r="B164" s="11"/>
      <c r="C164" s="8" t="str">
        <f>IFERROR(__xludf.DUMMYFUNCTION("""COMPUTED_VALUE"""),"google.de")</f>
        <v>google.de</v>
      </c>
      <c r="D164" s="11" t="str">
        <f>IFERROR(__xludf.DUMMYFUNCTION("""COMPUTED_VALUE"""),"CATEGORY_PAGE")</f>
        <v>CATEGORY_PAGE</v>
      </c>
      <c r="E164" s="11" t="str">
        <f>IFERROR(__xludf.DUMMYFUNCTION("""COMPUTED_VALUE"""),"CORPORATE")</f>
        <v>CORPORATE</v>
      </c>
      <c r="F164" s="11" t="str">
        <f>IFERROR(__xludf.DUMMYFUNCTION("""COMPUTED_VALUE"""),"Category Page")</f>
        <v>Category Page</v>
      </c>
      <c r="G164" s="11" t="b">
        <f>IFERROR(__xludf.DUMMYFUNCTION("""COMPUTED_VALUE"""),FALSE)</f>
        <v>0</v>
      </c>
      <c r="H164" s="11"/>
      <c r="I164" s="11">
        <f>IFERROR(__xludf.DUMMYFUNCTION("""COMPUTED_VALUE"""),2.0)</f>
        <v>2</v>
      </c>
      <c r="J164" s="11">
        <f>IFERROR(__xludf.DUMMYFUNCTION("""COMPUTED_VALUE"""),0.0)</f>
        <v>0</v>
      </c>
      <c r="K164" s="11">
        <f>IFERROR(__xludf.DUMMYFUNCTION("""COMPUTED_VALUE"""),0.0)</f>
        <v>0</v>
      </c>
    </row>
    <row r="165" ht="15.75" customHeight="1">
      <c r="A165" s="8" t="str">
        <f>IFERROR(__xludf.DUMMYFUNCTION("""COMPUTED_VALUE"""),"https://omr.com/de/reviews/service-category/data-analytics-beratung")</f>
        <v>https://omr.com/de/reviews/service-category/data-analytics-beratung</v>
      </c>
      <c r="B165" s="11" t="str">
        <f>IFERROR(__xludf.DUMMYFUNCTION("""COMPUTED_VALUE"""),"Data Analytics Beratung | Strategien, Vorteile &amp;amp; Anbieter im Vergleich")</f>
        <v>Data Analytics Beratung | Strategien, Vorteile &amp;amp; Anbieter im Vergleich</v>
      </c>
      <c r="C165" s="8" t="str">
        <f>IFERROR(__xludf.DUMMYFUNCTION("""COMPUTED_VALUE"""),"omr.com")</f>
        <v>omr.com</v>
      </c>
      <c r="D165" s="11" t="str">
        <f>IFERROR(__xludf.DUMMYFUNCTION("""COMPUTED_VALUE"""),"CATEGORY_PAGE")</f>
        <v>CATEGORY_PAGE</v>
      </c>
      <c r="E165" s="11" t="str">
        <f>IFERROR(__xludf.DUMMYFUNCTION("""COMPUTED_VALUE"""),"OTHER")</f>
        <v>OTHER</v>
      </c>
      <c r="F165" s="11" t="str">
        <f>IFERROR(__xludf.DUMMYFUNCTION("""COMPUTED_VALUE"""),"Category Page")</f>
        <v>Category Page</v>
      </c>
      <c r="G165" s="11" t="b">
        <f>IFERROR(__xludf.DUMMYFUNCTION("""COMPUTED_VALUE"""),FALSE)</f>
        <v>0</v>
      </c>
      <c r="H165" s="11" t="str">
        <f>IFERROR(__xludf.DUMMYFUNCTION("""COMPUTED_VALUE"""),"Smarketer, FELD M")</f>
        <v>Smarketer, FELD M</v>
      </c>
      <c r="I165" s="11">
        <f>IFERROR(__xludf.DUMMYFUNCTION("""COMPUTED_VALUE"""),2.0)</f>
        <v>2</v>
      </c>
      <c r="J165" s="11">
        <f>IFERROR(__xludf.DUMMYFUNCTION("""COMPUTED_VALUE"""),0.0)</f>
        <v>0</v>
      </c>
      <c r="K165" s="11">
        <f>IFERROR(__xludf.DUMMYFUNCTION("""COMPUTED_VALUE"""),0.0)</f>
        <v>0</v>
      </c>
    </row>
    <row r="166" ht="15.75" customHeight="1">
      <c r="A166" s="8" t="str">
        <f>IFERROR(__xludf.DUMMYFUNCTION("""COMPUTED_VALUE"""),"https://omr.com/en/reviews/service-category/google-ads-agencies")</f>
        <v>https://omr.com/en/reviews/service-category/google-ads-agencies</v>
      </c>
      <c r="B166" s="11" t="str">
        <f>IFERROR(__xludf.DUMMYFUNCTION("""COMPUTED_VALUE"""),"Google Ads Agencies Compared | OMR Reviews")</f>
        <v>Google Ads Agencies Compared | OMR Reviews</v>
      </c>
      <c r="C166" s="8" t="str">
        <f>IFERROR(__xludf.DUMMYFUNCTION("""COMPUTED_VALUE"""),"omr.com")</f>
        <v>omr.com</v>
      </c>
      <c r="D166" s="11" t="str">
        <f>IFERROR(__xludf.DUMMYFUNCTION("""COMPUTED_VALUE"""),"CATEGORY_PAGE")</f>
        <v>CATEGORY_PAGE</v>
      </c>
      <c r="E166" s="11" t="str">
        <f>IFERROR(__xludf.DUMMYFUNCTION("""COMPUTED_VALUE"""),"OTHER")</f>
        <v>OTHER</v>
      </c>
      <c r="F166" s="11" t="str">
        <f>IFERROR(__xludf.DUMMYFUNCTION("""COMPUTED_VALUE"""),"Category Page")</f>
        <v>Category Page</v>
      </c>
      <c r="G166" s="11" t="b">
        <f>IFERROR(__xludf.DUMMYFUNCTION("""COMPUTED_VALUE"""),FALSE)</f>
        <v>0</v>
      </c>
      <c r="H166" s="11" t="str">
        <f>IFERROR(__xludf.DUMMYFUNCTION("""COMPUTED_VALUE"""),"Löwenstark, Smarketer, Jung von Matt, DREIKON")</f>
        <v>Löwenstark, Smarketer, Jung von Matt, DREIKON</v>
      </c>
      <c r="I166" s="11">
        <f>IFERROR(__xludf.DUMMYFUNCTION("""COMPUTED_VALUE"""),2.0)</f>
        <v>2</v>
      </c>
      <c r="J166" s="11">
        <f>IFERROR(__xludf.DUMMYFUNCTION("""COMPUTED_VALUE"""),0.0)</f>
        <v>0</v>
      </c>
      <c r="K166" s="11">
        <f>IFERROR(__xludf.DUMMYFUNCTION("""COMPUTED_VALUE"""),0.0)</f>
        <v>0</v>
      </c>
    </row>
    <row r="167" ht="15.75" customHeight="1">
      <c r="A167" s="8" t="str">
        <f>IFERROR(__xludf.DUMMYFUNCTION("""COMPUTED_VALUE"""),"https://scopicstudios.com/blog/best-incrementality-testing-tools-2026/")</f>
        <v>https://scopicstudios.com/blog/best-incrementality-testing-tools-2026/</v>
      </c>
      <c r="B167" s="11" t="str">
        <f>IFERROR(__xludf.DUMMYFUNCTION("""COMPUTED_VALUE"""),"8 Best Incrementality Testing Tools for Measurement")</f>
        <v>8 Best Incrementality Testing Tools for Measurement</v>
      </c>
      <c r="C167" s="8" t="str">
        <f>IFERROR(__xludf.DUMMYFUNCTION("""COMPUTED_VALUE"""),"scopicstudios.com")</f>
        <v>scopicstudios.com</v>
      </c>
      <c r="D167" s="11" t="str">
        <f>IFERROR(__xludf.DUMMYFUNCTION("""COMPUTED_VALUE"""),"CATEGORY_PAGE")</f>
        <v>CATEGORY_PAGE</v>
      </c>
      <c r="E167" s="11" t="str">
        <f>IFERROR(__xludf.DUMMYFUNCTION("""COMPUTED_VALUE"""),"CORPORATE")</f>
        <v>CORPORATE</v>
      </c>
      <c r="F167" s="11" t="str">
        <f>IFERROR(__xludf.DUMMYFUNCTION("""COMPUTED_VALUE"""),"Category Page")</f>
        <v>Category Page</v>
      </c>
      <c r="G167" s="11" t="b">
        <f>IFERROR(__xludf.DUMMYFUNCTION("""COMPUTED_VALUE"""),FALSE)</f>
        <v>0</v>
      </c>
      <c r="H167" s="11"/>
      <c r="I167" s="11">
        <f>IFERROR(__xludf.DUMMYFUNCTION("""COMPUTED_VALUE"""),2.0)</f>
        <v>2</v>
      </c>
      <c r="J167" s="11">
        <f>IFERROR(__xludf.DUMMYFUNCTION("""COMPUTED_VALUE"""),0.0)</f>
        <v>0</v>
      </c>
      <c r="K167" s="11">
        <f>IFERROR(__xludf.DUMMYFUNCTION("""COMPUTED_VALUE"""),0.5)</f>
        <v>0.5</v>
      </c>
    </row>
    <row r="168" ht="15.75" customHeight="1">
      <c r="A168" s="8" t="str">
        <f>IFERROR(__xludf.DUMMYFUNCTION("""COMPUTED_VALUE"""),"https://www.sortlist.com/performance-marketing")</f>
        <v>https://www.sortlist.com/performance-marketing</v>
      </c>
      <c r="B168" s="11" t="str">
        <f>IFERROR(__xludf.DUMMYFUNCTION("""COMPUTED_VALUE"""),"The 100 Best Performance Marketing Agencies - 2026 Reviews")</f>
        <v>The 100 Best Performance Marketing Agencies - 2026 Reviews</v>
      </c>
      <c r="C168" s="8" t="str">
        <f>IFERROR(__xludf.DUMMYFUNCTION("""COMPUTED_VALUE"""),"sortlist.com")</f>
        <v>sortlist.com</v>
      </c>
      <c r="D168" s="11" t="str">
        <f>IFERROR(__xludf.DUMMYFUNCTION("""COMPUTED_VALUE"""),"CATEGORY_PAGE")</f>
        <v>CATEGORY_PAGE</v>
      </c>
      <c r="E168" s="11" t="str">
        <f>IFERROR(__xludf.DUMMYFUNCTION("""COMPUTED_VALUE"""),"CORPORATE")</f>
        <v>CORPORATE</v>
      </c>
      <c r="F168" s="11" t="str">
        <f>IFERROR(__xludf.DUMMYFUNCTION("""COMPUTED_VALUE"""),"Category Page")</f>
        <v>Category Page</v>
      </c>
      <c r="G168" s="11" t="b">
        <f>IFERROR(__xludf.DUMMYFUNCTION("""COMPUTED_VALUE"""),FALSE)</f>
        <v>0</v>
      </c>
      <c r="H168" s="11" t="str">
        <f>IFERROR(__xludf.DUMMYFUNCTION("""COMPUTED_VALUE"""),"MONSOON, Triple Whale, Northbeam, Dreamdata, Measured")</f>
        <v>MONSOON, Triple Whale, Northbeam, Dreamdata, Measured</v>
      </c>
      <c r="I168" s="11">
        <f>IFERROR(__xludf.DUMMYFUNCTION("""COMPUTED_VALUE"""),2.0)</f>
        <v>2</v>
      </c>
      <c r="J168" s="11">
        <f>IFERROR(__xludf.DUMMYFUNCTION("""COMPUTED_VALUE"""),0.0)</f>
        <v>0</v>
      </c>
      <c r="K168" s="11">
        <f>IFERROR(__xludf.DUMMYFUNCTION("""COMPUTED_VALUE"""),1.0)</f>
        <v>1</v>
      </c>
    </row>
    <row r="169" ht="15.75" customHeight="1">
      <c r="A169" s="8" t="str">
        <f>IFERROR(__xludf.DUMMYFUNCTION("""COMPUTED_VALUE"""),"https://www.sortlist.com/s/brand-creation/germany-de")</f>
        <v>https://www.sortlist.com/s/brand-creation/germany-de</v>
      </c>
      <c r="B169" s="11" t="str">
        <f>IFERROR(__xludf.DUMMYFUNCTION("""COMPUTED_VALUE"""),"The 10 Best Brand Creation Agencies in Germany - 2026 Reviews")</f>
        <v>The 10 Best Brand Creation Agencies in Germany - 2026 Reviews</v>
      </c>
      <c r="C169" s="8" t="str">
        <f>IFERROR(__xludf.DUMMYFUNCTION("""COMPUTED_VALUE"""),"sortlist.com")</f>
        <v>sortlist.com</v>
      </c>
      <c r="D169" s="11" t="str">
        <f>IFERROR(__xludf.DUMMYFUNCTION("""COMPUTED_VALUE"""),"CATEGORY_PAGE")</f>
        <v>CATEGORY_PAGE</v>
      </c>
      <c r="E169" s="11" t="str">
        <f>IFERROR(__xludf.DUMMYFUNCTION("""COMPUTED_VALUE"""),"CORPORATE")</f>
        <v>CORPORATE</v>
      </c>
      <c r="F169" s="11" t="str">
        <f>IFERROR(__xludf.DUMMYFUNCTION("""COMPUTED_VALUE"""),"Category Page")</f>
        <v>Category Page</v>
      </c>
      <c r="G169" s="11" t="b">
        <f>IFERROR(__xludf.DUMMYFUNCTION("""COMPUTED_VALUE"""),FALSE)</f>
        <v>0</v>
      </c>
      <c r="H169" s="11" t="str">
        <f>IFERROR(__xludf.DUMMYFUNCTION("""COMPUTED_VALUE"""),"Momentum")</f>
        <v>Momentum</v>
      </c>
      <c r="I169" s="11">
        <f>IFERROR(__xludf.DUMMYFUNCTION("""COMPUTED_VALUE"""),2.0)</f>
        <v>2</v>
      </c>
      <c r="J169" s="11">
        <f>IFERROR(__xludf.DUMMYFUNCTION("""COMPUTED_VALUE"""),0.0)</f>
        <v>0</v>
      </c>
      <c r="K169" s="11">
        <f>IFERROR(__xludf.DUMMYFUNCTION("""COMPUTED_VALUE"""),0.0)</f>
        <v>0</v>
      </c>
    </row>
    <row r="170" ht="15.75" customHeight="1">
      <c r="A170" s="8" t="str">
        <f>IFERROR(__xludf.DUMMYFUNCTION("""COMPUTED_VALUE"""),"https://www.sortlist.com/s/creative-design/germany-de")</f>
        <v>https://www.sortlist.com/s/creative-design/germany-de</v>
      </c>
      <c r="B170" s="11" t="str">
        <f>IFERROR(__xludf.DUMMYFUNCTION("""COMPUTED_VALUE"""),"The 10 Best Creative Design Agencies in Germany - 2026 Reviews")</f>
        <v>The 10 Best Creative Design Agencies in Germany - 2026 Reviews</v>
      </c>
      <c r="C170" s="8" t="str">
        <f>IFERROR(__xludf.DUMMYFUNCTION("""COMPUTED_VALUE"""),"sortlist.com")</f>
        <v>sortlist.com</v>
      </c>
      <c r="D170" s="11" t="str">
        <f>IFERROR(__xludf.DUMMYFUNCTION("""COMPUTED_VALUE"""),"CATEGORY_PAGE")</f>
        <v>CATEGORY_PAGE</v>
      </c>
      <c r="E170" s="11" t="str">
        <f>IFERROR(__xludf.DUMMYFUNCTION("""COMPUTED_VALUE"""),"CORPORATE")</f>
        <v>CORPORATE</v>
      </c>
      <c r="F170" s="11" t="str">
        <f>IFERROR(__xludf.DUMMYFUNCTION("""COMPUTED_VALUE"""),"Category Page")</f>
        <v>Category Page</v>
      </c>
      <c r="G170" s="11" t="b">
        <f>IFERROR(__xludf.DUMMYFUNCTION("""COMPUTED_VALUE"""),FALSE)</f>
        <v>0</v>
      </c>
      <c r="H170" s="11" t="str">
        <f>IFERROR(__xludf.DUMMYFUNCTION("""COMPUTED_VALUE"""),"Measured, Momentum")</f>
        <v>Measured, Momentum</v>
      </c>
      <c r="I170" s="11">
        <f>IFERROR(__xludf.DUMMYFUNCTION("""COMPUTED_VALUE"""),2.0)</f>
        <v>2</v>
      </c>
      <c r="J170" s="11">
        <f>IFERROR(__xludf.DUMMYFUNCTION("""COMPUTED_VALUE"""),0.0)</f>
        <v>0</v>
      </c>
      <c r="K170" s="11">
        <f>IFERROR(__xludf.DUMMYFUNCTION("""COMPUTED_VALUE"""),0.0)</f>
        <v>0</v>
      </c>
    </row>
    <row r="171" ht="15.75" customHeight="1">
      <c r="A171" s="8" t="str">
        <f>IFERROR(__xludf.DUMMYFUNCTION("""COMPUTED_VALUE"""),"https://www.sortlist.com/s/online-marketing/germany-de")</f>
        <v>https://www.sortlist.com/s/online-marketing/germany-de</v>
      </c>
      <c r="B171" s="11" t="str">
        <f>IFERROR(__xludf.DUMMYFUNCTION("""COMPUTED_VALUE"""),"The 10 Best Online Marketing Agencies in Germany - 2026 Reviews")</f>
        <v>The 10 Best Online Marketing Agencies in Germany - 2026 Reviews</v>
      </c>
      <c r="C171" s="8" t="str">
        <f>IFERROR(__xludf.DUMMYFUNCTION("""COMPUTED_VALUE"""),"sortlist.com")</f>
        <v>sortlist.com</v>
      </c>
      <c r="D171" s="11" t="str">
        <f>IFERROR(__xludf.DUMMYFUNCTION("""COMPUTED_VALUE"""),"CATEGORY_PAGE")</f>
        <v>CATEGORY_PAGE</v>
      </c>
      <c r="E171" s="11" t="str">
        <f>IFERROR(__xludf.DUMMYFUNCTION("""COMPUTED_VALUE"""),"CORPORATE")</f>
        <v>CORPORATE</v>
      </c>
      <c r="F171" s="11" t="str">
        <f>IFERROR(__xludf.DUMMYFUNCTION("""COMPUTED_VALUE"""),"Category Page")</f>
        <v>Category Page</v>
      </c>
      <c r="G171" s="11" t="b">
        <f>IFERROR(__xludf.DUMMYFUNCTION("""COMPUTED_VALUE"""),FALSE)</f>
        <v>0</v>
      </c>
      <c r="H171" s="11" t="str">
        <f>IFERROR(__xludf.DUMMYFUNCTION("""COMPUTED_VALUE"""),"MONSOON, PANORAMA3000")</f>
        <v>MONSOON, PANORAMA3000</v>
      </c>
      <c r="I171" s="11">
        <f>IFERROR(__xludf.DUMMYFUNCTION("""COMPUTED_VALUE"""),2.0)</f>
        <v>2</v>
      </c>
      <c r="J171" s="11">
        <f>IFERROR(__xludf.DUMMYFUNCTION("""COMPUTED_VALUE"""),0.0)</f>
        <v>0</v>
      </c>
      <c r="K171" s="11">
        <f>IFERROR(__xludf.DUMMYFUNCTION("""COMPUTED_VALUE"""),1.0)</f>
        <v>1</v>
      </c>
    </row>
    <row r="172" ht="15.75" customHeight="1">
      <c r="A172" s="8" t="str">
        <f>IFERROR(__xludf.DUMMYFUNCTION("""COMPUTED_VALUE"""),"https://www.sortlist.com/s/tiktok-advertising/germany-de")</f>
        <v>https://www.sortlist.com/s/tiktok-advertising/germany-de</v>
      </c>
      <c r="B172" s="11" t="str">
        <f>IFERROR(__xludf.DUMMYFUNCTION("""COMPUTED_VALUE"""),"The 10 Best TikTok Advertising Agencies in Germany - 2026 Reviews")</f>
        <v>The 10 Best TikTok Advertising Agencies in Germany - 2026 Reviews</v>
      </c>
      <c r="C172" s="8" t="str">
        <f>IFERROR(__xludf.DUMMYFUNCTION("""COMPUTED_VALUE"""),"sortlist.com")</f>
        <v>sortlist.com</v>
      </c>
      <c r="D172" s="11" t="str">
        <f>IFERROR(__xludf.DUMMYFUNCTION("""COMPUTED_VALUE"""),"CATEGORY_PAGE")</f>
        <v>CATEGORY_PAGE</v>
      </c>
      <c r="E172" s="11" t="str">
        <f>IFERROR(__xludf.DUMMYFUNCTION("""COMPUTED_VALUE"""),"CORPORATE")</f>
        <v>CORPORATE</v>
      </c>
      <c r="F172" s="11" t="str">
        <f>IFERROR(__xludf.DUMMYFUNCTION("""COMPUTED_VALUE"""),"Category Page")</f>
        <v>Category Page</v>
      </c>
      <c r="G172" s="11" t="b">
        <f>IFERROR(__xludf.DUMMYFUNCTION("""COMPUTED_VALUE"""),FALSE)</f>
        <v>0</v>
      </c>
      <c r="H172" s="11" t="str">
        <f>IFERROR(__xludf.DUMMYFUNCTION("""COMPUTED_VALUE"""),"Triple Whale, Northbeam, Dreamdata, PANORAMA3000, MONSOON, Measured, lehof, Loyamo")</f>
        <v>Triple Whale, Northbeam, Dreamdata, PANORAMA3000, MONSOON, Measured, lehof, Loyamo</v>
      </c>
      <c r="I172" s="11">
        <f>IFERROR(__xludf.DUMMYFUNCTION("""COMPUTED_VALUE"""),2.0)</f>
        <v>2</v>
      </c>
      <c r="J172" s="11">
        <f>IFERROR(__xludf.DUMMYFUNCTION("""COMPUTED_VALUE"""),0.0)</f>
        <v>0</v>
      </c>
      <c r="K172" s="11">
        <f>IFERROR(__xludf.DUMMYFUNCTION("""COMPUTED_VALUE"""),0.0)</f>
        <v>0</v>
      </c>
    </row>
    <row r="173" ht="15.75" customHeight="1">
      <c r="A173" s="8" t="str">
        <f>IFERROR(__xludf.DUMMYFUNCTION("""COMPUTED_VALUE"""),"https://www.sortlist.de/s/ai-marketing/bremen-hb-de")</f>
        <v>https://www.sortlist.de/s/ai-marketing/bremen-hb-de</v>
      </c>
      <c r="B173" s="11" t="str">
        <f>IFERROR(__xludf.DUMMYFUNCTION("""COMPUTED_VALUE"""),"AI Marketing Agenturen Bremen vergleichen")</f>
        <v>AI Marketing Agenturen Bremen vergleichen</v>
      </c>
      <c r="C173" s="8" t="str">
        <f>IFERROR(__xludf.DUMMYFUNCTION("""COMPUTED_VALUE"""),"sortlist.de")</f>
        <v>sortlist.de</v>
      </c>
      <c r="D173" s="11" t="str">
        <f>IFERROR(__xludf.DUMMYFUNCTION("""COMPUTED_VALUE"""),"CATEGORY_PAGE")</f>
        <v>CATEGORY_PAGE</v>
      </c>
      <c r="E173" s="11" t="str">
        <f>IFERROR(__xludf.DUMMYFUNCTION("""COMPUTED_VALUE"""),"CORPORATE")</f>
        <v>CORPORATE</v>
      </c>
      <c r="F173" s="11" t="str">
        <f>IFERROR(__xludf.DUMMYFUNCTION("""COMPUTED_VALUE"""),"Category Page")</f>
        <v>Category Page</v>
      </c>
      <c r="G173" s="11" t="b">
        <f>IFERROR(__xludf.DUMMYFUNCTION("""COMPUTED_VALUE"""),FALSE)</f>
        <v>0</v>
      </c>
      <c r="H173" s="11"/>
      <c r="I173" s="11">
        <f>IFERROR(__xludf.DUMMYFUNCTION("""COMPUTED_VALUE"""),2.0)</f>
        <v>2</v>
      </c>
      <c r="J173" s="11">
        <f>IFERROR(__xludf.DUMMYFUNCTION("""COMPUTED_VALUE"""),0.0)</f>
        <v>0</v>
      </c>
      <c r="K173" s="11">
        <f>IFERROR(__xludf.DUMMYFUNCTION("""COMPUTED_VALUE"""),0.0)</f>
        <v>0</v>
      </c>
    </row>
    <row r="174" ht="15.75" customHeight="1">
      <c r="A174" s="8" t="str">
        <f>IFERROR(__xludf.DUMMYFUNCTION("""COMPUTED_VALUE"""),"https://www.sortlist.de/s/display-werbung/duesseldorf-de")</f>
        <v>https://www.sortlist.de/s/display-werbung/duesseldorf-de</v>
      </c>
      <c r="B174" s="11" t="str">
        <f>IFERROR(__xludf.DUMMYFUNCTION("""COMPUTED_VALUE"""),"Unsere 10 Besten Display Anzeigen Agenturen in Düsseldorf - 2026 Bewertungen")</f>
        <v>Unsere 10 Besten Display Anzeigen Agenturen in Düsseldorf - 2026 Bewertungen</v>
      </c>
      <c r="C174" s="8" t="str">
        <f>IFERROR(__xludf.DUMMYFUNCTION("""COMPUTED_VALUE"""),"sortlist.de")</f>
        <v>sortlist.de</v>
      </c>
      <c r="D174" s="11" t="str">
        <f>IFERROR(__xludf.DUMMYFUNCTION("""COMPUTED_VALUE"""),"CATEGORY_PAGE")</f>
        <v>CATEGORY_PAGE</v>
      </c>
      <c r="E174" s="11" t="str">
        <f>IFERROR(__xludf.DUMMYFUNCTION("""COMPUTED_VALUE"""),"CORPORATE")</f>
        <v>CORPORATE</v>
      </c>
      <c r="F174" s="11" t="str">
        <f>IFERROR(__xludf.DUMMYFUNCTION("""COMPUTED_VALUE"""),"Category Page")</f>
        <v>Category Page</v>
      </c>
      <c r="G174" s="11" t="b">
        <f>IFERROR(__xludf.DUMMYFUNCTION("""COMPUTED_VALUE"""),FALSE)</f>
        <v>0</v>
      </c>
      <c r="H174" s="11" t="str">
        <f>IFERROR(__xludf.DUMMYFUNCTION("""COMPUTED_VALUE"""),"MONSOON, Triple Whale, Northbeam, Dreamdata, Mediacharge")</f>
        <v>MONSOON, Triple Whale, Northbeam, Dreamdata, Mediacharge</v>
      </c>
      <c r="I174" s="11">
        <f>IFERROR(__xludf.DUMMYFUNCTION("""COMPUTED_VALUE"""),2.0)</f>
        <v>2</v>
      </c>
      <c r="J174" s="11">
        <f>IFERROR(__xludf.DUMMYFUNCTION("""COMPUTED_VALUE"""),0.0)</f>
        <v>0</v>
      </c>
      <c r="K174" s="11">
        <f>IFERROR(__xludf.DUMMYFUNCTION("""COMPUTED_VALUE"""),0.0)</f>
        <v>0</v>
      </c>
    </row>
    <row r="175" ht="15.75" customHeight="1">
      <c r="A175" s="8" t="str">
        <f>IFERROR(__xludf.DUMMYFUNCTION("""COMPUTED_VALUE"""),"https://www.adzine.de/techfinder/marketing/attribution/")</f>
        <v>https://www.adzine.de/techfinder/marketing/attribution/</v>
      </c>
      <c r="B175" s="11" t="str">
        <f>IFERROR(__xludf.DUMMYFUNCTION("""COMPUTED_VALUE"""),"MARKETING - ATTRIBUTION - TECHNOLOGIE / TECH FINDER")</f>
        <v>MARKETING - ATTRIBUTION - TECHNOLOGIE / TECH FINDER</v>
      </c>
      <c r="C175" s="8" t="str">
        <f>IFERROR(__xludf.DUMMYFUNCTION("""COMPUTED_VALUE"""),"adzine.de")</f>
        <v>adzine.de</v>
      </c>
      <c r="D175" s="11" t="str">
        <f>IFERROR(__xludf.DUMMYFUNCTION("""COMPUTED_VALUE"""),"CATEGORY_PAGE")</f>
        <v>CATEGORY_PAGE</v>
      </c>
      <c r="E175" s="11" t="str">
        <f>IFERROR(__xludf.DUMMYFUNCTION("""COMPUTED_VALUE"""),"EDITORIAL")</f>
        <v>EDITORIAL</v>
      </c>
      <c r="F175" s="11" t="str">
        <f>IFERROR(__xludf.DUMMYFUNCTION("""COMPUTED_VALUE"""),"Category Page")</f>
        <v>Category Page</v>
      </c>
      <c r="G175" s="11" t="b">
        <f>IFERROR(__xludf.DUMMYFUNCTION("""COMPUTED_VALUE"""),FALSE)</f>
        <v>0</v>
      </c>
      <c r="H175" s="11" t="str">
        <f>IFERROR(__xludf.DUMMYFUNCTION("""COMPUTED_VALUE"""),"Analytic Partners")</f>
        <v>Analytic Partners</v>
      </c>
      <c r="I175" s="11">
        <f>IFERROR(__xludf.DUMMYFUNCTION("""COMPUTED_VALUE"""),1.0)</f>
        <v>1</v>
      </c>
      <c r="J175" s="11">
        <f>IFERROR(__xludf.DUMMYFUNCTION("""COMPUTED_VALUE"""),0.0)</f>
        <v>0</v>
      </c>
      <c r="K175" s="11">
        <f>IFERROR(__xludf.DUMMYFUNCTION("""COMPUTED_VALUE"""),0.0)</f>
        <v>0</v>
      </c>
    </row>
    <row r="176" ht="15.75" customHeight="1">
      <c r="A176" s="8" t="str">
        <f>IFERROR(__xludf.DUMMYFUNCTION("""COMPUTED_VALUE"""),"https://agencies.semrush.com/de/list/ai-optimization/germany/")</f>
        <v>https://agencies.semrush.com/de/list/ai-optimization/germany/</v>
      </c>
      <c r="B176" s="11" t="str">
        <f>IFERROR(__xludf.DUMMYFUNCTION("""COMPUTED_VALUE"""),"Beste Optimierung für die KI-Suche-Agenturen für , Germany 2026 | Semrush")</f>
        <v>Beste Optimierung für die KI-Suche-Agenturen für , Germany 2026 | Semrush</v>
      </c>
      <c r="C176" s="8" t="str">
        <f>IFERROR(__xludf.DUMMYFUNCTION("""COMPUTED_VALUE"""),"semrush.com")</f>
        <v>semrush.com</v>
      </c>
      <c r="D176" s="11" t="str">
        <f>IFERROR(__xludf.DUMMYFUNCTION("""COMPUTED_VALUE"""),"CATEGORY_PAGE")</f>
        <v>CATEGORY_PAGE</v>
      </c>
      <c r="E176" s="11" t="str">
        <f>IFERROR(__xludf.DUMMYFUNCTION("""COMPUTED_VALUE"""),"CORPORATE")</f>
        <v>CORPORATE</v>
      </c>
      <c r="F176" s="11" t="str">
        <f>IFERROR(__xludf.DUMMYFUNCTION("""COMPUTED_VALUE"""),"Category Page")</f>
        <v>Category Page</v>
      </c>
      <c r="G176" s="11" t="b">
        <f>IFERROR(__xludf.DUMMYFUNCTION("""COMPUTED_VALUE"""),FALSE)</f>
        <v>0</v>
      </c>
      <c r="H176" s="11" t="str">
        <f>IFERROR(__xludf.DUMMYFUNCTION("""COMPUTED_VALUE"""),"HECHT INS GEFECHT, morefire, Mediaplus Performance")</f>
        <v>HECHT INS GEFECHT, morefire, Mediaplus Performance</v>
      </c>
      <c r="I176" s="11">
        <f>IFERROR(__xludf.DUMMYFUNCTION("""COMPUTED_VALUE"""),1.0)</f>
        <v>1</v>
      </c>
      <c r="J176" s="11">
        <f>IFERROR(__xludf.DUMMYFUNCTION("""COMPUTED_VALUE"""),0.0)</f>
        <v>0</v>
      </c>
      <c r="K176" s="11">
        <f>IFERROR(__xludf.DUMMYFUNCTION("""COMPUTED_VALUE"""),0.0)</f>
        <v>0</v>
      </c>
    </row>
    <row r="177" ht="15.75" customHeight="1">
      <c r="A177" s="8" t="str">
        <f>IFERROR(__xludf.DUMMYFUNCTION("""COMPUTED_VALUE"""),"https://agencies.semrush.com/list/business-professional-services/germany/")</f>
        <v>https://agencies.semrush.com/list/business-professional-services/germany/</v>
      </c>
      <c r="B177" s="11" t="str">
        <f>IFERROR(__xludf.DUMMYFUNCTION("""COMPUTED_VALUE"""),"Best B2B Services Digital Marketing Agencies in Germany 2026 | Semrush")</f>
        <v>Best B2B Services Digital Marketing Agencies in Germany 2026 | Semrush</v>
      </c>
      <c r="C177" s="8" t="str">
        <f>IFERROR(__xludf.DUMMYFUNCTION("""COMPUTED_VALUE"""),"semrush.com")</f>
        <v>semrush.com</v>
      </c>
      <c r="D177" s="11" t="str">
        <f>IFERROR(__xludf.DUMMYFUNCTION("""COMPUTED_VALUE"""),"CATEGORY_PAGE")</f>
        <v>CATEGORY_PAGE</v>
      </c>
      <c r="E177" s="11" t="str">
        <f>IFERROR(__xludf.DUMMYFUNCTION("""COMPUTED_VALUE"""),"CORPORATE")</f>
        <v>CORPORATE</v>
      </c>
      <c r="F177" s="11" t="str">
        <f>IFERROR(__xludf.DUMMYFUNCTION("""COMPUTED_VALUE"""),"Category Page")</f>
        <v>Category Page</v>
      </c>
      <c r="G177" s="11" t="b">
        <f>IFERROR(__xludf.DUMMYFUNCTION("""COMPUTED_VALUE"""),FALSE)</f>
        <v>0</v>
      </c>
      <c r="H177" s="11" t="str">
        <f>IFERROR(__xludf.DUMMYFUNCTION("""COMPUTED_VALUE"""),"HECHT INS GEFECHT, Baseplus DIGITAL MEDIA GmbH, morefire, Mediaplus Performance, Mediacharge")</f>
        <v>HECHT INS GEFECHT, Baseplus DIGITAL MEDIA GmbH, morefire, Mediaplus Performance, Mediacharge</v>
      </c>
      <c r="I177" s="11">
        <f>IFERROR(__xludf.DUMMYFUNCTION("""COMPUTED_VALUE"""),1.0)</f>
        <v>1</v>
      </c>
      <c r="J177" s="11">
        <f>IFERROR(__xludf.DUMMYFUNCTION("""COMPUTED_VALUE"""),0.0)</f>
        <v>0</v>
      </c>
      <c r="K177" s="11">
        <f>IFERROR(__xludf.DUMMYFUNCTION("""COMPUTED_VALUE"""),0.0)</f>
        <v>0</v>
      </c>
    </row>
    <row r="178" ht="15.75" customHeight="1">
      <c r="A178" s="8" t="str">
        <f>IFERROR(__xludf.DUMMYFUNCTION("""COMPUTED_VALUE"""),"https://agencies.semrush.com/list/facebook-advertising/germany/")</f>
        <v>https://agencies.semrush.com/list/facebook-advertising/germany/</v>
      </c>
      <c r="B178" s="11" t="str">
        <f>IFERROR(__xludf.DUMMYFUNCTION("""COMPUTED_VALUE"""),"Best Facebook Advertising Agencies in Germany 2026 | Semrush")</f>
        <v>Best Facebook Advertising Agencies in Germany 2026 | Semrush</v>
      </c>
      <c r="C178" s="8" t="str">
        <f>IFERROR(__xludf.DUMMYFUNCTION("""COMPUTED_VALUE"""),"semrush.com")</f>
        <v>semrush.com</v>
      </c>
      <c r="D178" s="11" t="str">
        <f>IFERROR(__xludf.DUMMYFUNCTION("""COMPUTED_VALUE"""),"CATEGORY_PAGE")</f>
        <v>CATEGORY_PAGE</v>
      </c>
      <c r="E178" s="11" t="str">
        <f>IFERROR(__xludf.DUMMYFUNCTION("""COMPUTED_VALUE"""),"CORPORATE")</f>
        <v>CORPORATE</v>
      </c>
      <c r="F178" s="11" t="str">
        <f>IFERROR(__xludf.DUMMYFUNCTION("""COMPUTED_VALUE"""),"Category Page")</f>
        <v>Category Page</v>
      </c>
      <c r="G178" s="11" t="b">
        <f>IFERROR(__xludf.DUMMYFUNCTION("""COMPUTED_VALUE"""),FALSE)</f>
        <v>0</v>
      </c>
      <c r="H178" s="11" t="str">
        <f>IFERROR(__xludf.DUMMYFUNCTION("""COMPUTED_VALUE"""),"Baseplus DIGITAL MEDIA GmbH, Mediaplus Performance, MONSOON")</f>
        <v>Baseplus DIGITAL MEDIA GmbH, Mediaplus Performance, MONSOON</v>
      </c>
      <c r="I178" s="11">
        <f>IFERROR(__xludf.DUMMYFUNCTION("""COMPUTED_VALUE"""),1.0)</f>
        <v>1</v>
      </c>
      <c r="J178" s="11">
        <f>IFERROR(__xludf.DUMMYFUNCTION("""COMPUTED_VALUE"""),0.0)</f>
        <v>0</v>
      </c>
      <c r="K178" s="11">
        <f>IFERROR(__xludf.DUMMYFUNCTION("""COMPUTED_VALUE"""),0.0)</f>
        <v>0</v>
      </c>
    </row>
    <row r="179" ht="15.75" customHeight="1">
      <c r="A179" s="8" t="str">
        <f>IFERROR(__xludf.DUMMYFUNCTION("""COMPUTED_VALUE"""),"https://agencies.semrush.com/list/llm-optimization/germany/mid-business/")</f>
        <v>https://agencies.semrush.com/list/llm-optimization/germany/mid-business/</v>
      </c>
      <c r="B179" s="11" t="str">
        <f>IFERROR(__xludf.DUMMYFUNCTION("""COMPUTED_VALUE"""),"Best LLM optimization Agencies for Mid Business in Germany 2026 | Semrush")</f>
        <v>Best LLM optimization Agencies for Mid Business in Germany 2026 | Semrush</v>
      </c>
      <c r="C179" s="8" t="str">
        <f>IFERROR(__xludf.DUMMYFUNCTION("""COMPUTED_VALUE"""),"semrush.com")</f>
        <v>semrush.com</v>
      </c>
      <c r="D179" s="11" t="str">
        <f>IFERROR(__xludf.DUMMYFUNCTION("""COMPUTED_VALUE"""),"CATEGORY_PAGE")</f>
        <v>CATEGORY_PAGE</v>
      </c>
      <c r="E179" s="11" t="str">
        <f>IFERROR(__xludf.DUMMYFUNCTION("""COMPUTED_VALUE"""),"CORPORATE")</f>
        <v>CORPORATE</v>
      </c>
      <c r="F179" s="11" t="str">
        <f>IFERROR(__xludf.DUMMYFUNCTION("""COMPUTED_VALUE"""),"Category Page")</f>
        <v>Category Page</v>
      </c>
      <c r="G179" s="11" t="b">
        <f>IFERROR(__xludf.DUMMYFUNCTION("""COMPUTED_VALUE"""),FALSE)</f>
        <v>0</v>
      </c>
      <c r="H179" s="11" t="str">
        <f>IFERROR(__xludf.DUMMYFUNCTION("""COMPUTED_VALUE"""),"HECHT INS GEFECHT, morefire, Mediaplus Performance")</f>
        <v>HECHT INS GEFECHT, morefire, Mediaplus Performance</v>
      </c>
      <c r="I179" s="11">
        <f>IFERROR(__xludf.DUMMYFUNCTION("""COMPUTED_VALUE"""),1.0)</f>
        <v>1</v>
      </c>
      <c r="J179" s="11">
        <f>IFERROR(__xludf.DUMMYFUNCTION("""COMPUTED_VALUE"""),0.0)</f>
        <v>0</v>
      </c>
      <c r="K179" s="11">
        <f>IFERROR(__xludf.DUMMYFUNCTION("""COMPUTED_VALUE"""),1.0)</f>
        <v>1</v>
      </c>
    </row>
    <row r="180" ht="15.75" customHeight="1">
      <c r="A180" s="8" t="str">
        <f>IFERROR(__xludf.DUMMYFUNCTION("""COMPUTED_VALUE"""),"https://agencies.semrush.com/list/los-angeles/")</f>
        <v>https://agencies.semrush.com/list/los-angeles/</v>
      </c>
      <c r="B180" s="11" t="str">
        <f>IFERROR(__xludf.DUMMYFUNCTION("""COMPUTED_VALUE"""),"Best Digital Marketing Agencies in Los Angeles 2026 | Semrush")</f>
        <v>Best Digital Marketing Agencies in Los Angeles 2026 | Semrush</v>
      </c>
      <c r="C180" s="8" t="str">
        <f>IFERROR(__xludf.DUMMYFUNCTION("""COMPUTED_VALUE"""),"semrush.com")</f>
        <v>semrush.com</v>
      </c>
      <c r="D180" s="11" t="str">
        <f>IFERROR(__xludf.DUMMYFUNCTION("""COMPUTED_VALUE"""),"CATEGORY_PAGE")</f>
        <v>CATEGORY_PAGE</v>
      </c>
      <c r="E180" s="11" t="str">
        <f>IFERROR(__xludf.DUMMYFUNCTION("""COMPUTED_VALUE"""),"CORPORATE")</f>
        <v>CORPORATE</v>
      </c>
      <c r="F180" s="11" t="str">
        <f>IFERROR(__xludf.DUMMYFUNCTION("""COMPUTED_VALUE"""),"Category Page")</f>
        <v>Category Page</v>
      </c>
      <c r="G180" s="11" t="b">
        <f>IFERROR(__xludf.DUMMYFUNCTION("""COMPUTED_VALUE"""),FALSE)</f>
        <v>0</v>
      </c>
      <c r="H180" s="11"/>
      <c r="I180" s="11">
        <f>IFERROR(__xludf.DUMMYFUNCTION("""COMPUTED_VALUE"""),1.0)</f>
        <v>1</v>
      </c>
      <c r="J180" s="11">
        <f>IFERROR(__xludf.DUMMYFUNCTION("""COMPUTED_VALUE"""),0.0)</f>
        <v>0</v>
      </c>
      <c r="K180" s="11">
        <f>IFERROR(__xludf.DUMMYFUNCTION("""COMPUTED_VALUE"""),0.0)</f>
        <v>0</v>
      </c>
    </row>
    <row r="181" ht="15.75" customHeight="1">
      <c r="A181" s="8" t="str">
        <f>IFERROR(__xludf.DUMMYFUNCTION("""COMPUTED_VALUE"""),"https://agencies.semrush.com/list/machine-learning-and-ai/germany/mid-business/")</f>
        <v>https://agencies.semrush.com/list/machine-learning-and-ai/germany/mid-business/</v>
      </c>
      <c r="B181" s="11" t="str">
        <f>IFERROR(__xludf.DUMMYFUNCTION("""COMPUTED_VALUE"""),"Best Machine Learning and AI Services for Mid Business in Germany 2026 | Semrush")</f>
        <v>Best Machine Learning and AI Services for Mid Business in Germany 2026 | Semrush</v>
      </c>
      <c r="C181" s="8" t="str">
        <f>IFERROR(__xludf.DUMMYFUNCTION("""COMPUTED_VALUE"""),"semrush.com")</f>
        <v>semrush.com</v>
      </c>
      <c r="D181" s="11" t="str">
        <f>IFERROR(__xludf.DUMMYFUNCTION("""COMPUTED_VALUE"""),"CATEGORY_PAGE")</f>
        <v>CATEGORY_PAGE</v>
      </c>
      <c r="E181" s="11" t="str">
        <f>IFERROR(__xludf.DUMMYFUNCTION("""COMPUTED_VALUE"""),"CORPORATE")</f>
        <v>CORPORATE</v>
      </c>
      <c r="F181" s="11" t="str">
        <f>IFERROR(__xludf.DUMMYFUNCTION("""COMPUTED_VALUE"""),"Category Page")</f>
        <v>Category Page</v>
      </c>
      <c r="G181" s="11" t="b">
        <f>IFERROR(__xludf.DUMMYFUNCTION("""COMPUTED_VALUE"""),FALSE)</f>
        <v>0</v>
      </c>
      <c r="H181" s="11" t="str">
        <f>IFERROR(__xludf.DUMMYFUNCTION("""COMPUTED_VALUE"""),"HECHT INS GEFECHT, Baseplus DIGITAL MEDIA GmbH, morefire, Mediaplus Performance")</f>
        <v>HECHT INS GEFECHT, Baseplus DIGITAL MEDIA GmbH, morefire, Mediaplus Performance</v>
      </c>
      <c r="I181" s="11">
        <f>IFERROR(__xludf.DUMMYFUNCTION("""COMPUTED_VALUE"""),1.0)</f>
        <v>1</v>
      </c>
      <c r="J181" s="11">
        <f>IFERROR(__xludf.DUMMYFUNCTION("""COMPUTED_VALUE"""),0.0)</f>
        <v>0</v>
      </c>
      <c r="K181" s="11">
        <f>IFERROR(__xludf.DUMMYFUNCTION("""COMPUTED_VALUE"""),0.0)</f>
        <v>0</v>
      </c>
    </row>
    <row r="182" ht="15.75" customHeight="1">
      <c r="A182" s="8" t="str">
        <f>IFERROR(__xludf.DUMMYFUNCTION("""COMPUTED_VALUE"""),"https://agencies.semrush.com/list/ppc/munich/")</f>
        <v>https://agencies.semrush.com/list/ppc/munich/</v>
      </c>
      <c r="B182" s="11" t="str">
        <f>IFERROR(__xludf.DUMMYFUNCTION("""COMPUTED_VALUE"""),"Best PPC Agencies in Munich 2026 | Semrush")</f>
        <v>Best PPC Agencies in Munich 2026 | Semrush</v>
      </c>
      <c r="C182" s="8" t="str">
        <f>IFERROR(__xludf.DUMMYFUNCTION("""COMPUTED_VALUE"""),"semrush.com")</f>
        <v>semrush.com</v>
      </c>
      <c r="D182" s="11" t="str">
        <f>IFERROR(__xludf.DUMMYFUNCTION("""COMPUTED_VALUE"""),"CATEGORY_PAGE")</f>
        <v>CATEGORY_PAGE</v>
      </c>
      <c r="E182" s="11" t="str">
        <f>IFERROR(__xludf.DUMMYFUNCTION("""COMPUTED_VALUE"""),"CORPORATE")</f>
        <v>CORPORATE</v>
      </c>
      <c r="F182" s="11" t="str">
        <f>IFERROR(__xludf.DUMMYFUNCTION("""COMPUTED_VALUE"""),"Category Page")</f>
        <v>Category Page</v>
      </c>
      <c r="G182" s="11" t="b">
        <f>IFERROR(__xludf.DUMMYFUNCTION("""COMPUTED_VALUE"""),FALSE)</f>
        <v>0</v>
      </c>
      <c r="H182" s="11" t="str">
        <f>IFERROR(__xludf.DUMMYFUNCTION("""COMPUTED_VALUE"""),"Mediaplus Performance, Mediacharge, morefire, MONSOON, KlickPiloten")</f>
        <v>Mediaplus Performance, Mediacharge, morefire, MONSOON, KlickPiloten</v>
      </c>
      <c r="I182" s="11">
        <f>IFERROR(__xludf.DUMMYFUNCTION("""COMPUTED_VALUE"""),1.0)</f>
        <v>1</v>
      </c>
      <c r="J182" s="11">
        <f>IFERROR(__xludf.DUMMYFUNCTION("""COMPUTED_VALUE"""),0.0)</f>
        <v>0</v>
      </c>
      <c r="K182" s="11">
        <f>IFERROR(__xludf.DUMMYFUNCTION("""COMPUTED_VALUE"""),1.0)</f>
        <v>1</v>
      </c>
    </row>
    <row r="183" ht="15.75" customHeight="1">
      <c r="A183" s="8" t="str">
        <f>IFERROR(__xludf.DUMMYFUNCTION("""COMPUTED_VALUE"""),"https://agencylist.com/services/analytics-reporting/de/")</f>
        <v>https://agencylist.com/services/analytics-reporting/de/</v>
      </c>
      <c r="B183" s="11" t="str">
        <f>IFERROR(__xludf.DUMMYFUNCTION("""COMPUTED_VALUE"""),"Top DATA Agencies in Germany")</f>
        <v>Top DATA Agencies in Germany</v>
      </c>
      <c r="C183" s="8" t="str">
        <f>IFERROR(__xludf.DUMMYFUNCTION("""COMPUTED_VALUE"""),"agencylist.com")</f>
        <v>agencylist.com</v>
      </c>
      <c r="D183" s="11" t="str">
        <f>IFERROR(__xludf.DUMMYFUNCTION("""COMPUTED_VALUE"""),"CATEGORY_PAGE")</f>
        <v>CATEGORY_PAGE</v>
      </c>
      <c r="E183" s="11" t="str">
        <f>IFERROR(__xludf.DUMMYFUNCTION("""COMPUTED_VALUE"""),"REFERENCE")</f>
        <v>REFERENCE</v>
      </c>
      <c r="F183" s="11" t="str">
        <f>IFERROR(__xludf.DUMMYFUNCTION("""COMPUTED_VALUE"""),"Category Page")</f>
        <v>Category Page</v>
      </c>
      <c r="G183" s="11" t="b">
        <f>IFERROR(__xludf.DUMMYFUNCTION("""COMPUTED_VALUE"""),FALSE)</f>
        <v>0</v>
      </c>
      <c r="H183" s="11" t="str">
        <f>IFERROR(__xludf.DUMMYFUNCTION("""COMPUTED_VALUE"""),"KlickPiloten, MetaDesign, HY.AM STUDIOS")</f>
        <v>KlickPiloten, MetaDesign, HY.AM STUDIOS</v>
      </c>
      <c r="I183" s="11">
        <f>IFERROR(__xludf.DUMMYFUNCTION("""COMPUTED_VALUE"""),1.0)</f>
        <v>1</v>
      </c>
      <c r="J183" s="11">
        <f>IFERROR(__xludf.DUMMYFUNCTION("""COMPUTED_VALUE"""),0.0)</f>
        <v>0</v>
      </c>
      <c r="K183" s="11">
        <f>IFERROR(__xludf.DUMMYFUNCTION("""COMPUTED_VALUE"""),0.0)</f>
        <v>0</v>
      </c>
    </row>
    <row r="184" ht="15.75" customHeight="1">
      <c r="A184" s="8" t="str">
        <f>IFERROR(__xludf.DUMMYFUNCTION("""COMPUTED_VALUE"""),"https://www.agenturtipp.de/werbeagenturen/")</f>
        <v>https://www.agenturtipp.de/werbeagenturen/</v>
      </c>
      <c r="B184" s="11" t="str">
        <f>IFERROR(__xludf.DUMMYFUNCTION("""COMPUTED_VALUE"""),"Top Werbeagenturen (2026) im Vergleich ↗️")</f>
        <v>Top Werbeagenturen (2026) im Vergleich ↗️</v>
      </c>
      <c r="C184" s="8" t="str">
        <f>IFERROR(__xludf.DUMMYFUNCTION("""COMPUTED_VALUE"""),"agenturtipp.de")</f>
        <v>agenturtipp.de</v>
      </c>
      <c r="D184" s="11" t="str">
        <f>IFERROR(__xludf.DUMMYFUNCTION("""COMPUTED_VALUE"""),"CATEGORY_PAGE")</f>
        <v>CATEGORY_PAGE</v>
      </c>
      <c r="E184" s="11" t="str">
        <f>IFERROR(__xludf.DUMMYFUNCTION("""COMPUTED_VALUE"""),"REFERENCE")</f>
        <v>REFERENCE</v>
      </c>
      <c r="F184" s="11" t="str">
        <f>IFERROR(__xludf.DUMMYFUNCTION("""COMPUTED_VALUE"""),"Category Page")</f>
        <v>Category Page</v>
      </c>
      <c r="G184" s="11" t="b">
        <f>IFERROR(__xludf.DUMMYFUNCTION("""COMPUTED_VALUE"""),FALSE)</f>
        <v>0</v>
      </c>
      <c r="H184" s="11" t="str">
        <f>IFERROR(__xludf.DUMMYFUNCTION("""COMPUTED_VALUE"""),"Suchhelden, Aufgesang, DREIKON, Haus, morefire")</f>
        <v>Suchhelden, Aufgesang, DREIKON, Haus, morefire</v>
      </c>
      <c r="I184" s="11">
        <f>IFERROR(__xludf.DUMMYFUNCTION("""COMPUTED_VALUE"""),1.0)</f>
        <v>1</v>
      </c>
      <c r="J184" s="11">
        <f>IFERROR(__xludf.DUMMYFUNCTION("""COMPUTED_VALUE"""),0.0)</f>
        <v>0</v>
      </c>
      <c r="K184" s="11">
        <f>IFERROR(__xludf.DUMMYFUNCTION("""COMPUTED_VALUE"""),1.0)</f>
        <v>1</v>
      </c>
    </row>
    <row r="185" ht="15.75" customHeight="1">
      <c r="A185" s="8" t="str">
        <f>IFERROR(__xludf.DUMMYFUNCTION("""COMPUTED_VALUE"""),"https://www.batten-company.com/en/about-us/awards/")</f>
        <v>https://www.batten-company.com/en/about-us/awards/</v>
      </c>
      <c r="B185" s="11" t="str">
        <f>IFERROR(__xludf.DUMMYFUNCTION("""COMPUTED_VALUE"""),"Awards - Batten &amp;amp; Company – die führende strategische Unternehmensberatung")</f>
        <v>Awards - Batten &amp;amp; Company – die führende strategische Unternehmensberatung</v>
      </c>
      <c r="C185" s="8" t="str">
        <f>IFERROR(__xludf.DUMMYFUNCTION("""COMPUTED_VALUE"""),"batten-company.com")</f>
        <v>batten-company.com</v>
      </c>
      <c r="D185" s="11" t="str">
        <f>IFERROR(__xludf.DUMMYFUNCTION("""COMPUTED_VALUE"""),"CATEGORY_PAGE")</f>
        <v>CATEGORY_PAGE</v>
      </c>
      <c r="E185" s="11" t="str">
        <f>IFERROR(__xludf.DUMMYFUNCTION("""COMPUTED_VALUE"""),"CORPORATE")</f>
        <v>CORPORATE</v>
      </c>
      <c r="F185" s="11" t="str">
        <f>IFERROR(__xludf.DUMMYFUNCTION("""COMPUTED_VALUE"""),"Category Page")</f>
        <v>Category Page</v>
      </c>
      <c r="G185" s="11" t="b">
        <f>IFERROR(__xludf.DUMMYFUNCTION("""COMPUTED_VALUE"""),FALSE)</f>
        <v>0</v>
      </c>
      <c r="H185" s="11" t="str">
        <f>IFERROR(__xludf.DUMMYFUNCTION("""COMPUTED_VALUE"""),"BCG")</f>
        <v>BCG</v>
      </c>
      <c r="I185" s="11">
        <f>IFERROR(__xludf.DUMMYFUNCTION("""COMPUTED_VALUE"""),1.0)</f>
        <v>1</v>
      </c>
      <c r="J185" s="11">
        <f>IFERROR(__xludf.DUMMYFUNCTION("""COMPUTED_VALUE"""),0.0)</f>
        <v>0</v>
      </c>
      <c r="K185" s="11">
        <f>IFERROR(__xludf.DUMMYFUNCTION("""COMPUTED_VALUE"""),2.0)</f>
        <v>2</v>
      </c>
    </row>
    <row r="186" ht="15.75" customHeight="1">
      <c r="A186" s="8" t="str">
        <f>IFERROR(__xludf.DUMMYFUNCTION("""COMPUTED_VALUE"""),"https://www.businessofapps.com/marketplace/performance-marketing/")</f>
        <v>https://www.businessofapps.com/marketplace/performance-marketing/</v>
      </c>
      <c r="B186" s="11" t="str">
        <f>IFERROR(__xludf.DUMMYFUNCTION("""COMPUTED_VALUE"""),"Top Performance Marketing Agencies (2026) - Business of Apps")</f>
        <v>Top Performance Marketing Agencies (2026) - Business of Apps</v>
      </c>
      <c r="C186" s="8" t="str">
        <f>IFERROR(__xludf.DUMMYFUNCTION("""COMPUTED_VALUE"""),"businessofapps.com")</f>
        <v>businessofapps.com</v>
      </c>
      <c r="D186" s="11" t="str">
        <f>IFERROR(__xludf.DUMMYFUNCTION("""COMPUTED_VALUE"""),"CATEGORY_PAGE")</f>
        <v>CATEGORY_PAGE</v>
      </c>
      <c r="E186" s="11" t="str">
        <f>IFERROR(__xludf.DUMMYFUNCTION("""COMPUTED_VALUE"""),"EDITORIAL")</f>
        <v>EDITORIAL</v>
      </c>
      <c r="F186" s="11" t="str">
        <f>IFERROR(__xludf.DUMMYFUNCTION("""COMPUTED_VALUE"""),"Category Page")</f>
        <v>Category Page</v>
      </c>
      <c r="G186" s="11" t="b">
        <f>IFERROR(__xludf.DUMMYFUNCTION("""COMPUTED_VALUE"""),TRUE)</f>
        <v>1</v>
      </c>
      <c r="H186" s="11" t="str">
        <f>IFERROR(__xludf.DUMMYFUNCTION("""COMPUTED_VALUE"""),"Measured, Incubeta")</f>
        <v>Measured, Incubeta</v>
      </c>
      <c r="I186" s="11">
        <f>IFERROR(__xludf.DUMMYFUNCTION("""COMPUTED_VALUE"""),1.0)</f>
        <v>1</v>
      </c>
      <c r="J186" s="11">
        <f>IFERROR(__xludf.DUMMYFUNCTION("""COMPUTED_VALUE"""),0.0)</f>
        <v>0</v>
      </c>
      <c r="K186" s="11">
        <f>IFERROR(__xludf.DUMMYFUNCTION("""COMPUTED_VALUE"""),0.0)</f>
        <v>0</v>
      </c>
    </row>
    <row r="187" ht="15.75" customHeight="1">
      <c r="A187" s="8" t="str">
        <f>IFERROR(__xludf.DUMMYFUNCTION("""COMPUTED_VALUE"""),"https://clutch.co/agencies")</f>
        <v>https://clutch.co/agencies</v>
      </c>
      <c r="B187" s="11" t="str">
        <f>IFERROR(__xludf.DUMMYFUNCTION("""COMPUTED_VALUE"""),"Top Advertising Agencies &amp;amp; Marketing Companies - Jul 2026 Rankings | Clutch.co")</f>
        <v>Top Advertising Agencies &amp;amp; Marketing Companies - Jul 2026 Rankings | Clutch.co</v>
      </c>
      <c r="C187" s="8" t="str">
        <f>IFERROR(__xludf.DUMMYFUNCTION("""COMPUTED_VALUE"""),"clutch.co")</f>
        <v>clutch.co</v>
      </c>
      <c r="D187" s="11" t="str">
        <f>IFERROR(__xludf.DUMMYFUNCTION("""COMPUTED_VALUE"""),"CATEGORY_PAGE")</f>
        <v>CATEGORY_PAGE</v>
      </c>
      <c r="E187" s="11" t="str">
        <f>IFERROR(__xludf.DUMMYFUNCTION("""COMPUTED_VALUE"""),"CORPORATE")</f>
        <v>CORPORATE</v>
      </c>
      <c r="F187" s="11" t="str">
        <f>IFERROR(__xludf.DUMMYFUNCTION("""COMPUTED_VALUE"""),"Category Page")</f>
        <v>Category Page</v>
      </c>
      <c r="G187" s="11" t="b">
        <f>IFERROR(__xludf.DUMMYFUNCTION("""COMPUTED_VALUE"""),FALSE)</f>
        <v>0</v>
      </c>
      <c r="H187" s="11" t="str">
        <f>IFERROR(__xludf.DUMMYFUNCTION("""COMPUTED_VALUE"""),"Power Digital, SmartSites, WebFX, KlientBoost, Mediacharge, MONSOON")</f>
        <v>Power Digital, SmartSites, WebFX, KlientBoost, Mediacharge, MONSOON</v>
      </c>
      <c r="I187" s="11">
        <f>IFERROR(__xludf.DUMMYFUNCTION("""COMPUTED_VALUE"""),1.0)</f>
        <v>1</v>
      </c>
      <c r="J187" s="11">
        <f>IFERROR(__xludf.DUMMYFUNCTION("""COMPUTED_VALUE"""),0.0)</f>
        <v>0</v>
      </c>
      <c r="K187" s="11">
        <f>IFERROR(__xludf.DUMMYFUNCTION("""COMPUTED_VALUE"""),0.0)</f>
        <v>0</v>
      </c>
    </row>
    <row r="188" ht="15.75" customHeight="1">
      <c r="A188" s="8" t="str">
        <f>IFERROR(__xludf.DUMMYFUNCTION("""COMPUTED_VALUE"""),"https://clutch.co/agencies/experiential?page=9")</f>
        <v>https://clutch.co/agencies/experiential?page=9</v>
      </c>
      <c r="B188" s="11" t="str">
        <f>IFERROR(__xludf.DUMMYFUNCTION("""COMPUTED_VALUE"""),"Page 9 - Top Experiential Marketing Agencies - Jul 2026 Rankings \| Clutch.co")</f>
        <v>Page 9 - Top Experiential Marketing Agencies - Jul 2026 Rankings \| Clutch.co</v>
      </c>
      <c r="C188" s="8" t="str">
        <f>IFERROR(__xludf.DUMMYFUNCTION("""COMPUTED_VALUE"""),"clutch.co")</f>
        <v>clutch.co</v>
      </c>
      <c r="D188" s="11" t="str">
        <f>IFERROR(__xludf.DUMMYFUNCTION("""COMPUTED_VALUE"""),"CATEGORY_PAGE")</f>
        <v>CATEGORY_PAGE</v>
      </c>
      <c r="E188" s="11" t="str">
        <f>IFERROR(__xludf.DUMMYFUNCTION("""COMPUTED_VALUE"""),"CORPORATE")</f>
        <v>CORPORATE</v>
      </c>
      <c r="F188" s="11" t="str">
        <f>IFERROR(__xludf.DUMMYFUNCTION("""COMPUTED_VALUE"""),"Category Page")</f>
        <v>Category Page</v>
      </c>
      <c r="G188" s="11" t="b">
        <f>IFERROR(__xludf.DUMMYFUNCTION("""COMPUTED_VALUE"""),FALSE)</f>
        <v>0</v>
      </c>
      <c r="H188" s="11"/>
      <c r="I188" s="11">
        <f>IFERROR(__xludf.DUMMYFUNCTION("""COMPUTED_VALUE"""),1.0)</f>
        <v>1</v>
      </c>
      <c r="J188" s="11">
        <f>IFERROR(__xludf.DUMMYFUNCTION("""COMPUTED_VALUE"""),0.0)</f>
        <v>0</v>
      </c>
      <c r="K188" s="11">
        <f>IFERROR(__xludf.DUMMYFUNCTION("""COMPUTED_VALUE"""),1.0)</f>
        <v>1</v>
      </c>
    </row>
    <row r="189" ht="15.75" customHeight="1">
      <c r="A189" s="8" t="str">
        <f>IFERROR(__xludf.DUMMYFUNCTION("""COMPUTED_VALUE"""),"https://clutch.co/agencies/media-buying")</f>
        <v>https://clutch.co/agencies/media-buying</v>
      </c>
      <c r="B189" s="11" t="str">
        <f>IFERROR(__xludf.DUMMYFUNCTION("""COMPUTED_VALUE"""),"Top Media Buying &amp;amp; Planning Agencies - Jul 2026 Rankings | Clutch.co")</f>
        <v>Top Media Buying &amp;amp; Planning Agencies - Jul 2026 Rankings | Clutch.co</v>
      </c>
      <c r="C189" s="8" t="str">
        <f>IFERROR(__xludf.DUMMYFUNCTION("""COMPUTED_VALUE"""),"clutch.co")</f>
        <v>clutch.co</v>
      </c>
      <c r="D189" s="11" t="str">
        <f>IFERROR(__xludf.DUMMYFUNCTION("""COMPUTED_VALUE"""),"CATEGORY_PAGE")</f>
        <v>CATEGORY_PAGE</v>
      </c>
      <c r="E189" s="11" t="str">
        <f>IFERROR(__xludf.DUMMYFUNCTION("""COMPUTED_VALUE"""),"CORPORATE")</f>
        <v>CORPORATE</v>
      </c>
      <c r="F189" s="11" t="str">
        <f>IFERROR(__xludf.DUMMYFUNCTION("""COMPUTED_VALUE"""),"Category Page")</f>
        <v>Category Page</v>
      </c>
      <c r="G189" s="11" t="b">
        <f>IFERROR(__xludf.DUMMYFUNCTION("""COMPUTED_VALUE"""),FALSE)</f>
        <v>0</v>
      </c>
      <c r="H189" s="11" t="str">
        <f>IFERROR(__xludf.DUMMYFUNCTION("""COMPUTED_VALUE"""),"Momentum, REPLUG")</f>
        <v>Momentum, REPLUG</v>
      </c>
      <c r="I189" s="11">
        <f>IFERROR(__xludf.DUMMYFUNCTION("""COMPUTED_VALUE"""),1.0)</f>
        <v>1</v>
      </c>
      <c r="J189" s="11">
        <f>IFERROR(__xludf.DUMMYFUNCTION("""COMPUTED_VALUE"""),0.0)</f>
        <v>0</v>
      </c>
      <c r="K189" s="11">
        <f>IFERROR(__xludf.DUMMYFUNCTION("""COMPUTED_VALUE"""),0.0)</f>
        <v>0</v>
      </c>
    </row>
    <row r="190" ht="15.75" customHeight="1">
      <c r="A190" s="8" t="str">
        <f>IFERROR(__xludf.DUMMYFUNCTION("""COMPUTED_VALUE"""),"https://clutch.co/agencies/performance-marketing")</f>
        <v>https://clutch.co/agencies/performance-marketing</v>
      </c>
      <c r="B190" s="11" t="str">
        <f>IFERROR(__xludf.DUMMYFUNCTION("""COMPUTED_VALUE"""),"Top Performance Marketing Agencies - Jul 2026 Rankings | Clutch.co")</f>
        <v>Top Performance Marketing Agencies - Jul 2026 Rankings | Clutch.co</v>
      </c>
      <c r="C190" s="8" t="str">
        <f>IFERROR(__xludf.DUMMYFUNCTION("""COMPUTED_VALUE"""),"clutch.co")</f>
        <v>clutch.co</v>
      </c>
      <c r="D190" s="11" t="str">
        <f>IFERROR(__xludf.DUMMYFUNCTION("""COMPUTED_VALUE"""),"CATEGORY_PAGE")</f>
        <v>CATEGORY_PAGE</v>
      </c>
      <c r="E190" s="11" t="str">
        <f>IFERROR(__xludf.DUMMYFUNCTION("""COMPUTED_VALUE"""),"CORPORATE")</f>
        <v>CORPORATE</v>
      </c>
      <c r="F190" s="11" t="str">
        <f>IFERROR(__xludf.DUMMYFUNCTION("""COMPUTED_VALUE"""),"Category Page")</f>
        <v>Category Page</v>
      </c>
      <c r="G190" s="11" t="b">
        <f>IFERROR(__xludf.DUMMYFUNCTION("""COMPUTED_VALUE"""),FALSE)</f>
        <v>0</v>
      </c>
      <c r="H190" s="11" t="str">
        <f>IFERROR(__xludf.DUMMYFUNCTION("""COMPUTED_VALUE"""),"Disruptive Advertising, Momentum, REPLUG")</f>
        <v>Disruptive Advertising, Momentum, REPLUG</v>
      </c>
      <c r="I190" s="11">
        <f>IFERROR(__xludf.DUMMYFUNCTION("""COMPUTED_VALUE"""),1.0)</f>
        <v>1</v>
      </c>
      <c r="J190" s="11">
        <f>IFERROR(__xludf.DUMMYFUNCTION("""COMPUTED_VALUE"""),0.0)</f>
        <v>0</v>
      </c>
      <c r="K190" s="11">
        <f>IFERROR(__xludf.DUMMYFUNCTION("""COMPUTED_VALUE"""),3.0)</f>
        <v>3</v>
      </c>
    </row>
    <row r="191" ht="15.75" customHeight="1">
      <c r="A191" s="8" t="str">
        <f>IFERROR(__xludf.DUMMYFUNCTION("""COMPUTED_VALUE"""),"https://clutch.co/agencies/ppc")</f>
        <v>https://clutch.co/agencies/ppc</v>
      </c>
      <c r="B191" s="11" t="str">
        <f>IFERROR(__xludf.DUMMYFUNCTION("""COMPUTED_VALUE"""),"Top PPC Agencies - Jul 2026 Rankings | Clutch.co")</f>
        <v>Top PPC Agencies - Jul 2026 Rankings | Clutch.co</v>
      </c>
      <c r="C191" s="8" t="str">
        <f>IFERROR(__xludf.DUMMYFUNCTION("""COMPUTED_VALUE"""),"clutch.co")</f>
        <v>clutch.co</v>
      </c>
      <c r="D191" s="11" t="str">
        <f>IFERROR(__xludf.DUMMYFUNCTION("""COMPUTED_VALUE"""),"CATEGORY_PAGE")</f>
        <v>CATEGORY_PAGE</v>
      </c>
      <c r="E191" s="11" t="str">
        <f>IFERROR(__xludf.DUMMYFUNCTION("""COMPUTED_VALUE"""),"CORPORATE")</f>
        <v>CORPORATE</v>
      </c>
      <c r="F191" s="11" t="str">
        <f>IFERROR(__xludf.DUMMYFUNCTION("""COMPUTED_VALUE"""),"Category Page")</f>
        <v>Category Page</v>
      </c>
      <c r="G191" s="11" t="b">
        <f>IFERROR(__xludf.DUMMYFUNCTION("""COMPUTED_VALUE"""),FALSE)</f>
        <v>0</v>
      </c>
      <c r="H191" s="11" t="str">
        <f>IFERROR(__xludf.DUMMYFUNCTION("""COMPUTED_VALUE"""),"Disruptive Advertising, KlientBoost, Single Grain, SmartSites, Mediacharge")</f>
        <v>Disruptive Advertising, KlientBoost, Single Grain, SmartSites, Mediacharge</v>
      </c>
      <c r="I191" s="11">
        <f>IFERROR(__xludf.DUMMYFUNCTION("""COMPUTED_VALUE"""),1.0)</f>
        <v>1</v>
      </c>
      <c r="J191" s="11">
        <f>IFERROR(__xludf.DUMMYFUNCTION("""COMPUTED_VALUE"""),0.0)</f>
        <v>0</v>
      </c>
      <c r="K191" s="11">
        <f>IFERROR(__xludf.DUMMYFUNCTION("""COMPUTED_VALUE"""),0.0)</f>
        <v>0</v>
      </c>
    </row>
    <row r="192" ht="15.75" customHeight="1">
      <c r="A192" s="8" t="str">
        <f>IFERROR(__xludf.DUMMYFUNCTION("""COMPUTED_VALUE"""),"https://clutch.co/de/agencies/app-marketing")</f>
        <v>https://clutch.co/de/agencies/app-marketing</v>
      </c>
      <c r="B192" s="11" t="str">
        <f>IFERROR(__xludf.DUMMYFUNCTION("""COMPUTED_VALUE"""),"Top Mobile Marketing Agencies in Germany - Jul 2026 Rankings | Clutch.co")</f>
        <v>Top Mobile Marketing Agencies in Germany - Jul 2026 Rankings | Clutch.co</v>
      </c>
      <c r="C192" s="8" t="str">
        <f>IFERROR(__xludf.DUMMYFUNCTION("""COMPUTED_VALUE"""),"clutch.co")</f>
        <v>clutch.co</v>
      </c>
      <c r="D192" s="11" t="str">
        <f>IFERROR(__xludf.DUMMYFUNCTION("""COMPUTED_VALUE"""),"CATEGORY_PAGE")</f>
        <v>CATEGORY_PAGE</v>
      </c>
      <c r="E192" s="11" t="str">
        <f>IFERROR(__xludf.DUMMYFUNCTION("""COMPUTED_VALUE"""),"CORPORATE")</f>
        <v>CORPORATE</v>
      </c>
      <c r="F192" s="11" t="str">
        <f>IFERROR(__xludf.DUMMYFUNCTION("""COMPUTED_VALUE"""),"Category Page")</f>
        <v>Category Page</v>
      </c>
      <c r="G192" s="11" t="b">
        <f>IFERROR(__xludf.DUMMYFUNCTION("""COMPUTED_VALUE"""),FALSE)</f>
        <v>0</v>
      </c>
      <c r="H192" s="11" t="str">
        <f>IFERROR(__xludf.DUMMYFUNCTION("""COMPUTED_VALUE"""),"REPLUG, MONSOON, Phiture, Admiral Media, Customlytics, GroupM")</f>
        <v>REPLUG, MONSOON, Phiture, Admiral Media, Customlytics, GroupM</v>
      </c>
      <c r="I192" s="11">
        <f>IFERROR(__xludf.DUMMYFUNCTION("""COMPUTED_VALUE"""),1.0)</f>
        <v>1</v>
      </c>
      <c r="J192" s="11">
        <f>IFERROR(__xludf.DUMMYFUNCTION("""COMPUTED_VALUE"""),0.0)</f>
        <v>0</v>
      </c>
      <c r="K192" s="11">
        <f>IFERROR(__xludf.DUMMYFUNCTION("""COMPUTED_VALUE"""),1.0)</f>
        <v>1</v>
      </c>
    </row>
    <row r="193" ht="15.75" customHeight="1">
      <c r="A193" s="8" t="str">
        <f>IFERROR(__xludf.DUMMYFUNCTION("""COMPUTED_VALUE"""),"https://clutch.co/de/agencies/digital-marketing?page=3")</f>
        <v>https://clutch.co/de/agencies/digital-marketing?page=3</v>
      </c>
      <c r="B193" s="11" t="str">
        <f>IFERROR(__xludf.DUMMYFUNCTION("""COMPUTED_VALUE"""),"Page 3 - Top Digital Marketing Agencies in Germany - Jul 2026 Rankings \| Clutch.co")</f>
        <v>Page 3 - Top Digital Marketing Agencies in Germany - Jul 2026 Rankings \| Clutch.co</v>
      </c>
      <c r="C193" s="8" t="str">
        <f>IFERROR(__xludf.DUMMYFUNCTION("""COMPUTED_VALUE"""),"clutch.co")</f>
        <v>clutch.co</v>
      </c>
      <c r="D193" s="11" t="str">
        <f>IFERROR(__xludf.DUMMYFUNCTION("""COMPUTED_VALUE"""),"CATEGORY_PAGE")</f>
        <v>CATEGORY_PAGE</v>
      </c>
      <c r="E193" s="11" t="str">
        <f>IFERROR(__xludf.DUMMYFUNCTION("""COMPUTED_VALUE"""),"CORPORATE")</f>
        <v>CORPORATE</v>
      </c>
      <c r="F193" s="11" t="str">
        <f>IFERROR(__xludf.DUMMYFUNCTION("""COMPUTED_VALUE"""),"Category Page")</f>
        <v>Category Page</v>
      </c>
      <c r="G193" s="11" t="b">
        <f>IFERROR(__xludf.DUMMYFUNCTION("""COMPUTED_VALUE"""),FALSE)</f>
        <v>0</v>
      </c>
      <c r="H193" s="11" t="str">
        <f>IFERROR(__xludf.DUMMYFUNCTION("""COMPUTED_VALUE"""),"MONSOON, Mediacharge, REPLUG, Claneo, Peak Ace, morefire, Think11, eMinded GmbH, GroupM, Löwenstark, Medialabel, DEPT, Admiral Media, Phiture, HECHT INS GEFECHT, HY.AM STUDIOS")</f>
        <v>MONSOON, Mediacharge, REPLUG, Claneo, Peak Ace, morefire, Think11, eMinded GmbH, GroupM, Löwenstark, Medialabel, DEPT, Admiral Media, Phiture, HECHT INS GEFECHT, HY.AM STUDIOS</v>
      </c>
      <c r="I193" s="11">
        <f>IFERROR(__xludf.DUMMYFUNCTION("""COMPUTED_VALUE"""),1.0)</f>
        <v>1</v>
      </c>
      <c r="J193" s="11">
        <f>IFERROR(__xludf.DUMMYFUNCTION("""COMPUTED_VALUE"""),0.0)</f>
        <v>0</v>
      </c>
      <c r="K193" s="11">
        <f>IFERROR(__xludf.DUMMYFUNCTION("""COMPUTED_VALUE"""),0.0)</f>
        <v>0</v>
      </c>
    </row>
    <row r="194" ht="15.75" customHeight="1">
      <c r="A194" s="8" t="str">
        <f>IFERROR(__xludf.DUMMYFUNCTION("""COMPUTED_VALUE"""),"https://clutch.co/de/agencies/market-research/berlin")</f>
        <v>https://clutch.co/de/agencies/market-research/berlin</v>
      </c>
      <c r="B194" s="11" t="str">
        <f>IFERROR(__xludf.DUMMYFUNCTION("""COMPUTED_VALUE"""),"Top Market Research Companies in Berlin - Jul 2026 Rankings | Clutch.co")</f>
        <v>Top Market Research Companies in Berlin - Jul 2026 Rankings | Clutch.co</v>
      </c>
      <c r="C194" s="8" t="str">
        <f>IFERROR(__xludf.DUMMYFUNCTION("""COMPUTED_VALUE"""),"clutch.co")</f>
        <v>clutch.co</v>
      </c>
      <c r="D194" s="11" t="str">
        <f>IFERROR(__xludf.DUMMYFUNCTION("""COMPUTED_VALUE"""),"CATEGORY_PAGE")</f>
        <v>CATEGORY_PAGE</v>
      </c>
      <c r="E194" s="11" t="str">
        <f>IFERROR(__xludf.DUMMYFUNCTION("""COMPUTED_VALUE"""),"CORPORATE")</f>
        <v>CORPORATE</v>
      </c>
      <c r="F194" s="11" t="str">
        <f>IFERROR(__xludf.DUMMYFUNCTION("""COMPUTED_VALUE"""),"Category Page")</f>
        <v>Category Page</v>
      </c>
      <c r="G194" s="11" t="b">
        <f>IFERROR(__xludf.DUMMYFUNCTION("""COMPUTED_VALUE"""),FALSE)</f>
        <v>0</v>
      </c>
      <c r="H194" s="11" t="str">
        <f>IFERROR(__xludf.DUMMYFUNCTION("""COMPUTED_VALUE"""),"LNQP GmbH")</f>
        <v>LNQP GmbH</v>
      </c>
      <c r="I194" s="11">
        <f>IFERROR(__xludf.DUMMYFUNCTION("""COMPUTED_VALUE"""),1.0)</f>
        <v>1</v>
      </c>
      <c r="J194" s="11">
        <f>IFERROR(__xludf.DUMMYFUNCTION("""COMPUTED_VALUE"""),0.0)</f>
        <v>0</v>
      </c>
      <c r="K194" s="11">
        <f>IFERROR(__xludf.DUMMYFUNCTION("""COMPUTED_VALUE"""),1.0)</f>
        <v>1</v>
      </c>
    </row>
    <row r="195" ht="15.75" customHeight="1">
      <c r="A195" s="8" t="str">
        <f>IFERROR(__xludf.DUMMYFUNCTION("""COMPUTED_VALUE"""),"https://clutch.co/de/agencies/ppc/berlin")</f>
        <v>https://clutch.co/de/agencies/ppc/berlin</v>
      </c>
      <c r="B195" s="11" t="str">
        <f>IFERROR(__xludf.DUMMYFUNCTION("""COMPUTED_VALUE"""),"Top PPC Agencies in Berlin - Jul 2026 Rankings | Clutch.co")</f>
        <v>Top PPC Agencies in Berlin - Jul 2026 Rankings | Clutch.co</v>
      </c>
      <c r="C195" s="8" t="str">
        <f>IFERROR(__xludf.DUMMYFUNCTION("""COMPUTED_VALUE"""),"clutch.co")</f>
        <v>clutch.co</v>
      </c>
      <c r="D195" s="11" t="str">
        <f>IFERROR(__xludf.DUMMYFUNCTION("""COMPUTED_VALUE"""),"CATEGORY_PAGE")</f>
        <v>CATEGORY_PAGE</v>
      </c>
      <c r="E195" s="11" t="str">
        <f>IFERROR(__xludf.DUMMYFUNCTION("""COMPUTED_VALUE"""),"CORPORATE")</f>
        <v>CORPORATE</v>
      </c>
      <c r="F195" s="11" t="str">
        <f>IFERROR(__xludf.DUMMYFUNCTION("""COMPUTED_VALUE"""),"Category Page")</f>
        <v>Category Page</v>
      </c>
      <c r="G195" s="11" t="b">
        <f>IFERROR(__xludf.DUMMYFUNCTION("""COMPUTED_VALUE"""),FALSE)</f>
        <v>0</v>
      </c>
      <c r="H195" s="11" t="str">
        <f>IFERROR(__xludf.DUMMYFUNCTION("""COMPUTED_VALUE"""),"Mediacharge, MONSOON, REPLUG, Smarketer, Peak Ace, Medialabel")</f>
        <v>Mediacharge, MONSOON, REPLUG, Smarketer, Peak Ace, Medialabel</v>
      </c>
      <c r="I195" s="11">
        <f>IFERROR(__xludf.DUMMYFUNCTION("""COMPUTED_VALUE"""),1.0)</f>
        <v>1</v>
      </c>
      <c r="J195" s="11">
        <f>IFERROR(__xludf.DUMMYFUNCTION("""COMPUTED_VALUE"""),0.0)</f>
        <v>0</v>
      </c>
      <c r="K195" s="11">
        <f>IFERROR(__xludf.DUMMYFUNCTION("""COMPUTED_VALUE"""),1.0)</f>
        <v>1</v>
      </c>
    </row>
    <row r="196" ht="15.75" customHeight="1">
      <c r="A196" s="8" t="str">
        <f>IFERROR(__xludf.DUMMYFUNCTION("""COMPUTED_VALUE"""),"https://clutch.co/de/agencies/ppc/google-adwords")</f>
        <v>https://clutch.co/de/agencies/ppc/google-adwords</v>
      </c>
      <c r="B196" s="11" t="str">
        <f>IFERROR(__xludf.DUMMYFUNCTION("""COMPUTED_VALUE"""),"Top Adwords PPC Agencies in Germany - Jul 2026 Rankings \| Clutch.co")</f>
        <v>Top Adwords PPC Agencies in Germany - Jul 2026 Rankings \| Clutch.co</v>
      </c>
      <c r="C196" s="8" t="str">
        <f>IFERROR(__xludf.DUMMYFUNCTION("""COMPUTED_VALUE"""),"clutch.co")</f>
        <v>clutch.co</v>
      </c>
      <c r="D196" s="11" t="str">
        <f>IFERROR(__xludf.DUMMYFUNCTION("""COMPUTED_VALUE"""),"CATEGORY_PAGE")</f>
        <v>CATEGORY_PAGE</v>
      </c>
      <c r="E196" s="11" t="str">
        <f>IFERROR(__xludf.DUMMYFUNCTION("""COMPUTED_VALUE"""),"CORPORATE")</f>
        <v>CORPORATE</v>
      </c>
      <c r="F196" s="11" t="str">
        <f>IFERROR(__xludf.DUMMYFUNCTION("""COMPUTED_VALUE"""),"Category Page")</f>
        <v>Category Page</v>
      </c>
      <c r="G196" s="11" t="b">
        <f>IFERROR(__xludf.DUMMYFUNCTION("""COMPUTED_VALUE"""),FALSE)</f>
        <v>0</v>
      </c>
      <c r="H196" s="11" t="str">
        <f>IFERROR(__xludf.DUMMYFUNCTION("""COMPUTED_VALUE"""),"Mediacharge, MONSOON, Seeders, KlickPiloten, Smarketer, eMinded GmbH, Peak Ace")</f>
        <v>Mediacharge, MONSOON, Seeders, KlickPiloten, Smarketer, eMinded GmbH, Peak Ace</v>
      </c>
      <c r="I196" s="11">
        <f>IFERROR(__xludf.DUMMYFUNCTION("""COMPUTED_VALUE"""),1.0)</f>
        <v>1</v>
      </c>
      <c r="J196" s="11">
        <f>IFERROR(__xludf.DUMMYFUNCTION("""COMPUTED_VALUE"""),0.0)</f>
        <v>0</v>
      </c>
      <c r="K196" s="11">
        <f>IFERROR(__xludf.DUMMYFUNCTION("""COMPUTED_VALUE"""),0.0)</f>
        <v>0</v>
      </c>
    </row>
    <row r="197" ht="15.75" customHeight="1">
      <c r="A197" s="8" t="str">
        <f>IFERROR(__xludf.DUMMYFUNCTION("""COMPUTED_VALUE"""),"https://clutch.co/de/agencies/social-media-marketing/berlin")</f>
        <v>https://clutch.co/de/agencies/social-media-marketing/berlin</v>
      </c>
      <c r="B197" s="11" t="str">
        <f>IFERROR(__xludf.DUMMYFUNCTION("""COMPUTED_VALUE"""),"Top Social Media Marketing Agencies in Berlin - Jul 2026 Rankings \| Clutch.co")</f>
        <v>Top Social Media Marketing Agencies in Berlin - Jul 2026 Rankings \| Clutch.co</v>
      </c>
      <c r="C197" s="8" t="str">
        <f>IFERROR(__xludf.DUMMYFUNCTION("""COMPUTED_VALUE"""),"clutch.co")</f>
        <v>clutch.co</v>
      </c>
      <c r="D197" s="11" t="str">
        <f>IFERROR(__xludf.DUMMYFUNCTION("""COMPUTED_VALUE"""),"CATEGORY_PAGE")</f>
        <v>CATEGORY_PAGE</v>
      </c>
      <c r="E197" s="11" t="str">
        <f>IFERROR(__xludf.DUMMYFUNCTION("""COMPUTED_VALUE"""),"CORPORATE")</f>
        <v>CORPORATE</v>
      </c>
      <c r="F197" s="11" t="str">
        <f>IFERROR(__xludf.DUMMYFUNCTION("""COMPUTED_VALUE"""),"Category Page")</f>
        <v>Category Page</v>
      </c>
      <c r="G197" s="11" t="b">
        <f>IFERROR(__xludf.DUMMYFUNCTION("""COMPUTED_VALUE"""),FALSE)</f>
        <v>0</v>
      </c>
      <c r="H197" s="11" t="str">
        <f>IFERROR(__xludf.DUMMYFUNCTION("""COMPUTED_VALUE"""),"MONSOON, Mediacharge, PANORAMA3000, PwC, HY.AM STUDIOS, Huge, Pulse Advertising, Medialabel")</f>
        <v>MONSOON, Mediacharge, PANORAMA3000, PwC, HY.AM STUDIOS, Huge, Pulse Advertising, Medialabel</v>
      </c>
      <c r="I197" s="11">
        <f>IFERROR(__xludf.DUMMYFUNCTION("""COMPUTED_VALUE"""),1.0)</f>
        <v>1</v>
      </c>
      <c r="J197" s="11">
        <f>IFERROR(__xludf.DUMMYFUNCTION("""COMPUTED_VALUE"""),0.0)</f>
        <v>0</v>
      </c>
      <c r="K197" s="11">
        <f>IFERROR(__xludf.DUMMYFUNCTION("""COMPUTED_VALUE"""),1.0)</f>
        <v>1</v>
      </c>
    </row>
    <row r="198" ht="15.75" customHeight="1">
      <c r="A198" s="8" t="str">
        <f>IFERROR(__xludf.DUMMYFUNCTION("""COMPUTED_VALUE"""),"https://clutch.co/de/agencies/social-media-marketing/influencer/tiktok")</f>
        <v>https://clutch.co/de/agencies/social-media-marketing/influencer/tiktok</v>
      </c>
      <c r="B198" s="11" t="str">
        <f>IFERROR(__xludf.DUMMYFUNCTION("""COMPUTED_VALUE"""),"Top TikTok Influencer Marketing Agencies in Germany - Jul 2026 Rankings \| Clutch.co")</f>
        <v>Top TikTok Influencer Marketing Agencies in Germany - Jul 2026 Rankings \| Clutch.co</v>
      </c>
      <c r="C198" s="8" t="str">
        <f>IFERROR(__xludf.DUMMYFUNCTION("""COMPUTED_VALUE"""),"clutch.co")</f>
        <v>clutch.co</v>
      </c>
      <c r="D198" s="11" t="str">
        <f>IFERROR(__xludf.DUMMYFUNCTION("""COMPUTED_VALUE"""),"CATEGORY_PAGE")</f>
        <v>CATEGORY_PAGE</v>
      </c>
      <c r="E198" s="11" t="str">
        <f>IFERROR(__xludf.DUMMYFUNCTION("""COMPUTED_VALUE"""),"CORPORATE")</f>
        <v>CORPORATE</v>
      </c>
      <c r="F198" s="11" t="str">
        <f>IFERROR(__xludf.DUMMYFUNCTION("""COMPUTED_VALUE"""),"Category Page")</f>
        <v>Category Page</v>
      </c>
      <c r="G198" s="11" t="b">
        <f>IFERROR(__xludf.DUMMYFUNCTION("""COMPUTED_VALUE"""),FALSE)</f>
        <v>0</v>
      </c>
      <c r="H198" s="11" t="str">
        <f>IFERROR(__xludf.DUMMYFUNCTION("""COMPUTED_VALUE"""),"PANORAMA3000, Pulse Advertising, Medialabel, Haus, Mediaplus Group")</f>
        <v>PANORAMA3000, Pulse Advertising, Medialabel, Haus, Mediaplus Group</v>
      </c>
      <c r="I198" s="11">
        <f>IFERROR(__xludf.DUMMYFUNCTION("""COMPUTED_VALUE"""),1.0)</f>
        <v>1</v>
      </c>
      <c r="J198" s="11">
        <f>IFERROR(__xludf.DUMMYFUNCTION("""COMPUTED_VALUE"""),0.0)</f>
        <v>0</v>
      </c>
      <c r="K198" s="11">
        <f>IFERROR(__xludf.DUMMYFUNCTION("""COMPUTED_VALUE"""),0.0)</f>
        <v>0</v>
      </c>
    </row>
    <row r="199" ht="15.75" customHeight="1">
      <c r="A199" s="8" t="str">
        <f>IFERROR(__xludf.DUMMYFUNCTION("""COMPUTED_VALUE"""),"https://clutch.co/de/agencies/social-media-marketing?page=3")</f>
        <v>https://clutch.co/de/agencies/social-media-marketing?page=3</v>
      </c>
      <c r="B199" s="11" t="str">
        <f>IFERROR(__xludf.DUMMYFUNCTION("""COMPUTED_VALUE"""),"Page 3 - Top Social Media Marketing Companies in Germany - Jul 2026 Rankings \| Clutch.co")</f>
        <v>Page 3 - Top Social Media Marketing Companies in Germany - Jul 2026 Rankings \| Clutch.co</v>
      </c>
      <c r="C199" s="8" t="str">
        <f>IFERROR(__xludf.DUMMYFUNCTION("""COMPUTED_VALUE"""),"clutch.co")</f>
        <v>clutch.co</v>
      </c>
      <c r="D199" s="11" t="str">
        <f>IFERROR(__xludf.DUMMYFUNCTION("""COMPUTED_VALUE"""),"CATEGORY_PAGE")</f>
        <v>CATEGORY_PAGE</v>
      </c>
      <c r="E199" s="11" t="str">
        <f>IFERROR(__xludf.DUMMYFUNCTION("""COMPUTED_VALUE"""),"CORPORATE")</f>
        <v>CORPORATE</v>
      </c>
      <c r="F199" s="11" t="str">
        <f>IFERROR(__xludf.DUMMYFUNCTION("""COMPUTED_VALUE"""),"Category Page")</f>
        <v>Category Page</v>
      </c>
      <c r="G199" s="11" t="b">
        <f>IFERROR(__xludf.DUMMYFUNCTION("""COMPUTED_VALUE"""),FALSE)</f>
        <v>0</v>
      </c>
      <c r="H199" s="11" t="str">
        <f>IFERROR(__xludf.DUMMYFUNCTION("""COMPUTED_VALUE"""),"MONSOON, Mediacharge, Haus, HY.AM STUDIOS, PANORAMA3000, Digitalyze, KlickPiloten")</f>
        <v>MONSOON, Mediacharge, Haus, HY.AM STUDIOS, PANORAMA3000, Digitalyze, KlickPiloten</v>
      </c>
      <c r="I199" s="11">
        <f>IFERROR(__xludf.DUMMYFUNCTION("""COMPUTED_VALUE"""),1.0)</f>
        <v>1</v>
      </c>
      <c r="J199" s="11">
        <f>IFERROR(__xludf.DUMMYFUNCTION("""COMPUTED_VALUE"""),0.0)</f>
        <v>0</v>
      </c>
      <c r="K199" s="11">
        <f>IFERROR(__xludf.DUMMYFUNCTION("""COMPUTED_VALUE"""),0.0)</f>
        <v>0</v>
      </c>
    </row>
    <row r="200" ht="15.75" customHeight="1">
      <c r="A200" s="8" t="str">
        <f>IFERROR(__xludf.DUMMYFUNCTION("""COMPUTED_VALUE"""),"https://clutch.co/de/it-services/master-data-management-consulting")</f>
        <v>https://clutch.co/de/it-services/master-data-management-consulting</v>
      </c>
      <c r="B200" s="11" t="str">
        <f>IFERROR(__xludf.DUMMYFUNCTION("""COMPUTED_VALUE"""),"Top MDM Consultants in Germany - Jul 2026 Rankings \| Clutch.co")</f>
        <v>Top MDM Consultants in Germany - Jul 2026 Rankings \| Clutch.co</v>
      </c>
      <c r="C200" s="8" t="str">
        <f>IFERROR(__xludf.DUMMYFUNCTION("""COMPUTED_VALUE"""),"clutch.co")</f>
        <v>clutch.co</v>
      </c>
      <c r="D200" s="11" t="str">
        <f>IFERROR(__xludf.DUMMYFUNCTION("""COMPUTED_VALUE"""),"CATEGORY_PAGE")</f>
        <v>CATEGORY_PAGE</v>
      </c>
      <c r="E200" s="11" t="str">
        <f>IFERROR(__xludf.DUMMYFUNCTION("""COMPUTED_VALUE"""),"CORPORATE")</f>
        <v>CORPORATE</v>
      </c>
      <c r="F200" s="11" t="str">
        <f>IFERROR(__xludf.DUMMYFUNCTION("""COMPUTED_VALUE"""),"Category Page")</f>
        <v>Category Page</v>
      </c>
      <c r="G200" s="11" t="b">
        <f>IFERROR(__xludf.DUMMYFUNCTION("""COMPUTED_VALUE"""),FALSE)</f>
        <v>0</v>
      </c>
      <c r="H200" s="11"/>
      <c r="I200" s="11">
        <f>IFERROR(__xludf.DUMMYFUNCTION("""COMPUTED_VALUE"""),1.0)</f>
        <v>1</v>
      </c>
      <c r="J200" s="11">
        <f>IFERROR(__xludf.DUMMYFUNCTION("""COMPUTED_VALUE"""),0.0)</f>
        <v>0</v>
      </c>
      <c r="K200" s="11">
        <f>IFERROR(__xludf.DUMMYFUNCTION("""COMPUTED_VALUE"""),0.0)</f>
        <v>0</v>
      </c>
    </row>
    <row r="201" ht="15.75" customHeight="1">
      <c r="A201" s="8" t="str">
        <f>IFERROR(__xludf.DUMMYFUNCTION("""COMPUTED_VALUE"""),"https://www.consulting.de/unternehmensberatungen/unternehmensberatungen-in-deutschland/unternehmensliste/c/kuenstliche-intelligenz/")</f>
        <v>https://www.consulting.de/unternehmensberatungen/unternehmensberatungen-in-deutschland/unternehmensliste/c/kuenstliche-intelligenz/</v>
      </c>
      <c r="B201" s="11" t="str">
        <f>IFERROR(__xludf.DUMMYFUNCTION("""COMPUTED_VALUE"""),"Unternehmensberatungen zum Thema Künstliche Intelligenz - Marktforschungsinstitute | CONSULTING.de")</f>
        <v>Unternehmensberatungen zum Thema Künstliche Intelligenz - Marktforschungsinstitute | CONSULTING.de</v>
      </c>
      <c r="C201" s="8" t="str">
        <f>IFERROR(__xludf.DUMMYFUNCTION("""COMPUTED_VALUE"""),"consulting.de")</f>
        <v>consulting.de</v>
      </c>
      <c r="D201" s="11" t="str">
        <f>IFERROR(__xludf.DUMMYFUNCTION("""COMPUTED_VALUE"""),"CATEGORY_PAGE")</f>
        <v>CATEGORY_PAGE</v>
      </c>
      <c r="E201" s="11" t="str">
        <f>IFERROR(__xludf.DUMMYFUNCTION("""COMPUTED_VALUE"""),"EDITORIAL")</f>
        <v>EDITORIAL</v>
      </c>
      <c r="F201" s="11" t="str">
        <f>IFERROR(__xludf.DUMMYFUNCTION("""COMPUTED_VALUE"""),"Category Page")</f>
        <v>Category Page</v>
      </c>
      <c r="G201" s="11" t="b">
        <f>IFERROR(__xludf.DUMMYFUNCTION("""COMPUTED_VALUE"""),FALSE)</f>
        <v>0</v>
      </c>
      <c r="H201" s="11" t="str">
        <f>IFERROR(__xludf.DUMMYFUNCTION("""COMPUTED_VALUE"""),"BCG")</f>
        <v>BCG</v>
      </c>
      <c r="I201" s="11">
        <f>IFERROR(__xludf.DUMMYFUNCTION("""COMPUTED_VALUE"""),1.0)</f>
        <v>1</v>
      </c>
      <c r="J201" s="11">
        <f>IFERROR(__xludf.DUMMYFUNCTION("""COMPUTED_VALUE"""),0.0)</f>
        <v>0</v>
      </c>
      <c r="K201" s="11">
        <f>IFERROR(__xludf.DUMMYFUNCTION("""COMPUTED_VALUE"""),0.0)</f>
        <v>0</v>
      </c>
    </row>
    <row r="202" ht="15.75" customHeight="1">
      <c r="A202" s="8" t="str">
        <f>IFERROR(__xludf.DUMMYFUNCTION("""COMPUTED_VALUE"""),"https://de.ryte.com/partner/hire-a-ryte-partner/")</f>
        <v>https://de.ryte.com/partner/hire-a-ryte-partner/</v>
      </c>
      <c r="B202" s="11" t="str">
        <f>IFERROR(__xludf.DUMMYFUNCTION("""COMPUTED_VALUE"""),"Die Ryte Partner-Programme")</f>
        <v>Die Ryte Partner-Programme</v>
      </c>
      <c r="C202" s="8" t="str">
        <f>IFERROR(__xludf.DUMMYFUNCTION("""COMPUTED_VALUE"""),"ryte.com")</f>
        <v>ryte.com</v>
      </c>
      <c r="D202" s="11" t="str">
        <f>IFERROR(__xludf.DUMMYFUNCTION("""COMPUTED_VALUE"""),"CATEGORY_PAGE")</f>
        <v>CATEGORY_PAGE</v>
      </c>
      <c r="E202" s="11" t="str">
        <f>IFERROR(__xludf.DUMMYFUNCTION("""COMPUTED_VALUE"""),"CORPORATE")</f>
        <v>CORPORATE</v>
      </c>
      <c r="F202" s="11" t="str">
        <f>IFERROR(__xludf.DUMMYFUNCTION("""COMPUTED_VALUE"""),"Category Page")</f>
        <v>Category Page</v>
      </c>
      <c r="G202" s="11" t="b">
        <f>IFERROR(__xludf.DUMMYFUNCTION("""COMPUTED_VALUE"""),FALSE)</f>
        <v>0</v>
      </c>
      <c r="H202" s="11" t="str">
        <f>IFERROR(__xludf.DUMMYFUNCTION("""COMPUTED_VALUE"""),"DEPT, Jung von Matt, Peak Ace, Kosch Klink Performance, WPP")</f>
        <v>DEPT, Jung von Matt, Peak Ace, Kosch Klink Performance, WPP</v>
      </c>
      <c r="I202" s="11">
        <f>IFERROR(__xludf.DUMMYFUNCTION("""COMPUTED_VALUE"""),1.0)</f>
        <v>1</v>
      </c>
      <c r="J202" s="11">
        <f>IFERROR(__xludf.DUMMYFUNCTION("""COMPUTED_VALUE"""),0.0)</f>
        <v>0</v>
      </c>
      <c r="K202" s="11">
        <f>IFERROR(__xludf.DUMMYFUNCTION("""COMPUTED_VALUE"""),1.0)</f>
        <v>1</v>
      </c>
    </row>
    <row r="203" ht="15.75" customHeight="1">
      <c r="A203" s="8" t="str">
        <f>IFERROR(__xludf.DUMMYFUNCTION("""COMPUTED_VALUE"""),"https://www.designrush.com/agency/digital-marketing/analytics")</f>
        <v>https://www.designrush.com/agency/digital-marketing/analytics</v>
      </c>
      <c r="B203" s="11" t="str">
        <f>IFERROR(__xludf.DUMMYFUNCTION("""COMPUTED_VALUE"""),"Top Marketing Analytics Agencies in 2026")</f>
        <v>Top Marketing Analytics Agencies in 2026</v>
      </c>
      <c r="C203" s="8" t="str">
        <f>IFERROR(__xludf.DUMMYFUNCTION("""COMPUTED_VALUE"""),"designrush.com")</f>
        <v>designrush.com</v>
      </c>
      <c r="D203" s="11" t="str">
        <f>IFERROR(__xludf.DUMMYFUNCTION("""COMPUTED_VALUE"""),"CATEGORY_PAGE")</f>
        <v>CATEGORY_PAGE</v>
      </c>
      <c r="E203" s="11" t="str">
        <f>IFERROR(__xludf.DUMMYFUNCTION("""COMPUTED_VALUE"""),"CORPORATE")</f>
        <v>CORPORATE</v>
      </c>
      <c r="F203" s="11" t="str">
        <f>IFERROR(__xludf.DUMMYFUNCTION("""COMPUTED_VALUE"""),"Category Page")</f>
        <v>Category Page</v>
      </c>
      <c r="G203" s="11" t="b">
        <f>IFERROR(__xludf.DUMMYFUNCTION("""COMPUTED_VALUE"""),FALSE)</f>
        <v>0</v>
      </c>
      <c r="H203" s="11" t="str">
        <f>IFERROR(__xludf.DUMMYFUNCTION("""COMPUTED_VALUE"""),"SmartSites, Huge, KlientBoost, Monks, Ruler Analytics")</f>
        <v>SmartSites, Huge, KlientBoost, Monks, Ruler Analytics</v>
      </c>
      <c r="I203" s="11">
        <f>IFERROR(__xludf.DUMMYFUNCTION("""COMPUTED_VALUE"""),1.0)</f>
        <v>1</v>
      </c>
      <c r="J203" s="11">
        <f>IFERROR(__xludf.DUMMYFUNCTION("""COMPUTED_VALUE"""),0.0)</f>
        <v>0</v>
      </c>
      <c r="K203" s="11">
        <f>IFERROR(__xludf.DUMMYFUNCTION("""COMPUTED_VALUE"""),0.0)</f>
        <v>0</v>
      </c>
    </row>
    <row r="204" ht="15.75" customHeight="1">
      <c r="A204" s="8" t="str">
        <f>IFERROR(__xludf.DUMMYFUNCTION("""COMPUTED_VALUE"""),"https://digitalagencynetwork.com/agencies/berlin/social-media-marketing/")</f>
        <v>https://digitalagencynetwork.com/agencies/berlin/social-media-marketing/</v>
      </c>
      <c r="B204" s="11" t="str">
        <f>IFERROR(__xludf.DUMMYFUNCTION("""COMPUTED_VALUE"""),"Best Social Media Marketing Agencies in Berlin | Digital Agency Network")</f>
        <v>Best Social Media Marketing Agencies in Berlin | Digital Agency Network</v>
      </c>
      <c r="C204" s="8" t="str">
        <f>IFERROR(__xludf.DUMMYFUNCTION("""COMPUTED_VALUE"""),"digitalagencynetwork.com")</f>
        <v>digitalagencynetwork.com</v>
      </c>
      <c r="D204" s="11" t="str">
        <f>IFERROR(__xludf.DUMMYFUNCTION("""COMPUTED_VALUE"""),"CATEGORY_PAGE")</f>
        <v>CATEGORY_PAGE</v>
      </c>
      <c r="E204" s="11" t="str">
        <f>IFERROR(__xludf.DUMMYFUNCTION("""COMPUTED_VALUE"""),"REFERENCE")</f>
        <v>REFERENCE</v>
      </c>
      <c r="F204" s="11" t="str">
        <f>IFERROR(__xludf.DUMMYFUNCTION("""COMPUTED_VALUE"""),"Category Page")</f>
        <v>Category Page</v>
      </c>
      <c r="G204" s="11" t="b">
        <f>IFERROR(__xludf.DUMMYFUNCTION("""COMPUTED_VALUE"""),FALSE)</f>
        <v>0</v>
      </c>
      <c r="H204" s="11" t="str">
        <f>IFERROR(__xludf.DUMMYFUNCTION("""COMPUTED_VALUE"""),"MONSOON, Momentum, Measured, PANORAMA3000, HY.AM STUDIOS")</f>
        <v>MONSOON, Momentum, Measured, PANORAMA3000, HY.AM STUDIOS</v>
      </c>
      <c r="I204" s="11">
        <f>IFERROR(__xludf.DUMMYFUNCTION("""COMPUTED_VALUE"""),1.0)</f>
        <v>1</v>
      </c>
      <c r="J204" s="11">
        <f>IFERROR(__xludf.DUMMYFUNCTION("""COMPUTED_VALUE"""),0.0)</f>
        <v>0</v>
      </c>
      <c r="K204" s="11">
        <f>IFERROR(__xludf.DUMMYFUNCTION("""COMPUTED_VALUE"""),1.0)</f>
        <v>1</v>
      </c>
    </row>
    <row r="205" ht="15.75" customHeight="1">
      <c r="A205" s="8" t="str">
        <f>IFERROR(__xludf.DUMMYFUNCTION("""COMPUTED_VALUE"""),"https://digitalagencynetwork.com/agencies/europe/ai-marketing/")</f>
        <v>https://digitalagencynetwork.com/agencies/europe/ai-marketing/</v>
      </c>
      <c r="B205" s="11" t="str">
        <f>IFERROR(__xludf.DUMMYFUNCTION("""COMPUTED_VALUE"""),"Top AI Marketing Agencies in Europe (2026)")</f>
        <v>Top AI Marketing Agencies in Europe (2026)</v>
      </c>
      <c r="C205" s="8" t="str">
        <f>IFERROR(__xludf.DUMMYFUNCTION("""COMPUTED_VALUE"""),"digitalagencynetwork.com")</f>
        <v>digitalagencynetwork.com</v>
      </c>
      <c r="D205" s="11" t="str">
        <f>IFERROR(__xludf.DUMMYFUNCTION("""COMPUTED_VALUE"""),"CATEGORY_PAGE")</f>
        <v>CATEGORY_PAGE</v>
      </c>
      <c r="E205" s="11" t="str">
        <f>IFERROR(__xludf.DUMMYFUNCTION("""COMPUTED_VALUE"""),"REFERENCE")</f>
        <v>REFERENCE</v>
      </c>
      <c r="F205" s="11" t="str">
        <f>IFERROR(__xludf.DUMMYFUNCTION("""COMPUTED_VALUE"""),"Category Page")</f>
        <v>Category Page</v>
      </c>
      <c r="G205" s="11" t="b">
        <f>IFERROR(__xludf.DUMMYFUNCTION("""COMPUTED_VALUE"""),FALSE)</f>
        <v>0</v>
      </c>
      <c r="H205" s="11" t="str">
        <f>IFERROR(__xludf.DUMMYFUNCTION("""COMPUTED_VALUE"""),"AKQA, Haus, DEPT")</f>
        <v>AKQA, Haus, DEPT</v>
      </c>
      <c r="I205" s="11">
        <f>IFERROR(__xludf.DUMMYFUNCTION("""COMPUTED_VALUE"""),1.0)</f>
        <v>1</v>
      </c>
      <c r="J205" s="11">
        <f>IFERROR(__xludf.DUMMYFUNCTION("""COMPUTED_VALUE"""),0.0)</f>
        <v>0</v>
      </c>
      <c r="K205" s="11">
        <f>IFERROR(__xludf.DUMMYFUNCTION("""COMPUTED_VALUE"""),1.0)</f>
        <v>1</v>
      </c>
    </row>
    <row r="206" ht="15.75" customHeight="1">
      <c r="A206" s="8" t="str">
        <f>IFERROR(__xludf.DUMMYFUNCTION("""COMPUTED_VALUE"""),"https://ensun.io/search/data-analytics/germany")</f>
        <v>https://ensun.io/search/data-analytics/germany</v>
      </c>
      <c r="B206" s="11" t="str">
        <f>IFERROR(__xludf.DUMMYFUNCTION("""COMPUTED_VALUE"""),"Top 100 Data Analytics Companies in Germany (2026) \| ensun")</f>
        <v>Top 100 Data Analytics Companies in Germany (2026) \| ensun</v>
      </c>
      <c r="C206" s="8" t="str">
        <f>IFERROR(__xludf.DUMMYFUNCTION("""COMPUTED_VALUE"""),"ensun.io")</f>
        <v>ensun.io</v>
      </c>
      <c r="D206" s="11" t="str">
        <f>IFERROR(__xludf.DUMMYFUNCTION("""COMPUTED_VALUE"""),"CATEGORY_PAGE")</f>
        <v>CATEGORY_PAGE</v>
      </c>
      <c r="E206" s="11" t="str">
        <f>IFERROR(__xludf.DUMMYFUNCTION("""COMPUTED_VALUE"""),"OTHER")</f>
        <v>OTHER</v>
      </c>
      <c r="F206" s="11" t="str">
        <f>IFERROR(__xludf.DUMMYFUNCTION("""COMPUTED_VALUE"""),"Category Page")</f>
        <v>Category Page</v>
      </c>
      <c r="G206" s="11" t="b">
        <f>IFERROR(__xludf.DUMMYFUNCTION("""COMPUTED_VALUE"""),FALSE)</f>
        <v>0</v>
      </c>
      <c r="H206" s="11" t="str">
        <f>IFERROR(__xludf.DUMMYFUNCTION("""COMPUTED_VALUE"""),"Kantar")</f>
        <v>Kantar</v>
      </c>
      <c r="I206" s="11">
        <f>IFERROR(__xludf.DUMMYFUNCTION("""COMPUTED_VALUE"""),1.0)</f>
        <v>1</v>
      </c>
      <c r="J206" s="11">
        <f>IFERROR(__xludf.DUMMYFUNCTION("""COMPUTED_VALUE"""),0.0)</f>
        <v>0</v>
      </c>
      <c r="K206" s="11">
        <f>IFERROR(__xludf.DUMMYFUNCTION("""COMPUTED_VALUE"""),1.0)</f>
        <v>1</v>
      </c>
    </row>
    <row r="207" ht="15.75" customHeight="1">
      <c r="A207" s="8" t="str">
        <f>IFERROR(__xludf.DUMMYFUNCTION("""COMPUTED_VALUE"""),"https://ensun.io/search/web-analytics/germany")</f>
        <v>https://ensun.io/search/web-analytics/germany</v>
      </c>
      <c r="B207" s="11" t="str">
        <f>IFERROR(__xludf.DUMMYFUNCTION("""COMPUTED_VALUE"""),"Top 100 Web Analytics Companies in Germany (2026) \| ensun")</f>
        <v>Top 100 Web Analytics Companies in Germany (2026) \| ensun</v>
      </c>
      <c r="C207" s="8" t="str">
        <f>IFERROR(__xludf.DUMMYFUNCTION("""COMPUTED_VALUE"""),"ensun.io")</f>
        <v>ensun.io</v>
      </c>
      <c r="D207" s="11" t="str">
        <f>IFERROR(__xludf.DUMMYFUNCTION("""COMPUTED_VALUE"""),"CATEGORY_PAGE")</f>
        <v>CATEGORY_PAGE</v>
      </c>
      <c r="E207" s="11" t="str">
        <f>IFERROR(__xludf.DUMMYFUNCTION("""COMPUTED_VALUE"""),"OTHER")</f>
        <v>OTHER</v>
      </c>
      <c r="F207" s="11" t="str">
        <f>IFERROR(__xludf.DUMMYFUNCTION("""COMPUTED_VALUE"""),"Category Page")</f>
        <v>Category Page</v>
      </c>
      <c r="G207" s="11" t="b">
        <f>IFERROR(__xludf.DUMMYFUNCTION("""COMPUTED_VALUE"""),FALSE)</f>
        <v>0</v>
      </c>
      <c r="H207" s="11" t="str">
        <f>IFERROR(__xludf.DUMMYFUNCTION("""COMPUTED_VALUE"""),"Kantar")</f>
        <v>Kantar</v>
      </c>
      <c r="I207" s="11">
        <f>IFERROR(__xludf.DUMMYFUNCTION("""COMPUTED_VALUE"""),1.0)</f>
        <v>1</v>
      </c>
      <c r="J207" s="11">
        <f>IFERROR(__xludf.DUMMYFUNCTION("""COMPUTED_VALUE"""),0.0)</f>
        <v>0</v>
      </c>
      <c r="K207" s="11">
        <f>IFERROR(__xludf.DUMMYFUNCTION("""COMPUTED_VALUE"""),1.0)</f>
        <v>1</v>
      </c>
    </row>
    <row r="208" ht="15.75" customHeight="1">
      <c r="A208" s="8" t="str">
        <f>IFERROR(__xludf.DUMMYFUNCTION("""COMPUTED_VALUE"""),"https://www.featuredcustomers.com/software/first-party-data-solutions")</f>
        <v>https://www.featuredcustomers.com/software/first-party-data-solutions</v>
      </c>
      <c r="B208" s="11" t="str">
        <f>IFERROR(__xludf.DUMMYFUNCTION("""COMPUTED_VALUE"""),"Best First-Party Data Solutions 2026 - Reviews, Case Studies &amp;amp; Videos")</f>
        <v>Best First-Party Data Solutions 2026 - Reviews, Case Studies &amp;amp; Videos</v>
      </c>
      <c r="C208" s="8" t="str">
        <f>IFERROR(__xludf.DUMMYFUNCTION("""COMPUTED_VALUE"""),"featuredcustomers.com")</f>
        <v>featuredcustomers.com</v>
      </c>
      <c r="D208" s="11" t="str">
        <f>IFERROR(__xludf.DUMMYFUNCTION("""COMPUTED_VALUE"""),"CATEGORY_PAGE")</f>
        <v>CATEGORY_PAGE</v>
      </c>
      <c r="E208" s="11" t="str">
        <f>IFERROR(__xludf.DUMMYFUNCTION("""COMPUTED_VALUE"""),"REFERENCE")</f>
        <v>REFERENCE</v>
      </c>
      <c r="F208" s="11" t="str">
        <f>IFERROR(__xludf.DUMMYFUNCTION("""COMPUTED_VALUE"""),"Category Page")</f>
        <v>Category Page</v>
      </c>
      <c r="G208" s="11" t="b">
        <f>IFERROR(__xludf.DUMMYFUNCTION("""COMPUTED_VALUE"""),FALSE)</f>
        <v>0</v>
      </c>
      <c r="H208" s="11"/>
      <c r="I208" s="11">
        <f>IFERROR(__xludf.DUMMYFUNCTION("""COMPUTED_VALUE"""),1.0)</f>
        <v>1</v>
      </c>
      <c r="J208" s="11">
        <f>IFERROR(__xludf.DUMMYFUNCTION("""COMPUTED_VALUE"""),0.0)</f>
        <v>0</v>
      </c>
      <c r="K208" s="11">
        <f>IFERROR(__xludf.DUMMYFUNCTION("""COMPUTED_VALUE"""),0.0)</f>
        <v>0</v>
      </c>
    </row>
    <row r="209" ht="15.75" customHeight="1">
      <c r="A209" s="8" t="str">
        <f>IFERROR(__xludf.DUMMYFUNCTION("""COMPUTED_VALUE"""),"https://feedbax.ai/conversion-optimization")</f>
        <v>https://feedbax.ai/conversion-optimization</v>
      </c>
      <c r="B209" s="11" t="str">
        <f>IFERROR(__xludf.DUMMYFUNCTION("""COMPUTED_VALUE"""),"Top 20 Conversion Rate Optimization Agencies - 2026 Reviews")</f>
        <v>Top 20 Conversion Rate Optimization Agencies - 2026 Reviews</v>
      </c>
      <c r="C209" s="8" t="str">
        <f>IFERROR(__xludf.DUMMYFUNCTION("""COMPUTED_VALUE"""),"feedbax.ai")</f>
        <v>feedbax.ai</v>
      </c>
      <c r="D209" s="11" t="str">
        <f>IFERROR(__xludf.DUMMYFUNCTION("""COMPUTED_VALUE"""),"CATEGORY_PAGE")</f>
        <v>CATEGORY_PAGE</v>
      </c>
      <c r="E209" s="11" t="str">
        <f>IFERROR(__xludf.DUMMYFUNCTION("""COMPUTED_VALUE"""),"UGC")</f>
        <v>UGC</v>
      </c>
      <c r="F209" s="11" t="str">
        <f>IFERROR(__xludf.DUMMYFUNCTION("""COMPUTED_VALUE"""),"Category Page")</f>
        <v>Category Page</v>
      </c>
      <c r="G209" s="11" t="b">
        <f>IFERROR(__xludf.DUMMYFUNCTION("""COMPUTED_VALUE"""),FALSE)</f>
        <v>0</v>
      </c>
      <c r="H209" s="11" t="str">
        <f>IFERROR(__xludf.DUMMYFUNCTION("""COMPUTED_VALUE"""),"KlickPiloten, Mediacharge, DREIKON, Suchhelden, ZweiDigital GmbH, morefire")</f>
        <v>KlickPiloten, Mediacharge, DREIKON, Suchhelden, ZweiDigital GmbH, morefire</v>
      </c>
      <c r="I209" s="11">
        <f>IFERROR(__xludf.DUMMYFUNCTION("""COMPUTED_VALUE"""),1.0)</f>
        <v>1</v>
      </c>
      <c r="J209" s="11">
        <f>IFERROR(__xludf.DUMMYFUNCTION("""COMPUTED_VALUE"""),0.0)</f>
        <v>0</v>
      </c>
      <c r="K209" s="11">
        <f>IFERROR(__xludf.DUMMYFUNCTION("""COMPUTED_VALUE"""),1.0)</f>
        <v>1</v>
      </c>
    </row>
    <row r="210" ht="15.75" customHeight="1">
      <c r="A210" s="8" t="str">
        <f>IFERROR(__xludf.DUMMYFUNCTION("""COMPUTED_VALUE"""),"https://feedbax.ai/google-ads")</f>
        <v>https://feedbax.ai/google-ads</v>
      </c>
      <c r="B210" s="11" t="str">
        <f>IFERROR(__xludf.DUMMYFUNCTION("""COMPUTED_VALUE"""),"Top 20 Google Ads Agencies - 2026 Reviews")</f>
        <v>Top 20 Google Ads Agencies - 2026 Reviews</v>
      </c>
      <c r="C210" s="8" t="str">
        <f>IFERROR(__xludf.DUMMYFUNCTION("""COMPUTED_VALUE"""),"feedbax.ai")</f>
        <v>feedbax.ai</v>
      </c>
      <c r="D210" s="11" t="str">
        <f>IFERROR(__xludf.DUMMYFUNCTION("""COMPUTED_VALUE"""),"CATEGORY_PAGE")</f>
        <v>CATEGORY_PAGE</v>
      </c>
      <c r="E210" s="11" t="str">
        <f>IFERROR(__xludf.DUMMYFUNCTION("""COMPUTED_VALUE"""),"UGC")</f>
        <v>UGC</v>
      </c>
      <c r="F210" s="11" t="str">
        <f>IFERROR(__xludf.DUMMYFUNCTION("""COMPUTED_VALUE"""),"Category Page")</f>
        <v>Category Page</v>
      </c>
      <c r="G210" s="11" t="b">
        <f>IFERROR(__xludf.DUMMYFUNCTION("""COMPUTED_VALUE"""),FALSE)</f>
        <v>0</v>
      </c>
      <c r="H210" s="11" t="str">
        <f>IFERROR(__xludf.DUMMYFUNCTION("""COMPUTED_VALUE"""),"Loyamo, Smarketer, Mediacharge, DREIKON, Suchhelden")</f>
        <v>Loyamo, Smarketer, Mediacharge, DREIKON, Suchhelden</v>
      </c>
      <c r="I210" s="11">
        <f>IFERROR(__xludf.DUMMYFUNCTION("""COMPUTED_VALUE"""),1.0)</f>
        <v>1</v>
      </c>
      <c r="J210" s="11">
        <f>IFERROR(__xludf.DUMMYFUNCTION("""COMPUTED_VALUE"""),0.0)</f>
        <v>0</v>
      </c>
      <c r="K210" s="11">
        <f>IFERROR(__xludf.DUMMYFUNCTION("""COMPUTED_VALUE"""),1.0)</f>
        <v>1</v>
      </c>
    </row>
    <row r="211" ht="15.75" customHeight="1">
      <c r="A211" s="8" t="str">
        <f>IFERROR(__xludf.DUMMYFUNCTION("""COMPUTED_VALUE"""),"https://www.gartner.com/reviews/market/b2b-multitouch-attribution-tools")</f>
        <v>https://www.gartner.com/reviews/market/b2b-multitouch-attribution-tools</v>
      </c>
      <c r="B211" s="11" t="str">
        <f>IFERROR(__xludf.DUMMYFUNCTION("""COMPUTED_VALUE"""),"Best B2B Multitouch Attribution Tools Reviews 2026 \| Gartner Peer Insights")</f>
        <v>Best B2B Multitouch Attribution Tools Reviews 2026 \| Gartner Peer Insights</v>
      </c>
      <c r="C211" s="8" t="str">
        <f>IFERROR(__xludf.DUMMYFUNCTION("""COMPUTED_VALUE"""),"gartner.com")</f>
        <v>gartner.com</v>
      </c>
      <c r="D211" s="11" t="str">
        <f>IFERROR(__xludf.DUMMYFUNCTION("""COMPUTED_VALUE"""),"CATEGORY_PAGE")</f>
        <v>CATEGORY_PAGE</v>
      </c>
      <c r="E211" s="11" t="str">
        <f>IFERROR(__xludf.DUMMYFUNCTION("""COMPUTED_VALUE"""),"CORPORATE")</f>
        <v>CORPORATE</v>
      </c>
      <c r="F211" s="11" t="str">
        <f>IFERROR(__xludf.DUMMYFUNCTION("""COMPUTED_VALUE"""),"Category Page")</f>
        <v>Category Page</v>
      </c>
      <c r="G211" s="11" t="b">
        <f>IFERROR(__xludf.DUMMYFUNCTION("""COMPUTED_VALUE"""),FALSE)</f>
        <v>0</v>
      </c>
      <c r="H211" s="11" t="str">
        <f>IFERROR(__xludf.DUMMYFUNCTION("""COMPUTED_VALUE"""),"Dreamdata, Triple Whale, Northbeam, Ruler Analytics, SegmentStream")</f>
        <v>Dreamdata, Triple Whale, Northbeam, Ruler Analytics, SegmentStream</v>
      </c>
      <c r="I211" s="11">
        <f>IFERROR(__xludf.DUMMYFUNCTION("""COMPUTED_VALUE"""),1.0)</f>
        <v>1</v>
      </c>
      <c r="J211" s="11">
        <f>IFERROR(__xludf.DUMMYFUNCTION("""COMPUTED_VALUE"""),0.0)</f>
        <v>0</v>
      </c>
      <c r="K211" s="11">
        <f>IFERROR(__xludf.DUMMYFUNCTION("""COMPUTED_VALUE"""),0.0)</f>
        <v>0</v>
      </c>
    </row>
    <row r="212" ht="15.75" customHeight="1">
      <c r="A212" s="8" t="str">
        <f>IFERROR(__xludf.DUMMYFUNCTION("""COMPUTED_VALUE"""),"https://www.geoagenturen.de/berlin")</f>
        <v>https://www.geoagenturen.de/berlin</v>
      </c>
      <c r="B212" s="11" t="str">
        <f>IFERROR(__xludf.DUMMYFUNCTION("""COMPUTED_VALUE"""),"GEO Agentur Berlin 2026: 45+ Anbieter mit Bewertungen")</f>
        <v>GEO Agentur Berlin 2026: 45+ Anbieter mit Bewertungen</v>
      </c>
      <c r="C212" s="8" t="str">
        <f>IFERROR(__xludf.DUMMYFUNCTION("""COMPUTED_VALUE"""),"geoagenturen.de")</f>
        <v>geoagenturen.de</v>
      </c>
      <c r="D212" s="11" t="str">
        <f>IFERROR(__xludf.DUMMYFUNCTION("""COMPUTED_VALUE"""),"CATEGORY_PAGE")</f>
        <v>CATEGORY_PAGE</v>
      </c>
      <c r="E212" s="11" t="str">
        <f>IFERROR(__xludf.DUMMYFUNCTION("""COMPUTED_VALUE"""),"REFERENCE")</f>
        <v>REFERENCE</v>
      </c>
      <c r="F212" s="11" t="str">
        <f>IFERROR(__xludf.DUMMYFUNCTION("""COMPUTED_VALUE"""),"Category Page")</f>
        <v>Category Page</v>
      </c>
      <c r="G212" s="11" t="b">
        <f>IFERROR(__xludf.DUMMYFUNCTION("""COMPUTED_VALUE"""),FALSE)</f>
        <v>0</v>
      </c>
      <c r="H212" s="11" t="str">
        <f>IFERROR(__xludf.DUMMYFUNCTION("""COMPUTED_VALUE"""),"Engine Native")</f>
        <v>Engine Native</v>
      </c>
      <c r="I212" s="11">
        <f>IFERROR(__xludf.DUMMYFUNCTION("""COMPUTED_VALUE"""),1.0)</f>
        <v>1</v>
      </c>
      <c r="J212" s="11">
        <f>IFERROR(__xludf.DUMMYFUNCTION("""COMPUTED_VALUE"""),0.0)</f>
        <v>0</v>
      </c>
      <c r="K212" s="11">
        <f>IFERROR(__xludf.DUMMYFUNCTION("""COMPUTED_VALUE"""),0.0)</f>
        <v>0</v>
      </c>
    </row>
    <row r="213" ht="15.75" customHeight="1">
      <c r="A213" s="8" t="str">
        <f>IFERROR(__xludf.DUMMYFUNCTION("""COMPUTED_VALUE"""),"https://www.goodfirms.co/directory/city/top-digital-marketing-companies/hamburg")</f>
        <v>https://www.goodfirms.co/directory/city/top-digital-marketing-companies/hamburg</v>
      </c>
      <c r="B213" s="11" t="str">
        <f>IFERROR(__xludf.DUMMYFUNCTION("""COMPUTED_VALUE"""),"Top Digital Marketing Agencies in Hamburg - 2026 Reviews | Goodfirms")</f>
        <v>Top Digital Marketing Agencies in Hamburg - 2026 Reviews | Goodfirms</v>
      </c>
      <c r="C213" s="8" t="str">
        <f>IFERROR(__xludf.DUMMYFUNCTION("""COMPUTED_VALUE"""),"goodfirms.co")</f>
        <v>goodfirms.co</v>
      </c>
      <c r="D213" s="11" t="str">
        <f>IFERROR(__xludf.DUMMYFUNCTION("""COMPUTED_VALUE"""),"CATEGORY_PAGE")</f>
        <v>CATEGORY_PAGE</v>
      </c>
      <c r="E213" s="11" t="str">
        <f>IFERROR(__xludf.DUMMYFUNCTION("""COMPUTED_VALUE"""),"UGC")</f>
        <v>UGC</v>
      </c>
      <c r="F213" s="11" t="str">
        <f>IFERROR(__xludf.DUMMYFUNCTION("""COMPUTED_VALUE"""),"Category Page")</f>
        <v>Category Page</v>
      </c>
      <c r="G213" s="11" t="b">
        <f>IFERROR(__xludf.DUMMYFUNCTION("""COMPUTED_VALUE"""),FALSE)</f>
        <v>0</v>
      </c>
      <c r="H213" s="11" t="str">
        <f>IFERROR(__xludf.DUMMYFUNCTION("""COMPUTED_VALUE"""),"Scholz &amp; Friends, Merkle, Dentsu")</f>
        <v>Scholz &amp; Friends, Merkle, Dentsu</v>
      </c>
      <c r="I213" s="11">
        <f>IFERROR(__xludf.DUMMYFUNCTION("""COMPUTED_VALUE"""),1.0)</f>
        <v>1</v>
      </c>
      <c r="J213" s="11">
        <f>IFERROR(__xludf.DUMMYFUNCTION("""COMPUTED_VALUE"""),0.0)</f>
        <v>0</v>
      </c>
      <c r="K213" s="11">
        <f>IFERROR(__xludf.DUMMYFUNCTION("""COMPUTED_VALUE"""),0.0)</f>
        <v>0</v>
      </c>
    </row>
    <row r="214" ht="15.75" customHeight="1">
      <c r="A214" s="8" t="str">
        <f>IFERROR(__xludf.DUMMYFUNCTION("""COMPUTED_VALUE"""),"https://omr.com/de/reviews/service-category/google-ads-agencies")</f>
        <v>https://omr.com/de/reviews/service-category/google-ads-agencies</v>
      </c>
      <c r="B214" s="11" t="str">
        <f>IFERROR(__xludf.DUMMYFUNCTION("""COMPUTED_VALUE"""),"Top Google Ads Agenturen in Deutschland, Österreich und Schweiz")</f>
        <v>Top Google Ads Agenturen in Deutschland, Österreich und Schweiz</v>
      </c>
      <c r="C214" s="8" t="str">
        <f>IFERROR(__xludf.DUMMYFUNCTION("""COMPUTED_VALUE"""),"omr.com")</f>
        <v>omr.com</v>
      </c>
      <c r="D214" s="11" t="str">
        <f>IFERROR(__xludf.DUMMYFUNCTION("""COMPUTED_VALUE"""),"CATEGORY_PAGE")</f>
        <v>CATEGORY_PAGE</v>
      </c>
      <c r="E214" s="11" t="str">
        <f>IFERROR(__xludf.DUMMYFUNCTION("""COMPUTED_VALUE"""),"OTHER")</f>
        <v>OTHER</v>
      </c>
      <c r="F214" s="11" t="str">
        <f>IFERROR(__xludf.DUMMYFUNCTION("""COMPUTED_VALUE"""),"Category Page")</f>
        <v>Category Page</v>
      </c>
      <c r="G214" s="11" t="b">
        <f>IFERROR(__xludf.DUMMYFUNCTION("""COMPUTED_VALUE"""),FALSE)</f>
        <v>0</v>
      </c>
      <c r="H214" s="11" t="str">
        <f>IFERROR(__xludf.DUMMYFUNCTION("""COMPUTED_VALUE"""),"Jung von Matt, Smarketer, Löwenstark, WeLikeWeb GmbH, DREIKON, morefire")</f>
        <v>Jung von Matt, Smarketer, Löwenstark, WeLikeWeb GmbH, DREIKON, morefire</v>
      </c>
      <c r="I214" s="11">
        <f>IFERROR(__xludf.DUMMYFUNCTION("""COMPUTED_VALUE"""),1.0)</f>
        <v>1</v>
      </c>
      <c r="J214" s="11">
        <f>IFERROR(__xludf.DUMMYFUNCTION("""COMPUTED_VALUE"""),0.0)</f>
        <v>0</v>
      </c>
      <c r="K214" s="11">
        <f>IFERROR(__xludf.DUMMYFUNCTION("""COMPUTED_VALUE"""),0.0)</f>
        <v>0</v>
      </c>
    </row>
    <row r="215" ht="15.75" customHeight="1">
      <c r="A215" s="8" t="str">
        <f>IFERROR(__xludf.DUMMYFUNCTION("""COMPUTED_VALUE"""),"https://omr.com/de/reviews/service-category/performance-marketing-agenturen/berlin")</f>
        <v>https://omr.com/de/reviews/service-category/performance-marketing-agenturen/berlin</v>
      </c>
      <c r="B215" s="11" t="str">
        <f>IFERROR(__xludf.DUMMYFUNCTION("""COMPUTED_VALUE"""),"Top Performance Marketing Agenturen in Deutschland, Österreich und Schweiz")</f>
        <v>Top Performance Marketing Agenturen in Deutschland, Österreich und Schweiz</v>
      </c>
      <c r="C215" s="8" t="str">
        <f>IFERROR(__xludf.DUMMYFUNCTION("""COMPUTED_VALUE"""),"omr.com")</f>
        <v>omr.com</v>
      </c>
      <c r="D215" s="11" t="str">
        <f>IFERROR(__xludf.DUMMYFUNCTION("""COMPUTED_VALUE"""),"CATEGORY_PAGE")</f>
        <v>CATEGORY_PAGE</v>
      </c>
      <c r="E215" s="11" t="str">
        <f>IFERROR(__xludf.DUMMYFUNCTION("""COMPUTED_VALUE"""),"OTHER")</f>
        <v>OTHER</v>
      </c>
      <c r="F215" s="11" t="str">
        <f>IFERROR(__xludf.DUMMYFUNCTION("""COMPUTED_VALUE"""),"Category Page")</f>
        <v>Category Page</v>
      </c>
      <c r="G215" s="11" t="b">
        <f>IFERROR(__xludf.DUMMYFUNCTION("""COMPUTED_VALUE"""),FALSE)</f>
        <v>0</v>
      </c>
      <c r="H215" s="11" t="str">
        <f>IFERROR(__xludf.DUMMYFUNCTION("""COMPUTED_VALUE"""),"KlickPiloten, Löwenstark, Smarketer")</f>
        <v>KlickPiloten, Löwenstark, Smarketer</v>
      </c>
      <c r="I215" s="11">
        <f>IFERROR(__xludf.DUMMYFUNCTION("""COMPUTED_VALUE"""),1.0)</f>
        <v>1</v>
      </c>
      <c r="J215" s="11">
        <f>IFERROR(__xludf.DUMMYFUNCTION("""COMPUTED_VALUE"""),0.0)</f>
        <v>0</v>
      </c>
      <c r="K215" s="11">
        <f>IFERROR(__xludf.DUMMYFUNCTION("""COMPUTED_VALUE"""),0.0)</f>
        <v>0</v>
      </c>
    </row>
    <row r="216" ht="15.75" customHeight="1">
      <c r="A216" s="8" t="str">
        <f>IFERROR(__xludf.DUMMYFUNCTION("""COMPUTED_VALUE"""),"https://www.omt.de/agentur-finden/google-ads-agentur/")</f>
        <v>https://www.omt.de/agentur-finden/google-ads-agentur/</v>
      </c>
      <c r="B216" s="11" t="str">
        <f>IFERROR(__xludf.DUMMYFUNCTION("""COMPUTED_VALUE"""),"Der OMT-Agenturfinder: Finde die passende Google Ads Agentur")</f>
        <v>Der OMT-Agenturfinder: Finde die passende Google Ads Agentur</v>
      </c>
      <c r="C216" s="8" t="str">
        <f>IFERROR(__xludf.DUMMYFUNCTION("""COMPUTED_VALUE"""),"omt.de")</f>
        <v>omt.de</v>
      </c>
      <c r="D216" s="11" t="str">
        <f>IFERROR(__xludf.DUMMYFUNCTION("""COMPUTED_VALUE"""),"CATEGORY_PAGE")</f>
        <v>CATEGORY_PAGE</v>
      </c>
      <c r="E216" s="11" t="str">
        <f>IFERROR(__xludf.DUMMYFUNCTION("""COMPUTED_VALUE"""),"OTHER")</f>
        <v>OTHER</v>
      </c>
      <c r="F216" s="11" t="str">
        <f>IFERROR(__xludf.DUMMYFUNCTION("""COMPUTED_VALUE"""),"Category Page")</f>
        <v>Category Page</v>
      </c>
      <c r="G216" s="11" t="b">
        <f>IFERROR(__xludf.DUMMYFUNCTION("""COMPUTED_VALUE"""),FALSE)</f>
        <v>0</v>
      </c>
      <c r="H216" s="11" t="str">
        <f>IFERROR(__xludf.DUMMYFUNCTION("""COMPUTED_VALUE"""),"KlickPiloten, eMinded GmbH")</f>
        <v>KlickPiloten, eMinded GmbH</v>
      </c>
      <c r="I216" s="11">
        <f>IFERROR(__xludf.DUMMYFUNCTION("""COMPUTED_VALUE"""),1.0)</f>
        <v>1</v>
      </c>
      <c r="J216" s="11">
        <f>IFERROR(__xludf.DUMMYFUNCTION("""COMPUTED_VALUE"""),0.0)</f>
        <v>0</v>
      </c>
      <c r="K216" s="11">
        <f>IFERROR(__xludf.DUMMYFUNCTION("""COMPUTED_VALUE"""),0.0)</f>
        <v>0</v>
      </c>
    </row>
    <row r="217" ht="15.75" customHeight="1">
      <c r="A217" s="8" t="str">
        <f>IFERROR(__xludf.DUMMYFUNCTION("""COMPUTED_VALUE"""),"https://www.omt.de/agentur-finden/programmatic-advertising-agentur/")</f>
        <v>https://www.omt.de/agentur-finden/programmatic-advertising-agentur/</v>
      </c>
      <c r="B217" s="11" t="str">
        <f>IFERROR(__xludf.DUMMYFUNCTION("""COMPUTED_VALUE"""),"Der OMT-Agenturfinder: Finde die passende Programmatic Advertising Agentur")</f>
        <v>Der OMT-Agenturfinder: Finde die passende Programmatic Advertising Agentur</v>
      </c>
      <c r="C217" s="8" t="str">
        <f>IFERROR(__xludf.DUMMYFUNCTION("""COMPUTED_VALUE"""),"omt.de")</f>
        <v>omt.de</v>
      </c>
      <c r="D217" s="11" t="str">
        <f>IFERROR(__xludf.DUMMYFUNCTION("""COMPUTED_VALUE"""),"CATEGORY_PAGE")</f>
        <v>CATEGORY_PAGE</v>
      </c>
      <c r="E217" s="11" t="str">
        <f>IFERROR(__xludf.DUMMYFUNCTION("""COMPUTED_VALUE"""),"OTHER")</f>
        <v>OTHER</v>
      </c>
      <c r="F217" s="11" t="str">
        <f>IFERROR(__xludf.DUMMYFUNCTION("""COMPUTED_VALUE"""),"Category Page")</f>
        <v>Category Page</v>
      </c>
      <c r="G217" s="11" t="b">
        <f>IFERROR(__xludf.DUMMYFUNCTION("""COMPUTED_VALUE"""),FALSE)</f>
        <v>0</v>
      </c>
      <c r="H217" s="11" t="str">
        <f>IFERROR(__xludf.DUMMYFUNCTION("""COMPUTED_VALUE"""),"Suchhelden, Haus")</f>
        <v>Suchhelden, Haus</v>
      </c>
      <c r="I217" s="11">
        <f>IFERROR(__xludf.DUMMYFUNCTION("""COMPUTED_VALUE"""),1.0)</f>
        <v>1</v>
      </c>
      <c r="J217" s="11">
        <f>IFERROR(__xludf.DUMMYFUNCTION("""COMPUTED_VALUE"""),0.0)</f>
        <v>0</v>
      </c>
      <c r="K217" s="11">
        <f>IFERROR(__xludf.DUMMYFUNCTION("""COMPUTED_VALUE"""),0.0)</f>
        <v>0</v>
      </c>
    </row>
    <row r="218" ht="15.75" customHeight="1">
      <c r="A218" s="8" t="str">
        <f>IFERROR(__xludf.DUMMYFUNCTION("""COMPUTED_VALUE"""),"https://www.oneclub.org/awards/adceurope/-archive/agency/2024/247/all/all/276")</f>
        <v>https://www.oneclub.org/awards/adceurope/-archive/agency/2024/247/all/all/276</v>
      </c>
      <c r="B218" s="11" t="str">
        <f>IFERROR(__xludf.DUMMYFUNCTION("""COMPUTED_VALUE"""),"ADC Europe | Agency Rankings | 2024 | Brand Experience | Germany")</f>
        <v>ADC Europe | Agency Rankings | 2024 | Brand Experience | Germany</v>
      </c>
      <c r="C218" s="8" t="str">
        <f>IFERROR(__xludf.DUMMYFUNCTION("""COMPUTED_VALUE"""),"oneclub.org")</f>
        <v>oneclub.org</v>
      </c>
      <c r="D218" s="11" t="str">
        <f>IFERROR(__xludf.DUMMYFUNCTION("""COMPUTED_VALUE"""),"CATEGORY_PAGE")</f>
        <v>CATEGORY_PAGE</v>
      </c>
      <c r="E218" s="11" t="str">
        <f>IFERROR(__xludf.DUMMYFUNCTION("""COMPUTED_VALUE"""),"INSTITUTIONAL")</f>
        <v>INSTITUTIONAL</v>
      </c>
      <c r="F218" s="11" t="str">
        <f>IFERROR(__xludf.DUMMYFUNCTION("""COMPUTED_VALUE"""),"Category Page")</f>
        <v>Category Page</v>
      </c>
      <c r="G218" s="11" t="b">
        <f>IFERROR(__xludf.DUMMYFUNCTION("""COMPUTED_VALUE"""),FALSE)</f>
        <v>0</v>
      </c>
      <c r="H218" s="11" t="str">
        <f>IFERROR(__xludf.DUMMYFUNCTION("""COMPUTED_VALUE"""),"Jung von Matt, Mediaplus Group, MetaDesign, OMD")</f>
        <v>Jung von Matt, Mediaplus Group, MetaDesign, OMD</v>
      </c>
      <c r="I218" s="11">
        <f>IFERROR(__xludf.DUMMYFUNCTION("""COMPUTED_VALUE"""),1.0)</f>
        <v>1</v>
      </c>
      <c r="J218" s="11">
        <f>IFERROR(__xludf.DUMMYFUNCTION("""COMPUTED_VALUE"""),0.0)</f>
        <v>0</v>
      </c>
      <c r="K218" s="11">
        <f>IFERROR(__xludf.DUMMYFUNCTION("""COMPUTED_VALUE"""),0.0)</f>
        <v>0</v>
      </c>
    </row>
    <row r="219" ht="15.75" customHeight="1">
      <c r="A219" s="8" t="str">
        <f>IFERROR(__xludf.DUMMYFUNCTION("""COMPUTED_VALUE"""),"https://www.oneclub.org/awards/adceurope/-archive/agency/2024/251/all/all/276")</f>
        <v>https://www.oneclub.org/awards/adceurope/-archive/agency/2024/251/all/all/276</v>
      </c>
      <c r="B219" s="11" t="str">
        <f>IFERROR(__xludf.DUMMYFUNCTION("""COMPUTED_VALUE"""),"ADC Europe | Agency Rankings | 2024 | Interactive &amp;amp; Mobile | Germany")</f>
        <v>ADC Europe | Agency Rankings | 2024 | Interactive &amp;amp; Mobile | Germany</v>
      </c>
      <c r="C219" s="8" t="str">
        <f>IFERROR(__xludf.DUMMYFUNCTION("""COMPUTED_VALUE"""),"oneclub.org")</f>
        <v>oneclub.org</v>
      </c>
      <c r="D219" s="11" t="str">
        <f>IFERROR(__xludf.DUMMYFUNCTION("""COMPUTED_VALUE"""),"CATEGORY_PAGE")</f>
        <v>CATEGORY_PAGE</v>
      </c>
      <c r="E219" s="11" t="str">
        <f>IFERROR(__xludf.DUMMYFUNCTION("""COMPUTED_VALUE"""),"INSTITUTIONAL")</f>
        <v>INSTITUTIONAL</v>
      </c>
      <c r="F219" s="11" t="str">
        <f>IFERROR(__xludf.DUMMYFUNCTION("""COMPUTED_VALUE"""),"Category Page")</f>
        <v>Category Page</v>
      </c>
      <c r="G219" s="11" t="b">
        <f>IFERROR(__xludf.DUMMYFUNCTION("""COMPUTED_VALUE"""),FALSE)</f>
        <v>0</v>
      </c>
      <c r="H219" s="11" t="str">
        <f>IFERROR(__xludf.DUMMYFUNCTION("""COMPUTED_VALUE"""),"Jung von Matt, Mediaplus Group, Monks, Media.Monks, Accenture Song")</f>
        <v>Jung von Matt, Mediaplus Group, Monks, Media.Monks, Accenture Song</v>
      </c>
      <c r="I219" s="11">
        <f>IFERROR(__xludf.DUMMYFUNCTION("""COMPUTED_VALUE"""),1.0)</f>
        <v>1</v>
      </c>
      <c r="J219" s="11">
        <f>IFERROR(__xludf.DUMMYFUNCTION("""COMPUTED_VALUE"""),0.0)</f>
        <v>0</v>
      </c>
      <c r="K219" s="11">
        <f>IFERROR(__xludf.DUMMYFUNCTION("""COMPUTED_VALUE"""),2.0)</f>
        <v>2</v>
      </c>
    </row>
    <row r="220" ht="15.75" customHeight="1">
      <c r="A220" s="8" t="str">
        <f>IFERROR(__xludf.DUMMYFUNCTION("""COMPUTED_VALUE"""),"https://product-marketing-agentur.de/performance-marketing")</f>
        <v>https://product-marketing-agentur.de/performance-marketing</v>
      </c>
      <c r="B220" s="11" t="str">
        <f>IFERROR(__xludf.DUMMYFUNCTION("""COMPUTED_VALUE"""),"Die besten Performance Marketing Agenturen")</f>
        <v>Die besten Performance Marketing Agenturen</v>
      </c>
      <c r="C220" s="8" t="str">
        <f>IFERROR(__xludf.DUMMYFUNCTION("""COMPUTED_VALUE"""),"product-marketing-agentur.de")</f>
        <v>product-marketing-agentur.de</v>
      </c>
      <c r="D220" s="11" t="str">
        <f>IFERROR(__xludf.DUMMYFUNCTION("""COMPUTED_VALUE"""),"CATEGORY_PAGE")</f>
        <v>CATEGORY_PAGE</v>
      </c>
      <c r="E220" s="11" t="str">
        <f>IFERROR(__xludf.DUMMYFUNCTION("""COMPUTED_VALUE"""),"CORPORATE")</f>
        <v>CORPORATE</v>
      </c>
      <c r="F220" s="11" t="str">
        <f>IFERROR(__xludf.DUMMYFUNCTION("""COMPUTED_VALUE"""),"Category Page")</f>
        <v>Category Page</v>
      </c>
      <c r="G220" s="11" t="b">
        <f>IFERROR(__xludf.DUMMYFUNCTION("""COMPUTED_VALUE"""),FALSE)</f>
        <v>0</v>
      </c>
      <c r="H220" s="11" t="str">
        <f>IFERROR(__xludf.DUMMYFUNCTION("""COMPUTED_VALUE"""),"MONSOON, Digital Masters GmbH, lehof, KlickPiloten")</f>
        <v>MONSOON, Digital Masters GmbH, lehof, KlickPiloten</v>
      </c>
      <c r="I220" s="11">
        <f>IFERROR(__xludf.DUMMYFUNCTION("""COMPUTED_VALUE"""),1.0)</f>
        <v>1</v>
      </c>
      <c r="J220" s="11">
        <f>IFERROR(__xludf.DUMMYFUNCTION("""COMPUTED_VALUE"""),0.0)</f>
        <v>0</v>
      </c>
      <c r="K220" s="11">
        <f>IFERROR(__xludf.DUMMYFUNCTION("""COMPUTED_VALUE"""),0.0)</f>
        <v>0</v>
      </c>
    </row>
    <row r="221" ht="15.75" customHeight="1">
      <c r="A221" s="8" t="str">
        <f>IFERROR(__xludf.DUMMYFUNCTION("""COMPUTED_VALUE"""),"https://www.sortlist.com/de/ai-marketing")</f>
        <v>https://www.sortlist.com/de/ai-marketing</v>
      </c>
      <c r="B221" s="11" t="str">
        <f>IFERROR(__xludf.DUMMYFUNCTION("""COMPUTED_VALUE"""),"Unsere 100 Besten AI Marketing Agenturen - 2026 Bewertungen")</f>
        <v>Unsere 100 Besten AI Marketing Agenturen - 2026 Bewertungen</v>
      </c>
      <c r="C221" s="8" t="str">
        <f>IFERROR(__xludf.DUMMYFUNCTION("""COMPUTED_VALUE"""),"sortlist.com")</f>
        <v>sortlist.com</v>
      </c>
      <c r="D221" s="11" t="str">
        <f>IFERROR(__xludf.DUMMYFUNCTION("""COMPUTED_VALUE"""),"CATEGORY_PAGE")</f>
        <v>CATEGORY_PAGE</v>
      </c>
      <c r="E221" s="11" t="str">
        <f>IFERROR(__xludf.DUMMYFUNCTION("""COMPUTED_VALUE"""),"CORPORATE")</f>
        <v>CORPORATE</v>
      </c>
      <c r="F221" s="11" t="str">
        <f>IFERROR(__xludf.DUMMYFUNCTION("""COMPUTED_VALUE"""),"Category Page")</f>
        <v>Category Page</v>
      </c>
      <c r="G221" s="11" t="b">
        <f>IFERROR(__xludf.DUMMYFUNCTION("""COMPUTED_VALUE"""),FALSE)</f>
        <v>0</v>
      </c>
      <c r="H221" s="11" t="str">
        <f>IFERROR(__xludf.DUMMYFUNCTION("""COMPUTED_VALUE"""),"Pilot")</f>
        <v>Pilot</v>
      </c>
      <c r="I221" s="11">
        <f>IFERROR(__xludf.DUMMYFUNCTION("""COMPUTED_VALUE"""),1.0)</f>
        <v>1</v>
      </c>
      <c r="J221" s="11">
        <f>IFERROR(__xludf.DUMMYFUNCTION("""COMPUTED_VALUE"""),0.0)</f>
        <v>0</v>
      </c>
      <c r="K221" s="11">
        <f>IFERROR(__xludf.DUMMYFUNCTION("""COMPUTED_VALUE"""),0.0)</f>
        <v>0</v>
      </c>
    </row>
    <row r="222" ht="15.75" customHeight="1">
      <c r="A222" s="8" t="str">
        <f>IFERROR(__xludf.DUMMYFUNCTION("""COMPUTED_VALUE"""),"https://www.sortlist.com/i/branding/germany-de")</f>
        <v>https://www.sortlist.com/i/branding/germany-de</v>
      </c>
      <c r="B222" s="11" t="str">
        <f>IFERROR(__xludf.DUMMYFUNCTION("""COMPUTED_VALUE"""),"The 10 Best Branding Agencies in Germany - 2026 Reviews")</f>
        <v>The 10 Best Branding Agencies in Germany - 2026 Reviews</v>
      </c>
      <c r="C222" s="8" t="str">
        <f>IFERROR(__xludf.DUMMYFUNCTION("""COMPUTED_VALUE"""),"sortlist.com")</f>
        <v>sortlist.com</v>
      </c>
      <c r="D222" s="11" t="str">
        <f>IFERROR(__xludf.DUMMYFUNCTION("""COMPUTED_VALUE"""),"CATEGORY_PAGE")</f>
        <v>CATEGORY_PAGE</v>
      </c>
      <c r="E222" s="11" t="str">
        <f>IFERROR(__xludf.DUMMYFUNCTION("""COMPUTED_VALUE"""),"CORPORATE")</f>
        <v>CORPORATE</v>
      </c>
      <c r="F222" s="11" t="str">
        <f>IFERROR(__xludf.DUMMYFUNCTION("""COMPUTED_VALUE"""),"Category Page")</f>
        <v>Category Page</v>
      </c>
      <c r="G222" s="11" t="b">
        <f>IFERROR(__xludf.DUMMYFUNCTION("""COMPUTED_VALUE"""),FALSE)</f>
        <v>0</v>
      </c>
      <c r="H222" s="11" t="str">
        <f>IFERROR(__xludf.DUMMYFUNCTION("""COMPUTED_VALUE"""),"lehof, Measured")</f>
        <v>lehof, Measured</v>
      </c>
      <c r="I222" s="11">
        <f>IFERROR(__xludf.DUMMYFUNCTION("""COMPUTED_VALUE"""),1.0)</f>
        <v>1</v>
      </c>
      <c r="J222" s="11">
        <f>IFERROR(__xludf.DUMMYFUNCTION("""COMPUTED_VALUE"""),0.0)</f>
        <v>0</v>
      </c>
      <c r="K222" s="11">
        <f>IFERROR(__xludf.DUMMYFUNCTION("""COMPUTED_VALUE"""),0.0)</f>
        <v>0</v>
      </c>
    </row>
    <row r="223" ht="15.75" customHeight="1">
      <c r="A223" s="8" t="str">
        <f>IFERROR(__xludf.DUMMYFUNCTION("""COMPUTED_VALUE"""),"https://www.sortlist.com/i/s/big-data-analytics/germany-de")</f>
        <v>https://www.sortlist.com/i/s/big-data-analytics/germany-de</v>
      </c>
      <c r="B223" s="11" t="str">
        <f>IFERROR(__xludf.DUMMYFUNCTION("""COMPUTED_VALUE"""),"The 10 Best Big Data Analytics Companies in Germany - 2026 Reviews")</f>
        <v>The 10 Best Big Data Analytics Companies in Germany - 2026 Reviews</v>
      </c>
      <c r="C223" s="8" t="str">
        <f>IFERROR(__xludf.DUMMYFUNCTION("""COMPUTED_VALUE"""),"sortlist.com")</f>
        <v>sortlist.com</v>
      </c>
      <c r="D223" s="11" t="str">
        <f>IFERROR(__xludf.DUMMYFUNCTION("""COMPUTED_VALUE"""),"CATEGORY_PAGE")</f>
        <v>CATEGORY_PAGE</v>
      </c>
      <c r="E223" s="11" t="str">
        <f>IFERROR(__xludf.DUMMYFUNCTION("""COMPUTED_VALUE"""),"CORPORATE")</f>
        <v>CORPORATE</v>
      </c>
      <c r="F223" s="11" t="str">
        <f>IFERROR(__xludf.DUMMYFUNCTION("""COMPUTED_VALUE"""),"Category Page")</f>
        <v>Category Page</v>
      </c>
      <c r="G223" s="11" t="b">
        <f>IFERROR(__xludf.DUMMYFUNCTION("""COMPUTED_VALUE"""),FALSE)</f>
        <v>0</v>
      </c>
      <c r="H223" s="11"/>
      <c r="I223" s="11">
        <f>IFERROR(__xludf.DUMMYFUNCTION("""COMPUTED_VALUE"""),1.0)</f>
        <v>1</v>
      </c>
      <c r="J223" s="11">
        <f>IFERROR(__xludf.DUMMYFUNCTION("""COMPUTED_VALUE"""),0.0)</f>
        <v>0</v>
      </c>
      <c r="K223" s="11">
        <f>IFERROR(__xludf.DUMMYFUNCTION("""COMPUTED_VALUE"""),1.0)</f>
        <v>1</v>
      </c>
    </row>
    <row r="224" ht="15.75" customHeight="1">
      <c r="A224" s="8" t="str">
        <f>IFERROR(__xludf.DUMMYFUNCTION("""COMPUTED_VALUE"""),"https://www.sortlist.com/i/s/linkedin-advertising/germany-de")</f>
        <v>https://www.sortlist.com/i/s/linkedin-advertising/germany-de</v>
      </c>
      <c r="B224" s="11" t="str">
        <f>IFERROR(__xludf.DUMMYFUNCTION("""COMPUTED_VALUE"""),"The 10 Best LinkedIn Ads Agencies in Germany - 2026 Reviews")</f>
        <v>The 10 Best LinkedIn Ads Agencies in Germany - 2026 Reviews</v>
      </c>
      <c r="C224" s="8" t="str">
        <f>IFERROR(__xludf.DUMMYFUNCTION("""COMPUTED_VALUE"""),"sortlist.com")</f>
        <v>sortlist.com</v>
      </c>
      <c r="D224" s="11" t="str">
        <f>IFERROR(__xludf.DUMMYFUNCTION("""COMPUTED_VALUE"""),"CATEGORY_PAGE")</f>
        <v>CATEGORY_PAGE</v>
      </c>
      <c r="E224" s="11" t="str">
        <f>IFERROR(__xludf.DUMMYFUNCTION("""COMPUTED_VALUE"""),"CORPORATE")</f>
        <v>CORPORATE</v>
      </c>
      <c r="F224" s="11" t="str">
        <f>IFERROR(__xludf.DUMMYFUNCTION("""COMPUTED_VALUE"""),"Category Page")</f>
        <v>Category Page</v>
      </c>
      <c r="G224" s="11" t="b">
        <f>IFERROR(__xludf.DUMMYFUNCTION("""COMPUTED_VALUE"""),FALSE)</f>
        <v>0</v>
      </c>
      <c r="H224" s="11" t="str">
        <f>IFERROR(__xludf.DUMMYFUNCTION("""COMPUTED_VALUE"""),"MONSOON, Triple Whale, Northbeam, Dreamdata, lehof")</f>
        <v>MONSOON, Triple Whale, Northbeam, Dreamdata, lehof</v>
      </c>
      <c r="I224" s="11">
        <f>IFERROR(__xludf.DUMMYFUNCTION("""COMPUTED_VALUE"""),1.0)</f>
        <v>1</v>
      </c>
      <c r="J224" s="11">
        <f>IFERROR(__xludf.DUMMYFUNCTION("""COMPUTED_VALUE"""),0.0)</f>
        <v>0</v>
      </c>
      <c r="K224" s="11">
        <f>IFERROR(__xludf.DUMMYFUNCTION("""COMPUTED_VALUE"""),0.0)</f>
        <v>0</v>
      </c>
    </row>
    <row r="225" ht="15.75" customHeight="1">
      <c r="A225" s="8" t="str">
        <f>IFERROR(__xludf.DUMMYFUNCTION("""COMPUTED_VALUE"""),"https://www.sortlist.com/i/s/ppc-marketing/germany-de")</f>
        <v>https://www.sortlist.com/i/s/ppc-marketing/germany-de</v>
      </c>
      <c r="B225" s="11" t="str">
        <f>IFERROR(__xludf.DUMMYFUNCTION("""COMPUTED_VALUE"""),"The 10 Best Pay-Per-Click Agencies in Germany - 2026 Reviews")</f>
        <v>The 10 Best Pay-Per-Click Agencies in Germany - 2026 Reviews</v>
      </c>
      <c r="C225" s="8" t="str">
        <f>IFERROR(__xludf.DUMMYFUNCTION("""COMPUTED_VALUE"""),"sortlist.com")</f>
        <v>sortlist.com</v>
      </c>
      <c r="D225" s="11" t="str">
        <f>IFERROR(__xludf.DUMMYFUNCTION("""COMPUTED_VALUE"""),"CATEGORY_PAGE")</f>
        <v>CATEGORY_PAGE</v>
      </c>
      <c r="E225" s="11" t="str">
        <f>IFERROR(__xludf.DUMMYFUNCTION("""COMPUTED_VALUE"""),"CORPORATE")</f>
        <v>CORPORATE</v>
      </c>
      <c r="F225" s="11" t="str">
        <f>IFERROR(__xludf.DUMMYFUNCTION("""COMPUTED_VALUE"""),"Category Page")</f>
        <v>Category Page</v>
      </c>
      <c r="G225" s="11" t="b">
        <f>IFERROR(__xludf.DUMMYFUNCTION("""COMPUTED_VALUE"""),FALSE)</f>
        <v>0</v>
      </c>
      <c r="H225" s="11" t="str">
        <f>IFERROR(__xludf.DUMMYFUNCTION("""COMPUTED_VALUE"""),"MONSOON, Mediacharge")</f>
        <v>MONSOON, Mediacharge</v>
      </c>
      <c r="I225" s="11">
        <f>IFERROR(__xludf.DUMMYFUNCTION("""COMPUTED_VALUE"""),1.0)</f>
        <v>1</v>
      </c>
      <c r="J225" s="11">
        <f>IFERROR(__xludf.DUMMYFUNCTION("""COMPUTED_VALUE"""),0.0)</f>
        <v>0</v>
      </c>
      <c r="K225" s="11">
        <f>IFERROR(__xludf.DUMMYFUNCTION("""COMPUTED_VALUE"""),1.0)</f>
        <v>1</v>
      </c>
    </row>
    <row r="226" ht="15.75" customHeight="1">
      <c r="A226" s="8" t="str">
        <f>IFERROR(__xludf.DUMMYFUNCTION("""COMPUTED_VALUE"""),"https://www.sortlist.com/media-planning")</f>
        <v>https://www.sortlist.com/media-planning</v>
      </c>
      <c r="B226" s="11" t="str">
        <f>IFERROR(__xludf.DUMMYFUNCTION("""COMPUTED_VALUE"""),"The 100 Best Media Agencies - 2026 Reviews")</f>
        <v>The 100 Best Media Agencies - 2026 Reviews</v>
      </c>
      <c r="C226" s="8" t="str">
        <f>IFERROR(__xludf.DUMMYFUNCTION("""COMPUTED_VALUE"""),"sortlist.com")</f>
        <v>sortlist.com</v>
      </c>
      <c r="D226" s="11" t="str">
        <f>IFERROR(__xludf.DUMMYFUNCTION("""COMPUTED_VALUE"""),"CATEGORY_PAGE")</f>
        <v>CATEGORY_PAGE</v>
      </c>
      <c r="E226" s="11" t="str">
        <f>IFERROR(__xludf.DUMMYFUNCTION("""COMPUTED_VALUE"""),"CORPORATE")</f>
        <v>CORPORATE</v>
      </c>
      <c r="F226" s="11" t="str">
        <f>IFERROR(__xludf.DUMMYFUNCTION("""COMPUTED_VALUE"""),"Category Page")</f>
        <v>Category Page</v>
      </c>
      <c r="G226" s="11" t="b">
        <f>IFERROR(__xludf.DUMMYFUNCTION("""COMPUTED_VALUE"""),FALSE)</f>
        <v>0</v>
      </c>
      <c r="H226" s="11" t="str">
        <f>IFERROR(__xludf.DUMMYFUNCTION("""COMPUTED_VALUE"""),"lehof")</f>
        <v>lehof</v>
      </c>
      <c r="I226" s="11">
        <f>IFERROR(__xludf.DUMMYFUNCTION("""COMPUTED_VALUE"""),1.0)</f>
        <v>1</v>
      </c>
      <c r="J226" s="11">
        <f>IFERROR(__xludf.DUMMYFUNCTION("""COMPUTED_VALUE"""),0.0)</f>
        <v>0</v>
      </c>
      <c r="K226" s="11">
        <f>IFERROR(__xludf.DUMMYFUNCTION("""COMPUTED_VALUE"""),0.0)</f>
        <v>0</v>
      </c>
    </row>
    <row r="227" ht="15.75" customHeight="1">
      <c r="A227" s="8" t="str">
        <f>IFERROR(__xludf.DUMMYFUNCTION("""COMPUTED_VALUE"""),"https://www.sortlist.com/s/ai-agents/germany-de")</f>
        <v>https://www.sortlist.com/s/ai-agents/germany-de</v>
      </c>
      <c r="B227" s="11" t="str">
        <f>IFERROR(__xludf.DUMMYFUNCTION("""COMPUTED_VALUE"""),"The 10 Best AI Agents Companies in Germany - 2026 Reviews")</f>
        <v>The 10 Best AI Agents Companies in Germany - 2026 Reviews</v>
      </c>
      <c r="C227" s="8" t="str">
        <f>IFERROR(__xludf.DUMMYFUNCTION("""COMPUTED_VALUE"""),"sortlist.com")</f>
        <v>sortlist.com</v>
      </c>
      <c r="D227" s="11" t="str">
        <f>IFERROR(__xludf.DUMMYFUNCTION("""COMPUTED_VALUE"""),"CATEGORY_PAGE")</f>
        <v>CATEGORY_PAGE</v>
      </c>
      <c r="E227" s="11" t="str">
        <f>IFERROR(__xludf.DUMMYFUNCTION("""COMPUTED_VALUE"""),"CORPORATE")</f>
        <v>CORPORATE</v>
      </c>
      <c r="F227" s="11" t="str">
        <f>IFERROR(__xludf.DUMMYFUNCTION("""COMPUTED_VALUE"""),"Category Page")</f>
        <v>Category Page</v>
      </c>
      <c r="G227" s="11" t="b">
        <f>IFERROR(__xludf.DUMMYFUNCTION("""COMPUTED_VALUE"""),FALSE)</f>
        <v>0</v>
      </c>
      <c r="H227" s="11" t="str">
        <f>IFERROR(__xludf.DUMMYFUNCTION("""COMPUTED_VALUE"""),"Momentum, Measured")</f>
        <v>Momentum, Measured</v>
      </c>
      <c r="I227" s="11">
        <f>IFERROR(__xludf.DUMMYFUNCTION("""COMPUTED_VALUE"""),1.0)</f>
        <v>1</v>
      </c>
      <c r="J227" s="11">
        <f>IFERROR(__xludf.DUMMYFUNCTION("""COMPUTED_VALUE"""),0.0)</f>
        <v>0</v>
      </c>
      <c r="K227" s="11">
        <f>IFERROR(__xludf.DUMMYFUNCTION("""COMPUTED_VALUE"""),1.0)</f>
        <v>1</v>
      </c>
    </row>
    <row r="228" ht="15.75" customHeight="1">
      <c r="A228" s="8" t="str">
        <f>IFERROR(__xludf.DUMMYFUNCTION("""COMPUTED_VALUE"""),"https://www.sortlist.com/s/artificial-intelligence/hamburg-de")</f>
        <v>https://www.sortlist.com/s/artificial-intelligence/hamburg-de</v>
      </c>
      <c r="B228" s="11" t="str">
        <f>IFERROR(__xludf.DUMMYFUNCTION("""COMPUTED_VALUE"""),"The 10 Best Artificial Intelligence Agencies in Hamburg - 2026 Reviews")</f>
        <v>The 10 Best Artificial Intelligence Agencies in Hamburg - 2026 Reviews</v>
      </c>
      <c r="C228" s="8" t="str">
        <f>IFERROR(__xludf.DUMMYFUNCTION("""COMPUTED_VALUE"""),"sortlist.com")</f>
        <v>sortlist.com</v>
      </c>
      <c r="D228" s="11" t="str">
        <f>IFERROR(__xludf.DUMMYFUNCTION("""COMPUTED_VALUE"""),"CATEGORY_PAGE")</f>
        <v>CATEGORY_PAGE</v>
      </c>
      <c r="E228" s="11" t="str">
        <f>IFERROR(__xludf.DUMMYFUNCTION("""COMPUTED_VALUE"""),"CORPORATE")</f>
        <v>CORPORATE</v>
      </c>
      <c r="F228" s="11" t="str">
        <f>IFERROR(__xludf.DUMMYFUNCTION("""COMPUTED_VALUE"""),"Category Page")</f>
        <v>Category Page</v>
      </c>
      <c r="G228" s="11" t="b">
        <f>IFERROR(__xludf.DUMMYFUNCTION("""COMPUTED_VALUE"""),FALSE)</f>
        <v>0</v>
      </c>
      <c r="H228" s="11" t="str">
        <f>IFERROR(__xludf.DUMMYFUNCTION("""COMPUTED_VALUE"""),"Momentum, Measured")</f>
        <v>Momentum, Measured</v>
      </c>
      <c r="I228" s="11">
        <f>IFERROR(__xludf.DUMMYFUNCTION("""COMPUTED_VALUE"""),1.0)</f>
        <v>1</v>
      </c>
      <c r="J228" s="11">
        <f>IFERROR(__xludf.DUMMYFUNCTION("""COMPUTED_VALUE"""),0.0)</f>
        <v>0</v>
      </c>
      <c r="K228" s="11">
        <f>IFERROR(__xludf.DUMMYFUNCTION("""COMPUTED_VALUE"""),0.0)</f>
        <v>0</v>
      </c>
    </row>
    <row r="229" ht="15.75" customHeight="1">
      <c r="A229" s="8" t="str">
        <f>IFERROR(__xludf.DUMMYFUNCTION("""COMPUTED_VALUE"""),"https://www.sortlist.com/s/brand-experience/germany-de")</f>
        <v>https://www.sortlist.com/s/brand-experience/germany-de</v>
      </c>
      <c r="B229" s="11" t="str">
        <f>IFERROR(__xludf.DUMMYFUNCTION("""COMPUTED_VALUE"""),"The 10 Best Brand Experience Agencies in Germany - 2026 Reviews")</f>
        <v>The 10 Best Brand Experience Agencies in Germany - 2026 Reviews</v>
      </c>
      <c r="C229" s="8" t="str">
        <f>IFERROR(__xludf.DUMMYFUNCTION("""COMPUTED_VALUE"""),"sortlist.com")</f>
        <v>sortlist.com</v>
      </c>
      <c r="D229" s="11" t="str">
        <f>IFERROR(__xludf.DUMMYFUNCTION("""COMPUTED_VALUE"""),"CATEGORY_PAGE")</f>
        <v>CATEGORY_PAGE</v>
      </c>
      <c r="E229" s="11" t="str">
        <f>IFERROR(__xludf.DUMMYFUNCTION("""COMPUTED_VALUE"""),"CORPORATE")</f>
        <v>CORPORATE</v>
      </c>
      <c r="F229" s="11" t="str">
        <f>IFERROR(__xludf.DUMMYFUNCTION("""COMPUTED_VALUE"""),"Category Page")</f>
        <v>Category Page</v>
      </c>
      <c r="G229" s="11" t="b">
        <f>IFERROR(__xludf.DUMMYFUNCTION("""COMPUTED_VALUE"""),FALSE)</f>
        <v>0</v>
      </c>
      <c r="H229" s="11" t="str">
        <f>IFERROR(__xludf.DUMMYFUNCTION("""COMPUTED_VALUE"""),"lehof, PANORAMA3000, Measured")</f>
        <v>lehof, PANORAMA3000, Measured</v>
      </c>
      <c r="I229" s="11">
        <f>IFERROR(__xludf.DUMMYFUNCTION("""COMPUTED_VALUE"""),1.0)</f>
        <v>1</v>
      </c>
      <c r="J229" s="11">
        <f>IFERROR(__xludf.DUMMYFUNCTION("""COMPUTED_VALUE"""),0.0)</f>
        <v>0</v>
      </c>
      <c r="K229" s="11">
        <f>IFERROR(__xludf.DUMMYFUNCTION("""COMPUTED_VALUE"""),5.0)</f>
        <v>5</v>
      </c>
    </row>
    <row r="230" ht="15.75" customHeight="1">
      <c r="A230" s="8" t="str">
        <f>IFERROR(__xludf.DUMMYFUNCTION("""COMPUTED_VALUE"""),"https://www.sortlist.com/s/data-driven-marketing/berlin-de")</f>
        <v>https://www.sortlist.com/s/data-driven-marketing/berlin-de</v>
      </c>
      <c r="B230" s="11" t="str">
        <f>IFERROR(__xludf.DUMMYFUNCTION("""COMPUTED_VALUE"""),"The 10 Best Data Driven Marketing Agencies in Berlin - 2026 Reviews")</f>
        <v>The 10 Best Data Driven Marketing Agencies in Berlin - 2026 Reviews</v>
      </c>
      <c r="C230" s="8" t="str">
        <f>IFERROR(__xludf.DUMMYFUNCTION("""COMPUTED_VALUE"""),"sortlist.com")</f>
        <v>sortlist.com</v>
      </c>
      <c r="D230" s="11" t="str">
        <f>IFERROR(__xludf.DUMMYFUNCTION("""COMPUTED_VALUE"""),"CATEGORY_PAGE")</f>
        <v>CATEGORY_PAGE</v>
      </c>
      <c r="E230" s="11" t="str">
        <f>IFERROR(__xludf.DUMMYFUNCTION("""COMPUTED_VALUE"""),"CORPORATE")</f>
        <v>CORPORATE</v>
      </c>
      <c r="F230" s="11" t="str">
        <f>IFERROR(__xludf.DUMMYFUNCTION("""COMPUTED_VALUE"""),"Category Page")</f>
        <v>Category Page</v>
      </c>
      <c r="G230" s="11" t="b">
        <f>IFERROR(__xludf.DUMMYFUNCTION("""COMPUTED_VALUE"""),FALSE)</f>
        <v>0</v>
      </c>
      <c r="H230" s="11" t="str">
        <f>IFERROR(__xludf.DUMMYFUNCTION("""COMPUTED_VALUE"""),"MONSOON, lehof, Triple Whale, Northbeam, Dreamdata, KlickPiloten")</f>
        <v>MONSOON, lehof, Triple Whale, Northbeam, Dreamdata, KlickPiloten</v>
      </c>
      <c r="I230" s="11">
        <f>IFERROR(__xludf.DUMMYFUNCTION("""COMPUTED_VALUE"""),1.0)</f>
        <v>1</v>
      </c>
      <c r="J230" s="11">
        <f>IFERROR(__xludf.DUMMYFUNCTION("""COMPUTED_VALUE"""),0.0)</f>
        <v>0</v>
      </c>
      <c r="K230" s="11">
        <f>IFERROR(__xludf.DUMMYFUNCTION("""COMPUTED_VALUE"""),1.0)</f>
        <v>1</v>
      </c>
    </row>
    <row r="231" ht="15.75" customHeight="1">
      <c r="A231" s="8" t="str">
        <f>IFERROR(__xludf.DUMMYFUNCTION("""COMPUTED_VALUE"""),"https://www.sortlist.com/s/international-marketing/hamburg-de")</f>
        <v>https://www.sortlist.com/s/international-marketing/hamburg-de</v>
      </c>
      <c r="B231" s="11" t="str">
        <f>IFERROR(__xludf.DUMMYFUNCTION("""COMPUTED_VALUE"""),"The 10 Best International Marketing Agencies in Hamburg - 2026 Reviews")</f>
        <v>The 10 Best International Marketing Agencies in Hamburg - 2026 Reviews</v>
      </c>
      <c r="C231" s="8" t="str">
        <f>IFERROR(__xludf.DUMMYFUNCTION("""COMPUTED_VALUE"""),"sortlist.com")</f>
        <v>sortlist.com</v>
      </c>
      <c r="D231" s="11" t="str">
        <f>IFERROR(__xludf.DUMMYFUNCTION("""COMPUTED_VALUE"""),"CATEGORY_PAGE")</f>
        <v>CATEGORY_PAGE</v>
      </c>
      <c r="E231" s="11" t="str">
        <f>IFERROR(__xludf.DUMMYFUNCTION("""COMPUTED_VALUE"""),"CORPORATE")</f>
        <v>CORPORATE</v>
      </c>
      <c r="F231" s="11" t="str">
        <f>IFERROR(__xludf.DUMMYFUNCTION("""COMPUTED_VALUE"""),"Category Page")</f>
        <v>Category Page</v>
      </c>
      <c r="G231" s="11" t="b">
        <f>IFERROR(__xludf.DUMMYFUNCTION("""COMPUTED_VALUE"""),FALSE)</f>
        <v>0</v>
      </c>
      <c r="H231" s="11" t="str">
        <f>IFERROR(__xludf.DUMMYFUNCTION("""COMPUTED_VALUE"""),"MONSOON, Measured, KlickPiloten")</f>
        <v>MONSOON, Measured, KlickPiloten</v>
      </c>
      <c r="I231" s="11">
        <f>IFERROR(__xludf.DUMMYFUNCTION("""COMPUTED_VALUE"""),1.0)</f>
        <v>1</v>
      </c>
      <c r="J231" s="11">
        <f>IFERROR(__xludf.DUMMYFUNCTION("""COMPUTED_VALUE"""),0.0)</f>
        <v>0</v>
      </c>
      <c r="K231" s="11">
        <f>IFERROR(__xludf.DUMMYFUNCTION("""COMPUTED_VALUE"""),0.0)</f>
        <v>0</v>
      </c>
    </row>
    <row r="232" ht="15.75" customHeight="1">
      <c r="A232" s="8" t="str">
        <f>IFERROR(__xludf.DUMMYFUNCTION("""COMPUTED_VALUE"""),"https://www.sortlist.com/s/paid-media/munich-by-de")</f>
        <v>https://www.sortlist.com/s/paid-media/munich-by-de</v>
      </c>
      <c r="B232" s="11" t="str">
        <f>IFERROR(__xludf.DUMMYFUNCTION("""COMPUTED_VALUE"""),"The 10 Best Paid Media Agencies in Munich - 2026 Reviews")</f>
        <v>The 10 Best Paid Media Agencies in Munich - 2026 Reviews</v>
      </c>
      <c r="C232" s="8" t="str">
        <f>IFERROR(__xludf.DUMMYFUNCTION("""COMPUTED_VALUE"""),"sortlist.com")</f>
        <v>sortlist.com</v>
      </c>
      <c r="D232" s="11" t="str">
        <f>IFERROR(__xludf.DUMMYFUNCTION("""COMPUTED_VALUE"""),"CATEGORY_PAGE")</f>
        <v>CATEGORY_PAGE</v>
      </c>
      <c r="E232" s="11" t="str">
        <f>IFERROR(__xludf.DUMMYFUNCTION("""COMPUTED_VALUE"""),"CORPORATE")</f>
        <v>CORPORATE</v>
      </c>
      <c r="F232" s="11" t="str">
        <f>IFERROR(__xludf.DUMMYFUNCTION("""COMPUTED_VALUE"""),"Category Page")</f>
        <v>Category Page</v>
      </c>
      <c r="G232" s="11" t="b">
        <f>IFERROR(__xludf.DUMMYFUNCTION("""COMPUTED_VALUE"""),FALSE)</f>
        <v>0</v>
      </c>
      <c r="H232" s="11" t="str">
        <f>IFERROR(__xludf.DUMMYFUNCTION("""COMPUTED_VALUE"""),"Measured, lehof, Triple Whale, Northbeam, Dreamdata, Mediacharge, MONSOON, Loyamo")</f>
        <v>Measured, lehof, Triple Whale, Northbeam, Dreamdata, Mediacharge, MONSOON, Loyamo</v>
      </c>
      <c r="I232" s="11">
        <f>IFERROR(__xludf.DUMMYFUNCTION("""COMPUTED_VALUE"""),1.0)</f>
        <v>1</v>
      </c>
      <c r="J232" s="11">
        <f>IFERROR(__xludf.DUMMYFUNCTION("""COMPUTED_VALUE"""),0.0)</f>
        <v>0</v>
      </c>
      <c r="K232" s="11">
        <f>IFERROR(__xludf.DUMMYFUNCTION("""COMPUTED_VALUE"""),1.0)</f>
        <v>1</v>
      </c>
    </row>
    <row r="233" ht="15.75" customHeight="1">
      <c r="A233" s="8" t="str">
        <f>IFERROR(__xludf.DUMMYFUNCTION("""COMPUTED_VALUE"""),"https://www.sortlist.com/s/performance-marketing/frankfurt-he-de")</f>
        <v>https://www.sortlist.com/s/performance-marketing/frankfurt-he-de</v>
      </c>
      <c r="B233" s="11" t="str">
        <f>IFERROR(__xludf.DUMMYFUNCTION("""COMPUTED_VALUE"""),"The 10 Best Performance Marketing Agencies in Frankfurt - 2026 Reviews")</f>
        <v>The 10 Best Performance Marketing Agencies in Frankfurt - 2026 Reviews</v>
      </c>
      <c r="C233" s="8" t="str">
        <f>IFERROR(__xludf.DUMMYFUNCTION("""COMPUTED_VALUE"""),"sortlist.com")</f>
        <v>sortlist.com</v>
      </c>
      <c r="D233" s="11" t="str">
        <f>IFERROR(__xludf.DUMMYFUNCTION("""COMPUTED_VALUE"""),"CATEGORY_PAGE")</f>
        <v>CATEGORY_PAGE</v>
      </c>
      <c r="E233" s="11" t="str">
        <f>IFERROR(__xludf.DUMMYFUNCTION("""COMPUTED_VALUE"""),"CORPORATE")</f>
        <v>CORPORATE</v>
      </c>
      <c r="F233" s="11" t="str">
        <f>IFERROR(__xludf.DUMMYFUNCTION("""COMPUTED_VALUE"""),"Category Page")</f>
        <v>Category Page</v>
      </c>
      <c r="G233" s="11" t="b">
        <f>IFERROR(__xludf.DUMMYFUNCTION("""COMPUTED_VALUE"""),FALSE)</f>
        <v>0</v>
      </c>
      <c r="H233" s="11" t="str">
        <f>IFERROR(__xludf.DUMMYFUNCTION("""COMPUTED_VALUE"""),"lehof, Mediacharge, MONSOON, ZweiDigital GmbH, Measured, Triple Whale, Northbeam, Dreamdata")</f>
        <v>lehof, Mediacharge, MONSOON, ZweiDigital GmbH, Measured, Triple Whale, Northbeam, Dreamdata</v>
      </c>
      <c r="I233" s="11">
        <f>IFERROR(__xludf.DUMMYFUNCTION("""COMPUTED_VALUE"""),1.0)</f>
        <v>1</v>
      </c>
      <c r="J233" s="11">
        <f>IFERROR(__xludf.DUMMYFUNCTION("""COMPUTED_VALUE"""),0.0)</f>
        <v>0</v>
      </c>
      <c r="K233" s="11">
        <f>IFERROR(__xludf.DUMMYFUNCTION("""COMPUTED_VALUE"""),0.0)</f>
        <v>0</v>
      </c>
    </row>
    <row r="234" ht="15.75" customHeight="1">
      <c r="A234" s="8" t="str">
        <f>IFERROR(__xludf.DUMMYFUNCTION("""COMPUTED_VALUE"""),"https://www.sortlist.com/s/performance-marketing/munich-by-de")</f>
        <v>https://www.sortlist.com/s/performance-marketing/munich-by-de</v>
      </c>
      <c r="B234" s="11" t="str">
        <f>IFERROR(__xludf.DUMMYFUNCTION("""COMPUTED_VALUE"""),"The 10 Best Performance Marketing Agencies in Munich - 2026 Reviews")</f>
        <v>The 10 Best Performance Marketing Agencies in Munich - 2026 Reviews</v>
      </c>
      <c r="C234" s="8" t="str">
        <f>IFERROR(__xludf.DUMMYFUNCTION("""COMPUTED_VALUE"""),"sortlist.com")</f>
        <v>sortlist.com</v>
      </c>
      <c r="D234" s="11" t="str">
        <f>IFERROR(__xludf.DUMMYFUNCTION("""COMPUTED_VALUE"""),"CATEGORY_PAGE")</f>
        <v>CATEGORY_PAGE</v>
      </c>
      <c r="E234" s="11" t="str">
        <f>IFERROR(__xludf.DUMMYFUNCTION("""COMPUTED_VALUE"""),"CORPORATE")</f>
        <v>CORPORATE</v>
      </c>
      <c r="F234" s="11" t="str">
        <f>IFERROR(__xludf.DUMMYFUNCTION("""COMPUTED_VALUE"""),"Category Page")</f>
        <v>Category Page</v>
      </c>
      <c r="G234" s="11" t="b">
        <f>IFERROR(__xludf.DUMMYFUNCTION("""COMPUTED_VALUE"""),FALSE)</f>
        <v>0</v>
      </c>
      <c r="H234" s="11" t="str">
        <f>IFERROR(__xludf.DUMMYFUNCTION("""COMPUTED_VALUE"""),"lehof, Mediacharge, MONSOON, Triple Whale, Northbeam, Dreamdata, Loyamo")</f>
        <v>lehof, Mediacharge, MONSOON, Triple Whale, Northbeam, Dreamdata, Loyamo</v>
      </c>
      <c r="I234" s="11">
        <f>IFERROR(__xludf.DUMMYFUNCTION("""COMPUTED_VALUE"""),1.0)</f>
        <v>1</v>
      </c>
      <c r="J234" s="11">
        <f>IFERROR(__xludf.DUMMYFUNCTION("""COMPUTED_VALUE"""),0.0)</f>
        <v>0</v>
      </c>
      <c r="K234" s="11">
        <f>IFERROR(__xludf.DUMMYFUNCTION("""COMPUTED_VALUE"""),1.0)</f>
        <v>1</v>
      </c>
    </row>
    <row r="235" ht="15.75" customHeight="1">
      <c r="A235" s="8" t="str">
        <f>IFERROR(__xludf.DUMMYFUNCTION("""COMPUTED_VALUE"""),"https://www.sortlist.com/s/roi-optimization/germany-de")</f>
        <v>https://www.sortlist.com/s/roi-optimization/germany-de</v>
      </c>
      <c r="B235" s="11" t="str">
        <f>IFERROR(__xludf.DUMMYFUNCTION("""COMPUTED_VALUE"""),"The 10 Best ROI Optimization Companies in Germany - 2026 Reviews")</f>
        <v>The 10 Best ROI Optimization Companies in Germany - 2026 Reviews</v>
      </c>
      <c r="C235" s="8" t="str">
        <f>IFERROR(__xludf.DUMMYFUNCTION("""COMPUTED_VALUE"""),"sortlist.com")</f>
        <v>sortlist.com</v>
      </c>
      <c r="D235" s="11" t="str">
        <f>IFERROR(__xludf.DUMMYFUNCTION("""COMPUTED_VALUE"""),"CATEGORY_PAGE")</f>
        <v>CATEGORY_PAGE</v>
      </c>
      <c r="E235" s="11" t="str">
        <f>IFERROR(__xludf.DUMMYFUNCTION("""COMPUTED_VALUE"""),"CORPORATE")</f>
        <v>CORPORATE</v>
      </c>
      <c r="F235" s="11" t="str">
        <f>IFERROR(__xludf.DUMMYFUNCTION("""COMPUTED_VALUE"""),"Category Page")</f>
        <v>Category Page</v>
      </c>
      <c r="G235" s="11" t="b">
        <f>IFERROR(__xludf.DUMMYFUNCTION("""COMPUTED_VALUE"""),FALSE)</f>
        <v>0</v>
      </c>
      <c r="H235" s="11" t="str">
        <f>IFERROR(__xludf.DUMMYFUNCTION("""COMPUTED_VALUE"""),"MONSOON, Measured, Triple Whale, Northbeam, Dreamdata, PANORAMA3000, ZweiDigital GmbH")</f>
        <v>MONSOON, Measured, Triple Whale, Northbeam, Dreamdata, PANORAMA3000, ZweiDigital GmbH</v>
      </c>
      <c r="I235" s="11">
        <f>IFERROR(__xludf.DUMMYFUNCTION("""COMPUTED_VALUE"""),1.0)</f>
        <v>1</v>
      </c>
      <c r="J235" s="11">
        <f>IFERROR(__xludf.DUMMYFUNCTION("""COMPUTED_VALUE"""),0.0)</f>
        <v>0</v>
      </c>
      <c r="K235" s="11">
        <f>IFERROR(__xludf.DUMMYFUNCTION("""COMPUTED_VALUE"""),0.0)</f>
        <v>0</v>
      </c>
    </row>
    <row r="236" ht="15.75" customHeight="1">
      <c r="A236" s="8" t="str">
        <f>IFERROR(__xludf.DUMMYFUNCTION("""COMPUTED_VALUE"""),"https://www.sortlist.com/social-media-optimization")</f>
        <v>https://www.sortlist.com/social-media-optimization</v>
      </c>
      <c r="B236" s="11" t="str">
        <f>IFERROR(__xludf.DUMMYFUNCTION("""COMPUTED_VALUE"""),"The 100 Best Social Media Optimization Agencies - 2026 Reviews")</f>
        <v>The 100 Best Social Media Optimization Agencies - 2026 Reviews</v>
      </c>
      <c r="C236" s="8" t="str">
        <f>IFERROR(__xludf.DUMMYFUNCTION("""COMPUTED_VALUE"""),"sortlist.com")</f>
        <v>sortlist.com</v>
      </c>
      <c r="D236" s="11" t="str">
        <f>IFERROR(__xludf.DUMMYFUNCTION("""COMPUTED_VALUE"""),"CATEGORY_PAGE")</f>
        <v>CATEGORY_PAGE</v>
      </c>
      <c r="E236" s="11" t="str">
        <f>IFERROR(__xludf.DUMMYFUNCTION("""COMPUTED_VALUE"""),"CORPORATE")</f>
        <v>CORPORATE</v>
      </c>
      <c r="F236" s="11" t="str">
        <f>IFERROR(__xludf.DUMMYFUNCTION("""COMPUTED_VALUE"""),"Category Page")</f>
        <v>Category Page</v>
      </c>
      <c r="G236" s="11" t="b">
        <f>IFERROR(__xludf.DUMMYFUNCTION("""COMPUTED_VALUE"""),FALSE)</f>
        <v>0</v>
      </c>
      <c r="H236" s="11"/>
      <c r="I236" s="11">
        <f>IFERROR(__xludf.DUMMYFUNCTION("""COMPUTED_VALUE"""),1.0)</f>
        <v>1</v>
      </c>
      <c r="J236" s="11">
        <f>IFERROR(__xludf.DUMMYFUNCTION("""COMPUTED_VALUE"""),0.0)</f>
        <v>0</v>
      </c>
      <c r="K236" s="11">
        <f>IFERROR(__xludf.DUMMYFUNCTION("""COMPUTED_VALUE"""),0.0)</f>
        <v>0</v>
      </c>
    </row>
    <row r="237" ht="15.75" customHeight="1">
      <c r="A237" s="8" t="str">
        <f>IFERROR(__xludf.DUMMYFUNCTION("""COMPUTED_VALUE"""),"https://www.sortlist.de/s/display-werbung/bayern-by-de")</f>
        <v>https://www.sortlist.de/s/display-werbung/bayern-by-de</v>
      </c>
      <c r="B237" s="11" t="str">
        <f>IFERROR(__xludf.DUMMYFUNCTION("""COMPUTED_VALUE"""),"Display Anzeigen Agentur Bayern vergleichen")</f>
        <v>Display Anzeigen Agentur Bayern vergleichen</v>
      </c>
      <c r="C237" s="8" t="str">
        <f>IFERROR(__xludf.DUMMYFUNCTION("""COMPUTED_VALUE"""),"sortlist.de")</f>
        <v>sortlist.de</v>
      </c>
      <c r="D237" s="11" t="str">
        <f>IFERROR(__xludf.DUMMYFUNCTION("""COMPUTED_VALUE"""),"CATEGORY_PAGE")</f>
        <v>CATEGORY_PAGE</v>
      </c>
      <c r="E237" s="11" t="str">
        <f>IFERROR(__xludf.DUMMYFUNCTION("""COMPUTED_VALUE"""),"CORPORATE")</f>
        <v>CORPORATE</v>
      </c>
      <c r="F237" s="11" t="str">
        <f>IFERROR(__xludf.DUMMYFUNCTION("""COMPUTED_VALUE"""),"Category Page")</f>
        <v>Category Page</v>
      </c>
      <c r="G237" s="11" t="b">
        <f>IFERROR(__xludf.DUMMYFUNCTION("""COMPUTED_VALUE"""),FALSE)</f>
        <v>0</v>
      </c>
      <c r="H237" s="11" t="str">
        <f>IFERROR(__xludf.DUMMYFUNCTION("""COMPUTED_VALUE"""),"MONSOON, Triple Whale, Northbeam, Dreamdata, Mediacharge, Loyamo")</f>
        <v>MONSOON, Triple Whale, Northbeam, Dreamdata, Mediacharge, Loyamo</v>
      </c>
      <c r="I237" s="11">
        <f>IFERROR(__xludf.DUMMYFUNCTION("""COMPUTED_VALUE"""),1.0)</f>
        <v>1</v>
      </c>
      <c r="J237" s="11">
        <f>IFERROR(__xludf.DUMMYFUNCTION("""COMPUTED_VALUE"""),0.0)</f>
        <v>0</v>
      </c>
      <c r="K237" s="11">
        <f>IFERROR(__xludf.DUMMYFUNCTION("""COMPUTED_VALUE"""),0.0)</f>
        <v>0</v>
      </c>
    </row>
    <row r="238" ht="15.75" customHeight="1">
      <c r="A238" s="8" t="str">
        <f>IFERROR(__xludf.DUMMYFUNCTION("""COMPUTED_VALUE"""),"https://www.sortlist.de/s/facebook-advertising/deutschland-de")</f>
        <v>https://www.sortlist.de/s/facebook-advertising/deutschland-de</v>
      </c>
      <c r="B238" s="11" t="str">
        <f>IFERROR(__xludf.DUMMYFUNCTION("""COMPUTED_VALUE"""),"Unsere 10 Besten Facebook-Werbung Agenturen in Deutschland - 2026 Bewertungen")</f>
        <v>Unsere 10 Besten Facebook-Werbung Agenturen in Deutschland - 2026 Bewertungen</v>
      </c>
      <c r="C238" s="8" t="str">
        <f>IFERROR(__xludf.DUMMYFUNCTION("""COMPUTED_VALUE"""),"sortlist.de")</f>
        <v>sortlist.de</v>
      </c>
      <c r="D238" s="11" t="str">
        <f>IFERROR(__xludf.DUMMYFUNCTION("""COMPUTED_VALUE"""),"CATEGORY_PAGE")</f>
        <v>CATEGORY_PAGE</v>
      </c>
      <c r="E238" s="11" t="str">
        <f>IFERROR(__xludf.DUMMYFUNCTION("""COMPUTED_VALUE"""),"CORPORATE")</f>
        <v>CORPORATE</v>
      </c>
      <c r="F238" s="11" t="str">
        <f>IFERROR(__xludf.DUMMYFUNCTION("""COMPUTED_VALUE"""),"Category Page")</f>
        <v>Category Page</v>
      </c>
      <c r="G238" s="11" t="b">
        <f>IFERROR(__xludf.DUMMYFUNCTION("""COMPUTED_VALUE"""),FALSE)</f>
        <v>0</v>
      </c>
      <c r="H238" s="11" t="str">
        <f>IFERROR(__xludf.DUMMYFUNCTION("""COMPUTED_VALUE"""),"lehof, MONSOON, Triple Whale, Northbeam, Dreamdata, PANORAMA3000")</f>
        <v>lehof, MONSOON, Triple Whale, Northbeam, Dreamdata, PANORAMA3000</v>
      </c>
      <c r="I238" s="11">
        <f>IFERROR(__xludf.DUMMYFUNCTION("""COMPUTED_VALUE"""),1.0)</f>
        <v>1</v>
      </c>
      <c r="J238" s="11">
        <f>IFERROR(__xludf.DUMMYFUNCTION("""COMPUTED_VALUE"""),0.0)</f>
        <v>0</v>
      </c>
      <c r="K238" s="11">
        <f>IFERROR(__xludf.DUMMYFUNCTION("""COMPUTED_VALUE"""),0.0)</f>
        <v>0</v>
      </c>
    </row>
    <row r="239" ht="15.75" customHeight="1">
      <c r="A239" s="8" t="str">
        <f>IFERROR(__xludf.DUMMYFUNCTION("""COMPUTED_VALUE"""),"https://www.sortlist.de/s/linkedin-ads/deutschland-de")</f>
        <v>https://www.sortlist.de/s/linkedin-ads/deutschland-de</v>
      </c>
      <c r="B239" s="11" t="str">
        <f>IFERROR(__xludf.DUMMYFUNCTION("""COMPUTED_VALUE"""),"Unsere 10 Besten LinkedIn Ads Agenturen in Deutschland - 2026 Bewertungen")</f>
        <v>Unsere 10 Besten LinkedIn Ads Agenturen in Deutschland - 2026 Bewertungen</v>
      </c>
      <c r="C239" s="8" t="str">
        <f>IFERROR(__xludf.DUMMYFUNCTION("""COMPUTED_VALUE"""),"sortlist.de")</f>
        <v>sortlist.de</v>
      </c>
      <c r="D239" s="11" t="str">
        <f>IFERROR(__xludf.DUMMYFUNCTION("""COMPUTED_VALUE"""),"CATEGORY_PAGE")</f>
        <v>CATEGORY_PAGE</v>
      </c>
      <c r="E239" s="11" t="str">
        <f>IFERROR(__xludf.DUMMYFUNCTION("""COMPUTED_VALUE"""),"CORPORATE")</f>
        <v>CORPORATE</v>
      </c>
      <c r="F239" s="11" t="str">
        <f>IFERROR(__xludf.DUMMYFUNCTION("""COMPUTED_VALUE"""),"Category Page")</f>
        <v>Category Page</v>
      </c>
      <c r="G239" s="11" t="b">
        <f>IFERROR(__xludf.DUMMYFUNCTION("""COMPUTED_VALUE"""),FALSE)</f>
        <v>0</v>
      </c>
      <c r="H239" s="11" t="str">
        <f>IFERROR(__xludf.DUMMYFUNCTION("""COMPUTED_VALUE"""),"MONSOON")</f>
        <v>MONSOON</v>
      </c>
      <c r="I239" s="11">
        <f>IFERROR(__xludf.DUMMYFUNCTION("""COMPUTED_VALUE"""),1.0)</f>
        <v>1</v>
      </c>
      <c r="J239" s="11">
        <f>IFERROR(__xludf.DUMMYFUNCTION("""COMPUTED_VALUE"""),0.0)</f>
        <v>0</v>
      </c>
      <c r="K239" s="11">
        <f>IFERROR(__xludf.DUMMYFUNCTION("""COMPUTED_VALUE"""),0.0)</f>
        <v>0</v>
      </c>
    </row>
    <row r="240" ht="15.75" customHeight="1">
      <c r="A240" s="8" t="str">
        <f>IFERROR(__xludf.DUMMYFUNCTION("""COMPUTED_VALUE"""),"https://www.sortlist.de/s/marketing-analytik/hamburg-de")</f>
        <v>https://www.sortlist.de/s/marketing-analytik/hamburg-de</v>
      </c>
      <c r="B240" s="11" t="str">
        <f>IFERROR(__xludf.DUMMYFUNCTION("""COMPUTED_VALUE"""),"Marketing Analytik Agentur Hamburg vergleichen")</f>
        <v>Marketing Analytik Agentur Hamburg vergleichen</v>
      </c>
      <c r="C240" s="8" t="str">
        <f>IFERROR(__xludf.DUMMYFUNCTION("""COMPUTED_VALUE"""),"sortlist.de")</f>
        <v>sortlist.de</v>
      </c>
      <c r="D240" s="11" t="str">
        <f>IFERROR(__xludf.DUMMYFUNCTION("""COMPUTED_VALUE"""),"CATEGORY_PAGE")</f>
        <v>CATEGORY_PAGE</v>
      </c>
      <c r="E240" s="11" t="str">
        <f>IFERROR(__xludf.DUMMYFUNCTION("""COMPUTED_VALUE"""),"CORPORATE")</f>
        <v>CORPORATE</v>
      </c>
      <c r="F240" s="11" t="str">
        <f>IFERROR(__xludf.DUMMYFUNCTION("""COMPUTED_VALUE"""),"Category Page")</f>
        <v>Category Page</v>
      </c>
      <c r="G240" s="11" t="b">
        <f>IFERROR(__xludf.DUMMYFUNCTION("""COMPUTED_VALUE"""),FALSE)</f>
        <v>0</v>
      </c>
      <c r="H240" s="11" t="str">
        <f>IFERROR(__xludf.DUMMYFUNCTION("""COMPUTED_VALUE"""),"lehof, MONSOON, KlickPiloten")</f>
        <v>lehof, MONSOON, KlickPiloten</v>
      </c>
      <c r="I240" s="11">
        <f>IFERROR(__xludf.DUMMYFUNCTION("""COMPUTED_VALUE"""),1.0)</f>
        <v>1</v>
      </c>
      <c r="J240" s="11">
        <f>IFERROR(__xludf.DUMMYFUNCTION("""COMPUTED_VALUE"""),0.0)</f>
        <v>0</v>
      </c>
      <c r="K240" s="11">
        <f>IFERROR(__xludf.DUMMYFUNCTION("""COMPUTED_VALUE"""),0.0)</f>
        <v>0</v>
      </c>
    </row>
    <row r="241" ht="15.75" customHeight="1">
      <c r="A241" s="8" t="str">
        <f>IFERROR(__xludf.DUMMYFUNCTION("""COMPUTED_VALUE"""),"https://www.sortlist.de/s/pay-per-click/deutschland-de")</f>
        <v>https://www.sortlist.de/s/pay-per-click/deutschland-de</v>
      </c>
      <c r="B241" s="11" t="str">
        <f>IFERROR(__xludf.DUMMYFUNCTION("""COMPUTED_VALUE"""),"Unsere 10 Besten PPC Marketing Agenturen in Deutschland - 2026 Bewertungen")</f>
        <v>Unsere 10 Besten PPC Marketing Agenturen in Deutschland - 2026 Bewertungen</v>
      </c>
      <c r="C241" s="8" t="str">
        <f>IFERROR(__xludf.DUMMYFUNCTION("""COMPUTED_VALUE"""),"sortlist.de")</f>
        <v>sortlist.de</v>
      </c>
      <c r="D241" s="11" t="str">
        <f>IFERROR(__xludf.DUMMYFUNCTION("""COMPUTED_VALUE"""),"CATEGORY_PAGE")</f>
        <v>CATEGORY_PAGE</v>
      </c>
      <c r="E241" s="11" t="str">
        <f>IFERROR(__xludf.DUMMYFUNCTION("""COMPUTED_VALUE"""),"CORPORATE")</f>
        <v>CORPORATE</v>
      </c>
      <c r="F241" s="11" t="str">
        <f>IFERROR(__xludf.DUMMYFUNCTION("""COMPUTED_VALUE"""),"Category Page")</f>
        <v>Category Page</v>
      </c>
      <c r="G241" s="11" t="b">
        <f>IFERROR(__xludf.DUMMYFUNCTION("""COMPUTED_VALUE"""),FALSE)</f>
        <v>0</v>
      </c>
      <c r="H241" s="11" t="str">
        <f>IFERROR(__xludf.DUMMYFUNCTION("""COMPUTED_VALUE"""),"MONSOON, Mediacharge")</f>
        <v>MONSOON, Mediacharge</v>
      </c>
      <c r="I241" s="11">
        <f>IFERROR(__xludf.DUMMYFUNCTION("""COMPUTED_VALUE"""),1.0)</f>
        <v>1</v>
      </c>
      <c r="J241" s="11">
        <f>IFERROR(__xludf.DUMMYFUNCTION("""COMPUTED_VALUE"""),0.0)</f>
        <v>0</v>
      </c>
      <c r="K241" s="11">
        <f>IFERROR(__xludf.DUMMYFUNCTION("""COMPUTED_VALUE"""),4.0)</f>
        <v>4</v>
      </c>
    </row>
    <row r="242" ht="15.75" customHeight="1">
      <c r="A242" s="8" t="str">
        <f>IFERROR(__xludf.DUMMYFUNCTION("""COMPUTED_VALUE"""),"https://www.sortlist.de/s/tiktok/deutschland-de")</f>
        <v>https://www.sortlist.de/s/tiktok/deutschland-de</v>
      </c>
      <c r="B242" s="11" t="str">
        <f>IFERROR(__xludf.DUMMYFUNCTION("""COMPUTED_VALUE"""),"TikTok Agentur Deutschland 2026 – Die 11 Besten im Vergleich")</f>
        <v>TikTok Agentur Deutschland 2026 – Die 11 Besten im Vergleich</v>
      </c>
      <c r="C242" s="8" t="str">
        <f>IFERROR(__xludf.DUMMYFUNCTION("""COMPUTED_VALUE"""),"sortlist.de")</f>
        <v>sortlist.de</v>
      </c>
      <c r="D242" s="11" t="str">
        <f>IFERROR(__xludf.DUMMYFUNCTION("""COMPUTED_VALUE"""),"CATEGORY_PAGE")</f>
        <v>CATEGORY_PAGE</v>
      </c>
      <c r="E242" s="11" t="str">
        <f>IFERROR(__xludf.DUMMYFUNCTION("""COMPUTED_VALUE"""),"CORPORATE")</f>
        <v>CORPORATE</v>
      </c>
      <c r="F242" s="11" t="str">
        <f>IFERROR(__xludf.DUMMYFUNCTION("""COMPUTED_VALUE"""),"Category Page")</f>
        <v>Category Page</v>
      </c>
      <c r="G242" s="11" t="b">
        <f>IFERROR(__xludf.DUMMYFUNCTION("""COMPUTED_VALUE"""),FALSE)</f>
        <v>0</v>
      </c>
      <c r="H242" s="11" t="str">
        <f>IFERROR(__xludf.DUMMYFUNCTION("""COMPUTED_VALUE"""),"PANORAMA3000, MONSOON, lehof, Loyamo")</f>
        <v>PANORAMA3000, MONSOON, lehof, Loyamo</v>
      </c>
      <c r="I242" s="11">
        <f>IFERROR(__xludf.DUMMYFUNCTION("""COMPUTED_VALUE"""),1.0)</f>
        <v>1</v>
      </c>
      <c r="J242" s="11">
        <f>IFERROR(__xludf.DUMMYFUNCTION("""COMPUTED_VALUE"""),0.0)</f>
        <v>0</v>
      </c>
      <c r="K242" s="11">
        <f>IFERROR(__xludf.DUMMYFUNCTION("""COMPUTED_VALUE"""),0.0)</f>
        <v>0</v>
      </c>
    </row>
    <row r="243" ht="15.75" customHeight="1">
      <c r="A243" s="8" t="str">
        <f>IFERROR(__xludf.DUMMYFUNCTION("""COMPUTED_VALUE"""),"https://www.sortlist.de/s/tiktok/deutschland-de?page=2")</f>
        <v>https://www.sortlist.de/s/tiktok/deutschland-de?page=2</v>
      </c>
      <c r="B243" s="11" t="str">
        <f>IFERROR(__xludf.DUMMYFUNCTION("""COMPUTED_VALUE"""),"TikTok Agentur Deutschland 2026 – Die 11 Besten im Vergleich – Seite 2")</f>
        <v>TikTok Agentur Deutschland 2026 – Die 11 Besten im Vergleich – Seite 2</v>
      </c>
      <c r="C243" s="8" t="str">
        <f>IFERROR(__xludf.DUMMYFUNCTION("""COMPUTED_VALUE"""),"sortlist.de")</f>
        <v>sortlist.de</v>
      </c>
      <c r="D243" s="11" t="str">
        <f>IFERROR(__xludf.DUMMYFUNCTION("""COMPUTED_VALUE"""),"CATEGORY_PAGE")</f>
        <v>CATEGORY_PAGE</v>
      </c>
      <c r="E243" s="11" t="str">
        <f>IFERROR(__xludf.DUMMYFUNCTION("""COMPUTED_VALUE"""),"CORPORATE")</f>
        <v>CORPORATE</v>
      </c>
      <c r="F243" s="11" t="str">
        <f>IFERROR(__xludf.DUMMYFUNCTION("""COMPUTED_VALUE"""),"Category Page")</f>
        <v>Category Page</v>
      </c>
      <c r="G243" s="11" t="b">
        <f>IFERROR(__xludf.DUMMYFUNCTION("""COMPUTED_VALUE"""),FALSE)</f>
        <v>0</v>
      </c>
      <c r="H243" s="11" t="str">
        <f>IFERROR(__xludf.DUMMYFUNCTION("""COMPUTED_VALUE"""),"PANORAMA3000, Pilot")</f>
        <v>PANORAMA3000, Pilot</v>
      </c>
      <c r="I243" s="11">
        <f>IFERROR(__xludf.DUMMYFUNCTION("""COMPUTED_VALUE"""),1.0)</f>
        <v>1</v>
      </c>
      <c r="J243" s="11">
        <f>IFERROR(__xludf.DUMMYFUNCTION("""COMPUTED_VALUE"""),0.0)</f>
        <v>0</v>
      </c>
      <c r="K243" s="11">
        <f>IFERROR(__xludf.DUMMYFUNCTION("""COMPUTED_VALUE"""),0.0)</f>
        <v>0</v>
      </c>
    </row>
    <row r="244" ht="15.75" customHeight="1">
      <c r="A244" s="8" t="str">
        <f>IFERROR(__xludf.DUMMYFUNCTION("""COMPUTED_VALUE"""),"https://www.sortlist.de/social-media/deutschland-de")</f>
        <v>https://www.sortlist.de/social-media/deutschland-de</v>
      </c>
      <c r="B244" s="11" t="str">
        <f>IFERROR(__xludf.DUMMYFUNCTION("""COMPUTED_VALUE"""),"Social-Media Agentur Deutschland 2026 – Die 17 Besten im Vergleich")</f>
        <v>Social-Media Agentur Deutschland 2026 – Die 17 Besten im Vergleich</v>
      </c>
      <c r="C244" s="8" t="str">
        <f>IFERROR(__xludf.DUMMYFUNCTION("""COMPUTED_VALUE"""),"sortlist.de")</f>
        <v>sortlist.de</v>
      </c>
      <c r="D244" s="11" t="str">
        <f>IFERROR(__xludf.DUMMYFUNCTION("""COMPUTED_VALUE"""),"CATEGORY_PAGE")</f>
        <v>CATEGORY_PAGE</v>
      </c>
      <c r="E244" s="11" t="str">
        <f>IFERROR(__xludf.DUMMYFUNCTION("""COMPUTED_VALUE"""),"CORPORATE")</f>
        <v>CORPORATE</v>
      </c>
      <c r="F244" s="11" t="str">
        <f>IFERROR(__xludf.DUMMYFUNCTION("""COMPUTED_VALUE"""),"Category Page")</f>
        <v>Category Page</v>
      </c>
      <c r="G244" s="11" t="b">
        <f>IFERROR(__xludf.DUMMYFUNCTION("""COMPUTED_VALUE"""),FALSE)</f>
        <v>0</v>
      </c>
      <c r="H244" s="11" t="str">
        <f>IFERROR(__xludf.DUMMYFUNCTION("""COMPUTED_VALUE"""),"PANORAMA3000, lehof")</f>
        <v>PANORAMA3000, lehof</v>
      </c>
      <c r="I244" s="11">
        <f>IFERROR(__xludf.DUMMYFUNCTION("""COMPUTED_VALUE"""),1.0)</f>
        <v>1</v>
      </c>
      <c r="J244" s="11">
        <f>IFERROR(__xludf.DUMMYFUNCTION("""COMPUTED_VALUE"""),0.0)</f>
        <v>0</v>
      </c>
      <c r="K244" s="11">
        <f>IFERROR(__xludf.DUMMYFUNCTION("""COMPUTED_VALUE"""),0.0)</f>
        <v>0</v>
      </c>
    </row>
    <row r="245" ht="15.75" customHeight="1">
      <c r="A245" s="8" t="str">
        <f>IFERROR(__xludf.DUMMYFUNCTION("""COMPUTED_VALUE"""),"https://www.statista.com/topics/12476/%25E2%2580%259Cbig-six%25E2%2580%259D-ad-agency-groups-worldwide/")</f>
        <v>https://www.statista.com/topics/12476/%25E2%2580%259Cbig-six%25E2%2580%259D-ad-agency-groups-worldwide/</v>
      </c>
      <c r="B245" s="11" t="str">
        <f>IFERROR(__xludf.DUMMYFUNCTION("""COMPUTED_VALUE"""),"“Big Six” advertising agency groups worldwide – statistics &amp; facts \| Statista")</f>
        <v>“Big Six” advertising agency groups worldwide – statistics &amp; facts \| Statista</v>
      </c>
      <c r="C245" s="8" t="str">
        <f>IFERROR(__xludf.DUMMYFUNCTION("""COMPUTED_VALUE"""),"statista.com")</f>
        <v>statista.com</v>
      </c>
      <c r="D245" s="11" t="str">
        <f>IFERROR(__xludf.DUMMYFUNCTION("""COMPUTED_VALUE"""),"CATEGORY_PAGE")</f>
        <v>CATEGORY_PAGE</v>
      </c>
      <c r="E245" s="11" t="str">
        <f>IFERROR(__xludf.DUMMYFUNCTION("""COMPUTED_VALUE"""),"REFERENCE")</f>
        <v>REFERENCE</v>
      </c>
      <c r="F245" s="11" t="str">
        <f>IFERROR(__xludf.DUMMYFUNCTION("""COMPUTED_VALUE"""),"Category Page")</f>
        <v>Category Page</v>
      </c>
      <c r="G245" s="11" t="b">
        <f>IFERROR(__xludf.DUMMYFUNCTION("""COMPUTED_VALUE"""),FALSE)</f>
        <v>0</v>
      </c>
      <c r="H245" s="11" t="str">
        <f>IFERROR(__xludf.DUMMYFUNCTION("""COMPUTED_VALUE"""),"WPP, Publicis Groupe, Omnicom, Dentsu, Mindshare, Publicis Media, Havas Media")</f>
        <v>WPP, Publicis Groupe, Omnicom, Dentsu, Mindshare, Publicis Media, Havas Media</v>
      </c>
      <c r="I245" s="11">
        <f>IFERROR(__xludf.DUMMYFUNCTION("""COMPUTED_VALUE"""),1.0)</f>
        <v>1</v>
      </c>
      <c r="J245" s="11">
        <f>IFERROR(__xludf.DUMMYFUNCTION("""COMPUTED_VALUE"""),0.0)</f>
        <v>0</v>
      </c>
      <c r="K245" s="11">
        <f>IFERROR(__xludf.DUMMYFUNCTION("""COMPUTED_VALUE"""),1.0)</f>
        <v>1</v>
      </c>
    </row>
    <row r="246" ht="15.75" customHeight="1">
      <c r="A246" s="8" t="str">
        <f>IFERROR(__xludf.DUMMYFUNCTION("""COMPUTED_VALUE"""),"https://www.statworx.com/daten-und-ki-loesungen")</f>
        <v>https://www.statworx.com/daten-und-ki-loesungen</v>
      </c>
      <c r="B246" s="11" t="str">
        <f>IFERROR(__xludf.DUMMYFUNCTION("""COMPUTED_VALUE"""),"KI-Lösungen: Individuelle AI Solutions für Ihr Unternehmen | statworx")</f>
        <v>KI-Lösungen: Individuelle AI Solutions für Ihr Unternehmen | statworx</v>
      </c>
      <c r="C246" s="8" t="str">
        <f>IFERROR(__xludf.DUMMYFUNCTION("""COMPUTED_VALUE"""),"statworx.com")</f>
        <v>statworx.com</v>
      </c>
      <c r="D246" s="11" t="str">
        <f>IFERROR(__xludf.DUMMYFUNCTION("""COMPUTED_VALUE"""),"CATEGORY_PAGE")</f>
        <v>CATEGORY_PAGE</v>
      </c>
      <c r="E246" s="11" t="str">
        <f>IFERROR(__xludf.DUMMYFUNCTION("""COMPUTED_VALUE"""),"COMPETITOR")</f>
        <v>COMPETITOR</v>
      </c>
      <c r="F246" s="11" t="str">
        <f>IFERROR(__xludf.DUMMYFUNCTION("""COMPUTED_VALUE"""),"Category Page")</f>
        <v>Category Page</v>
      </c>
      <c r="G246" s="11" t="b">
        <f>IFERROR(__xludf.DUMMYFUNCTION("""COMPUTED_VALUE"""),FALSE)</f>
        <v>0</v>
      </c>
      <c r="H246" s="11" t="str">
        <f>IFERROR(__xludf.DUMMYFUNCTION("""COMPUTED_VALUE"""),"statworx")</f>
        <v>statworx</v>
      </c>
      <c r="I246" s="11">
        <f>IFERROR(__xludf.DUMMYFUNCTION("""COMPUTED_VALUE"""),1.0)</f>
        <v>1</v>
      </c>
      <c r="J246" s="11">
        <f>IFERROR(__xludf.DUMMYFUNCTION("""COMPUTED_VALUE"""),0.0)</f>
        <v>0</v>
      </c>
      <c r="K246" s="11">
        <f>IFERROR(__xludf.DUMMYFUNCTION("""COMPUTED_VALUE"""),1.0)</f>
        <v>1</v>
      </c>
    </row>
    <row r="247" ht="15.75" customHeight="1">
      <c r="A247" s="8" t="str">
        <f>IFERROR(__xludf.DUMMYFUNCTION("""COMPUTED_VALUE"""),"https://www.statworx.com/en/ecosystem")</f>
        <v>https://www.statworx.com/en/ecosystem</v>
      </c>
      <c r="B247" s="11" t="str">
        <f>IFERROR(__xludf.DUMMYFUNCTION("""COMPUTED_VALUE"""),"Ecosystem")</f>
        <v>Ecosystem</v>
      </c>
      <c r="C247" s="8" t="str">
        <f>IFERROR(__xludf.DUMMYFUNCTION("""COMPUTED_VALUE"""),"statworx.com")</f>
        <v>statworx.com</v>
      </c>
      <c r="D247" s="11" t="str">
        <f>IFERROR(__xludf.DUMMYFUNCTION("""COMPUTED_VALUE"""),"CATEGORY_PAGE")</f>
        <v>CATEGORY_PAGE</v>
      </c>
      <c r="E247" s="11" t="str">
        <f>IFERROR(__xludf.DUMMYFUNCTION("""COMPUTED_VALUE"""),"COMPETITOR")</f>
        <v>COMPETITOR</v>
      </c>
      <c r="F247" s="11" t="str">
        <f>IFERROR(__xludf.DUMMYFUNCTION("""COMPUTED_VALUE"""),"Category Page")</f>
        <v>Category Page</v>
      </c>
      <c r="G247" s="11" t="b">
        <f>IFERROR(__xludf.DUMMYFUNCTION("""COMPUTED_VALUE"""),FALSE)</f>
        <v>0</v>
      </c>
      <c r="H247" s="11" t="str">
        <f>IFERROR(__xludf.DUMMYFUNCTION("""COMPUTED_VALUE"""),"statworx")</f>
        <v>statworx</v>
      </c>
      <c r="I247" s="11">
        <f>IFERROR(__xludf.DUMMYFUNCTION("""COMPUTED_VALUE"""),1.0)</f>
        <v>1</v>
      </c>
      <c r="J247" s="11">
        <f>IFERROR(__xludf.DUMMYFUNCTION("""COMPUTED_VALUE"""),0.0)</f>
        <v>0</v>
      </c>
      <c r="K247" s="11">
        <f>IFERROR(__xludf.DUMMYFUNCTION("""COMPUTED_VALUE"""),1.0)</f>
        <v>1</v>
      </c>
    </row>
    <row r="248" ht="15.75" customHeight="1">
      <c r="A248" s="8" t="str">
        <f>IFERROR(__xludf.DUMMYFUNCTION("""COMPUTED_VALUE"""),"https://superbcompanies.com/categories/digital-marketing-companies-in-germany/")</f>
        <v>https://superbcompanies.com/categories/digital-marketing-companies-in-germany/</v>
      </c>
      <c r="B248" s="11" t="str">
        <f>IFERROR(__xludf.DUMMYFUNCTION("""COMPUTED_VALUE"""),"Top 50 Digital Marketing Companies in Germany - Jul 2026 | Ranking | SuperbCompanies")</f>
        <v>Top 50 Digital Marketing Companies in Germany - Jul 2026 | Ranking | SuperbCompanies</v>
      </c>
      <c r="C248" s="8" t="str">
        <f>IFERROR(__xludf.DUMMYFUNCTION("""COMPUTED_VALUE"""),"superbcompanies.com")</f>
        <v>superbcompanies.com</v>
      </c>
      <c r="D248" s="11" t="str">
        <f>IFERROR(__xludf.DUMMYFUNCTION("""COMPUTED_VALUE"""),"CATEGORY_PAGE")</f>
        <v>CATEGORY_PAGE</v>
      </c>
      <c r="E248" s="11" t="str">
        <f>IFERROR(__xludf.DUMMYFUNCTION("""COMPUTED_VALUE"""),"REFERENCE")</f>
        <v>REFERENCE</v>
      </c>
      <c r="F248" s="11" t="str">
        <f>IFERROR(__xludf.DUMMYFUNCTION("""COMPUTED_VALUE"""),"Category Page")</f>
        <v>Category Page</v>
      </c>
      <c r="G248" s="11" t="b">
        <f>IFERROR(__xludf.DUMMYFUNCTION("""COMPUTED_VALUE"""),FALSE)</f>
        <v>0</v>
      </c>
      <c r="H248" s="11" t="str">
        <f>IFERROR(__xludf.DUMMYFUNCTION("""COMPUTED_VALUE"""),"HECHT INS GEFECHT, KlickPiloten, The Boutique Agency, Mediacharge")</f>
        <v>HECHT INS GEFECHT, KlickPiloten, The Boutique Agency, Mediacharge</v>
      </c>
      <c r="I248" s="11">
        <f>IFERROR(__xludf.DUMMYFUNCTION("""COMPUTED_VALUE"""),1.0)</f>
        <v>1</v>
      </c>
      <c r="J248" s="11">
        <f>IFERROR(__xludf.DUMMYFUNCTION("""COMPUTED_VALUE"""),0.0)</f>
        <v>0</v>
      </c>
      <c r="K248" s="11">
        <f>IFERROR(__xludf.DUMMYFUNCTION("""COMPUTED_VALUE"""),0.0)</f>
        <v>0</v>
      </c>
    </row>
    <row r="249" ht="15.75" customHeight="1">
      <c r="A249" s="8" t="str">
        <f>IFERROR(__xludf.DUMMYFUNCTION("""COMPUTED_VALUE"""),"https://www.tdwi-konferenz.de/de/programm/konferenzprogramm/academic-track-5")</f>
        <v>https://www.tdwi-konferenz.de/de/programm/konferenzprogramm/academic-track-5</v>
      </c>
      <c r="B249" s="11" t="str">
        <f>IFERROR(__xludf.DUMMYFUNCTION("""COMPUTED_VALUE"""),"TDWI München | Programm")</f>
        <v>TDWI München | Programm</v>
      </c>
      <c r="C249" s="8" t="str">
        <f>IFERROR(__xludf.DUMMYFUNCTION("""COMPUTED_VALUE"""),"tdwi-konferenz.de")</f>
        <v>tdwi-konferenz.de</v>
      </c>
      <c r="D249" s="11" t="str">
        <f>IFERROR(__xludf.DUMMYFUNCTION("""COMPUTED_VALUE"""),"CATEGORY_PAGE")</f>
        <v>CATEGORY_PAGE</v>
      </c>
      <c r="E249" s="11" t="str">
        <f>IFERROR(__xludf.DUMMYFUNCTION("""COMPUTED_VALUE"""),"CORPORATE")</f>
        <v>CORPORATE</v>
      </c>
      <c r="F249" s="11" t="str">
        <f>IFERROR(__xludf.DUMMYFUNCTION("""COMPUTED_VALUE"""),"Category Page")</f>
        <v>Category Page</v>
      </c>
      <c r="G249" s="11" t="b">
        <f>IFERROR(__xludf.DUMMYFUNCTION("""COMPUTED_VALUE"""),FALSE)</f>
        <v>0</v>
      </c>
      <c r="H249" s="11" t="str">
        <f>IFERROR(__xludf.DUMMYFUNCTION("""COMPUTED_VALUE"""),"Pilot, FELD M")</f>
        <v>Pilot, FELD M</v>
      </c>
      <c r="I249" s="11">
        <f>IFERROR(__xludf.DUMMYFUNCTION("""COMPUTED_VALUE"""),1.0)</f>
        <v>1</v>
      </c>
      <c r="J249" s="11">
        <f>IFERROR(__xludf.DUMMYFUNCTION("""COMPUTED_VALUE"""),0.0)</f>
        <v>0</v>
      </c>
      <c r="K249" s="11">
        <f>IFERROR(__xludf.DUMMYFUNCTION("""COMPUTED_VALUE"""),1.0)</f>
        <v>1</v>
      </c>
    </row>
    <row r="250" ht="15.75" customHeight="1">
      <c r="A250" s="8" t="str">
        <f>IFERROR(__xludf.DUMMYFUNCTION("""COMPUTED_VALUE"""),"https://techradiant.co/agencies/generative-engine-optimization/")</f>
        <v>https://techradiant.co/agencies/generative-engine-optimization/</v>
      </c>
      <c r="B250" s="11" t="str">
        <f>IFERROR(__xludf.DUMMYFUNCTION("""COMPUTED_VALUE"""),"Best Generative Engine Optimization Companies 2026 | Top GEO Experts - Techradiant")</f>
        <v>Best Generative Engine Optimization Companies 2026 | Top GEO Experts - Techradiant</v>
      </c>
      <c r="C250" s="8" t="str">
        <f>IFERROR(__xludf.DUMMYFUNCTION("""COMPUTED_VALUE"""),"techradiant.co")</f>
        <v>techradiant.co</v>
      </c>
      <c r="D250" s="11" t="str">
        <f>IFERROR(__xludf.DUMMYFUNCTION("""COMPUTED_VALUE"""),"CATEGORY_PAGE")</f>
        <v>CATEGORY_PAGE</v>
      </c>
      <c r="E250" s="11" t="str">
        <f>IFERROR(__xludf.DUMMYFUNCTION("""COMPUTED_VALUE"""),"REFERENCE")</f>
        <v>REFERENCE</v>
      </c>
      <c r="F250" s="11" t="str">
        <f>IFERROR(__xludf.DUMMYFUNCTION("""COMPUTED_VALUE"""),"Category Page")</f>
        <v>Category Page</v>
      </c>
      <c r="G250" s="11" t="b">
        <f>IFERROR(__xludf.DUMMYFUNCTION("""COMPUTED_VALUE"""),FALSE)</f>
        <v>0</v>
      </c>
      <c r="H250" s="11" t="str">
        <f>IFERROR(__xludf.DUMMYFUNCTION("""COMPUTED_VALUE"""),"Directive Consulting")</f>
        <v>Directive Consulting</v>
      </c>
      <c r="I250" s="11">
        <f>IFERROR(__xludf.DUMMYFUNCTION("""COMPUTED_VALUE"""),1.0)</f>
        <v>1</v>
      </c>
      <c r="J250" s="11">
        <f>IFERROR(__xludf.DUMMYFUNCTION("""COMPUTED_VALUE"""),0.0)</f>
        <v>0</v>
      </c>
      <c r="K250" s="11">
        <f>IFERROR(__xludf.DUMMYFUNCTION("""COMPUTED_VALUE"""),0.0)</f>
        <v>0</v>
      </c>
    </row>
    <row r="251" ht="15.75" customHeight="1">
      <c r="A251" s="8" t="str">
        <f>IFERROR(__xludf.DUMMYFUNCTION("""COMPUTED_VALUE"""),"https://themanifest.com/de/social-media/linkedin/agencies")</f>
        <v>https://themanifest.com/de/social-media/linkedin/agencies</v>
      </c>
      <c r="B251" s="11" t="str">
        <f>IFERROR(__xludf.DUMMYFUNCTION("""COMPUTED_VALUE"""),"The Best LinkedIn Advertising Companies in Germany - Jul 2026 | The Manifest")</f>
        <v>The Best LinkedIn Advertising Companies in Germany - Jul 2026 | The Manifest</v>
      </c>
      <c r="C251" s="8" t="str">
        <f>IFERROR(__xludf.DUMMYFUNCTION("""COMPUTED_VALUE"""),"themanifest.com")</f>
        <v>themanifest.com</v>
      </c>
      <c r="D251" s="11" t="str">
        <f>IFERROR(__xludf.DUMMYFUNCTION("""COMPUTED_VALUE"""),"CATEGORY_PAGE")</f>
        <v>CATEGORY_PAGE</v>
      </c>
      <c r="E251" s="11" t="str">
        <f>IFERROR(__xludf.DUMMYFUNCTION("""COMPUTED_VALUE"""),"REFERENCE")</f>
        <v>REFERENCE</v>
      </c>
      <c r="F251" s="11" t="str">
        <f>IFERROR(__xludf.DUMMYFUNCTION("""COMPUTED_VALUE"""),"Category Page")</f>
        <v>Category Page</v>
      </c>
      <c r="G251" s="11" t="b">
        <f>IFERROR(__xludf.DUMMYFUNCTION("""COMPUTED_VALUE"""),FALSE)</f>
        <v>0</v>
      </c>
      <c r="H251" s="11" t="str">
        <f>IFERROR(__xludf.DUMMYFUNCTION("""COMPUTED_VALUE"""),"MONSOON, HY.AM STUDIOS, PANORAMA3000, KlickPiloten, Pulse Advertising")</f>
        <v>MONSOON, HY.AM STUDIOS, PANORAMA3000, KlickPiloten, Pulse Advertising</v>
      </c>
      <c r="I251" s="11">
        <f>IFERROR(__xludf.DUMMYFUNCTION("""COMPUTED_VALUE"""),1.0)</f>
        <v>1</v>
      </c>
      <c r="J251" s="11">
        <f>IFERROR(__xludf.DUMMYFUNCTION("""COMPUTED_VALUE"""),0.0)</f>
        <v>0</v>
      </c>
      <c r="K251" s="11">
        <f>IFERROR(__xludf.DUMMYFUNCTION("""COMPUTED_VALUE"""),0.0)</f>
        <v>0</v>
      </c>
    </row>
    <row r="252" ht="15.75" customHeight="1">
      <c r="A252" s="8" t="str">
        <f>IFERROR(__xludf.DUMMYFUNCTION("""COMPUTED_VALUE"""),"https://www.thinkwithgoogle.com/intl/de-de/marketing-strategien/daten-und-messung/im-interview-mit-der-performance-agentur-hurra-communications/")</f>
        <v>https://www.thinkwithgoogle.com/intl/de-de/marketing-strategien/daten-und-messung/im-interview-mit-der-performance-agentur-hurra-communications/</v>
      </c>
      <c r="B252" s="11" t="str">
        <f>IFERROR(__xludf.DUMMYFUNCTION("""COMPUTED_VALUE"""),"Think with Google US - Marketing Research, Insights, and Trends")</f>
        <v>Think with Google US - Marketing Research, Insights, and Trends</v>
      </c>
      <c r="C252" s="8" t="str">
        <f>IFERROR(__xludf.DUMMYFUNCTION("""COMPUTED_VALUE"""),"thinkwithgoogle.com")</f>
        <v>thinkwithgoogle.com</v>
      </c>
      <c r="D252" s="11" t="str">
        <f>IFERROR(__xludf.DUMMYFUNCTION("""COMPUTED_VALUE"""),"CATEGORY_PAGE")</f>
        <v>CATEGORY_PAGE</v>
      </c>
      <c r="E252" s="11" t="str">
        <f>IFERROR(__xludf.DUMMYFUNCTION("""COMPUTED_VALUE"""),"EDITORIAL")</f>
        <v>EDITORIAL</v>
      </c>
      <c r="F252" s="11" t="str">
        <f>IFERROR(__xludf.DUMMYFUNCTION("""COMPUTED_VALUE"""),"Category Page")</f>
        <v>Category Page</v>
      </c>
      <c r="G252" s="11" t="b">
        <f>IFERROR(__xludf.DUMMYFUNCTION("""COMPUTED_VALUE"""),FALSE)</f>
        <v>0</v>
      </c>
      <c r="H252" s="11"/>
      <c r="I252" s="11">
        <f>IFERROR(__xludf.DUMMYFUNCTION("""COMPUTED_VALUE"""),1.0)</f>
        <v>1</v>
      </c>
      <c r="J252" s="11">
        <f>IFERROR(__xludf.DUMMYFUNCTION("""COMPUTED_VALUE"""),0.0)</f>
        <v>0</v>
      </c>
      <c r="K252" s="11">
        <f>IFERROR(__xludf.DUMMYFUNCTION("""COMPUTED_VALUE"""),0.0)</f>
        <v>0</v>
      </c>
    </row>
    <row r="253" ht="15.75" customHeight="1">
      <c r="A253" s="8" t="str">
        <f>IFERROR(__xludf.DUMMYFUNCTION("""COMPUTED_VALUE"""),"https://usercentrics.com/de/partner/")</f>
        <v>https://usercentrics.com/de/partner/</v>
      </c>
      <c r="B253" s="11" t="str">
        <f>IFERROR(__xludf.DUMMYFUNCTION("""COMPUTED_VALUE"""),"Perfekten Partner finden| Usercentrics")</f>
        <v>Perfekten Partner finden| Usercentrics</v>
      </c>
      <c r="C253" s="8" t="str">
        <f>IFERROR(__xludf.DUMMYFUNCTION("""COMPUTED_VALUE"""),"usercentrics.com")</f>
        <v>usercentrics.com</v>
      </c>
      <c r="D253" s="11" t="str">
        <f>IFERROR(__xludf.DUMMYFUNCTION("""COMPUTED_VALUE"""),"CATEGORY_PAGE")</f>
        <v>CATEGORY_PAGE</v>
      </c>
      <c r="E253" s="11" t="str">
        <f>IFERROR(__xludf.DUMMYFUNCTION("""COMPUTED_VALUE"""),"CORPORATE")</f>
        <v>CORPORATE</v>
      </c>
      <c r="F253" s="11" t="str">
        <f>IFERROR(__xludf.DUMMYFUNCTION("""COMPUTED_VALUE"""),"Category Page")</f>
        <v>Category Page</v>
      </c>
      <c r="G253" s="11" t="b">
        <f>IFERROR(__xludf.DUMMYFUNCTION("""COMPUTED_VALUE"""),FALSE)</f>
        <v>0</v>
      </c>
      <c r="H253" s="11" t="str">
        <f>IFERROR(__xludf.DUMMYFUNCTION("""COMPUTED_VALUE"""),"FELD M, DEPT, e-dialog, KlickPiloten, Peak Ace, Baseplus DIGITAL MEDIA GmbH, Jung von Matt, b.telligent")</f>
        <v>FELD M, DEPT, e-dialog, KlickPiloten, Peak Ace, Baseplus DIGITAL MEDIA GmbH, Jung von Matt, b.telligent</v>
      </c>
      <c r="I253" s="11">
        <f>IFERROR(__xludf.DUMMYFUNCTION("""COMPUTED_VALUE"""),1.0)</f>
        <v>1</v>
      </c>
      <c r="J253" s="11">
        <f>IFERROR(__xludf.DUMMYFUNCTION("""COMPUTED_VALUE"""),0.0)</f>
        <v>0</v>
      </c>
      <c r="K253" s="11">
        <f>IFERROR(__xludf.DUMMYFUNCTION("""COMPUTED_VALUE"""),1.0)</f>
        <v>1</v>
      </c>
    </row>
    <row r="254" ht="15.75" customHeight="1">
      <c r="A254" s="8" t="str">
        <f>IFERROR(__xludf.DUMMYFUNCTION("""COMPUTED_VALUE"""),"https://usercentrics.com/partner-network/")</f>
        <v>https://usercentrics.com/partner-network/</v>
      </c>
      <c r="B254" s="11" t="str">
        <f>IFERROR(__xludf.DUMMYFUNCTION("""COMPUTED_VALUE"""),"Usercentrics Partner Directory | Find The Right Partner")</f>
        <v>Usercentrics Partner Directory | Find The Right Partner</v>
      </c>
      <c r="C254" s="8" t="str">
        <f>IFERROR(__xludf.DUMMYFUNCTION("""COMPUTED_VALUE"""),"usercentrics.com")</f>
        <v>usercentrics.com</v>
      </c>
      <c r="D254" s="11" t="str">
        <f>IFERROR(__xludf.DUMMYFUNCTION("""COMPUTED_VALUE"""),"CATEGORY_PAGE")</f>
        <v>CATEGORY_PAGE</v>
      </c>
      <c r="E254" s="11" t="str">
        <f>IFERROR(__xludf.DUMMYFUNCTION("""COMPUTED_VALUE"""),"CORPORATE")</f>
        <v>CORPORATE</v>
      </c>
      <c r="F254" s="11" t="str">
        <f>IFERROR(__xludf.DUMMYFUNCTION("""COMPUTED_VALUE"""),"Category Page")</f>
        <v>Category Page</v>
      </c>
      <c r="G254" s="11" t="b">
        <f>IFERROR(__xludf.DUMMYFUNCTION("""COMPUTED_VALUE"""),FALSE)</f>
        <v>0</v>
      </c>
      <c r="H254" s="11" t="str">
        <f>IFERROR(__xludf.DUMMYFUNCTION("""COMPUTED_VALUE"""),"Huge, DEPT, e-dialog, KlickPiloten, FELD M, Pilot, Jung von Matt, b.telligent")</f>
        <v>Huge, DEPT, e-dialog, KlickPiloten, FELD M, Pilot, Jung von Matt, b.telligent</v>
      </c>
      <c r="I254" s="11">
        <f>IFERROR(__xludf.DUMMYFUNCTION("""COMPUTED_VALUE"""),1.0)</f>
        <v>1</v>
      </c>
      <c r="J254" s="11">
        <f>IFERROR(__xludf.DUMMYFUNCTION("""COMPUTED_VALUE"""),0.0)</f>
        <v>0</v>
      </c>
      <c r="K254" s="11">
        <f>IFERROR(__xludf.DUMMYFUNCTION("""COMPUTED_VALUE"""),1.0)</f>
        <v>1</v>
      </c>
    </row>
    <row r="255" ht="15.75" customHeight="1">
      <c r="A255" s="8" t="str">
        <f>IFERROR(__xludf.DUMMYFUNCTION("""COMPUTED_VALUE"""),"https://www.wmtips.com/technologies/marketing-attribution/")</f>
        <v>https://www.wmtips.com/technologies/marketing-attribution/</v>
      </c>
      <c r="B255" s="11" t="str">
        <f>IFERROR(__xludf.DUMMYFUNCTION("""COMPUTED_VALUE"""),"Top 25+ Marketing Attribution Platforms by Market Share (2026)")</f>
        <v>Top 25+ Marketing Attribution Platforms by Market Share (2026)</v>
      </c>
      <c r="C255" s="8" t="str">
        <f>IFERROR(__xludf.DUMMYFUNCTION("""COMPUTED_VALUE"""),"wmtips.com")</f>
        <v>wmtips.com</v>
      </c>
      <c r="D255" s="11" t="str">
        <f>IFERROR(__xludf.DUMMYFUNCTION("""COMPUTED_VALUE"""),"CATEGORY_PAGE")</f>
        <v>CATEGORY_PAGE</v>
      </c>
      <c r="E255" s="11" t="str">
        <f>IFERROR(__xludf.DUMMYFUNCTION("""COMPUTED_VALUE"""),"REFERENCE")</f>
        <v>REFERENCE</v>
      </c>
      <c r="F255" s="11" t="str">
        <f>IFERROR(__xludf.DUMMYFUNCTION("""COMPUTED_VALUE"""),"Category Page")</f>
        <v>Category Page</v>
      </c>
      <c r="G255" s="11" t="b">
        <f>IFERROR(__xludf.DUMMYFUNCTION("""COMPUTED_VALUE"""),FALSE)</f>
        <v>0</v>
      </c>
      <c r="H255" s="11"/>
      <c r="I255" s="11">
        <f>IFERROR(__xludf.DUMMYFUNCTION("""COMPUTED_VALUE"""),1.0)</f>
        <v>1</v>
      </c>
      <c r="J255" s="11">
        <f>IFERROR(__xludf.DUMMYFUNCTION("""COMPUTED_VALUE"""),0.0)</f>
        <v>0</v>
      </c>
      <c r="K255" s="11">
        <f>IFERROR(__xludf.DUMMYFUNCTION("""COMPUTED_VALUE"""),0.0)</f>
        <v>0</v>
      </c>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location=":~:text=Adastra%20achieved%20Elite%20Partner%20Status,Worked%20in%20Retail%20(%2B10)"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A47"/>
    <hyperlink r:id="rId90" ref="C47"/>
    <hyperlink r:id="rId91" ref="A48"/>
    <hyperlink r:id="rId92" ref="C48"/>
    <hyperlink r:id="rId93" ref="A49"/>
    <hyperlink r:id="rId94" ref="C49"/>
    <hyperlink r:id="rId95" ref="A50"/>
    <hyperlink r:id="rId96" ref="C50"/>
    <hyperlink r:id="rId97" ref="A51"/>
    <hyperlink r:id="rId98" ref="C51"/>
    <hyperlink r:id="rId99" ref="A52"/>
    <hyperlink r:id="rId100" ref="C52"/>
    <hyperlink r:id="rId101" ref="A53"/>
    <hyperlink r:id="rId102" ref="C53"/>
    <hyperlink r:id="rId103" ref="A54"/>
    <hyperlink r:id="rId104" ref="C54"/>
    <hyperlink r:id="rId105" ref="A55"/>
    <hyperlink r:id="rId106" ref="C55"/>
    <hyperlink r:id="rId107" ref="A56"/>
    <hyperlink r:id="rId108" ref="C56"/>
    <hyperlink r:id="rId109" ref="A57"/>
    <hyperlink r:id="rId110" ref="C57"/>
    <hyperlink r:id="rId111" ref="A58"/>
    <hyperlink r:id="rId112" ref="C58"/>
    <hyperlink r:id="rId113" ref="A59"/>
    <hyperlink r:id="rId114" ref="C59"/>
    <hyperlink r:id="rId115" ref="A60"/>
    <hyperlink r:id="rId116" ref="C60"/>
    <hyperlink r:id="rId117" ref="A61"/>
    <hyperlink r:id="rId118" ref="C61"/>
    <hyperlink r:id="rId119" ref="A62"/>
    <hyperlink r:id="rId120" ref="C62"/>
    <hyperlink r:id="rId121" ref="A63"/>
    <hyperlink r:id="rId122" ref="C63"/>
    <hyperlink r:id="rId123" ref="A64"/>
    <hyperlink r:id="rId124" ref="C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A79"/>
    <hyperlink r:id="rId153" ref="C79"/>
    <hyperlink r:id="rId154" ref="A80"/>
    <hyperlink r:id="rId155" ref="C80"/>
    <hyperlink r:id="rId156" ref="A81"/>
    <hyperlink r:id="rId157" ref="C81"/>
    <hyperlink r:id="rId158" ref="A82"/>
    <hyperlink r:id="rId159" ref="C82"/>
    <hyperlink r:id="rId160" ref="A83"/>
    <hyperlink r:id="rId161" ref="C83"/>
    <hyperlink r:id="rId162" ref="A84"/>
    <hyperlink r:id="rId163" ref="C84"/>
    <hyperlink r:id="rId164" ref="A85"/>
    <hyperlink r:id="rId165" ref="C85"/>
    <hyperlink r:id="rId166" ref="A86"/>
    <hyperlink r:id="rId167" ref="C86"/>
    <hyperlink r:id="rId168" ref="A87"/>
    <hyperlink r:id="rId169" ref="C87"/>
    <hyperlink r:id="rId170" ref="A88"/>
    <hyperlink r:id="rId171" ref="C88"/>
    <hyperlink r:id="rId172" ref="A89"/>
    <hyperlink r:id="rId173" ref="C89"/>
    <hyperlink r:id="rId174" ref="A90"/>
    <hyperlink r:id="rId175" ref="C90"/>
    <hyperlink r:id="rId176" ref="A91"/>
    <hyperlink r:id="rId177" ref="C91"/>
    <hyperlink r:id="rId178" ref="A92"/>
    <hyperlink r:id="rId179" ref="C92"/>
    <hyperlink r:id="rId180" ref="A93"/>
    <hyperlink r:id="rId181" ref="C93"/>
    <hyperlink r:id="rId182" ref="A94"/>
    <hyperlink r:id="rId183" ref="C94"/>
    <hyperlink r:id="rId184" ref="A95"/>
    <hyperlink r:id="rId185" ref="C95"/>
    <hyperlink r:id="rId186" ref="A96"/>
    <hyperlink r:id="rId187" ref="C96"/>
    <hyperlink r:id="rId188" ref="A97"/>
    <hyperlink r:id="rId189" ref="C97"/>
    <hyperlink r:id="rId190" ref="A98"/>
    <hyperlink r:id="rId191" ref="C98"/>
    <hyperlink r:id="rId192" ref="A99"/>
    <hyperlink r:id="rId193" ref="C99"/>
    <hyperlink r:id="rId194" ref="A100"/>
    <hyperlink r:id="rId195" ref="C100"/>
    <hyperlink r:id="rId196" ref="A101"/>
    <hyperlink r:id="rId197" ref="C101"/>
    <hyperlink r:id="rId198" ref="A102"/>
    <hyperlink r:id="rId199" ref="C102"/>
    <hyperlink r:id="rId200" ref="A103"/>
    <hyperlink r:id="rId201" ref="C103"/>
    <hyperlink r:id="rId202" ref="A104"/>
    <hyperlink r:id="rId203" ref="C104"/>
    <hyperlink r:id="rId204" ref="A105"/>
    <hyperlink r:id="rId205" ref="C105"/>
    <hyperlink r:id="rId206" ref="A106"/>
    <hyperlink r:id="rId207" ref="C106"/>
    <hyperlink r:id="rId208" ref="A107"/>
    <hyperlink r:id="rId209" ref="C107"/>
    <hyperlink r:id="rId210" ref="A108"/>
    <hyperlink r:id="rId211" ref="C108"/>
    <hyperlink r:id="rId212" ref="A109"/>
    <hyperlink r:id="rId213" ref="C109"/>
    <hyperlink r:id="rId214" ref="A110"/>
    <hyperlink r:id="rId215" ref="C110"/>
    <hyperlink r:id="rId216" ref="A111"/>
    <hyperlink r:id="rId217" ref="C111"/>
    <hyperlink r:id="rId218" ref="A112"/>
    <hyperlink r:id="rId219" ref="C112"/>
    <hyperlink r:id="rId220" ref="A113"/>
    <hyperlink r:id="rId221" ref="C113"/>
    <hyperlink r:id="rId222" ref="A114"/>
    <hyperlink r:id="rId223" ref="C114"/>
    <hyperlink r:id="rId224" ref="A115"/>
    <hyperlink r:id="rId225" ref="C115"/>
    <hyperlink r:id="rId226" ref="A116"/>
    <hyperlink r:id="rId227" ref="C116"/>
    <hyperlink r:id="rId228" ref="A117"/>
    <hyperlink r:id="rId229" ref="C117"/>
    <hyperlink r:id="rId230" ref="A118"/>
    <hyperlink r:id="rId231" ref="C118"/>
    <hyperlink r:id="rId232" ref="A119"/>
    <hyperlink r:id="rId233" ref="C119"/>
    <hyperlink r:id="rId234" ref="A120"/>
    <hyperlink r:id="rId235" ref="C120"/>
    <hyperlink r:id="rId236" ref="A121"/>
    <hyperlink r:id="rId237" ref="C121"/>
    <hyperlink r:id="rId238" ref="A122"/>
    <hyperlink r:id="rId239" ref="C122"/>
    <hyperlink r:id="rId240" ref="A123"/>
    <hyperlink r:id="rId241" ref="C123"/>
    <hyperlink r:id="rId242" ref="A124"/>
    <hyperlink r:id="rId243" ref="C124"/>
    <hyperlink r:id="rId244" ref="A125"/>
    <hyperlink r:id="rId245" ref="C125"/>
    <hyperlink r:id="rId246" ref="A126"/>
    <hyperlink r:id="rId247" ref="C126"/>
    <hyperlink r:id="rId248" ref="A127"/>
    <hyperlink r:id="rId249" ref="C127"/>
    <hyperlink r:id="rId250" ref="A128"/>
    <hyperlink r:id="rId251" ref="C128"/>
    <hyperlink r:id="rId252" ref="A129"/>
    <hyperlink r:id="rId253" ref="C129"/>
    <hyperlink r:id="rId254" ref="A130"/>
    <hyperlink r:id="rId255" ref="C130"/>
    <hyperlink r:id="rId256" ref="A131"/>
    <hyperlink r:id="rId257" ref="C131"/>
    <hyperlink r:id="rId258" ref="A132"/>
    <hyperlink r:id="rId259" ref="C132"/>
    <hyperlink r:id="rId260" ref="A133"/>
    <hyperlink r:id="rId261" ref="C133"/>
    <hyperlink r:id="rId262" ref="A134"/>
    <hyperlink r:id="rId263" ref="C134"/>
    <hyperlink r:id="rId264" ref="A135"/>
    <hyperlink r:id="rId265" ref="C135"/>
    <hyperlink r:id="rId266" ref="A136"/>
    <hyperlink r:id="rId267" ref="C136"/>
    <hyperlink r:id="rId268" ref="A137"/>
    <hyperlink r:id="rId269" ref="C137"/>
    <hyperlink r:id="rId270" ref="A138"/>
    <hyperlink r:id="rId271" ref="C138"/>
    <hyperlink r:id="rId272" ref="A139"/>
    <hyperlink r:id="rId273" ref="C139"/>
    <hyperlink r:id="rId274" ref="A140"/>
    <hyperlink r:id="rId275" ref="C140"/>
    <hyperlink r:id="rId276" ref="A141"/>
    <hyperlink r:id="rId277" ref="C141"/>
    <hyperlink r:id="rId278" ref="A142"/>
    <hyperlink r:id="rId279" ref="C142"/>
    <hyperlink r:id="rId280" ref="A143"/>
    <hyperlink r:id="rId281" ref="C143"/>
    <hyperlink r:id="rId282" ref="A144"/>
    <hyperlink r:id="rId283" ref="C144"/>
    <hyperlink r:id="rId284" ref="A145"/>
    <hyperlink r:id="rId285" ref="C145"/>
    <hyperlink r:id="rId286" ref="A146"/>
    <hyperlink r:id="rId287" ref="C146"/>
    <hyperlink r:id="rId288" ref="A147"/>
    <hyperlink r:id="rId289" ref="C147"/>
    <hyperlink r:id="rId290" ref="A148"/>
    <hyperlink r:id="rId291" ref="C148"/>
    <hyperlink r:id="rId292" ref="A149"/>
    <hyperlink r:id="rId293" ref="C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ref="A155"/>
    <hyperlink r:id="rId305" ref="C155"/>
    <hyperlink r:id="rId306" ref="A156"/>
    <hyperlink r:id="rId307" ref="C156"/>
    <hyperlink r:id="rId308" ref="A157"/>
    <hyperlink r:id="rId309" ref="C157"/>
    <hyperlink r:id="rId310" ref="A158"/>
    <hyperlink r:id="rId311" ref="C158"/>
    <hyperlink r:id="rId312" ref="A159"/>
    <hyperlink r:id="rId313" ref="C159"/>
    <hyperlink r:id="rId314" ref="A160"/>
    <hyperlink r:id="rId315" ref="C160"/>
    <hyperlink r:id="rId316" ref="A161"/>
    <hyperlink r:id="rId317" ref="C161"/>
    <hyperlink r:id="rId318" ref="A162"/>
    <hyperlink r:id="rId319" ref="C162"/>
    <hyperlink r:id="rId320" ref="A163"/>
    <hyperlink r:id="rId321" ref="C163"/>
    <hyperlink r:id="rId322" ref="A164"/>
    <hyperlink r:id="rId323" ref="C164"/>
    <hyperlink r:id="rId324" ref="A165"/>
    <hyperlink r:id="rId325" ref="C165"/>
    <hyperlink r:id="rId326" ref="A166"/>
    <hyperlink r:id="rId327" ref="C166"/>
    <hyperlink r:id="rId328" ref="A167"/>
    <hyperlink r:id="rId329" ref="C167"/>
    <hyperlink r:id="rId330" ref="A168"/>
    <hyperlink r:id="rId331" ref="C168"/>
    <hyperlink r:id="rId332" ref="A169"/>
    <hyperlink r:id="rId333" ref="C169"/>
    <hyperlink r:id="rId334" ref="A170"/>
    <hyperlink r:id="rId335" ref="C170"/>
    <hyperlink r:id="rId336" ref="A171"/>
    <hyperlink r:id="rId337" ref="C171"/>
    <hyperlink r:id="rId338" ref="A172"/>
    <hyperlink r:id="rId339" ref="C172"/>
    <hyperlink r:id="rId340" ref="A173"/>
    <hyperlink r:id="rId341" ref="C173"/>
    <hyperlink r:id="rId342" ref="A174"/>
    <hyperlink r:id="rId343" ref="C174"/>
    <hyperlink r:id="rId344" ref="A175"/>
    <hyperlink r:id="rId345" ref="C175"/>
    <hyperlink r:id="rId346" ref="A176"/>
    <hyperlink r:id="rId347" ref="C176"/>
    <hyperlink r:id="rId348" ref="A177"/>
    <hyperlink r:id="rId349" ref="C177"/>
    <hyperlink r:id="rId350" ref="A178"/>
    <hyperlink r:id="rId351" ref="C178"/>
    <hyperlink r:id="rId352" ref="A179"/>
    <hyperlink r:id="rId353" ref="C179"/>
    <hyperlink r:id="rId354" ref="A180"/>
    <hyperlink r:id="rId355" ref="C180"/>
    <hyperlink r:id="rId356" ref="A181"/>
    <hyperlink r:id="rId357" ref="C181"/>
    <hyperlink r:id="rId358" ref="A182"/>
    <hyperlink r:id="rId359" ref="C182"/>
    <hyperlink r:id="rId360" ref="A183"/>
    <hyperlink r:id="rId361" ref="C183"/>
    <hyperlink r:id="rId362" ref="A184"/>
    <hyperlink r:id="rId363" ref="C184"/>
    <hyperlink r:id="rId364" ref="A185"/>
    <hyperlink r:id="rId365" ref="C185"/>
    <hyperlink r:id="rId366" ref="A186"/>
    <hyperlink r:id="rId367" ref="C186"/>
    <hyperlink r:id="rId368" ref="A187"/>
    <hyperlink r:id="rId369" ref="C187"/>
    <hyperlink r:id="rId370" ref="A188"/>
    <hyperlink r:id="rId371" ref="C188"/>
    <hyperlink r:id="rId372" ref="A189"/>
    <hyperlink r:id="rId373" ref="C189"/>
    <hyperlink r:id="rId374" ref="A190"/>
    <hyperlink r:id="rId375" ref="C190"/>
    <hyperlink r:id="rId376" ref="A191"/>
    <hyperlink r:id="rId377" ref="C191"/>
    <hyperlink r:id="rId378" ref="A192"/>
    <hyperlink r:id="rId379" ref="C192"/>
    <hyperlink r:id="rId380" ref="A193"/>
    <hyperlink r:id="rId381" ref="C193"/>
    <hyperlink r:id="rId382" ref="A194"/>
    <hyperlink r:id="rId383" ref="C194"/>
    <hyperlink r:id="rId384" ref="A195"/>
    <hyperlink r:id="rId385" ref="C195"/>
    <hyperlink r:id="rId386" ref="A196"/>
    <hyperlink r:id="rId387" ref="C196"/>
    <hyperlink r:id="rId388" ref="A197"/>
    <hyperlink r:id="rId389" ref="C197"/>
    <hyperlink r:id="rId390" ref="A198"/>
    <hyperlink r:id="rId391" ref="C198"/>
    <hyperlink r:id="rId392" ref="A199"/>
    <hyperlink r:id="rId393" ref="C199"/>
    <hyperlink r:id="rId394" ref="A200"/>
    <hyperlink r:id="rId395" ref="C200"/>
    <hyperlink r:id="rId396" ref="A201"/>
    <hyperlink r:id="rId397" ref="C201"/>
    <hyperlink r:id="rId398" ref="A202"/>
    <hyperlink r:id="rId399" ref="C202"/>
    <hyperlink r:id="rId400" ref="A203"/>
    <hyperlink r:id="rId401" ref="C203"/>
    <hyperlink r:id="rId402" ref="A204"/>
    <hyperlink r:id="rId403" ref="C204"/>
    <hyperlink r:id="rId404" ref="A205"/>
    <hyperlink r:id="rId405" ref="C205"/>
    <hyperlink r:id="rId406" ref="A206"/>
    <hyperlink r:id="rId407" ref="C206"/>
    <hyperlink r:id="rId408" ref="A207"/>
    <hyperlink r:id="rId409" ref="C207"/>
    <hyperlink r:id="rId410" ref="A208"/>
    <hyperlink r:id="rId411" ref="C208"/>
    <hyperlink r:id="rId412" ref="A209"/>
    <hyperlink r:id="rId413" ref="C209"/>
    <hyperlink r:id="rId414" ref="A210"/>
    <hyperlink r:id="rId415" ref="C210"/>
    <hyperlink r:id="rId416" ref="A211"/>
    <hyperlink r:id="rId417" ref="C211"/>
    <hyperlink r:id="rId418" ref="A212"/>
    <hyperlink r:id="rId419" ref="C212"/>
    <hyperlink r:id="rId420" ref="A213"/>
    <hyperlink r:id="rId421" ref="C213"/>
    <hyperlink r:id="rId422" ref="A214"/>
    <hyperlink r:id="rId423" ref="C214"/>
    <hyperlink r:id="rId424" ref="A215"/>
    <hyperlink r:id="rId425" ref="C215"/>
    <hyperlink r:id="rId426" ref="A216"/>
    <hyperlink r:id="rId427" ref="C216"/>
    <hyperlink r:id="rId428" ref="A217"/>
    <hyperlink r:id="rId429" ref="C217"/>
    <hyperlink r:id="rId430" ref="A218"/>
    <hyperlink r:id="rId431" ref="C218"/>
    <hyperlink r:id="rId432" ref="A219"/>
    <hyperlink r:id="rId433" ref="C219"/>
    <hyperlink r:id="rId434" ref="A220"/>
    <hyperlink r:id="rId435" ref="C220"/>
    <hyperlink r:id="rId436" ref="A221"/>
    <hyperlink r:id="rId437" ref="C221"/>
    <hyperlink r:id="rId438" ref="A222"/>
    <hyperlink r:id="rId439" ref="C222"/>
    <hyperlink r:id="rId440" ref="A223"/>
    <hyperlink r:id="rId441" ref="C223"/>
    <hyperlink r:id="rId442" ref="A224"/>
    <hyperlink r:id="rId443" ref="C224"/>
    <hyperlink r:id="rId444" ref="A225"/>
    <hyperlink r:id="rId445" ref="C225"/>
    <hyperlink r:id="rId446" ref="A226"/>
    <hyperlink r:id="rId447" ref="C226"/>
    <hyperlink r:id="rId448" ref="A227"/>
    <hyperlink r:id="rId449" ref="C227"/>
    <hyperlink r:id="rId450" ref="A228"/>
    <hyperlink r:id="rId451" ref="C228"/>
    <hyperlink r:id="rId452" ref="A229"/>
    <hyperlink r:id="rId453" ref="C229"/>
    <hyperlink r:id="rId454" ref="A230"/>
    <hyperlink r:id="rId455" ref="C230"/>
    <hyperlink r:id="rId456" ref="A231"/>
    <hyperlink r:id="rId457" ref="C231"/>
    <hyperlink r:id="rId458" ref="A232"/>
    <hyperlink r:id="rId459" ref="C232"/>
    <hyperlink r:id="rId460" ref="A233"/>
    <hyperlink r:id="rId461" ref="C233"/>
    <hyperlink r:id="rId462" ref="A234"/>
    <hyperlink r:id="rId463" ref="C234"/>
    <hyperlink r:id="rId464" ref="A235"/>
    <hyperlink r:id="rId465" ref="C235"/>
    <hyperlink r:id="rId466" ref="A236"/>
    <hyperlink r:id="rId467" ref="C236"/>
    <hyperlink r:id="rId468" ref="A237"/>
    <hyperlink r:id="rId469" ref="C237"/>
    <hyperlink r:id="rId470" ref="A238"/>
    <hyperlink r:id="rId471" ref="C238"/>
    <hyperlink r:id="rId472" ref="A239"/>
    <hyperlink r:id="rId473" ref="C239"/>
    <hyperlink r:id="rId474" ref="A240"/>
    <hyperlink r:id="rId475" ref="C240"/>
    <hyperlink r:id="rId476" ref="A241"/>
    <hyperlink r:id="rId477" ref="C241"/>
    <hyperlink r:id="rId478" ref="A242"/>
    <hyperlink r:id="rId479" ref="C242"/>
    <hyperlink r:id="rId480" ref="A243"/>
    <hyperlink r:id="rId481" ref="C243"/>
    <hyperlink r:id="rId482" ref="A244"/>
    <hyperlink r:id="rId483" ref="C244"/>
    <hyperlink r:id="rId484" ref="A245"/>
    <hyperlink r:id="rId485" ref="C245"/>
    <hyperlink r:id="rId486" ref="A246"/>
    <hyperlink r:id="rId487" ref="C246"/>
    <hyperlink r:id="rId488" ref="A247"/>
    <hyperlink r:id="rId489" ref="C247"/>
    <hyperlink r:id="rId490" ref="A248"/>
    <hyperlink r:id="rId491" ref="C248"/>
    <hyperlink r:id="rId492" ref="A249"/>
    <hyperlink r:id="rId493" ref="C249"/>
    <hyperlink r:id="rId494" ref="A250"/>
    <hyperlink r:id="rId495" ref="C250"/>
    <hyperlink r:id="rId496" ref="A251"/>
    <hyperlink r:id="rId497" ref="C251"/>
    <hyperlink r:id="rId498" ref="A252"/>
    <hyperlink r:id="rId499" ref="C252"/>
    <hyperlink r:id="rId500" ref="A253"/>
    <hyperlink r:id="rId501" ref="C253"/>
    <hyperlink r:id="rId502" ref="A254"/>
    <hyperlink r:id="rId503" ref="C254"/>
    <hyperlink r:id="rId504" ref="A255"/>
    <hyperlink r:id="rId505" ref="C255"/>
  </hyperlinks>
  <drawing r:id="rId50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All'!D2:D1000)))=""comparison""
  ),
  """"
)"),"https://sellforte.com/blog/best-incrementality-testing-tools")</f>
        <v>https://sellforte.com/blog/best-incrementality-testing-tools</v>
      </c>
      <c r="B2" s="11" t="str">
        <f>IFERROR(__xludf.DUMMYFUNCTION("""COMPUTED_VALUE"""),"Best Incrementality Testing Tools in 2026: In-depth Vendor Comparison")</f>
        <v>Best Incrementality Testing Tools in 2026: In-depth Vendor Comparison</v>
      </c>
      <c r="C2" s="8" t="str">
        <f>IFERROR(__xludf.DUMMYFUNCTION("""COMPUTED_VALUE"""),"sellforte.com")</f>
        <v>sellforte.com</v>
      </c>
      <c r="D2" s="11" t="str">
        <f>IFERROR(__xludf.DUMMYFUNCTION("""COMPUTED_VALUE"""),"COMPARISON")</f>
        <v>COMPARISON</v>
      </c>
      <c r="E2" s="11" t="str">
        <f>IFERROR(__xludf.DUMMYFUNCTION("""COMPUTED_VALUE"""),"COMPETITOR")</f>
        <v>COMPETITOR</v>
      </c>
      <c r="F2" s="11" t="str">
        <f>IFERROR(__xludf.DUMMYFUNCTION("""COMPUTED_VALUE"""),"Comparison")</f>
        <v>Comparison</v>
      </c>
      <c r="G2" s="11" t="b">
        <f>IFERROR(__xludf.DUMMYFUNCTION("""COMPUTED_VALUE"""),FALSE)</f>
        <v>0</v>
      </c>
      <c r="H2" s="11" t="str">
        <f>IFERROR(__xludf.DUMMYFUNCTION("""COMPUTED_VALUE"""),"Sellforte, Measured, Haus, Recast, Pilot, Boston Consulting Group")</f>
        <v>Sellforte, Measured, Haus, Recast, Pilot, Boston Consulting Group</v>
      </c>
      <c r="I2" s="11">
        <f>IFERROR(__xludf.DUMMYFUNCTION("""COMPUTED_VALUE"""),19.0)</f>
        <v>19</v>
      </c>
      <c r="J2" s="11">
        <f>IFERROR(__xludf.DUMMYFUNCTION("""COMPUTED_VALUE"""),0.02)</f>
        <v>0.02</v>
      </c>
      <c r="K2" s="11">
        <f>IFERROR(__xludf.DUMMYFUNCTION("""COMPUTED_VALUE"""),1.05)</f>
        <v>1.05</v>
      </c>
    </row>
    <row r="3" ht="15.75" customHeight="1">
      <c r="A3" s="8" t="str">
        <f>IFERROR(__xludf.DUMMYFUNCTION("""COMPUTED_VALUE"""),"https://www.triplewhale.com/blog/best-incrementality-testing-tools")</f>
        <v>https://www.triplewhale.com/blog/best-incrementality-testing-tools</v>
      </c>
      <c r="B3" s="11" t="str">
        <f>IFERROR(__xludf.DUMMYFUNCTION("""COMPUTED_VALUE"""),"The Best Incrementality Testing Tools for Marketers in 2026 | Triple Whale")</f>
        <v>The Best Incrementality Testing Tools for Marketers in 2026 | Triple Whale</v>
      </c>
      <c r="C3" s="8" t="str">
        <f>IFERROR(__xludf.DUMMYFUNCTION("""COMPUTED_VALUE"""),"triplewhale.com")</f>
        <v>triplewhale.com</v>
      </c>
      <c r="D3" s="11" t="str">
        <f>IFERROR(__xludf.DUMMYFUNCTION("""COMPUTED_VALUE"""),"COMPARISON")</f>
        <v>COMPARISON</v>
      </c>
      <c r="E3" s="11" t="str">
        <f>IFERROR(__xludf.DUMMYFUNCTION("""COMPUTED_VALUE"""),"COMPETITOR")</f>
        <v>COMPETITOR</v>
      </c>
      <c r="F3" s="11" t="str">
        <f>IFERROR(__xludf.DUMMYFUNCTION("""COMPUTED_VALUE"""),"Comparison")</f>
        <v>Comparison</v>
      </c>
      <c r="G3" s="11" t="b">
        <f>IFERROR(__xludf.DUMMYFUNCTION("""COMPUTED_VALUE"""),FALSE)</f>
        <v>0</v>
      </c>
      <c r="H3" s="11" t="str">
        <f>IFERROR(__xludf.DUMMYFUNCTION("""COMPUTED_VALUE"""),"Triple Whale, Haus, Measured, INCRMNTAL")</f>
        <v>Triple Whale, Haus, Measured, INCRMNTAL</v>
      </c>
      <c r="I3" s="11">
        <f>IFERROR(__xludf.DUMMYFUNCTION("""COMPUTED_VALUE"""),17.0)</f>
        <v>17</v>
      </c>
      <c r="J3" s="11">
        <f>IFERROR(__xludf.DUMMYFUNCTION("""COMPUTED_VALUE"""),0.02)</f>
        <v>0.02</v>
      </c>
      <c r="K3" s="11">
        <f>IFERROR(__xludf.DUMMYFUNCTION("""COMPUTED_VALUE"""),0.18)</f>
        <v>0.18</v>
      </c>
    </row>
    <row r="4" ht="15.75" customHeight="1">
      <c r="A4" s="8" t="str">
        <f>IFERROR(__xludf.DUMMYFUNCTION("""COMPUTED_VALUE"""),"https://www.experics.de/vergleich/geo-agenturen")</f>
        <v>https://www.experics.de/vergleich/geo-agenturen</v>
      </c>
      <c r="B4" s="11" t="str">
        <f>IFERROR(__xludf.DUMMYFUNCTION("""COMPUTED_VALUE"""),"Beste GEO-Agenturen Deutschland 2026 — Großer Vergleich")</f>
        <v>Beste GEO-Agenturen Deutschland 2026 — Großer Vergleich</v>
      </c>
      <c r="C4" s="8" t="str">
        <f>IFERROR(__xludf.DUMMYFUNCTION("""COMPUTED_VALUE"""),"experics.de")</f>
        <v>experics.de</v>
      </c>
      <c r="D4" s="11" t="str">
        <f>IFERROR(__xludf.DUMMYFUNCTION("""COMPUTED_VALUE"""),"COMPARISON")</f>
        <v>COMPARISON</v>
      </c>
      <c r="E4" s="11" t="str">
        <f>IFERROR(__xludf.DUMMYFUNCTION("""COMPUTED_VALUE"""),"CORPORATE")</f>
        <v>CORPORATE</v>
      </c>
      <c r="F4" s="11" t="str">
        <f>IFERROR(__xludf.DUMMYFUNCTION("""COMPUTED_VALUE"""),"Comparison")</f>
        <v>Comparison</v>
      </c>
      <c r="G4" s="11" t="b">
        <f>IFERROR(__xludf.DUMMYFUNCTION("""COMPUTED_VALUE"""),FALSE)</f>
        <v>0</v>
      </c>
      <c r="H4" s="11" t="str">
        <f>IFERROR(__xludf.DUMMYFUNCTION("""COMPUTED_VALUE"""),"Claneo, Aufgesang, DEPT, Radyant, Suchhelden, Kosch Klink Performance, DREIKON")</f>
        <v>Claneo, Aufgesang, DEPT, Radyant, Suchhelden, Kosch Klink Performance, DREIKON</v>
      </c>
      <c r="I4" s="11">
        <f>IFERROR(__xludf.DUMMYFUNCTION("""COMPUTED_VALUE"""),15.0)</f>
        <v>15</v>
      </c>
      <c r="J4" s="11">
        <f>IFERROR(__xludf.DUMMYFUNCTION("""COMPUTED_VALUE"""),0.02)</f>
        <v>0.02</v>
      </c>
      <c r="K4" s="11">
        <f>IFERROR(__xludf.DUMMYFUNCTION("""COMPUTED_VALUE"""),0.8)</f>
        <v>0.8</v>
      </c>
    </row>
    <row r="5" ht="15.75" customHeight="1">
      <c r="A5" s="8" t="str">
        <f>IFERROR(__xludf.DUMMYFUNCTION("""COMPUTED_VALUE"""),"https://www.techradar.com/pro/aeo-vs-seo-whats-the-difference-and-do-you-need-both")</f>
        <v>https://www.techradar.com/pro/aeo-vs-seo-whats-the-difference-and-do-you-need-both</v>
      </c>
      <c r="B5" s="11" t="str">
        <f>IFERROR(__xludf.DUMMYFUNCTION("""COMPUTED_VALUE"""),"AEO vs SEO: What's the difference &amp;amp; do you need both? | TechRadar")</f>
        <v>AEO vs SEO: What's the difference &amp;amp; do you need both? | TechRadar</v>
      </c>
      <c r="C5" s="8" t="str">
        <f>IFERROR(__xludf.DUMMYFUNCTION("""COMPUTED_VALUE"""),"techradar.com")</f>
        <v>techradar.com</v>
      </c>
      <c r="D5" s="11" t="str">
        <f>IFERROR(__xludf.DUMMYFUNCTION("""COMPUTED_VALUE"""),"COMPARISON")</f>
        <v>COMPARISON</v>
      </c>
      <c r="E5" s="11" t="str">
        <f>IFERROR(__xludf.DUMMYFUNCTION("""COMPUTED_VALUE"""),"EDITORIAL")</f>
        <v>EDITORIAL</v>
      </c>
      <c r="F5" s="11" t="str">
        <f>IFERROR(__xludf.DUMMYFUNCTION("""COMPUTED_VALUE"""),"Comparison")</f>
        <v>Comparison</v>
      </c>
      <c r="G5" s="11" t="b">
        <f>IFERROR(__xludf.DUMMYFUNCTION("""COMPUTED_VALUE"""),FALSE)</f>
        <v>0</v>
      </c>
      <c r="H5" s="11" t="str">
        <f>IFERROR(__xludf.DUMMYFUNCTION("""COMPUTED_VALUE"""),"Huge")</f>
        <v>Huge</v>
      </c>
      <c r="I5" s="11">
        <f>IFERROR(__xludf.DUMMYFUNCTION("""COMPUTED_VALUE"""),15.0)</f>
        <v>15</v>
      </c>
      <c r="J5" s="11">
        <f>IFERROR(__xludf.DUMMYFUNCTION("""COMPUTED_VALUE"""),0.02)</f>
        <v>0.02</v>
      </c>
      <c r="K5" s="11">
        <f>IFERROR(__xludf.DUMMYFUNCTION("""COMPUTED_VALUE"""),2.13)</f>
        <v>2.13</v>
      </c>
    </row>
    <row r="6" ht="15.75" customHeight="1">
      <c r="A6" s="8" t="str">
        <f>IFERROR(__xludf.DUMMYFUNCTION("""COMPUTED_VALUE"""),"https://www.silicon.de/41722409/geo-agentur-vergleich-empfehlungen-beste-15-geo-agenturen-2026")</f>
        <v>https://www.silicon.de/41722409/geo-agentur-vergleich-empfehlungen-beste-15-geo-agenturen-2026</v>
      </c>
      <c r="B6" s="11" t="str">
        <f>IFERROR(__xludf.DUMMYFUNCTION("""COMPUTED_VALUE"""),"GEO Agentur Vergleich: TOP 15 GEO-Agenturen 2026 - silicon.de")</f>
        <v>GEO Agentur Vergleich: TOP 15 GEO-Agenturen 2026 - silicon.de</v>
      </c>
      <c r="C6" s="8" t="str">
        <f>IFERROR(__xludf.DUMMYFUNCTION("""COMPUTED_VALUE"""),"silicon.de")</f>
        <v>silicon.de</v>
      </c>
      <c r="D6" s="11" t="str">
        <f>IFERROR(__xludf.DUMMYFUNCTION("""COMPUTED_VALUE"""),"COMPARISON")</f>
        <v>COMPARISON</v>
      </c>
      <c r="E6" s="11" t="str">
        <f>IFERROR(__xludf.DUMMYFUNCTION("""COMPUTED_VALUE"""),"EDITORIAL")</f>
        <v>EDITORIAL</v>
      </c>
      <c r="F6" s="11" t="str">
        <f>IFERROR(__xludf.DUMMYFUNCTION("""COMPUTED_VALUE"""),"Comparison")</f>
        <v>Comparison</v>
      </c>
      <c r="G6" s="11" t="b">
        <f>IFERROR(__xludf.DUMMYFUNCTION("""COMPUTED_VALUE"""),FALSE)</f>
        <v>0</v>
      </c>
      <c r="H6" s="11" t="str">
        <f>IFERROR(__xludf.DUMMYFUNCTION("""COMPUTED_VALUE"""),"Aufgesang, Claneo, Suchhelden, iPullRank, WebFX, Omnius, DREIKON")</f>
        <v>Aufgesang, Claneo, Suchhelden, iPullRank, WebFX, Omnius, DREIKON</v>
      </c>
      <c r="I6" s="11">
        <f>IFERROR(__xludf.DUMMYFUNCTION("""COMPUTED_VALUE"""),14.0)</f>
        <v>14</v>
      </c>
      <c r="J6" s="11">
        <f>IFERROR(__xludf.DUMMYFUNCTION("""COMPUTED_VALUE"""),0.01)</f>
        <v>0.01</v>
      </c>
      <c r="K6" s="11">
        <f>IFERROR(__xludf.DUMMYFUNCTION("""COMPUTED_VALUE"""),1.07)</f>
        <v>1.07</v>
      </c>
    </row>
    <row r="7" ht="15.75" customHeight="1">
      <c r="A7" s="8" t="str">
        <f>IFERROR(__xludf.DUMMYFUNCTION("""COMPUTED_VALUE"""),"https://aijourn.com/top-ai-driven-amazon-marketing-agencies-in-germany-2026/")</f>
        <v>https://aijourn.com/top-ai-driven-amazon-marketing-agencies-in-germany-2026/</v>
      </c>
      <c r="B7" s="11" t="str">
        <f>IFERROR(__xludf.DUMMYFUNCTION("""COMPUTED_VALUE"""),"Top AI-Driven Amazon Marketing Agencies in Germany (2026) | The AI Journal")</f>
        <v>Top AI-Driven Amazon Marketing Agencies in Germany (2026) | The AI Journal</v>
      </c>
      <c r="C7" s="8" t="str">
        <f>IFERROR(__xludf.DUMMYFUNCTION("""COMPUTED_VALUE"""),"aijourn.com")</f>
        <v>aijourn.com</v>
      </c>
      <c r="D7" s="11" t="str">
        <f>IFERROR(__xludf.DUMMYFUNCTION("""COMPUTED_VALUE"""),"COMPARISON")</f>
        <v>COMPARISON</v>
      </c>
      <c r="E7" s="11" t="str">
        <f>IFERROR(__xludf.DUMMYFUNCTION("""COMPUTED_VALUE"""),"OTHER")</f>
        <v>OTHER</v>
      </c>
      <c r="F7" s="11" t="str">
        <f>IFERROR(__xludf.DUMMYFUNCTION("""COMPUTED_VALUE"""),"Comparison")</f>
        <v>Comparison</v>
      </c>
      <c r="G7" s="11" t="b">
        <f>IFERROR(__xludf.DUMMYFUNCTION("""COMPUTED_VALUE"""),FALSE)</f>
        <v>0</v>
      </c>
      <c r="H7" s="11"/>
      <c r="I7" s="11">
        <f>IFERROR(__xludf.DUMMYFUNCTION("""COMPUTED_VALUE"""),9.0)</f>
        <v>9</v>
      </c>
      <c r="J7" s="11">
        <f>IFERROR(__xludf.DUMMYFUNCTION("""COMPUTED_VALUE"""),0.01)</f>
        <v>0.01</v>
      </c>
      <c r="K7" s="11">
        <f>IFERROR(__xludf.DUMMYFUNCTION("""COMPUTED_VALUE"""),0.56)</f>
        <v>0.56</v>
      </c>
    </row>
    <row r="8" ht="15.75" customHeight="1">
      <c r="A8" s="8" t="str">
        <f>IFERROR(__xludf.DUMMYFUNCTION("""COMPUTED_VALUE"""),"https://www.silicon.de/41722409/geo-agentur-vergleich-empfehlungen-beste-15-geo-agenturen-2026/amp")</f>
        <v>https://www.silicon.de/41722409/geo-agentur-vergleich-empfehlungen-beste-15-geo-agenturen-2026/amp</v>
      </c>
      <c r="B8" s="11" t="str">
        <f>IFERROR(__xludf.DUMMYFUNCTION("""COMPUTED_VALUE"""),"GEO Agentur Vergleich: TOP 15 GEO-Agenturen 2026 - silicon.de")</f>
        <v>GEO Agentur Vergleich: TOP 15 GEO-Agenturen 2026 - silicon.de</v>
      </c>
      <c r="C8" s="8" t="str">
        <f>IFERROR(__xludf.DUMMYFUNCTION("""COMPUTED_VALUE"""),"silicon.de")</f>
        <v>silicon.de</v>
      </c>
      <c r="D8" s="11" t="str">
        <f>IFERROR(__xludf.DUMMYFUNCTION("""COMPUTED_VALUE"""),"COMPARISON")</f>
        <v>COMPARISON</v>
      </c>
      <c r="E8" s="11" t="str">
        <f>IFERROR(__xludf.DUMMYFUNCTION("""COMPUTED_VALUE"""),"EDITORIAL")</f>
        <v>EDITORIAL</v>
      </c>
      <c r="F8" s="11" t="str">
        <f>IFERROR(__xludf.DUMMYFUNCTION("""COMPUTED_VALUE"""),"Comparison")</f>
        <v>Comparison</v>
      </c>
      <c r="G8" s="11" t="b">
        <f>IFERROR(__xludf.DUMMYFUNCTION("""COMPUTED_VALUE"""),FALSE)</f>
        <v>0</v>
      </c>
      <c r="H8" s="11" t="str">
        <f>IFERROR(__xludf.DUMMYFUNCTION("""COMPUTED_VALUE"""),"Aufgesang, Claneo, Suchhelden, iPullRank, WebFX, Omnius, DREIKON")</f>
        <v>Aufgesang, Claneo, Suchhelden, iPullRank, WebFX, Omnius, DREIKON</v>
      </c>
      <c r="I8" s="11">
        <f>IFERROR(__xludf.DUMMYFUNCTION("""COMPUTED_VALUE"""),9.0)</f>
        <v>9</v>
      </c>
      <c r="J8" s="11">
        <f>IFERROR(__xludf.DUMMYFUNCTION("""COMPUTED_VALUE"""),0.01)</f>
        <v>0.01</v>
      </c>
      <c r="K8" s="11">
        <f>IFERROR(__xludf.DUMMYFUNCTION("""COMPUTED_VALUE"""),0.0)</f>
        <v>0</v>
      </c>
    </row>
    <row r="9" ht="15.75" customHeight="1">
      <c r="A9" s="8" t="str">
        <f>IFERROR(__xludf.DUMMYFUNCTION("""COMPUTED_VALUE"""),"https://boostit.de/en/geo-agentur-vergleich-2026")</f>
        <v>https://boostit.de/en/geo-agentur-vergleich-2026</v>
      </c>
      <c r="B9" s="11" t="str">
        <f>IFERROR(__xludf.DUMMYFUNCTION("""COMPUTED_VALUE"""),"GEO Agency Comparison 2026: Providers for AI Visibility")</f>
        <v>GEO Agency Comparison 2026: Providers for AI Visibility</v>
      </c>
      <c r="C9" s="8" t="str">
        <f>IFERROR(__xludf.DUMMYFUNCTION("""COMPUTED_VALUE"""),"boostit.de")</f>
        <v>boostit.de</v>
      </c>
      <c r="D9" s="11" t="str">
        <f>IFERROR(__xludf.DUMMYFUNCTION("""COMPUTED_VALUE"""),"COMPARISON")</f>
        <v>COMPARISON</v>
      </c>
      <c r="E9" s="11" t="str">
        <f>IFERROR(__xludf.DUMMYFUNCTION("""COMPUTED_VALUE"""),"CORPORATE")</f>
        <v>CORPORATE</v>
      </c>
      <c r="F9" s="11" t="str">
        <f>IFERROR(__xludf.DUMMYFUNCTION("""COMPUTED_VALUE"""),"Comparison")</f>
        <v>Comparison</v>
      </c>
      <c r="G9" s="11" t="b">
        <f>IFERROR(__xludf.DUMMYFUNCTION("""COMPUTED_VALUE"""),FALSE)</f>
        <v>0</v>
      </c>
      <c r="H9" s="11" t="str">
        <f>IFERROR(__xludf.DUMMYFUNCTION("""COMPUTED_VALUE"""),"Claneo, DREIKON, Suchhelden")</f>
        <v>Claneo, DREIKON, Suchhelden</v>
      </c>
      <c r="I9" s="11">
        <f>IFERROR(__xludf.DUMMYFUNCTION("""COMPUTED_VALUE"""),8.0)</f>
        <v>8</v>
      </c>
      <c r="J9" s="11">
        <f>IFERROR(__xludf.DUMMYFUNCTION("""COMPUTED_VALUE"""),0.01)</f>
        <v>0.01</v>
      </c>
      <c r="K9" s="11">
        <f>IFERROR(__xludf.DUMMYFUNCTION("""COMPUTED_VALUE"""),1.38)</f>
        <v>1.38</v>
      </c>
    </row>
    <row r="10" ht="15.75" customHeight="1">
      <c r="A10" s="8" t="str">
        <f>IFERROR(__xludf.DUMMYFUNCTION("""COMPUTED_VALUE"""),"https://gerlach.media/ratgeber/top-geo-agenturen-in-deutschland/")</f>
        <v>https://gerlach.media/ratgeber/top-geo-agenturen-in-deutschland/</v>
      </c>
      <c r="B10" s="11" t="str">
        <f>IFERROR(__xludf.DUMMYFUNCTION("""COMPUTED_VALUE"""),"GEO Agenturen Vergleich 2026: Beste Anbieter für B2B")</f>
        <v>GEO Agenturen Vergleich 2026: Beste Anbieter für B2B</v>
      </c>
      <c r="C10" s="11" t="str">
        <f>IFERROR(__xludf.DUMMYFUNCTION("""COMPUTED_VALUE"""),"gerlach.media")</f>
        <v>gerlach.media</v>
      </c>
      <c r="D10" s="11" t="str">
        <f>IFERROR(__xludf.DUMMYFUNCTION("""COMPUTED_VALUE"""),"COMPARISON")</f>
        <v>COMPARISON</v>
      </c>
      <c r="E10" s="11" t="str">
        <f>IFERROR(__xludf.DUMMYFUNCTION("""COMPUTED_VALUE"""),"CORPORATE")</f>
        <v>CORPORATE</v>
      </c>
      <c r="F10" s="11" t="str">
        <f>IFERROR(__xludf.DUMMYFUNCTION("""COMPUTED_VALUE"""),"Comparison")</f>
        <v>Comparison</v>
      </c>
      <c r="G10" s="11" t="b">
        <f>IFERROR(__xludf.DUMMYFUNCTION("""COMPUTED_VALUE"""),FALSE)</f>
        <v>0</v>
      </c>
      <c r="H10" s="11" t="str">
        <f>IFERROR(__xludf.DUMMYFUNCTION("""COMPUTED_VALUE"""),"Aufgesang, Claneo, DREIKON, Löwenstark")</f>
        <v>Aufgesang, Claneo, DREIKON, Löwenstark</v>
      </c>
      <c r="I10" s="11">
        <f>IFERROR(__xludf.DUMMYFUNCTION("""COMPUTED_VALUE"""),5.0)</f>
        <v>5</v>
      </c>
      <c r="J10" s="11">
        <f>IFERROR(__xludf.DUMMYFUNCTION("""COMPUTED_VALUE"""),0.01)</f>
        <v>0.01</v>
      </c>
      <c r="K10" s="11">
        <f>IFERROR(__xludf.DUMMYFUNCTION("""COMPUTED_VALUE"""),1.4)</f>
        <v>1.4</v>
      </c>
    </row>
    <row r="11" ht="15.75" customHeight="1">
      <c r="A11" s="8" t="str">
        <f>IFERROR(__xludf.DUMMYFUNCTION("""COMPUTED_VALUE"""),"https://geo-agentur.pro/magazin/geo-ai-search/ai-search-seo-agenturen-deutschland")</f>
        <v>https://geo-agentur.pro/magazin/geo-ai-search/ai-search-seo-agenturen-deutschland</v>
      </c>
      <c r="B11" s="11" t="str">
        <f>IFERROR(__xludf.DUMMYFUNCTION("""COMPUTED_VALUE"""),"AI Search SEO &amp;amp; GEO-Agenturen 2026 | GEO Agentur")</f>
        <v>AI Search SEO &amp;amp; GEO-Agenturen 2026 | GEO Agentur</v>
      </c>
      <c r="C11" s="8" t="str">
        <f>IFERROR(__xludf.DUMMYFUNCTION("""COMPUTED_VALUE"""),"geo-agentur.pro")</f>
        <v>geo-agentur.pro</v>
      </c>
      <c r="D11" s="11" t="str">
        <f>IFERROR(__xludf.DUMMYFUNCTION("""COMPUTED_VALUE"""),"COMPARISON")</f>
        <v>COMPARISON</v>
      </c>
      <c r="E11" s="11" t="str">
        <f>IFERROR(__xludf.DUMMYFUNCTION("""COMPUTED_VALUE"""),"CORPORATE")</f>
        <v>CORPORATE</v>
      </c>
      <c r="F11" s="11" t="str">
        <f>IFERROR(__xludf.DUMMYFUNCTION("""COMPUTED_VALUE"""),"Comparison")</f>
        <v>Comparison</v>
      </c>
      <c r="G11" s="11" t="b">
        <f>IFERROR(__xludf.DUMMYFUNCTION("""COMPUTED_VALUE"""),FALSE)</f>
        <v>0</v>
      </c>
      <c r="H11" s="11" t="str">
        <f>IFERROR(__xludf.DUMMYFUNCTION("""COMPUTED_VALUE"""),"Aufgesang, Claneo, Löwenstark, Suchhelden, Haus")</f>
        <v>Aufgesang, Claneo, Löwenstark, Suchhelden, Haus</v>
      </c>
      <c r="I11" s="11">
        <f>IFERROR(__xludf.DUMMYFUNCTION("""COMPUTED_VALUE"""),4.0)</f>
        <v>4</v>
      </c>
      <c r="J11" s="11">
        <f>IFERROR(__xludf.DUMMYFUNCTION("""COMPUTED_VALUE"""),0.0)</f>
        <v>0</v>
      </c>
      <c r="K11" s="11">
        <f>IFERROR(__xludf.DUMMYFUNCTION("""COMPUTED_VALUE"""),0.0)</f>
        <v>0</v>
      </c>
    </row>
    <row r="12" ht="15.75" customHeight="1">
      <c r="A12" s="8" t="str">
        <f>IFERROR(__xludf.DUMMYFUNCTION("""COMPUTED_VALUE"""),"https://www.feld-m.de/en/blog/google-meridian-triangulation-future-marketing-measurement/")</f>
        <v>https://www.feld-m.de/en/blog/google-meridian-triangulation-future-marketing-measurement/</v>
      </c>
      <c r="B12" s="11" t="str">
        <f>IFERROR(__xludf.DUMMYFUNCTION("""COMPUTED_VALUE"""),"Google Meridian, Triangulation &amp;amp; the Future of Marketing Measurement | FELD M")</f>
        <v>Google Meridian, Triangulation &amp;amp; the Future of Marketing Measurement | FELD M</v>
      </c>
      <c r="C12" s="8" t="str">
        <f>IFERROR(__xludf.DUMMYFUNCTION("""COMPUTED_VALUE"""),"feld-m.de")</f>
        <v>feld-m.de</v>
      </c>
      <c r="D12" s="11" t="str">
        <f>IFERROR(__xludf.DUMMYFUNCTION("""COMPUTED_VALUE"""),"COMPARISON")</f>
        <v>COMPARISON</v>
      </c>
      <c r="E12" s="11" t="str">
        <f>IFERROR(__xludf.DUMMYFUNCTION("""COMPUTED_VALUE"""),"COMPETITOR")</f>
        <v>COMPETITOR</v>
      </c>
      <c r="F12" s="11" t="str">
        <f>IFERROR(__xludf.DUMMYFUNCTION("""COMPUTED_VALUE"""),"Comparison")</f>
        <v>Comparison</v>
      </c>
      <c r="G12" s="11" t="b">
        <f>IFERROR(__xludf.DUMMYFUNCTION("""COMPUTED_VALUE"""),FALSE)</f>
        <v>0</v>
      </c>
      <c r="H12" s="11" t="str">
        <f>IFERROR(__xludf.DUMMYFUNCTION("""COMPUTED_VALUE"""),"FELD M")</f>
        <v>FELD M</v>
      </c>
      <c r="I12" s="11">
        <f>IFERROR(__xludf.DUMMYFUNCTION("""COMPUTED_VALUE"""),3.0)</f>
        <v>3</v>
      </c>
      <c r="J12" s="11">
        <f>IFERROR(__xludf.DUMMYFUNCTION("""COMPUTED_VALUE"""),0.0)</f>
        <v>0</v>
      </c>
      <c r="K12" s="11">
        <f>IFERROR(__xludf.DUMMYFUNCTION("""COMPUTED_VALUE"""),1.33)</f>
        <v>1.33</v>
      </c>
    </row>
    <row r="13" ht="15.75" customHeight="1">
      <c r="A13" s="8" t="str">
        <f>IFERROR(__xludf.DUMMYFUNCTION("""COMPUTED_VALUE"""),"https://www.sortlist.de/s/big-data-analytics/deutschland-de")</f>
        <v>https://www.sortlist.de/s/big-data-analytics/deutschland-de</v>
      </c>
      <c r="B13" s="11" t="str">
        <f>IFERROR(__xludf.DUMMYFUNCTION("""COMPUTED_VALUE"""),"Big Data Analytics Agenturen in Deutschland vergleichen")</f>
        <v>Big Data Analytics Agenturen in Deutschland vergleichen</v>
      </c>
      <c r="C13" s="8" t="str">
        <f>IFERROR(__xludf.DUMMYFUNCTION("""COMPUTED_VALUE"""),"sortlist.de")</f>
        <v>sortlist.de</v>
      </c>
      <c r="D13" s="11" t="str">
        <f>IFERROR(__xludf.DUMMYFUNCTION("""COMPUTED_VALUE"""),"COMPARISON")</f>
        <v>COMPARISON</v>
      </c>
      <c r="E13" s="11" t="str">
        <f>IFERROR(__xludf.DUMMYFUNCTION("""COMPUTED_VALUE"""),"CORPORATE")</f>
        <v>CORPORATE</v>
      </c>
      <c r="F13" s="11" t="str">
        <f>IFERROR(__xludf.DUMMYFUNCTION("""COMPUTED_VALUE"""),"Comparison")</f>
        <v>Comparison</v>
      </c>
      <c r="G13" s="11" t="b">
        <f>IFERROR(__xludf.DUMMYFUNCTION("""COMPUTED_VALUE"""),FALSE)</f>
        <v>0</v>
      </c>
      <c r="H13" s="11"/>
      <c r="I13" s="11">
        <f>IFERROR(__xludf.DUMMYFUNCTION("""COMPUTED_VALUE"""),3.0)</f>
        <v>3</v>
      </c>
      <c r="J13" s="11">
        <f>IFERROR(__xludf.DUMMYFUNCTION("""COMPUTED_VALUE"""),0.0)</f>
        <v>0</v>
      </c>
      <c r="K13" s="11">
        <f>IFERROR(__xludf.DUMMYFUNCTION("""COMPUTED_VALUE"""),0.0)</f>
        <v>0</v>
      </c>
    </row>
    <row r="14" ht="15.75" customHeight="1">
      <c r="A14" s="8" t="str">
        <f>IFERROR(__xludf.DUMMYFUNCTION("""COMPUTED_VALUE"""),"https://www.geoagenturen.de/blog/geo-agenturen-2026-ai-readiness-llmo-im-vergleich")</f>
        <v>https://www.geoagenturen.de/blog/geo-agenturen-2026-ai-readiness-llmo-im-vergleich</v>
      </c>
      <c r="B14" s="11" t="str">
        <f>IFERROR(__xludf.DUMMYFUNCTION("""COMPUTED_VALUE"""),"GEO-Agenturen 2026: AI Readiness &amp; LLMO im Vergleich")</f>
        <v>GEO-Agenturen 2026: AI Readiness &amp; LLMO im Vergleich</v>
      </c>
      <c r="C14" s="8" t="str">
        <f>IFERROR(__xludf.DUMMYFUNCTION("""COMPUTED_VALUE"""),"geoagenturen.de")</f>
        <v>geoagenturen.de</v>
      </c>
      <c r="D14" s="11" t="str">
        <f>IFERROR(__xludf.DUMMYFUNCTION("""COMPUTED_VALUE"""),"COMPARISON")</f>
        <v>COMPARISON</v>
      </c>
      <c r="E14" s="11" t="str">
        <f>IFERROR(__xludf.DUMMYFUNCTION("""COMPUTED_VALUE"""),"REFERENCE")</f>
        <v>REFERENCE</v>
      </c>
      <c r="F14" s="11" t="str">
        <f>IFERROR(__xludf.DUMMYFUNCTION("""COMPUTED_VALUE"""),"Comparison")</f>
        <v>Comparison</v>
      </c>
      <c r="G14" s="11" t="b">
        <f>IFERROR(__xludf.DUMMYFUNCTION("""COMPUTED_VALUE"""),FALSE)</f>
        <v>0</v>
      </c>
      <c r="H14" s="11" t="str">
        <f>IFERROR(__xludf.DUMMYFUNCTION("""COMPUTED_VALUE"""),"Engine Native, Aufgesang, Pilot, OMD")</f>
        <v>Engine Native, Aufgesang, Pilot, OMD</v>
      </c>
      <c r="I14" s="11">
        <f>IFERROR(__xludf.DUMMYFUNCTION("""COMPUTED_VALUE"""),2.0)</f>
        <v>2</v>
      </c>
      <c r="J14" s="11">
        <f>IFERROR(__xludf.DUMMYFUNCTION("""COMPUTED_VALUE"""),0.0)</f>
        <v>0</v>
      </c>
      <c r="K14" s="11">
        <f>IFERROR(__xludf.DUMMYFUNCTION("""COMPUTED_VALUE"""),3.0)</f>
        <v>3</v>
      </c>
    </row>
    <row r="15" ht="15.75" customHeight="1">
      <c r="A15" s="8" t="str">
        <f>IFERROR(__xludf.DUMMYFUNCTION("""COMPUTED_VALUE"""),"https://www.geoagenturen.de/blog/service-portfolio-vergleich-zwischen-geo-agenturen")</f>
        <v>https://www.geoagenturen.de/blog/service-portfolio-vergleich-zwischen-geo-agenturen</v>
      </c>
      <c r="B15" s="11" t="str">
        <f>IFERROR(__xludf.DUMMYFUNCTION("""COMPUTED_VALUE"""),"GEO Agenturen Deutschland 2026: 100+ Experten im Vergleich | Engine Native")</f>
        <v>GEO Agenturen Deutschland 2026: 100+ Experten im Vergleich | Engine Native</v>
      </c>
      <c r="C15" s="8" t="str">
        <f>IFERROR(__xludf.DUMMYFUNCTION("""COMPUTED_VALUE"""),"geoagenturen.de")</f>
        <v>geoagenturen.de</v>
      </c>
      <c r="D15" s="11" t="str">
        <f>IFERROR(__xludf.DUMMYFUNCTION("""COMPUTED_VALUE"""),"COMPARISON")</f>
        <v>COMPARISON</v>
      </c>
      <c r="E15" s="11" t="str">
        <f>IFERROR(__xludf.DUMMYFUNCTION("""COMPUTED_VALUE"""),"REFERENCE")</f>
        <v>REFERENCE</v>
      </c>
      <c r="F15" s="11" t="str">
        <f>IFERROR(__xludf.DUMMYFUNCTION("""COMPUTED_VALUE"""),"Comparison")</f>
        <v>Comparison</v>
      </c>
      <c r="G15" s="11" t="b">
        <f>IFERROR(__xludf.DUMMYFUNCTION("""COMPUTED_VALUE"""),FALSE)</f>
        <v>0</v>
      </c>
      <c r="H15" s="11" t="str">
        <f>IFERROR(__xludf.DUMMYFUNCTION("""COMPUTED_VALUE"""),"Engine Native")</f>
        <v>Engine Native</v>
      </c>
      <c r="I15" s="11">
        <f>IFERROR(__xludf.DUMMYFUNCTION("""COMPUTED_VALUE"""),2.0)</f>
        <v>2</v>
      </c>
      <c r="J15" s="11">
        <f>IFERROR(__xludf.DUMMYFUNCTION("""COMPUTED_VALUE"""),0.0)</f>
        <v>0</v>
      </c>
      <c r="K15" s="11">
        <f>IFERROR(__xludf.DUMMYFUNCTION("""COMPUTED_VALUE"""),0.0)</f>
        <v>0</v>
      </c>
    </row>
    <row r="16" ht="15.75" customHeight="1">
      <c r="A16" s="8" t="str">
        <f>IFERROR(__xludf.DUMMYFUNCTION("""COMPUTED_VALUE"""),"https://www.omt.de/online-marketing-tools/marketing-attribution-software/")</f>
        <v>https://www.omt.de/online-marketing-tools/marketing-attribution-software/</v>
      </c>
      <c r="B16" s="11" t="str">
        <f>IFERROR(__xludf.DUMMYFUNCTION("""COMPUTED_VALUE"""),"Marketing Attribution Software – 27 Anbieter im Vergleich")</f>
        <v>Marketing Attribution Software – 27 Anbieter im Vergleich</v>
      </c>
      <c r="C16" s="8" t="str">
        <f>IFERROR(__xludf.DUMMYFUNCTION("""COMPUTED_VALUE"""),"omt.de")</f>
        <v>omt.de</v>
      </c>
      <c r="D16" s="11" t="str">
        <f>IFERROR(__xludf.DUMMYFUNCTION("""COMPUTED_VALUE"""),"COMPARISON")</f>
        <v>COMPARISON</v>
      </c>
      <c r="E16" s="11" t="str">
        <f>IFERROR(__xludf.DUMMYFUNCTION("""COMPUTED_VALUE"""),"OTHER")</f>
        <v>OTHER</v>
      </c>
      <c r="F16" s="11" t="str">
        <f>IFERROR(__xludf.DUMMYFUNCTION("""COMPUTED_VALUE"""),"Comparison")</f>
        <v>Comparison</v>
      </c>
      <c r="G16" s="11" t="b">
        <f>IFERROR(__xludf.DUMMYFUNCTION("""COMPUTED_VALUE"""),FALSE)</f>
        <v>0</v>
      </c>
      <c r="H16" s="11" t="str">
        <f>IFERROR(__xludf.DUMMYFUNCTION("""COMPUTED_VALUE"""),"Analytic Partners, Dreamdata, Neustar, Nielsen")</f>
        <v>Analytic Partners, Dreamdata, Neustar, Nielsen</v>
      </c>
      <c r="I16" s="11">
        <f>IFERROR(__xludf.DUMMYFUNCTION("""COMPUTED_VALUE"""),2.0)</f>
        <v>2</v>
      </c>
      <c r="J16" s="11">
        <f>IFERROR(__xludf.DUMMYFUNCTION("""COMPUTED_VALUE"""),0.0)</f>
        <v>0</v>
      </c>
      <c r="K16" s="11">
        <f>IFERROR(__xludf.DUMMYFUNCTION("""COMPUTED_VALUE"""),0.0)</f>
        <v>0</v>
      </c>
    </row>
    <row r="17" ht="15.75" customHeight="1">
      <c r="A17" s="8" t="str">
        <f>IFERROR(__xludf.DUMMYFUNCTION("""COMPUTED_VALUE"""),"https://presenc.ai/compare/measured-vs-haus-vs-statsig")</f>
        <v>https://presenc.ai/compare/measured-vs-haus-vs-statsig</v>
      </c>
      <c r="B17" s="11" t="str">
        <f>IFERROR(__xludf.DUMMYFUNCTION("""COMPUTED_VALUE"""),"Measured vs Haus vs Statsig: Lift Testing Vendors | Presenc AI")</f>
        <v>Measured vs Haus vs Statsig: Lift Testing Vendors | Presenc AI</v>
      </c>
      <c r="C17" s="8" t="str">
        <f>IFERROR(__xludf.DUMMYFUNCTION("""COMPUTED_VALUE"""),"presenc.ai")</f>
        <v>presenc.ai</v>
      </c>
      <c r="D17" s="11" t="str">
        <f>IFERROR(__xludf.DUMMYFUNCTION("""COMPUTED_VALUE"""),"COMPARISON")</f>
        <v>COMPARISON</v>
      </c>
      <c r="E17" s="11" t="str">
        <f>IFERROR(__xludf.DUMMYFUNCTION("""COMPUTED_VALUE"""),"CORPORATE")</f>
        <v>CORPORATE</v>
      </c>
      <c r="F17" s="11" t="str">
        <f>IFERROR(__xludf.DUMMYFUNCTION("""COMPUTED_VALUE"""),"Comparison")</f>
        <v>Comparison</v>
      </c>
      <c r="G17" s="11" t="b">
        <f>IFERROR(__xludf.DUMMYFUNCTION("""COMPUTED_VALUE"""),FALSE)</f>
        <v>0</v>
      </c>
      <c r="H17" s="11" t="str">
        <f>IFERROR(__xludf.DUMMYFUNCTION("""COMPUTED_VALUE"""),"Measured, Haus")</f>
        <v>Measured, Haus</v>
      </c>
      <c r="I17" s="11">
        <f>IFERROR(__xludf.DUMMYFUNCTION("""COMPUTED_VALUE"""),2.0)</f>
        <v>2</v>
      </c>
      <c r="J17" s="11">
        <f>IFERROR(__xludf.DUMMYFUNCTION("""COMPUTED_VALUE"""),0.0)</f>
        <v>0</v>
      </c>
      <c r="K17" s="11">
        <f>IFERROR(__xludf.DUMMYFUNCTION("""COMPUTED_VALUE"""),0.0)</f>
        <v>0</v>
      </c>
    </row>
    <row r="18" ht="15.75" customHeight="1">
      <c r="A18" s="8" t="str">
        <f>IFERROR(__xludf.DUMMYFUNCTION("""COMPUTED_VALUE"""),"https://sellforte.com/about")</f>
        <v>https://sellforte.com/about</v>
      </c>
      <c r="B18" s="11" t="str">
        <f>IFERROR(__xludf.DUMMYFUNCTION("""COMPUTED_VALUE"""),"About Sellforte | Enterprise MMM for Ecommerce, DTC &amp;amp; Retail")</f>
        <v>About Sellforte | Enterprise MMM for Ecommerce, DTC &amp;amp; Retail</v>
      </c>
      <c r="C18" s="8" t="str">
        <f>IFERROR(__xludf.DUMMYFUNCTION("""COMPUTED_VALUE"""),"sellforte.com")</f>
        <v>sellforte.com</v>
      </c>
      <c r="D18" s="11" t="str">
        <f>IFERROR(__xludf.DUMMYFUNCTION("""COMPUTED_VALUE"""),"COMPARISON")</f>
        <v>COMPARISON</v>
      </c>
      <c r="E18" s="11" t="str">
        <f>IFERROR(__xludf.DUMMYFUNCTION("""COMPUTED_VALUE"""),"COMPETITOR")</f>
        <v>COMPETITOR</v>
      </c>
      <c r="F18" s="11" t="str">
        <f>IFERROR(__xludf.DUMMYFUNCTION("""COMPUTED_VALUE"""),"Comparison")</f>
        <v>Comparison</v>
      </c>
      <c r="G18" s="11" t="b">
        <f>IFERROR(__xludf.DUMMYFUNCTION("""COMPUTED_VALUE"""),FALSE)</f>
        <v>0</v>
      </c>
      <c r="H18" s="11" t="str">
        <f>IFERROR(__xludf.DUMMYFUNCTION("""COMPUTED_VALUE"""),"Sellforte, Analytic Partners, Recast, Triple Whale, Northbeam")</f>
        <v>Sellforte, Analytic Partners, Recast, Triple Whale, Northbeam</v>
      </c>
      <c r="I18" s="11">
        <f>IFERROR(__xludf.DUMMYFUNCTION("""COMPUTED_VALUE"""),2.0)</f>
        <v>2</v>
      </c>
      <c r="J18" s="11">
        <f>IFERROR(__xludf.DUMMYFUNCTION("""COMPUTED_VALUE"""),0.0)</f>
        <v>0</v>
      </c>
      <c r="K18" s="11">
        <f>IFERROR(__xludf.DUMMYFUNCTION("""COMPUTED_VALUE"""),1.0)</f>
        <v>1</v>
      </c>
    </row>
    <row r="19" ht="15.75" customHeight="1">
      <c r="A19" s="8" t="str">
        <f>IFERROR(__xludf.DUMMYFUNCTION("""COMPUTED_VALUE"""),"https://www.adoptify.ai/blogs/top-enterprise-ai-adoption-consulting-firms-2026-comparison/")</f>
        <v>https://www.adoptify.ai/blogs/top-enterprise-ai-adoption-consulting-firms-2026-comparison/</v>
      </c>
      <c r="B19" s="11" t="str">
        <f>IFERROR(__xludf.DUMMYFUNCTION("""COMPUTED_VALUE"""),"Top Enterprise AI Adoption Consulting Firms: 2026 Comparison - Adoptify AI | Adoptify AI")</f>
        <v>Top Enterprise AI Adoption Consulting Firms: 2026 Comparison - Adoptify AI | Adoptify AI</v>
      </c>
      <c r="C19" s="8" t="str">
        <f>IFERROR(__xludf.DUMMYFUNCTION("""COMPUTED_VALUE"""),"adoptify.ai")</f>
        <v>adoptify.ai</v>
      </c>
      <c r="D19" s="11" t="str">
        <f>IFERROR(__xludf.DUMMYFUNCTION("""COMPUTED_VALUE"""),"COMPARISON")</f>
        <v>COMPARISON</v>
      </c>
      <c r="E19" s="11" t="str">
        <f>IFERROR(__xludf.DUMMYFUNCTION("""COMPUTED_VALUE"""),"CORPORATE")</f>
        <v>CORPORATE</v>
      </c>
      <c r="F19" s="11" t="str">
        <f>IFERROR(__xludf.DUMMYFUNCTION("""COMPUTED_VALUE"""),"Comparison")</f>
        <v>Comparison</v>
      </c>
      <c r="G19" s="11" t="b">
        <f>IFERROR(__xludf.DUMMYFUNCTION("""COMPUTED_VALUE"""),FALSE)</f>
        <v>0</v>
      </c>
      <c r="H19" s="11" t="str">
        <f>IFERROR(__xludf.DUMMYFUNCTION("""COMPUTED_VALUE"""),"Pilot, Measured, BCG, PwC, EY, Momentum")</f>
        <v>Pilot, Measured, BCG, PwC, EY, Momentum</v>
      </c>
      <c r="I19" s="11">
        <f>IFERROR(__xludf.DUMMYFUNCTION("""COMPUTED_VALUE"""),1.0)</f>
        <v>1</v>
      </c>
      <c r="J19" s="11">
        <f>IFERROR(__xludf.DUMMYFUNCTION("""COMPUTED_VALUE"""),0.0)</f>
        <v>0</v>
      </c>
      <c r="K19" s="11">
        <f>IFERROR(__xludf.DUMMYFUNCTION("""COMPUTED_VALUE"""),0.0)</f>
        <v>0</v>
      </c>
    </row>
    <row r="20" ht="15.75" customHeight="1">
      <c r="A20" s="8" t="str">
        <f>IFERROR(__xludf.DUMMYFUNCTION("""COMPUTED_VALUE"""),"https://www.cometly.com/post/multi-touch-attribution-vs-marketing-mix-modeling")</f>
        <v>https://www.cometly.com/post/multi-touch-attribution-vs-marketing-mix-modeling</v>
      </c>
      <c r="B20" s="11" t="str">
        <f>IFERROR(__xludf.DUMMYFUNCTION("""COMPUTED_VALUE"""),"Multi Touch Attribution Vs Marketing Mix Modeling Guide")</f>
        <v>Multi Touch Attribution Vs Marketing Mix Modeling Guide</v>
      </c>
      <c r="C20" s="8" t="str">
        <f>IFERROR(__xludf.DUMMYFUNCTION("""COMPUTED_VALUE"""),"cometly.com")</f>
        <v>cometly.com</v>
      </c>
      <c r="D20" s="11" t="str">
        <f>IFERROR(__xludf.DUMMYFUNCTION("""COMPUTED_VALUE"""),"COMPARISON")</f>
        <v>COMPARISON</v>
      </c>
      <c r="E20" s="11" t="str">
        <f>IFERROR(__xludf.DUMMYFUNCTION("""COMPUTED_VALUE"""),"COMPETITOR")</f>
        <v>COMPETITOR</v>
      </c>
      <c r="F20" s="11" t="str">
        <f>IFERROR(__xludf.DUMMYFUNCTION("""COMPUTED_VALUE"""),"Comparison")</f>
        <v>Comparison</v>
      </c>
      <c r="G20" s="11" t="b">
        <f>IFERROR(__xludf.DUMMYFUNCTION("""COMPUTED_VALUE"""),FALSE)</f>
        <v>0</v>
      </c>
      <c r="H20" s="11" t="str">
        <f>IFERROR(__xludf.DUMMYFUNCTION("""COMPUTED_VALUE"""),"Cometly")</f>
        <v>Cometly</v>
      </c>
      <c r="I20" s="11">
        <f>IFERROR(__xludf.DUMMYFUNCTION("""COMPUTED_VALUE"""),1.0)</f>
        <v>1</v>
      </c>
      <c r="J20" s="11">
        <f>IFERROR(__xludf.DUMMYFUNCTION("""COMPUTED_VALUE"""),0.0)</f>
        <v>0</v>
      </c>
      <c r="K20" s="11">
        <f>IFERROR(__xludf.DUMMYFUNCTION("""COMPUTED_VALUE"""),1.0)</f>
        <v>1</v>
      </c>
    </row>
    <row r="21" ht="15.75" customHeight="1">
      <c r="A21" s="8" t="str">
        <f>IFERROR(__xludf.DUMMYFUNCTION("""COMPUTED_VALUE"""),"https://www.heeet.io/blog/15-best-multi-touch-marketing-attribution-platforms-in-2026-compared-in-depth")</f>
        <v>https://www.heeet.io/blog/15-best-multi-touch-marketing-attribution-platforms-in-2026-compared-in-depth</v>
      </c>
      <c r="B21" s="11" t="str">
        <f>IFERROR(__xludf.DUMMYFUNCTION("""COMPUTED_VALUE"""),"15 Best Marketing Attribution Software in 2026 - Reviewed &amp;amp; Ranked")</f>
        <v>15 Best Marketing Attribution Software in 2026 - Reviewed &amp;amp; Ranked</v>
      </c>
      <c r="C21" s="8" t="str">
        <f>IFERROR(__xludf.DUMMYFUNCTION("""COMPUTED_VALUE"""),"heeet.io")</f>
        <v>heeet.io</v>
      </c>
      <c r="D21" s="11" t="str">
        <f>IFERROR(__xludf.DUMMYFUNCTION("""COMPUTED_VALUE"""),"COMPARISON")</f>
        <v>COMPARISON</v>
      </c>
      <c r="E21" s="11" t="str">
        <f>IFERROR(__xludf.DUMMYFUNCTION("""COMPUTED_VALUE"""),"CORPORATE")</f>
        <v>CORPORATE</v>
      </c>
      <c r="F21" s="11" t="str">
        <f>IFERROR(__xludf.DUMMYFUNCTION("""COMPUTED_VALUE"""),"Comparison")</f>
        <v>Comparison</v>
      </c>
      <c r="G21" s="11" t="b">
        <f>IFERROR(__xludf.DUMMYFUNCTION("""COMPUTED_VALUE"""),FALSE)</f>
        <v>0</v>
      </c>
      <c r="H21" s="11" t="str">
        <f>IFERROR(__xludf.DUMMYFUNCTION("""COMPUTED_VALUE"""),"Dreamdata, Ruler Analytics, Triple Whale, Cometly, Northbeam")</f>
        <v>Dreamdata, Ruler Analytics, Triple Whale, Cometly, Northbeam</v>
      </c>
      <c r="I21" s="11">
        <f>IFERROR(__xludf.DUMMYFUNCTION("""COMPUTED_VALUE"""),1.0)</f>
        <v>1</v>
      </c>
      <c r="J21" s="11">
        <f>IFERROR(__xludf.DUMMYFUNCTION("""COMPUTED_VALUE"""),0.0)</f>
        <v>0</v>
      </c>
      <c r="K21" s="11">
        <f>IFERROR(__xludf.DUMMYFUNCTION("""COMPUTED_VALUE"""),0.0)</f>
        <v>0</v>
      </c>
    </row>
    <row r="22" ht="15.75" customHeight="1">
      <c r="A22" s="8" t="str">
        <f>IFERROR(__xludf.DUMMYFUNCTION("""COMPUTED_VALUE"""),"https://www.jonas-rashedi.de/vergleich/customer-data-platform/")</f>
        <v>https://www.jonas-rashedi.de/vergleich/customer-data-platform/</v>
      </c>
      <c r="B22" s="11" t="str">
        <f>IFERROR(__xludf.DUMMYFUNCTION("""COMPUTED_VALUE"""),"Customer Data Platforms im Vergleich 2026 — DACH und EU | MDIBTY")</f>
        <v>Customer Data Platforms im Vergleich 2026 — DACH und EU | MDIBTY</v>
      </c>
      <c r="C22" s="8" t="str">
        <f>IFERROR(__xludf.DUMMYFUNCTION("""COMPUTED_VALUE"""),"jonas-rashedi.de")</f>
        <v>jonas-rashedi.de</v>
      </c>
      <c r="D22" s="11" t="str">
        <f>IFERROR(__xludf.DUMMYFUNCTION("""COMPUTED_VALUE"""),"COMPARISON")</f>
        <v>COMPARISON</v>
      </c>
      <c r="E22" s="11" t="str">
        <f>IFERROR(__xludf.DUMMYFUNCTION("""COMPUTED_VALUE"""),"CORPORATE")</f>
        <v>CORPORATE</v>
      </c>
      <c r="F22" s="11" t="str">
        <f>IFERROR(__xludf.DUMMYFUNCTION("""COMPUTED_VALUE"""),"Comparison")</f>
        <v>Comparison</v>
      </c>
      <c r="G22" s="11" t="b">
        <f>IFERROR(__xludf.DUMMYFUNCTION("""COMPUTED_VALUE"""),FALSE)</f>
        <v>0</v>
      </c>
      <c r="H22" s="11" t="str">
        <f>IFERROR(__xludf.DUMMYFUNCTION("""COMPUTED_VALUE"""),"Pilot, Haus")</f>
        <v>Pilot, Haus</v>
      </c>
      <c r="I22" s="11">
        <f>IFERROR(__xludf.DUMMYFUNCTION("""COMPUTED_VALUE"""),1.0)</f>
        <v>1</v>
      </c>
      <c r="J22" s="11">
        <f>IFERROR(__xludf.DUMMYFUNCTION("""COMPUTED_VALUE"""),0.0)</f>
        <v>0</v>
      </c>
      <c r="K22" s="11">
        <f>IFERROR(__xludf.DUMMYFUNCTION("""COMPUTED_VALUE"""),0.0)</f>
        <v>0</v>
      </c>
    </row>
    <row r="23" ht="15.75" customHeight="1">
      <c r="A23" s="8" t="str">
        <f>IFERROR(__xludf.DUMMYFUNCTION("""COMPUTED_VALUE"""),"https://www.jonas-rashedi.de/wissen/cdp/anbieter-vergleich/")</f>
        <v>https://www.jonas-rashedi.de/wissen/cdp/anbieter-vergleich/</v>
      </c>
      <c r="B23" s="11" t="str">
        <f>IFERROR(__xludf.DUMMYFUNCTION("""COMPUTED_VALUE"""),"CDP Anbieter Vergleich 2026: Tealium, Bloomreach, Segment, Adobe")</f>
        <v>CDP Anbieter Vergleich 2026: Tealium, Bloomreach, Segment, Adobe</v>
      </c>
      <c r="C23" s="8" t="str">
        <f>IFERROR(__xludf.DUMMYFUNCTION("""COMPUTED_VALUE"""),"jonas-rashedi.de")</f>
        <v>jonas-rashedi.de</v>
      </c>
      <c r="D23" s="11" t="str">
        <f>IFERROR(__xludf.DUMMYFUNCTION("""COMPUTED_VALUE"""),"COMPARISON")</f>
        <v>COMPARISON</v>
      </c>
      <c r="E23" s="11" t="str">
        <f>IFERROR(__xludf.DUMMYFUNCTION("""COMPUTED_VALUE"""),"CORPORATE")</f>
        <v>CORPORATE</v>
      </c>
      <c r="F23" s="11" t="str">
        <f>IFERROR(__xludf.DUMMYFUNCTION("""COMPUTED_VALUE"""),"Comparison")</f>
        <v>Comparison</v>
      </c>
      <c r="G23" s="11" t="b">
        <f>IFERROR(__xludf.DUMMYFUNCTION("""COMPUTED_VALUE"""),FALSE)</f>
        <v>0</v>
      </c>
      <c r="H23" s="11"/>
      <c r="I23" s="11">
        <f>IFERROR(__xludf.DUMMYFUNCTION("""COMPUTED_VALUE"""),1.0)</f>
        <v>1</v>
      </c>
      <c r="J23" s="11">
        <f>IFERROR(__xludf.DUMMYFUNCTION("""COMPUTED_VALUE"""),0.0)</f>
        <v>0</v>
      </c>
      <c r="K23" s="11">
        <f>IFERROR(__xludf.DUMMYFUNCTION("""COMPUTED_VALUE"""),2.0)</f>
        <v>2</v>
      </c>
    </row>
    <row r="24" ht="15.75" customHeight="1">
      <c r="A24" s="8" t="str">
        <f>IFERROR(__xludf.DUMMYFUNCTION("""COMPUTED_VALUE"""),"https://www.measured.com/faq/what-are-the-pros-and-cons-of-incrementality-testing-versus-mmm-or-mta/")</f>
        <v>https://www.measured.com/faq/what-are-the-pros-and-cons-of-incrementality-testing-versus-mmm-or-mta/</v>
      </c>
      <c r="B24" s="11" t="str">
        <f>IFERROR(__xludf.DUMMYFUNCTION("""COMPUTED_VALUE"""),"What is Incrementality testing vs MMM vs MTA?")</f>
        <v>What is Incrementality testing vs MMM vs MTA?</v>
      </c>
      <c r="C24" s="8" t="str">
        <f>IFERROR(__xludf.DUMMYFUNCTION("""COMPUTED_VALUE"""),"measured.com")</f>
        <v>measured.com</v>
      </c>
      <c r="D24" s="11" t="str">
        <f>IFERROR(__xludf.DUMMYFUNCTION("""COMPUTED_VALUE"""),"COMPARISON")</f>
        <v>COMPARISON</v>
      </c>
      <c r="E24" s="11" t="str">
        <f>IFERROR(__xludf.DUMMYFUNCTION("""COMPUTED_VALUE"""),"COMPETITOR")</f>
        <v>COMPETITOR</v>
      </c>
      <c r="F24" s="11" t="str">
        <f>IFERROR(__xludf.DUMMYFUNCTION("""COMPUTED_VALUE"""),"Comparison")</f>
        <v>Comparison</v>
      </c>
      <c r="G24" s="11" t="b">
        <f>IFERROR(__xludf.DUMMYFUNCTION("""COMPUTED_VALUE"""),FALSE)</f>
        <v>0</v>
      </c>
      <c r="H24" s="11" t="str">
        <f>IFERROR(__xludf.DUMMYFUNCTION("""COMPUTED_VALUE"""),"Measured")</f>
        <v>Measured</v>
      </c>
      <c r="I24" s="11">
        <f>IFERROR(__xludf.DUMMYFUNCTION("""COMPUTED_VALUE"""),1.0)</f>
        <v>1</v>
      </c>
      <c r="J24" s="11">
        <f>IFERROR(__xludf.DUMMYFUNCTION("""COMPUTED_VALUE"""),0.0)</f>
        <v>0</v>
      </c>
      <c r="K24" s="11">
        <f>IFERROR(__xludf.DUMMYFUNCTION("""COMPUTED_VALUE"""),1.0)</f>
        <v>1</v>
      </c>
    </row>
    <row r="25" ht="15.75" customHeight="1">
      <c r="A25" s="8" t="str">
        <f>IFERROR(__xludf.DUMMYFUNCTION("""COMPUTED_VALUE"""),"https://mingma.io/compare/ai-automation-agencies/")</f>
        <v>https://mingma.io/compare/ai-automation-agencies/</v>
      </c>
      <c r="B25" s="11" t="str">
        <f>IFERROR(__xludf.DUMMYFUNCTION("""COMPUTED_VALUE"""),"Best AI Automation Agencies for Mid-Market Companies [2026 Comparison] | Mingma")</f>
        <v>Best AI Automation Agencies for Mid-Market Companies [2026 Comparison] | Mingma</v>
      </c>
      <c r="C25" s="8" t="str">
        <f>IFERROR(__xludf.DUMMYFUNCTION("""COMPUTED_VALUE"""),"mingma.io")</f>
        <v>mingma.io</v>
      </c>
      <c r="D25" s="11" t="str">
        <f>IFERROR(__xludf.DUMMYFUNCTION("""COMPUTED_VALUE"""),"COMPARISON")</f>
        <v>COMPARISON</v>
      </c>
      <c r="E25" s="11" t="str">
        <f>IFERROR(__xludf.DUMMYFUNCTION("""COMPUTED_VALUE"""),"CORPORATE")</f>
        <v>CORPORATE</v>
      </c>
      <c r="F25" s="11" t="str">
        <f>IFERROR(__xludf.DUMMYFUNCTION("""COMPUTED_VALUE"""),"Comparison")</f>
        <v>Comparison</v>
      </c>
      <c r="G25" s="11" t="b">
        <f>IFERROR(__xludf.DUMMYFUNCTION("""COMPUTED_VALUE"""),FALSE)</f>
        <v>0</v>
      </c>
      <c r="H25" s="11"/>
      <c r="I25" s="11">
        <f>IFERROR(__xludf.DUMMYFUNCTION("""COMPUTED_VALUE"""),1.0)</f>
        <v>1</v>
      </c>
      <c r="J25" s="11">
        <f>IFERROR(__xludf.DUMMYFUNCTION("""COMPUTED_VALUE"""),0.0)</f>
        <v>0</v>
      </c>
      <c r="K25" s="11">
        <f>IFERROR(__xludf.DUMMYFUNCTION("""COMPUTED_VALUE"""),3.0)</f>
        <v>3</v>
      </c>
    </row>
    <row r="26" ht="15.75" customHeight="1">
      <c r="A26" s="8" t="str">
        <f>IFERROR(__xludf.DUMMYFUNCTION("""COMPUTED_VALUE"""),"https://www.tripuls.de/online-marketing-attribution")</f>
        <v>https://www.tripuls.de/online-marketing-attribution</v>
      </c>
      <c r="B26" s="11" t="str">
        <f>IFERROR(__xludf.DUMMYFUNCTION("""COMPUTED_VALUE"""),"Online Marketing Attribution - Performance Marketing für Profis | tripuls Marburg")</f>
        <v>Online Marketing Attribution - Performance Marketing für Profis | tripuls Marburg</v>
      </c>
      <c r="C26" s="8" t="str">
        <f>IFERROR(__xludf.DUMMYFUNCTION("""COMPUTED_VALUE"""),"tripuls.de")</f>
        <v>tripuls.de</v>
      </c>
      <c r="D26" s="11" t="str">
        <f>IFERROR(__xludf.DUMMYFUNCTION("""COMPUTED_VALUE"""),"COMPARISON")</f>
        <v>COMPARISON</v>
      </c>
      <c r="E26" s="11" t="str">
        <f>IFERROR(__xludf.DUMMYFUNCTION("""COMPUTED_VALUE"""),"OTHER")</f>
        <v>OTHER</v>
      </c>
      <c r="F26" s="11" t="str">
        <f>IFERROR(__xludf.DUMMYFUNCTION("""COMPUTED_VALUE"""),"Comparison")</f>
        <v>Comparison</v>
      </c>
      <c r="G26" s="11" t="b">
        <f>IFERROR(__xludf.DUMMYFUNCTION("""COMPUTED_VALUE"""),FALSE)</f>
        <v>0</v>
      </c>
      <c r="H26" s="11"/>
      <c r="I26" s="11">
        <f>IFERROR(__xludf.DUMMYFUNCTION("""COMPUTED_VALUE"""),1.0)</f>
        <v>1</v>
      </c>
      <c r="J26" s="11">
        <f>IFERROR(__xludf.DUMMYFUNCTION("""COMPUTED_VALUE"""),0.0)</f>
        <v>0</v>
      </c>
      <c r="K26" s="11">
        <f>IFERROR(__xludf.DUMMYFUNCTION("""COMPUTED_VALUE"""),1.0)</f>
        <v>1</v>
      </c>
    </row>
    <row r="27" ht="15.75" customHeight="1">
      <c r="A27" s="8" t="str">
        <f>IFERROR(__xludf.DUMMYFUNCTION("""COMPUTED_VALUE"""),"https://vertriebspilot.ai/en/blog/best-german-ai-automation-agencies-2026.html#:~:text=CET%20overlaps%20with%20both%20US,callbacks%20%2B%20WhatsApp%20qualification%20%2B%20calendar%20booking")</f>
        <v>https://vertriebspilot.ai/en/blog/best-german-ai-automation-agencies-2026.html#:~:text=CET%20overlaps%20with%20both%20US,callbacks%20%2B%20WhatsApp%20qualification%20%2B%20calendar%20booking</v>
      </c>
      <c r="B27" s="11" t="str">
        <f>IFERROR(__xludf.DUMMYFUNCTION("""COMPUTED_VALUE"""),"The Best German AI Automation Agencies in 2026 — An Honest Comparison | Vertriebspilot.ai")</f>
        <v>The Best German AI Automation Agencies in 2026 — An Honest Comparison | Vertriebspilot.ai</v>
      </c>
      <c r="C27" s="8" t="str">
        <f>IFERROR(__xludf.DUMMYFUNCTION("""COMPUTED_VALUE"""),"vertriebspilot.ai")</f>
        <v>vertriebspilot.ai</v>
      </c>
      <c r="D27" s="11" t="str">
        <f>IFERROR(__xludf.DUMMYFUNCTION("""COMPUTED_VALUE"""),"COMPARISON")</f>
        <v>COMPARISON</v>
      </c>
      <c r="E27" s="11" t="str">
        <f>IFERROR(__xludf.DUMMYFUNCTION("""COMPUTED_VALUE"""),"CORPORATE")</f>
        <v>CORPORATE</v>
      </c>
      <c r="F27" s="11" t="str">
        <f>IFERROR(__xludf.DUMMYFUNCTION("""COMPUTED_VALUE"""),"Comparison")</f>
        <v>Comparison</v>
      </c>
      <c r="G27" s="11" t="b">
        <f>IFERROR(__xludf.DUMMYFUNCTION("""COMPUTED_VALUE"""),FALSE)</f>
        <v>0</v>
      </c>
      <c r="H27" s="11" t="str">
        <f>IFERROR(__xludf.DUMMYFUNCTION("""COMPUTED_VALUE"""),"b.telligent")</f>
        <v>b.telligent</v>
      </c>
      <c r="I27" s="11">
        <f>IFERROR(__xludf.DUMMYFUNCTION("""COMPUTED_VALUE"""),1.0)</f>
        <v>1</v>
      </c>
      <c r="J27" s="11">
        <f>IFERROR(__xludf.DUMMYFUNCTION("""COMPUTED_VALUE"""),0.0)</f>
        <v>0</v>
      </c>
      <c r="K27" s="11">
        <f>IFERROR(__xludf.DUMMYFUNCTION("""COMPUTED_VALUE"""),3.0)</f>
        <v>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A11"/>
    <hyperlink r:id="rId18" ref="C11"/>
    <hyperlink r:id="rId19" ref="A12"/>
    <hyperlink r:id="rId20" ref="C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location=":~:text=CET%20overlaps%20with%20both%20US,callbacks%20%2B%20WhatsApp%20qualification%20%2B%20calendar%20booking" ref="A27"/>
    <hyperlink r:id="rId50" ref="C27"/>
  </hyperlinks>
  <drawing r:id="rId5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All'!D2:D1000)))=""discussion""
  ),
  """"
)"),"https://www.reddit.com/r/branding/comments/1s5trnk/top_10_best_international_seo_agency_in_germany/")</f>
        <v>https://www.reddit.com/r/branding/comments/1s5trnk/top_10_best_international_seo_agency_in_germany/</v>
      </c>
      <c r="B2" s="11" t="str">
        <f>IFERROR(__xludf.DUMMYFUNCTION("""COMPUTED_VALUE"""),"Top 10 Best International SEO Agency in Germany (2026 Guide)")</f>
        <v>Top 10 Best International SEO Agency in Germany (2026 Guide)</v>
      </c>
      <c r="C2" s="8" t="str">
        <f>IFERROR(__xludf.DUMMYFUNCTION("""COMPUTED_VALUE"""),"reddit.com")</f>
        <v>reddit.com</v>
      </c>
      <c r="D2" s="11" t="str">
        <f>IFERROR(__xludf.DUMMYFUNCTION("""COMPUTED_VALUE"""),"DISCUSSION")</f>
        <v>DISCUSSION</v>
      </c>
      <c r="E2" s="11" t="str">
        <f>IFERROR(__xludf.DUMMYFUNCTION("""COMPUTED_VALUE"""),"UGC")</f>
        <v>UGC</v>
      </c>
      <c r="F2" s="11" t="str">
        <f>IFERROR(__xludf.DUMMYFUNCTION("""COMPUTED_VALUE"""),"Discussion")</f>
        <v>Discussion</v>
      </c>
      <c r="G2" s="11" t="b">
        <f>IFERROR(__xludf.DUMMYFUNCTION("""COMPUTED_VALUE"""),FALSE)</f>
        <v>0</v>
      </c>
      <c r="H2" s="11" t="str">
        <f>IFERROR(__xludf.DUMMYFUNCTION("""COMPUTED_VALUE"""),"Claneo, Radyant, KlickPiloten, morefire")</f>
        <v>Claneo, Radyant, KlickPiloten, morefire</v>
      </c>
      <c r="I2" s="11">
        <f>IFERROR(__xludf.DUMMYFUNCTION("""COMPUTED_VALUE"""),34.0)</f>
        <v>34</v>
      </c>
      <c r="J2" s="11">
        <f>IFERROR(__xludf.DUMMYFUNCTION("""COMPUTED_VALUE"""),0.04)</f>
        <v>0.04</v>
      </c>
      <c r="K2" s="11">
        <f>IFERROR(__xludf.DUMMYFUNCTION("""COMPUTED_VALUE"""),1.97)</f>
        <v>1.97</v>
      </c>
    </row>
    <row r="3" ht="15.75" customHeight="1">
      <c r="A3" s="8" t="str">
        <f>IFERROR(__xludf.DUMMYFUNCTION("""COMPUTED_VALUE"""),"https://www.reddit.com/r/Superframeworks/comments/1twfxf1/10_best_ai_seo_geoaeo_agencies_for_2026_no/")</f>
        <v>https://www.reddit.com/r/Superframeworks/comments/1twfxf1/10_best_ai_seo_geoaeo_agencies_for_2026_no/</v>
      </c>
      <c r="B3" s="11" t="str">
        <f>IFERROR(__xludf.DUMMYFUNCTION("""COMPUTED_VALUE"""),"10 Best AI SEO (GEO/AEO) Agencies for 2026: No Self-Ranking, Verified by Clutch Reviews and Real AI-Citation Proof")</f>
        <v>10 Best AI SEO (GEO/AEO) Agencies for 2026: No Self-Ranking, Verified by Clutch Reviews and Real AI-Citation Proof</v>
      </c>
      <c r="C3" s="8" t="str">
        <f>IFERROR(__xludf.DUMMYFUNCTION("""COMPUTED_VALUE"""),"reddit.com")</f>
        <v>reddit.com</v>
      </c>
      <c r="D3" s="11" t="str">
        <f>IFERROR(__xludf.DUMMYFUNCTION("""COMPUTED_VALUE"""),"DISCUSSION")</f>
        <v>DISCUSSION</v>
      </c>
      <c r="E3" s="11" t="str">
        <f>IFERROR(__xludf.DUMMYFUNCTION("""COMPUTED_VALUE"""),"UGC")</f>
        <v>UGC</v>
      </c>
      <c r="F3" s="11" t="str">
        <f>IFERROR(__xludf.DUMMYFUNCTION("""COMPUTED_VALUE"""),"Discussion")</f>
        <v>Discussion</v>
      </c>
      <c r="G3" s="11" t="b">
        <f>IFERROR(__xludf.DUMMYFUNCTION("""COMPUTED_VALUE"""),FALSE)</f>
        <v>0</v>
      </c>
      <c r="H3" s="11" t="str">
        <f>IFERROR(__xludf.DUMMYFUNCTION("""COMPUTED_VALUE"""),"Single Grain, NoGood, iPullRank")</f>
        <v>Single Grain, NoGood, iPullRank</v>
      </c>
      <c r="I3" s="11">
        <f>IFERROR(__xludf.DUMMYFUNCTION("""COMPUTED_VALUE"""),8.0)</f>
        <v>8</v>
      </c>
      <c r="J3" s="11">
        <f>IFERROR(__xludf.DUMMYFUNCTION("""COMPUTED_VALUE"""),0.01)</f>
        <v>0.01</v>
      </c>
      <c r="K3" s="11">
        <f>IFERROR(__xludf.DUMMYFUNCTION("""COMPUTED_VALUE"""),1.88)</f>
        <v>1.88</v>
      </c>
    </row>
    <row r="4" ht="15.75" customHeight="1">
      <c r="A4" s="8" t="str">
        <f>IFERROR(__xludf.DUMMYFUNCTION("""COMPUTED_VALUE"""),"https://www.reddit.com/r/Topagencies/comments/1sv50o9/top_ppc_services_agencies_in_germany_ppc_cost/")</f>
        <v>https://www.reddit.com/r/Topagencies/comments/1sv50o9/top_ppc_services_agencies_in_germany_ppc_cost/</v>
      </c>
      <c r="B4" s="11" t="str">
        <f>IFERROR(__xludf.DUMMYFUNCTION("""COMPUTED_VALUE"""),"Top PPC Services Agencies in Germany – PPC Cost, Pricing, Packages &amp;amp; Best PPC Companies (2026 Guide)")</f>
        <v>Top PPC Services Agencies in Germany – PPC Cost, Pricing, Packages &amp;amp; Best PPC Companies (2026 Guide)</v>
      </c>
      <c r="C4" s="8" t="str">
        <f>IFERROR(__xludf.DUMMYFUNCTION("""COMPUTED_VALUE"""),"reddit.com")</f>
        <v>reddit.com</v>
      </c>
      <c r="D4" s="11" t="str">
        <f>IFERROR(__xludf.DUMMYFUNCTION("""COMPUTED_VALUE"""),"DISCUSSION")</f>
        <v>DISCUSSION</v>
      </c>
      <c r="E4" s="11" t="str">
        <f>IFERROR(__xludf.DUMMYFUNCTION("""COMPUTED_VALUE"""),"UGC")</f>
        <v>UGC</v>
      </c>
      <c r="F4" s="11" t="str">
        <f>IFERROR(__xludf.DUMMYFUNCTION("""COMPUTED_VALUE"""),"Discussion")</f>
        <v>Discussion</v>
      </c>
      <c r="G4" s="11" t="b">
        <f>IFERROR(__xludf.DUMMYFUNCTION("""COMPUTED_VALUE"""),FALSE)</f>
        <v>0</v>
      </c>
      <c r="H4" s="11" t="str">
        <f>IFERROR(__xludf.DUMMYFUNCTION("""COMPUTED_VALUE"""),"Smarketer, Peak Ace, Claneo")</f>
        <v>Smarketer, Peak Ace, Claneo</v>
      </c>
      <c r="I4" s="11">
        <f>IFERROR(__xludf.DUMMYFUNCTION("""COMPUTED_VALUE"""),7.0)</f>
        <v>7</v>
      </c>
      <c r="J4" s="11">
        <f>IFERROR(__xludf.DUMMYFUNCTION("""COMPUTED_VALUE"""),0.01)</f>
        <v>0.01</v>
      </c>
      <c r="K4" s="11">
        <f>IFERROR(__xludf.DUMMYFUNCTION("""COMPUTED_VALUE"""),3.0)</f>
        <v>3</v>
      </c>
    </row>
    <row r="5" ht="15.75" customHeight="1">
      <c r="A5" s="8" t="str">
        <f>IFERROR(__xludf.DUMMYFUNCTION("""COMPUTED_VALUE"""),"https://ziuma.com/Thread-Best-AI-Digital-Marketing-Agency-in-Germany-and-Beyond")</f>
        <v>https://ziuma.com/Thread-Best-AI-Digital-Marketing-Agency-in-Germany-and-Beyond</v>
      </c>
      <c r="B5" s="11" t="str">
        <f>IFERROR(__xludf.DUMMYFUNCTION("""COMPUTED_VALUE"""),"Best AI Digital Marketing Agency in Germany and Beyond")</f>
        <v>Best AI Digital Marketing Agency in Germany and Beyond</v>
      </c>
      <c r="C5" s="8" t="str">
        <f>IFERROR(__xludf.DUMMYFUNCTION("""COMPUTED_VALUE"""),"ziuma.com")</f>
        <v>ziuma.com</v>
      </c>
      <c r="D5" s="11" t="str">
        <f>IFERROR(__xludf.DUMMYFUNCTION("""COMPUTED_VALUE"""),"DISCUSSION")</f>
        <v>DISCUSSION</v>
      </c>
      <c r="E5" s="11" t="str">
        <f>IFERROR(__xludf.DUMMYFUNCTION("""COMPUTED_VALUE"""),"UGC")</f>
        <v>UGC</v>
      </c>
      <c r="F5" s="11" t="str">
        <f>IFERROR(__xludf.DUMMYFUNCTION("""COMPUTED_VALUE"""),"Discussion")</f>
        <v>Discussion</v>
      </c>
      <c r="G5" s="11" t="b">
        <f>IFERROR(__xludf.DUMMYFUNCTION("""COMPUTED_VALUE"""),FALSE)</f>
        <v>0</v>
      </c>
      <c r="H5" s="11" t="str">
        <f>IFERROR(__xludf.DUMMYFUNCTION("""COMPUTED_VALUE"""),"HikeMyTraffic")</f>
        <v>HikeMyTraffic</v>
      </c>
      <c r="I5" s="11">
        <f>IFERROR(__xludf.DUMMYFUNCTION("""COMPUTED_VALUE"""),7.0)</f>
        <v>7</v>
      </c>
      <c r="J5" s="11">
        <f>IFERROR(__xludf.DUMMYFUNCTION("""COMPUTED_VALUE"""),0.01)</f>
        <v>0.01</v>
      </c>
      <c r="K5" s="11">
        <f>IFERROR(__xludf.DUMMYFUNCTION("""COMPUTED_VALUE"""),0.0)</f>
        <v>0</v>
      </c>
    </row>
    <row r="6" ht="15.75" customHeight="1">
      <c r="A6" s="8" t="str">
        <f>IFERROR(__xludf.DUMMYFUNCTION("""COMPUTED_VALUE"""),"https://www.reddit.com/r/agency/comments/1ok212i/performance_marketing_incrementality/")</f>
        <v>https://www.reddit.com/r/agency/comments/1ok212i/performance_marketing_incrementality/</v>
      </c>
      <c r="B6" s="11" t="str">
        <f>IFERROR(__xludf.DUMMYFUNCTION("""COMPUTED_VALUE"""),"Performance Marketing Incrementality")</f>
        <v>Performance Marketing Incrementality</v>
      </c>
      <c r="C6" s="8" t="str">
        <f>IFERROR(__xludf.DUMMYFUNCTION("""COMPUTED_VALUE"""),"reddit.com")</f>
        <v>reddit.com</v>
      </c>
      <c r="D6" s="11" t="str">
        <f>IFERROR(__xludf.DUMMYFUNCTION("""COMPUTED_VALUE"""),"DISCUSSION")</f>
        <v>DISCUSSION</v>
      </c>
      <c r="E6" s="11" t="str">
        <f>IFERROR(__xludf.DUMMYFUNCTION("""COMPUTED_VALUE"""),"UGC")</f>
        <v>UGC</v>
      </c>
      <c r="F6" s="11" t="str">
        <f>IFERROR(__xludf.DUMMYFUNCTION("""COMPUTED_VALUE"""),"Discussion")</f>
        <v>Discussion</v>
      </c>
      <c r="G6" s="11" t="b">
        <f>IFERROR(__xludf.DUMMYFUNCTION("""COMPUTED_VALUE"""),FALSE)</f>
        <v>0</v>
      </c>
      <c r="H6" s="11" t="str">
        <f>IFERROR(__xludf.DUMMYFUNCTION("""COMPUTED_VALUE"""),"Haus, Measured, Recast")</f>
        <v>Haus, Measured, Recast</v>
      </c>
      <c r="I6" s="11">
        <f>IFERROR(__xludf.DUMMYFUNCTION("""COMPUTED_VALUE"""),4.0)</f>
        <v>4</v>
      </c>
      <c r="J6" s="11">
        <f>IFERROR(__xludf.DUMMYFUNCTION("""COMPUTED_VALUE"""),0.0)</f>
        <v>0</v>
      </c>
      <c r="K6" s="11">
        <f>IFERROR(__xludf.DUMMYFUNCTION("""COMPUTED_VALUE"""),1.5)</f>
        <v>1.5</v>
      </c>
    </row>
    <row r="7" ht="15.75" customHeight="1">
      <c r="A7" s="8" t="str">
        <f>IFERROR(__xludf.DUMMYFUNCTION("""COMPUTED_VALUE"""),"https://www.reddit.com/r/GenEngineOptimization/comments/1qab4rt/what_are_the_top_geo_agencies_and_what_softwares/")</f>
        <v>https://www.reddit.com/r/GenEngineOptimization/comments/1qab4rt/what_are_the_top_geo_agencies_and_what_softwares/</v>
      </c>
      <c r="B7" s="11" t="str">
        <f>IFERROR(__xludf.DUMMYFUNCTION("""COMPUTED_VALUE"""),"What are the top GEO Agencies and what softwares are they using?")</f>
        <v>What are the top GEO Agencies and what softwares are they using?</v>
      </c>
      <c r="C7" s="8" t="str">
        <f>IFERROR(__xludf.DUMMYFUNCTION("""COMPUTED_VALUE"""),"reddit.com")</f>
        <v>reddit.com</v>
      </c>
      <c r="D7" s="11" t="str">
        <f>IFERROR(__xludf.DUMMYFUNCTION("""COMPUTED_VALUE"""),"DISCUSSION")</f>
        <v>DISCUSSION</v>
      </c>
      <c r="E7" s="11" t="str">
        <f>IFERROR(__xludf.DUMMYFUNCTION("""COMPUTED_VALUE"""),"UGC")</f>
        <v>UGC</v>
      </c>
      <c r="F7" s="11" t="str">
        <f>IFERROR(__xludf.DUMMYFUNCTION("""COMPUTED_VALUE"""),"Discussion")</f>
        <v>Discussion</v>
      </c>
      <c r="G7" s="11" t="b">
        <f>IFERROR(__xludf.DUMMYFUNCTION("""COMPUTED_VALUE"""),FALSE)</f>
        <v>0</v>
      </c>
      <c r="H7" s="11" t="str">
        <f>IFERROR(__xludf.DUMMYFUNCTION("""COMPUTED_VALUE"""),"Claneo")</f>
        <v>Claneo</v>
      </c>
      <c r="I7" s="11">
        <f>IFERROR(__xludf.DUMMYFUNCTION("""COMPUTED_VALUE"""),3.0)</f>
        <v>3</v>
      </c>
      <c r="J7" s="11">
        <f>IFERROR(__xludf.DUMMYFUNCTION("""COMPUTED_VALUE"""),0.0)</f>
        <v>0</v>
      </c>
      <c r="K7" s="11">
        <f>IFERROR(__xludf.DUMMYFUNCTION("""COMPUTED_VALUE"""),2.0)</f>
        <v>2</v>
      </c>
    </row>
    <row r="8" ht="15.75" customHeight="1">
      <c r="A8" s="8" t="str">
        <f>IFERROR(__xludf.DUMMYFUNCTION("""COMPUTED_VALUE"""),"https://www.reddit.com/r/adtech/comments/1u5mwrq/measurement_source_of_truth/")</f>
        <v>https://www.reddit.com/r/adtech/comments/1u5mwrq/measurement_source_of_truth/</v>
      </c>
      <c r="B8" s="11" t="str">
        <f>IFERROR(__xludf.DUMMYFUNCTION("""COMPUTED_VALUE"""),"Measurement source of truth")</f>
        <v>Measurement source of truth</v>
      </c>
      <c r="C8" s="8" t="str">
        <f>IFERROR(__xludf.DUMMYFUNCTION("""COMPUTED_VALUE"""),"reddit.com")</f>
        <v>reddit.com</v>
      </c>
      <c r="D8" s="11" t="str">
        <f>IFERROR(__xludf.DUMMYFUNCTION("""COMPUTED_VALUE"""),"DISCUSSION")</f>
        <v>DISCUSSION</v>
      </c>
      <c r="E8" s="11" t="str">
        <f>IFERROR(__xludf.DUMMYFUNCTION("""COMPUTED_VALUE"""),"UGC")</f>
        <v>UGC</v>
      </c>
      <c r="F8" s="11" t="str">
        <f>IFERROR(__xludf.DUMMYFUNCTION("""COMPUTED_VALUE"""),"Discussion")</f>
        <v>Discussion</v>
      </c>
      <c r="G8" s="11" t="b">
        <f>IFERROR(__xludf.DUMMYFUNCTION("""COMPUTED_VALUE"""),FALSE)</f>
        <v>0</v>
      </c>
      <c r="H8" s="11" t="str">
        <f>IFERROR(__xludf.DUMMYFUNCTION("""COMPUTED_VALUE"""),"LifeSight, Dreamdata")</f>
        <v>LifeSight, Dreamdata</v>
      </c>
      <c r="I8" s="11">
        <f>IFERROR(__xludf.DUMMYFUNCTION("""COMPUTED_VALUE"""),3.0)</f>
        <v>3</v>
      </c>
      <c r="J8" s="11">
        <f>IFERROR(__xludf.DUMMYFUNCTION("""COMPUTED_VALUE"""),0.0)</f>
        <v>0</v>
      </c>
      <c r="K8" s="11">
        <f>IFERROR(__xludf.DUMMYFUNCTION("""COMPUTED_VALUE"""),1.67)</f>
        <v>1.67</v>
      </c>
    </row>
    <row r="9" ht="15.75" customHeight="1">
      <c r="A9" s="8" t="str">
        <f>IFERROR(__xludf.DUMMYFUNCTION("""COMPUTED_VALUE"""),"https://www.reddit.com/r/programmatic/comments/1nzh99f")</f>
        <v>https://www.reddit.com/r/programmatic/comments/1nzh99f</v>
      </c>
      <c r="B9" s="11" t="str">
        <f>IFERROR(__xludf.DUMMYFUNCTION("""COMPUTED_VALUE"""),"Looking for reliable German publishers for programmatic display — any recommendations?")</f>
        <v>Looking for reliable German publishers for programmatic display — any recommendations?</v>
      </c>
      <c r="C9" s="8" t="str">
        <f>IFERROR(__xludf.DUMMYFUNCTION("""COMPUTED_VALUE"""),"reddit.com")</f>
        <v>reddit.com</v>
      </c>
      <c r="D9" s="11" t="str">
        <f>IFERROR(__xludf.DUMMYFUNCTION("""COMPUTED_VALUE"""),"DISCUSSION")</f>
        <v>DISCUSSION</v>
      </c>
      <c r="E9" s="11" t="str">
        <f>IFERROR(__xludf.DUMMYFUNCTION("""COMPUTED_VALUE"""),"UGC")</f>
        <v>UGC</v>
      </c>
      <c r="F9" s="11" t="str">
        <f>IFERROR(__xludf.DUMMYFUNCTION("""COMPUTED_VALUE"""),"Discussion")</f>
        <v>Discussion</v>
      </c>
      <c r="G9" s="11" t="b">
        <f>IFERROR(__xludf.DUMMYFUNCTION("""COMPUTED_VALUE"""),FALSE)</f>
        <v>0</v>
      </c>
      <c r="H9" s="11"/>
      <c r="I9" s="11">
        <f>IFERROR(__xludf.DUMMYFUNCTION("""COMPUTED_VALUE"""),3.0)</f>
        <v>3</v>
      </c>
      <c r="J9" s="11">
        <f>IFERROR(__xludf.DUMMYFUNCTION("""COMPUTED_VALUE"""),0.0)</f>
        <v>0</v>
      </c>
      <c r="K9" s="11">
        <f>IFERROR(__xludf.DUMMYFUNCTION("""COMPUTED_VALUE"""),1.67)</f>
        <v>1.67</v>
      </c>
    </row>
    <row r="10" ht="15.75" customHeight="1">
      <c r="A10" s="8" t="str">
        <f>IFERROR(__xludf.DUMMYFUNCTION("""COMPUTED_VALUE"""),"https://www.linkedin.com/posts/landwehr_most-seo-agencies-are-now-geo-agencies-activity-7440030279630680064-yR88")</f>
        <v>https://www.linkedin.com/posts/landwehr_most-seo-agencies-are-now-geo-agencies-activity-7440030279630680064-yR88</v>
      </c>
      <c r="B10" s="11" t="str">
        <f>IFERROR(__xludf.DUMMYFUNCTION("""COMPUTED_VALUE"""),"Most SEO agencies are now GEO agencies. iBusiness recently published a list of the top 100 SEO agencies in Germany. The ranking included - self-reported - focus areas. ➡️ 84% of SEO agencies now… | Malte Landwehr | 28 comments")</f>
        <v>Most SEO agencies are now GEO agencies. iBusiness recently published a list of the top 100 SEO agencies in Germany. The ranking included - self-reported - focus areas. ➡️ 84% of SEO agencies now… | Malte Landwehr | 28 comments</v>
      </c>
      <c r="C10" s="8" t="str">
        <f>IFERROR(__xludf.DUMMYFUNCTION("""COMPUTED_VALUE"""),"linkedin.com")</f>
        <v>linkedin.com</v>
      </c>
      <c r="D10" s="11" t="str">
        <f>IFERROR(__xludf.DUMMYFUNCTION("""COMPUTED_VALUE"""),"DISCUSSION")</f>
        <v>DISCUSSION</v>
      </c>
      <c r="E10" s="11" t="str">
        <f>IFERROR(__xludf.DUMMYFUNCTION("""COMPUTED_VALUE"""),"UGC")</f>
        <v>UGC</v>
      </c>
      <c r="F10" s="11" t="str">
        <f>IFERROR(__xludf.DUMMYFUNCTION("""COMPUTED_VALUE"""),"Discussion")</f>
        <v>Discussion</v>
      </c>
      <c r="G10" s="11" t="b">
        <f>IFERROR(__xludf.DUMMYFUNCTION("""COMPUTED_VALUE"""),FALSE)</f>
        <v>0</v>
      </c>
      <c r="H10" s="11"/>
      <c r="I10" s="11">
        <f>IFERROR(__xludf.DUMMYFUNCTION("""COMPUTED_VALUE"""),2.0)</f>
        <v>2</v>
      </c>
      <c r="J10" s="11">
        <f>IFERROR(__xludf.DUMMYFUNCTION("""COMPUTED_VALUE"""),0.0)</f>
        <v>0</v>
      </c>
      <c r="K10" s="11">
        <f>IFERROR(__xludf.DUMMYFUNCTION("""COMPUTED_VALUE"""),1.0)</f>
        <v>1</v>
      </c>
    </row>
    <row r="11" ht="15.75" customHeight="1">
      <c r="A11" s="8" t="str">
        <f>IFERROR(__xludf.DUMMYFUNCTION("""COMPUTED_VALUE"""),"https://www.reddit.com/r/GermanCompanies/comments/1rfxt68/top_10_ai_agencies_in_germany_2026/")</f>
        <v>https://www.reddit.com/r/GermanCompanies/comments/1rfxt68/top_10_ai_agencies_in_germany_2026/</v>
      </c>
      <c r="B11" s="11"/>
      <c r="C11" s="8" t="str">
        <f>IFERROR(__xludf.DUMMYFUNCTION("""COMPUTED_VALUE"""),"reddit.com")</f>
        <v>reddit.com</v>
      </c>
      <c r="D11" s="11" t="str">
        <f>IFERROR(__xludf.DUMMYFUNCTION("""COMPUTED_VALUE"""),"DISCUSSION")</f>
        <v>DISCUSSION</v>
      </c>
      <c r="E11" s="11" t="str">
        <f>IFERROR(__xludf.DUMMYFUNCTION("""COMPUTED_VALUE"""),"UGC")</f>
        <v>UGC</v>
      </c>
      <c r="F11" s="11" t="str">
        <f>IFERROR(__xludf.DUMMYFUNCTION("""COMPUTED_VALUE"""),"Discussion")</f>
        <v>Discussion</v>
      </c>
      <c r="G11" s="11"/>
      <c r="H11" s="11" t="str">
        <f>IFERROR(__xludf.DUMMYFUNCTION("""COMPUTED_VALUE"""),"Unknown")</f>
        <v>Unknown</v>
      </c>
      <c r="I11" s="11">
        <f>IFERROR(__xludf.DUMMYFUNCTION("""COMPUTED_VALUE"""),2.0)</f>
        <v>2</v>
      </c>
      <c r="J11" s="11">
        <f>IFERROR(__xludf.DUMMYFUNCTION("""COMPUTED_VALUE"""),0.0)</f>
        <v>0</v>
      </c>
      <c r="K11" s="11">
        <f>IFERROR(__xludf.DUMMYFUNCTION("""COMPUTED_VALUE"""),2.5)</f>
        <v>2.5</v>
      </c>
    </row>
    <row r="12" ht="15.75" customHeight="1">
      <c r="A12" s="8" t="str">
        <f>IFERROR(__xludf.DUMMYFUNCTION("""COMPUTED_VALUE"""),"https://www.reddit.com/r/PPC/comments/1tkc7rr/which_ppc_agencies_are_actually_considered_the/")</f>
        <v>https://www.reddit.com/r/PPC/comments/1tkc7rr/which_ppc_agencies_are_actually_considered_the/</v>
      </c>
      <c r="B12" s="11" t="str">
        <f>IFERROR(__xludf.DUMMYFUNCTION("""COMPUTED_VALUE"""),"Which PPC agencies are actually considered the best right now?")</f>
        <v>Which PPC agencies are actually considered the best right now?</v>
      </c>
      <c r="C12" s="8" t="str">
        <f>IFERROR(__xludf.DUMMYFUNCTION("""COMPUTED_VALUE"""),"reddit.com")</f>
        <v>reddit.com</v>
      </c>
      <c r="D12" s="11" t="str">
        <f>IFERROR(__xludf.DUMMYFUNCTION("""COMPUTED_VALUE"""),"DISCUSSION")</f>
        <v>DISCUSSION</v>
      </c>
      <c r="E12" s="11" t="str">
        <f>IFERROR(__xludf.DUMMYFUNCTION("""COMPUTED_VALUE"""),"UGC")</f>
        <v>UGC</v>
      </c>
      <c r="F12" s="11" t="str">
        <f>IFERROR(__xludf.DUMMYFUNCTION("""COMPUTED_VALUE"""),"Discussion")</f>
        <v>Discussion</v>
      </c>
      <c r="G12" s="11" t="b">
        <f>IFERROR(__xludf.DUMMYFUNCTION("""COMPUTED_VALUE"""),FALSE)</f>
        <v>0</v>
      </c>
      <c r="H12" s="11" t="str">
        <f>IFERROR(__xludf.DUMMYFUNCTION("""COMPUTED_VALUE"""),"Dentsu, Measured, WPP, Omnicom")</f>
        <v>Dentsu, Measured, WPP, Omnicom</v>
      </c>
      <c r="I12" s="11">
        <f>IFERROR(__xludf.DUMMYFUNCTION("""COMPUTED_VALUE"""),2.0)</f>
        <v>2</v>
      </c>
      <c r="J12" s="11">
        <f>IFERROR(__xludf.DUMMYFUNCTION("""COMPUTED_VALUE"""),0.0)</f>
        <v>0</v>
      </c>
      <c r="K12" s="11">
        <f>IFERROR(__xludf.DUMMYFUNCTION("""COMPUTED_VALUE"""),1.5)</f>
        <v>1.5</v>
      </c>
    </row>
    <row r="13" ht="15.75" customHeight="1">
      <c r="A13" s="8" t="str">
        <f>IFERROR(__xludf.DUMMYFUNCTION("""COMPUTED_VALUE"""),"https://www.reddit.com/r/aeo/comments/1twcbr2/best_aeo_agency_guide_what_to_look_for_in_an/")</f>
        <v>https://www.reddit.com/r/aeo/comments/1twcbr2/best_aeo_agency_guide_what_to_look_for_in_an/</v>
      </c>
      <c r="B13" s="11" t="str">
        <f>IFERROR(__xludf.DUMMYFUNCTION("""COMPUTED_VALUE"""),"Best AEO Agency Guide What to Look for in an Answer Engine Partner?")</f>
        <v>Best AEO Agency Guide What to Look for in an Answer Engine Partner?</v>
      </c>
      <c r="C13" s="8" t="str">
        <f>IFERROR(__xludf.DUMMYFUNCTION("""COMPUTED_VALUE"""),"reddit.com")</f>
        <v>reddit.com</v>
      </c>
      <c r="D13" s="11" t="str">
        <f>IFERROR(__xludf.DUMMYFUNCTION("""COMPUTED_VALUE"""),"DISCUSSION")</f>
        <v>DISCUSSION</v>
      </c>
      <c r="E13" s="11" t="str">
        <f>IFERROR(__xludf.DUMMYFUNCTION("""COMPUTED_VALUE"""),"UGC")</f>
        <v>UGC</v>
      </c>
      <c r="F13" s="11" t="str">
        <f>IFERROR(__xludf.DUMMYFUNCTION("""COMPUTED_VALUE"""),"Discussion")</f>
        <v>Discussion</v>
      </c>
      <c r="G13" s="11" t="b">
        <f>IFERROR(__xludf.DUMMYFUNCTION("""COMPUTED_VALUE"""),FALSE)</f>
        <v>0</v>
      </c>
      <c r="H13" s="11" t="str">
        <f>IFERROR(__xludf.DUMMYFUNCTION("""COMPUTED_VALUE"""),"Huge")</f>
        <v>Huge</v>
      </c>
      <c r="I13" s="11">
        <f>IFERROR(__xludf.DUMMYFUNCTION("""COMPUTED_VALUE"""),2.0)</f>
        <v>2</v>
      </c>
      <c r="J13" s="11">
        <f>IFERROR(__xludf.DUMMYFUNCTION("""COMPUTED_VALUE"""),0.0)</f>
        <v>0</v>
      </c>
      <c r="K13" s="11">
        <f>IFERROR(__xludf.DUMMYFUNCTION("""COMPUTED_VALUE"""),2.0)</f>
        <v>2</v>
      </c>
    </row>
    <row r="14" ht="15.75" customHeight="1">
      <c r="A14" s="8" t="str">
        <f>IFERROR(__xludf.DUMMYFUNCTION("""COMPUTED_VALUE"""),"https://www.linkedin.com/posts/incrmntal_incrementality-martech-measurement-activity-7458138781590683648-ubwV")</f>
        <v>https://www.linkedin.com/posts/incrmntal_incrementality-martech-measurement-activity-7458138781590683648-ubwV</v>
      </c>
      <c r="B14" s="11" t="str">
        <f>IFERROR(__xludf.DUMMYFUNCTION("""COMPUTED_VALUE"""),"INCRMNTAL acquired by Smartly, closes marketing loop | INCRMNTAL posted on the topic | LinkedIn")</f>
        <v>INCRMNTAL acquired by Smartly, closes marketing loop | INCRMNTAL posted on the topic | LinkedIn</v>
      </c>
      <c r="C14" s="8" t="str">
        <f>IFERROR(__xludf.DUMMYFUNCTION("""COMPUTED_VALUE"""),"linkedin.com")</f>
        <v>linkedin.com</v>
      </c>
      <c r="D14" s="11" t="str">
        <f>IFERROR(__xludf.DUMMYFUNCTION("""COMPUTED_VALUE"""),"DISCUSSION")</f>
        <v>DISCUSSION</v>
      </c>
      <c r="E14" s="11" t="str">
        <f>IFERROR(__xludf.DUMMYFUNCTION("""COMPUTED_VALUE"""),"UGC")</f>
        <v>UGC</v>
      </c>
      <c r="F14" s="11" t="str">
        <f>IFERROR(__xludf.DUMMYFUNCTION("""COMPUTED_VALUE"""),"Discussion")</f>
        <v>Discussion</v>
      </c>
      <c r="G14" s="11" t="b">
        <f>IFERROR(__xludf.DUMMYFUNCTION("""COMPUTED_VALUE"""),FALSE)</f>
        <v>0</v>
      </c>
      <c r="H14" s="11" t="str">
        <f>IFERROR(__xludf.DUMMYFUNCTION("""COMPUTED_VALUE"""),"INCRMNTAL, Huge, Momentum")</f>
        <v>INCRMNTAL, Huge, Momentum</v>
      </c>
      <c r="I14" s="11">
        <f>IFERROR(__xludf.DUMMYFUNCTION("""COMPUTED_VALUE"""),1.0)</f>
        <v>1</v>
      </c>
      <c r="J14" s="11">
        <f>IFERROR(__xludf.DUMMYFUNCTION("""COMPUTED_VALUE"""),0.0)</f>
        <v>0</v>
      </c>
      <c r="K14" s="11">
        <f>IFERROR(__xludf.DUMMYFUNCTION("""COMPUTED_VALUE"""),1.0)</f>
        <v>1</v>
      </c>
    </row>
    <row r="15" ht="15.75" customHeight="1">
      <c r="A15" s="8" t="str">
        <f>IFERROR(__xludf.DUMMYFUNCTION("""COMPUTED_VALUE"""),"https://www.linkedin.com/posts/karthik-banda-b8bb53246_digitalmarketing-marketingagencies-advertising-activity-7404477675702083584-oyVa")</f>
        <v>https://www.linkedin.com/posts/karthik-banda-b8bb53246_digitalmarketing-marketingagencies-advertising-activity-7404477675702083584-oyVa</v>
      </c>
      <c r="B15" s="11" t="str">
        <f>IFERROR(__xludf.DUMMYFUNCTION("""COMPUTED_VALUE"""),"The Big 4 Agencies in Digital Marketing | Karthik Banda")</f>
        <v>The Big 4 Agencies in Digital Marketing | Karthik Banda</v>
      </c>
      <c r="C15" s="8" t="str">
        <f>IFERROR(__xludf.DUMMYFUNCTION("""COMPUTED_VALUE"""),"linkedin.com")</f>
        <v>linkedin.com</v>
      </c>
      <c r="D15" s="11" t="str">
        <f>IFERROR(__xludf.DUMMYFUNCTION("""COMPUTED_VALUE"""),"DISCUSSION")</f>
        <v>DISCUSSION</v>
      </c>
      <c r="E15" s="11" t="str">
        <f>IFERROR(__xludf.DUMMYFUNCTION("""COMPUTED_VALUE"""),"UGC")</f>
        <v>UGC</v>
      </c>
      <c r="F15" s="11" t="str">
        <f>IFERROR(__xludf.DUMMYFUNCTION("""COMPUTED_VALUE"""),"Discussion")</f>
        <v>Discussion</v>
      </c>
      <c r="G15" s="11" t="b">
        <f>IFERROR(__xludf.DUMMYFUNCTION("""COMPUTED_VALUE"""),FALSE)</f>
        <v>0</v>
      </c>
      <c r="H15" s="11" t="str">
        <f>IFERROR(__xludf.DUMMYFUNCTION("""COMPUTED_VALUE"""),"WPP, Omnicom, Publicis Groupe")</f>
        <v>WPP, Omnicom, Publicis Groupe</v>
      </c>
      <c r="I15" s="11">
        <f>IFERROR(__xludf.DUMMYFUNCTION("""COMPUTED_VALUE"""),1.0)</f>
        <v>1</v>
      </c>
      <c r="J15" s="11">
        <f>IFERROR(__xludf.DUMMYFUNCTION("""COMPUTED_VALUE"""),0.0)</f>
        <v>0</v>
      </c>
      <c r="K15" s="11">
        <f>IFERROR(__xludf.DUMMYFUNCTION("""COMPUTED_VALUE"""),1.0)</f>
        <v>1</v>
      </c>
    </row>
    <row r="16" ht="15.75" customHeight="1">
      <c r="A16" s="8" t="str">
        <f>IFERROR(__xludf.DUMMYFUNCTION("""COMPUTED_VALUE"""),"https://www.linkedin.com/posts/s360digital_s360-is-the-first-partner-in-northern-europe-activity-7447540211539931137-Y8GK")</f>
        <v>https://www.linkedin.com/posts/s360digital_s360-is-the-first-partner-in-northern-europe-activity-7447540211539931137-Y8GK</v>
      </c>
      <c r="B16" s="11" t="str">
        <f>IFERROR(__xludf.DUMMYFUNCTION("""COMPUTED_VALUE"""),"s360 is the first partner in Northern Europe to achieve Google’s Test &amp;amp; Experiments Certification 🙌 What does that actually mean for our clients? It means better answers to one of the biggest… | s360")</f>
        <v>s360 is the first partner in Northern Europe to achieve Google’s Test &amp;amp; Experiments Certification 🙌 What does that actually mean for our clients? It means better answers to one of the biggest… | s360</v>
      </c>
      <c r="C16" s="8" t="str">
        <f>IFERROR(__xludf.DUMMYFUNCTION("""COMPUTED_VALUE"""),"linkedin.com")</f>
        <v>linkedin.com</v>
      </c>
      <c r="D16" s="11" t="str">
        <f>IFERROR(__xludf.DUMMYFUNCTION("""COMPUTED_VALUE"""),"DISCUSSION")</f>
        <v>DISCUSSION</v>
      </c>
      <c r="E16" s="11" t="str">
        <f>IFERROR(__xludf.DUMMYFUNCTION("""COMPUTED_VALUE"""),"UGC")</f>
        <v>UGC</v>
      </c>
      <c r="F16" s="11" t="str">
        <f>IFERROR(__xludf.DUMMYFUNCTION("""COMPUTED_VALUE"""),"Discussion")</f>
        <v>Discussion</v>
      </c>
      <c r="G16" s="11" t="b">
        <f>IFERROR(__xludf.DUMMYFUNCTION("""COMPUTED_VALUE"""),FALSE)</f>
        <v>0</v>
      </c>
      <c r="H16" s="11" t="str">
        <f>IFERROR(__xludf.DUMMYFUNCTION("""COMPUTED_VALUE"""),"s360, Adswerve, Huge")</f>
        <v>s360, Adswerve, Huge</v>
      </c>
      <c r="I16" s="11">
        <f>IFERROR(__xludf.DUMMYFUNCTION("""COMPUTED_VALUE"""),1.0)</f>
        <v>1</v>
      </c>
      <c r="J16" s="11">
        <f>IFERROR(__xludf.DUMMYFUNCTION("""COMPUTED_VALUE"""),0.0)</f>
        <v>0</v>
      </c>
      <c r="K16" s="11">
        <f>IFERROR(__xludf.DUMMYFUNCTION("""COMPUTED_VALUE"""),1.0)</f>
        <v>1</v>
      </c>
    </row>
    <row r="17" ht="15.75" customHeight="1">
      <c r="A17" s="8" t="str">
        <f>IFERROR(__xludf.DUMMYFUNCTION("""COMPUTED_VALUE"""),"https://www.linkedin.com/posts/trkkn_were-proud-to-announce-that-trkkn-has-activity-7396834763552018432-MyUH")</f>
        <v>https://www.linkedin.com/posts/trkkn_were-proud-to-announce-that-trkkn-has-activity-7396834763552018432-MyUH</v>
      </c>
      <c r="B17" s="11" t="str">
        <f>IFERROR(__xludf.DUMMYFUNCTION("""COMPUTED_VALUE"""),"We’re proud to announce 🔊 that TRKKN has become Google’s first certified Test &amp;amp; Experiment (T&amp;amp;E) Partner in the DACH region ⭐, as part of Google’s new pilot certification program for media… | TRKKN")</f>
        <v>We’re proud to announce 🔊 that TRKKN has become Google’s first certified Test &amp;amp; Experiment (T&amp;amp;E) Partner in the DACH region ⭐, as part of Google’s new pilot certification program for media… | TRKKN</v>
      </c>
      <c r="C17" s="8" t="str">
        <f>IFERROR(__xludf.DUMMYFUNCTION("""COMPUTED_VALUE"""),"linkedin.com")</f>
        <v>linkedin.com</v>
      </c>
      <c r="D17" s="11" t="str">
        <f>IFERROR(__xludf.DUMMYFUNCTION("""COMPUTED_VALUE"""),"DISCUSSION")</f>
        <v>DISCUSSION</v>
      </c>
      <c r="E17" s="11" t="str">
        <f>IFERROR(__xludf.DUMMYFUNCTION("""COMPUTED_VALUE"""),"UGC")</f>
        <v>UGC</v>
      </c>
      <c r="F17" s="11" t="str">
        <f>IFERROR(__xludf.DUMMYFUNCTION("""COMPUTED_VALUE"""),"Discussion")</f>
        <v>Discussion</v>
      </c>
      <c r="G17" s="11" t="b">
        <f>IFERROR(__xludf.DUMMYFUNCTION("""COMPUTED_VALUE"""),FALSE)</f>
        <v>0</v>
      </c>
      <c r="H17" s="11" t="str">
        <f>IFERROR(__xludf.DUMMYFUNCTION("""COMPUTED_VALUE"""),"Pilot, Measured")</f>
        <v>Pilot, Measured</v>
      </c>
      <c r="I17" s="11">
        <f>IFERROR(__xludf.DUMMYFUNCTION("""COMPUTED_VALUE"""),1.0)</f>
        <v>1</v>
      </c>
      <c r="J17" s="11">
        <f>IFERROR(__xludf.DUMMYFUNCTION("""COMPUTED_VALUE"""),0.0)</f>
        <v>0</v>
      </c>
      <c r="K17" s="11">
        <f>IFERROR(__xludf.DUMMYFUNCTION("""COMPUTED_VALUE"""),0.0)</f>
        <v>0</v>
      </c>
    </row>
    <row r="18" ht="15.75" customHeight="1">
      <c r="A18" s="8" t="str">
        <f>IFERROR(__xludf.DUMMYFUNCTION("""COMPUTED_VALUE"""),"https://www.quora.com/What-are-Berlins-best-creative-agencies-in-advertising-digital-and-production")</f>
        <v>https://www.quora.com/What-are-Berlins-best-creative-agencies-in-advertising-digital-and-production</v>
      </c>
      <c r="B18" s="11"/>
      <c r="C18" s="8" t="str">
        <f>IFERROR(__xludf.DUMMYFUNCTION("""COMPUTED_VALUE"""),"quora.com")</f>
        <v>quora.com</v>
      </c>
      <c r="D18" s="11" t="str">
        <f>IFERROR(__xludf.DUMMYFUNCTION("""COMPUTED_VALUE"""),"DISCUSSION")</f>
        <v>DISCUSSION</v>
      </c>
      <c r="E18" s="11" t="str">
        <f>IFERROR(__xludf.DUMMYFUNCTION("""COMPUTED_VALUE"""),"UGC")</f>
        <v>UGC</v>
      </c>
      <c r="F18" s="11" t="str">
        <f>IFERROR(__xludf.DUMMYFUNCTION("""COMPUTED_VALUE"""),"Discussion")</f>
        <v>Discussion</v>
      </c>
      <c r="G18" s="11" t="b">
        <f>IFERROR(__xludf.DUMMYFUNCTION("""COMPUTED_VALUE"""),FALSE)</f>
        <v>0</v>
      </c>
      <c r="H18" s="11" t="str">
        <f>IFERROR(__xludf.DUMMYFUNCTION("""COMPUTED_VALUE"""),"Huge, Jung von Matt, Scholz &amp; Friends, AKQA, Ogilvy")</f>
        <v>Huge, Jung von Matt, Scholz &amp; Friends, AKQA, Ogilvy</v>
      </c>
      <c r="I18" s="11">
        <f>IFERROR(__xludf.DUMMYFUNCTION("""COMPUTED_VALUE"""),1.0)</f>
        <v>1</v>
      </c>
      <c r="J18" s="11">
        <f>IFERROR(__xludf.DUMMYFUNCTION("""COMPUTED_VALUE"""),0.0)</f>
        <v>0</v>
      </c>
      <c r="K18" s="11">
        <f>IFERROR(__xludf.DUMMYFUNCTION("""COMPUTED_VALUE"""),1.0)</f>
        <v>1</v>
      </c>
    </row>
    <row r="19" ht="15.75" customHeight="1">
      <c r="A19" s="8" t="str">
        <f>IFERROR(__xludf.DUMMYFUNCTION("""COMPUTED_VALUE"""),"https://www.reddit.com/r/DigitalMarketing/comments/1tdo237/which_performance_marketing_agencies_specialize/")</f>
        <v>https://www.reddit.com/r/DigitalMarketing/comments/1tdo237/which_performance_marketing_agencies_specialize/</v>
      </c>
      <c r="B19" s="11" t="str">
        <f>IFERROR(__xludf.DUMMYFUNCTION("""COMPUTED_VALUE"""),"Which performance marketing agencies specialize in driving measurable leads and revenue, not just traffic?")</f>
        <v>Which performance marketing agencies specialize in driving measurable leads and revenue, not just traffic?</v>
      </c>
      <c r="C19" s="8" t="str">
        <f>IFERROR(__xludf.DUMMYFUNCTION("""COMPUTED_VALUE"""),"reddit.com")</f>
        <v>reddit.com</v>
      </c>
      <c r="D19" s="11" t="str">
        <f>IFERROR(__xludf.DUMMYFUNCTION("""COMPUTED_VALUE"""),"DISCUSSION")</f>
        <v>DISCUSSION</v>
      </c>
      <c r="E19" s="11" t="str">
        <f>IFERROR(__xludf.DUMMYFUNCTION("""COMPUTED_VALUE"""),"UGC")</f>
        <v>UGC</v>
      </c>
      <c r="F19" s="11" t="str">
        <f>IFERROR(__xludf.DUMMYFUNCTION("""COMPUTED_VALUE"""),"Discussion")</f>
        <v>Discussion</v>
      </c>
      <c r="G19" s="11" t="b">
        <f>IFERROR(__xludf.DUMMYFUNCTION("""COMPUTED_VALUE"""),FALSE)</f>
        <v>0</v>
      </c>
      <c r="H19" s="11"/>
      <c r="I19" s="11">
        <f>IFERROR(__xludf.DUMMYFUNCTION("""COMPUTED_VALUE"""),1.0)</f>
        <v>1</v>
      </c>
      <c r="J19" s="11">
        <f>IFERROR(__xludf.DUMMYFUNCTION("""COMPUTED_VALUE"""),0.0)</f>
        <v>0</v>
      </c>
      <c r="K19" s="11">
        <f>IFERROR(__xludf.DUMMYFUNCTION("""COMPUTED_VALUE"""),3.0)</f>
        <v>3</v>
      </c>
    </row>
    <row r="20" ht="15.75" customHeight="1">
      <c r="A20" s="8" t="str">
        <f>IFERROR(__xludf.DUMMYFUNCTION("""COMPUTED_VALUE"""),"https://www.reddit.com/r/DigitalMarketing/comments/1tn7zll/which_digital_marketing_agencies_are_best_at/")</f>
        <v>https://www.reddit.com/r/DigitalMarketing/comments/1tn7zll/which_digital_marketing_agencies_are_best_at/</v>
      </c>
      <c r="B20" s="11" t="str">
        <f>IFERROR(__xludf.DUMMYFUNCTION("""COMPUTED_VALUE"""),"Which digital marketing agencies are best at helping brands show up in AI assistants like ChatGPT and Perplexity?")</f>
        <v>Which digital marketing agencies are best at helping brands show up in AI assistants like ChatGPT and Perplexity?</v>
      </c>
      <c r="C20" s="8" t="str">
        <f>IFERROR(__xludf.DUMMYFUNCTION("""COMPUTED_VALUE"""),"reddit.com")</f>
        <v>reddit.com</v>
      </c>
      <c r="D20" s="11" t="str">
        <f>IFERROR(__xludf.DUMMYFUNCTION("""COMPUTED_VALUE"""),"DISCUSSION")</f>
        <v>DISCUSSION</v>
      </c>
      <c r="E20" s="11" t="str">
        <f>IFERROR(__xludf.DUMMYFUNCTION("""COMPUTED_VALUE"""),"UGC")</f>
        <v>UGC</v>
      </c>
      <c r="F20" s="11" t="str">
        <f>IFERROR(__xludf.DUMMYFUNCTION("""COMPUTED_VALUE"""),"Discussion")</f>
        <v>Discussion</v>
      </c>
      <c r="G20" s="11" t="b">
        <f>IFERROR(__xludf.DUMMYFUNCTION("""COMPUTED_VALUE"""),FALSE)</f>
        <v>0</v>
      </c>
      <c r="H20" s="11" t="str">
        <f>IFERROR(__xludf.DUMMYFUNCTION("""COMPUTED_VALUE"""),"Huge, NoGood, Omniscient Digital, Siege Media")</f>
        <v>Huge, NoGood, Omniscient Digital, Siege Media</v>
      </c>
      <c r="I20" s="11">
        <f>IFERROR(__xludf.DUMMYFUNCTION("""COMPUTED_VALUE"""),1.0)</f>
        <v>1</v>
      </c>
      <c r="J20" s="11">
        <f>IFERROR(__xludf.DUMMYFUNCTION("""COMPUTED_VALUE"""),0.0)</f>
        <v>0</v>
      </c>
      <c r="K20" s="11">
        <f>IFERROR(__xludf.DUMMYFUNCTION("""COMPUTED_VALUE"""),2.0)</f>
        <v>2</v>
      </c>
    </row>
    <row r="21" ht="15.75" customHeight="1">
      <c r="A21" s="8" t="str">
        <f>IFERROR(__xludf.DUMMYFUNCTION("""COMPUTED_VALUE"""),"https://www.reddit.com/r/LLMTraffic/comments/1t44tn7/which_geo_marketing_agencies_are_actually_worth/")</f>
        <v>https://www.reddit.com/r/LLMTraffic/comments/1t44tn7/which_geo_marketing_agencies_are_actually_worth/</v>
      </c>
      <c r="B21" s="11" t="str">
        <f>IFERROR(__xludf.DUMMYFUNCTION("""COMPUTED_VALUE"""),"Which ""GEO marketing"" agencies are actually worth talking to?")</f>
        <v>Which "GEO marketing" agencies are actually worth talking to?</v>
      </c>
      <c r="C21" s="8" t="str">
        <f>IFERROR(__xludf.DUMMYFUNCTION("""COMPUTED_VALUE"""),"reddit.com")</f>
        <v>reddit.com</v>
      </c>
      <c r="D21" s="11" t="str">
        <f>IFERROR(__xludf.DUMMYFUNCTION("""COMPUTED_VALUE"""),"DISCUSSION")</f>
        <v>DISCUSSION</v>
      </c>
      <c r="E21" s="11" t="str">
        <f>IFERROR(__xludf.DUMMYFUNCTION("""COMPUTED_VALUE"""),"UGC")</f>
        <v>UGC</v>
      </c>
      <c r="F21" s="11" t="str">
        <f>IFERROR(__xludf.DUMMYFUNCTION("""COMPUTED_VALUE"""),"Discussion")</f>
        <v>Discussion</v>
      </c>
      <c r="G21" s="11" t="b">
        <f>IFERROR(__xludf.DUMMYFUNCTION("""COMPUTED_VALUE"""),FALSE)</f>
        <v>0</v>
      </c>
      <c r="H21" s="11" t="str">
        <f>IFERROR(__xludf.DUMMYFUNCTION("""COMPUTED_VALUE"""),"Measured")</f>
        <v>Measured</v>
      </c>
      <c r="I21" s="11">
        <f>IFERROR(__xludf.DUMMYFUNCTION("""COMPUTED_VALUE"""),1.0)</f>
        <v>1</v>
      </c>
      <c r="J21" s="11">
        <f>IFERROR(__xludf.DUMMYFUNCTION("""COMPUTED_VALUE"""),0.0)</f>
        <v>0</v>
      </c>
      <c r="K21" s="11">
        <f>IFERROR(__xludf.DUMMYFUNCTION("""COMPUTED_VALUE"""),2.0)</f>
        <v>2</v>
      </c>
    </row>
    <row r="22" ht="15.75" customHeight="1">
      <c r="A22" s="8" t="str">
        <f>IFERROR(__xludf.DUMMYFUNCTION("""COMPUTED_VALUE"""),"https://www.reddit.com/r/Topagencies/comments/1spi6ov/top_ppc_agencies_in_berlin_packages_pricing_cost/")</f>
        <v>https://www.reddit.com/r/Topagencies/comments/1spi6ov/top_ppc_agencies_in_berlin_packages_pricing_cost/</v>
      </c>
      <c r="B22" s="11" t="str">
        <f>IFERROR(__xludf.DUMMYFUNCTION("""COMPUTED_VALUE"""),"Top PPC Agencies in Berlin — Packages, Pricing, Cost &amp;amp; Services Guide")</f>
        <v>Top PPC Agencies in Berlin — Packages, Pricing, Cost &amp;amp; Services Guide</v>
      </c>
      <c r="C22" s="8" t="str">
        <f>IFERROR(__xludf.DUMMYFUNCTION("""COMPUTED_VALUE"""),"reddit.com")</f>
        <v>reddit.com</v>
      </c>
      <c r="D22" s="11" t="str">
        <f>IFERROR(__xludf.DUMMYFUNCTION("""COMPUTED_VALUE"""),"DISCUSSION")</f>
        <v>DISCUSSION</v>
      </c>
      <c r="E22" s="11" t="str">
        <f>IFERROR(__xludf.DUMMYFUNCTION("""COMPUTED_VALUE"""),"UGC")</f>
        <v>UGC</v>
      </c>
      <c r="F22" s="11" t="str">
        <f>IFERROR(__xludf.DUMMYFUNCTION("""COMPUTED_VALUE"""),"Discussion")</f>
        <v>Discussion</v>
      </c>
      <c r="G22" s="11" t="b">
        <f>IFERROR(__xludf.DUMMYFUNCTION("""COMPUTED_VALUE"""),FALSE)</f>
        <v>0</v>
      </c>
      <c r="H22" s="11" t="str">
        <f>IFERROR(__xludf.DUMMYFUNCTION("""COMPUTED_VALUE"""),"Mediacharge, PwC, MONSOON, REPLUG, Aufgesang, Measured")</f>
        <v>Mediacharge, PwC, MONSOON, REPLUG, Aufgesang, Measured</v>
      </c>
      <c r="I22" s="11">
        <f>IFERROR(__xludf.DUMMYFUNCTION("""COMPUTED_VALUE"""),1.0)</f>
        <v>1</v>
      </c>
      <c r="J22" s="11">
        <f>IFERROR(__xludf.DUMMYFUNCTION("""COMPUTED_VALUE"""),0.0)</f>
        <v>0</v>
      </c>
      <c r="K22" s="11">
        <f>IFERROR(__xludf.DUMMYFUNCTION("""COMPUTED_VALUE"""),2.0)</f>
        <v>2</v>
      </c>
    </row>
    <row r="23" ht="15.75" customHeight="1">
      <c r="A23" s="8" t="str">
        <f>IFERROR(__xludf.DUMMYFUNCTION("""COMPUTED_VALUE"""),"https://www.reddit.com/r/Topagencies/comments/1srfjwq/top_ppc_services_agencies_in_frankfurt_package/")</f>
        <v>https://www.reddit.com/r/Topagencies/comments/1srfjwq/top_ppc_services_agencies_in_frankfurt_package/</v>
      </c>
      <c r="B23" s="11" t="str">
        <f>IFERROR(__xludf.DUMMYFUNCTION("""COMPUTED_VALUE"""),"Top PPC Services Agencies in Frankfurt - Package, Pricing &amp;amp; Cost Guide")</f>
        <v>Top PPC Services Agencies in Frankfurt - Package, Pricing &amp;amp; Cost Guide</v>
      </c>
      <c r="C23" s="8" t="str">
        <f>IFERROR(__xludf.DUMMYFUNCTION("""COMPUTED_VALUE"""),"reddit.com")</f>
        <v>reddit.com</v>
      </c>
      <c r="D23" s="11" t="str">
        <f>IFERROR(__xludf.DUMMYFUNCTION("""COMPUTED_VALUE"""),"DISCUSSION")</f>
        <v>DISCUSSION</v>
      </c>
      <c r="E23" s="11" t="str">
        <f>IFERROR(__xludf.DUMMYFUNCTION("""COMPUTED_VALUE"""),"UGC")</f>
        <v>UGC</v>
      </c>
      <c r="F23" s="11" t="str">
        <f>IFERROR(__xludf.DUMMYFUNCTION("""COMPUTED_VALUE"""),"Discussion")</f>
        <v>Discussion</v>
      </c>
      <c r="G23" s="11" t="b">
        <f>IFERROR(__xludf.DUMMYFUNCTION("""COMPUTED_VALUE"""),FALSE)</f>
        <v>0</v>
      </c>
      <c r="H23" s="11" t="str">
        <f>IFERROR(__xludf.DUMMYFUNCTION("""COMPUTED_VALUE"""),"Mediacharge")</f>
        <v>Mediacharge</v>
      </c>
      <c r="I23" s="11">
        <f>IFERROR(__xludf.DUMMYFUNCTION("""COMPUTED_VALUE"""),1.0)</f>
        <v>1</v>
      </c>
      <c r="J23" s="11">
        <f>IFERROR(__xludf.DUMMYFUNCTION("""COMPUTED_VALUE"""),0.0)</f>
        <v>0</v>
      </c>
      <c r="K23" s="11">
        <f>IFERROR(__xludf.DUMMYFUNCTION("""COMPUTED_VALUE"""),1.0)</f>
        <v>1</v>
      </c>
    </row>
    <row r="24" ht="15.75" customHeight="1">
      <c r="A24" s="8" t="str">
        <f>IFERROR(__xludf.DUMMYFUNCTION("""COMPUTED_VALUE"""),"https://www.reddit.com/r/analytics/comments/1l4qcx4/what_is_incrementality_testing_and_how_is_it/?tl=de")</f>
        <v>https://www.reddit.com/r/analytics/comments/1l4qcx4/what_is_incrementality_testing_and_how_is_it/?tl=de</v>
      </c>
      <c r="B24" s="11" t="str">
        <f>IFERROR(__xludf.DUMMYFUNCTION("""COMPUTED_VALUE"""),"What is Incrementality Testing? And how is it different from marketing experiments - what's the real diff?")</f>
        <v>What is Incrementality Testing? And how is it different from marketing experiments - what's the real diff?</v>
      </c>
      <c r="C24" s="8" t="str">
        <f>IFERROR(__xludf.DUMMYFUNCTION("""COMPUTED_VALUE"""),"reddit.com")</f>
        <v>reddit.com</v>
      </c>
      <c r="D24" s="11" t="str">
        <f>IFERROR(__xludf.DUMMYFUNCTION("""COMPUTED_VALUE"""),"DISCUSSION")</f>
        <v>DISCUSSION</v>
      </c>
      <c r="E24" s="11" t="str">
        <f>IFERROR(__xludf.DUMMYFUNCTION("""COMPUTED_VALUE"""),"UGC")</f>
        <v>UGC</v>
      </c>
      <c r="F24" s="11" t="str">
        <f>IFERROR(__xludf.DUMMYFUNCTION("""COMPUTED_VALUE"""),"Discussion")</f>
        <v>Discussion</v>
      </c>
      <c r="G24" s="11" t="b">
        <f>IFERROR(__xludf.DUMMYFUNCTION("""COMPUTED_VALUE"""),FALSE)</f>
        <v>0</v>
      </c>
      <c r="H24" s="11" t="str">
        <f>IFERROR(__xludf.DUMMYFUNCTION("""COMPUTED_VALUE"""),"LifeSight, Haus, Measured")</f>
        <v>LifeSight, Haus, Measured</v>
      </c>
      <c r="I24" s="11">
        <f>IFERROR(__xludf.DUMMYFUNCTION("""COMPUTED_VALUE"""),1.0)</f>
        <v>1</v>
      </c>
      <c r="J24" s="11">
        <f>IFERROR(__xludf.DUMMYFUNCTION("""COMPUTED_VALUE"""),0.0)</f>
        <v>0</v>
      </c>
      <c r="K24" s="11">
        <f>IFERROR(__xludf.DUMMYFUNCTION("""COMPUTED_VALUE"""),1.0)</f>
        <v>1</v>
      </c>
    </row>
    <row r="25" ht="15.75" customHeight="1">
      <c r="A25" s="8" t="str">
        <f>IFERROR(__xludf.DUMMYFUNCTION("""COMPUTED_VALUE"""),"https://www.reddit.com/r/analytics/comments/1q5d8wc/advice_for_the_best_customer_data_platforms_2026/")</f>
        <v>https://www.reddit.com/r/analytics/comments/1q5d8wc/advice_for_the_best_customer_data_platforms_2026/</v>
      </c>
      <c r="B25" s="11" t="str">
        <f>IFERROR(__xludf.DUMMYFUNCTION("""COMPUTED_VALUE"""),"advice for the best customer data platforms 2026 for unifying customer data")</f>
        <v>advice for the best customer data platforms 2026 for unifying customer data</v>
      </c>
      <c r="C25" s="8" t="str">
        <f>IFERROR(__xludf.DUMMYFUNCTION("""COMPUTED_VALUE"""),"reddit.com")</f>
        <v>reddit.com</v>
      </c>
      <c r="D25" s="11" t="str">
        <f>IFERROR(__xludf.DUMMYFUNCTION("""COMPUTED_VALUE"""),"DISCUSSION")</f>
        <v>DISCUSSION</v>
      </c>
      <c r="E25" s="11" t="str">
        <f>IFERROR(__xludf.DUMMYFUNCTION("""COMPUTED_VALUE"""),"UGC")</f>
        <v>UGC</v>
      </c>
      <c r="F25" s="11" t="str">
        <f>IFERROR(__xludf.DUMMYFUNCTION("""COMPUTED_VALUE"""),"Discussion")</f>
        <v>Discussion</v>
      </c>
      <c r="G25" s="11" t="b">
        <f>IFERROR(__xludf.DUMMYFUNCTION("""COMPUTED_VALUE"""),FALSE)</f>
        <v>0</v>
      </c>
      <c r="H25" s="11" t="str">
        <f>IFERROR(__xludf.DUMMYFUNCTION("""COMPUTED_VALUE"""),"Huge")</f>
        <v>Huge</v>
      </c>
      <c r="I25" s="11">
        <f>IFERROR(__xludf.DUMMYFUNCTION("""COMPUTED_VALUE"""),1.0)</f>
        <v>1</v>
      </c>
      <c r="J25" s="11">
        <f>IFERROR(__xludf.DUMMYFUNCTION("""COMPUTED_VALUE"""),0.0)</f>
        <v>0</v>
      </c>
      <c r="K25" s="11">
        <f>IFERROR(__xludf.DUMMYFUNCTION("""COMPUTED_VALUE"""),2.0)</f>
        <v>2</v>
      </c>
    </row>
    <row r="26" ht="15.75" customHeight="1">
      <c r="A26" s="8" t="str">
        <f>IFERROR(__xludf.DUMMYFUNCTION("""COMPUTED_VALUE"""),"https://www.reddit.com/r/b2bmarketing/comments/1rl47cr/the_10_best_visibility_companies_and_agencies_for/")</f>
        <v>https://www.reddit.com/r/b2bmarketing/comments/1rl47cr/the_10_best_visibility_companies_and_agencies_for/</v>
      </c>
      <c r="B26" s="11" t="str">
        <f>IFERROR(__xludf.DUMMYFUNCTION("""COMPUTED_VALUE"""),"The 10 Best Visibility Companies and Agencies for SEO and GEO?")</f>
        <v>The 10 Best Visibility Companies and Agencies for SEO and GEO?</v>
      </c>
      <c r="C26" s="8" t="str">
        <f>IFERROR(__xludf.DUMMYFUNCTION("""COMPUTED_VALUE"""),"reddit.com")</f>
        <v>reddit.com</v>
      </c>
      <c r="D26" s="11" t="str">
        <f>IFERROR(__xludf.DUMMYFUNCTION("""COMPUTED_VALUE"""),"DISCUSSION")</f>
        <v>DISCUSSION</v>
      </c>
      <c r="E26" s="11" t="str">
        <f>IFERROR(__xludf.DUMMYFUNCTION("""COMPUTED_VALUE"""),"UGC")</f>
        <v>UGC</v>
      </c>
      <c r="F26" s="11" t="str">
        <f>IFERROR(__xludf.DUMMYFUNCTION("""COMPUTED_VALUE"""),"Discussion")</f>
        <v>Discussion</v>
      </c>
      <c r="G26" s="11" t="b">
        <f>IFERROR(__xludf.DUMMYFUNCTION("""COMPUTED_VALUE"""),FALSE)</f>
        <v>0</v>
      </c>
      <c r="H26" s="11" t="str">
        <f>IFERROR(__xludf.DUMMYFUNCTION("""COMPUTED_VALUE"""),"Huge, Omnius, Siege Media, Single Grain, iPullRank")</f>
        <v>Huge, Omnius, Siege Media, Single Grain, iPullRank</v>
      </c>
      <c r="I26" s="11">
        <f>IFERROR(__xludf.DUMMYFUNCTION("""COMPUTED_VALUE"""),1.0)</f>
        <v>1</v>
      </c>
      <c r="J26" s="11">
        <f>IFERROR(__xludf.DUMMYFUNCTION("""COMPUTED_VALUE"""),0.0)</f>
        <v>0</v>
      </c>
      <c r="K26" s="11">
        <f>IFERROR(__xludf.DUMMYFUNCTION("""COMPUTED_VALUE"""),1.0)</f>
        <v>1</v>
      </c>
    </row>
    <row r="27" ht="15.75" customHeight="1">
      <c r="A27" s="8" t="str">
        <f>IFERROR(__xludf.DUMMYFUNCTION("""COMPUTED_VALUE"""),"https://www.reddit.com/r/b2bmarketing/comments/1t546si/the_7_leading_ai_seo_agencies_for_modern_search/")</f>
        <v>https://www.reddit.com/r/b2bmarketing/comments/1t546si/the_7_leading_ai_seo_agencies_for_modern_search/</v>
      </c>
      <c r="B27" s="11" t="str">
        <f>IFERROR(__xludf.DUMMYFUNCTION("""COMPUTED_VALUE"""),"The 7 Leading AI SEO Agencies for Modern Search")</f>
        <v>The 7 Leading AI SEO Agencies for Modern Search</v>
      </c>
      <c r="C27" s="8" t="str">
        <f>IFERROR(__xludf.DUMMYFUNCTION("""COMPUTED_VALUE"""),"reddit.com")</f>
        <v>reddit.com</v>
      </c>
      <c r="D27" s="11" t="str">
        <f>IFERROR(__xludf.DUMMYFUNCTION("""COMPUTED_VALUE"""),"DISCUSSION")</f>
        <v>DISCUSSION</v>
      </c>
      <c r="E27" s="11" t="str">
        <f>IFERROR(__xludf.DUMMYFUNCTION("""COMPUTED_VALUE"""),"UGC")</f>
        <v>UGC</v>
      </c>
      <c r="F27" s="11" t="str">
        <f>IFERROR(__xludf.DUMMYFUNCTION("""COMPUTED_VALUE"""),"Discussion")</f>
        <v>Discussion</v>
      </c>
      <c r="G27" s="11" t="b">
        <f>IFERROR(__xludf.DUMMYFUNCTION("""COMPUTED_VALUE"""),FALSE)</f>
        <v>0</v>
      </c>
      <c r="H27" s="11" t="str">
        <f>IFERROR(__xludf.DUMMYFUNCTION("""COMPUTED_VALUE"""),"Omniscient Digital, Siege Media, iPullRank")</f>
        <v>Omniscient Digital, Siege Media, iPullRank</v>
      </c>
      <c r="I27" s="11">
        <f>IFERROR(__xludf.DUMMYFUNCTION("""COMPUTED_VALUE"""),1.0)</f>
        <v>1</v>
      </c>
      <c r="J27" s="11">
        <f>IFERROR(__xludf.DUMMYFUNCTION("""COMPUTED_VALUE"""),0.0)</f>
        <v>0</v>
      </c>
      <c r="K27" s="11">
        <f>IFERROR(__xludf.DUMMYFUNCTION("""COMPUTED_VALUE"""),0.0)</f>
        <v>0</v>
      </c>
    </row>
    <row r="28" ht="15.75" customHeight="1">
      <c r="A28" s="8" t="str">
        <f>IFERROR(__xludf.DUMMYFUNCTION("""COMPUTED_VALUE"""),"https://www.reddit.com/r/u_Emkutis/comments/1u2d4ma/the_best_geo_ai_search_agencies_in_europe_in_2026/")</f>
        <v>https://www.reddit.com/r/u_Emkutis/comments/1u2d4ma/the_best_geo_ai_search_agencies_in_europe_in_2026/</v>
      </c>
      <c r="B28" s="11" t="str">
        <f>IFERROR(__xludf.DUMMYFUNCTION("""COMPUTED_VALUE"""),"The best GEO (AI search) agencies in Europe in 2026, ranked")</f>
        <v>The best GEO (AI search) agencies in Europe in 2026, ranked</v>
      </c>
      <c r="C28" s="8" t="str">
        <f>IFERROR(__xludf.DUMMYFUNCTION("""COMPUTED_VALUE"""),"reddit.com")</f>
        <v>reddit.com</v>
      </c>
      <c r="D28" s="11" t="str">
        <f>IFERROR(__xludf.DUMMYFUNCTION("""COMPUTED_VALUE"""),"DISCUSSION")</f>
        <v>DISCUSSION</v>
      </c>
      <c r="E28" s="11" t="str">
        <f>IFERROR(__xludf.DUMMYFUNCTION("""COMPUTED_VALUE"""),"UGC")</f>
        <v>UGC</v>
      </c>
      <c r="F28" s="11" t="str">
        <f>IFERROR(__xludf.DUMMYFUNCTION("""COMPUTED_VALUE"""),"Discussion")</f>
        <v>Discussion</v>
      </c>
      <c r="G28" s="11" t="b">
        <f>IFERROR(__xludf.DUMMYFUNCTION("""COMPUTED_VALUE"""),FALSE)</f>
        <v>0</v>
      </c>
      <c r="H28" s="11" t="str">
        <f>IFERROR(__xludf.DUMMYFUNCTION("""COMPUTED_VALUE"""),"Radyant, Omnius, Peak Ace, Measured")</f>
        <v>Radyant, Omnius, Peak Ace, Measured</v>
      </c>
      <c r="I28" s="11">
        <f>IFERROR(__xludf.DUMMYFUNCTION("""COMPUTED_VALUE"""),1.0)</f>
        <v>1</v>
      </c>
      <c r="J28" s="11">
        <f>IFERROR(__xludf.DUMMYFUNCTION("""COMPUTED_VALUE"""),0.0)</f>
        <v>0</v>
      </c>
      <c r="K28" s="11">
        <f>IFERROR(__xludf.DUMMYFUNCTION("""COMPUTED_VALUE"""),1.0)</f>
        <v>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s>
  <drawing r:id="rId5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All'!D2:D1000)))=""homepage""
  ),
  """"
)"),"https://www.the-boutique-agency.de/en")</f>
        <v>https://www.the-boutique-agency.de/en</v>
      </c>
      <c r="B2" s="11" t="str">
        <f>IFERROR(__xludf.DUMMYFUNCTION("""COMPUTED_VALUE"""),"PPC and Digital Marketing Agency in Munich, Germany • The Boutique Agency")</f>
        <v>PPC and Digital Marketing Agency in Munich, Germany • The Boutique Agency</v>
      </c>
      <c r="C2" s="8" t="str">
        <f>IFERROR(__xludf.DUMMYFUNCTION("""COMPUTED_VALUE"""),"the-boutique-agency.de")</f>
        <v>the-boutique-agency.de</v>
      </c>
      <c r="D2" s="11" t="str">
        <f>IFERROR(__xludf.DUMMYFUNCTION("""COMPUTED_VALUE"""),"HOMEPAGE")</f>
        <v>HOMEPAGE</v>
      </c>
      <c r="E2" s="11" t="str">
        <f>IFERROR(__xludf.DUMMYFUNCTION("""COMPUTED_VALUE"""),"COMPETITOR")</f>
        <v>COMPETITOR</v>
      </c>
      <c r="F2" s="11" t="str">
        <f>IFERROR(__xludf.DUMMYFUNCTION("""COMPUTED_VALUE"""),"Homepage")</f>
        <v>Homepage</v>
      </c>
      <c r="G2" s="11" t="b">
        <f>IFERROR(__xludf.DUMMYFUNCTION("""COMPUTED_VALUE"""),FALSE)</f>
        <v>0</v>
      </c>
      <c r="H2" s="11" t="str">
        <f>IFERROR(__xludf.DUMMYFUNCTION("""COMPUTED_VALUE"""),"The Boutique Agency, BCG")</f>
        <v>The Boutique Agency, BCG</v>
      </c>
      <c r="I2" s="11">
        <f>IFERROR(__xludf.DUMMYFUNCTION("""COMPUTED_VALUE"""),34.0)</f>
        <v>34</v>
      </c>
      <c r="J2" s="11">
        <f>IFERROR(__xludf.DUMMYFUNCTION("""COMPUTED_VALUE"""),0.04)</f>
        <v>0.04</v>
      </c>
      <c r="K2" s="11">
        <f>IFERROR(__xludf.DUMMYFUNCTION("""COMPUTED_VALUE"""),1.26)</f>
        <v>1.26</v>
      </c>
    </row>
    <row r="3" ht="15.75" customHeight="1">
      <c r="A3" s="8" t="str">
        <f>IFERROR(__xludf.DUMMYFUNCTION("""COMPUTED_VALUE"""),"https://www.geoagenturen.de/")</f>
        <v>https://www.geoagenturen.de/</v>
      </c>
      <c r="B3" s="11" t="str">
        <f>IFERROR(__xludf.DUMMYFUNCTION("""COMPUTED_VALUE"""),"GEO-Agentur für Sichtbarkeit in ChatGPT, Perplexity &amp;amp; Google AI | Engine Native")</f>
        <v>GEO-Agentur für Sichtbarkeit in ChatGPT, Perplexity &amp;amp; Google AI | Engine Native</v>
      </c>
      <c r="C3" s="8" t="str">
        <f>IFERROR(__xludf.DUMMYFUNCTION("""COMPUTED_VALUE"""),"geoagenturen.de")</f>
        <v>geoagenturen.de</v>
      </c>
      <c r="D3" s="11" t="str">
        <f>IFERROR(__xludf.DUMMYFUNCTION("""COMPUTED_VALUE"""),"HOMEPAGE")</f>
        <v>HOMEPAGE</v>
      </c>
      <c r="E3" s="11" t="str">
        <f>IFERROR(__xludf.DUMMYFUNCTION("""COMPUTED_VALUE"""),"REFERENCE")</f>
        <v>REFERENCE</v>
      </c>
      <c r="F3" s="11" t="str">
        <f>IFERROR(__xludf.DUMMYFUNCTION("""COMPUTED_VALUE"""),"Homepage")</f>
        <v>Homepage</v>
      </c>
      <c r="G3" s="11" t="b">
        <f>IFERROR(__xludf.DUMMYFUNCTION("""COMPUTED_VALUE"""),FALSE)</f>
        <v>0</v>
      </c>
      <c r="H3" s="11" t="str">
        <f>IFERROR(__xludf.DUMMYFUNCTION("""COMPUTED_VALUE"""),"Engine Native")</f>
        <v>Engine Native</v>
      </c>
      <c r="I3" s="11">
        <f>IFERROR(__xludf.DUMMYFUNCTION("""COMPUTED_VALUE"""),27.0)</f>
        <v>27</v>
      </c>
      <c r="J3" s="11">
        <f>IFERROR(__xludf.DUMMYFUNCTION("""COMPUTED_VALUE"""),0.03)</f>
        <v>0.03</v>
      </c>
      <c r="K3" s="11">
        <f>IFERROR(__xludf.DUMMYFUNCTION("""COMPUTED_VALUE"""),0.89)</f>
        <v>0.89</v>
      </c>
    </row>
    <row r="4" ht="15.75" customHeight="1">
      <c r="A4" s="8" t="str">
        <f>IFERROR(__xludf.DUMMYFUNCTION("""COMPUTED_VALUE"""),"https://partnersdirectory.withgoogle.com/")</f>
        <v>https://partnersdirectory.withgoogle.com/</v>
      </c>
      <c r="B4" s="11" t="str">
        <f>IFERROR(__xludf.DUMMYFUNCTION("""COMPUTED_VALUE"""),"Google Partners Directory - Find a Partner for Business Growth")</f>
        <v>Google Partners Directory - Find a Partner for Business Growth</v>
      </c>
      <c r="C4" s="8" t="str">
        <f>IFERROR(__xludf.DUMMYFUNCTION("""COMPUTED_VALUE"""),"withgoogle.com")</f>
        <v>withgoogle.com</v>
      </c>
      <c r="D4" s="11" t="str">
        <f>IFERROR(__xludf.DUMMYFUNCTION("""COMPUTED_VALUE"""),"HOMEPAGE")</f>
        <v>HOMEPAGE</v>
      </c>
      <c r="E4" s="11" t="str">
        <f>IFERROR(__xludf.DUMMYFUNCTION("""COMPUTED_VALUE"""),"CORPORATE")</f>
        <v>CORPORATE</v>
      </c>
      <c r="F4" s="11" t="str">
        <f>IFERROR(__xludf.DUMMYFUNCTION("""COMPUTED_VALUE"""),"Homepage")</f>
        <v>Homepage</v>
      </c>
      <c r="G4" s="11" t="b">
        <f>IFERROR(__xludf.DUMMYFUNCTION("""COMPUTED_VALUE"""),FALSE)</f>
        <v>0</v>
      </c>
      <c r="H4" s="11" t="str">
        <f>IFERROR(__xludf.DUMMYFUNCTION("""COMPUTED_VALUE"""),"Acadia")</f>
        <v>Acadia</v>
      </c>
      <c r="I4" s="11">
        <f>IFERROR(__xludf.DUMMYFUNCTION("""COMPUTED_VALUE"""),20.0)</f>
        <v>20</v>
      </c>
      <c r="J4" s="11">
        <f>IFERROR(__xludf.DUMMYFUNCTION("""COMPUTED_VALUE"""),0.02)</f>
        <v>0.02</v>
      </c>
      <c r="K4" s="11">
        <f>IFERROR(__xludf.DUMMYFUNCTION("""COMPUTED_VALUE"""),1.15)</f>
        <v>1.15</v>
      </c>
    </row>
    <row r="5" ht="15.75" customHeight="1">
      <c r="A5" s="8" t="str">
        <f>IFERROR(__xludf.DUMMYFUNCTION("""COMPUTED_VALUE"""),"https://sellforte.com/")</f>
        <v>https://sellforte.com/</v>
      </c>
      <c r="B5" s="11" t="str">
        <f>IFERROR(__xludf.DUMMYFUNCTION("""COMPUTED_VALUE"""),"MMM, Incrementality Testing &amp;amp; Attribution | Sellforte")</f>
        <v>MMM, Incrementality Testing &amp;amp; Attribution | Sellforte</v>
      </c>
      <c r="C5" s="8" t="str">
        <f>IFERROR(__xludf.DUMMYFUNCTION("""COMPUTED_VALUE"""),"sellforte.com")</f>
        <v>sellforte.com</v>
      </c>
      <c r="D5" s="11" t="str">
        <f>IFERROR(__xludf.DUMMYFUNCTION("""COMPUTED_VALUE"""),"HOMEPAGE")</f>
        <v>HOMEPAGE</v>
      </c>
      <c r="E5" s="11" t="str">
        <f>IFERROR(__xludf.DUMMYFUNCTION("""COMPUTED_VALUE"""),"COMPETITOR")</f>
        <v>COMPETITOR</v>
      </c>
      <c r="F5" s="11" t="str">
        <f>IFERROR(__xludf.DUMMYFUNCTION("""COMPUTED_VALUE"""),"Homepage")</f>
        <v>Homepage</v>
      </c>
      <c r="G5" s="11" t="b">
        <f>IFERROR(__xludf.DUMMYFUNCTION("""COMPUTED_VALUE"""),FALSE)</f>
        <v>0</v>
      </c>
      <c r="H5" s="11" t="str">
        <f>IFERROR(__xludf.DUMMYFUNCTION("""COMPUTED_VALUE"""),"Sellforte, Huge, Measured")</f>
        <v>Sellforte, Huge, Measured</v>
      </c>
      <c r="I5" s="11">
        <f>IFERROR(__xludf.DUMMYFUNCTION("""COMPUTED_VALUE"""),20.0)</f>
        <v>20</v>
      </c>
      <c r="J5" s="11">
        <f>IFERROR(__xludf.DUMMYFUNCTION("""COMPUTED_VALUE"""),0.02)</f>
        <v>0.02</v>
      </c>
      <c r="K5" s="11">
        <f>IFERROR(__xludf.DUMMYFUNCTION("""COMPUTED_VALUE"""),1.45)</f>
        <v>1.45</v>
      </c>
    </row>
    <row r="6" ht="15.75" customHeight="1">
      <c r="A6" s="8" t="str">
        <f>IFERROR(__xludf.DUMMYFUNCTION("""COMPUTED_VALUE"""),"https://geoagentur.de/")</f>
        <v>https://geoagentur.de/</v>
      </c>
      <c r="B6" s="11" t="str">
        <f>IFERROR(__xludf.DUMMYFUNCTION("""COMPUTED_VALUE"""),"GEO Agentur 2026 | #1 auf KI-Plattformen | Gratis Beratung")</f>
        <v>GEO Agentur 2026 | #1 auf KI-Plattformen | Gratis Beratung</v>
      </c>
      <c r="C6" s="8" t="str">
        <f>IFERROR(__xludf.DUMMYFUNCTION("""COMPUTED_VALUE"""),"geoagentur.de")</f>
        <v>geoagentur.de</v>
      </c>
      <c r="D6" s="11" t="str">
        <f>IFERROR(__xludf.DUMMYFUNCTION("""COMPUTED_VALUE"""),"HOMEPAGE")</f>
        <v>HOMEPAGE</v>
      </c>
      <c r="E6" s="11" t="str">
        <f>IFERROR(__xludf.DUMMYFUNCTION("""COMPUTED_VALUE"""),"CORPORATE")</f>
        <v>CORPORATE</v>
      </c>
      <c r="F6" s="11" t="str">
        <f>IFERROR(__xludf.DUMMYFUNCTION("""COMPUTED_VALUE"""),"Homepage")</f>
        <v>Homepage</v>
      </c>
      <c r="G6" s="11" t="b">
        <f>IFERROR(__xludf.DUMMYFUNCTION("""COMPUTED_VALUE"""),FALSE)</f>
        <v>0</v>
      </c>
      <c r="H6" s="11"/>
      <c r="I6" s="11">
        <f>IFERROR(__xludf.DUMMYFUNCTION("""COMPUTED_VALUE"""),14.0)</f>
        <v>14</v>
      </c>
      <c r="J6" s="11">
        <f>IFERROR(__xludf.DUMMYFUNCTION("""COMPUTED_VALUE"""),0.01)</f>
        <v>0.01</v>
      </c>
      <c r="K6" s="11">
        <f>IFERROR(__xludf.DUMMYFUNCTION("""COMPUTED_VALUE"""),0.57)</f>
        <v>0.57</v>
      </c>
    </row>
    <row r="7" ht="15.75" customHeight="1">
      <c r="A7" s="8" t="str">
        <f>IFERROR(__xludf.DUMMYFUNCTION("""COMPUTED_VALUE"""),"https://www.beste-geo-agentur.de/")</f>
        <v>https://www.beste-geo-agentur.de/</v>
      </c>
      <c r="B7" s="11" t="str">
        <f>IFERROR(__xludf.DUMMYFUNCTION("""COMPUTED_VALUE"""),"Beste GEO Agentur Deutschlands \| Generative Engine Optimization \| famefact")</f>
        <v>Beste GEO Agentur Deutschlands \| Generative Engine Optimization \| famefact</v>
      </c>
      <c r="C7" s="8" t="str">
        <f>IFERROR(__xludf.DUMMYFUNCTION("""COMPUTED_VALUE"""),"beste-geo-agentur.de")</f>
        <v>beste-geo-agentur.de</v>
      </c>
      <c r="D7" s="11" t="str">
        <f>IFERROR(__xludf.DUMMYFUNCTION("""COMPUTED_VALUE"""),"HOMEPAGE")</f>
        <v>HOMEPAGE</v>
      </c>
      <c r="E7" s="11" t="str">
        <f>IFERROR(__xludf.DUMMYFUNCTION("""COMPUTED_VALUE"""),"CORPORATE")</f>
        <v>CORPORATE</v>
      </c>
      <c r="F7" s="11" t="str">
        <f>IFERROR(__xludf.DUMMYFUNCTION("""COMPUTED_VALUE"""),"Homepage")</f>
        <v>Homepage</v>
      </c>
      <c r="G7" s="11" t="b">
        <f>IFERROR(__xludf.DUMMYFUNCTION("""COMPUTED_VALUE"""),FALSE)</f>
        <v>0</v>
      </c>
      <c r="H7" s="11"/>
      <c r="I7" s="11">
        <f>IFERROR(__xludf.DUMMYFUNCTION("""COMPUTED_VALUE"""),12.0)</f>
        <v>12</v>
      </c>
      <c r="J7" s="11">
        <f>IFERROR(__xludf.DUMMYFUNCTION("""COMPUTED_VALUE"""),0.01)</f>
        <v>0.01</v>
      </c>
      <c r="K7" s="11">
        <f>IFERROR(__xludf.DUMMYFUNCTION("""COMPUTED_VALUE"""),0.0)</f>
        <v>0</v>
      </c>
    </row>
    <row r="8" ht="15.75" customHeight="1">
      <c r="A8" s="8" t="str">
        <f>IFERROR(__xludf.DUMMYFUNCTION("""COMPUTED_VALUE"""),"https://digital-marketing-agencies.de/")</f>
        <v>https://digital-marketing-agencies.de/</v>
      </c>
      <c r="B8" s="11" t="str">
        <f>IFERROR(__xludf.DUMMYFUNCTION("""COMPUTED_VALUE"""),"Top 10 Digital Marketing Agencies in DACH (2026) — Germany, Austria &amp;amp; Switzerland")</f>
        <v>Top 10 Digital Marketing Agencies in DACH (2026) — Germany, Austria &amp;amp; Switzerland</v>
      </c>
      <c r="C8" s="8" t="str">
        <f>IFERROR(__xludf.DUMMYFUNCTION("""COMPUTED_VALUE"""),"digital-marketing-agencies.de")</f>
        <v>digital-marketing-agencies.de</v>
      </c>
      <c r="D8" s="11" t="str">
        <f>IFERROR(__xludf.DUMMYFUNCTION("""COMPUTED_VALUE"""),"HOMEPAGE")</f>
        <v>HOMEPAGE</v>
      </c>
      <c r="E8" s="11" t="str">
        <f>IFERROR(__xludf.DUMMYFUNCTION("""COMPUTED_VALUE"""),"EDITORIAL")</f>
        <v>EDITORIAL</v>
      </c>
      <c r="F8" s="11" t="str">
        <f>IFERROR(__xludf.DUMMYFUNCTION("""COMPUTED_VALUE"""),"Homepage")</f>
        <v>Homepage</v>
      </c>
      <c r="G8" s="11" t="b">
        <f>IFERROR(__xludf.DUMMYFUNCTION("""COMPUTED_VALUE"""),FALSE)</f>
        <v>0</v>
      </c>
      <c r="H8" s="11"/>
      <c r="I8" s="11">
        <f>IFERROR(__xludf.DUMMYFUNCTION("""COMPUTED_VALUE"""),12.0)</f>
        <v>12</v>
      </c>
      <c r="J8" s="11">
        <f>IFERROR(__xludf.DUMMYFUNCTION("""COMPUTED_VALUE"""),0.01)</f>
        <v>0.01</v>
      </c>
      <c r="K8" s="11">
        <f>IFERROR(__xludf.DUMMYFUNCTION("""COMPUTED_VALUE"""),0.0)</f>
        <v>0</v>
      </c>
    </row>
    <row r="9" ht="15.75" customHeight="1">
      <c r="A9" s="8" t="str">
        <f>IFERROR(__xludf.DUMMYFUNCTION("""COMPUTED_VALUE"""),"https://pinemarsh.com/")</f>
        <v>https://pinemarsh.com/</v>
      </c>
      <c r="B9" s="11" t="str">
        <f>IFERROR(__xludf.DUMMYFUNCTION("""COMPUTED_VALUE"""),"Pinemarsh — Independent Marketing Measurement")</f>
        <v>Pinemarsh — Independent Marketing Measurement</v>
      </c>
      <c r="C9" s="8" t="str">
        <f>IFERROR(__xludf.DUMMYFUNCTION("""COMPUTED_VALUE"""),"pinemarsh.com")</f>
        <v>pinemarsh.com</v>
      </c>
      <c r="D9" s="11" t="str">
        <f>IFERROR(__xludf.DUMMYFUNCTION("""COMPUTED_VALUE"""),"HOMEPAGE")</f>
        <v>HOMEPAGE</v>
      </c>
      <c r="E9" s="11" t="str">
        <f>IFERROR(__xludf.DUMMYFUNCTION("""COMPUTED_VALUE"""),"CORPORATE")</f>
        <v>CORPORATE</v>
      </c>
      <c r="F9" s="11" t="str">
        <f>IFERROR(__xludf.DUMMYFUNCTION("""COMPUTED_VALUE"""),"Homepage")</f>
        <v>Homepage</v>
      </c>
      <c r="G9" s="11" t="b">
        <f>IFERROR(__xludf.DUMMYFUNCTION("""COMPUTED_VALUE"""),FALSE)</f>
        <v>0</v>
      </c>
      <c r="H9" s="11"/>
      <c r="I9" s="11">
        <f>IFERROR(__xludf.DUMMYFUNCTION("""COMPUTED_VALUE"""),12.0)</f>
        <v>12</v>
      </c>
      <c r="J9" s="11">
        <f>IFERROR(__xludf.DUMMYFUNCTION("""COMPUTED_VALUE"""),0.01)</f>
        <v>0.01</v>
      </c>
      <c r="K9" s="11">
        <f>IFERROR(__xludf.DUMMYFUNCTION("""COMPUTED_VALUE"""),0.83)</f>
        <v>0.83</v>
      </c>
    </row>
    <row r="10" ht="15.75" customHeight="1">
      <c r="A10" s="8" t="str">
        <f>IFERROR(__xludf.DUMMYFUNCTION("""COMPUTED_VALUE"""),"https://roover.de/en/")</f>
        <v>https://roover.de/en/</v>
      </c>
      <c r="B10" s="11" t="str">
        <f>IFERROR(__xludf.DUMMYFUNCTION("""COMPUTED_VALUE"""),"Roover Consulting: AI consulting for your company")</f>
        <v>Roover Consulting: AI consulting for your company</v>
      </c>
      <c r="C10" s="8" t="str">
        <f>IFERROR(__xludf.DUMMYFUNCTION("""COMPUTED_VALUE"""),"roover.de")</f>
        <v>roover.de</v>
      </c>
      <c r="D10" s="11" t="str">
        <f>IFERROR(__xludf.DUMMYFUNCTION("""COMPUTED_VALUE"""),"HOMEPAGE")</f>
        <v>HOMEPAGE</v>
      </c>
      <c r="E10" s="11" t="str">
        <f>IFERROR(__xludf.DUMMYFUNCTION("""COMPUTED_VALUE"""),"CORPORATE")</f>
        <v>CORPORATE</v>
      </c>
      <c r="F10" s="11" t="str">
        <f>IFERROR(__xludf.DUMMYFUNCTION("""COMPUTED_VALUE"""),"Homepage")</f>
        <v>Homepage</v>
      </c>
      <c r="G10" s="11" t="b">
        <f>IFERROR(__xludf.DUMMYFUNCTION("""COMPUTED_VALUE"""),FALSE)</f>
        <v>0</v>
      </c>
      <c r="H10" s="11" t="str">
        <f>IFERROR(__xludf.DUMMYFUNCTION("""COMPUTED_VALUE"""),"Pilot")</f>
        <v>Pilot</v>
      </c>
      <c r="I10" s="11">
        <f>IFERROR(__xludf.DUMMYFUNCTION("""COMPUTED_VALUE"""),12.0)</f>
        <v>12</v>
      </c>
      <c r="J10" s="11">
        <f>IFERROR(__xludf.DUMMYFUNCTION("""COMPUTED_VALUE"""),0.01)</f>
        <v>0.01</v>
      </c>
      <c r="K10" s="11">
        <f>IFERROR(__xludf.DUMMYFUNCTION("""COMPUTED_VALUE"""),2.75)</f>
        <v>2.75</v>
      </c>
    </row>
    <row r="11" ht="15.75" customHeight="1">
      <c r="A11" s="8" t="str">
        <f>IFERROR(__xludf.DUMMYFUNCTION("""COMPUTED_VALUE"""),"https://dynamicsupport.de/en/")</f>
        <v>https://dynamicsupport.de/en/</v>
      </c>
      <c r="B11" s="11" t="str">
        <f>IFERROR(__xludf.DUMMYFUNCTION("""COMPUTED_VALUE"""),"Dynamic Support AG — AI Consulting for SMEs | Agentic AI, RAG Systems, EU AI Act Compliance")</f>
        <v>Dynamic Support AG — AI Consulting for SMEs | Agentic AI, RAG Systems, EU AI Act Compliance</v>
      </c>
      <c r="C11" s="8" t="str">
        <f>IFERROR(__xludf.DUMMYFUNCTION("""COMPUTED_VALUE"""),"dynamicsupport.de")</f>
        <v>dynamicsupport.de</v>
      </c>
      <c r="D11" s="11" t="str">
        <f>IFERROR(__xludf.DUMMYFUNCTION("""COMPUTED_VALUE"""),"HOMEPAGE")</f>
        <v>HOMEPAGE</v>
      </c>
      <c r="E11" s="11" t="str">
        <f>IFERROR(__xludf.DUMMYFUNCTION("""COMPUTED_VALUE"""),"CORPORATE")</f>
        <v>CORPORATE</v>
      </c>
      <c r="F11" s="11" t="str">
        <f>IFERROR(__xludf.DUMMYFUNCTION("""COMPUTED_VALUE"""),"Homepage")</f>
        <v>Homepage</v>
      </c>
      <c r="G11" s="11" t="b">
        <f>IFERROR(__xludf.DUMMYFUNCTION("""COMPUTED_VALUE"""),FALSE)</f>
        <v>0</v>
      </c>
      <c r="H11" s="11" t="str">
        <f>IFERROR(__xludf.DUMMYFUNCTION("""COMPUTED_VALUE"""),"Pilot")</f>
        <v>Pilot</v>
      </c>
      <c r="I11" s="11">
        <f>IFERROR(__xludf.DUMMYFUNCTION("""COMPUTED_VALUE"""),11.0)</f>
        <v>11</v>
      </c>
      <c r="J11" s="11">
        <f>IFERROR(__xludf.DUMMYFUNCTION("""COMPUTED_VALUE"""),0.01)</f>
        <v>0.01</v>
      </c>
      <c r="K11" s="11">
        <f>IFERROR(__xludf.DUMMYFUNCTION("""COMPUTED_VALUE"""),0.55)</f>
        <v>0.55</v>
      </c>
    </row>
    <row r="12" ht="15.75" customHeight="1">
      <c r="A12" s="8" t="str">
        <f>IFERROR(__xludf.DUMMYFUNCTION("""COMPUTED_VALUE"""),"https://topgeoagencies.com/")</f>
        <v>https://topgeoagencies.com/</v>
      </c>
      <c r="B12" s="11" t="str">
        <f>IFERROR(__xludf.DUMMYFUNCTION("""COMPUTED_VALUE"""),"The GEO 250 — Best Generative Engine Optimization (GEO) Agencies | TopGEOAgencies.com")</f>
        <v>The GEO 250 — Best Generative Engine Optimization (GEO) Agencies | TopGEOAgencies.com</v>
      </c>
      <c r="C12" s="8" t="str">
        <f>IFERROR(__xludf.DUMMYFUNCTION("""COMPUTED_VALUE"""),"topgeoagencies.com")</f>
        <v>topgeoagencies.com</v>
      </c>
      <c r="D12" s="11" t="str">
        <f>IFERROR(__xludf.DUMMYFUNCTION("""COMPUTED_VALUE"""),"HOMEPAGE")</f>
        <v>HOMEPAGE</v>
      </c>
      <c r="E12" s="11" t="str">
        <f>IFERROR(__xludf.DUMMYFUNCTION("""COMPUTED_VALUE"""),"CORPORATE")</f>
        <v>CORPORATE</v>
      </c>
      <c r="F12" s="11" t="str">
        <f>IFERROR(__xludf.DUMMYFUNCTION("""COMPUTED_VALUE"""),"Homepage")</f>
        <v>Homepage</v>
      </c>
      <c r="G12" s="11" t="b">
        <f>IFERROR(__xludf.DUMMYFUNCTION("""COMPUTED_VALUE"""),FALSE)</f>
        <v>0</v>
      </c>
      <c r="H12" s="11" t="str">
        <f>IFERROR(__xludf.DUMMYFUNCTION("""COMPUTED_VALUE"""),"Siege Media, iPullRank")</f>
        <v>Siege Media, iPullRank</v>
      </c>
      <c r="I12" s="11">
        <f>IFERROR(__xludf.DUMMYFUNCTION("""COMPUTED_VALUE"""),10.0)</f>
        <v>10</v>
      </c>
      <c r="J12" s="11">
        <f>IFERROR(__xludf.DUMMYFUNCTION("""COMPUTED_VALUE"""),0.01)</f>
        <v>0.01</v>
      </c>
      <c r="K12" s="11">
        <f>IFERROR(__xludf.DUMMYFUNCTION("""COMPUTED_VALUE"""),0.0)</f>
        <v>0</v>
      </c>
    </row>
    <row r="13" ht="15.75" customHeight="1">
      <c r="A13" s="8" t="str">
        <f>IFERROR(__xludf.DUMMYFUNCTION("""COMPUTED_VALUE"""),"https://kideconsult.de/")</f>
        <v>https://kideconsult.de/</v>
      </c>
      <c r="B13" s="11" t="str">
        <f>IFERROR(__xludf.DUMMYFUNCTION("""COMPUTED_VALUE"""),"KIDE CONSULT – Ihr Unternehmen. AI Ready.")</f>
        <v>KIDE CONSULT – Ihr Unternehmen. AI Ready.</v>
      </c>
      <c r="C13" s="8" t="str">
        <f>IFERROR(__xludf.DUMMYFUNCTION("""COMPUTED_VALUE"""),"kideconsult.de")</f>
        <v>kideconsult.de</v>
      </c>
      <c r="D13" s="11" t="str">
        <f>IFERROR(__xludf.DUMMYFUNCTION("""COMPUTED_VALUE"""),"HOMEPAGE")</f>
        <v>HOMEPAGE</v>
      </c>
      <c r="E13" s="11" t="str">
        <f>IFERROR(__xludf.DUMMYFUNCTION("""COMPUTED_VALUE"""),"CORPORATE")</f>
        <v>CORPORATE</v>
      </c>
      <c r="F13" s="11" t="str">
        <f>IFERROR(__xludf.DUMMYFUNCTION("""COMPUTED_VALUE"""),"Homepage")</f>
        <v>Homepage</v>
      </c>
      <c r="G13" s="11" t="b">
        <f>IFERROR(__xludf.DUMMYFUNCTION("""COMPUTED_VALUE"""),FALSE)</f>
        <v>0</v>
      </c>
      <c r="H13" s="11"/>
      <c r="I13" s="11">
        <f>IFERROR(__xludf.DUMMYFUNCTION("""COMPUTED_VALUE"""),9.0)</f>
        <v>9</v>
      </c>
      <c r="J13" s="11">
        <f>IFERROR(__xludf.DUMMYFUNCTION("""COMPUTED_VALUE"""),0.01)</f>
        <v>0.01</v>
      </c>
      <c r="K13" s="11">
        <f>IFERROR(__xludf.DUMMYFUNCTION("""COMPUTED_VALUE"""),0.78)</f>
        <v>0.78</v>
      </c>
    </row>
    <row r="14" ht="15.75" customHeight="1">
      <c r="A14" s="8" t="str">
        <f>IFERROR(__xludf.DUMMYFUNCTION("""COMPUTED_VALUE"""),"https://www.crispycontent.de/en/ai/")</f>
        <v>https://www.crispycontent.de/en/ai/</v>
      </c>
      <c r="B14" s="11" t="str">
        <f>IFERROR(__xludf.DUMMYFUNCTION("""COMPUTED_VALUE"""),"AI Solutions for Marketing &amp;amp; Content | Crispy Content®")</f>
        <v>AI Solutions for Marketing &amp;amp; Content | Crispy Content®</v>
      </c>
      <c r="C14" s="8" t="str">
        <f>IFERROR(__xludf.DUMMYFUNCTION("""COMPUTED_VALUE"""),"crispycontent.de")</f>
        <v>crispycontent.de</v>
      </c>
      <c r="D14" s="11" t="str">
        <f>IFERROR(__xludf.DUMMYFUNCTION("""COMPUTED_VALUE"""),"HOMEPAGE")</f>
        <v>HOMEPAGE</v>
      </c>
      <c r="E14" s="11" t="str">
        <f>IFERROR(__xludf.DUMMYFUNCTION("""COMPUTED_VALUE"""),"OTHER")</f>
        <v>OTHER</v>
      </c>
      <c r="F14" s="11" t="str">
        <f>IFERROR(__xludf.DUMMYFUNCTION("""COMPUTED_VALUE"""),"Homepage")</f>
        <v>Homepage</v>
      </c>
      <c r="G14" s="11" t="b">
        <f>IFERROR(__xludf.DUMMYFUNCTION("""COMPUTED_VALUE"""),FALSE)</f>
        <v>0</v>
      </c>
      <c r="H14" s="11" t="str">
        <f>IFERROR(__xludf.DUMMYFUNCTION("""COMPUTED_VALUE"""),"Pilot")</f>
        <v>Pilot</v>
      </c>
      <c r="I14" s="11">
        <f>IFERROR(__xludf.DUMMYFUNCTION("""COMPUTED_VALUE"""),8.0)</f>
        <v>8</v>
      </c>
      <c r="J14" s="11">
        <f>IFERROR(__xludf.DUMMYFUNCTION("""COMPUTED_VALUE"""),0.01)</f>
        <v>0.01</v>
      </c>
      <c r="K14" s="11">
        <f>IFERROR(__xludf.DUMMYFUNCTION("""COMPUTED_VALUE"""),1.38)</f>
        <v>1.38</v>
      </c>
    </row>
    <row r="15" ht="15.75" customHeight="1">
      <c r="A15" s="8" t="str">
        <f>IFERROR(__xludf.DUMMYFUNCTION("""COMPUTED_VALUE"""),"https://www.eichen.ai/")</f>
        <v>https://www.eichen.ai/</v>
      </c>
      <c r="B15" s="11" t="str">
        <f>IFERROR(__xludf.DUMMYFUNCTION("""COMPUTED_VALUE"""),"Eichen — The Calibration Authority for Marketing Measurement")</f>
        <v>Eichen — The Calibration Authority for Marketing Measurement</v>
      </c>
      <c r="C15" s="8" t="str">
        <f>IFERROR(__xludf.DUMMYFUNCTION("""COMPUTED_VALUE"""),"eichen.ai")</f>
        <v>eichen.ai</v>
      </c>
      <c r="D15" s="11" t="str">
        <f>IFERROR(__xludf.DUMMYFUNCTION("""COMPUTED_VALUE"""),"HOMEPAGE")</f>
        <v>HOMEPAGE</v>
      </c>
      <c r="E15" s="11" t="str">
        <f>IFERROR(__xludf.DUMMYFUNCTION("""COMPUTED_VALUE"""),"CORPORATE")</f>
        <v>CORPORATE</v>
      </c>
      <c r="F15" s="11" t="str">
        <f>IFERROR(__xludf.DUMMYFUNCTION("""COMPUTED_VALUE"""),"Homepage")</f>
        <v>Homepage</v>
      </c>
      <c r="G15" s="11" t="b">
        <f>IFERROR(__xludf.DUMMYFUNCTION("""COMPUTED_VALUE"""),FALSE)</f>
        <v>0</v>
      </c>
      <c r="H15" s="11" t="str">
        <f>IFERROR(__xludf.DUMMYFUNCTION("""COMPUTED_VALUE"""),"Nielsen")</f>
        <v>Nielsen</v>
      </c>
      <c r="I15" s="11">
        <f>IFERROR(__xludf.DUMMYFUNCTION("""COMPUTED_VALUE"""),8.0)</f>
        <v>8</v>
      </c>
      <c r="J15" s="11">
        <f>IFERROR(__xludf.DUMMYFUNCTION("""COMPUTED_VALUE"""),0.01)</f>
        <v>0.01</v>
      </c>
      <c r="K15" s="11">
        <f>IFERROR(__xludf.DUMMYFUNCTION("""COMPUTED_VALUE"""),1.5)</f>
        <v>1.5</v>
      </c>
    </row>
    <row r="16" ht="15.75" customHeight="1">
      <c r="A16" s="8" t="str">
        <f>IFERROR(__xludf.DUMMYFUNCTION("""COMPUTED_VALUE"""),"https://www.ratter-consulting.com/")</f>
        <v>https://www.ratter-consulting.com/</v>
      </c>
      <c r="B16" s="11" t="str">
        <f>IFERROR(__xludf.DUMMYFUNCTION("""COMPUTED_VALUE"""),"AI Strategy Consulting Germany BAFA | Alexander Ratter")</f>
        <v>AI Strategy Consulting Germany BAFA | Alexander Ratter</v>
      </c>
      <c r="C16" s="8" t="str">
        <f>IFERROR(__xludf.DUMMYFUNCTION("""COMPUTED_VALUE"""),"ratter-consulting.com")</f>
        <v>ratter-consulting.com</v>
      </c>
      <c r="D16" s="11" t="str">
        <f>IFERROR(__xludf.DUMMYFUNCTION("""COMPUTED_VALUE"""),"HOMEPAGE")</f>
        <v>HOMEPAGE</v>
      </c>
      <c r="E16" s="11" t="str">
        <f>IFERROR(__xludf.DUMMYFUNCTION("""COMPUTED_VALUE"""),"CORPORATE")</f>
        <v>CORPORATE</v>
      </c>
      <c r="F16" s="11" t="str">
        <f>IFERROR(__xludf.DUMMYFUNCTION("""COMPUTED_VALUE"""),"Homepage")</f>
        <v>Homepage</v>
      </c>
      <c r="G16" s="11" t="b">
        <f>IFERROR(__xludf.DUMMYFUNCTION("""COMPUTED_VALUE"""),FALSE)</f>
        <v>0</v>
      </c>
      <c r="H16" s="11"/>
      <c r="I16" s="11">
        <f>IFERROR(__xludf.DUMMYFUNCTION("""COMPUTED_VALUE"""),8.0)</f>
        <v>8</v>
      </c>
      <c r="J16" s="11">
        <f>IFERROR(__xludf.DUMMYFUNCTION("""COMPUTED_VALUE"""),0.01)</f>
        <v>0.01</v>
      </c>
      <c r="K16" s="11">
        <f>IFERROR(__xludf.DUMMYFUNCTION("""COMPUTED_VALUE"""),0.75)</f>
        <v>0.75</v>
      </c>
    </row>
    <row r="17" ht="15.75" customHeight="1">
      <c r="A17" s="8" t="str">
        <f>IFERROR(__xludf.DUMMYFUNCTION("""COMPUTED_VALUE"""),"https://www.appliedai.de/en/")</f>
        <v>https://www.appliedai.de/en/</v>
      </c>
      <c r="B17" s="11" t="str">
        <f>IFERROR(__xludf.DUMMYFUNCTION("""COMPUTED_VALUE"""),"AI Consulting for Business: Strategy &amp;amp; Execution | appliedAI")</f>
        <v>AI Consulting for Business: Strategy &amp;amp; Execution | appliedAI</v>
      </c>
      <c r="C17" s="8" t="str">
        <f>IFERROR(__xludf.DUMMYFUNCTION("""COMPUTED_VALUE"""),"appliedai.de")</f>
        <v>appliedai.de</v>
      </c>
      <c r="D17" s="11" t="str">
        <f>IFERROR(__xludf.DUMMYFUNCTION("""COMPUTED_VALUE"""),"HOMEPAGE")</f>
        <v>HOMEPAGE</v>
      </c>
      <c r="E17" s="11" t="str">
        <f>IFERROR(__xludf.DUMMYFUNCTION("""COMPUTED_VALUE"""),"CORPORATE")</f>
        <v>CORPORATE</v>
      </c>
      <c r="F17" s="11" t="str">
        <f>IFERROR(__xludf.DUMMYFUNCTION("""COMPUTED_VALUE"""),"Homepage")</f>
        <v>Homepage</v>
      </c>
      <c r="G17" s="11" t="b">
        <f>IFERROR(__xludf.DUMMYFUNCTION("""COMPUTED_VALUE"""),FALSE)</f>
        <v>0</v>
      </c>
      <c r="H17" s="11" t="str">
        <f>IFERROR(__xludf.DUMMYFUNCTION("""COMPUTED_VALUE"""),"appliedAI, Pilot, Measured")</f>
        <v>appliedAI, Pilot, Measured</v>
      </c>
      <c r="I17" s="11">
        <f>IFERROR(__xludf.DUMMYFUNCTION("""COMPUTED_VALUE"""),7.0)</f>
        <v>7</v>
      </c>
      <c r="J17" s="11">
        <f>IFERROR(__xludf.DUMMYFUNCTION("""COMPUTED_VALUE"""),0.01)</f>
        <v>0.01</v>
      </c>
      <c r="K17" s="11">
        <f>IFERROR(__xludf.DUMMYFUNCTION("""COMPUTED_VALUE"""),1.29)</f>
        <v>1.29</v>
      </c>
    </row>
    <row r="18" ht="15.75" customHeight="1">
      <c r="A18" s="8" t="str">
        <f>IFERROR(__xludf.DUMMYFUNCTION("""COMPUTED_VALUE"""),"https://www.deducive.com/")</f>
        <v>https://www.deducive.com/</v>
      </c>
      <c r="B18" s="11" t="str">
        <f>IFERROR(__xludf.DUMMYFUNCTION("""COMPUTED_VALUE"""),"Deducive - Decision-Grade Marketing Measurement")</f>
        <v>Deducive - Decision-Grade Marketing Measurement</v>
      </c>
      <c r="C18" s="8" t="str">
        <f>IFERROR(__xludf.DUMMYFUNCTION("""COMPUTED_VALUE"""),"deducive.com")</f>
        <v>deducive.com</v>
      </c>
      <c r="D18" s="11" t="str">
        <f>IFERROR(__xludf.DUMMYFUNCTION("""COMPUTED_VALUE"""),"HOMEPAGE")</f>
        <v>HOMEPAGE</v>
      </c>
      <c r="E18" s="11" t="str">
        <f>IFERROR(__xludf.DUMMYFUNCTION("""COMPUTED_VALUE"""),"CORPORATE")</f>
        <v>CORPORATE</v>
      </c>
      <c r="F18" s="11" t="str">
        <f>IFERROR(__xludf.DUMMYFUNCTION("""COMPUTED_VALUE"""),"Homepage")</f>
        <v>Homepage</v>
      </c>
      <c r="G18" s="11" t="b">
        <f>IFERROR(__xludf.DUMMYFUNCTION("""COMPUTED_VALUE"""),FALSE)</f>
        <v>0</v>
      </c>
      <c r="H18" s="11"/>
      <c r="I18" s="11">
        <f>IFERROR(__xludf.DUMMYFUNCTION("""COMPUTED_VALUE"""),7.0)</f>
        <v>7</v>
      </c>
      <c r="J18" s="11">
        <f>IFERROR(__xludf.DUMMYFUNCTION("""COMPUTED_VALUE"""),0.01)</f>
        <v>0.01</v>
      </c>
      <c r="K18" s="11">
        <f>IFERROR(__xludf.DUMMYFUNCTION("""COMPUTED_VALUE"""),1.71)</f>
        <v>1.71</v>
      </c>
    </row>
    <row r="19" ht="15.75" customHeight="1">
      <c r="A19" s="8" t="str">
        <f>IFERROR(__xludf.DUMMYFUNCTION("""COMPUTED_VALUE"""),"https://naointelligence.com/en")</f>
        <v>https://naointelligence.com/en</v>
      </c>
      <c r="B19" s="11" t="str">
        <f>IFERROR(__xludf.DUMMYFUNCTION("""COMPUTED_VALUE"""),"Nao Intelligence — AI consulting for the German Mittelstand")</f>
        <v>Nao Intelligence — AI consulting for the German Mittelstand</v>
      </c>
      <c r="C19" s="8" t="str">
        <f>IFERROR(__xludf.DUMMYFUNCTION("""COMPUTED_VALUE"""),"naointelligence.com")</f>
        <v>naointelligence.com</v>
      </c>
      <c r="D19" s="11" t="str">
        <f>IFERROR(__xludf.DUMMYFUNCTION("""COMPUTED_VALUE"""),"HOMEPAGE")</f>
        <v>HOMEPAGE</v>
      </c>
      <c r="E19" s="11" t="str">
        <f>IFERROR(__xludf.DUMMYFUNCTION("""COMPUTED_VALUE"""),"CORPORATE")</f>
        <v>CORPORATE</v>
      </c>
      <c r="F19" s="11" t="str">
        <f>IFERROR(__xludf.DUMMYFUNCTION("""COMPUTED_VALUE"""),"Homepage")</f>
        <v>Homepage</v>
      </c>
      <c r="G19" s="11" t="b">
        <f>IFERROR(__xludf.DUMMYFUNCTION("""COMPUTED_VALUE"""),FALSE)</f>
        <v>0</v>
      </c>
      <c r="H19" s="11" t="str">
        <f>IFERROR(__xludf.DUMMYFUNCTION("""COMPUTED_VALUE"""),"Pilot")</f>
        <v>Pilot</v>
      </c>
      <c r="I19" s="11">
        <f>IFERROR(__xludf.DUMMYFUNCTION("""COMPUTED_VALUE"""),7.0)</f>
        <v>7</v>
      </c>
      <c r="J19" s="11">
        <f>IFERROR(__xludf.DUMMYFUNCTION("""COMPUTED_VALUE"""),0.01)</f>
        <v>0.01</v>
      </c>
      <c r="K19" s="11">
        <f>IFERROR(__xludf.DUMMYFUNCTION("""COMPUTED_VALUE"""),1.0)</f>
        <v>1</v>
      </c>
    </row>
    <row r="20" ht="15.75" customHeight="1">
      <c r="A20" s="8" t="str">
        <f>IFERROR(__xludf.DUMMYFUNCTION("""COMPUTED_VALUE"""),"https://www.s-f.family/")</f>
        <v>https://www.s-f.family/</v>
      </c>
      <c r="B20" s="11" t="str">
        <f>IFERROR(__xludf.DUMMYFUNCTION("""COMPUTED_VALUE"""),"Scholz &amp;amp; Friends")</f>
        <v>Scholz &amp;amp; Friends</v>
      </c>
      <c r="C20" s="11" t="str">
        <f>IFERROR(__xludf.DUMMYFUNCTION("""COMPUTED_VALUE"""),"s-f.family")</f>
        <v>s-f.family</v>
      </c>
      <c r="D20" s="11" t="str">
        <f>IFERROR(__xludf.DUMMYFUNCTION("""COMPUTED_VALUE"""),"HOMEPAGE")</f>
        <v>HOMEPAGE</v>
      </c>
      <c r="E20" s="11" t="str">
        <f>IFERROR(__xludf.DUMMYFUNCTION("""COMPUTED_VALUE"""),"COMPETITOR")</f>
        <v>COMPETITOR</v>
      </c>
      <c r="F20" s="11" t="str">
        <f>IFERROR(__xludf.DUMMYFUNCTION("""COMPUTED_VALUE"""),"Homepage")</f>
        <v>Homepage</v>
      </c>
      <c r="G20" s="11" t="b">
        <f>IFERROR(__xludf.DUMMYFUNCTION("""COMPUTED_VALUE"""),FALSE)</f>
        <v>0</v>
      </c>
      <c r="H20" s="11" t="str">
        <f>IFERROR(__xludf.DUMMYFUNCTION("""COMPUTED_VALUE"""),"Scholz &amp; Friends, WPP")</f>
        <v>Scholz &amp; Friends, WPP</v>
      </c>
      <c r="I20" s="11">
        <f>IFERROR(__xludf.DUMMYFUNCTION("""COMPUTED_VALUE"""),7.0)</f>
        <v>7</v>
      </c>
      <c r="J20" s="11">
        <f>IFERROR(__xludf.DUMMYFUNCTION("""COMPUTED_VALUE"""),0.01)</f>
        <v>0.01</v>
      </c>
      <c r="K20" s="11">
        <f>IFERROR(__xludf.DUMMYFUNCTION("""COMPUTED_VALUE"""),1.29)</f>
        <v>1.29</v>
      </c>
    </row>
    <row r="21" ht="15.75" customHeight="1">
      <c r="A21" s="8" t="str">
        <f>IFERROR(__xludf.DUMMYFUNCTION("""COMPUTED_VALUE"""),"https://www.scability.de/")</f>
        <v>https://www.scability.de/</v>
      </c>
      <c r="B21" s="11" t="str">
        <f>IFERROR(__xludf.DUMMYFUNCTION("""COMPUTED_VALUE"""),"Scability ( ͡° ͜ʖ ͡°) Online Marketing Agentur Coburg")</f>
        <v>Scability ( ͡° ͜ʖ ͡°) Online Marketing Agentur Coburg</v>
      </c>
      <c r="C21" s="8" t="str">
        <f>IFERROR(__xludf.DUMMYFUNCTION("""COMPUTED_VALUE"""),"scability.de")</f>
        <v>scability.de</v>
      </c>
      <c r="D21" s="11" t="str">
        <f>IFERROR(__xludf.DUMMYFUNCTION("""COMPUTED_VALUE"""),"HOMEPAGE")</f>
        <v>HOMEPAGE</v>
      </c>
      <c r="E21" s="11" t="str">
        <f>IFERROR(__xludf.DUMMYFUNCTION("""COMPUTED_VALUE"""),"CORPORATE")</f>
        <v>CORPORATE</v>
      </c>
      <c r="F21" s="11" t="str">
        <f>IFERROR(__xludf.DUMMYFUNCTION("""COMPUTED_VALUE"""),"Homepage")</f>
        <v>Homepage</v>
      </c>
      <c r="G21" s="11" t="b">
        <f>IFERROR(__xludf.DUMMYFUNCTION("""COMPUTED_VALUE"""),FALSE)</f>
        <v>0</v>
      </c>
      <c r="H21" s="11" t="str">
        <f>IFERROR(__xludf.DUMMYFUNCTION("""COMPUTED_VALUE"""),"Pilot")</f>
        <v>Pilot</v>
      </c>
      <c r="I21" s="11">
        <f>IFERROR(__xludf.DUMMYFUNCTION("""COMPUTED_VALUE"""),7.0)</f>
        <v>7</v>
      </c>
      <c r="J21" s="11">
        <f>IFERROR(__xludf.DUMMYFUNCTION("""COMPUTED_VALUE"""),0.01)</f>
        <v>0.01</v>
      </c>
      <c r="K21" s="11">
        <f>IFERROR(__xludf.DUMMYFUNCTION("""COMPUTED_VALUE"""),1.29)</f>
        <v>1.29</v>
      </c>
    </row>
    <row r="22" ht="15.75" customHeight="1">
      <c r="A22" s="8" t="str">
        <f>IFERROR(__xludf.DUMMYFUNCTION("""COMPUTED_VALUE"""),"https://www.foundry.berlin/")</f>
        <v>https://www.foundry.berlin/</v>
      </c>
      <c r="B22" s="11" t="str">
        <f>IFERROR(__xludf.DUMMYFUNCTION("""COMPUTED_VALUE"""),"FOUNDRY / Creative Agency in Berlin, Zürich and New York")</f>
        <v>FOUNDRY / Creative Agency in Berlin, Zürich and New York</v>
      </c>
      <c r="C22" s="11" t="str">
        <f>IFERROR(__xludf.DUMMYFUNCTION("""COMPUTED_VALUE"""),"foundry.berlin")</f>
        <v>foundry.berlin</v>
      </c>
      <c r="D22" s="11" t="str">
        <f>IFERROR(__xludf.DUMMYFUNCTION("""COMPUTED_VALUE"""),"HOMEPAGE")</f>
        <v>HOMEPAGE</v>
      </c>
      <c r="E22" s="11" t="str">
        <f>IFERROR(__xludf.DUMMYFUNCTION("""COMPUTED_VALUE"""),"CORPORATE")</f>
        <v>CORPORATE</v>
      </c>
      <c r="F22" s="11" t="str">
        <f>IFERROR(__xludf.DUMMYFUNCTION("""COMPUTED_VALUE"""),"Homepage")</f>
        <v>Homepage</v>
      </c>
      <c r="G22" s="11" t="b">
        <f>IFERROR(__xludf.DUMMYFUNCTION("""COMPUTED_VALUE"""),FALSE)</f>
        <v>0</v>
      </c>
      <c r="H22" s="11"/>
      <c r="I22" s="11">
        <f>IFERROR(__xludf.DUMMYFUNCTION("""COMPUTED_VALUE"""),6.0)</f>
        <v>6</v>
      </c>
      <c r="J22" s="11">
        <f>IFERROR(__xludf.DUMMYFUNCTION("""COMPUTED_VALUE"""),0.01)</f>
        <v>0.01</v>
      </c>
      <c r="K22" s="11">
        <f>IFERROR(__xludf.DUMMYFUNCTION("""COMPUTED_VALUE"""),1.0)</f>
        <v>1</v>
      </c>
    </row>
    <row r="23" ht="15.75" customHeight="1">
      <c r="A23" s="8" t="str">
        <f>IFERROR(__xludf.DUMMYFUNCTION("""COMPUTED_VALUE"""),"https://www.house-of-communication.com/de/de.html")</f>
        <v>https://www.house-of-communication.com/de/de.html</v>
      </c>
      <c r="B23" s="11" t="str">
        <f>IFERROR(__xludf.DUMMYFUNCTION("""COMPUTED_VALUE"""),"DE | House of Communication")</f>
        <v>DE | House of Communication</v>
      </c>
      <c r="C23" s="8" t="str">
        <f>IFERROR(__xludf.DUMMYFUNCTION("""COMPUTED_VALUE"""),"house-of-communication.com")</f>
        <v>house-of-communication.com</v>
      </c>
      <c r="D23" s="11" t="str">
        <f>IFERROR(__xludf.DUMMYFUNCTION("""COMPUTED_VALUE"""),"HOMEPAGE")</f>
        <v>HOMEPAGE</v>
      </c>
      <c r="E23" s="11" t="str">
        <f>IFERROR(__xludf.DUMMYFUNCTION("""COMPUTED_VALUE"""),"COMPETITOR")</f>
        <v>COMPETITOR</v>
      </c>
      <c r="F23" s="11" t="str">
        <f>IFERROR(__xludf.DUMMYFUNCTION("""COMPUTED_VALUE"""),"Homepage")</f>
        <v>Homepage</v>
      </c>
      <c r="G23" s="11" t="b">
        <f>IFERROR(__xludf.DUMMYFUNCTION("""COMPUTED_VALUE"""),FALSE)</f>
        <v>0</v>
      </c>
      <c r="H23" s="11" t="str">
        <f>IFERROR(__xludf.DUMMYFUNCTION("""COMPUTED_VALUE"""),"Serviceplan Group")</f>
        <v>Serviceplan Group</v>
      </c>
      <c r="I23" s="11">
        <f>IFERROR(__xludf.DUMMYFUNCTION("""COMPUTED_VALUE"""),6.0)</f>
        <v>6</v>
      </c>
      <c r="J23" s="11">
        <f>IFERROR(__xludf.DUMMYFUNCTION("""COMPUTED_VALUE"""),0.01)</f>
        <v>0.01</v>
      </c>
      <c r="K23" s="11">
        <f>IFERROR(__xludf.DUMMYFUNCTION("""COMPUTED_VALUE"""),1.0)</f>
        <v>1</v>
      </c>
    </row>
    <row r="24" ht="15.75" customHeight="1">
      <c r="A24" s="8" t="str">
        <f>IFERROR(__xludf.DUMMYFUNCTION("""COMPUTED_VALUE"""),"https://sentinus-consulting.de/")</f>
        <v>https://sentinus-consulting.de/</v>
      </c>
      <c r="B24" s="11" t="str">
        <f>IFERROR(__xludf.DUMMYFUNCTION("""COMPUTED_VALUE"""),"Sentinus | KI-Consulting, Coaching &amp;amp; Projekt-Support für Unternehmen")</f>
        <v>Sentinus | KI-Consulting, Coaching &amp;amp; Projekt-Support für Unternehmen</v>
      </c>
      <c r="C24" s="8" t="str">
        <f>IFERROR(__xludf.DUMMYFUNCTION("""COMPUTED_VALUE"""),"sentinus-consulting.de")</f>
        <v>sentinus-consulting.de</v>
      </c>
      <c r="D24" s="11" t="str">
        <f>IFERROR(__xludf.DUMMYFUNCTION("""COMPUTED_VALUE"""),"HOMEPAGE")</f>
        <v>HOMEPAGE</v>
      </c>
      <c r="E24" s="11" t="str">
        <f>IFERROR(__xludf.DUMMYFUNCTION("""COMPUTED_VALUE"""),"CORPORATE")</f>
        <v>CORPORATE</v>
      </c>
      <c r="F24" s="11" t="str">
        <f>IFERROR(__xludf.DUMMYFUNCTION("""COMPUTED_VALUE"""),"Homepage")</f>
        <v>Homepage</v>
      </c>
      <c r="G24" s="11" t="b">
        <f>IFERROR(__xludf.DUMMYFUNCTION("""COMPUTED_VALUE"""),FALSE)</f>
        <v>0</v>
      </c>
      <c r="H24" s="11" t="str">
        <f>IFERROR(__xludf.DUMMYFUNCTION("""COMPUTED_VALUE"""),"Boston Consulting Group, BCG, Haus")</f>
        <v>Boston Consulting Group, BCG, Haus</v>
      </c>
      <c r="I24" s="11">
        <f>IFERROR(__xludf.DUMMYFUNCTION("""COMPUTED_VALUE"""),6.0)</f>
        <v>6</v>
      </c>
      <c r="J24" s="11">
        <f>IFERROR(__xludf.DUMMYFUNCTION("""COMPUTED_VALUE"""),0.01)</f>
        <v>0.01</v>
      </c>
      <c r="K24" s="11">
        <f>IFERROR(__xludf.DUMMYFUNCTION("""COMPUTED_VALUE"""),0.5)</f>
        <v>0.5</v>
      </c>
    </row>
    <row r="25" ht="15.75" customHeight="1">
      <c r="A25" s="8" t="str">
        <f>IFERROR(__xludf.DUMMYFUNCTION("""COMPUTED_VALUE"""),"https://www.adbaker.de/")</f>
        <v>https://www.adbaker.de/</v>
      </c>
      <c r="B25" s="11" t="str">
        <f>IFERROR(__xludf.DUMMYFUNCTION("""COMPUTED_VALUE"""),"Agentur für Social Performance Advertising | ADBAKER")</f>
        <v>Agentur für Social Performance Advertising | ADBAKER</v>
      </c>
      <c r="C25" s="8" t="str">
        <f>IFERROR(__xludf.DUMMYFUNCTION("""COMPUTED_VALUE"""),"adbaker.de")</f>
        <v>adbaker.de</v>
      </c>
      <c r="D25" s="11" t="str">
        <f>IFERROR(__xludf.DUMMYFUNCTION("""COMPUTED_VALUE"""),"HOMEPAGE")</f>
        <v>HOMEPAGE</v>
      </c>
      <c r="E25" s="11" t="str">
        <f>IFERROR(__xludf.DUMMYFUNCTION("""COMPUTED_VALUE"""),"CORPORATE")</f>
        <v>CORPORATE</v>
      </c>
      <c r="F25" s="11" t="str">
        <f>IFERROR(__xludf.DUMMYFUNCTION("""COMPUTED_VALUE"""),"Homepage")</f>
        <v>Homepage</v>
      </c>
      <c r="G25" s="11" t="b">
        <f>IFERROR(__xludf.DUMMYFUNCTION("""COMPUTED_VALUE"""),FALSE)</f>
        <v>0</v>
      </c>
      <c r="H25" s="11"/>
      <c r="I25" s="11">
        <f>IFERROR(__xludf.DUMMYFUNCTION("""COMPUTED_VALUE"""),5.0)</f>
        <v>5</v>
      </c>
      <c r="J25" s="11">
        <f>IFERROR(__xludf.DUMMYFUNCTION("""COMPUTED_VALUE"""),0.01)</f>
        <v>0.01</v>
      </c>
      <c r="K25" s="11">
        <f>IFERROR(__xludf.DUMMYFUNCTION("""COMPUTED_VALUE"""),0.0)</f>
        <v>0</v>
      </c>
    </row>
    <row r="26" ht="15.75" customHeight="1">
      <c r="A26" s="8" t="str">
        <f>IFERROR(__xludf.DUMMYFUNCTION("""COMPUTED_VALUE"""),"https://easy-m.de/")</f>
        <v>https://easy-m.de/</v>
      </c>
      <c r="B26" s="11" t="str">
        <f>IFERROR(__xludf.DUMMYFUNCTION("""COMPUTED_VALUE"""),"Enterprise-Plattform für Marketing Attribution &amp;amp; Tracking | easy Marketing")</f>
        <v>Enterprise-Plattform für Marketing Attribution &amp;amp; Tracking | easy Marketing</v>
      </c>
      <c r="C26" s="8" t="str">
        <f>IFERROR(__xludf.DUMMYFUNCTION("""COMPUTED_VALUE"""),"easy-m.de")</f>
        <v>easy-m.de</v>
      </c>
      <c r="D26" s="11" t="str">
        <f>IFERROR(__xludf.DUMMYFUNCTION("""COMPUTED_VALUE"""),"HOMEPAGE")</f>
        <v>HOMEPAGE</v>
      </c>
      <c r="E26" s="11" t="str">
        <f>IFERROR(__xludf.DUMMYFUNCTION("""COMPUTED_VALUE"""),"CORPORATE")</f>
        <v>CORPORATE</v>
      </c>
      <c r="F26" s="11" t="str">
        <f>IFERROR(__xludf.DUMMYFUNCTION("""COMPUTED_VALUE"""),"Homepage")</f>
        <v>Homepage</v>
      </c>
      <c r="G26" s="11" t="b">
        <f>IFERROR(__xludf.DUMMYFUNCTION("""COMPUTED_VALUE"""),FALSE)</f>
        <v>0</v>
      </c>
      <c r="H26" s="11"/>
      <c r="I26" s="11">
        <f>IFERROR(__xludf.DUMMYFUNCTION("""COMPUTED_VALUE"""),5.0)</f>
        <v>5</v>
      </c>
      <c r="J26" s="11">
        <f>IFERROR(__xludf.DUMMYFUNCTION("""COMPUTED_VALUE"""),0.01)</f>
        <v>0.01</v>
      </c>
      <c r="K26" s="11">
        <f>IFERROR(__xludf.DUMMYFUNCTION("""COMPUTED_VALUE"""),0.8)</f>
        <v>0.8</v>
      </c>
    </row>
    <row r="27" ht="15.75" customHeight="1">
      <c r="A27" s="8" t="str">
        <f>IFERROR(__xludf.DUMMYFUNCTION("""COMPUTED_VALUE"""),"https://passion4it.de/en/ai/")</f>
        <v>https://passion4it.de/en/ai/</v>
      </c>
      <c r="B27" s="11" t="str">
        <f>IFERROR(__xludf.DUMMYFUNCTION("""COMPUTED_VALUE"""),"AI consulting | passion4it")</f>
        <v>AI consulting | passion4it</v>
      </c>
      <c r="C27" s="8" t="str">
        <f>IFERROR(__xludf.DUMMYFUNCTION("""COMPUTED_VALUE"""),"passion4it.de")</f>
        <v>passion4it.de</v>
      </c>
      <c r="D27" s="11" t="str">
        <f>IFERROR(__xludf.DUMMYFUNCTION("""COMPUTED_VALUE"""),"HOMEPAGE")</f>
        <v>HOMEPAGE</v>
      </c>
      <c r="E27" s="11" t="str">
        <f>IFERROR(__xludf.DUMMYFUNCTION("""COMPUTED_VALUE"""),"CORPORATE")</f>
        <v>CORPORATE</v>
      </c>
      <c r="F27" s="11" t="str">
        <f>IFERROR(__xludf.DUMMYFUNCTION("""COMPUTED_VALUE"""),"Homepage")</f>
        <v>Homepage</v>
      </c>
      <c r="G27" s="11" t="b">
        <f>IFERROR(__xludf.DUMMYFUNCTION("""COMPUTED_VALUE"""),FALSE)</f>
        <v>0</v>
      </c>
      <c r="H27" s="11"/>
      <c r="I27" s="11">
        <f>IFERROR(__xludf.DUMMYFUNCTION("""COMPUTED_VALUE"""),5.0)</f>
        <v>5</v>
      </c>
      <c r="J27" s="11">
        <f>IFERROR(__xludf.DUMMYFUNCTION("""COMPUTED_VALUE"""),0.01)</f>
        <v>0.01</v>
      </c>
      <c r="K27" s="11">
        <f>IFERROR(__xludf.DUMMYFUNCTION("""COMPUTED_VALUE"""),0.6)</f>
        <v>0.6</v>
      </c>
    </row>
    <row r="28" ht="15.75" customHeight="1">
      <c r="A28" s="8" t="str">
        <f>IFERROR(__xludf.DUMMYFUNCTION("""COMPUTED_VALUE"""),"https://www.ai-value-consulting.de/")</f>
        <v>https://www.ai-value-consulting.de/</v>
      </c>
      <c r="B28" s="11" t="str">
        <f>IFERROR(__xludf.DUMMYFUNCTION("""COMPUTED_VALUE"""),"AI Value Consulting - AI Readiness Audit &amp;amp; AI Value Discovery")</f>
        <v>AI Value Consulting - AI Readiness Audit &amp;amp; AI Value Discovery</v>
      </c>
      <c r="C28" s="8" t="str">
        <f>IFERROR(__xludf.DUMMYFUNCTION("""COMPUTED_VALUE"""),"ai-value-consulting.de")</f>
        <v>ai-value-consulting.de</v>
      </c>
      <c r="D28" s="11" t="str">
        <f>IFERROR(__xludf.DUMMYFUNCTION("""COMPUTED_VALUE"""),"HOMEPAGE")</f>
        <v>HOMEPAGE</v>
      </c>
      <c r="E28" s="11" t="str">
        <f>IFERROR(__xludf.DUMMYFUNCTION("""COMPUTED_VALUE"""),"CORPORATE")</f>
        <v>CORPORATE</v>
      </c>
      <c r="F28" s="11" t="str">
        <f>IFERROR(__xludf.DUMMYFUNCTION("""COMPUTED_VALUE"""),"Homepage")</f>
        <v>Homepage</v>
      </c>
      <c r="G28" s="11" t="b">
        <f>IFERROR(__xludf.DUMMYFUNCTION("""COMPUTED_VALUE"""),FALSE)</f>
        <v>0</v>
      </c>
      <c r="H28" s="11" t="str">
        <f>IFERROR(__xludf.DUMMYFUNCTION("""COMPUTED_VALUE"""),"Pilot")</f>
        <v>Pilot</v>
      </c>
      <c r="I28" s="11">
        <f>IFERROR(__xludf.DUMMYFUNCTION("""COMPUTED_VALUE"""),4.0)</f>
        <v>4</v>
      </c>
      <c r="J28" s="11">
        <f>IFERROR(__xludf.DUMMYFUNCTION("""COMPUTED_VALUE"""),0.0)</f>
        <v>0</v>
      </c>
      <c r="K28" s="11">
        <f>IFERROR(__xludf.DUMMYFUNCTION("""COMPUTED_VALUE"""),2.0)</f>
        <v>2</v>
      </c>
    </row>
    <row r="29" ht="15.75" customHeight="1">
      <c r="A29" s="8" t="str">
        <f>IFERROR(__xludf.DUMMYFUNCTION("""COMPUTED_VALUE"""),"https://www.bimodal.io/")</f>
        <v>https://www.bimodal.io/</v>
      </c>
      <c r="B29" s="11" t="str">
        <f>IFERROR(__xludf.DUMMYFUNCTION("""COMPUTED_VALUE"""),"Marketing Science Platform. Experiment, validate, and optimise your marketing with Bimodal")</f>
        <v>Marketing Science Platform. Experiment, validate, and optimise your marketing with Bimodal</v>
      </c>
      <c r="C29" s="8" t="str">
        <f>IFERROR(__xludf.DUMMYFUNCTION("""COMPUTED_VALUE"""),"bimodal.io")</f>
        <v>bimodal.io</v>
      </c>
      <c r="D29" s="11" t="str">
        <f>IFERROR(__xludf.DUMMYFUNCTION("""COMPUTED_VALUE"""),"HOMEPAGE")</f>
        <v>HOMEPAGE</v>
      </c>
      <c r="E29" s="11" t="str">
        <f>IFERROR(__xludf.DUMMYFUNCTION("""COMPUTED_VALUE"""),"CORPORATE")</f>
        <v>CORPORATE</v>
      </c>
      <c r="F29" s="11" t="str">
        <f>IFERROR(__xludf.DUMMYFUNCTION("""COMPUTED_VALUE"""),"Homepage")</f>
        <v>Homepage</v>
      </c>
      <c r="G29" s="11" t="b">
        <f>IFERROR(__xludf.DUMMYFUNCTION("""COMPUTED_VALUE"""),FALSE)</f>
        <v>0</v>
      </c>
      <c r="H29" s="11"/>
      <c r="I29" s="11">
        <f>IFERROR(__xludf.DUMMYFUNCTION("""COMPUTED_VALUE"""),4.0)</f>
        <v>4</v>
      </c>
      <c r="J29" s="11">
        <f>IFERROR(__xludf.DUMMYFUNCTION("""COMPUTED_VALUE"""),0.0)</f>
        <v>0</v>
      </c>
      <c r="K29" s="11">
        <f>IFERROR(__xludf.DUMMYFUNCTION("""COMPUTED_VALUE"""),0.5)</f>
        <v>0.5</v>
      </c>
    </row>
    <row r="30" ht="15.75" customHeight="1">
      <c r="A30" s="8" t="str">
        <f>IFERROR(__xludf.DUMMYFUNCTION("""COMPUTED_VALUE"""),"https://getrecast.com/")</f>
        <v>https://getrecast.com/</v>
      </c>
      <c r="B30" s="11" t="str">
        <f>IFERROR(__xludf.DUMMYFUNCTION("""COMPUTED_VALUE"""),"Planning &amp;amp; Analysis Infrastructure - Recast")</f>
        <v>Planning &amp;amp; Analysis Infrastructure - Recast</v>
      </c>
      <c r="C30" s="8" t="str">
        <f>IFERROR(__xludf.DUMMYFUNCTION("""COMPUTED_VALUE"""),"getrecast.com")</f>
        <v>getrecast.com</v>
      </c>
      <c r="D30" s="11" t="str">
        <f>IFERROR(__xludf.DUMMYFUNCTION("""COMPUTED_VALUE"""),"HOMEPAGE")</f>
        <v>HOMEPAGE</v>
      </c>
      <c r="E30" s="11" t="str">
        <f>IFERROR(__xludf.DUMMYFUNCTION("""COMPUTED_VALUE"""),"COMPETITOR")</f>
        <v>COMPETITOR</v>
      </c>
      <c r="F30" s="11" t="str">
        <f>IFERROR(__xludf.DUMMYFUNCTION("""COMPUTED_VALUE"""),"Homepage")</f>
        <v>Homepage</v>
      </c>
      <c r="G30" s="11" t="b">
        <f>IFERROR(__xludf.DUMMYFUNCTION("""COMPUTED_VALUE"""),FALSE)</f>
        <v>0</v>
      </c>
      <c r="H30" s="11" t="str">
        <f>IFERROR(__xludf.DUMMYFUNCTION("""COMPUTED_VALUE"""),"Recast")</f>
        <v>Recast</v>
      </c>
      <c r="I30" s="11">
        <f>IFERROR(__xludf.DUMMYFUNCTION("""COMPUTED_VALUE"""),4.0)</f>
        <v>4</v>
      </c>
      <c r="J30" s="11">
        <f>IFERROR(__xludf.DUMMYFUNCTION("""COMPUTED_VALUE"""),0.0)</f>
        <v>0</v>
      </c>
      <c r="K30" s="11">
        <f>IFERROR(__xludf.DUMMYFUNCTION("""COMPUTED_VALUE"""),0.25)</f>
        <v>0.25</v>
      </c>
    </row>
    <row r="31" ht="15.75" customHeight="1">
      <c r="A31" s="8" t="str">
        <f>IFERROR(__xludf.DUMMYFUNCTION("""COMPUTED_VALUE"""),"https://linea-analytics.com/")</f>
        <v>https://linea-analytics.com/</v>
      </c>
      <c r="B31" s="11" t="str">
        <f>IFERROR(__xludf.DUMMYFUNCTION("""COMPUTED_VALUE"""),"Linea Analytics — True Marketing Impact Measurement (Always-on MMM)")</f>
        <v>Linea Analytics — True Marketing Impact Measurement (Always-on MMM)</v>
      </c>
      <c r="C31" s="8" t="str">
        <f>IFERROR(__xludf.DUMMYFUNCTION("""COMPUTED_VALUE"""),"linea-analytics.com")</f>
        <v>linea-analytics.com</v>
      </c>
      <c r="D31" s="11" t="str">
        <f>IFERROR(__xludf.DUMMYFUNCTION("""COMPUTED_VALUE"""),"HOMEPAGE")</f>
        <v>HOMEPAGE</v>
      </c>
      <c r="E31" s="11" t="str">
        <f>IFERROR(__xludf.DUMMYFUNCTION("""COMPUTED_VALUE"""),"CORPORATE")</f>
        <v>CORPORATE</v>
      </c>
      <c r="F31" s="11" t="str">
        <f>IFERROR(__xludf.DUMMYFUNCTION("""COMPUTED_VALUE"""),"Homepage")</f>
        <v>Homepage</v>
      </c>
      <c r="G31" s="11" t="b">
        <f>IFERROR(__xludf.DUMMYFUNCTION("""COMPUTED_VALUE"""),FALSE)</f>
        <v>0</v>
      </c>
      <c r="H31" s="11" t="str">
        <f>IFERROR(__xludf.DUMMYFUNCTION("""COMPUTED_VALUE"""),"Ebiquity")</f>
        <v>Ebiquity</v>
      </c>
      <c r="I31" s="11">
        <f>IFERROR(__xludf.DUMMYFUNCTION("""COMPUTED_VALUE"""),4.0)</f>
        <v>4</v>
      </c>
      <c r="J31" s="11">
        <f>IFERROR(__xludf.DUMMYFUNCTION("""COMPUTED_VALUE"""),0.0)</f>
        <v>0</v>
      </c>
      <c r="K31" s="11">
        <f>IFERROR(__xludf.DUMMYFUNCTION("""COMPUTED_VALUE"""),2.0)</f>
        <v>2</v>
      </c>
    </row>
    <row r="32" ht="15.75" customHeight="1">
      <c r="A32" s="8" t="str">
        <f>IFERROR(__xludf.DUMMYFUNCTION("""COMPUTED_VALUE"""),"https://mediacharge.com/#:~:text=Our%20holistically%20minded%20team%20not,most%20sustainable%20long%2Dterm%20success.")</f>
        <v>https://mediacharge.com/#:~:text=Our%20holistically%20minded%20team%20not,most%20sustainable%20long%2Dterm%20success.</v>
      </c>
      <c r="B32" s="11" t="str">
        <f>IFERROR(__xludf.DUMMYFUNCTION("""COMPUTED_VALUE"""),"Mediacharge")</f>
        <v>Mediacharge</v>
      </c>
      <c r="C32" s="8" t="str">
        <f>IFERROR(__xludf.DUMMYFUNCTION("""COMPUTED_VALUE"""),"mediacharge.com")</f>
        <v>mediacharge.com</v>
      </c>
      <c r="D32" s="11" t="str">
        <f>IFERROR(__xludf.DUMMYFUNCTION("""COMPUTED_VALUE"""),"HOMEPAGE")</f>
        <v>HOMEPAGE</v>
      </c>
      <c r="E32" s="11" t="str">
        <f>IFERROR(__xludf.DUMMYFUNCTION("""COMPUTED_VALUE"""),"COMPETITOR")</f>
        <v>COMPETITOR</v>
      </c>
      <c r="F32" s="11" t="str">
        <f>IFERROR(__xludf.DUMMYFUNCTION("""COMPUTED_VALUE"""),"Homepage")</f>
        <v>Homepage</v>
      </c>
      <c r="G32" s="11" t="b">
        <f>IFERROR(__xludf.DUMMYFUNCTION("""COMPUTED_VALUE"""),FALSE)</f>
        <v>0</v>
      </c>
      <c r="H32" s="11" t="str">
        <f>IFERROR(__xludf.DUMMYFUNCTION("""COMPUTED_VALUE"""),"Mediacharge")</f>
        <v>Mediacharge</v>
      </c>
      <c r="I32" s="11">
        <f>IFERROR(__xludf.DUMMYFUNCTION("""COMPUTED_VALUE"""),4.0)</f>
        <v>4</v>
      </c>
      <c r="J32" s="11">
        <f>IFERROR(__xludf.DUMMYFUNCTION("""COMPUTED_VALUE"""),0.0)</f>
        <v>0</v>
      </c>
      <c r="K32" s="11">
        <f>IFERROR(__xludf.DUMMYFUNCTION("""COMPUTED_VALUE"""),1.0)</f>
        <v>1</v>
      </c>
    </row>
    <row r="33" ht="15.75" customHeight="1">
      <c r="A33" s="8" t="str">
        <f>IFERROR(__xludf.DUMMYFUNCTION("""COMPUTED_VALUE"""),"https://www.mediaroi.io/en")</f>
        <v>https://www.mediaroi.io/en</v>
      </c>
      <c r="B33" s="11" t="str">
        <f>IFERROR(__xludf.DUMMYFUNCTION("""COMPUTED_VALUE"""),"mediaROI — The AI for Marketing Measurement")</f>
        <v>mediaROI — The AI for Marketing Measurement</v>
      </c>
      <c r="C33" s="8" t="str">
        <f>IFERROR(__xludf.DUMMYFUNCTION("""COMPUTED_VALUE"""),"mediaroi.io")</f>
        <v>mediaroi.io</v>
      </c>
      <c r="D33" s="11" t="str">
        <f>IFERROR(__xludf.DUMMYFUNCTION("""COMPUTED_VALUE"""),"HOMEPAGE")</f>
        <v>HOMEPAGE</v>
      </c>
      <c r="E33" s="11" t="str">
        <f>IFERROR(__xludf.DUMMYFUNCTION("""COMPUTED_VALUE"""),"CORPORATE")</f>
        <v>CORPORATE</v>
      </c>
      <c r="F33" s="11" t="str">
        <f>IFERROR(__xludf.DUMMYFUNCTION("""COMPUTED_VALUE"""),"Homepage")</f>
        <v>Homepage</v>
      </c>
      <c r="G33" s="11" t="b">
        <f>IFERROR(__xludf.DUMMYFUNCTION("""COMPUTED_VALUE"""),FALSE)</f>
        <v>0</v>
      </c>
      <c r="H33" s="11"/>
      <c r="I33" s="11">
        <f>IFERROR(__xludf.DUMMYFUNCTION("""COMPUTED_VALUE"""),4.0)</f>
        <v>4</v>
      </c>
      <c r="J33" s="11">
        <f>IFERROR(__xludf.DUMMYFUNCTION("""COMPUTED_VALUE"""),0.0)</f>
        <v>0</v>
      </c>
      <c r="K33" s="11">
        <f>IFERROR(__xludf.DUMMYFUNCTION("""COMPUTED_VALUE"""),1.25)</f>
        <v>1.25</v>
      </c>
    </row>
    <row r="34" ht="15.75" customHeight="1">
      <c r="A34" s="8" t="str">
        <f>IFERROR(__xludf.DUMMYFUNCTION("""COMPUTED_VALUE"""),"https://www.ruleranalytics.com/")</f>
        <v>https://www.ruleranalytics.com/</v>
      </c>
      <c r="B34" s="11" t="str">
        <f>IFERROR(__xludf.DUMMYFUNCTION("""COMPUTED_VALUE"""),"Unified Marketing Measurement, Attribution &amp;amp; AI | Ruler Analytics")</f>
        <v>Unified Marketing Measurement, Attribution &amp;amp; AI | Ruler Analytics</v>
      </c>
      <c r="C34" s="8" t="str">
        <f>IFERROR(__xludf.DUMMYFUNCTION("""COMPUTED_VALUE"""),"ruleranalytics.com")</f>
        <v>ruleranalytics.com</v>
      </c>
      <c r="D34" s="11" t="str">
        <f>IFERROR(__xludf.DUMMYFUNCTION("""COMPUTED_VALUE"""),"HOMEPAGE")</f>
        <v>HOMEPAGE</v>
      </c>
      <c r="E34" s="11" t="str">
        <f>IFERROR(__xludf.DUMMYFUNCTION("""COMPUTED_VALUE"""),"COMPETITOR")</f>
        <v>COMPETITOR</v>
      </c>
      <c r="F34" s="11" t="str">
        <f>IFERROR(__xludf.DUMMYFUNCTION("""COMPUTED_VALUE"""),"Homepage")</f>
        <v>Homepage</v>
      </c>
      <c r="G34" s="11" t="b">
        <f>IFERROR(__xludf.DUMMYFUNCTION("""COMPUTED_VALUE"""),FALSE)</f>
        <v>0</v>
      </c>
      <c r="H34" s="11" t="str">
        <f>IFERROR(__xludf.DUMMYFUNCTION("""COMPUTED_VALUE"""),"Ruler Analytics")</f>
        <v>Ruler Analytics</v>
      </c>
      <c r="I34" s="11">
        <f>IFERROR(__xludf.DUMMYFUNCTION("""COMPUTED_VALUE"""),4.0)</f>
        <v>4</v>
      </c>
      <c r="J34" s="11">
        <f>IFERROR(__xludf.DUMMYFUNCTION("""COMPUTED_VALUE"""),0.0)</f>
        <v>0</v>
      </c>
      <c r="K34" s="11">
        <f>IFERROR(__xludf.DUMMYFUNCTION("""COMPUTED_VALUE"""),0.0)</f>
        <v>0</v>
      </c>
    </row>
    <row r="35" ht="15.75" customHeight="1">
      <c r="A35" s="8" t="str">
        <f>IFERROR(__xludf.DUMMYFUNCTION("""COMPUTED_VALUE"""),"https://www.unfuture.de/en/")</f>
        <v>https://www.unfuture.de/en/</v>
      </c>
      <c r="B35" s="11" t="str">
        <f>IFERROR(__xludf.DUMMYFUNCTION("""COMPUTED_VALUE"""),"Unfuture — AI transformation for the German mid-market")</f>
        <v>Unfuture — AI transformation for the German mid-market</v>
      </c>
      <c r="C35" s="8" t="str">
        <f>IFERROR(__xludf.DUMMYFUNCTION("""COMPUTED_VALUE"""),"unfuture.de")</f>
        <v>unfuture.de</v>
      </c>
      <c r="D35" s="11" t="str">
        <f>IFERROR(__xludf.DUMMYFUNCTION("""COMPUTED_VALUE"""),"HOMEPAGE")</f>
        <v>HOMEPAGE</v>
      </c>
      <c r="E35" s="11" t="str">
        <f>IFERROR(__xludf.DUMMYFUNCTION("""COMPUTED_VALUE"""),"CORPORATE")</f>
        <v>CORPORATE</v>
      </c>
      <c r="F35" s="11" t="str">
        <f>IFERROR(__xludf.DUMMYFUNCTION("""COMPUTED_VALUE"""),"Homepage")</f>
        <v>Homepage</v>
      </c>
      <c r="G35" s="11" t="b">
        <f>IFERROR(__xludf.DUMMYFUNCTION("""COMPUTED_VALUE"""),FALSE)</f>
        <v>0</v>
      </c>
      <c r="H35" s="11" t="str">
        <f>IFERROR(__xludf.DUMMYFUNCTION("""COMPUTED_VALUE"""),"Pilot")</f>
        <v>Pilot</v>
      </c>
      <c r="I35" s="11">
        <f>IFERROR(__xludf.DUMMYFUNCTION("""COMPUTED_VALUE"""),4.0)</f>
        <v>4</v>
      </c>
      <c r="J35" s="11">
        <f>IFERROR(__xludf.DUMMYFUNCTION("""COMPUTED_VALUE"""),0.0)</f>
        <v>0</v>
      </c>
      <c r="K35" s="11">
        <f>IFERROR(__xludf.DUMMYFUNCTION("""COMPUTED_VALUE"""),0.0)</f>
        <v>0</v>
      </c>
    </row>
    <row r="36" ht="15.75" customHeight="1">
      <c r="A36" s="8" t="str">
        <f>IFERROR(__xludf.DUMMYFUNCTION("""COMPUTED_VALUE"""),"https://www.adcountable.com/")</f>
        <v>https://www.adcountable.com/</v>
      </c>
      <c r="B36" s="11"/>
      <c r="C36" s="8" t="str">
        <f>IFERROR(__xludf.DUMMYFUNCTION("""COMPUTED_VALUE"""),"adcountable.com")</f>
        <v>adcountable.com</v>
      </c>
      <c r="D36" s="11" t="str">
        <f>IFERROR(__xludf.DUMMYFUNCTION("""COMPUTED_VALUE"""),"HOMEPAGE")</f>
        <v>HOMEPAGE</v>
      </c>
      <c r="E36" s="11" t="str">
        <f>IFERROR(__xludf.DUMMYFUNCTION("""COMPUTED_VALUE"""),"CORPORATE")</f>
        <v>CORPORATE</v>
      </c>
      <c r="F36" s="11" t="str">
        <f>IFERROR(__xludf.DUMMYFUNCTION("""COMPUTED_VALUE"""),"Homepage")</f>
        <v>Homepage</v>
      </c>
      <c r="G36" s="11"/>
      <c r="H36" s="11" t="str">
        <f>IFERROR(__xludf.DUMMYFUNCTION("""COMPUTED_VALUE"""),"Unknown")</f>
        <v>Unknown</v>
      </c>
      <c r="I36" s="11">
        <f>IFERROR(__xludf.DUMMYFUNCTION("""COMPUTED_VALUE"""),3.0)</f>
        <v>3</v>
      </c>
      <c r="J36" s="11">
        <f>IFERROR(__xludf.DUMMYFUNCTION("""COMPUTED_VALUE"""),0.0)</f>
        <v>0</v>
      </c>
      <c r="K36" s="11">
        <f>IFERROR(__xludf.DUMMYFUNCTION("""COMPUTED_VALUE"""),0.0)</f>
        <v>0</v>
      </c>
    </row>
    <row r="37" ht="15.75" customHeight="1">
      <c r="A37" s="8" t="str">
        <f>IFERROR(__xludf.DUMMYFUNCTION("""COMPUTED_VALUE"""),"https://www.adstrat.de/")</f>
        <v>https://www.adstrat.de/</v>
      </c>
      <c r="B37" s="11" t="str">
        <f>IFERROR(__xludf.DUMMYFUNCTION("""COMPUTED_VALUE"""),"AdStrat - SEA &amp;amp; Paid Social: Performance Marketing Agentur")</f>
        <v>AdStrat - SEA &amp;amp; Paid Social: Performance Marketing Agentur</v>
      </c>
      <c r="C37" s="8" t="str">
        <f>IFERROR(__xludf.DUMMYFUNCTION("""COMPUTED_VALUE"""),"adstrat.de")</f>
        <v>adstrat.de</v>
      </c>
      <c r="D37" s="11" t="str">
        <f>IFERROR(__xludf.DUMMYFUNCTION("""COMPUTED_VALUE"""),"HOMEPAGE")</f>
        <v>HOMEPAGE</v>
      </c>
      <c r="E37" s="11" t="str">
        <f>IFERROR(__xludf.DUMMYFUNCTION("""COMPUTED_VALUE"""),"CORPORATE")</f>
        <v>CORPORATE</v>
      </c>
      <c r="F37" s="11" t="str">
        <f>IFERROR(__xludf.DUMMYFUNCTION("""COMPUTED_VALUE"""),"Homepage")</f>
        <v>Homepage</v>
      </c>
      <c r="G37" s="11" t="b">
        <f>IFERROR(__xludf.DUMMYFUNCTION("""COMPUTED_VALUE"""),FALSE)</f>
        <v>0</v>
      </c>
      <c r="H37" s="11"/>
      <c r="I37" s="11">
        <f>IFERROR(__xludf.DUMMYFUNCTION("""COMPUTED_VALUE"""),3.0)</f>
        <v>3</v>
      </c>
      <c r="J37" s="11">
        <f>IFERROR(__xludf.DUMMYFUNCTION("""COMPUTED_VALUE"""),0.0)</f>
        <v>0</v>
      </c>
      <c r="K37" s="11">
        <f>IFERROR(__xludf.DUMMYFUNCTION("""COMPUTED_VALUE"""),0.0)</f>
        <v>0</v>
      </c>
    </row>
    <row r="38" ht="15.75" customHeight="1">
      <c r="A38" s="8" t="str">
        <f>IFERROR(__xludf.DUMMYFUNCTION("""COMPUTED_VALUE"""),"https://bconic.com/")</f>
        <v>https://bconic.com/</v>
      </c>
      <c r="B38" s="11" t="str">
        <f>IFERROR(__xludf.DUMMYFUNCTION("""COMPUTED_VALUE"""),"Bconic: Independent Marketing Measurement Platform")</f>
        <v>Bconic: Independent Marketing Measurement Platform</v>
      </c>
      <c r="C38" s="8" t="str">
        <f>IFERROR(__xludf.DUMMYFUNCTION("""COMPUTED_VALUE"""),"bconic.com")</f>
        <v>bconic.com</v>
      </c>
      <c r="D38" s="11" t="str">
        <f>IFERROR(__xludf.DUMMYFUNCTION("""COMPUTED_VALUE"""),"HOMEPAGE")</f>
        <v>HOMEPAGE</v>
      </c>
      <c r="E38" s="11" t="str">
        <f>IFERROR(__xludf.DUMMYFUNCTION("""COMPUTED_VALUE"""),"CORPORATE")</f>
        <v>CORPORATE</v>
      </c>
      <c r="F38" s="11" t="str">
        <f>IFERROR(__xludf.DUMMYFUNCTION("""COMPUTED_VALUE"""),"Homepage")</f>
        <v>Homepage</v>
      </c>
      <c r="G38" s="11" t="b">
        <f>IFERROR(__xludf.DUMMYFUNCTION("""COMPUTED_VALUE"""),FALSE)</f>
        <v>0</v>
      </c>
      <c r="H38" s="11" t="str">
        <f>IFERROR(__xludf.DUMMYFUNCTION("""COMPUTED_VALUE"""),"Measured")</f>
        <v>Measured</v>
      </c>
      <c r="I38" s="11">
        <f>IFERROR(__xludf.DUMMYFUNCTION("""COMPUTED_VALUE"""),3.0)</f>
        <v>3</v>
      </c>
      <c r="J38" s="11">
        <f>IFERROR(__xludf.DUMMYFUNCTION("""COMPUTED_VALUE"""),0.0)</f>
        <v>0</v>
      </c>
      <c r="K38" s="11">
        <f>IFERROR(__xludf.DUMMYFUNCTION("""COMPUTED_VALUE"""),0.67)</f>
        <v>0.67</v>
      </c>
    </row>
    <row r="39" ht="15.75" customHeight="1">
      <c r="A39" s="8" t="str">
        <f>IFERROR(__xludf.DUMMYFUNCTION("""COMPUTED_VALUE"""),"https://www.claneo.com/en/")</f>
        <v>https://www.claneo.com/en/</v>
      </c>
      <c r="B39" s="11" t="str">
        <f>IFERROR(__xludf.DUMMYFUNCTION("""COMPUTED_VALUE"""),"Content Marketing Agency with Focus on Search Experience | Claneo")</f>
        <v>Content Marketing Agency with Focus on Search Experience | Claneo</v>
      </c>
      <c r="C39" s="8" t="str">
        <f>IFERROR(__xludf.DUMMYFUNCTION("""COMPUTED_VALUE"""),"claneo.com")</f>
        <v>claneo.com</v>
      </c>
      <c r="D39" s="11" t="str">
        <f>IFERROR(__xludf.DUMMYFUNCTION("""COMPUTED_VALUE"""),"HOMEPAGE")</f>
        <v>HOMEPAGE</v>
      </c>
      <c r="E39" s="11" t="str">
        <f>IFERROR(__xludf.DUMMYFUNCTION("""COMPUTED_VALUE"""),"COMPETITOR")</f>
        <v>COMPETITOR</v>
      </c>
      <c r="F39" s="11" t="str">
        <f>IFERROR(__xludf.DUMMYFUNCTION("""COMPUTED_VALUE"""),"Homepage")</f>
        <v>Homepage</v>
      </c>
      <c r="G39" s="11" t="b">
        <f>IFERROR(__xludf.DUMMYFUNCTION("""COMPUTED_VALUE"""),FALSE)</f>
        <v>0</v>
      </c>
      <c r="H39" s="11" t="str">
        <f>IFERROR(__xludf.DUMMYFUNCTION("""COMPUTED_VALUE"""),"Claneo, Nielsen")</f>
        <v>Claneo, Nielsen</v>
      </c>
      <c r="I39" s="11">
        <f>IFERROR(__xludf.DUMMYFUNCTION("""COMPUTED_VALUE"""),3.0)</f>
        <v>3</v>
      </c>
      <c r="J39" s="11">
        <f>IFERROR(__xludf.DUMMYFUNCTION("""COMPUTED_VALUE"""),0.0)</f>
        <v>0</v>
      </c>
      <c r="K39" s="11">
        <f>IFERROR(__xludf.DUMMYFUNCTION("""COMPUTED_VALUE"""),1.0)</f>
        <v>1</v>
      </c>
    </row>
    <row r="40" ht="15.75" customHeight="1">
      <c r="A40" s="8" t="str">
        <f>IFERROR(__xludf.DUMMYFUNCTION("""COMPUTED_VALUE"""),"https://www.datafirstsolutions.de/")</f>
        <v>https://www.datafirstsolutions.de/</v>
      </c>
      <c r="B40" s="11" t="str">
        <f>IFERROR(__xludf.DUMMYFUNCTION("""COMPUTED_VALUE"""),"Attribution + Affiliate-Tracking für DACH | DataFirst")</f>
        <v>Attribution + Affiliate-Tracking für DACH | DataFirst</v>
      </c>
      <c r="C40" s="8" t="str">
        <f>IFERROR(__xludf.DUMMYFUNCTION("""COMPUTED_VALUE"""),"datafirstsolutions.de")</f>
        <v>datafirstsolutions.de</v>
      </c>
      <c r="D40" s="11" t="str">
        <f>IFERROR(__xludf.DUMMYFUNCTION("""COMPUTED_VALUE"""),"HOMEPAGE")</f>
        <v>HOMEPAGE</v>
      </c>
      <c r="E40" s="11" t="str">
        <f>IFERROR(__xludf.DUMMYFUNCTION("""COMPUTED_VALUE"""),"CORPORATE")</f>
        <v>CORPORATE</v>
      </c>
      <c r="F40" s="11" t="str">
        <f>IFERROR(__xludf.DUMMYFUNCTION("""COMPUTED_VALUE"""),"Homepage")</f>
        <v>Homepage</v>
      </c>
      <c r="G40" s="11" t="b">
        <f>IFERROR(__xludf.DUMMYFUNCTION("""COMPUTED_VALUE"""),FALSE)</f>
        <v>0</v>
      </c>
      <c r="H40" s="11"/>
      <c r="I40" s="11">
        <f>IFERROR(__xludf.DUMMYFUNCTION("""COMPUTED_VALUE"""),3.0)</f>
        <v>3</v>
      </c>
      <c r="J40" s="11">
        <f>IFERROR(__xludf.DUMMYFUNCTION("""COMPUTED_VALUE"""),0.0)</f>
        <v>0</v>
      </c>
      <c r="K40" s="11">
        <f>IFERROR(__xludf.DUMMYFUNCTION("""COMPUTED_VALUE"""),2.67)</f>
        <v>2.67</v>
      </c>
    </row>
    <row r="41" ht="15.75" customHeight="1">
      <c r="A41" s="8" t="str">
        <f>IFERROR(__xludf.DUMMYFUNCTION("""COMPUTED_VALUE"""),"https://dynamicsupport.de/it/")</f>
        <v>https://dynamicsupport.de/it/</v>
      </c>
      <c r="B41" s="11" t="str">
        <f>IFERROR(__xludf.DUMMYFUNCTION("""COMPUTED_VALUE"""),"Dynamic Support AG — Consulenza IA per PMI | Agentic AI, Sistemi RAG, Conformità EU AI Act")</f>
        <v>Dynamic Support AG — Consulenza IA per PMI | Agentic AI, Sistemi RAG, Conformità EU AI Act</v>
      </c>
      <c r="C41" s="8" t="str">
        <f>IFERROR(__xludf.DUMMYFUNCTION("""COMPUTED_VALUE"""),"dynamicsupport.de")</f>
        <v>dynamicsupport.de</v>
      </c>
      <c r="D41" s="11" t="str">
        <f>IFERROR(__xludf.DUMMYFUNCTION("""COMPUTED_VALUE"""),"HOMEPAGE")</f>
        <v>HOMEPAGE</v>
      </c>
      <c r="E41" s="11" t="str">
        <f>IFERROR(__xludf.DUMMYFUNCTION("""COMPUTED_VALUE"""),"CORPORATE")</f>
        <v>CORPORATE</v>
      </c>
      <c r="F41" s="11" t="str">
        <f>IFERROR(__xludf.DUMMYFUNCTION("""COMPUTED_VALUE"""),"Homepage")</f>
        <v>Homepage</v>
      </c>
      <c r="G41" s="11" t="b">
        <f>IFERROR(__xludf.DUMMYFUNCTION("""COMPUTED_VALUE"""),FALSE)</f>
        <v>0</v>
      </c>
      <c r="H41" s="11" t="str">
        <f>IFERROR(__xludf.DUMMYFUNCTION("""COMPUTED_VALUE"""),"Pilot")</f>
        <v>Pilot</v>
      </c>
      <c r="I41" s="11">
        <f>IFERROR(__xludf.DUMMYFUNCTION("""COMPUTED_VALUE"""),3.0)</f>
        <v>3</v>
      </c>
      <c r="J41" s="11">
        <f>IFERROR(__xludf.DUMMYFUNCTION("""COMPUTED_VALUE"""),0.0)</f>
        <v>0</v>
      </c>
      <c r="K41" s="11">
        <f>IFERROR(__xludf.DUMMYFUNCTION("""COMPUTED_VALUE"""),0.0)</f>
        <v>0</v>
      </c>
    </row>
    <row r="42" ht="15.75" customHeight="1">
      <c r="A42" s="8" t="str">
        <f>IFERROR(__xludf.DUMMYFUNCTION("""COMPUTED_VALUE"""),"https://echomotion.ai/")</f>
        <v>https://echomotion.ai/</v>
      </c>
      <c r="B42" s="11" t="str">
        <f>IFERROR(__xludf.DUMMYFUNCTION("""COMPUTED_VALUE"""),"Echomotion — KI-Transformation für den Mittelstand | Made in Germany")</f>
        <v>Echomotion — KI-Transformation für den Mittelstand | Made in Germany</v>
      </c>
      <c r="C42" s="8" t="str">
        <f>IFERROR(__xludf.DUMMYFUNCTION("""COMPUTED_VALUE"""),"echomotion.ai")</f>
        <v>echomotion.ai</v>
      </c>
      <c r="D42" s="11" t="str">
        <f>IFERROR(__xludf.DUMMYFUNCTION("""COMPUTED_VALUE"""),"HOMEPAGE")</f>
        <v>HOMEPAGE</v>
      </c>
      <c r="E42" s="11" t="str">
        <f>IFERROR(__xludf.DUMMYFUNCTION("""COMPUTED_VALUE"""),"CORPORATE")</f>
        <v>CORPORATE</v>
      </c>
      <c r="F42" s="11" t="str">
        <f>IFERROR(__xludf.DUMMYFUNCTION("""COMPUTED_VALUE"""),"Homepage")</f>
        <v>Homepage</v>
      </c>
      <c r="G42" s="11" t="b">
        <f>IFERROR(__xludf.DUMMYFUNCTION("""COMPUTED_VALUE"""),FALSE)</f>
        <v>0</v>
      </c>
      <c r="H42" s="11"/>
      <c r="I42" s="11">
        <f>IFERROR(__xludf.DUMMYFUNCTION("""COMPUTED_VALUE"""),3.0)</f>
        <v>3</v>
      </c>
      <c r="J42" s="11">
        <f>IFERROR(__xludf.DUMMYFUNCTION("""COMPUTED_VALUE"""),0.0)</f>
        <v>0</v>
      </c>
      <c r="K42" s="11">
        <f>IFERROR(__xludf.DUMMYFUNCTION("""COMPUTED_VALUE"""),0.0)</f>
        <v>0</v>
      </c>
    </row>
    <row r="43" ht="15.75" customHeight="1">
      <c r="A43" s="8" t="str">
        <f>IFERROR(__xludf.DUMMYFUNCTION("""COMPUTED_VALUE"""),"https://echomotion.ai/?lang=en")</f>
        <v>https://echomotion.ai/?lang=en</v>
      </c>
      <c r="B43" s="11" t="str">
        <f>IFERROR(__xludf.DUMMYFUNCTION("""COMPUTED_VALUE"""),"Echomotion — KI-Transformation für den Mittelstand | Made in Germany")</f>
        <v>Echomotion — KI-Transformation für den Mittelstand | Made in Germany</v>
      </c>
      <c r="C43" s="8" t="str">
        <f>IFERROR(__xludf.DUMMYFUNCTION("""COMPUTED_VALUE"""),"echomotion.ai")</f>
        <v>echomotion.ai</v>
      </c>
      <c r="D43" s="11" t="str">
        <f>IFERROR(__xludf.DUMMYFUNCTION("""COMPUTED_VALUE"""),"HOMEPAGE")</f>
        <v>HOMEPAGE</v>
      </c>
      <c r="E43" s="11" t="str">
        <f>IFERROR(__xludf.DUMMYFUNCTION("""COMPUTED_VALUE"""),"CORPORATE")</f>
        <v>CORPORATE</v>
      </c>
      <c r="F43" s="11" t="str">
        <f>IFERROR(__xludf.DUMMYFUNCTION("""COMPUTED_VALUE"""),"Homepage")</f>
        <v>Homepage</v>
      </c>
      <c r="G43" s="11" t="b">
        <f>IFERROR(__xludf.DUMMYFUNCTION("""COMPUTED_VALUE"""),FALSE)</f>
        <v>0</v>
      </c>
      <c r="H43" s="11"/>
      <c r="I43" s="11">
        <f>IFERROR(__xludf.DUMMYFUNCTION("""COMPUTED_VALUE"""),3.0)</f>
        <v>3</v>
      </c>
      <c r="J43" s="11">
        <f>IFERROR(__xludf.DUMMYFUNCTION("""COMPUTED_VALUE"""),0.0)</f>
        <v>0</v>
      </c>
      <c r="K43" s="11">
        <f>IFERROR(__xludf.DUMMYFUNCTION("""COMPUTED_VALUE"""),0.0)</f>
        <v>0</v>
      </c>
    </row>
    <row r="44" ht="15.75" customHeight="1">
      <c r="A44" s="8" t="str">
        <f>IFERROR(__xludf.DUMMYFUNCTION("""COMPUTED_VALUE"""),"https://www.geoagency.net/")</f>
        <v>https://www.geoagency.net/</v>
      </c>
      <c r="B44" s="11" t="str">
        <f>IFERROR(__xludf.DUMMYFUNCTION("""COMPUTED_VALUE"""),"Generative Engine Optimization (GEO) and Answer Engine Optimization (AEO) Services - GEO Agency")</f>
        <v>Generative Engine Optimization (GEO) and Answer Engine Optimization (AEO) Services - GEO Agency</v>
      </c>
      <c r="C44" s="8" t="str">
        <f>IFERROR(__xludf.DUMMYFUNCTION("""COMPUTED_VALUE"""),"geoagency.net")</f>
        <v>geoagency.net</v>
      </c>
      <c r="D44" s="11" t="str">
        <f>IFERROR(__xludf.DUMMYFUNCTION("""COMPUTED_VALUE"""),"HOMEPAGE")</f>
        <v>HOMEPAGE</v>
      </c>
      <c r="E44" s="11" t="str">
        <f>IFERROR(__xludf.DUMMYFUNCTION("""COMPUTED_VALUE"""),"CORPORATE")</f>
        <v>CORPORATE</v>
      </c>
      <c r="F44" s="11" t="str">
        <f>IFERROR(__xludf.DUMMYFUNCTION("""COMPUTED_VALUE"""),"Homepage")</f>
        <v>Homepage</v>
      </c>
      <c r="G44" s="11" t="b">
        <f>IFERROR(__xludf.DUMMYFUNCTION("""COMPUTED_VALUE"""),FALSE)</f>
        <v>0</v>
      </c>
      <c r="H44" s="11"/>
      <c r="I44" s="11">
        <f>IFERROR(__xludf.DUMMYFUNCTION("""COMPUTED_VALUE"""),3.0)</f>
        <v>3</v>
      </c>
      <c r="J44" s="11">
        <f>IFERROR(__xludf.DUMMYFUNCTION("""COMPUTED_VALUE"""),0.0)</f>
        <v>0</v>
      </c>
      <c r="K44" s="11">
        <f>IFERROR(__xludf.DUMMYFUNCTION("""COMPUTED_VALUE"""),0.0)</f>
        <v>0</v>
      </c>
    </row>
    <row r="45" ht="15.75" customHeight="1">
      <c r="A45" s="8" t="str">
        <f>IFERROR(__xludf.DUMMYFUNCTION("""COMPUTED_VALUE"""),"https://geosphaira.com/")</f>
        <v>https://geosphaira.com/</v>
      </c>
      <c r="B45" s="11" t="str">
        <f>IFERROR(__xludf.DUMMYFUNCTION("""COMPUTED_VALUE"""),"Geosphaira - Die #1 GEO SEO Agentur für ChatGPT &amp; Perplexity \| KI-Optimierung")</f>
        <v>Geosphaira - Die #1 GEO SEO Agentur für ChatGPT &amp; Perplexity \| KI-Optimierung</v>
      </c>
      <c r="C45" s="8" t="str">
        <f>IFERROR(__xludf.DUMMYFUNCTION("""COMPUTED_VALUE"""),"geosphaira.com")</f>
        <v>geosphaira.com</v>
      </c>
      <c r="D45" s="11" t="str">
        <f>IFERROR(__xludf.DUMMYFUNCTION("""COMPUTED_VALUE"""),"HOMEPAGE")</f>
        <v>HOMEPAGE</v>
      </c>
      <c r="E45" s="11" t="str">
        <f>IFERROR(__xludf.DUMMYFUNCTION("""COMPUTED_VALUE"""),"CORPORATE")</f>
        <v>CORPORATE</v>
      </c>
      <c r="F45" s="11" t="str">
        <f>IFERROR(__xludf.DUMMYFUNCTION("""COMPUTED_VALUE"""),"Homepage")</f>
        <v>Homepage</v>
      </c>
      <c r="G45" s="11" t="b">
        <f>IFERROR(__xludf.DUMMYFUNCTION("""COMPUTED_VALUE"""),FALSE)</f>
        <v>0</v>
      </c>
      <c r="H45" s="11"/>
      <c r="I45" s="11">
        <f>IFERROR(__xludf.DUMMYFUNCTION("""COMPUTED_VALUE"""),3.0)</f>
        <v>3</v>
      </c>
      <c r="J45" s="11">
        <f>IFERROR(__xludf.DUMMYFUNCTION("""COMPUTED_VALUE"""),0.0)</f>
        <v>0</v>
      </c>
      <c r="K45" s="11">
        <f>IFERROR(__xludf.DUMMYFUNCTION("""COMPUTED_VALUE"""),0.0)</f>
        <v>0</v>
      </c>
    </row>
    <row r="46" ht="15.75" customHeight="1">
      <c r="A46" s="8" t="str">
        <f>IFERROR(__xludf.DUMMYFUNCTION("""COMPUTED_VALUE"""),"https://getklar.com/")</f>
        <v>https://getklar.com/</v>
      </c>
      <c r="B46" s="11" t="str">
        <f>IFERROR(__xludf.DUMMYFUNCTION("""COMPUTED_VALUE"""),"Home | Klar")</f>
        <v>Home | Klar</v>
      </c>
      <c r="C46" s="8" t="str">
        <f>IFERROR(__xludf.DUMMYFUNCTION("""COMPUTED_VALUE"""),"getklar.com")</f>
        <v>getklar.com</v>
      </c>
      <c r="D46" s="11" t="str">
        <f>IFERROR(__xludf.DUMMYFUNCTION("""COMPUTED_VALUE"""),"HOMEPAGE")</f>
        <v>HOMEPAGE</v>
      </c>
      <c r="E46" s="11" t="str">
        <f>IFERROR(__xludf.DUMMYFUNCTION("""COMPUTED_VALUE"""),"CORPORATE")</f>
        <v>CORPORATE</v>
      </c>
      <c r="F46" s="11" t="str">
        <f>IFERROR(__xludf.DUMMYFUNCTION("""COMPUTED_VALUE"""),"Homepage")</f>
        <v>Homepage</v>
      </c>
      <c r="G46" s="11" t="b">
        <f>IFERROR(__xludf.DUMMYFUNCTION("""COMPUTED_VALUE"""),FALSE)</f>
        <v>0</v>
      </c>
      <c r="H46" s="11"/>
      <c r="I46" s="11">
        <f>IFERROR(__xludf.DUMMYFUNCTION("""COMPUTED_VALUE"""),3.0)</f>
        <v>3</v>
      </c>
      <c r="J46" s="11">
        <f>IFERROR(__xludf.DUMMYFUNCTION("""COMPUTED_VALUE"""),0.0)</f>
        <v>0</v>
      </c>
      <c r="K46" s="11">
        <f>IFERROR(__xludf.DUMMYFUNCTION("""COMPUTED_VALUE"""),1.67)</f>
        <v>1.67</v>
      </c>
    </row>
    <row r="47" ht="15.75" customHeight="1">
      <c r="A47" s="8" t="str">
        <f>IFERROR(__xludf.DUMMYFUNCTION("""COMPUTED_VALUE"""),"https://www.hopmann.com/en/")</f>
        <v>https://www.hopmann.com/en/</v>
      </c>
      <c r="B47" s="11" t="str">
        <f>IFERROR(__xludf.DUMMYFUNCTION("""COMPUTED_VALUE"""),"Hopmann Marketing Analytics: Consulting with Quality - Hopmann Marketing Analytics")</f>
        <v>Hopmann Marketing Analytics: Consulting with Quality - Hopmann Marketing Analytics</v>
      </c>
      <c r="C47" s="8" t="str">
        <f>IFERROR(__xludf.DUMMYFUNCTION("""COMPUTED_VALUE"""),"hopmann.com")</f>
        <v>hopmann.com</v>
      </c>
      <c r="D47" s="11" t="str">
        <f>IFERROR(__xludf.DUMMYFUNCTION("""COMPUTED_VALUE"""),"HOMEPAGE")</f>
        <v>HOMEPAGE</v>
      </c>
      <c r="E47" s="11" t="str">
        <f>IFERROR(__xludf.DUMMYFUNCTION("""COMPUTED_VALUE"""),"COMPETITOR")</f>
        <v>COMPETITOR</v>
      </c>
      <c r="F47" s="11" t="str">
        <f>IFERROR(__xludf.DUMMYFUNCTION("""COMPUTED_VALUE"""),"Homepage")</f>
        <v>Homepage</v>
      </c>
      <c r="G47" s="11" t="b">
        <f>IFERROR(__xludf.DUMMYFUNCTION("""COMPUTED_VALUE"""),FALSE)</f>
        <v>0</v>
      </c>
      <c r="H47" s="11" t="str">
        <f>IFERROR(__xludf.DUMMYFUNCTION("""COMPUTED_VALUE"""),"Huge, Hopmann Marketing Analytics GmbH")</f>
        <v>Huge, Hopmann Marketing Analytics GmbH</v>
      </c>
      <c r="I47" s="11">
        <f>IFERROR(__xludf.DUMMYFUNCTION("""COMPUTED_VALUE"""),3.0)</f>
        <v>3</v>
      </c>
      <c r="J47" s="11">
        <f>IFERROR(__xludf.DUMMYFUNCTION("""COMPUTED_VALUE"""),0.0)</f>
        <v>0</v>
      </c>
      <c r="K47" s="11">
        <f>IFERROR(__xludf.DUMMYFUNCTION("""COMPUTED_VALUE"""),1.33)</f>
        <v>1.33</v>
      </c>
    </row>
    <row r="48" ht="15.75" customHeight="1">
      <c r="A48" s="8" t="str">
        <f>IFERROR(__xludf.DUMMYFUNCTION("""COMPUTED_VALUE"""),"https://www.incrmntal.com/")</f>
        <v>https://www.incrmntal.com/</v>
      </c>
      <c r="B48" s="11" t="str">
        <f>IFERROR(__xludf.DUMMYFUNCTION("""COMPUTED_VALUE"""),"AI-Powered Incremental Marketing &amp;amp; Measurement | INCRMNTAL")</f>
        <v>AI-Powered Incremental Marketing &amp;amp; Measurement | INCRMNTAL</v>
      </c>
      <c r="C48" s="8" t="str">
        <f>IFERROR(__xludf.DUMMYFUNCTION("""COMPUTED_VALUE"""),"incrmntal.com")</f>
        <v>incrmntal.com</v>
      </c>
      <c r="D48" s="11" t="str">
        <f>IFERROR(__xludf.DUMMYFUNCTION("""COMPUTED_VALUE"""),"HOMEPAGE")</f>
        <v>HOMEPAGE</v>
      </c>
      <c r="E48" s="11" t="str">
        <f>IFERROR(__xludf.DUMMYFUNCTION("""COMPUTED_VALUE"""),"COMPETITOR")</f>
        <v>COMPETITOR</v>
      </c>
      <c r="F48" s="11" t="str">
        <f>IFERROR(__xludf.DUMMYFUNCTION("""COMPUTED_VALUE"""),"Homepage")</f>
        <v>Homepage</v>
      </c>
      <c r="G48" s="11" t="b">
        <f>IFERROR(__xludf.DUMMYFUNCTION("""COMPUTED_VALUE"""),FALSE)</f>
        <v>0</v>
      </c>
      <c r="H48" s="11" t="str">
        <f>IFERROR(__xludf.DUMMYFUNCTION("""COMPUTED_VALUE"""),"INCRMNTAL, Measured")</f>
        <v>INCRMNTAL, Measured</v>
      </c>
      <c r="I48" s="11">
        <f>IFERROR(__xludf.DUMMYFUNCTION("""COMPUTED_VALUE"""),3.0)</f>
        <v>3</v>
      </c>
      <c r="J48" s="11">
        <f>IFERROR(__xludf.DUMMYFUNCTION("""COMPUTED_VALUE"""),0.0)</f>
        <v>0</v>
      </c>
      <c r="K48" s="11">
        <f>IFERROR(__xludf.DUMMYFUNCTION("""COMPUTED_VALUE"""),1.0)</f>
        <v>1</v>
      </c>
    </row>
    <row r="49" ht="15.75" customHeight="1">
      <c r="A49" s="8" t="str">
        <f>IFERROR(__xludf.DUMMYFUNCTION("""COMPUTED_VALUE"""),"https://liftlab.com/")</f>
        <v>https://liftlab.com/</v>
      </c>
      <c r="B49" s="11" t="str">
        <f>IFERROR(__xludf.DUMMYFUNCTION("""COMPUTED_VALUE"""),"Agile MMM &amp;amp; Incrementality Testing Built for Growth Leaders | LiftLab")</f>
        <v>Agile MMM &amp;amp; Incrementality Testing Built for Growth Leaders | LiftLab</v>
      </c>
      <c r="C49" s="8" t="str">
        <f>IFERROR(__xludf.DUMMYFUNCTION("""COMPUTED_VALUE"""),"liftlab.com")</f>
        <v>liftlab.com</v>
      </c>
      <c r="D49" s="11" t="str">
        <f>IFERROR(__xludf.DUMMYFUNCTION("""COMPUTED_VALUE"""),"HOMEPAGE")</f>
        <v>HOMEPAGE</v>
      </c>
      <c r="E49" s="11" t="str">
        <f>IFERROR(__xludf.DUMMYFUNCTION("""COMPUTED_VALUE"""),"CORPORATE")</f>
        <v>CORPORATE</v>
      </c>
      <c r="F49" s="11" t="str">
        <f>IFERROR(__xludf.DUMMYFUNCTION("""COMPUTED_VALUE"""),"Homepage")</f>
        <v>Homepage</v>
      </c>
      <c r="G49" s="11" t="b">
        <f>IFERROR(__xludf.DUMMYFUNCTION("""COMPUTED_VALUE"""),FALSE)</f>
        <v>0</v>
      </c>
      <c r="H49" s="11"/>
      <c r="I49" s="11">
        <f>IFERROR(__xludf.DUMMYFUNCTION("""COMPUTED_VALUE"""),3.0)</f>
        <v>3</v>
      </c>
      <c r="J49" s="11">
        <f>IFERROR(__xludf.DUMMYFUNCTION("""COMPUTED_VALUE"""),0.0)</f>
        <v>0</v>
      </c>
      <c r="K49" s="11">
        <f>IFERROR(__xludf.DUMMYFUNCTION("""COMPUTED_VALUE"""),1.0)</f>
        <v>1</v>
      </c>
    </row>
    <row r="50" ht="15.75" customHeight="1">
      <c r="A50" s="8" t="str">
        <f>IFERROR(__xludf.DUMMYFUNCTION("""COMPUTED_VALUE"""),"https://omnicommediagroup.de/#:~:text=TRKKN%20ist%20einer%20der%20f%C3%BChrenden,und%20Data%20%26%20Tech%20Strategy%20hinweg.")</f>
        <v>https://omnicommediagroup.de/#:~:text=TRKKN%20ist%20einer%20der%20f%C3%BChrenden,und%20Data%20%26%20Tech%20Strategy%20hinweg.</v>
      </c>
      <c r="B50" s="11" t="str">
        <f>IFERROR(__xludf.DUMMYFUNCTION("""COMPUTED_VALUE"""),"Germany - Omnicom Media")</f>
        <v>Germany - Omnicom Media</v>
      </c>
      <c r="C50" s="8" t="str">
        <f>IFERROR(__xludf.DUMMYFUNCTION("""COMPUTED_VALUE"""),"omnicommediagroup.de")</f>
        <v>omnicommediagroup.de</v>
      </c>
      <c r="D50" s="11" t="str">
        <f>IFERROR(__xludf.DUMMYFUNCTION("""COMPUTED_VALUE"""),"HOMEPAGE")</f>
        <v>HOMEPAGE</v>
      </c>
      <c r="E50" s="11" t="str">
        <f>IFERROR(__xludf.DUMMYFUNCTION("""COMPUTED_VALUE"""),"CORPORATE")</f>
        <v>CORPORATE</v>
      </c>
      <c r="F50" s="11" t="str">
        <f>IFERROR(__xludf.DUMMYFUNCTION("""COMPUTED_VALUE"""),"Homepage")</f>
        <v>Homepage</v>
      </c>
      <c r="G50" s="11" t="b">
        <f>IFERROR(__xludf.DUMMYFUNCTION("""COMPUTED_VALUE"""),FALSE)</f>
        <v>0</v>
      </c>
      <c r="H50" s="11" t="str">
        <f>IFERROR(__xludf.DUMMYFUNCTION("""COMPUTED_VALUE"""),"Omnicom Media Group, Omnicom, OMD")</f>
        <v>Omnicom Media Group, Omnicom, OMD</v>
      </c>
      <c r="I50" s="11">
        <f>IFERROR(__xludf.DUMMYFUNCTION("""COMPUTED_VALUE"""),3.0)</f>
        <v>3</v>
      </c>
      <c r="J50" s="11">
        <f>IFERROR(__xludf.DUMMYFUNCTION("""COMPUTED_VALUE"""),0.0)</f>
        <v>0</v>
      </c>
      <c r="K50" s="11">
        <f>IFERROR(__xludf.DUMMYFUNCTION("""COMPUTED_VALUE"""),1.0)</f>
        <v>1</v>
      </c>
    </row>
    <row r="51" ht="15.75" customHeight="1">
      <c r="A51" s="8" t="str">
        <f>IFERROR(__xludf.DUMMYFUNCTION("""COMPUTED_VALUE"""),"https://www.prima-consulting.de/en")</f>
        <v>https://www.prima-consulting.de/en</v>
      </c>
      <c r="B51" s="11"/>
      <c r="C51" s="8" t="str">
        <f>IFERROR(__xludf.DUMMYFUNCTION("""COMPUTED_VALUE"""),"prima-consulting.de")</f>
        <v>prima-consulting.de</v>
      </c>
      <c r="D51" s="11" t="str">
        <f>IFERROR(__xludf.DUMMYFUNCTION("""COMPUTED_VALUE"""),"HOMEPAGE")</f>
        <v>HOMEPAGE</v>
      </c>
      <c r="E51" s="11" t="str">
        <f>IFERROR(__xludf.DUMMYFUNCTION("""COMPUTED_VALUE"""),"CORPORATE")</f>
        <v>CORPORATE</v>
      </c>
      <c r="F51" s="11" t="str">
        <f>IFERROR(__xludf.DUMMYFUNCTION("""COMPUTED_VALUE"""),"Homepage")</f>
        <v>Homepage</v>
      </c>
      <c r="G51" s="11"/>
      <c r="H51" s="11" t="str">
        <f>IFERROR(__xludf.DUMMYFUNCTION("""COMPUTED_VALUE"""),"Unknown")</f>
        <v>Unknown</v>
      </c>
      <c r="I51" s="11">
        <f>IFERROR(__xludf.DUMMYFUNCTION("""COMPUTED_VALUE"""),3.0)</f>
        <v>3</v>
      </c>
      <c r="J51" s="11">
        <f>IFERROR(__xludf.DUMMYFUNCTION("""COMPUTED_VALUE"""),0.0)</f>
        <v>0</v>
      </c>
      <c r="K51" s="11">
        <f>IFERROR(__xludf.DUMMYFUNCTION("""COMPUTED_VALUE"""),0.0)</f>
        <v>0</v>
      </c>
    </row>
    <row r="52" ht="15.75" customHeight="1">
      <c r="A52" s="8" t="str">
        <f>IFERROR(__xludf.DUMMYFUNCTION("""COMPUTED_VALUE"""),"https://superspring.de/")</f>
        <v>https://superspring.de/</v>
      </c>
      <c r="B52" s="11" t="str">
        <f>IFERROR(__xludf.DUMMYFUNCTION("""COMPUTED_VALUE"""),"superspring Marketing Consulting")</f>
        <v>superspring Marketing Consulting</v>
      </c>
      <c r="C52" s="8" t="str">
        <f>IFERROR(__xludf.DUMMYFUNCTION("""COMPUTED_VALUE"""),"superspring.de")</f>
        <v>superspring.de</v>
      </c>
      <c r="D52" s="11" t="str">
        <f>IFERROR(__xludf.DUMMYFUNCTION("""COMPUTED_VALUE"""),"HOMEPAGE")</f>
        <v>HOMEPAGE</v>
      </c>
      <c r="E52" s="11" t="str">
        <f>IFERROR(__xludf.DUMMYFUNCTION("""COMPUTED_VALUE"""),"CORPORATE")</f>
        <v>CORPORATE</v>
      </c>
      <c r="F52" s="11" t="str">
        <f>IFERROR(__xludf.DUMMYFUNCTION("""COMPUTED_VALUE"""),"Homepage")</f>
        <v>Homepage</v>
      </c>
      <c r="G52" s="11" t="b">
        <f>IFERROR(__xludf.DUMMYFUNCTION("""COMPUTED_VALUE"""),FALSE)</f>
        <v>0</v>
      </c>
      <c r="H52" s="11"/>
      <c r="I52" s="11">
        <f>IFERROR(__xludf.DUMMYFUNCTION("""COMPUTED_VALUE"""),3.0)</f>
        <v>3</v>
      </c>
      <c r="J52" s="11">
        <f>IFERROR(__xludf.DUMMYFUNCTION("""COMPUTED_VALUE"""),0.0)</f>
        <v>0</v>
      </c>
      <c r="K52" s="11">
        <f>IFERROR(__xludf.DUMMYFUNCTION("""COMPUTED_VALUE"""),1.67)</f>
        <v>1.67</v>
      </c>
    </row>
    <row r="53" ht="15.75" customHeight="1">
      <c r="A53" s="8" t="str">
        <f>IFERROR(__xludf.DUMMYFUNCTION("""COMPUTED_VALUE"""),"https://attributy.de/")</f>
        <v>https://attributy.de/</v>
      </c>
      <c r="B53" s="11" t="str">
        <f>IFERROR(__xludf.DUMMYFUNCTION("""COMPUTED_VALUE"""),"Marketing Attribution Software for ROI | Attributy")</f>
        <v>Marketing Attribution Software for ROI | Attributy</v>
      </c>
      <c r="C53" s="8" t="str">
        <f>IFERROR(__xludf.DUMMYFUNCTION("""COMPUTED_VALUE"""),"attributy.de")</f>
        <v>attributy.de</v>
      </c>
      <c r="D53" s="11" t="str">
        <f>IFERROR(__xludf.DUMMYFUNCTION("""COMPUTED_VALUE"""),"HOMEPAGE")</f>
        <v>HOMEPAGE</v>
      </c>
      <c r="E53" s="11" t="str">
        <f>IFERROR(__xludf.DUMMYFUNCTION("""COMPUTED_VALUE"""),"CORPORATE")</f>
        <v>CORPORATE</v>
      </c>
      <c r="F53" s="11" t="str">
        <f>IFERROR(__xludf.DUMMYFUNCTION("""COMPUTED_VALUE"""),"Homepage")</f>
        <v>Homepage</v>
      </c>
      <c r="G53" s="11" t="b">
        <f>IFERROR(__xludf.DUMMYFUNCTION("""COMPUTED_VALUE"""),FALSE)</f>
        <v>0</v>
      </c>
      <c r="H53" s="11"/>
      <c r="I53" s="11">
        <f>IFERROR(__xludf.DUMMYFUNCTION("""COMPUTED_VALUE"""),2.0)</f>
        <v>2</v>
      </c>
      <c r="J53" s="11">
        <f>IFERROR(__xludf.DUMMYFUNCTION("""COMPUTED_VALUE"""),0.0)</f>
        <v>0</v>
      </c>
      <c r="K53" s="11">
        <f>IFERROR(__xludf.DUMMYFUNCTION("""COMPUTED_VALUE"""),0.0)</f>
        <v>0</v>
      </c>
    </row>
    <row r="54" ht="15.75" customHeight="1">
      <c r="A54" s="8" t="str">
        <f>IFERROR(__xludf.DUMMYFUNCTION("""COMPUTED_VALUE"""),"https://www.aufgesang.de/")</f>
        <v>https://www.aufgesang.de/</v>
      </c>
      <c r="B54" s="11" t="str">
        <f>IFERROR(__xludf.DUMMYFUNCTION("""COMPUTED_VALUE"""),"Die Online-Marketing-Agentur aus Hannover für das KI-Zeitalter")</f>
        <v>Die Online-Marketing-Agentur aus Hannover für das KI-Zeitalter</v>
      </c>
      <c r="C54" s="8" t="str">
        <f>IFERROR(__xludf.DUMMYFUNCTION("""COMPUTED_VALUE"""),"aufgesang.de")</f>
        <v>aufgesang.de</v>
      </c>
      <c r="D54" s="11" t="str">
        <f>IFERROR(__xludf.DUMMYFUNCTION("""COMPUTED_VALUE"""),"HOMEPAGE")</f>
        <v>HOMEPAGE</v>
      </c>
      <c r="E54" s="11" t="str">
        <f>IFERROR(__xludf.DUMMYFUNCTION("""COMPUTED_VALUE"""),"COMPETITOR")</f>
        <v>COMPETITOR</v>
      </c>
      <c r="F54" s="11" t="str">
        <f>IFERROR(__xludf.DUMMYFUNCTION("""COMPUTED_VALUE"""),"Homepage")</f>
        <v>Homepage</v>
      </c>
      <c r="G54" s="11" t="b">
        <f>IFERROR(__xludf.DUMMYFUNCTION("""COMPUTED_VALUE"""),FALSE)</f>
        <v>0</v>
      </c>
      <c r="H54" s="11" t="str">
        <f>IFERROR(__xludf.DUMMYFUNCTION("""COMPUTED_VALUE"""),"Aufgesang")</f>
        <v>Aufgesang</v>
      </c>
      <c r="I54" s="11">
        <f>IFERROR(__xludf.DUMMYFUNCTION("""COMPUTED_VALUE"""),2.0)</f>
        <v>2</v>
      </c>
      <c r="J54" s="11">
        <f>IFERROR(__xludf.DUMMYFUNCTION("""COMPUTED_VALUE"""),0.0)</f>
        <v>0</v>
      </c>
      <c r="K54" s="11">
        <f>IFERROR(__xludf.DUMMYFUNCTION("""COMPUTED_VALUE"""),1.0)</f>
        <v>1</v>
      </c>
    </row>
    <row r="55" ht="15.75" customHeight="1">
      <c r="A55" s="8" t="str">
        <f>IFERROR(__xludf.DUMMYFUNCTION("""COMPUTED_VALUE"""),"https://www.baselinemix.com/")</f>
        <v>https://www.baselinemix.com/</v>
      </c>
      <c r="B55" s="11"/>
      <c r="C55" s="8" t="str">
        <f>IFERROR(__xludf.DUMMYFUNCTION("""COMPUTED_VALUE"""),"baselinemix.com")</f>
        <v>baselinemix.com</v>
      </c>
      <c r="D55" s="11" t="str">
        <f>IFERROR(__xludf.DUMMYFUNCTION("""COMPUTED_VALUE"""),"HOMEPAGE")</f>
        <v>HOMEPAGE</v>
      </c>
      <c r="E55" s="11" t="str">
        <f>IFERROR(__xludf.DUMMYFUNCTION("""COMPUTED_VALUE"""),"UGC")</f>
        <v>UGC</v>
      </c>
      <c r="F55" s="11" t="str">
        <f>IFERROR(__xludf.DUMMYFUNCTION("""COMPUTED_VALUE"""),"Homepage")</f>
        <v>Homepage</v>
      </c>
      <c r="G55" s="11"/>
      <c r="H55" s="11" t="str">
        <f>IFERROR(__xludf.DUMMYFUNCTION("""COMPUTED_VALUE"""),"Unknown")</f>
        <v>Unknown</v>
      </c>
      <c r="I55" s="11">
        <f>IFERROR(__xludf.DUMMYFUNCTION("""COMPUTED_VALUE"""),2.0)</f>
        <v>2</v>
      </c>
      <c r="J55" s="11">
        <f>IFERROR(__xludf.DUMMYFUNCTION("""COMPUTED_VALUE"""),0.0)</f>
        <v>0</v>
      </c>
      <c r="K55" s="11">
        <f>IFERROR(__xludf.DUMMYFUNCTION("""COMPUTED_VALUE"""),0.0)</f>
        <v>0</v>
      </c>
    </row>
    <row r="56" ht="15.75" customHeight="1">
      <c r="A56" s="8" t="str">
        <f>IFERROR(__xludf.DUMMYFUNCTION("""COMPUTED_VALUE"""),"https://dataciders.com/en/")</f>
        <v>https://dataciders.com/en/</v>
      </c>
      <c r="B56" s="11" t="str">
        <f>IFERROR(__xludf.DUMMYFUNCTION("""COMPUTED_VALUE"""),"AI Transformation with Impact for Businesses | Dataciders")</f>
        <v>AI Transformation with Impact for Businesses | Dataciders</v>
      </c>
      <c r="C56" s="8" t="str">
        <f>IFERROR(__xludf.DUMMYFUNCTION("""COMPUTED_VALUE"""),"dataciders.com")</f>
        <v>dataciders.com</v>
      </c>
      <c r="D56" s="11" t="str">
        <f>IFERROR(__xludf.DUMMYFUNCTION("""COMPUTED_VALUE"""),"HOMEPAGE")</f>
        <v>HOMEPAGE</v>
      </c>
      <c r="E56" s="11" t="str">
        <f>IFERROR(__xludf.DUMMYFUNCTION("""COMPUTED_VALUE"""),"OTHER")</f>
        <v>OTHER</v>
      </c>
      <c r="F56" s="11" t="str">
        <f>IFERROR(__xludf.DUMMYFUNCTION("""COMPUTED_VALUE"""),"Homepage")</f>
        <v>Homepage</v>
      </c>
      <c r="G56" s="11" t="b">
        <f>IFERROR(__xludf.DUMMYFUNCTION("""COMPUTED_VALUE"""),FALSE)</f>
        <v>0</v>
      </c>
      <c r="H56" s="11" t="str">
        <f>IFERROR(__xludf.DUMMYFUNCTION("""COMPUTED_VALUE"""),"Pilot")</f>
        <v>Pilot</v>
      </c>
      <c r="I56" s="11">
        <f>IFERROR(__xludf.DUMMYFUNCTION("""COMPUTED_VALUE"""),2.0)</f>
        <v>2</v>
      </c>
      <c r="J56" s="11">
        <f>IFERROR(__xludf.DUMMYFUNCTION("""COMPUTED_VALUE"""),0.0)</f>
        <v>0</v>
      </c>
      <c r="K56" s="11">
        <f>IFERROR(__xludf.DUMMYFUNCTION("""COMPUTED_VALUE"""),1.0)</f>
        <v>1</v>
      </c>
    </row>
    <row r="57" ht="15.75" customHeight="1">
      <c r="A57" s="8" t="str">
        <f>IFERROR(__xludf.DUMMYFUNCTION("""COMPUTED_VALUE"""),"https://www.e-laborat.de/")</f>
        <v>https://www.e-laborat.de/</v>
      </c>
      <c r="B57" s="11" t="str">
        <f>IFERROR(__xludf.DUMMYFUNCTION("""COMPUTED_VALUE"""),"KI-Transformation &amp;amp; Softwareentwicklung Berlin | e-laborat")</f>
        <v>KI-Transformation &amp;amp; Softwareentwicklung Berlin | e-laborat</v>
      </c>
      <c r="C57" s="8" t="str">
        <f>IFERROR(__xludf.DUMMYFUNCTION("""COMPUTED_VALUE"""),"e-laborat.de")</f>
        <v>e-laborat.de</v>
      </c>
      <c r="D57" s="11" t="str">
        <f>IFERROR(__xludf.DUMMYFUNCTION("""COMPUTED_VALUE"""),"HOMEPAGE")</f>
        <v>HOMEPAGE</v>
      </c>
      <c r="E57" s="11" t="str">
        <f>IFERROR(__xludf.DUMMYFUNCTION("""COMPUTED_VALUE"""),"CORPORATE")</f>
        <v>CORPORATE</v>
      </c>
      <c r="F57" s="11" t="str">
        <f>IFERROR(__xludf.DUMMYFUNCTION("""COMPUTED_VALUE"""),"Homepage")</f>
        <v>Homepage</v>
      </c>
      <c r="G57" s="11" t="b">
        <f>IFERROR(__xludf.DUMMYFUNCTION("""COMPUTED_VALUE"""),FALSE)</f>
        <v>0</v>
      </c>
      <c r="H57" s="11"/>
      <c r="I57" s="11">
        <f>IFERROR(__xludf.DUMMYFUNCTION("""COMPUTED_VALUE"""),2.0)</f>
        <v>2</v>
      </c>
      <c r="J57" s="11">
        <f>IFERROR(__xludf.DUMMYFUNCTION("""COMPUTED_VALUE"""),0.0)</f>
        <v>0</v>
      </c>
      <c r="K57" s="11">
        <f>IFERROR(__xludf.DUMMYFUNCTION("""COMPUTED_VALUE"""),0.0)</f>
        <v>0</v>
      </c>
    </row>
    <row r="58" ht="15.75" customHeight="1">
      <c r="A58" s="8" t="str">
        <f>IFERROR(__xludf.DUMMYFUNCTION("""COMPUTED_VALUE"""),"https://easeium.com/en/index.html")</f>
        <v>https://easeium.com/en/index.html</v>
      </c>
      <c r="B58" s="11" t="str">
        <f>IFERROR(__xludf.DUMMYFUNCTION("""COMPUTED_VALUE"""),"Visible in Google and AI | Easeium")</f>
        <v>Visible in Google and AI | Easeium</v>
      </c>
      <c r="C58" s="8" t="str">
        <f>IFERROR(__xludf.DUMMYFUNCTION("""COMPUTED_VALUE"""),"easeium.com")</f>
        <v>easeium.com</v>
      </c>
      <c r="D58" s="11" t="str">
        <f>IFERROR(__xludf.DUMMYFUNCTION("""COMPUTED_VALUE"""),"HOMEPAGE")</f>
        <v>HOMEPAGE</v>
      </c>
      <c r="E58" s="11" t="str">
        <f>IFERROR(__xludf.DUMMYFUNCTION("""COMPUTED_VALUE"""),"CORPORATE")</f>
        <v>CORPORATE</v>
      </c>
      <c r="F58" s="11" t="str">
        <f>IFERROR(__xludf.DUMMYFUNCTION("""COMPUTED_VALUE"""),"Homepage")</f>
        <v>Homepage</v>
      </c>
      <c r="G58" s="11" t="b">
        <f>IFERROR(__xludf.DUMMYFUNCTION("""COMPUTED_VALUE"""),FALSE)</f>
        <v>0</v>
      </c>
      <c r="H58" s="11"/>
      <c r="I58" s="11">
        <f>IFERROR(__xludf.DUMMYFUNCTION("""COMPUTED_VALUE"""),2.0)</f>
        <v>2</v>
      </c>
      <c r="J58" s="11">
        <f>IFERROR(__xludf.DUMMYFUNCTION("""COMPUTED_VALUE"""),0.0)</f>
        <v>0</v>
      </c>
      <c r="K58" s="11">
        <f>IFERROR(__xludf.DUMMYFUNCTION("""COMPUTED_VALUE"""),1.0)</f>
        <v>1</v>
      </c>
    </row>
    <row r="59" ht="15.75" customHeight="1">
      <c r="A59" s="8" t="str">
        <f>IFERROR(__xludf.DUMMYFUNCTION("""COMPUTED_VALUE"""),"https://ebiquity.com/")</f>
        <v>https://ebiquity.com/</v>
      </c>
      <c r="B59" s="11" t="str">
        <f>IFERROR(__xludf.DUMMYFUNCTION("""COMPUTED_VALUE"""),"Ebiquity - The Independent Authority in Marketing Effectiveness")</f>
        <v>Ebiquity - The Independent Authority in Marketing Effectiveness</v>
      </c>
      <c r="C59" s="8" t="str">
        <f>IFERROR(__xludf.DUMMYFUNCTION("""COMPUTED_VALUE"""),"ebiquity.com")</f>
        <v>ebiquity.com</v>
      </c>
      <c r="D59" s="11" t="str">
        <f>IFERROR(__xludf.DUMMYFUNCTION("""COMPUTED_VALUE"""),"HOMEPAGE")</f>
        <v>HOMEPAGE</v>
      </c>
      <c r="E59" s="11" t="str">
        <f>IFERROR(__xludf.DUMMYFUNCTION("""COMPUTED_VALUE"""),"COMPETITOR")</f>
        <v>COMPETITOR</v>
      </c>
      <c r="F59" s="11" t="str">
        <f>IFERROR(__xludf.DUMMYFUNCTION("""COMPUTED_VALUE"""),"Homepage")</f>
        <v>Homepage</v>
      </c>
      <c r="G59" s="11" t="b">
        <f>IFERROR(__xludf.DUMMYFUNCTION("""COMPUTED_VALUE"""),FALSE)</f>
        <v>0</v>
      </c>
      <c r="H59" s="11" t="str">
        <f>IFERROR(__xludf.DUMMYFUNCTION("""COMPUTED_VALUE"""),"Ebiquity")</f>
        <v>Ebiquity</v>
      </c>
      <c r="I59" s="11">
        <f>IFERROR(__xludf.DUMMYFUNCTION("""COMPUTED_VALUE"""),2.0)</f>
        <v>2</v>
      </c>
      <c r="J59" s="11">
        <f>IFERROR(__xludf.DUMMYFUNCTION("""COMPUTED_VALUE"""),0.0)</f>
        <v>0</v>
      </c>
      <c r="K59" s="11">
        <f>IFERROR(__xludf.DUMMYFUNCTION("""COMPUTED_VALUE"""),3.0)</f>
        <v>3</v>
      </c>
    </row>
    <row r="60" ht="15.75" customHeight="1">
      <c r="A60" s="8" t="str">
        <f>IFERROR(__xludf.DUMMYFUNCTION("""COMPUTED_VALUE"""),"https://www.geoagentur-hamburg.de/")</f>
        <v>https://www.geoagentur-hamburg.de/</v>
      </c>
      <c r="B60" s="11" t="str">
        <f>IFERROR(__xludf.DUMMYFUNCTION("""COMPUTED_VALUE"""),"GEO Agentur Hamburg: Kennt ChatGPT Ihr Unternehmen? (Kostenloser Check)")</f>
        <v>GEO Agentur Hamburg: Kennt ChatGPT Ihr Unternehmen? (Kostenloser Check)</v>
      </c>
      <c r="C60" s="8" t="str">
        <f>IFERROR(__xludf.DUMMYFUNCTION("""COMPUTED_VALUE"""),"geoagentur-hamburg.de")</f>
        <v>geoagentur-hamburg.de</v>
      </c>
      <c r="D60" s="11" t="str">
        <f>IFERROR(__xludf.DUMMYFUNCTION("""COMPUTED_VALUE"""),"HOMEPAGE")</f>
        <v>HOMEPAGE</v>
      </c>
      <c r="E60" s="11" t="str">
        <f>IFERROR(__xludf.DUMMYFUNCTION("""COMPUTED_VALUE"""),"CORPORATE")</f>
        <v>CORPORATE</v>
      </c>
      <c r="F60" s="11" t="str">
        <f>IFERROR(__xludf.DUMMYFUNCTION("""COMPUTED_VALUE"""),"Homepage")</f>
        <v>Homepage</v>
      </c>
      <c r="G60" s="11" t="b">
        <f>IFERROR(__xludf.DUMMYFUNCTION("""COMPUTED_VALUE"""),FALSE)</f>
        <v>0</v>
      </c>
      <c r="H60" s="11"/>
      <c r="I60" s="11">
        <f>IFERROR(__xludf.DUMMYFUNCTION("""COMPUTED_VALUE"""),2.0)</f>
        <v>2</v>
      </c>
      <c r="J60" s="11">
        <f>IFERROR(__xludf.DUMMYFUNCTION("""COMPUTED_VALUE"""),0.0)</f>
        <v>0</v>
      </c>
      <c r="K60" s="11">
        <f>IFERROR(__xludf.DUMMYFUNCTION("""COMPUTED_VALUE"""),2.0)</f>
        <v>2</v>
      </c>
    </row>
    <row r="61" ht="15.75" customHeight="1">
      <c r="A61" s="8" t="str">
        <f>IFERROR(__xludf.DUMMYFUNCTION("""COMPUTED_VALUE"""),"https://grabarz-group.de/en/")</f>
        <v>https://grabarz-group.de/en/</v>
      </c>
      <c r="B61" s="11" t="str">
        <f>IFERROR(__xludf.DUMMYFUNCTION("""COMPUTED_VALUE"""),"Grabarz &amp; Partner \| Creating emotional impact.")</f>
        <v>Grabarz &amp; Partner \| Creating emotional impact.</v>
      </c>
      <c r="C61" s="8" t="str">
        <f>IFERROR(__xludf.DUMMYFUNCTION("""COMPUTED_VALUE"""),"grabarz-group.de")</f>
        <v>grabarz-group.de</v>
      </c>
      <c r="D61" s="11" t="str">
        <f>IFERROR(__xludf.DUMMYFUNCTION("""COMPUTED_VALUE"""),"HOMEPAGE")</f>
        <v>HOMEPAGE</v>
      </c>
      <c r="E61" s="11" t="str">
        <f>IFERROR(__xludf.DUMMYFUNCTION("""COMPUTED_VALUE"""),"CORPORATE")</f>
        <v>CORPORATE</v>
      </c>
      <c r="F61" s="11" t="str">
        <f>IFERROR(__xludf.DUMMYFUNCTION("""COMPUTED_VALUE"""),"Homepage")</f>
        <v>Homepage</v>
      </c>
      <c r="G61" s="11" t="b">
        <f>IFERROR(__xludf.DUMMYFUNCTION("""COMPUTED_VALUE"""),FALSE)</f>
        <v>0</v>
      </c>
      <c r="H61" s="11"/>
      <c r="I61" s="11">
        <f>IFERROR(__xludf.DUMMYFUNCTION("""COMPUTED_VALUE"""),2.0)</f>
        <v>2</v>
      </c>
      <c r="J61" s="11">
        <f>IFERROR(__xludf.DUMMYFUNCTION("""COMPUTED_VALUE"""),0.0)</f>
        <v>0</v>
      </c>
      <c r="K61" s="11">
        <f>IFERROR(__xludf.DUMMYFUNCTION("""COMPUTED_VALUE"""),2.0)</f>
        <v>2</v>
      </c>
    </row>
    <row r="62" ht="15.75" customHeight="1">
      <c r="A62" s="8" t="str">
        <f>IFERROR(__xludf.DUMMYFUNCTION("""COMPUTED_VALUE"""),"https://www.hurra.com/de")</f>
        <v>https://www.hurra.com/de</v>
      </c>
      <c r="B62" s="11" t="str">
        <f>IFERROR(__xludf.DUMMYFUNCTION("""COMPUTED_VALUE"""),"Messbar mehr Marketing-Performance | hurra.com™")</f>
        <v>Messbar mehr Marketing-Performance | hurra.com™</v>
      </c>
      <c r="C62" s="8" t="str">
        <f>IFERROR(__xludf.DUMMYFUNCTION("""COMPUTED_VALUE"""),"hurra.com")</f>
        <v>hurra.com</v>
      </c>
      <c r="D62" s="11" t="str">
        <f>IFERROR(__xludf.DUMMYFUNCTION("""COMPUTED_VALUE"""),"HOMEPAGE")</f>
        <v>HOMEPAGE</v>
      </c>
      <c r="E62" s="11" t="str">
        <f>IFERROR(__xludf.DUMMYFUNCTION("""COMPUTED_VALUE"""),"CORPORATE")</f>
        <v>CORPORATE</v>
      </c>
      <c r="F62" s="11" t="str">
        <f>IFERROR(__xludf.DUMMYFUNCTION("""COMPUTED_VALUE"""),"Homepage")</f>
        <v>Homepage</v>
      </c>
      <c r="G62" s="11" t="b">
        <f>IFERROR(__xludf.DUMMYFUNCTION("""COMPUTED_VALUE"""),FALSE)</f>
        <v>0</v>
      </c>
      <c r="H62" s="11"/>
      <c r="I62" s="11">
        <f>IFERROR(__xludf.DUMMYFUNCTION("""COMPUTED_VALUE"""),2.0)</f>
        <v>2</v>
      </c>
      <c r="J62" s="11">
        <f>IFERROR(__xludf.DUMMYFUNCTION("""COMPUTED_VALUE"""),0.0)</f>
        <v>0</v>
      </c>
      <c r="K62" s="11">
        <f>IFERROR(__xludf.DUMMYFUNCTION("""COMPUTED_VALUE"""),1.0)</f>
        <v>1</v>
      </c>
    </row>
    <row r="63" ht="15.75" customHeight="1">
      <c r="A63" s="8" t="str">
        <f>IFERROR(__xludf.DUMMYFUNCTION("""COMPUTED_VALUE"""),"https://www.incremental.com/")</f>
        <v>https://www.incremental.com/</v>
      </c>
      <c r="B63" s="11" t="str">
        <f>IFERROR(__xludf.DUMMYFUNCTION("""COMPUTED_VALUE"""),"Incremental | Causal Intelligence for Commerce Media")</f>
        <v>Incremental | Causal Intelligence for Commerce Media</v>
      </c>
      <c r="C63" s="8" t="str">
        <f>IFERROR(__xludf.DUMMYFUNCTION("""COMPUTED_VALUE"""),"incremental.com")</f>
        <v>incremental.com</v>
      </c>
      <c r="D63" s="11" t="str">
        <f>IFERROR(__xludf.DUMMYFUNCTION("""COMPUTED_VALUE"""),"HOMEPAGE")</f>
        <v>HOMEPAGE</v>
      </c>
      <c r="E63" s="11" t="str">
        <f>IFERROR(__xludf.DUMMYFUNCTION("""COMPUTED_VALUE"""),"CORPORATE")</f>
        <v>CORPORATE</v>
      </c>
      <c r="F63" s="11" t="str">
        <f>IFERROR(__xludf.DUMMYFUNCTION("""COMPUTED_VALUE"""),"Homepage")</f>
        <v>Homepage</v>
      </c>
      <c r="G63" s="11" t="b">
        <f>IFERROR(__xludf.DUMMYFUNCTION("""COMPUTED_VALUE"""),FALSE)</f>
        <v>0</v>
      </c>
      <c r="H63" s="11"/>
      <c r="I63" s="11">
        <f>IFERROR(__xludf.DUMMYFUNCTION("""COMPUTED_VALUE"""),2.0)</f>
        <v>2</v>
      </c>
      <c r="J63" s="11">
        <f>IFERROR(__xludf.DUMMYFUNCTION("""COMPUTED_VALUE"""),0.0)</f>
        <v>0</v>
      </c>
      <c r="K63" s="11">
        <f>IFERROR(__xludf.DUMMYFUNCTION("""COMPUTED_VALUE"""),0.0)</f>
        <v>0</v>
      </c>
    </row>
    <row r="64" ht="15.75" customHeight="1">
      <c r="A64" s="8" t="str">
        <f>IFERROR(__xludf.DUMMYFUNCTION("""COMPUTED_VALUE"""),"https://www.kambria.de/en")</f>
        <v>https://www.kambria.de/en</v>
      </c>
      <c r="B64" s="11" t="str">
        <f>IFERROR(__xludf.DUMMYFUNCTION("""COMPUTED_VALUE"""),"Kambria")</f>
        <v>Kambria</v>
      </c>
      <c r="C64" s="8" t="str">
        <f>IFERROR(__xludf.DUMMYFUNCTION("""COMPUTED_VALUE"""),"kambria.de")</f>
        <v>kambria.de</v>
      </c>
      <c r="D64" s="11" t="str">
        <f>IFERROR(__xludf.DUMMYFUNCTION("""COMPUTED_VALUE"""),"HOMEPAGE")</f>
        <v>HOMEPAGE</v>
      </c>
      <c r="E64" s="11" t="str">
        <f>IFERROR(__xludf.DUMMYFUNCTION("""COMPUTED_VALUE"""),"OTHER")</f>
        <v>OTHER</v>
      </c>
      <c r="F64" s="11" t="str">
        <f>IFERROR(__xludf.DUMMYFUNCTION("""COMPUTED_VALUE"""),"Homepage")</f>
        <v>Homepage</v>
      </c>
      <c r="G64" s="11" t="b">
        <f>IFERROR(__xludf.DUMMYFUNCTION("""COMPUTED_VALUE"""),FALSE)</f>
        <v>0</v>
      </c>
      <c r="H64" s="11" t="str">
        <f>IFERROR(__xludf.DUMMYFUNCTION("""COMPUTED_VALUE"""),"b.telligent")</f>
        <v>b.telligent</v>
      </c>
      <c r="I64" s="11">
        <f>IFERROR(__xludf.DUMMYFUNCTION("""COMPUTED_VALUE"""),2.0)</f>
        <v>2</v>
      </c>
      <c r="J64" s="11">
        <f>IFERROR(__xludf.DUMMYFUNCTION("""COMPUTED_VALUE"""),0.0)</f>
        <v>0</v>
      </c>
      <c r="K64" s="11">
        <f>IFERROR(__xludf.DUMMYFUNCTION("""COMPUTED_VALUE"""),3.0)</f>
        <v>3</v>
      </c>
    </row>
    <row r="65" ht="15.75" customHeight="1">
      <c r="A65" s="8" t="str">
        <f>IFERROR(__xludf.DUMMYFUNCTION("""COMPUTED_VALUE"""),"https://lifesight.io/")</f>
        <v>https://lifesight.io/</v>
      </c>
      <c r="B65" s="11" t="str">
        <f>IFERROR(__xludf.DUMMYFUNCTION("""COMPUTED_VALUE"""),"Lifesight | Agentic Unified Marketing Measurement")</f>
        <v>Lifesight | Agentic Unified Marketing Measurement</v>
      </c>
      <c r="C65" s="8" t="str">
        <f>IFERROR(__xludf.DUMMYFUNCTION("""COMPUTED_VALUE"""),"lifesight.io")</f>
        <v>lifesight.io</v>
      </c>
      <c r="D65" s="11" t="str">
        <f>IFERROR(__xludf.DUMMYFUNCTION("""COMPUTED_VALUE"""),"HOMEPAGE")</f>
        <v>HOMEPAGE</v>
      </c>
      <c r="E65" s="11" t="str">
        <f>IFERROR(__xludf.DUMMYFUNCTION("""COMPUTED_VALUE"""),"COMPETITOR")</f>
        <v>COMPETITOR</v>
      </c>
      <c r="F65" s="11" t="str">
        <f>IFERROR(__xludf.DUMMYFUNCTION("""COMPUTED_VALUE"""),"Homepage")</f>
        <v>Homepage</v>
      </c>
      <c r="G65" s="11" t="b">
        <f>IFERROR(__xludf.DUMMYFUNCTION("""COMPUTED_VALUE"""),FALSE)</f>
        <v>0</v>
      </c>
      <c r="H65" s="11" t="str">
        <f>IFERROR(__xludf.DUMMYFUNCTION("""COMPUTED_VALUE"""),"LifeSight, Measured, Northbeam, Haus, Recast, Triple Whale")</f>
        <v>LifeSight, Measured, Northbeam, Haus, Recast, Triple Whale</v>
      </c>
      <c r="I65" s="11">
        <f>IFERROR(__xludf.DUMMYFUNCTION("""COMPUTED_VALUE"""),2.0)</f>
        <v>2</v>
      </c>
      <c r="J65" s="11">
        <f>IFERROR(__xludf.DUMMYFUNCTION("""COMPUTED_VALUE"""),0.0)</f>
        <v>0</v>
      </c>
      <c r="K65" s="11">
        <f>IFERROR(__xludf.DUMMYFUNCTION("""COMPUTED_VALUE"""),2.0)</f>
        <v>2</v>
      </c>
    </row>
    <row r="66" ht="15.75" customHeight="1">
      <c r="A66" s="8" t="str">
        <f>IFERROR(__xludf.DUMMYFUNCTION("""COMPUTED_VALUE"""),"https://www.marketingattribution.com/")</f>
        <v>https://www.marketingattribution.com/</v>
      </c>
      <c r="B66" s="11" t="str">
        <f>IFERROR(__xludf.DUMMYFUNCTION("""COMPUTED_VALUE"""),"Know What Works | Marketing Attribution")</f>
        <v>Know What Works | Marketing Attribution</v>
      </c>
      <c r="C66" s="8" t="str">
        <f>IFERROR(__xludf.DUMMYFUNCTION("""COMPUTED_VALUE"""),"marketingattribution.com")</f>
        <v>marketingattribution.com</v>
      </c>
      <c r="D66" s="11" t="str">
        <f>IFERROR(__xludf.DUMMYFUNCTION("""COMPUTED_VALUE"""),"HOMEPAGE")</f>
        <v>HOMEPAGE</v>
      </c>
      <c r="E66" s="11" t="str">
        <f>IFERROR(__xludf.DUMMYFUNCTION("""COMPUTED_VALUE"""),"CORPORATE")</f>
        <v>CORPORATE</v>
      </c>
      <c r="F66" s="11" t="str">
        <f>IFERROR(__xludf.DUMMYFUNCTION("""COMPUTED_VALUE"""),"Homepage")</f>
        <v>Homepage</v>
      </c>
      <c r="G66" s="11" t="b">
        <f>IFERROR(__xludf.DUMMYFUNCTION("""COMPUTED_VALUE"""),FALSE)</f>
        <v>0</v>
      </c>
      <c r="H66" s="11" t="str">
        <f>IFERROR(__xludf.DUMMYFUNCTION("""COMPUTED_VALUE"""),"Nielsen")</f>
        <v>Nielsen</v>
      </c>
      <c r="I66" s="11">
        <f>IFERROR(__xludf.DUMMYFUNCTION("""COMPUTED_VALUE"""),2.0)</f>
        <v>2</v>
      </c>
      <c r="J66" s="11">
        <f>IFERROR(__xludf.DUMMYFUNCTION("""COMPUTED_VALUE"""),0.0)</f>
        <v>0</v>
      </c>
      <c r="K66" s="11">
        <f>IFERROR(__xludf.DUMMYFUNCTION("""COMPUTED_VALUE"""),0.0)</f>
        <v>0</v>
      </c>
    </row>
    <row r="67" ht="15.75" customHeight="1">
      <c r="A67" s="8" t="str">
        <f>IFERROR(__xludf.DUMMYFUNCTION("""COMPUTED_VALUE"""),"https://omexa-strategy.com/")</f>
        <v>https://omexa-strategy.com/</v>
      </c>
      <c r="B67" s="11" t="str">
        <f>IFERROR(__xludf.DUMMYFUNCTION("""COMPUTED_VALUE"""),"Omexa Strategy – Work Smarter with AI")</f>
        <v>Omexa Strategy – Work Smarter with AI</v>
      </c>
      <c r="C67" s="8" t="str">
        <f>IFERROR(__xludf.DUMMYFUNCTION("""COMPUTED_VALUE"""),"omexa-strategy.com")</f>
        <v>omexa-strategy.com</v>
      </c>
      <c r="D67" s="11" t="str">
        <f>IFERROR(__xludf.DUMMYFUNCTION("""COMPUTED_VALUE"""),"HOMEPAGE")</f>
        <v>HOMEPAGE</v>
      </c>
      <c r="E67" s="11" t="str">
        <f>IFERROR(__xludf.DUMMYFUNCTION("""COMPUTED_VALUE"""),"CORPORATE")</f>
        <v>CORPORATE</v>
      </c>
      <c r="F67" s="11" t="str">
        <f>IFERROR(__xludf.DUMMYFUNCTION("""COMPUTED_VALUE"""),"Homepage")</f>
        <v>Homepage</v>
      </c>
      <c r="G67" s="11" t="b">
        <f>IFERROR(__xludf.DUMMYFUNCTION("""COMPUTED_VALUE"""),FALSE)</f>
        <v>0</v>
      </c>
      <c r="H67" s="11"/>
      <c r="I67" s="11">
        <f>IFERROR(__xludf.DUMMYFUNCTION("""COMPUTED_VALUE"""),2.0)</f>
        <v>2</v>
      </c>
      <c r="J67" s="11">
        <f>IFERROR(__xludf.DUMMYFUNCTION("""COMPUTED_VALUE"""),0.0)</f>
        <v>0</v>
      </c>
      <c r="K67" s="11">
        <f>IFERROR(__xludf.DUMMYFUNCTION("""COMPUTED_VALUE"""),0.0)</f>
        <v>0</v>
      </c>
    </row>
    <row r="68" ht="15.75" customHeight="1">
      <c r="A68" s="8" t="str">
        <f>IFERROR(__xludf.DUMMYFUNCTION("""COMPUTED_VALUE"""),"https://partnermarketinghub.withgoogle.com/")</f>
        <v>https://partnermarketinghub.withgoogle.com/</v>
      </c>
      <c r="B68" s="11" t="str">
        <f>IFERROR(__xludf.DUMMYFUNCTION("""COMPUTED_VALUE"""),"Home - Partner Marketing Hub")</f>
        <v>Home - Partner Marketing Hub</v>
      </c>
      <c r="C68" s="8" t="str">
        <f>IFERROR(__xludf.DUMMYFUNCTION("""COMPUTED_VALUE"""),"withgoogle.com")</f>
        <v>withgoogle.com</v>
      </c>
      <c r="D68" s="11" t="str">
        <f>IFERROR(__xludf.DUMMYFUNCTION("""COMPUTED_VALUE"""),"HOMEPAGE")</f>
        <v>HOMEPAGE</v>
      </c>
      <c r="E68" s="11" t="str">
        <f>IFERROR(__xludf.DUMMYFUNCTION("""COMPUTED_VALUE"""),"CORPORATE")</f>
        <v>CORPORATE</v>
      </c>
      <c r="F68" s="11" t="str">
        <f>IFERROR(__xludf.DUMMYFUNCTION("""COMPUTED_VALUE"""),"Homepage")</f>
        <v>Homepage</v>
      </c>
      <c r="G68" s="11" t="b">
        <f>IFERROR(__xludf.DUMMYFUNCTION("""COMPUTED_VALUE"""),FALSE)</f>
        <v>0</v>
      </c>
      <c r="H68" s="11"/>
      <c r="I68" s="11">
        <f>IFERROR(__xludf.DUMMYFUNCTION("""COMPUTED_VALUE"""),2.0)</f>
        <v>2</v>
      </c>
      <c r="J68" s="11">
        <f>IFERROR(__xludf.DUMMYFUNCTION("""COMPUTED_VALUE"""),0.0)</f>
        <v>0</v>
      </c>
      <c r="K68" s="11">
        <f>IFERROR(__xludf.DUMMYFUNCTION("""COMPUTED_VALUE"""),0.0)</f>
        <v>0</v>
      </c>
    </row>
    <row r="69" ht="15.75" customHeight="1">
      <c r="A69" s="8" t="str">
        <f>IFERROR(__xludf.DUMMYFUNCTION("""COMPUTED_VALUE"""),"https://www.s-f.family/en")</f>
        <v>https://www.s-f.family/en</v>
      </c>
      <c r="B69" s="11" t="str">
        <f>IFERROR(__xludf.DUMMYFUNCTION("""COMPUTED_VALUE"""),"Scholz &amp;amp; Friends")</f>
        <v>Scholz &amp;amp; Friends</v>
      </c>
      <c r="C69" s="11" t="str">
        <f>IFERROR(__xludf.DUMMYFUNCTION("""COMPUTED_VALUE"""),"s-f.family")</f>
        <v>s-f.family</v>
      </c>
      <c r="D69" s="11" t="str">
        <f>IFERROR(__xludf.DUMMYFUNCTION("""COMPUTED_VALUE"""),"HOMEPAGE")</f>
        <v>HOMEPAGE</v>
      </c>
      <c r="E69" s="11" t="str">
        <f>IFERROR(__xludf.DUMMYFUNCTION("""COMPUTED_VALUE"""),"COMPETITOR")</f>
        <v>COMPETITOR</v>
      </c>
      <c r="F69" s="11" t="str">
        <f>IFERROR(__xludf.DUMMYFUNCTION("""COMPUTED_VALUE"""),"Homepage")</f>
        <v>Homepage</v>
      </c>
      <c r="G69" s="11" t="b">
        <f>IFERROR(__xludf.DUMMYFUNCTION("""COMPUTED_VALUE"""),FALSE)</f>
        <v>0</v>
      </c>
      <c r="H69" s="11" t="str">
        <f>IFERROR(__xludf.DUMMYFUNCTION("""COMPUTED_VALUE"""),"Scholz &amp; Friends, WPP")</f>
        <v>Scholz &amp; Friends, WPP</v>
      </c>
      <c r="I69" s="11">
        <f>IFERROR(__xludf.DUMMYFUNCTION("""COMPUTED_VALUE"""),2.0)</f>
        <v>2</v>
      </c>
      <c r="J69" s="11">
        <f>IFERROR(__xludf.DUMMYFUNCTION("""COMPUTED_VALUE"""),0.0)</f>
        <v>0</v>
      </c>
      <c r="K69" s="11">
        <f>IFERROR(__xludf.DUMMYFUNCTION("""COMPUTED_VALUE"""),1.0)</f>
        <v>1</v>
      </c>
    </row>
    <row r="70" ht="15.75" customHeight="1">
      <c r="A70" s="8" t="str">
        <f>IFERROR(__xludf.DUMMYFUNCTION("""COMPUTED_VALUE"""),"https://www.scholze-consulting.de/")</f>
        <v>https://www.scholze-consulting.de/</v>
      </c>
      <c r="B70" s="11" t="str">
        <f>IFERROR(__xludf.DUMMYFUNCTION("""COMPUTED_VALUE"""),"Scholze Consulting | Praxisnahe KI Beratung für Unternehmen")</f>
        <v>Scholze Consulting | Praxisnahe KI Beratung für Unternehmen</v>
      </c>
      <c r="C70" s="8" t="str">
        <f>IFERROR(__xludf.DUMMYFUNCTION("""COMPUTED_VALUE"""),"scholze-consulting.de")</f>
        <v>scholze-consulting.de</v>
      </c>
      <c r="D70" s="11" t="str">
        <f>IFERROR(__xludf.DUMMYFUNCTION("""COMPUTED_VALUE"""),"HOMEPAGE")</f>
        <v>HOMEPAGE</v>
      </c>
      <c r="E70" s="11" t="str">
        <f>IFERROR(__xludf.DUMMYFUNCTION("""COMPUTED_VALUE"""),"CORPORATE")</f>
        <v>CORPORATE</v>
      </c>
      <c r="F70" s="11" t="str">
        <f>IFERROR(__xludf.DUMMYFUNCTION("""COMPUTED_VALUE"""),"Homepage")</f>
        <v>Homepage</v>
      </c>
      <c r="G70" s="11" t="b">
        <f>IFERROR(__xludf.DUMMYFUNCTION("""COMPUTED_VALUE"""),FALSE)</f>
        <v>0</v>
      </c>
      <c r="H70" s="11"/>
      <c r="I70" s="11">
        <f>IFERROR(__xludf.DUMMYFUNCTION("""COMPUTED_VALUE"""),2.0)</f>
        <v>2</v>
      </c>
      <c r="J70" s="11">
        <f>IFERROR(__xludf.DUMMYFUNCTION("""COMPUTED_VALUE"""),0.0)</f>
        <v>0</v>
      </c>
      <c r="K70" s="11">
        <f>IFERROR(__xludf.DUMMYFUNCTION("""COMPUTED_VALUE"""),0.0)</f>
        <v>0</v>
      </c>
    </row>
    <row r="71" ht="15.75" customHeight="1">
      <c r="A71" s="8" t="str">
        <f>IFERROR(__xludf.DUMMYFUNCTION("""COMPUTED_VALUE"""),"https://www.smarketer.de/")</f>
        <v>https://www.smarketer.de/</v>
      </c>
      <c r="B71" s="11" t="str">
        <f>IFERROR(__xludf.DUMMYFUNCTION("""COMPUTED_VALUE"""),"Smarketer | Google Ads vom Marktführer")</f>
        <v>Smarketer | Google Ads vom Marktführer</v>
      </c>
      <c r="C71" s="8" t="str">
        <f>IFERROR(__xludf.DUMMYFUNCTION("""COMPUTED_VALUE"""),"smarketer.de")</f>
        <v>smarketer.de</v>
      </c>
      <c r="D71" s="11" t="str">
        <f>IFERROR(__xludf.DUMMYFUNCTION("""COMPUTED_VALUE"""),"HOMEPAGE")</f>
        <v>HOMEPAGE</v>
      </c>
      <c r="E71" s="11" t="str">
        <f>IFERROR(__xludf.DUMMYFUNCTION("""COMPUTED_VALUE"""),"COMPETITOR")</f>
        <v>COMPETITOR</v>
      </c>
      <c r="F71" s="11" t="str">
        <f>IFERROR(__xludf.DUMMYFUNCTION("""COMPUTED_VALUE"""),"Homepage")</f>
        <v>Homepage</v>
      </c>
      <c r="G71" s="11" t="b">
        <f>IFERROR(__xludf.DUMMYFUNCTION("""COMPUTED_VALUE"""),FALSE)</f>
        <v>0</v>
      </c>
      <c r="H71" s="11" t="str">
        <f>IFERROR(__xludf.DUMMYFUNCTION("""COMPUTED_VALUE"""),"Smarketer")</f>
        <v>Smarketer</v>
      </c>
      <c r="I71" s="11">
        <f>IFERROR(__xludf.DUMMYFUNCTION("""COMPUTED_VALUE"""),2.0)</f>
        <v>2</v>
      </c>
      <c r="J71" s="11">
        <f>IFERROR(__xludf.DUMMYFUNCTION("""COMPUTED_VALUE"""),0.0)</f>
        <v>0</v>
      </c>
      <c r="K71" s="11">
        <f>IFERROR(__xludf.DUMMYFUNCTION("""COMPUTED_VALUE"""),1.0)</f>
        <v>1</v>
      </c>
    </row>
    <row r="72" ht="15.75" customHeight="1">
      <c r="A72" s="8" t="str">
        <f>IFERROR(__xludf.DUMMYFUNCTION("""COMPUTED_VALUE"""),"https://superspring.de/en/")</f>
        <v>https://superspring.de/en/</v>
      </c>
      <c r="B72" s="11" t="str">
        <f>IFERROR(__xludf.DUMMYFUNCTION("""COMPUTED_VALUE"""),"superspring Marketing Consulting")</f>
        <v>superspring Marketing Consulting</v>
      </c>
      <c r="C72" s="8" t="str">
        <f>IFERROR(__xludf.DUMMYFUNCTION("""COMPUTED_VALUE"""),"superspring.de")</f>
        <v>superspring.de</v>
      </c>
      <c r="D72" s="11" t="str">
        <f>IFERROR(__xludf.DUMMYFUNCTION("""COMPUTED_VALUE"""),"HOMEPAGE")</f>
        <v>HOMEPAGE</v>
      </c>
      <c r="E72" s="11" t="str">
        <f>IFERROR(__xludf.DUMMYFUNCTION("""COMPUTED_VALUE"""),"CORPORATE")</f>
        <v>CORPORATE</v>
      </c>
      <c r="F72" s="11" t="str">
        <f>IFERROR(__xludf.DUMMYFUNCTION("""COMPUTED_VALUE"""),"Homepage")</f>
        <v>Homepage</v>
      </c>
      <c r="G72" s="11" t="b">
        <f>IFERROR(__xludf.DUMMYFUNCTION("""COMPUTED_VALUE"""),FALSE)</f>
        <v>0</v>
      </c>
      <c r="H72" s="11"/>
      <c r="I72" s="11">
        <f>IFERROR(__xludf.DUMMYFUNCTION("""COMPUTED_VALUE"""),2.0)</f>
        <v>2</v>
      </c>
      <c r="J72" s="11">
        <f>IFERROR(__xludf.DUMMYFUNCTION("""COMPUTED_VALUE"""),0.0)</f>
        <v>0</v>
      </c>
      <c r="K72" s="11">
        <f>IFERROR(__xludf.DUMMYFUNCTION("""COMPUTED_VALUE"""),0.0)</f>
        <v>0</v>
      </c>
    </row>
    <row r="73" ht="15.75" customHeight="1">
      <c r="A73" s="8" t="str">
        <f>IFERROR(__xludf.DUMMYFUNCTION("""COMPUTED_VALUE"""),"https://www.trkkn.com/")</f>
        <v>https://www.trkkn.com/</v>
      </c>
      <c r="B73" s="11" t="str">
        <f>IFERROR(__xludf.DUMMYFUNCTION("""COMPUTED_VALUE"""),"Analytics, Cloud &amp;amp; Marketing technology for digital transformation | TRKKN")</f>
        <v>Analytics, Cloud &amp;amp; Marketing technology for digital transformation | TRKKN</v>
      </c>
      <c r="C73" s="8" t="str">
        <f>IFERROR(__xludf.DUMMYFUNCTION("""COMPUTED_VALUE"""),"trkkn.com")</f>
        <v>trkkn.com</v>
      </c>
      <c r="D73" s="11" t="str">
        <f>IFERROR(__xludf.DUMMYFUNCTION("""COMPUTED_VALUE"""),"HOMEPAGE")</f>
        <v>HOMEPAGE</v>
      </c>
      <c r="E73" s="11" t="str">
        <f>IFERROR(__xludf.DUMMYFUNCTION("""COMPUTED_VALUE"""),"CORPORATE")</f>
        <v>CORPORATE</v>
      </c>
      <c r="F73" s="11" t="str">
        <f>IFERROR(__xludf.DUMMYFUNCTION("""COMPUTED_VALUE"""),"Homepage")</f>
        <v>Homepage</v>
      </c>
      <c r="G73" s="11" t="b">
        <f>IFERROR(__xludf.DUMMYFUNCTION("""COMPUTED_VALUE"""),FALSE)</f>
        <v>0</v>
      </c>
      <c r="H73" s="11"/>
      <c r="I73" s="11">
        <f>IFERROR(__xludf.DUMMYFUNCTION("""COMPUTED_VALUE"""),2.0)</f>
        <v>2</v>
      </c>
      <c r="J73" s="11">
        <f>IFERROR(__xludf.DUMMYFUNCTION("""COMPUTED_VALUE"""),0.0)</f>
        <v>0</v>
      </c>
      <c r="K73" s="11">
        <f>IFERROR(__xludf.DUMMYFUNCTION("""COMPUTED_VALUE"""),1.0)</f>
        <v>1</v>
      </c>
    </row>
    <row r="74" ht="15.75" customHeight="1">
      <c r="A74" s="8" t="str">
        <f>IFERROR(__xludf.DUMMYFUNCTION("""COMPUTED_VALUE"""),"https://www.werankle.com/en")</f>
        <v>https://www.werankle.com/en</v>
      </c>
      <c r="B74" s="11" t="str">
        <f>IFERROR(__xludf.DUMMYFUNCTION("""COMPUTED_VALUE"""),"WeRankle — GEO Agency | Generative Engine Optimization")</f>
        <v>WeRankle — GEO Agency | Generative Engine Optimization</v>
      </c>
      <c r="C74" s="8" t="str">
        <f>IFERROR(__xludf.DUMMYFUNCTION("""COMPUTED_VALUE"""),"werankle.com")</f>
        <v>werankle.com</v>
      </c>
      <c r="D74" s="11" t="str">
        <f>IFERROR(__xludf.DUMMYFUNCTION("""COMPUTED_VALUE"""),"HOMEPAGE")</f>
        <v>HOMEPAGE</v>
      </c>
      <c r="E74" s="11" t="str">
        <f>IFERROR(__xludf.DUMMYFUNCTION("""COMPUTED_VALUE"""),"CORPORATE")</f>
        <v>CORPORATE</v>
      </c>
      <c r="F74" s="11" t="str">
        <f>IFERROR(__xludf.DUMMYFUNCTION("""COMPUTED_VALUE"""),"Homepage")</f>
        <v>Homepage</v>
      </c>
      <c r="G74" s="11" t="b">
        <f>IFERROR(__xludf.DUMMYFUNCTION("""COMPUTED_VALUE"""),FALSE)</f>
        <v>0</v>
      </c>
      <c r="H74" s="11" t="str">
        <f>IFERROR(__xludf.DUMMYFUNCTION("""COMPUTED_VALUE"""),"Measured")</f>
        <v>Measured</v>
      </c>
      <c r="I74" s="11">
        <f>IFERROR(__xludf.DUMMYFUNCTION("""COMPUTED_VALUE"""),2.0)</f>
        <v>2</v>
      </c>
      <c r="J74" s="11">
        <f>IFERROR(__xludf.DUMMYFUNCTION("""COMPUTED_VALUE"""),0.0)</f>
        <v>0</v>
      </c>
      <c r="K74" s="11">
        <f>IFERROR(__xludf.DUMMYFUNCTION("""COMPUTED_VALUE"""),0.0)</f>
        <v>0</v>
      </c>
    </row>
    <row r="75" ht="15.75" customHeight="1">
      <c r="A75" s="8" t="str">
        <f>IFERROR(__xludf.DUMMYFUNCTION("""COMPUTED_VALUE"""),"https://www.adcologne.de/")</f>
        <v>https://www.adcologne.de/</v>
      </c>
      <c r="B75" s="11" t="str">
        <f>IFERROR(__xludf.DUMMYFUNCTION("""COMPUTED_VALUE"""),"adcologne – Performance Marketing Agentur aus Köln")</f>
        <v>adcologne – Performance Marketing Agentur aus Köln</v>
      </c>
      <c r="C75" s="8" t="str">
        <f>IFERROR(__xludf.DUMMYFUNCTION("""COMPUTED_VALUE"""),"adcologne.de")</f>
        <v>adcologne.de</v>
      </c>
      <c r="D75" s="11" t="str">
        <f>IFERROR(__xludf.DUMMYFUNCTION("""COMPUTED_VALUE"""),"HOMEPAGE")</f>
        <v>HOMEPAGE</v>
      </c>
      <c r="E75" s="11" t="str">
        <f>IFERROR(__xludf.DUMMYFUNCTION("""COMPUTED_VALUE"""),"CORPORATE")</f>
        <v>CORPORATE</v>
      </c>
      <c r="F75" s="11" t="str">
        <f>IFERROR(__xludf.DUMMYFUNCTION("""COMPUTED_VALUE"""),"Homepage")</f>
        <v>Homepage</v>
      </c>
      <c r="G75" s="11" t="b">
        <f>IFERROR(__xludf.DUMMYFUNCTION("""COMPUTED_VALUE"""),FALSE)</f>
        <v>0</v>
      </c>
      <c r="H75" s="11"/>
      <c r="I75" s="11">
        <f>IFERROR(__xludf.DUMMYFUNCTION("""COMPUTED_VALUE"""),1.0)</f>
        <v>1</v>
      </c>
      <c r="J75" s="11">
        <f>IFERROR(__xludf.DUMMYFUNCTION("""COMPUTED_VALUE"""),0.0)</f>
        <v>0</v>
      </c>
      <c r="K75" s="11">
        <f>IFERROR(__xludf.DUMMYFUNCTION("""COMPUTED_VALUE"""),0.0)</f>
        <v>0</v>
      </c>
    </row>
    <row r="76" ht="15.75" customHeight="1">
      <c r="A76" s="8" t="str">
        <f>IFERROR(__xludf.DUMMYFUNCTION("""COMPUTED_VALUE"""),"https://aeoagency.org/de/")</f>
        <v>https://aeoagency.org/de/</v>
      </c>
      <c r="B76" s="11" t="str">
        <f>IFERROR(__xludf.DUMMYFUNCTION("""COMPUTED_VALUE"""),"Home - AEO Agency® – The Global Leader in Answer Engine Optimization")</f>
        <v>Home - AEO Agency® – The Global Leader in Answer Engine Optimization</v>
      </c>
      <c r="C76" s="8" t="str">
        <f>IFERROR(__xludf.DUMMYFUNCTION("""COMPUTED_VALUE"""),"aeoagency.org")</f>
        <v>aeoagency.org</v>
      </c>
      <c r="D76" s="11" t="str">
        <f>IFERROR(__xludf.DUMMYFUNCTION("""COMPUTED_VALUE"""),"HOMEPAGE")</f>
        <v>HOMEPAGE</v>
      </c>
      <c r="E76" s="11" t="str">
        <f>IFERROR(__xludf.DUMMYFUNCTION("""COMPUTED_VALUE"""),"CORPORATE")</f>
        <v>CORPORATE</v>
      </c>
      <c r="F76" s="11" t="str">
        <f>IFERROR(__xludf.DUMMYFUNCTION("""COMPUTED_VALUE"""),"Homepage")</f>
        <v>Homepage</v>
      </c>
      <c r="G76" s="11" t="b">
        <f>IFERROR(__xludf.DUMMYFUNCTION("""COMPUTED_VALUE"""),FALSE)</f>
        <v>0</v>
      </c>
      <c r="H76" s="11"/>
      <c r="I76" s="11">
        <f>IFERROR(__xludf.DUMMYFUNCTION("""COMPUTED_VALUE"""),1.0)</f>
        <v>1</v>
      </c>
      <c r="J76" s="11">
        <f>IFERROR(__xludf.DUMMYFUNCTION("""COMPUTED_VALUE"""),0.0)</f>
        <v>0</v>
      </c>
      <c r="K76" s="11">
        <f>IFERROR(__xludf.DUMMYFUNCTION("""COMPUTED_VALUE"""),0.0)</f>
        <v>0</v>
      </c>
    </row>
    <row r="77" ht="15.75" customHeight="1">
      <c r="A77" s="8" t="str">
        <f>IFERROR(__xludf.DUMMYFUNCTION("""COMPUTED_VALUE"""),"https://www.aeoera.com/")</f>
        <v>https://www.aeoera.com/</v>
      </c>
      <c r="B77" s="11" t="str">
        <f>IFERROR(__xludf.DUMMYFUNCTION("""COMPUTED_VALUE"""),"AEO / AIO Agency")</f>
        <v>AEO / AIO Agency</v>
      </c>
      <c r="C77" s="8" t="str">
        <f>IFERROR(__xludf.DUMMYFUNCTION("""COMPUTED_VALUE"""),"aeoera.com")</f>
        <v>aeoera.com</v>
      </c>
      <c r="D77" s="11" t="str">
        <f>IFERROR(__xludf.DUMMYFUNCTION("""COMPUTED_VALUE"""),"HOMEPAGE")</f>
        <v>HOMEPAGE</v>
      </c>
      <c r="E77" s="11" t="str">
        <f>IFERROR(__xludf.DUMMYFUNCTION("""COMPUTED_VALUE"""),"CORPORATE")</f>
        <v>CORPORATE</v>
      </c>
      <c r="F77" s="11" t="str">
        <f>IFERROR(__xludf.DUMMYFUNCTION("""COMPUTED_VALUE"""),"Homepage")</f>
        <v>Homepage</v>
      </c>
      <c r="G77" s="11" t="b">
        <f>IFERROR(__xludf.DUMMYFUNCTION("""COMPUTED_VALUE"""),FALSE)</f>
        <v>0</v>
      </c>
      <c r="H77" s="11"/>
      <c r="I77" s="11">
        <f>IFERROR(__xludf.DUMMYFUNCTION("""COMPUTED_VALUE"""),1.0)</f>
        <v>1</v>
      </c>
      <c r="J77" s="11">
        <f>IFERROR(__xludf.DUMMYFUNCTION("""COMPUTED_VALUE"""),0.0)</f>
        <v>0</v>
      </c>
      <c r="K77" s="11">
        <f>IFERROR(__xludf.DUMMYFUNCTION("""COMPUTED_VALUE"""),0.0)</f>
        <v>0</v>
      </c>
    </row>
    <row r="78" ht="15.75" customHeight="1">
      <c r="A78" s="8" t="str">
        <f>IFERROR(__xludf.DUMMYFUNCTION("""COMPUTED_VALUE"""),"https://agency.geolign.com/")</f>
        <v>https://agency.geolign.com/</v>
      </c>
      <c r="B78" s="11"/>
      <c r="C78" s="8" t="str">
        <f>IFERROR(__xludf.DUMMYFUNCTION("""COMPUTED_VALUE"""),"geolign.com")</f>
        <v>geolign.com</v>
      </c>
      <c r="D78" s="11" t="str">
        <f>IFERROR(__xludf.DUMMYFUNCTION("""COMPUTED_VALUE"""),"HOMEPAGE")</f>
        <v>HOMEPAGE</v>
      </c>
      <c r="E78" s="11" t="str">
        <f>IFERROR(__xludf.DUMMYFUNCTION("""COMPUTED_VALUE"""),"CORPORATE")</f>
        <v>CORPORATE</v>
      </c>
      <c r="F78" s="11" t="str">
        <f>IFERROR(__xludf.DUMMYFUNCTION("""COMPUTED_VALUE"""),"Homepage")</f>
        <v>Homepage</v>
      </c>
      <c r="G78" s="11" t="b">
        <f>IFERROR(__xludf.DUMMYFUNCTION("""COMPUTED_VALUE"""),FALSE)</f>
        <v>0</v>
      </c>
      <c r="H78" s="11"/>
      <c r="I78" s="11">
        <f>IFERROR(__xludf.DUMMYFUNCTION("""COMPUTED_VALUE"""),1.0)</f>
        <v>1</v>
      </c>
      <c r="J78" s="11">
        <f>IFERROR(__xludf.DUMMYFUNCTION("""COMPUTED_VALUE"""),0.0)</f>
        <v>0</v>
      </c>
      <c r="K78" s="11">
        <f>IFERROR(__xludf.DUMMYFUNCTION("""COMPUTED_VALUE"""),0.0)</f>
        <v>0</v>
      </c>
    </row>
    <row r="79" ht="15.75" customHeight="1">
      <c r="A79" s="8" t="str">
        <f>IFERROR(__xludf.DUMMYFUNCTION("""COMPUTED_VALUE"""),"https://analyticpartners.com/")</f>
        <v>https://analyticpartners.com/</v>
      </c>
      <c r="B79" s="11" t="str">
        <f>IFERROR(__xludf.DUMMYFUNCTION("""COMPUTED_VALUE"""),"Marketing Measurement &amp;amp; Commercial Analytics | Analytic Partners")</f>
        <v>Marketing Measurement &amp;amp; Commercial Analytics | Analytic Partners</v>
      </c>
      <c r="C79" s="8" t="str">
        <f>IFERROR(__xludf.DUMMYFUNCTION("""COMPUTED_VALUE"""),"analyticpartners.com")</f>
        <v>analyticpartners.com</v>
      </c>
      <c r="D79" s="11" t="str">
        <f>IFERROR(__xludf.DUMMYFUNCTION("""COMPUTED_VALUE"""),"HOMEPAGE")</f>
        <v>HOMEPAGE</v>
      </c>
      <c r="E79" s="11" t="str">
        <f>IFERROR(__xludf.DUMMYFUNCTION("""COMPUTED_VALUE"""),"COMPETITOR")</f>
        <v>COMPETITOR</v>
      </c>
      <c r="F79" s="11" t="str">
        <f>IFERROR(__xludf.DUMMYFUNCTION("""COMPUTED_VALUE"""),"Homepage")</f>
        <v>Homepage</v>
      </c>
      <c r="G79" s="11" t="b">
        <f>IFERROR(__xludf.DUMMYFUNCTION("""COMPUTED_VALUE"""),FALSE)</f>
        <v>0</v>
      </c>
      <c r="H79" s="11" t="str">
        <f>IFERROR(__xludf.DUMMYFUNCTION("""COMPUTED_VALUE"""),"Analytic Partners")</f>
        <v>Analytic Partners</v>
      </c>
      <c r="I79" s="11">
        <f>IFERROR(__xludf.DUMMYFUNCTION("""COMPUTED_VALUE"""),1.0)</f>
        <v>1</v>
      </c>
      <c r="J79" s="11">
        <f>IFERROR(__xludf.DUMMYFUNCTION("""COMPUTED_VALUE"""),0.0)</f>
        <v>0</v>
      </c>
      <c r="K79" s="11">
        <f>IFERROR(__xludf.DUMMYFUNCTION("""COMPUTED_VALUE"""),1.0)</f>
        <v>1</v>
      </c>
    </row>
    <row r="80" ht="15.75" customHeight="1">
      <c r="A80" s="8" t="str">
        <f>IFERROR(__xludf.DUMMYFUNCTION("""COMPUTED_VALUE"""),"https://www.artefact.com/")</f>
        <v>https://www.artefact.com/</v>
      </c>
      <c r="B80" s="11" t="str">
        <f>IFERROR(__xludf.DUMMYFUNCTION("""COMPUTED_VALUE"""),"Artefact is a global data and AI consulting company")</f>
        <v>Artefact is a global data and AI consulting company</v>
      </c>
      <c r="C80" s="8" t="str">
        <f>IFERROR(__xludf.DUMMYFUNCTION("""COMPUTED_VALUE"""),"artefact.com")</f>
        <v>artefact.com</v>
      </c>
      <c r="D80" s="11" t="str">
        <f>IFERROR(__xludf.DUMMYFUNCTION("""COMPUTED_VALUE"""),"HOMEPAGE")</f>
        <v>HOMEPAGE</v>
      </c>
      <c r="E80" s="11" t="str">
        <f>IFERROR(__xludf.DUMMYFUNCTION("""COMPUTED_VALUE"""),"CORPORATE")</f>
        <v>CORPORATE</v>
      </c>
      <c r="F80" s="11" t="str">
        <f>IFERROR(__xludf.DUMMYFUNCTION("""COMPUTED_VALUE"""),"Homepage")</f>
        <v>Homepage</v>
      </c>
      <c r="G80" s="11" t="b">
        <f>IFERROR(__xludf.DUMMYFUNCTION("""COMPUTED_VALUE"""),FALSE)</f>
        <v>0</v>
      </c>
      <c r="H80" s="11" t="str">
        <f>IFERROR(__xludf.DUMMYFUNCTION("""COMPUTED_VALUE"""),"Artefact")</f>
        <v>Artefact</v>
      </c>
      <c r="I80" s="11">
        <f>IFERROR(__xludf.DUMMYFUNCTION("""COMPUTED_VALUE"""),1.0)</f>
        <v>1</v>
      </c>
      <c r="J80" s="11">
        <f>IFERROR(__xludf.DUMMYFUNCTION("""COMPUTED_VALUE"""),0.0)</f>
        <v>0</v>
      </c>
      <c r="K80" s="11">
        <f>IFERROR(__xludf.DUMMYFUNCTION("""COMPUTED_VALUE"""),1.0)</f>
        <v>1</v>
      </c>
    </row>
    <row r="81" ht="15.75" customHeight="1">
      <c r="A81" s="8" t="str">
        <f>IFERROR(__xludf.DUMMYFUNCTION("""COMPUTED_VALUE"""),"https://www.artefact.com/de/")</f>
        <v>https://www.artefact.com/de/</v>
      </c>
      <c r="B81" s="11" t="str">
        <f>IFERROR(__xludf.DUMMYFUNCTION("""COMPUTED_VALUE"""),"Artefact is a global data and AI consulting company")</f>
        <v>Artefact is a global data and AI consulting company</v>
      </c>
      <c r="C81" s="8" t="str">
        <f>IFERROR(__xludf.DUMMYFUNCTION("""COMPUTED_VALUE"""),"artefact.com")</f>
        <v>artefact.com</v>
      </c>
      <c r="D81" s="11" t="str">
        <f>IFERROR(__xludf.DUMMYFUNCTION("""COMPUTED_VALUE"""),"HOMEPAGE")</f>
        <v>HOMEPAGE</v>
      </c>
      <c r="E81" s="11" t="str">
        <f>IFERROR(__xludf.DUMMYFUNCTION("""COMPUTED_VALUE"""),"CORPORATE")</f>
        <v>CORPORATE</v>
      </c>
      <c r="F81" s="11" t="str">
        <f>IFERROR(__xludf.DUMMYFUNCTION("""COMPUTED_VALUE"""),"Homepage")</f>
        <v>Homepage</v>
      </c>
      <c r="G81" s="11" t="b">
        <f>IFERROR(__xludf.DUMMYFUNCTION("""COMPUTED_VALUE"""),FALSE)</f>
        <v>0</v>
      </c>
      <c r="H81" s="11" t="str">
        <f>IFERROR(__xludf.DUMMYFUNCTION("""COMPUTED_VALUE"""),"Artefact")</f>
        <v>Artefact</v>
      </c>
      <c r="I81" s="11">
        <f>IFERROR(__xludf.DUMMYFUNCTION("""COMPUTED_VALUE"""),1.0)</f>
        <v>1</v>
      </c>
      <c r="J81" s="11">
        <f>IFERROR(__xludf.DUMMYFUNCTION("""COMPUTED_VALUE"""),0.0)</f>
        <v>0</v>
      </c>
      <c r="K81" s="11">
        <f>IFERROR(__xludf.DUMMYFUNCTION("""COMPUTED_VALUE"""),0.0)</f>
        <v>0</v>
      </c>
    </row>
    <row r="82" ht="15.75" customHeight="1">
      <c r="A82" s="8" t="str">
        <f>IFERROR(__xludf.DUMMYFUNCTION("""COMPUTED_VALUE"""),"https://audigent.com/")</f>
        <v>https://audigent.com/</v>
      </c>
      <c r="B82" s="11" t="str">
        <f>IFERROR(__xludf.DUMMYFUNCTION("""COMPUTED_VALUE"""),"Audigent | The Leading Data Activation, Curation and Identity Platform")</f>
        <v>Audigent | The Leading Data Activation, Curation and Identity Platform</v>
      </c>
      <c r="C82" s="8" t="str">
        <f>IFERROR(__xludf.DUMMYFUNCTION("""COMPUTED_VALUE"""),"audigent.com")</f>
        <v>audigent.com</v>
      </c>
      <c r="D82" s="11" t="str">
        <f>IFERROR(__xludf.DUMMYFUNCTION("""COMPUTED_VALUE"""),"HOMEPAGE")</f>
        <v>HOMEPAGE</v>
      </c>
      <c r="E82" s="11" t="str">
        <f>IFERROR(__xludf.DUMMYFUNCTION("""COMPUTED_VALUE"""),"CORPORATE")</f>
        <v>CORPORATE</v>
      </c>
      <c r="F82" s="11" t="str">
        <f>IFERROR(__xludf.DUMMYFUNCTION("""COMPUTED_VALUE"""),"Homepage")</f>
        <v>Homepage</v>
      </c>
      <c r="G82" s="11" t="b">
        <f>IFERROR(__xludf.DUMMYFUNCTION("""COMPUTED_VALUE"""),FALSE)</f>
        <v>0</v>
      </c>
      <c r="H82" s="11"/>
      <c r="I82" s="11">
        <f>IFERROR(__xludf.DUMMYFUNCTION("""COMPUTED_VALUE"""),1.0)</f>
        <v>1</v>
      </c>
      <c r="J82" s="11">
        <f>IFERROR(__xludf.DUMMYFUNCTION("""COMPUTED_VALUE"""),0.0)</f>
        <v>0</v>
      </c>
      <c r="K82" s="11">
        <f>IFERROR(__xludf.DUMMYFUNCTION("""COMPUTED_VALUE"""),2.0)</f>
        <v>2</v>
      </c>
    </row>
    <row r="83" ht="15.75" customHeight="1">
      <c r="A83" s="8" t="str">
        <f>IFERROR(__xludf.DUMMYFUNCTION("""COMPUTED_VALUE"""),"https://www.aurelai.de/")</f>
        <v>https://www.aurelai.de/</v>
      </c>
      <c r="B83" s="11" t="str">
        <f>IFERROR(__xludf.DUMMYFUNCTION("""COMPUTED_VALUE"""),"Aurel AI – KI-Beratung für den Mittelstand")</f>
        <v>Aurel AI – KI-Beratung für den Mittelstand</v>
      </c>
      <c r="C83" s="8" t="str">
        <f>IFERROR(__xludf.DUMMYFUNCTION("""COMPUTED_VALUE"""),"aurelai.de")</f>
        <v>aurelai.de</v>
      </c>
      <c r="D83" s="11" t="str">
        <f>IFERROR(__xludf.DUMMYFUNCTION("""COMPUTED_VALUE"""),"HOMEPAGE")</f>
        <v>HOMEPAGE</v>
      </c>
      <c r="E83" s="11" t="str">
        <f>IFERROR(__xludf.DUMMYFUNCTION("""COMPUTED_VALUE"""),"CORPORATE")</f>
        <v>CORPORATE</v>
      </c>
      <c r="F83" s="11" t="str">
        <f>IFERROR(__xludf.DUMMYFUNCTION("""COMPUTED_VALUE"""),"Homepage")</f>
        <v>Homepage</v>
      </c>
      <c r="G83" s="11" t="b">
        <f>IFERROR(__xludf.DUMMYFUNCTION("""COMPUTED_VALUE"""),FALSE)</f>
        <v>0</v>
      </c>
      <c r="H83" s="11"/>
      <c r="I83" s="11">
        <f>IFERROR(__xludf.DUMMYFUNCTION("""COMPUTED_VALUE"""),1.0)</f>
        <v>1</v>
      </c>
      <c r="J83" s="11">
        <f>IFERROR(__xludf.DUMMYFUNCTION("""COMPUTED_VALUE"""),0.0)</f>
        <v>0</v>
      </c>
      <c r="K83" s="11">
        <f>IFERROR(__xludf.DUMMYFUNCTION("""COMPUTED_VALUE"""),0.0)</f>
        <v>0</v>
      </c>
    </row>
    <row r="84" ht="15.75" customHeight="1">
      <c r="A84" s="8" t="str">
        <f>IFERROR(__xludf.DUMMYFUNCTION("""COMPUTED_VALUE"""),"https://www.backhouse.com/")</f>
        <v>https://www.backhouse.com/</v>
      </c>
      <c r="B84" s="11" t="str">
        <f>IFERROR(__xludf.DUMMYFUNCTION("""COMPUTED_VALUE"""),"Backhouse // Embedded production company for brands, agencies, and studios")</f>
        <v>Backhouse // Embedded production company for brands, agencies, and studios</v>
      </c>
      <c r="C84" s="8" t="str">
        <f>IFERROR(__xludf.DUMMYFUNCTION("""COMPUTED_VALUE"""),"backhouse.com")</f>
        <v>backhouse.com</v>
      </c>
      <c r="D84" s="11" t="str">
        <f>IFERROR(__xludf.DUMMYFUNCTION("""COMPUTED_VALUE"""),"HOMEPAGE")</f>
        <v>HOMEPAGE</v>
      </c>
      <c r="E84" s="11" t="str">
        <f>IFERROR(__xludf.DUMMYFUNCTION("""COMPUTED_VALUE"""),"CORPORATE")</f>
        <v>CORPORATE</v>
      </c>
      <c r="F84" s="11" t="str">
        <f>IFERROR(__xludf.DUMMYFUNCTION("""COMPUTED_VALUE"""),"Homepage")</f>
        <v>Homepage</v>
      </c>
      <c r="G84" s="11" t="b">
        <f>IFERROR(__xludf.DUMMYFUNCTION("""COMPUTED_VALUE"""),FALSE)</f>
        <v>0</v>
      </c>
      <c r="H84" s="11"/>
      <c r="I84" s="11">
        <f>IFERROR(__xludf.DUMMYFUNCTION("""COMPUTED_VALUE"""),1.0)</f>
        <v>1</v>
      </c>
      <c r="J84" s="11">
        <f>IFERROR(__xludf.DUMMYFUNCTION("""COMPUTED_VALUE"""),0.0)</f>
        <v>0</v>
      </c>
      <c r="K84" s="11">
        <f>IFERROR(__xludf.DUMMYFUNCTION("""COMPUTED_VALUE"""),2.0)</f>
        <v>2</v>
      </c>
    </row>
    <row r="85" ht="15.75" customHeight="1">
      <c r="A85" s="8" t="str">
        <f>IFERROR(__xludf.DUMMYFUNCTION("""COMPUTED_VALUE"""),"https://bbdo.de/")</f>
        <v>https://bbdo.de/</v>
      </c>
      <c r="B85" s="11" t="str">
        <f>IFERROR(__xludf.DUMMYFUNCTION("""COMPUTED_VALUE"""),"Home - BBDO GERMANY")</f>
        <v>Home - BBDO GERMANY</v>
      </c>
      <c r="C85" s="8" t="str">
        <f>IFERROR(__xludf.DUMMYFUNCTION("""COMPUTED_VALUE"""),"bbdo.de")</f>
        <v>bbdo.de</v>
      </c>
      <c r="D85" s="11" t="str">
        <f>IFERROR(__xludf.DUMMYFUNCTION("""COMPUTED_VALUE"""),"HOMEPAGE")</f>
        <v>HOMEPAGE</v>
      </c>
      <c r="E85" s="11" t="str">
        <f>IFERROR(__xludf.DUMMYFUNCTION("""COMPUTED_VALUE"""),"CORPORATE")</f>
        <v>CORPORATE</v>
      </c>
      <c r="F85" s="11" t="str">
        <f>IFERROR(__xludf.DUMMYFUNCTION("""COMPUTED_VALUE"""),"Homepage")</f>
        <v>Homepage</v>
      </c>
      <c r="G85" s="11" t="b">
        <f>IFERROR(__xludf.DUMMYFUNCTION("""COMPUTED_VALUE"""),FALSE)</f>
        <v>0</v>
      </c>
      <c r="H85" s="11" t="str">
        <f>IFERROR(__xludf.DUMMYFUNCTION("""COMPUTED_VALUE"""),"Omnicom, BBDO Germany")</f>
        <v>Omnicom, BBDO Germany</v>
      </c>
      <c r="I85" s="11">
        <f>IFERROR(__xludf.DUMMYFUNCTION("""COMPUTED_VALUE"""),1.0)</f>
        <v>1</v>
      </c>
      <c r="J85" s="11">
        <f>IFERROR(__xludf.DUMMYFUNCTION("""COMPUTED_VALUE"""),0.0)</f>
        <v>0</v>
      </c>
      <c r="K85" s="11">
        <f>IFERROR(__xludf.DUMMYFUNCTION("""COMPUTED_VALUE"""),1.0)</f>
        <v>1</v>
      </c>
    </row>
    <row r="86" ht="15.75" customHeight="1">
      <c r="A86" s="8" t="str">
        <f>IFERROR(__xludf.DUMMYFUNCTION("""COMPUTED_VALUE"""),"https://www.best-social-media-agency.com/")</f>
        <v>https://www.best-social-media-agency.com/</v>
      </c>
      <c r="B86" s="11"/>
      <c r="C86" s="8" t="str">
        <f>IFERROR(__xludf.DUMMYFUNCTION("""COMPUTED_VALUE"""),"best-social-media-agency.com")</f>
        <v>best-social-media-agency.com</v>
      </c>
      <c r="D86" s="11" t="str">
        <f>IFERROR(__xludf.DUMMYFUNCTION("""COMPUTED_VALUE"""),"HOMEPAGE")</f>
        <v>HOMEPAGE</v>
      </c>
      <c r="E86" s="11" t="str">
        <f>IFERROR(__xludf.DUMMYFUNCTION("""COMPUTED_VALUE"""),"CORPORATE")</f>
        <v>CORPORATE</v>
      </c>
      <c r="F86" s="11" t="str">
        <f>IFERROR(__xludf.DUMMYFUNCTION("""COMPUTED_VALUE"""),"Homepage")</f>
        <v>Homepage</v>
      </c>
      <c r="G86" s="11"/>
      <c r="H86" s="11" t="str">
        <f>IFERROR(__xludf.DUMMYFUNCTION("""COMPUTED_VALUE"""),"Unknown")</f>
        <v>Unknown</v>
      </c>
      <c r="I86" s="11">
        <f>IFERROR(__xludf.DUMMYFUNCTION("""COMPUTED_VALUE"""),1.0)</f>
        <v>1</v>
      </c>
      <c r="J86" s="11">
        <f>IFERROR(__xludf.DUMMYFUNCTION("""COMPUTED_VALUE"""),0.0)</f>
        <v>0</v>
      </c>
      <c r="K86" s="11">
        <f>IFERROR(__xludf.DUMMYFUNCTION("""COMPUTED_VALUE"""),0.0)</f>
        <v>0</v>
      </c>
    </row>
    <row r="87" ht="15.75" customHeight="1">
      <c r="A87" s="8" t="str">
        <f>IFERROR(__xludf.DUMMYFUNCTION("""COMPUTED_VALUE"""),"https://blueshepherd.de/")</f>
        <v>https://blueshepherd.de/</v>
      </c>
      <c r="B87" s="11" t="str">
        <f>IFERROR(__xludf.DUMMYFUNCTION("""COMPUTED_VALUE"""),"AI Marketing Agentur Hamburg | SEO, SEA &amp;amp; LLM-Optimierung")</f>
        <v>AI Marketing Agentur Hamburg | SEO, SEA &amp;amp; LLM-Optimierung</v>
      </c>
      <c r="C87" s="8" t="str">
        <f>IFERROR(__xludf.DUMMYFUNCTION("""COMPUTED_VALUE"""),"blueshepherd.de")</f>
        <v>blueshepherd.de</v>
      </c>
      <c r="D87" s="11" t="str">
        <f>IFERROR(__xludf.DUMMYFUNCTION("""COMPUTED_VALUE"""),"HOMEPAGE")</f>
        <v>HOMEPAGE</v>
      </c>
      <c r="E87" s="11" t="str">
        <f>IFERROR(__xludf.DUMMYFUNCTION("""COMPUTED_VALUE"""),"CORPORATE")</f>
        <v>CORPORATE</v>
      </c>
      <c r="F87" s="11" t="str">
        <f>IFERROR(__xludf.DUMMYFUNCTION("""COMPUTED_VALUE"""),"Homepage")</f>
        <v>Homepage</v>
      </c>
      <c r="G87" s="11" t="b">
        <f>IFERROR(__xludf.DUMMYFUNCTION("""COMPUTED_VALUE"""),FALSE)</f>
        <v>0</v>
      </c>
      <c r="H87" s="11"/>
      <c r="I87" s="11">
        <f>IFERROR(__xludf.DUMMYFUNCTION("""COMPUTED_VALUE"""),1.0)</f>
        <v>1</v>
      </c>
      <c r="J87" s="11">
        <f>IFERROR(__xludf.DUMMYFUNCTION("""COMPUTED_VALUE"""),0.0)</f>
        <v>0</v>
      </c>
      <c r="K87" s="11">
        <f>IFERROR(__xludf.DUMMYFUNCTION("""COMPUTED_VALUE"""),0.0)</f>
        <v>0</v>
      </c>
    </row>
    <row r="88" ht="15.75" customHeight="1">
      <c r="A88" s="8" t="str">
        <f>IFERROR(__xludf.DUMMYFUNCTION("""COMPUTED_VALUE"""),"https://www.brainlabsdigital.com/")</f>
        <v>https://www.brainlabsdigital.com/</v>
      </c>
      <c r="B88" s="11" t="str">
        <f>IFERROR(__xludf.DUMMYFUNCTION("""COMPUTED_VALUE"""),"Brainlabs")</f>
        <v>Brainlabs</v>
      </c>
      <c r="C88" s="8" t="str">
        <f>IFERROR(__xludf.DUMMYFUNCTION("""COMPUTED_VALUE"""),"brainlabsdigital.com")</f>
        <v>brainlabsdigital.com</v>
      </c>
      <c r="D88" s="11" t="str">
        <f>IFERROR(__xludf.DUMMYFUNCTION("""COMPUTED_VALUE"""),"HOMEPAGE")</f>
        <v>HOMEPAGE</v>
      </c>
      <c r="E88" s="11" t="str">
        <f>IFERROR(__xludf.DUMMYFUNCTION("""COMPUTED_VALUE"""),"COMPETITOR")</f>
        <v>COMPETITOR</v>
      </c>
      <c r="F88" s="11" t="str">
        <f>IFERROR(__xludf.DUMMYFUNCTION("""COMPUTED_VALUE"""),"Homepage")</f>
        <v>Homepage</v>
      </c>
      <c r="G88" s="11" t="b">
        <f>IFERROR(__xludf.DUMMYFUNCTION("""COMPUTED_VALUE"""),FALSE)</f>
        <v>0</v>
      </c>
      <c r="H88" s="11" t="str">
        <f>IFERROR(__xludf.DUMMYFUNCTION("""COMPUTED_VALUE"""),"Brainlabs, Measured")</f>
        <v>Brainlabs, Measured</v>
      </c>
      <c r="I88" s="11">
        <f>IFERROR(__xludf.DUMMYFUNCTION("""COMPUTED_VALUE"""),1.0)</f>
        <v>1</v>
      </c>
      <c r="J88" s="11">
        <f>IFERROR(__xludf.DUMMYFUNCTION("""COMPUTED_VALUE"""),0.0)</f>
        <v>0</v>
      </c>
      <c r="K88" s="11">
        <f>IFERROR(__xludf.DUMMYFUNCTION("""COMPUTED_VALUE"""),1.0)</f>
        <v>1</v>
      </c>
    </row>
    <row r="89" ht="15.75" customHeight="1">
      <c r="A89" s="8" t="str">
        <f>IFERROR(__xludf.DUMMYFUNCTION("""COMPUTED_VALUE"""),"https://www.cl-y.com/")</f>
        <v>https://www.cl-y.com/</v>
      </c>
      <c r="B89" s="11" t="str">
        <f>IFERROR(__xludf.DUMMYFUNCTION("""COMPUTED_VALUE"""),"CLY Boutique Event Agency and Celebrity Booking in Berlin")</f>
        <v>CLY Boutique Event Agency and Celebrity Booking in Berlin</v>
      </c>
      <c r="C89" s="8" t="str">
        <f>IFERROR(__xludf.DUMMYFUNCTION("""COMPUTED_VALUE"""),"cl-y.com")</f>
        <v>cl-y.com</v>
      </c>
      <c r="D89" s="11" t="str">
        <f>IFERROR(__xludf.DUMMYFUNCTION("""COMPUTED_VALUE"""),"HOMEPAGE")</f>
        <v>HOMEPAGE</v>
      </c>
      <c r="E89" s="11" t="str">
        <f>IFERROR(__xludf.DUMMYFUNCTION("""COMPUTED_VALUE"""),"CORPORATE")</f>
        <v>CORPORATE</v>
      </c>
      <c r="F89" s="11" t="str">
        <f>IFERROR(__xludf.DUMMYFUNCTION("""COMPUTED_VALUE"""),"Homepage")</f>
        <v>Homepage</v>
      </c>
      <c r="G89" s="11" t="b">
        <f>IFERROR(__xludf.DUMMYFUNCTION("""COMPUTED_VALUE"""),FALSE)</f>
        <v>0</v>
      </c>
      <c r="H89" s="11"/>
      <c r="I89" s="11">
        <f>IFERROR(__xludf.DUMMYFUNCTION("""COMPUTED_VALUE"""),1.0)</f>
        <v>1</v>
      </c>
      <c r="J89" s="11">
        <f>IFERROR(__xludf.DUMMYFUNCTION("""COMPUTED_VALUE"""),0.0)</f>
        <v>0</v>
      </c>
      <c r="K89" s="11">
        <f>IFERROR(__xludf.DUMMYFUNCTION("""COMPUTED_VALUE"""),1.0)</f>
        <v>1</v>
      </c>
    </row>
    <row r="90" ht="15.75" customHeight="1">
      <c r="A90" s="8" t="str">
        <f>IFERROR(__xludf.DUMMYFUNCTION("""COMPUTED_VALUE"""),"https://www.deptagency.com/de-dach/")</f>
        <v>https://www.deptagency.com/de-dach/</v>
      </c>
      <c r="B90" s="11" t="str">
        <f>IFERROR(__xludf.DUMMYFUNCTION("""COMPUTED_VALUE"""),"DEPT® | Growth Invention | Tech &amp;amp; Marketing")</f>
        <v>DEPT® | Growth Invention | Tech &amp;amp; Marketing</v>
      </c>
      <c r="C90" s="8" t="str">
        <f>IFERROR(__xludf.DUMMYFUNCTION("""COMPUTED_VALUE"""),"deptagency.com")</f>
        <v>deptagency.com</v>
      </c>
      <c r="D90" s="11" t="str">
        <f>IFERROR(__xludf.DUMMYFUNCTION("""COMPUTED_VALUE"""),"HOMEPAGE")</f>
        <v>HOMEPAGE</v>
      </c>
      <c r="E90" s="11" t="str">
        <f>IFERROR(__xludf.DUMMYFUNCTION("""COMPUTED_VALUE"""),"COMPETITOR")</f>
        <v>COMPETITOR</v>
      </c>
      <c r="F90" s="11" t="str">
        <f>IFERROR(__xludf.DUMMYFUNCTION("""COMPUTED_VALUE"""),"Homepage")</f>
        <v>Homepage</v>
      </c>
      <c r="G90" s="11" t="b">
        <f>IFERROR(__xludf.DUMMYFUNCTION("""COMPUTED_VALUE"""),FALSE)</f>
        <v>0</v>
      </c>
      <c r="H90" s="11" t="str">
        <f>IFERROR(__xludf.DUMMYFUNCTION("""COMPUTED_VALUE"""),"DEPT")</f>
        <v>DEPT</v>
      </c>
      <c r="I90" s="11">
        <f>IFERROR(__xludf.DUMMYFUNCTION("""COMPUTED_VALUE"""),1.0)</f>
        <v>1</v>
      </c>
      <c r="J90" s="11">
        <f>IFERROR(__xludf.DUMMYFUNCTION("""COMPUTED_VALUE"""),0.0)</f>
        <v>0</v>
      </c>
      <c r="K90" s="11">
        <f>IFERROR(__xludf.DUMMYFUNCTION("""COMPUTED_VALUE"""),1.0)</f>
        <v>1</v>
      </c>
    </row>
    <row r="91" ht="15.75" customHeight="1">
      <c r="A91" s="8" t="str">
        <f>IFERROR(__xludf.DUMMYFUNCTION("""COMPUTED_VALUE"""),"https://www.digitalinsight.de/")</f>
        <v>https://www.digitalinsight.de/</v>
      </c>
      <c r="B91" s="11" t="str">
        <f>IFERROR(__xludf.DUMMYFUNCTION("""COMPUTED_VALUE"""),"Agentur für SEO &amp;amp; Analytics - Gewinner German Web Award ?")</f>
        <v>Agentur für SEO &amp;amp; Analytics - Gewinner German Web Award ?</v>
      </c>
      <c r="C91" s="8" t="str">
        <f>IFERROR(__xludf.DUMMYFUNCTION("""COMPUTED_VALUE"""),"digitalinsight.de")</f>
        <v>digitalinsight.de</v>
      </c>
      <c r="D91" s="11" t="str">
        <f>IFERROR(__xludf.DUMMYFUNCTION("""COMPUTED_VALUE"""),"HOMEPAGE")</f>
        <v>HOMEPAGE</v>
      </c>
      <c r="E91" s="11" t="str">
        <f>IFERROR(__xludf.DUMMYFUNCTION("""COMPUTED_VALUE"""),"CORPORATE")</f>
        <v>CORPORATE</v>
      </c>
      <c r="F91" s="11" t="str">
        <f>IFERROR(__xludf.DUMMYFUNCTION("""COMPUTED_VALUE"""),"Homepage")</f>
        <v>Homepage</v>
      </c>
      <c r="G91" s="11" t="b">
        <f>IFERROR(__xludf.DUMMYFUNCTION("""COMPUTED_VALUE"""),FALSE)</f>
        <v>0</v>
      </c>
      <c r="H91" s="11"/>
      <c r="I91" s="11">
        <f>IFERROR(__xludf.DUMMYFUNCTION("""COMPUTED_VALUE"""),1.0)</f>
        <v>1</v>
      </c>
      <c r="J91" s="11">
        <f>IFERROR(__xludf.DUMMYFUNCTION("""COMPUTED_VALUE"""),0.0)</f>
        <v>0</v>
      </c>
      <c r="K91" s="11">
        <f>IFERROR(__xludf.DUMMYFUNCTION("""COMPUTED_VALUE"""),0.0)</f>
        <v>0</v>
      </c>
    </row>
    <row r="92" ht="15.75" customHeight="1">
      <c r="A92" s="8" t="str">
        <f>IFERROR(__xludf.DUMMYFUNCTION("""COMPUTED_VALUE"""),"https://e-dialog.group/en/#:~:text=Measurable%20Success-,in%20Marketing,for%20real%20Agentic%20performance%20marketing.")</f>
        <v>https://e-dialog.group/en/#:~:text=Measurable%20Success-,in%20Marketing,for%20real%20Agentic%20performance%20marketing.</v>
      </c>
      <c r="B92" s="11" t="str">
        <f>IFERROR(__xludf.DUMMYFUNCTION("""COMPUTED_VALUE"""),"Measurable success in digital marketing | e-dialog")</f>
        <v>Measurable success in digital marketing | e-dialog</v>
      </c>
      <c r="C92" s="11" t="str">
        <f>IFERROR(__xludf.DUMMYFUNCTION("""COMPUTED_VALUE"""),"e-dialog.group")</f>
        <v>e-dialog.group</v>
      </c>
      <c r="D92" s="11" t="str">
        <f>IFERROR(__xludf.DUMMYFUNCTION("""COMPUTED_VALUE"""),"HOMEPAGE")</f>
        <v>HOMEPAGE</v>
      </c>
      <c r="E92" s="11" t="str">
        <f>IFERROR(__xludf.DUMMYFUNCTION("""COMPUTED_VALUE"""),"CORPORATE")</f>
        <v>CORPORATE</v>
      </c>
      <c r="F92" s="11" t="str">
        <f>IFERROR(__xludf.DUMMYFUNCTION("""COMPUTED_VALUE"""),"Homepage")</f>
        <v>Homepage</v>
      </c>
      <c r="G92" s="11" t="b">
        <f>IFERROR(__xludf.DUMMYFUNCTION("""COMPUTED_VALUE"""),FALSE)</f>
        <v>0</v>
      </c>
      <c r="H92" s="11" t="str">
        <f>IFERROR(__xludf.DUMMYFUNCTION("""COMPUTED_VALUE"""),"e-dialog")</f>
        <v>e-dialog</v>
      </c>
      <c r="I92" s="11">
        <f>IFERROR(__xludf.DUMMYFUNCTION("""COMPUTED_VALUE"""),1.0)</f>
        <v>1</v>
      </c>
      <c r="J92" s="11">
        <f>IFERROR(__xludf.DUMMYFUNCTION("""COMPUTED_VALUE"""),0.0)</f>
        <v>0</v>
      </c>
      <c r="K92" s="11">
        <f>IFERROR(__xludf.DUMMYFUNCTION("""COMPUTED_VALUE"""),1.0)</f>
        <v>1</v>
      </c>
    </row>
    <row r="93" ht="15.75" customHeight="1">
      <c r="A93" s="8" t="str">
        <f>IFERROR(__xludf.DUMMYFUNCTION("""COMPUTED_VALUE"""),"https://www.e-dynamics.de/homepage/")</f>
        <v>https://www.e-dynamics.de/homepage/</v>
      </c>
      <c r="B93" s="11" t="str">
        <f>IFERROR(__xludf.DUMMYFUNCTION("""COMPUTED_VALUE"""),"Your specialist for Digital Analytics &amp;amp; Web Intelligence - e-dynamics")</f>
        <v>Your specialist for Digital Analytics &amp;amp; Web Intelligence - e-dynamics</v>
      </c>
      <c r="C93" s="8" t="str">
        <f>IFERROR(__xludf.DUMMYFUNCTION("""COMPUTED_VALUE"""),"e-dynamics.de")</f>
        <v>e-dynamics.de</v>
      </c>
      <c r="D93" s="11" t="str">
        <f>IFERROR(__xludf.DUMMYFUNCTION("""COMPUTED_VALUE"""),"HOMEPAGE")</f>
        <v>HOMEPAGE</v>
      </c>
      <c r="E93" s="11" t="str">
        <f>IFERROR(__xludf.DUMMYFUNCTION("""COMPUTED_VALUE"""),"CORPORATE")</f>
        <v>CORPORATE</v>
      </c>
      <c r="F93" s="11" t="str">
        <f>IFERROR(__xludf.DUMMYFUNCTION("""COMPUTED_VALUE"""),"Homepage")</f>
        <v>Homepage</v>
      </c>
      <c r="G93" s="11" t="b">
        <f>IFERROR(__xludf.DUMMYFUNCTION("""COMPUTED_VALUE"""),FALSE)</f>
        <v>0</v>
      </c>
      <c r="H93" s="11"/>
      <c r="I93" s="11">
        <f>IFERROR(__xludf.DUMMYFUNCTION("""COMPUTED_VALUE"""),1.0)</f>
        <v>1</v>
      </c>
      <c r="J93" s="11">
        <f>IFERROR(__xludf.DUMMYFUNCTION("""COMPUTED_VALUE"""),0.0)</f>
        <v>0</v>
      </c>
      <c r="K93" s="11">
        <f>IFERROR(__xludf.DUMMYFUNCTION("""COMPUTED_VALUE"""),1.0)</f>
        <v>1</v>
      </c>
    </row>
    <row r="94" ht="15.75" customHeight="1">
      <c r="A94" s="8" t="str">
        <f>IFERROR(__xludf.DUMMYFUNCTION("""COMPUTED_VALUE"""),"https://www.econworks.de/")</f>
        <v>https://www.econworks.de/</v>
      </c>
      <c r="B94" s="11" t="str">
        <f>IFERROR(__xludf.DUMMYFUNCTION("""COMPUTED_VALUE"""),"econworks — Media Analytics, Strategic Pricing &amp;amp; Data-Centric AI Solutions")</f>
        <v>econworks — Media Analytics, Strategic Pricing &amp;amp; Data-Centric AI Solutions</v>
      </c>
      <c r="C94" s="8" t="str">
        <f>IFERROR(__xludf.DUMMYFUNCTION("""COMPUTED_VALUE"""),"econworks.de")</f>
        <v>econworks.de</v>
      </c>
      <c r="D94" s="11" t="str">
        <f>IFERROR(__xludf.DUMMYFUNCTION("""COMPUTED_VALUE"""),"HOMEPAGE")</f>
        <v>HOMEPAGE</v>
      </c>
      <c r="E94" s="11" t="str">
        <f>IFERROR(__xludf.DUMMYFUNCTION("""COMPUTED_VALUE"""),"CORPORATE")</f>
        <v>CORPORATE</v>
      </c>
      <c r="F94" s="11" t="str">
        <f>IFERROR(__xludf.DUMMYFUNCTION("""COMPUTED_VALUE"""),"Homepage")</f>
        <v>Homepage</v>
      </c>
      <c r="G94" s="11" t="b">
        <f>IFERROR(__xludf.DUMMYFUNCTION("""COMPUTED_VALUE"""),FALSE)</f>
        <v>0</v>
      </c>
      <c r="H94" s="11"/>
      <c r="I94" s="11">
        <f>IFERROR(__xludf.DUMMYFUNCTION("""COMPUTED_VALUE"""),1.0)</f>
        <v>1</v>
      </c>
      <c r="J94" s="11">
        <f>IFERROR(__xludf.DUMMYFUNCTION("""COMPUTED_VALUE"""),0.0)</f>
        <v>0</v>
      </c>
      <c r="K94" s="11">
        <f>IFERROR(__xludf.DUMMYFUNCTION("""COMPUTED_VALUE"""),0.0)</f>
        <v>0</v>
      </c>
    </row>
    <row r="95" ht="15.75" customHeight="1">
      <c r="A95" s="8" t="str">
        <f>IFERROR(__xludf.DUMMYFUNCTION("""COMPUTED_VALUE"""),"https://www.ecowiseagency.com/")</f>
        <v>https://www.ecowiseagency.com/</v>
      </c>
      <c r="B95" s="11" t="str">
        <f>IFERROR(__xludf.DUMMYFUNCTION("""COMPUTED_VALUE"""),"EcoWise Agency – AI Branding &amp; Performance Marketing")</f>
        <v>EcoWise Agency – AI Branding &amp; Performance Marketing</v>
      </c>
      <c r="C95" s="8" t="str">
        <f>IFERROR(__xludf.DUMMYFUNCTION("""COMPUTED_VALUE"""),"ecowiseagency.com")</f>
        <v>ecowiseagency.com</v>
      </c>
      <c r="D95" s="11" t="str">
        <f>IFERROR(__xludf.DUMMYFUNCTION("""COMPUTED_VALUE"""),"HOMEPAGE")</f>
        <v>HOMEPAGE</v>
      </c>
      <c r="E95" s="11" t="str">
        <f>IFERROR(__xludf.DUMMYFUNCTION("""COMPUTED_VALUE"""),"CORPORATE")</f>
        <v>CORPORATE</v>
      </c>
      <c r="F95" s="11" t="str">
        <f>IFERROR(__xludf.DUMMYFUNCTION("""COMPUTED_VALUE"""),"Homepage")</f>
        <v>Homepage</v>
      </c>
      <c r="G95" s="11" t="b">
        <f>IFERROR(__xludf.DUMMYFUNCTION("""COMPUTED_VALUE"""),FALSE)</f>
        <v>0</v>
      </c>
      <c r="H95" s="11"/>
      <c r="I95" s="11">
        <f>IFERROR(__xludf.DUMMYFUNCTION("""COMPUTED_VALUE"""),1.0)</f>
        <v>1</v>
      </c>
      <c r="J95" s="11">
        <f>IFERROR(__xludf.DUMMYFUNCTION("""COMPUTED_VALUE"""),0.0)</f>
        <v>0</v>
      </c>
      <c r="K95" s="11">
        <f>IFERROR(__xludf.DUMMYFUNCTION("""COMPUTED_VALUE"""),0.0)</f>
        <v>0</v>
      </c>
    </row>
    <row r="96" ht="15.75" customHeight="1">
      <c r="A96" s="8" t="str">
        <f>IFERROR(__xludf.DUMMYFUNCTION("""COMPUTED_VALUE"""),"https://www.eliya.io/")</f>
        <v>https://www.eliya.io/</v>
      </c>
      <c r="B96" s="11" t="str">
        <f>IFERROR(__xludf.DUMMYFUNCTION("""COMPUTED_VALUE"""),"ELIYA Advanced Data Science AI Solutions for Business and Marketing")</f>
        <v>ELIYA Advanced Data Science AI Solutions for Business and Marketing</v>
      </c>
      <c r="C96" s="8" t="str">
        <f>IFERROR(__xludf.DUMMYFUNCTION("""COMPUTED_VALUE"""),"eliya.io")</f>
        <v>eliya.io</v>
      </c>
      <c r="D96" s="11" t="str">
        <f>IFERROR(__xludf.DUMMYFUNCTION("""COMPUTED_VALUE"""),"HOMEPAGE")</f>
        <v>HOMEPAGE</v>
      </c>
      <c r="E96" s="11" t="str">
        <f>IFERROR(__xludf.DUMMYFUNCTION("""COMPUTED_VALUE"""),"CORPORATE")</f>
        <v>CORPORATE</v>
      </c>
      <c r="F96" s="11" t="str">
        <f>IFERROR(__xludf.DUMMYFUNCTION("""COMPUTED_VALUE"""),"Homepage")</f>
        <v>Homepage</v>
      </c>
      <c r="G96" s="11" t="b">
        <f>IFERROR(__xludf.DUMMYFUNCTION("""COMPUTED_VALUE"""),FALSE)</f>
        <v>0</v>
      </c>
      <c r="H96" s="11"/>
      <c r="I96" s="11">
        <f>IFERROR(__xludf.DUMMYFUNCTION("""COMPUTED_VALUE"""),1.0)</f>
        <v>1</v>
      </c>
      <c r="J96" s="11">
        <f>IFERROR(__xludf.DUMMYFUNCTION("""COMPUTED_VALUE"""),0.0)</f>
        <v>0</v>
      </c>
      <c r="K96" s="11">
        <f>IFERROR(__xludf.DUMMYFUNCTION("""COMPUTED_VALUE"""),0.0)</f>
        <v>0</v>
      </c>
    </row>
    <row r="97" ht="15.75" customHeight="1">
      <c r="A97" s="8" t="str">
        <f>IFERROR(__xludf.DUMMYFUNCTION("""COMPUTED_VALUE"""),"https://en.analyticaa.com/")</f>
        <v>https://en.analyticaa.com/</v>
      </c>
      <c r="B97" s="11" t="str">
        <f>IFERROR(__xludf.DUMMYFUNCTION("""COMPUTED_VALUE"""),"AnalyticaA - Your Digital Marketing Agency in Munich")</f>
        <v>AnalyticaA - Your Digital Marketing Agency in Munich</v>
      </c>
      <c r="C97" s="8" t="str">
        <f>IFERROR(__xludf.DUMMYFUNCTION("""COMPUTED_VALUE"""),"analyticaa.com")</f>
        <v>analyticaa.com</v>
      </c>
      <c r="D97" s="11" t="str">
        <f>IFERROR(__xludf.DUMMYFUNCTION("""COMPUTED_VALUE"""),"HOMEPAGE")</f>
        <v>HOMEPAGE</v>
      </c>
      <c r="E97" s="11" t="str">
        <f>IFERROR(__xludf.DUMMYFUNCTION("""COMPUTED_VALUE"""),"OTHER")</f>
        <v>OTHER</v>
      </c>
      <c r="F97" s="11" t="str">
        <f>IFERROR(__xludf.DUMMYFUNCTION("""COMPUTED_VALUE"""),"Homepage")</f>
        <v>Homepage</v>
      </c>
      <c r="G97" s="11" t="b">
        <f>IFERROR(__xludf.DUMMYFUNCTION("""COMPUTED_VALUE"""),FALSE)</f>
        <v>0</v>
      </c>
      <c r="H97" s="11"/>
      <c r="I97" s="11">
        <f>IFERROR(__xludf.DUMMYFUNCTION("""COMPUTED_VALUE"""),1.0)</f>
        <v>1</v>
      </c>
      <c r="J97" s="11">
        <f>IFERROR(__xludf.DUMMYFUNCTION("""COMPUTED_VALUE"""),0.0)</f>
        <v>0</v>
      </c>
      <c r="K97" s="11">
        <f>IFERROR(__xludf.DUMMYFUNCTION("""COMPUTED_VALUE"""),0.0)</f>
        <v>0</v>
      </c>
    </row>
    <row r="98" ht="15.75" customHeight="1">
      <c r="A98" s="8" t="str">
        <f>IFERROR(__xludf.DUMMYFUNCTION("""COMPUTED_VALUE"""),"https://www.etracker.com/")</f>
        <v>https://www.etracker.com/</v>
      </c>
      <c r="B98" s="11" t="str">
        <f>IFERROR(__xludf.DUMMYFUNCTION("""COMPUTED_VALUE"""),"etracker | Die Google Analytics-Alternative 'Made in Germany'")</f>
        <v>etracker | Die Google Analytics-Alternative 'Made in Germany'</v>
      </c>
      <c r="C98" s="8" t="str">
        <f>IFERROR(__xludf.DUMMYFUNCTION("""COMPUTED_VALUE"""),"etracker.com")</f>
        <v>etracker.com</v>
      </c>
      <c r="D98" s="11" t="str">
        <f>IFERROR(__xludf.DUMMYFUNCTION("""COMPUTED_VALUE"""),"HOMEPAGE")</f>
        <v>HOMEPAGE</v>
      </c>
      <c r="E98" s="11" t="str">
        <f>IFERROR(__xludf.DUMMYFUNCTION("""COMPUTED_VALUE"""),"CORPORATE")</f>
        <v>CORPORATE</v>
      </c>
      <c r="F98" s="11" t="str">
        <f>IFERROR(__xludf.DUMMYFUNCTION("""COMPUTED_VALUE"""),"Homepage")</f>
        <v>Homepage</v>
      </c>
      <c r="G98" s="11" t="b">
        <f>IFERROR(__xludf.DUMMYFUNCTION("""COMPUTED_VALUE"""),FALSE)</f>
        <v>0</v>
      </c>
      <c r="H98" s="11"/>
      <c r="I98" s="11">
        <f>IFERROR(__xludf.DUMMYFUNCTION("""COMPUTED_VALUE"""),1.0)</f>
        <v>1</v>
      </c>
      <c r="J98" s="11">
        <f>IFERROR(__xludf.DUMMYFUNCTION("""COMPUTED_VALUE"""),0.0)</f>
        <v>0</v>
      </c>
      <c r="K98" s="11">
        <f>IFERROR(__xludf.DUMMYFUNCTION("""COMPUTED_VALUE"""),0.0)</f>
        <v>0</v>
      </c>
    </row>
    <row r="99" ht="15.75" customHeight="1">
      <c r="A99" s="8" t="str">
        <f>IFERROR(__xludf.DUMMYFUNCTION("""COMPUTED_VALUE"""),"https://www.evergreen.media/en/")</f>
        <v>https://www.evergreen.media/en/</v>
      </c>
      <c r="B99" s="11" t="str">
        <f>IFERROR(__xludf.DUMMYFUNCTION("""COMPUTED_VALUE"""),"Evergreen Media® - Build digital market leadership in the AI era")</f>
        <v>Evergreen Media® - Build digital market leadership in the AI era</v>
      </c>
      <c r="C99" s="11" t="str">
        <f>IFERROR(__xludf.DUMMYFUNCTION("""COMPUTED_VALUE"""),"evergreen.media")</f>
        <v>evergreen.media</v>
      </c>
      <c r="D99" s="11" t="str">
        <f>IFERROR(__xludf.DUMMYFUNCTION("""COMPUTED_VALUE"""),"HOMEPAGE")</f>
        <v>HOMEPAGE</v>
      </c>
      <c r="E99" s="11" t="str">
        <f>IFERROR(__xludf.DUMMYFUNCTION("""COMPUTED_VALUE"""),"EDITORIAL")</f>
        <v>EDITORIAL</v>
      </c>
      <c r="F99" s="11" t="str">
        <f>IFERROR(__xludf.DUMMYFUNCTION("""COMPUTED_VALUE"""),"Homepage")</f>
        <v>Homepage</v>
      </c>
      <c r="G99" s="11" t="b">
        <f>IFERROR(__xludf.DUMMYFUNCTION("""COMPUTED_VALUE"""),FALSE)</f>
        <v>0</v>
      </c>
      <c r="H99" s="11" t="str">
        <f>IFERROR(__xludf.DUMMYFUNCTION("""COMPUTED_VALUE"""),"Momentum, MaibornWolff")</f>
        <v>Momentum, MaibornWolff</v>
      </c>
      <c r="I99" s="11">
        <f>IFERROR(__xludf.DUMMYFUNCTION("""COMPUTED_VALUE"""),1.0)</f>
        <v>1</v>
      </c>
      <c r="J99" s="11">
        <f>IFERROR(__xludf.DUMMYFUNCTION("""COMPUTED_VALUE"""),0.0)</f>
        <v>0</v>
      </c>
      <c r="K99" s="11">
        <f>IFERROR(__xludf.DUMMYFUNCTION("""COMPUTED_VALUE"""),0.0)</f>
        <v>0</v>
      </c>
    </row>
    <row r="100" ht="15.75" customHeight="1">
      <c r="A100" s="8" t="str">
        <f>IFERROR(__xludf.DUMMYFUNCTION("""COMPUTED_VALUE"""),"https://www.factorygruppe.com/")</f>
        <v>https://www.factorygruppe.com/</v>
      </c>
      <c r="B100" s="11" t="str">
        <f>IFERROR(__xludf.DUMMYFUNCTION("""COMPUTED_VALUE"""),"FACTORY — The leading independent service provider for marketing asset production in the DACH region")</f>
        <v>FACTORY — The leading independent service provider for marketing asset production in the DACH region</v>
      </c>
      <c r="C100" s="8" t="str">
        <f>IFERROR(__xludf.DUMMYFUNCTION("""COMPUTED_VALUE"""),"factorygruppe.com")</f>
        <v>factorygruppe.com</v>
      </c>
      <c r="D100" s="11" t="str">
        <f>IFERROR(__xludf.DUMMYFUNCTION("""COMPUTED_VALUE"""),"HOMEPAGE")</f>
        <v>HOMEPAGE</v>
      </c>
      <c r="E100" s="11" t="str">
        <f>IFERROR(__xludf.DUMMYFUNCTION("""COMPUTED_VALUE"""),"CORPORATE")</f>
        <v>CORPORATE</v>
      </c>
      <c r="F100" s="11" t="str">
        <f>IFERROR(__xludf.DUMMYFUNCTION("""COMPUTED_VALUE"""),"Homepage")</f>
        <v>Homepage</v>
      </c>
      <c r="G100" s="11" t="b">
        <f>IFERROR(__xludf.DUMMYFUNCTION("""COMPUTED_VALUE"""),FALSE)</f>
        <v>0</v>
      </c>
      <c r="H100" s="11"/>
      <c r="I100" s="11">
        <f>IFERROR(__xludf.DUMMYFUNCTION("""COMPUTED_VALUE"""),1.0)</f>
        <v>1</v>
      </c>
      <c r="J100" s="11">
        <f>IFERROR(__xludf.DUMMYFUNCTION("""COMPUTED_VALUE"""),0.0)</f>
        <v>0</v>
      </c>
      <c r="K100" s="11">
        <f>IFERROR(__xludf.DUMMYFUNCTION("""COMPUTED_VALUE"""),2.0)</f>
        <v>2</v>
      </c>
    </row>
    <row r="101" ht="15.75" customHeight="1">
      <c r="A101" s="8" t="str">
        <f>IFERROR(__xludf.DUMMYFUNCTION("""COMPUTED_VALUE"""),"https://www.fifty-five.com/")</f>
        <v>https://www.fifty-five.com/</v>
      </c>
      <c r="B101" s="11" t="str">
        <f>IFERROR(__xludf.DUMMYFUNCTION("""COMPUTED_VALUE"""),"Discover fifty-five, the data company")</f>
        <v>Discover fifty-five, the data company</v>
      </c>
      <c r="C101" s="8" t="str">
        <f>IFERROR(__xludf.DUMMYFUNCTION("""COMPUTED_VALUE"""),"fifty-five.com")</f>
        <v>fifty-five.com</v>
      </c>
      <c r="D101" s="11" t="str">
        <f>IFERROR(__xludf.DUMMYFUNCTION("""COMPUTED_VALUE"""),"HOMEPAGE")</f>
        <v>HOMEPAGE</v>
      </c>
      <c r="E101" s="11" t="str">
        <f>IFERROR(__xludf.DUMMYFUNCTION("""COMPUTED_VALUE"""),"CORPORATE")</f>
        <v>CORPORATE</v>
      </c>
      <c r="F101" s="11" t="str">
        <f>IFERROR(__xludf.DUMMYFUNCTION("""COMPUTED_VALUE"""),"Homepage")</f>
        <v>Homepage</v>
      </c>
      <c r="G101" s="11" t="b">
        <f>IFERROR(__xludf.DUMMYFUNCTION("""COMPUTED_VALUE"""),FALSE)</f>
        <v>0</v>
      </c>
      <c r="H101" s="11"/>
      <c r="I101" s="11">
        <f>IFERROR(__xludf.DUMMYFUNCTION("""COMPUTED_VALUE"""),1.0)</f>
        <v>1</v>
      </c>
      <c r="J101" s="11">
        <f>IFERROR(__xludf.DUMMYFUNCTION("""COMPUTED_VALUE"""),0.0)</f>
        <v>0</v>
      </c>
      <c r="K101" s="11">
        <f>IFERROR(__xludf.DUMMYFUNCTION("""COMPUTED_VALUE"""),1.0)</f>
        <v>1</v>
      </c>
    </row>
    <row r="102" ht="15.75" customHeight="1">
      <c r="A102" s="8" t="str">
        <f>IFERROR(__xludf.DUMMYFUNCTION("""COMPUTED_VALUE"""),"https://www.firststars.ai/")</f>
        <v>https://www.firststars.ai/</v>
      </c>
      <c r="B102" s="11" t="str">
        <f>IFERROR(__xludf.DUMMYFUNCTION("""COMPUTED_VALUE"""),"AI-Werbeagentur Berlin | FIRST STARS AI")</f>
        <v>AI-Werbeagentur Berlin | FIRST STARS AI</v>
      </c>
      <c r="C102" s="8" t="str">
        <f>IFERROR(__xludf.DUMMYFUNCTION("""COMPUTED_VALUE"""),"firststars.ai")</f>
        <v>firststars.ai</v>
      </c>
      <c r="D102" s="11" t="str">
        <f>IFERROR(__xludf.DUMMYFUNCTION("""COMPUTED_VALUE"""),"HOMEPAGE")</f>
        <v>HOMEPAGE</v>
      </c>
      <c r="E102" s="11" t="str">
        <f>IFERROR(__xludf.DUMMYFUNCTION("""COMPUTED_VALUE"""),"CORPORATE")</f>
        <v>CORPORATE</v>
      </c>
      <c r="F102" s="11" t="str">
        <f>IFERROR(__xludf.DUMMYFUNCTION("""COMPUTED_VALUE"""),"Homepage")</f>
        <v>Homepage</v>
      </c>
      <c r="G102" s="11" t="b">
        <f>IFERROR(__xludf.DUMMYFUNCTION("""COMPUTED_VALUE"""),FALSE)</f>
        <v>0</v>
      </c>
      <c r="H102" s="11" t="str">
        <f>IFERROR(__xludf.DUMMYFUNCTION("""COMPUTED_VALUE"""),"Haus")</f>
        <v>Haus</v>
      </c>
      <c r="I102" s="11">
        <f>IFERROR(__xludf.DUMMYFUNCTION("""COMPUTED_VALUE"""),1.0)</f>
        <v>1</v>
      </c>
      <c r="J102" s="11">
        <f>IFERROR(__xludf.DUMMYFUNCTION("""COMPUTED_VALUE"""),0.0)</f>
        <v>0</v>
      </c>
      <c r="K102" s="11">
        <f>IFERROR(__xludf.DUMMYFUNCTION("""COMPUTED_VALUE"""),0.0)</f>
        <v>0</v>
      </c>
    </row>
    <row r="103" ht="15.75" customHeight="1">
      <c r="A103" s="8" t="str">
        <f>IFERROR(__xludf.DUMMYFUNCTION("""COMPUTED_VALUE"""),"https://www.frontieraiconsulting.com/")</f>
        <v>https://www.frontieraiconsulting.com/</v>
      </c>
      <c r="B103" s="11" t="str">
        <f>IFERROR(__xludf.DUMMYFUNCTION("""COMPUTED_VALUE"""),"Frontier AI Consulting Microsoft 365 &amp;amp; AI Transformation | Helping SMBs adopt Microsoft 365, Copilot, and AI securely with strategy, training, and compliance.")</f>
        <v>Frontier AI Consulting Microsoft 365 &amp;amp; AI Transformation | Helping SMBs adopt Microsoft 365, Copilot, and AI securely with strategy, training, and compliance.</v>
      </c>
      <c r="C103" s="8" t="str">
        <f>IFERROR(__xludf.DUMMYFUNCTION("""COMPUTED_VALUE"""),"frontieraiconsulting.com")</f>
        <v>frontieraiconsulting.com</v>
      </c>
      <c r="D103" s="11" t="str">
        <f>IFERROR(__xludf.DUMMYFUNCTION("""COMPUTED_VALUE"""),"HOMEPAGE")</f>
        <v>HOMEPAGE</v>
      </c>
      <c r="E103" s="11" t="str">
        <f>IFERROR(__xludf.DUMMYFUNCTION("""COMPUTED_VALUE"""),"CORPORATE")</f>
        <v>CORPORATE</v>
      </c>
      <c r="F103" s="11" t="str">
        <f>IFERROR(__xludf.DUMMYFUNCTION("""COMPUTED_VALUE"""),"Homepage")</f>
        <v>Homepage</v>
      </c>
      <c r="G103" s="11" t="b">
        <f>IFERROR(__xludf.DUMMYFUNCTION("""COMPUTED_VALUE"""),FALSE)</f>
        <v>0</v>
      </c>
      <c r="H103" s="11"/>
      <c r="I103" s="11">
        <f>IFERROR(__xludf.DUMMYFUNCTION("""COMPUTED_VALUE"""),1.0)</f>
        <v>1</v>
      </c>
      <c r="J103" s="11">
        <f>IFERROR(__xludf.DUMMYFUNCTION("""COMPUTED_VALUE"""),0.0)</f>
        <v>0</v>
      </c>
      <c r="K103" s="11">
        <f>IFERROR(__xludf.DUMMYFUNCTION("""COMPUTED_VALUE"""),0.0)</f>
        <v>0</v>
      </c>
    </row>
    <row r="104" ht="15.75" customHeight="1">
      <c r="A104" s="8" t="str">
        <f>IFERROR(__xludf.DUMMYFUNCTION("""COMPUTED_VALUE"""),"https://www.futuresupply.io/")</f>
        <v>https://www.futuresupply.io/</v>
      </c>
      <c r="B104" s="11" t="str">
        <f>IFERROR(__xludf.DUMMYFUNCTION("""COMPUTED_VALUE"""),"Scale Creative Production Without Hiring | FutureSupply")</f>
        <v>Scale Creative Production Without Hiring | FutureSupply</v>
      </c>
      <c r="C104" s="8" t="str">
        <f>IFERROR(__xludf.DUMMYFUNCTION("""COMPUTED_VALUE"""),"futuresupply.io")</f>
        <v>futuresupply.io</v>
      </c>
      <c r="D104" s="11" t="str">
        <f>IFERROR(__xludf.DUMMYFUNCTION("""COMPUTED_VALUE"""),"HOMEPAGE")</f>
        <v>HOMEPAGE</v>
      </c>
      <c r="E104" s="11" t="str">
        <f>IFERROR(__xludf.DUMMYFUNCTION("""COMPUTED_VALUE"""),"CORPORATE")</f>
        <v>CORPORATE</v>
      </c>
      <c r="F104" s="11" t="str">
        <f>IFERROR(__xludf.DUMMYFUNCTION("""COMPUTED_VALUE"""),"Homepage")</f>
        <v>Homepage</v>
      </c>
      <c r="G104" s="11" t="b">
        <f>IFERROR(__xludf.DUMMYFUNCTION("""COMPUTED_VALUE"""),FALSE)</f>
        <v>0</v>
      </c>
      <c r="H104" s="11" t="str">
        <f>IFERROR(__xludf.DUMMYFUNCTION("""COMPUTED_VALUE"""),"Ogilvy, AKQA")</f>
        <v>Ogilvy, AKQA</v>
      </c>
      <c r="I104" s="11">
        <f>IFERROR(__xludf.DUMMYFUNCTION("""COMPUTED_VALUE"""),1.0)</f>
        <v>1</v>
      </c>
      <c r="J104" s="11">
        <f>IFERROR(__xludf.DUMMYFUNCTION("""COMPUTED_VALUE"""),0.0)</f>
        <v>0</v>
      </c>
      <c r="K104" s="11">
        <f>IFERROR(__xludf.DUMMYFUNCTION("""COMPUTED_VALUE"""),0.0)</f>
        <v>0</v>
      </c>
    </row>
    <row r="105" ht="15.75" customHeight="1">
      <c r="A105" s="8" t="str">
        <f>IFERROR(__xludf.DUMMYFUNCTION("""COMPUTED_VALUE"""),"https://geo-spezialisten.de/")</f>
        <v>https://geo-spezialisten.de/</v>
      </c>
      <c r="B105" s="11" t="str">
        <f>IFERROR(__xludf.DUMMYFUNCTION("""COMPUTED_VALUE"""),"Geo Agentur mit KI-SEO – lokal sichtbar, digital stark")</f>
        <v>Geo Agentur mit KI-SEO – lokal sichtbar, digital stark</v>
      </c>
      <c r="C105" s="8" t="str">
        <f>IFERROR(__xludf.DUMMYFUNCTION("""COMPUTED_VALUE"""),"geo-spezialisten.de")</f>
        <v>geo-spezialisten.de</v>
      </c>
      <c r="D105" s="11" t="str">
        <f>IFERROR(__xludf.DUMMYFUNCTION("""COMPUTED_VALUE"""),"HOMEPAGE")</f>
        <v>HOMEPAGE</v>
      </c>
      <c r="E105" s="11" t="str">
        <f>IFERROR(__xludf.DUMMYFUNCTION("""COMPUTED_VALUE"""),"CORPORATE")</f>
        <v>CORPORATE</v>
      </c>
      <c r="F105" s="11" t="str">
        <f>IFERROR(__xludf.DUMMYFUNCTION("""COMPUTED_VALUE"""),"Homepage")</f>
        <v>Homepage</v>
      </c>
      <c r="G105" s="11" t="b">
        <f>IFERROR(__xludf.DUMMYFUNCTION("""COMPUTED_VALUE"""),FALSE)</f>
        <v>0</v>
      </c>
      <c r="H105" s="11"/>
      <c r="I105" s="11">
        <f>IFERROR(__xludf.DUMMYFUNCTION("""COMPUTED_VALUE"""),1.0)</f>
        <v>1</v>
      </c>
      <c r="J105" s="11">
        <f>IFERROR(__xludf.DUMMYFUNCTION("""COMPUTED_VALUE"""),0.0)</f>
        <v>0</v>
      </c>
      <c r="K105" s="11">
        <f>IFERROR(__xludf.DUMMYFUNCTION("""COMPUTED_VALUE"""),0.0)</f>
        <v>0</v>
      </c>
    </row>
    <row r="106" ht="15.75" customHeight="1">
      <c r="A106" s="8" t="str">
        <f>IFERROR(__xludf.DUMMYFUNCTION("""COMPUTED_VALUE"""),"https://www.getapexanalytics.com/")</f>
        <v>https://www.getapexanalytics.com/</v>
      </c>
      <c r="B106" s="11" t="str">
        <f>IFERROR(__xludf.DUMMYFUNCTION("""COMPUTED_VALUE"""),"Apex Analytics: Marketing Attribution &amp;amp; Incrementality Measurement")</f>
        <v>Apex Analytics: Marketing Attribution &amp;amp; Incrementality Measurement</v>
      </c>
      <c r="C106" s="8" t="str">
        <f>IFERROR(__xludf.DUMMYFUNCTION("""COMPUTED_VALUE"""),"getapexanalytics.com")</f>
        <v>getapexanalytics.com</v>
      </c>
      <c r="D106" s="11" t="str">
        <f>IFERROR(__xludf.DUMMYFUNCTION("""COMPUTED_VALUE"""),"HOMEPAGE")</f>
        <v>HOMEPAGE</v>
      </c>
      <c r="E106" s="11" t="str">
        <f>IFERROR(__xludf.DUMMYFUNCTION("""COMPUTED_VALUE"""),"CORPORATE")</f>
        <v>CORPORATE</v>
      </c>
      <c r="F106" s="11" t="str">
        <f>IFERROR(__xludf.DUMMYFUNCTION("""COMPUTED_VALUE"""),"Homepage")</f>
        <v>Homepage</v>
      </c>
      <c r="G106" s="11" t="b">
        <f>IFERROR(__xludf.DUMMYFUNCTION("""COMPUTED_VALUE"""),FALSE)</f>
        <v>0</v>
      </c>
      <c r="H106" s="11" t="str">
        <f>IFERROR(__xludf.DUMMYFUNCTION("""COMPUTED_VALUE"""),"Measured")</f>
        <v>Measured</v>
      </c>
      <c r="I106" s="11">
        <f>IFERROR(__xludf.DUMMYFUNCTION("""COMPUTED_VALUE"""),1.0)</f>
        <v>1</v>
      </c>
      <c r="J106" s="11">
        <f>IFERROR(__xludf.DUMMYFUNCTION("""COMPUTED_VALUE"""),0.0)</f>
        <v>0</v>
      </c>
      <c r="K106" s="11">
        <f>IFERROR(__xludf.DUMMYFUNCTION("""COMPUTED_VALUE"""),0.0)</f>
        <v>0</v>
      </c>
    </row>
    <row r="107" ht="15.75" customHeight="1">
      <c r="A107" s="8" t="str">
        <f>IFERROR(__xludf.DUMMYFUNCTION("""COMPUTED_VALUE"""),"https://getklar.com/try-klar")</f>
        <v>https://getklar.com/try-klar</v>
      </c>
      <c r="B107" s="11" t="str">
        <f>IFERROR(__xludf.DUMMYFUNCTION("""COMPUTED_VALUE"""),"Book a demo")</f>
        <v>Book a demo</v>
      </c>
      <c r="C107" s="8" t="str">
        <f>IFERROR(__xludf.DUMMYFUNCTION("""COMPUTED_VALUE"""),"getklar.com")</f>
        <v>getklar.com</v>
      </c>
      <c r="D107" s="11" t="str">
        <f>IFERROR(__xludf.DUMMYFUNCTION("""COMPUTED_VALUE"""),"HOMEPAGE")</f>
        <v>HOMEPAGE</v>
      </c>
      <c r="E107" s="11" t="str">
        <f>IFERROR(__xludf.DUMMYFUNCTION("""COMPUTED_VALUE"""),"CORPORATE")</f>
        <v>CORPORATE</v>
      </c>
      <c r="F107" s="11" t="str">
        <f>IFERROR(__xludf.DUMMYFUNCTION("""COMPUTED_VALUE"""),"Homepage")</f>
        <v>Homepage</v>
      </c>
      <c r="G107" s="11" t="b">
        <f>IFERROR(__xludf.DUMMYFUNCTION("""COMPUTED_VALUE"""),FALSE)</f>
        <v>0</v>
      </c>
      <c r="H107" s="11" t="str">
        <f>IFERROR(__xludf.DUMMYFUNCTION("""COMPUTED_VALUE"""),"Huge")</f>
        <v>Huge</v>
      </c>
      <c r="I107" s="11">
        <f>IFERROR(__xludf.DUMMYFUNCTION("""COMPUTED_VALUE"""),1.0)</f>
        <v>1</v>
      </c>
      <c r="J107" s="11">
        <f>IFERROR(__xludf.DUMMYFUNCTION("""COMPUTED_VALUE"""),0.0)</f>
        <v>0</v>
      </c>
      <c r="K107" s="11">
        <f>IFERROR(__xludf.DUMMYFUNCTION("""COMPUTED_VALUE"""),1.0)</f>
        <v>1</v>
      </c>
    </row>
    <row r="108" ht="15.75" customHeight="1">
      <c r="A108" s="8" t="str">
        <f>IFERROR(__xludf.DUMMYFUNCTION("""COMPUTED_VALUE"""),"https://www.goldorange.com/")</f>
        <v>https://www.goldorange.com/</v>
      </c>
      <c r="B108" s="11" t="str">
        <f>IFERROR(__xludf.DUMMYFUNCTION("""COMPUTED_VALUE"""),"Marketing und Vertrieb auf Autopilot mit der Agentur goldorange")</f>
        <v>Marketing und Vertrieb auf Autopilot mit der Agentur goldorange</v>
      </c>
      <c r="C108" s="8" t="str">
        <f>IFERROR(__xludf.DUMMYFUNCTION("""COMPUTED_VALUE"""),"goldorange.com")</f>
        <v>goldorange.com</v>
      </c>
      <c r="D108" s="11" t="str">
        <f>IFERROR(__xludf.DUMMYFUNCTION("""COMPUTED_VALUE"""),"HOMEPAGE")</f>
        <v>HOMEPAGE</v>
      </c>
      <c r="E108" s="11" t="str">
        <f>IFERROR(__xludf.DUMMYFUNCTION("""COMPUTED_VALUE"""),"CORPORATE")</f>
        <v>CORPORATE</v>
      </c>
      <c r="F108" s="11" t="str">
        <f>IFERROR(__xludf.DUMMYFUNCTION("""COMPUTED_VALUE"""),"Homepage")</f>
        <v>Homepage</v>
      </c>
      <c r="G108" s="11" t="b">
        <f>IFERROR(__xludf.DUMMYFUNCTION("""COMPUTED_VALUE"""),FALSE)</f>
        <v>0</v>
      </c>
      <c r="H108" s="11" t="str">
        <f>IFERROR(__xludf.DUMMYFUNCTION("""COMPUTED_VALUE"""),"Pilot")</f>
        <v>Pilot</v>
      </c>
      <c r="I108" s="11">
        <f>IFERROR(__xludf.DUMMYFUNCTION("""COMPUTED_VALUE"""),1.0)</f>
        <v>1</v>
      </c>
      <c r="J108" s="11">
        <f>IFERROR(__xludf.DUMMYFUNCTION("""COMPUTED_VALUE"""),0.0)</f>
        <v>0</v>
      </c>
      <c r="K108" s="11">
        <f>IFERROR(__xludf.DUMMYFUNCTION("""COMPUTED_VALUE"""),0.0)</f>
        <v>0</v>
      </c>
    </row>
    <row r="109" ht="15.75" customHeight="1">
      <c r="A109" s="8" t="str">
        <f>IFERROR(__xludf.DUMMYFUNCTION("""COMPUTED_VALUE"""),"https://hoerndlein-consulting.de/en/")</f>
        <v>https://hoerndlein-consulting.de/en/</v>
      </c>
      <c r="B109" s="11" t="str">
        <f>IFERROR(__xludf.DUMMYFUNCTION("""COMPUTED_VALUE"""),"Dr. Dominik Hörndlein - AI Strategy &amp;amp; Implementation Consulting in Munich")</f>
        <v>Dr. Dominik Hörndlein - AI Strategy &amp;amp; Implementation Consulting in Munich</v>
      </c>
      <c r="C109" s="8" t="str">
        <f>IFERROR(__xludf.DUMMYFUNCTION("""COMPUTED_VALUE"""),"hoerndlein-consulting.de")</f>
        <v>hoerndlein-consulting.de</v>
      </c>
      <c r="D109" s="11" t="str">
        <f>IFERROR(__xludf.DUMMYFUNCTION("""COMPUTED_VALUE"""),"HOMEPAGE")</f>
        <v>HOMEPAGE</v>
      </c>
      <c r="E109" s="11" t="str">
        <f>IFERROR(__xludf.DUMMYFUNCTION("""COMPUTED_VALUE"""),"CORPORATE")</f>
        <v>CORPORATE</v>
      </c>
      <c r="F109" s="11" t="str">
        <f>IFERROR(__xludf.DUMMYFUNCTION("""COMPUTED_VALUE"""),"Homepage")</f>
        <v>Homepage</v>
      </c>
      <c r="G109" s="11" t="b">
        <f>IFERROR(__xludf.DUMMYFUNCTION("""COMPUTED_VALUE"""),FALSE)</f>
        <v>0</v>
      </c>
      <c r="H109" s="11"/>
      <c r="I109" s="11">
        <f>IFERROR(__xludf.DUMMYFUNCTION("""COMPUTED_VALUE"""),1.0)</f>
        <v>1</v>
      </c>
      <c r="J109" s="11">
        <f>IFERROR(__xludf.DUMMYFUNCTION("""COMPUTED_VALUE"""),0.0)</f>
        <v>0</v>
      </c>
      <c r="K109" s="11">
        <f>IFERROR(__xludf.DUMMYFUNCTION("""COMPUTED_VALUE"""),0.0)</f>
        <v>0</v>
      </c>
    </row>
    <row r="110" ht="15.75" customHeight="1">
      <c r="A110" s="8" t="str">
        <f>IFERROR(__xludf.DUMMYFUNCTION("""COMPUTED_VALUE"""),"https://www.house-of-communication.com/de/en.html")</f>
        <v>https://www.house-of-communication.com/de/en.html</v>
      </c>
      <c r="B110" s="11" t="str">
        <f>IFERROR(__xludf.DUMMYFUNCTION("""COMPUTED_VALUE"""),"EN | House of Communication")</f>
        <v>EN | House of Communication</v>
      </c>
      <c r="C110" s="8" t="str">
        <f>IFERROR(__xludf.DUMMYFUNCTION("""COMPUTED_VALUE"""),"house-of-communication.com")</f>
        <v>house-of-communication.com</v>
      </c>
      <c r="D110" s="11" t="str">
        <f>IFERROR(__xludf.DUMMYFUNCTION("""COMPUTED_VALUE"""),"HOMEPAGE")</f>
        <v>HOMEPAGE</v>
      </c>
      <c r="E110" s="11" t="str">
        <f>IFERROR(__xludf.DUMMYFUNCTION("""COMPUTED_VALUE"""),"COMPETITOR")</f>
        <v>COMPETITOR</v>
      </c>
      <c r="F110" s="11" t="str">
        <f>IFERROR(__xludf.DUMMYFUNCTION("""COMPUTED_VALUE"""),"Homepage")</f>
        <v>Homepage</v>
      </c>
      <c r="G110" s="11" t="b">
        <f>IFERROR(__xludf.DUMMYFUNCTION("""COMPUTED_VALUE"""),FALSE)</f>
        <v>0</v>
      </c>
      <c r="H110" s="11" t="str">
        <f>IFERROR(__xludf.DUMMYFUNCTION("""COMPUTED_VALUE"""),"Serviceplan Group")</f>
        <v>Serviceplan Group</v>
      </c>
      <c r="I110" s="11">
        <f>IFERROR(__xludf.DUMMYFUNCTION("""COMPUTED_VALUE"""),1.0)</f>
        <v>1</v>
      </c>
      <c r="J110" s="11">
        <f>IFERROR(__xludf.DUMMYFUNCTION("""COMPUTED_VALUE"""),0.0)</f>
        <v>0</v>
      </c>
      <c r="K110" s="11">
        <f>IFERROR(__xludf.DUMMYFUNCTION("""COMPUTED_VALUE"""),0.0)</f>
        <v>0</v>
      </c>
    </row>
    <row r="111" ht="15.75" customHeight="1">
      <c r="A111" s="8" t="str">
        <f>IFERROR(__xludf.DUMMYFUNCTION("""COMPUTED_VALUE"""),"https://incubeta.com/")</f>
        <v>https://incubeta.com/</v>
      </c>
      <c r="B111" s="11" t="str">
        <f>IFERROR(__xludf.DUMMYFUNCTION("""COMPUTED_VALUE"""),"Outperform Marketing With Incubeta Marketing Solutions")</f>
        <v>Outperform Marketing With Incubeta Marketing Solutions</v>
      </c>
      <c r="C111" s="8" t="str">
        <f>IFERROR(__xludf.DUMMYFUNCTION("""COMPUTED_VALUE"""),"incubeta.com")</f>
        <v>incubeta.com</v>
      </c>
      <c r="D111" s="11" t="str">
        <f>IFERROR(__xludf.DUMMYFUNCTION("""COMPUTED_VALUE"""),"HOMEPAGE")</f>
        <v>HOMEPAGE</v>
      </c>
      <c r="E111" s="11" t="str">
        <f>IFERROR(__xludf.DUMMYFUNCTION("""COMPUTED_VALUE"""),"OWN")</f>
        <v>OWN</v>
      </c>
      <c r="F111" s="11" t="str">
        <f>IFERROR(__xludf.DUMMYFUNCTION("""COMPUTED_VALUE"""),"Homepage")</f>
        <v>Homepage</v>
      </c>
      <c r="G111" s="11" t="b">
        <f>IFERROR(__xludf.DUMMYFUNCTION("""COMPUTED_VALUE"""),TRUE)</f>
        <v>1</v>
      </c>
      <c r="H111" s="11" t="str">
        <f>IFERROR(__xludf.DUMMYFUNCTION("""COMPUTED_VALUE"""),"Incubeta")</f>
        <v>Incubeta</v>
      </c>
      <c r="I111" s="11">
        <f>IFERROR(__xludf.DUMMYFUNCTION("""COMPUTED_VALUE"""),1.0)</f>
        <v>1</v>
      </c>
      <c r="J111" s="11">
        <f>IFERROR(__xludf.DUMMYFUNCTION("""COMPUTED_VALUE"""),0.0)</f>
        <v>0</v>
      </c>
      <c r="K111" s="11">
        <f>IFERROR(__xludf.DUMMYFUNCTION("""COMPUTED_VALUE"""),1.0)</f>
        <v>1</v>
      </c>
    </row>
    <row r="112" ht="15.75" customHeight="1">
      <c r="A112" s="8" t="str">
        <f>IFERROR(__xludf.DUMMYFUNCTION("""COMPUTED_VALUE"""),"https://instantwaves.de/")</f>
        <v>https://instantwaves.de/</v>
      </c>
      <c r="B112" s="11" t="str">
        <f>IFERROR(__xludf.DUMMYFUNCTION("""COMPUTED_VALUE"""),"A creative production agency - Instant Waves Media")</f>
        <v>A creative production agency - Instant Waves Media</v>
      </c>
      <c r="C112" s="8" t="str">
        <f>IFERROR(__xludf.DUMMYFUNCTION("""COMPUTED_VALUE"""),"instantwaves.de")</f>
        <v>instantwaves.de</v>
      </c>
      <c r="D112" s="11" t="str">
        <f>IFERROR(__xludf.DUMMYFUNCTION("""COMPUTED_VALUE"""),"HOMEPAGE")</f>
        <v>HOMEPAGE</v>
      </c>
      <c r="E112" s="11" t="str">
        <f>IFERROR(__xludf.DUMMYFUNCTION("""COMPUTED_VALUE"""),"CORPORATE")</f>
        <v>CORPORATE</v>
      </c>
      <c r="F112" s="11" t="str">
        <f>IFERROR(__xludf.DUMMYFUNCTION("""COMPUTED_VALUE"""),"Homepage")</f>
        <v>Homepage</v>
      </c>
      <c r="G112" s="11" t="b">
        <f>IFERROR(__xludf.DUMMYFUNCTION("""COMPUTED_VALUE"""),FALSE)</f>
        <v>0</v>
      </c>
      <c r="H112" s="11"/>
      <c r="I112" s="11">
        <f>IFERROR(__xludf.DUMMYFUNCTION("""COMPUTED_VALUE"""),1.0)</f>
        <v>1</v>
      </c>
      <c r="J112" s="11">
        <f>IFERROR(__xludf.DUMMYFUNCTION("""COMPUTED_VALUE"""),0.0)</f>
        <v>0</v>
      </c>
      <c r="K112" s="11">
        <f>IFERROR(__xludf.DUMMYFUNCTION("""COMPUTED_VALUE"""),0.0)</f>
        <v>0</v>
      </c>
    </row>
    <row r="113" ht="15.75" customHeight="1">
      <c r="A113" s="8" t="str">
        <f>IFERROR(__xludf.DUMMYFUNCTION("""COMPUTED_VALUE"""),"https://www.intentradar.com/")</f>
        <v>https://www.intentradar.com/</v>
      </c>
      <c r="B113" s="11" t="str">
        <f>IFERROR(__xludf.DUMMYFUNCTION("""COMPUTED_VALUE"""),"IntentRadar | Largest GEO AEO Directory")</f>
        <v>IntentRadar | Largest GEO AEO Directory</v>
      </c>
      <c r="C113" s="8" t="str">
        <f>IFERROR(__xludf.DUMMYFUNCTION("""COMPUTED_VALUE"""),"intentradar.com")</f>
        <v>intentradar.com</v>
      </c>
      <c r="D113" s="11" t="str">
        <f>IFERROR(__xludf.DUMMYFUNCTION("""COMPUTED_VALUE"""),"HOMEPAGE")</f>
        <v>HOMEPAGE</v>
      </c>
      <c r="E113" s="11" t="str">
        <f>IFERROR(__xludf.DUMMYFUNCTION("""COMPUTED_VALUE"""),"CORPORATE")</f>
        <v>CORPORATE</v>
      </c>
      <c r="F113" s="11" t="str">
        <f>IFERROR(__xludf.DUMMYFUNCTION("""COMPUTED_VALUE"""),"Homepage")</f>
        <v>Homepage</v>
      </c>
      <c r="G113" s="11" t="b">
        <f>IFERROR(__xludf.DUMMYFUNCTION("""COMPUTED_VALUE"""),FALSE)</f>
        <v>0</v>
      </c>
      <c r="H113" s="11"/>
      <c r="I113" s="11">
        <f>IFERROR(__xludf.DUMMYFUNCTION("""COMPUTED_VALUE"""),1.0)</f>
        <v>1</v>
      </c>
      <c r="J113" s="11">
        <f>IFERROR(__xludf.DUMMYFUNCTION("""COMPUTED_VALUE"""),0.0)</f>
        <v>0</v>
      </c>
      <c r="K113" s="11">
        <f>IFERROR(__xludf.DUMMYFUNCTION("""COMPUTED_VALUE"""),0.0)</f>
        <v>0</v>
      </c>
    </row>
    <row r="114" ht="15.75" customHeight="1">
      <c r="A114" s="8" t="str">
        <f>IFERROR(__xludf.DUMMYFUNCTION("""COMPUTED_VALUE"""),"https://www.jvm.com/")</f>
        <v>https://www.jvm.com/</v>
      </c>
      <c r="B114" s="11" t="str">
        <f>IFERROR(__xludf.DUMMYFUNCTION("""COMPUTED_VALUE"""),"Jung von Matt")</f>
        <v>Jung von Matt</v>
      </c>
      <c r="C114" s="8" t="str">
        <f>IFERROR(__xludf.DUMMYFUNCTION("""COMPUTED_VALUE"""),"jvm.com")</f>
        <v>jvm.com</v>
      </c>
      <c r="D114" s="11" t="str">
        <f>IFERROR(__xludf.DUMMYFUNCTION("""COMPUTED_VALUE"""),"HOMEPAGE")</f>
        <v>HOMEPAGE</v>
      </c>
      <c r="E114" s="11" t="str">
        <f>IFERROR(__xludf.DUMMYFUNCTION("""COMPUTED_VALUE"""),"COMPETITOR")</f>
        <v>COMPETITOR</v>
      </c>
      <c r="F114" s="11" t="str">
        <f>IFERROR(__xludf.DUMMYFUNCTION("""COMPUTED_VALUE"""),"Homepage")</f>
        <v>Homepage</v>
      </c>
      <c r="G114" s="11" t="b">
        <f>IFERROR(__xludf.DUMMYFUNCTION("""COMPUTED_VALUE"""),FALSE)</f>
        <v>0</v>
      </c>
      <c r="H114" s="11" t="str">
        <f>IFERROR(__xludf.DUMMYFUNCTION("""COMPUTED_VALUE"""),"Jung von Matt")</f>
        <v>Jung von Matt</v>
      </c>
      <c r="I114" s="11">
        <f>IFERROR(__xludf.DUMMYFUNCTION("""COMPUTED_VALUE"""),1.0)</f>
        <v>1</v>
      </c>
      <c r="J114" s="11">
        <f>IFERROR(__xludf.DUMMYFUNCTION("""COMPUTED_VALUE"""),0.0)</f>
        <v>0</v>
      </c>
      <c r="K114" s="11">
        <f>IFERROR(__xludf.DUMMYFUNCTION("""COMPUTED_VALUE"""),1.0)</f>
        <v>1</v>
      </c>
    </row>
    <row r="115" ht="15.75" customHeight="1">
      <c r="A115" s="8" t="str">
        <f>IFERROR(__xludf.DUMMYFUNCTION("""COMPUTED_VALUE"""),"https://www.ki-projexx.de/")</f>
        <v>https://www.ki-projexx.de/</v>
      </c>
      <c r="B115" s="11" t="str">
        <f>IFERROR(__xludf.DUMMYFUNCTION("""COMPUTED_VALUE"""),"KI-ProjexX - KI-Beratung Hamburg, Nordheide &amp;amp; Lüneburger Heide | AI Marketing &amp;amp; Kommunikation")</f>
        <v>KI-ProjexX - KI-Beratung Hamburg, Nordheide &amp;amp; Lüneburger Heide | AI Marketing &amp;amp; Kommunikation</v>
      </c>
      <c r="C115" s="8" t="str">
        <f>IFERROR(__xludf.DUMMYFUNCTION("""COMPUTED_VALUE"""),"ki-projexx.de")</f>
        <v>ki-projexx.de</v>
      </c>
      <c r="D115" s="11" t="str">
        <f>IFERROR(__xludf.DUMMYFUNCTION("""COMPUTED_VALUE"""),"HOMEPAGE")</f>
        <v>HOMEPAGE</v>
      </c>
      <c r="E115" s="11" t="str">
        <f>IFERROR(__xludf.DUMMYFUNCTION("""COMPUTED_VALUE"""),"CORPORATE")</f>
        <v>CORPORATE</v>
      </c>
      <c r="F115" s="11" t="str">
        <f>IFERROR(__xludf.DUMMYFUNCTION("""COMPUTED_VALUE"""),"Homepage")</f>
        <v>Homepage</v>
      </c>
      <c r="G115" s="11" t="b">
        <f>IFERROR(__xludf.DUMMYFUNCTION("""COMPUTED_VALUE"""),FALSE)</f>
        <v>0</v>
      </c>
      <c r="H115" s="11"/>
      <c r="I115" s="11">
        <f>IFERROR(__xludf.DUMMYFUNCTION("""COMPUTED_VALUE"""),1.0)</f>
        <v>1</v>
      </c>
      <c r="J115" s="11">
        <f>IFERROR(__xludf.DUMMYFUNCTION("""COMPUTED_VALUE"""),0.0)</f>
        <v>0</v>
      </c>
      <c r="K115" s="11">
        <f>IFERROR(__xludf.DUMMYFUNCTION("""COMPUTED_VALUE"""),0.0)</f>
        <v>0</v>
      </c>
    </row>
    <row r="116" ht="15.75" customHeight="1">
      <c r="A116" s="8" t="str">
        <f>IFERROR(__xludf.DUMMYFUNCTION("""COMPUTED_VALUE"""),"https://www.kochava.com/de/")</f>
        <v>https://www.kochava.com/de/</v>
      </c>
      <c r="B116" s="11" t="str">
        <f>IFERROR(__xludf.DUMMYFUNCTION("""COMPUTED_VALUE"""),"Kochava | Omnichannel measurement for advertisers and publishers")</f>
        <v>Kochava | Omnichannel measurement for advertisers and publishers</v>
      </c>
      <c r="C116" s="8" t="str">
        <f>IFERROR(__xludf.DUMMYFUNCTION("""COMPUTED_VALUE"""),"kochava.com")</f>
        <v>kochava.com</v>
      </c>
      <c r="D116" s="11" t="str">
        <f>IFERROR(__xludf.DUMMYFUNCTION("""COMPUTED_VALUE"""),"HOMEPAGE")</f>
        <v>HOMEPAGE</v>
      </c>
      <c r="E116" s="11" t="str">
        <f>IFERROR(__xludf.DUMMYFUNCTION("""COMPUTED_VALUE"""),"CORPORATE")</f>
        <v>CORPORATE</v>
      </c>
      <c r="F116" s="11" t="str">
        <f>IFERROR(__xludf.DUMMYFUNCTION("""COMPUTED_VALUE"""),"Homepage")</f>
        <v>Homepage</v>
      </c>
      <c r="G116" s="11" t="b">
        <f>IFERROR(__xludf.DUMMYFUNCTION("""COMPUTED_VALUE"""),FALSE)</f>
        <v>0</v>
      </c>
      <c r="H116" s="11" t="str">
        <f>IFERROR(__xludf.DUMMYFUNCTION("""COMPUTED_VALUE"""),"Kantar, Pilot, Measured")</f>
        <v>Kantar, Pilot, Measured</v>
      </c>
      <c r="I116" s="11">
        <f>IFERROR(__xludf.DUMMYFUNCTION("""COMPUTED_VALUE"""),1.0)</f>
        <v>1</v>
      </c>
      <c r="J116" s="11">
        <f>IFERROR(__xludf.DUMMYFUNCTION("""COMPUTED_VALUE"""),0.0)</f>
        <v>0</v>
      </c>
      <c r="K116" s="11">
        <f>IFERROR(__xludf.DUMMYFUNCTION("""COMPUTED_VALUE"""),0.0)</f>
        <v>0</v>
      </c>
    </row>
    <row r="117" ht="15.75" customHeight="1">
      <c r="A117" s="8" t="str">
        <f>IFERROR(__xludf.DUMMYFUNCTION("""COMPUTED_VALUE"""),"https://kretschel-consulting.de/")</f>
        <v>https://kretschel-consulting.de/</v>
      </c>
      <c r="B117" s="11" t="str">
        <f>IFERROR(__xludf.DUMMYFUNCTION("""COMPUTED_VALUE"""),"KI-Transformation für den Mittelstand | Kretschel Consulting")</f>
        <v>KI-Transformation für den Mittelstand | Kretschel Consulting</v>
      </c>
      <c r="C117" s="8" t="str">
        <f>IFERROR(__xludf.DUMMYFUNCTION("""COMPUTED_VALUE"""),"kretschel-consulting.de")</f>
        <v>kretschel-consulting.de</v>
      </c>
      <c r="D117" s="11" t="str">
        <f>IFERROR(__xludf.DUMMYFUNCTION("""COMPUTED_VALUE"""),"HOMEPAGE")</f>
        <v>HOMEPAGE</v>
      </c>
      <c r="E117" s="11" t="str">
        <f>IFERROR(__xludf.DUMMYFUNCTION("""COMPUTED_VALUE"""),"CORPORATE")</f>
        <v>CORPORATE</v>
      </c>
      <c r="F117" s="11" t="str">
        <f>IFERROR(__xludf.DUMMYFUNCTION("""COMPUTED_VALUE"""),"Homepage")</f>
        <v>Homepage</v>
      </c>
      <c r="G117" s="11" t="b">
        <f>IFERROR(__xludf.DUMMYFUNCTION("""COMPUTED_VALUE"""),FALSE)</f>
        <v>0</v>
      </c>
      <c r="H117" s="11"/>
      <c r="I117" s="11">
        <f>IFERROR(__xludf.DUMMYFUNCTION("""COMPUTED_VALUE"""),1.0)</f>
        <v>1</v>
      </c>
      <c r="J117" s="11">
        <f>IFERROR(__xludf.DUMMYFUNCTION("""COMPUTED_VALUE"""),0.0)</f>
        <v>0</v>
      </c>
      <c r="K117" s="11">
        <f>IFERROR(__xludf.DUMMYFUNCTION("""COMPUTED_VALUE"""),0.0)</f>
        <v>0</v>
      </c>
    </row>
    <row r="118" ht="15.75" customHeight="1">
      <c r="A118" s="8" t="str">
        <f>IFERROR(__xludf.DUMMYFUNCTION("""COMPUTED_VALUE"""),"https://www.m-m-m.de/")</f>
        <v>https://www.m-m-m.de/</v>
      </c>
      <c r="B118" s="11" t="str">
        <f>IFERROR(__xludf.DUMMYFUNCTION("""COMPUTED_VALUE"""),"multi-media-management GmbH - m-m-m.de")</f>
        <v>multi-media-management GmbH - m-m-m.de</v>
      </c>
      <c r="C118" s="8" t="str">
        <f>IFERROR(__xludf.DUMMYFUNCTION("""COMPUTED_VALUE"""),"m-m-m.de")</f>
        <v>m-m-m.de</v>
      </c>
      <c r="D118" s="11" t="str">
        <f>IFERROR(__xludf.DUMMYFUNCTION("""COMPUTED_VALUE"""),"HOMEPAGE")</f>
        <v>HOMEPAGE</v>
      </c>
      <c r="E118" s="11" t="str">
        <f>IFERROR(__xludf.DUMMYFUNCTION("""COMPUTED_VALUE"""),"CORPORATE")</f>
        <v>CORPORATE</v>
      </c>
      <c r="F118" s="11" t="str">
        <f>IFERROR(__xludf.DUMMYFUNCTION("""COMPUTED_VALUE"""),"Homepage")</f>
        <v>Homepage</v>
      </c>
      <c r="G118" s="11" t="b">
        <f>IFERROR(__xludf.DUMMYFUNCTION("""COMPUTED_VALUE"""),FALSE)</f>
        <v>0</v>
      </c>
      <c r="H118" s="11"/>
      <c r="I118" s="11">
        <f>IFERROR(__xludf.DUMMYFUNCTION("""COMPUTED_VALUE"""),1.0)</f>
        <v>1</v>
      </c>
      <c r="J118" s="11">
        <f>IFERROR(__xludf.DUMMYFUNCTION("""COMPUTED_VALUE"""),0.0)</f>
        <v>0</v>
      </c>
      <c r="K118" s="11">
        <f>IFERROR(__xludf.DUMMYFUNCTION("""COMPUTED_VALUE"""),0.0)</f>
        <v>0</v>
      </c>
    </row>
    <row r="119" ht="15.75" customHeight="1">
      <c r="A119" s="8" t="str">
        <f>IFERROR(__xludf.DUMMYFUNCTION("""COMPUTED_VALUE"""),"https://www.makingscience.com/")</f>
        <v>https://www.makingscience.com/</v>
      </c>
      <c r="B119" s="11" t="str">
        <f>IFERROR(__xludf.DUMMYFUNCTION("""COMPUTED_VALUE"""),"Digital Marketing and Data Consultancy - Making Science")</f>
        <v>Digital Marketing and Data Consultancy - Making Science</v>
      </c>
      <c r="C119" s="8" t="str">
        <f>IFERROR(__xludf.DUMMYFUNCTION("""COMPUTED_VALUE"""),"makingscience.com")</f>
        <v>makingscience.com</v>
      </c>
      <c r="D119" s="11" t="str">
        <f>IFERROR(__xludf.DUMMYFUNCTION("""COMPUTED_VALUE"""),"HOMEPAGE")</f>
        <v>HOMEPAGE</v>
      </c>
      <c r="E119" s="11" t="str">
        <f>IFERROR(__xludf.DUMMYFUNCTION("""COMPUTED_VALUE"""),"COMPETITOR")</f>
        <v>COMPETITOR</v>
      </c>
      <c r="F119" s="11" t="str">
        <f>IFERROR(__xludf.DUMMYFUNCTION("""COMPUTED_VALUE"""),"Homepage")</f>
        <v>Homepage</v>
      </c>
      <c r="G119" s="11" t="b">
        <f>IFERROR(__xludf.DUMMYFUNCTION("""COMPUTED_VALUE"""),FALSE)</f>
        <v>0</v>
      </c>
      <c r="H119" s="11" t="str">
        <f>IFERROR(__xludf.DUMMYFUNCTION("""COMPUTED_VALUE"""),"Making Science")</f>
        <v>Making Science</v>
      </c>
      <c r="I119" s="11">
        <f>IFERROR(__xludf.DUMMYFUNCTION("""COMPUTED_VALUE"""),1.0)</f>
        <v>1</v>
      </c>
      <c r="J119" s="11">
        <f>IFERROR(__xludf.DUMMYFUNCTION("""COMPUTED_VALUE"""),0.0)</f>
        <v>0</v>
      </c>
      <c r="K119" s="11">
        <f>IFERROR(__xludf.DUMMYFUNCTION("""COMPUTED_VALUE"""),1.0)</f>
        <v>1</v>
      </c>
    </row>
    <row r="120" ht="15.75" customHeight="1">
      <c r="A120" s="8" t="str">
        <f>IFERROR(__xludf.DUMMYFUNCTION("""COMPUTED_VALUE"""),"https://www.makingscience.de/")</f>
        <v>https://www.makingscience.de/</v>
      </c>
      <c r="B120" s="11" t="str">
        <f>IFERROR(__xludf.DUMMYFUNCTION("""COMPUTED_VALUE"""),"Digital Marketing, Data and Technology Consultant - Making Science")</f>
        <v>Digital Marketing, Data and Technology Consultant - Making Science</v>
      </c>
      <c r="C120" s="8" t="str">
        <f>IFERROR(__xludf.DUMMYFUNCTION("""COMPUTED_VALUE"""),"makingscience.de")</f>
        <v>makingscience.de</v>
      </c>
      <c r="D120" s="11" t="str">
        <f>IFERROR(__xludf.DUMMYFUNCTION("""COMPUTED_VALUE"""),"HOMEPAGE")</f>
        <v>HOMEPAGE</v>
      </c>
      <c r="E120" s="11" t="str">
        <f>IFERROR(__xludf.DUMMYFUNCTION("""COMPUTED_VALUE"""),"CORPORATE")</f>
        <v>CORPORATE</v>
      </c>
      <c r="F120" s="11" t="str">
        <f>IFERROR(__xludf.DUMMYFUNCTION("""COMPUTED_VALUE"""),"Homepage")</f>
        <v>Homepage</v>
      </c>
      <c r="G120" s="11" t="b">
        <f>IFERROR(__xludf.DUMMYFUNCTION("""COMPUTED_VALUE"""),FALSE)</f>
        <v>0</v>
      </c>
      <c r="H120" s="11" t="str">
        <f>IFERROR(__xludf.DUMMYFUNCTION("""COMPUTED_VALUE"""),"Making Science")</f>
        <v>Making Science</v>
      </c>
      <c r="I120" s="11">
        <f>IFERROR(__xludf.DUMMYFUNCTION("""COMPUTED_VALUE"""),1.0)</f>
        <v>1</v>
      </c>
      <c r="J120" s="11">
        <f>IFERROR(__xludf.DUMMYFUNCTION("""COMPUTED_VALUE"""),0.0)</f>
        <v>0</v>
      </c>
      <c r="K120" s="11">
        <f>IFERROR(__xludf.DUMMYFUNCTION("""COMPUTED_VALUE"""),0.0)</f>
        <v>0</v>
      </c>
    </row>
    <row r="121" ht="15.75" customHeight="1">
      <c r="A121" s="8" t="str">
        <f>IFERROR(__xludf.DUMMYFUNCTION("""COMPUTED_VALUE"""),"https://www.marketingattributionsoftware.com/")</f>
        <v>https://www.marketingattributionsoftware.com/</v>
      </c>
      <c r="B121" s="11" t="str">
        <f>IFERROR(__xludf.DUMMYFUNCTION("""COMPUTED_VALUE"""),"Best Marketing Attribution Software 2026 — Full Comparison of 18 Tools")</f>
        <v>Best Marketing Attribution Software 2026 — Full Comparison of 18 Tools</v>
      </c>
      <c r="C121" s="8" t="str">
        <f>IFERROR(__xludf.DUMMYFUNCTION("""COMPUTED_VALUE"""),"marketingattributionsoftware.com")</f>
        <v>marketingattributionsoftware.com</v>
      </c>
      <c r="D121" s="11" t="str">
        <f>IFERROR(__xludf.DUMMYFUNCTION("""COMPUTED_VALUE"""),"HOMEPAGE")</f>
        <v>HOMEPAGE</v>
      </c>
      <c r="E121" s="11" t="str">
        <f>IFERROR(__xludf.DUMMYFUNCTION("""COMPUTED_VALUE"""),"EDITORIAL")</f>
        <v>EDITORIAL</v>
      </c>
      <c r="F121" s="11" t="str">
        <f>IFERROR(__xludf.DUMMYFUNCTION("""COMPUTED_VALUE"""),"Homepage")</f>
        <v>Homepage</v>
      </c>
      <c r="G121" s="11" t="b">
        <f>IFERROR(__xludf.DUMMYFUNCTION("""COMPUTED_VALUE"""),FALSE)</f>
        <v>0</v>
      </c>
      <c r="H121" s="11" t="str">
        <f>IFERROR(__xludf.DUMMYFUNCTION("""COMPUTED_VALUE"""),"Triple Whale, Northbeam, Dreamdata, Rockerbox, Cometly, Huge")</f>
        <v>Triple Whale, Northbeam, Dreamdata, Rockerbox, Cometly, Huge</v>
      </c>
      <c r="I121" s="11">
        <f>IFERROR(__xludf.DUMMYFUNCTION("""COMPUTED_VALUE"""),1.0)</f>
        <v>1</v>
      </c>
      <c r="J121" s="11">
        <f>IFERROR(__xludf.DUMMYFUNCTION("""COMPUTED_VALUE"""),0.0)</f>
        <v>0</v>
      </c>
      <c r="K121" s="11">
        <f>IFERROR(__xludf.DUMMYFUNCTION("""COMPUTED_VALUE"""),0.0)</f>
        <v>0</v>
      </c>
    </row>
    <row r="122" ht="15.75" customHeight="1">
      <c r="A122" s="8" t="str">
        <f>IFERROR(__xludf.DUMMYFUNCTION("""COMPUTED_VALUE"""),"https://marketingplatform.google.com/intl/de/about/")</f>
        <v>https://marketingplatform.google.com/intl/de/about/</v>
      </c>
      <c r="B122" s="11" t="str">
        <f>IFERROR(__xludf.DUMMYFUNCTION("""COMPUTED_VALUE"""),"Google Marketing Platform – Werbung und Analysen in einer Lösung")</f>
        <v>Google Marketing Platform – Werbung und Analysen in einer Lösung</v>
      </c>
      <c r="C122" s="8" t="str">
        <f>IFERROR(__xludf.DUMMYFUNCTION("""COMPUTED_VALUE"""),"google.com")</f>
        <v>google.com</v>
      </c>
      <c r="D122" s="11" t="str">
        <f>IFERROR(__xludf.DUMMYFUNCTION("""COMPUTED_VALUE"""),"HOMEPAGE")</f>
        <v>HOMEPAGE</v>
      </c>
      <c r="E122" s="11" t="str">
        <f>IFERROR(__xludf.DUMMYFUNCTION("""COMPUTED_VALUE"""),"OTHER")</f>
        <v>OTHER</v>
      </c>
      <c r="F122" s="11" t="str">
        <f>IFERROR(__xludf.DUMMYFUNCTION("""COMPUTED_VALUE"""),"Homepage")</f>
        <v>Homepage</v>
      </c>
      <c r="G122" s="11" t="b">
        <f>IFERROR(__xludf.DUMMYFUNCTION("""COMPUTED_VALUE"""),FALSE)</f>
        <v>0</v>
      </c>
      <c r="H122" s="11"/>
      <c r="I122" s="11">
        <f>IFERROR(__xludf.DUMMYFUNCTION("""COMPUTED_VALUE"""),1.0)</f>
        <v>1</v>
      </c>
      <c r="J122" s="11">
        <f>IFERROR(__xludf.DUMMYFUNCTION("""COMPUTED_VALUE"""),0.0)</f>
        <v>0</v>
      </c>
      <c r="K122" s="11">
        <f>IFERROR(__xludf.DUMMYFUNCTION("""COMPUTED_VALUE"""),1.0)</f>
        <v>1</v>
      </c>
    </row>
    <row r="123" ht="15.75" customHeight="1">
      <c r="A123" s="8" t="str">
        <f>IFERROR(__xludf.DUMMYFUNCTION("""COMPUTED_VALUE"""),"https://www.matchpointmedia.de/")</f>
        <v>https://www.matchpointmedia.de/</v>
      </c>
      <c r="B123" s="11" t="str">
        <f>IFERROR(__xludf.DUMMYFUNCTION("""COMPUTED_VALUE"""),"Matchpoint Media | Performance Marketing Agentur aus Nürnberg")</f>
        <v>Matchpoint Media | Performance Marketing Agentur aus Nürnberg</v>
      </c>
      <c r="C123" s="8" t="str">
        <f>IFERROR(__xludf.DUMMYFUNCTION("""COMPUTED_VALUE"""),"matchpointmedia.de")</f>
        <v>matchpointmedia.de</v>
      </c>
      <c r="D123" s="11" t="str">
        <f>IFERROR(__xludf.DUMMYFUNCTION("""COMPUTED_VALUE"""),"HOMEPAGE")</f>
        <v>HOMEPAGE</v>
      </c>
      <c r="E123" s="11" t="str">
        <f>IFERROR(__xludf.DUMMYFUNCTION("""COMPUTED_VALUE"""),"CORPORATE")</f>
        <v>CORPORATE</v>
      </c>
      <c r="F123" s="11" t="str">
        <f>IFERROR(__xludf.DUMMYFUNCTION("""COMPUTED_VALUE"""),"Homepage")</f>
        <v>Homepage</v>
      </c>
      <c r="G123" s="11" t="b">
        <f>IFERROR(__xludf.DUMMYFUNCTION("""COMPUTED_VALUE"""),FALSE)</f>
        <v>0</v>
      </c>
      <c r="H123" s="11"/>
      <c r="I123" s="11">
        <f>IFERROR(__xludf.DUMMYFUNCTION("""COMPUTED_VALUE"""),1.0)</f>
        <v>1</v>
      </c>
      <c r="J123" s="11">
        <f>IFERROR(__xludf.DUMMYFUNCTION("""COMPUTED_VALUE"""),0.0)</f>
        <v>0</v>
      </c>
      <c r="K123" s="11">
        <f>IFERROR(__xludf.DUMMYFUNCTION("""COMPUTED_VALUE"""),0.0)</f>
        <v>0</v>
      </c>
    </row>
    <row r="124" ht="15.75" customHeight="1">
      <c r="A124" s="8" t="str">
        <f>IFERROR(__xludf.DUMMYFUNCTION("""COMPUTED_VALUE"""),"https://www.mawave.com/")</f>
        <v>https://www.mawave.com/</v>
      </c>
      <c r="B124" s="11" t="str">
        <f>IFERROR(__xludf.DUMMYFUNCTION("""COMPUTED_VALUE"""),"Social Media Lead Agentur für Consumer Brands | Mawave")</f>
        <v>Social Media Lead Agentur für Consumer Brands | Mawave</v>
      </c>
      <c r="C124" s="8" t="str">
        <f>IFERROR(__xludf.DUMMYFUNCTION("""COMPUTED_VALUE"""),"mawave.com")</f>
        <v>mawave.com</v>
      </c>
      <c r="D124" s="11" t="str">
        <f>IFERROR(__xludf.DUMMYFUNCTION("""COMPUTED_VALUE"""),"HOMEPAGE")</f>
        <v>HOMEPAGE</v>
      </c>
      <c r="E124" s="11" t="str">
        <f>IFERROR(__xludf.DUMMYFUNCTION("""COMPUTED_VALUE"""),"COMPETITOR")</f>
        <v>COMPETITOR</v>
      </c>
      <c r="F124" s="11" t="str">
        <f>IFERROR(__xludf.DUMMYFUNCTION("""COMPUTED_VALUE"""),"Homepage")</f>
        <v>Homepage</v>
      </c>
      <c r="G124" s="11" t="b">
        <f>IFERROR(__xludf.DUMMYFUNCTION("""COMPUTED_VALUE"""),FALSE)</f>
        <v>0</v>
      </c>
      <c r="H124" s="11" t="str">
        <f>IFERROR(__xludf.DUMMYFUNCTION("""COMPUTED_VALUE"""),"Mawave")</f>
        <v>Mawave</v>
      </c>
      <c r="I124" s="11">
        <f>IFERROR(__xludf.DUMMYFUNCTION("""COMPUTED_VALUE"""),1.0)</f>
        <v>1</v>
      </c>
      <c r="J124" s="11">
        <f>IFERROR(__xludf.DUMMYFUNCTION("""COMPUTED_VALUE"""),0.0)</f>
        <v>0</v>
      </c>
      <c r="K124" s="11">
        <f>IFERROR(__xludf.DUMMYFUNCTION("""COMPUTED_VALUE"""),1.0)</f>
        <v>1</v>
      </c>
    </row>
    <row r="125" ht="15.75" customHeight="1">
      <c r="A125" s="8" t="str">
        <f>IFERROR(__xludf.DUMMYFUNCTION("""COMPUTED_VALUE"""),"https://www.measured.com/")</f>
        <v>https://www.measured.com/</v>
      </c>
      <c r="B125" s="11" t="str">
        <f>IFERROR(__xludf.DUMMYFUNCTION("""COMPUTED_VALUE"""),"Measured | Media Effectiveness Platform")</f>
        <v>Measured | Media Effectiveness Platform</v>
      </c>
      <c r="C125" s="8" t="str">
        <f>IFERROR(__xludf.DUMMYFUNCTION("""COMPUTED_VALUE"""),"measured.com")</f>
        <v>measured.com</v>
      </c>
      <c r="D125" s="11" t="str">
        <f>IFERROR(__xludf.DUMMYFUNCTION("""COMPUTED_VALUE"""),"HOMEPAGE")</f>
        <v>HOMEPAGE</v>
      </c>
      <c r="E125" s="11" t="str">
        <f>IFERROR(__xludf.DUMMYFUNCTION("""COMPUTED_VALUE"""),"COMPETITOR")</f>
        <v>COMPETITOR</v>
      </c>
      <c r="F125" s="11" t="str">
        <f>IFERROR(__xludf.DUMMYFUNCTION("""COMPUTED_VALUE"""),"Homepage")</f>
        <v>Homepage</v>
      </c>
      <c r="G125" s="11" t="b">
        <f>IFERROR(__xludf.DUMMYFUNCTION("""COMPUTED_VALUE"""),FALSE)</f>
        <v>0</v>
      </c>
      <c r="H125" s="11" t="str">
        <f>IFERROR(__xludf.DUMMYFUNCTION("""COMPUTED_VALUE"""),"Measured")</f>
        <v>Measured</v>
      </c>
      <c r="I125" s="11">
        <f>IFERROR(__xludf.DUMMYFUNCTION("""COMPUTED_VALUE"""),1.0)</f>
        <v>1</v>
      </c>
      <c r="J125" s="11">
        <f>IFERROR(__xludf.DUMMYFUNCTION("""COMPUTED_VALUE"""),0.0)</f>
        <v>0</v>
      </c>
      <c r="K125" s="11">
        <f>IFERROR(__xludf.DUMMYFUNCTION("""COMPUTED_VALUE"""),2.0)</f>
        <v>2</v>
      </c>
    </row>
    <row r="126" ht="15.75" customHeight="1">
      <c r="A126" s="8" t="str">
        <f>IFERROR(__xludf.DUMMYFUNCTION("""COMPUTED_VALUE"""),"https://mediagroupww.com/de/")</f>
        <v>https://mediagroupww.com/de/</v>
      </c>
      <c r="B126" s="11" t="str">
        <f>IFERROR(__xludf.DUMMYFUNCTION("""COMPUTED_VALUE"""),"Internationale Marketing-Agentur - MediaGroup Worldwide")</f>
        <v>Internationale Marketing-Agentur - MediaGroup Worldwide</v>
      </c>
      <c r="C126" s="8" t="str">
        <f>IFERROR(__xludf.DUMMYFUNCTION("""COMPUTED_VALUE"""),"mediagroupww.com")</f>
        <v>mediagroupww.com</v>
      </c>
      <c r="D126" s="11" t="str">
        <f>IFERROR(__xludf.DUMMYFUNCTION("""COMPUTED_VALUE"""),"HOMEPAGE")</f>
        <v>HOMEPAGE</v>
      </c>
      <c r="E126" s="11" t="str">
        <f>IFERROR(__xludf.DUMMYFUNCTION("""COMPUTED_VALUE"""),"CORPORATE")</f>
        <v>CORPORATE</v>
      </c>
      <c r="F126" s="11" t="str">
        <f>IFERROR(__xludf.DUMMYFUNCTION("""COMPUTED_VALUE"""),"Homepage")</f>
        <v>Homepage</v>
      </c>
      <c r="G126" s="11" t="b">
        <f>IFERROR(__xludf.DUMMYFUNCTION("""COMPUTED_VALUE"""),FALSE)</f>
        <v>0</v>
      </c>
      <c r="H126" s="11"/>
      <c r="I126" s="11">
        <f>IFERROR(__xludf.DUMMYFUNCTION("""COMPUTED_VALUE"""),1.0)</f>
        <v>1</v>
      </c>
      <c r="J126" s="11">
        <f>IFERROR(__xludf.DUMMYFUNCTION("""COMPUTED_VALUE"""),0.0)</f>
        <v>0</v>
      </c>
      <c r="K126" s="11">
        <f>IFERROR(__xludf.DUMMYFUNCTION("""COMPUTED_VALUE"""),1.0)</f>
        <v>1</v>
      </c>
    </row>
    <row r="127" ht="15.75" customHeight="1">
      <c r="A127" s="8" t="str">
        <f>IFERROR(__xludf.DUMMYFUNCTION("""COMPUTED_VALUE"""),"https://www.mkt-sci.com/")</f>
        <v>https://www.mkt-sci.com/</v>
      </c>
      <c r="B127" s="11"/>
      <c r="C127" s="8" t="str">
        <f>IFERROR(__xludf.DUMMYFUNCTION("""COMPUTED_VALUE"""),"mkt-sci.com")</f>
        <v>mkt-sci.com</v>
      </c>
      <c r="D127" s="11" t="str">
        <f>IFERROR(__xludf.DUMMYFUNCTION("""COMPUTED_VALUE"""),"HOMEPAGE")</f>
        <v>HOMEPAGE</v>
      </c>
      <c r="E127" s="11" t="str">
        <f>IFERROR(__xludf.DUMMYFUNCTION("""COMPUTED_VALUE"""),"CORPORATE")</f>
        <v>CORPORATE</v>
      </c>
      <c r="F127" s="11" t="str">
        <f>IFERROR(__xludf.DUMMYFUNCTION("""COMPUTED_VALUE"""),"Homepage")</f>
        <v>Homepage</v>
      </c>
      <c r="G127" s="11"/>
      <c r="H127" s="11" t="str">
        <f>IFERROR(__xludf.DUMMYFUNCTION("""COMPUTED_VALUE"""),"Unknown")</f>
        <v>Unknown</v>
      </c>
      <c r="I127" s="11">
        <f>IFERROR(__xludf.DUMMYFUNCTION("""COMPUTED_VALUE"""),1.0)</f>
        <v>1</v>
      </c>
      <c r="J127" s="11">
        <f>IFERROR(__xludf.DUMMYFUNCTION("""COMPUTED_VALUE"""),0.0)</f>
        <v>0</v>
      </c>
      <c r="K127" s="11">
        <f>IFERROR(__xludf.DUMMYFUNCTION("""COMPUTED_VALUE"""),2.0)</f>
        <v>2</v>
      </c>
    </row>
    <row r="128" ht="15.75" customHeight="1">
      <c r="A128" s="8" t="str">
        <f>IFERROR(__xludf.DUMMYFUNCTION("""COMPUTED_VALUE"""),"https://www.mmm-consulting.de/")</f>
        <v>https://www.mmm-consulting.de/</v>
      </c>
      <c r="B128" s="11" t="str">
        <f>IFERROR(__xludf.DUMMYFUNCTION("""COMPUTED_VALUE"""),"MMM Consulting GmbH")</f>
        <v>MMM Consulting GmbH</v>
      </c>
      <c r="C128" s="8" t="str">
        <f>IFERROR(__xludf.DUMMYFUNCTION("""COMPUTED_VALUE"""),"mmm-consulting.de")</f>
        <v>mmm-consulting.de</v>
      </c>
      <c r="D128" s="11" t="str">
        <f>IFERROR(__xludf.DUMMYFUNCTION("""COMPUTED_VALUE"""),"HOMEPAGE")</f>
        <v>HOMEPAGE</v>
      </c>
      <c r="E128" s="11" t="str">
        <f>IFERROR(__xludf.DUMMYFUNCTION("""COMPUTED_VALUE"""),"CORPORATE")</f>
        <v>CORPORATE</v>
      </c>
      <c r="F128" s="11" t="str">
        <f>IFERROR(__xludf.DUMMYFUNCTION("""COMPUTED_VALUE"""),"Homepage")</f>
        <v>Homepage</v>
      </c>
      <c r="G128" s="11" t="b">
        <f>IFERROR(__xludf.DUMMYFUNCTION("""COMPUTED_VALUE"""),FALSE)</f>
        <v>0</v>
      </c>
      <c r="H128" s="11"/>
      <c r="I128" s="11">
        <f>IFERROR(__xludf.DUMMYFUNCTION("""COMPUTED_VALUE"""),1.0)</f>
        <v>1</v>
      </c>
      <c r="J128" s="11">
        <f>IFERROR(__xludf.DUMMYFUNCTION("""COMPUTED_VALUE"""),0.0)</f>
        <v>0</v>
      </c>
      <c r="K128" s="11">
        <f>IFERROR(__xludf.DUMMYFUNCTION("""COMPUTED_VALUE"""),0.0)</f>
        <v>0</v>
      </c>
    </row>
    <row r="129" ht="15.75" customHeight="1">
      <c r="A129" s="8" t="str">
        <f>IFERROR(__xludf.DUMMYFUNCTION("""COMPUTED_VALUE"""),"https://www.more-fire.com/en/")</f>
        <v>https://www.more-fire.com/en/</v>
      </c>
      <c r="B129" s="11" t="str">
        <f>IFERROR(__xludf.DUMMYFUNCTION("""COMPUTED_VALUE"""),"Online-Marketing-Agentur aus Köln | morefire")</f>
        <v>Online-Marketing-Agentur aus Köln | morefire</v>
      </c>
      <c r="C129" s="8" t="str">
        <f>IFERROR(__xludf.DUMMYFUNCTION("""COMPUTED_VALUE"""),"more-fire.com")</f>
        <v>more-fire.com</v>
      </c>
      <c r="D129" s="11" t="str">
        <f>IFERROR(__xludf.DUMMYFUNCTION("""COMPUTED_VALUE"""),"HOMEPAGE")</f>
        <v>HOMEPAGE</v>
      </c>
      <c r="E129" s="11" t="str">
        <f>IFERROR(__xludf.DUMMYFUNCTION("""COMPUTED_VALUE"""),"COMPETITOR")</f>
        <v>COMPETITOR</v>
      </c>
      <c r="F129" s="11" t="str">
        <f>IFERROR(__xludf.DUMMYFUNCTION("""COMPUTED_VALUE"""),"Homepage")</f>
        <v>Homepage</v>
      </c>
      <c r="G129" s="11" t="b">
        <f>IFERROR(__xludf.DUMMYFUNCTION("""COMPUTED_VALUE"""),FALSE)</f>
        <v>0</v>
      </c>
      <c r="H129" s="11" t="str">
        <f>IFERROR(__xludf.DUMMYFUNCTION("""COMPUTED_VALUE"""),"morefire")</f>
        <v>morefire</v>
      </c>
      <c r="I129" s="11">
        <f>IFERROR(__xludf.DUMMYFUNCTION("""COMPUTED_VALUE"""),1.0)</f>
        <v>1</v>
      </c>
      <c r="J129" s="11">
        <f>IFERROR(__xludf.DUMMYFUNCTION("""COMPUTED_VALUE"""),0.0)</f>
        <v>0</v>
      </c>
      <c r="K129" s="11">
        <f>IFERROR(__xludf.DUMMYFUNCTION("""COMPUTED_VALUE"""),1.0)</f>
        <v>1</v>
      </c>
    </row>
    <row r="130" ht="15.75" customHeight="1">
      <c r="A130" s="8" t="str">
        <f>IFERROR(__xludf.DUMMYFUNCTION("""COMPUTED_VALUE"""),"https://www.nion-answers.com/")</f>
        <v>https://www.nion-answers.com/</v>
      </c>
      <c r="B130" s="11" t="str">
        <f>IFERROR(__xludf.DUMMYFUNCTION("""COMPUTED_VALUE"""),"The AEO Agency - NION Answers")</f>
        <v>The AEO Agency - NION Answers</v>
      </c>
      <c r="C130" s="8" t="str">
        <f>IFERROR(__xludf.DUMMYFUNCTION("""COMPUTED_VALUE"""),"nion-answers.com")</f>
        <v>nion-answers.com</v>
      </c>
      <c r="D130" s="11" t="str">
        <f>IFERROR(__xludf.DUMMYFUNCTION("""COMPUTED_VALUE"""),"HOMEPAGE")</f>
        <v>HOMEPAGE</v>
      </c>
      <c r="E130" s="11" t="str">
        <f>IFERROR(__xludf.DUMMYFUNCTION("""COMPUTED_VALUE"""),"CORPORATE")</f>
        <v>CORPORATE</v>
      </c>
      <c r="F130" s="11" t="str">
        <f>IFERROR(__xludf.DUMMYFUNCTION("""COMPUTED_VALUE"""),"Homepage")</f>
        <v>Homepage</v>
      </c>
      <c r="G130" s="11" t="b">
        <f>IFERROR(__xludf.DUMMYFUNCTION("""COMPUTED_VALUE"""),FALSE)</f>
        <v>0</v>
      </c>
      <c r="H130" s="11" t="str">
        <f>IFERROR(__xludf.DUMMYFUNCTION("""COMPUTED_VALUE"""),"iPullRank, NoGood")</f>
        <v>iPullRank, NoGood</v>
      </c>
      <c r="I130" s="11">
        <f>IFERROR(__xludf.DUMMYFUNCTION("""COMPUTED_VALUE"""),1.0)</f>
        <v>1</v>
      </c>
      <c r="J130" s="11">
        <f>IFERROR(__xludf.DUMMYFUNCTION("""COMPUTED_VALUE"""),0.0)</f>
        <v>0</v>
      </c>
      <c r="K130" s="11">
        <f>IFERROR(__xludf.DUMMYFUNCTION("""COMPUTED_VALUE"""),0.0)</f>
        <v>0</v>
      </c>
    </row>
    <row r="131" ht="15.75" customHeight="1">
      <c r="A131" s="8" t="str">
        <f>IFERROR(__xludf.DUMMYFUNCTION("""COMPUTED_VALUE"""),"https://www.ombera.de/")</f>
        <v>https://www.ombera.de/</v>
      </c>
      <c r="B131" s="11" t="str">
        <f>IFERROR(__xludf.DUMMYFUNCTION("""COMPUTED_VALUE"""),"ombera – KI-Sichtbarkeit &amp;amp; GEO-Beratung für den Mittelstand")</f>
        <v>ombera – KI-Sichtbarkeit &amp;amp; GEO-Beratung für den Mittelstand</v>
      </c>
      <c r="C131" s="8" t="str">
        <f>IFERROR(__xludf.DUMMYFUNCTION("""COMPUTED_VALUE"""),"ombera.de")</f>
        <v>ombera.de</v>
      </c>
      <c r="D131" s="11" t="str">
        <f>IFERROR(__xludf.DUMMYFUNCTION("""COMPUTED_VALUE"""),"HOMEPAGE")</f>
        <v>HOMEPAGE</v>
      </c>
      <c r="E131" s="11" t="str">
        <f>IFERROR(__xludf.DUMMYFUNCTION("""COMPUTED_VALUE"""),"CORPORATE")</f>
        <v>CORPORATE</v>
      </c>
      <c r="F131" s="11" t="str">
        <f>IFERROR(__xludf.DUMMYFUNCTION("""COMPUTED_VALUE"""),"Homepage")</f>
        <v>Homepage</v>
      </c>
      <c r="G131" s="11" t="b">
        <f>IFERROR(__xludf.DUMMYFUNCTION("""COMPUTED_VALUE"""),FALSE)</f>
        <v>0</v>
      </c>
      <c r="H131" s="11" t="str">
        <f>IFERROR(__xludf.DUMMYFUNCTION("""COMPUTED_VALUE"""),"Capgemini")</f>
        <v>Capgemini</v>
      </c>
      <c r="I131" s="11">
        <f>IFERROR(__xludf.DUMMYFUNCTION("""COMPUTED_VALUE"""),1.0)</f>
        <v>1</v>
      </c>
      <c r="J131" s="11">
        <f>IFERROR(__xludf.DUMMYFUNCTION("""COMPUTED_VALUE"""),0.0)</f>
        <v>0</v>
      </c>
      <c r="K131" s="11">
        <f>IFERROR(__xludf.DUMMYFUNCTION("""COMPUTED_VALUE"""),0.0)</f>
        <v>0</v>
      </c>
    </row>
    <row r="132" ht="15.75" customHeight="1">
      <c r="A132" s="8" t="str">
        <f>IFERROR(__xludf.DUMMYFUNCTION("""COMPUTED_VALUE"""),"https://omnicomprecisionmarketing.de/en/home/")</f>
        <v>https://omnicomprecisionmarketing.de/en/home/</v>
      </c>
      <c r="B132" s="11" t="str">
        <f>IFERROR(__xludf.DUMMYFUNCTION("""COMPUTED_VALUE"""),"OMNICOM Precision Marketing | Home")</f>
        <v>OMNICOM Precision Marketing | Home</v>
      </c>
      <c r="C132" s="8" t="str">
        <f>IFERROR(__xludf.DUMMYFUNCTION("""COMPUTED_VALUE"""),"omnicomprecisionmarketing.de")</f>
        <v>omnicomprecisionmarketing.de</v>
      </c>
      <c r="D132" s="11" t="str">
        <f>IFERROR(__xludf.DUMMYFUNCTION("""COMPUTED_VALUE"""),"HOMEPAGE")</f>
        <v>HOMEPAGE</v>
      </c>
      <c r="E132" s="11" t="str">
        <f>IFERROR(__xludf.DUMMYFUNCTION("""COMPUTED_VALUE"""),"CORPORATE")</f>
        <v>CORPORATE</v>
      </c>
      <c r="F132" s="11" t="str">
        <f>IFERROR(__xludf.DUMMYFUNCTION("""COMPUTED_VALUE"""),"Homepage")</f>
        <v>Homepage</v>
      </c>
      <c r="G132" s="11" t="b">
        <f>IFERROR(__xludf.DUMMYFUNCTION("""COMPUTED_VALUE"""),FALSE)</f>
        <v>0</v>
      </c>
      <c r="H132" s="11" t="str">
        <f>IFERROR(__xludf.DUMMYFUNCTION("""COMPUTED_VALUE"""),"Omnicom")</f>
        <v>Omnicom</v>
      </c>
      <c r="I132" s="11">
        <f>IFERROR(__xludf.DUMMYFUNCTION("""COMPUTED_VALUE"""),1.0)</f>
        <v>1</v>
      </c>
      <c r="J132" s="11">
        <f>IFERROR(__xludf.DUMMYFUNCTION("""COMPUTED_VALUE"""),0.0)</f>
        <v>0</v>
      </c>
      <c r="K132" s="11">
        <f>IFERROR(__xludf.DUMMYFUNCTION("""COMPUTED_VALUE"""),2.0)</f>
        <v>2</v>
      </c>
    </row>
    <row r="133" ht="15.75" customHeight="1">
      <c r="A133" s="8" t="str">
        <f>IFERROR(__xludf.DUMMYFUNCTION("""COMPUTED_VALUE"""),"https://www.opnrs.com/")</f>
        <v>https://www.opnrs.com/</v>
      </c>
      <c r="B133" s="11" t="str">
        <f>IFERROR(__xludf.DUMMYFUNCTION("""COMPUTED_VALUE"""),"opnrs • Communications, Experiences, Strategies")</f>
        <v>opnrs • Communications, Experiences, Strategies</v>
      </c>
      <c r="C133" s="8" t="str">
        <f>IFERROR(__xludf.DUMMYFUNCTION("""COMPUTED_VALUE"""),"opnrs.com")</f>
        <v>opnrs.com</v>
      </c>
      <c r="D133" s="11" t="str">
        <f>IFERROR(__xludf.DUMMYFUNCTION("""COMPUTED_VALUE"""),"HOMEPAGE")</f>
        <v>HOMEPAGE</v>
      </c>
      <c r="E133" s="11" t="str">
        <f>IFERROR(__xludf.DUMMYFUNCTION("""COMPUTED_VALUE"""),"CORPORATE")</f>
        <v>CORPORATE</v>
      </c>
      <c r="F133" s="11" t="str">
        <f>IFERROR(__xludf.DUMMYFUNCTION("""COMPUTED_VALUE"""),"Homepage")</f>
        <v>Homepage</v>
      </c>
      <c r="G133" s="11" t="b">
        <f>IFERROR(__xludf.DUMMYFUNCTION("""COMPUTED_VALUE"""),FALSE)</f>
        <v>0</v>
      </c>
      <c r="H133" s="11"/>
      <c r="I133" s="11">
        <f>IFERROR(__xludf.DUMMYFUNCTION("""COMPUTED_VALUE"""),1.0)</f>
        <v>1</v>
      </c>
      <c r="J133" s="11">
        <f>IFERROR(__xludf.DUMMYFUNCTION("""COMPUTED_VALUE"""),0.0)</f>
        <v>0</v>
      </c>
      <c r="K133" s="11">
        <f>IFERROR(__xludf.DUMMYFUNCTION("""COMPUTED_VALUE"""),0.0)</f>
        <v>0</v>
      </c>
    </row>
    <row r="134" ht="15.75" customHeight="1">
      <c r="A134" s="8" t="str">
        <f>IFERROR(__xludf.DUMMYFUNCTION("""COMPUTED_VALUE"""),"https://www.projecter.de/")</f>
        <v>https://www.projecter.de/</v>
      </c>
      <c r="B134" s="11" t="str">
        <f>IFERROR(__xludf.DUMMYFUNCTION("""COMPUTED_VALUE"""),"Projecter: Online Marketing Agentur aus Leipzig")</f>
        <v>Projecter: Online Marketing Agentur aus Leipzig</v>
      </c>
      <c r="C134" s="8" t="str">
        <f>IFERROR(__xludf.DUMMYFUNCTION("""COMPUTED_VALUE"""),"projecter.de")</f>
        <v>projecter.de</v>
      </c>
      <c r="D134" s="11" t="str">
        <f>IFERROR(__xludf.DUMMYFUNCTION("""COMPUTED_VALUE"""),"HOMEPAGE")</f>
        <v>HOMEPAGE</v>
      </c>
      <c r="E134" s="11" t="str">
        <f>IFERROR(__xludf.DUMMYFUNCTION("""COMPUTED_VALUE"""),"CORPORATE")</f>
        <v>CORPORATE</v>
      </c>
      <c r="F134" s="11" t="str">
        <f>IFERROR(__xludf.DUMMYFUNCTION("""COMPUTED_VALUE"""),"Homepage")</f>
        <v>Homepage</v>
      </c>
      <c r="G134" s="11" t="b">
        <f>IFERROR(__xludf.DUMMYFUNCTION("""COMPUTED_VALUE"""),FALSE)</f>
        <v>0</v>
      </c>
      <c r="H134" s="11"/>
      <c r="I134" s="11">
        <f>IFERROR(__xludf.DUMMYFUNCTION("""COMPUTED_VALUE"""),1.0)</f>
        <v>1</v>
      </c>
      <c r="J134" s="11">
        <f>IFERROR(__xludf.DUMMYFUNCTION("""COMPUTED_VALUE"""),0.0)</f>
        <v>0</v>
      </c>
      <c r="K134" s="11">
        <f>IFERROR(__xludf.DUMMYFUNCTION("""COMPUTED_VALUE"""),1.0)</f>
        <v>1</v>
      </c>
    </row>
    <row r="135" ht="15.75" customHeight="1">
      <c r="A135" s="8" t="str">
        <f>IFERROR(__xludf.DUMMYFUNCTION("""COMPUTED_VALUE"""),"https://publicisproduction.com/")</f>
        <v>https://publicisproduction.com/</v>
      </c>
      <c r="B135" s="11" t="str">
        <f>IFERROR(__xludf.DUMMYFUNCTION("""COMPUTED_VALUE"""),"Home - WE ARE PUBLICIS PRODUCTION")</f>
        <v>Home - WE ARE PUBLICIS PRODUCTION</v>
      </c>
      <c r="C135" s="8" t="str">
        <f>IFERROR(__xludf.DUMMYFUNCTION("""COMPUTED_VALUE"""),"publicisproduction.com")</f>
        <v>publicisproduction.com</v>
      </c>
      <c r="D135" s="11" t="str">
        <f>IFERROR(__xludf.DUMMYFUNCTION("""COMPUTED_VALUE"""),"HOMEPAGE")</f>
        <v>HOMEPAGE</v>
      </c>
      <c r="E135" s="11" t="str">
        <f>IFERROR(__xludf.DUMMYFUNCTION("""COMPUTED_VALUE"""),"CORPORATE")</f>
        <v>CORPORATE</v>
      </c>
      <c r="F135" s="11" t="str">
        <f>IFERROR(__xludf.DUMMYFUNCTION("""COMPUTED_VALUE"""),"Homepage")</f>
        <v>Homepage</v>
      </c>
      <c r="G135" s="11" t="b">
        <f>IFERROR(__xludf.DUMMYFUNCTION("""COMPUTED_VALUE"""),FALSE)</f>
        <v>0</v>
      </c>
      <c r="H135" s="11" t="str">
        <f>IFERROR(__xludf.DUMMYFUNCTION("""COMPUTED_VALUE"""),"Publicis Groupe")</f>
        <v>Publicis Groupe</v>
      </c>
      <c r="I135" s="11">
        <f>IFERROR(__xludf.DUMMYFUNCTION("""COMPUTED_VALUE"""),1.0)</f>
        <v>1</v>
      </c>
      <c r="J135" s="11">
        <f>IFERROR(__xludf.DUMMYFUNCTION("""COMPUTED_VALUE"""),0.0)</f>
        <v>0</v>
      </c>
      <c r="K135" s="11">
        <f>IFERROR(__xludf.DUMMYFUNCTION("""COMPUTED_VALUE"""),0.0)</f>
        <v>0</v>
      </c>
    </row>
    <row r="136" ht="15.75" customHeight="1">
      <c r="A136" s="8" t="str">
        <f>IFERROR(__xludf.DUMMYFUNCTION("""COMPUTED_VALUE"""),"https://rheinwunder.com/en/")</f>
        <v>https://rheinwunder.com/en/</v>
      </c>
      <c r="B136" s="11" t="str">
        <f>IFERROR(__xludf.DUMMYFUNCTION("""COMPUTED_VALUE"""),"Rheinwunder GmbH: The online marketing agency from Bonn")</f>
        <v>Rheinwunder GmbH: The online marketing agency from Bonn</v>
      </c>
      <c r="C136" s="8" t="str">
        <f>IFERROR(__xludf.DUMMYFUNCTION("""COMPUTED_VALUE"""),"rheinwunder.com")</f>
        <v>rheinwunder.com</v>
      </c>
      <c r="D136" s="11" t="str">
        <f>IFERROR(__xludf.DUMMYFUNCTION("""COMPUTED_VALUE"""),"HOMEPAGE")</f>
        <v>HOMEPAGE</v>
      </c>
      <c r="E136" s="11" t="str">
        <f>IFERROR(__xludf.DUMMYFUNCTION("""COMPUTED_VALUE"""),"CORPORATE")</f>
        <v>CORPORATE</v>
      </c>
      <c r="F136" s="11" t="str">
        <f>IFERROR(__xludf.DUMMYFUNCTION("""COMPUTED_VALUE"""),"Homepage")</f>
        <v>Homepage</v>
      </c>
      <c r="G136" s="11" t="b">
        <f>IFERROR(__xludf.DUMMYFUNCTION("""COMPUTED_VALUE"""),FALSE)</f>
        <v>0</v>
      </c>
      <c r="H136" s="11" t="str">
        <f>IFERROR(__xludf.DUMMYFUNCTION("""COMPUTED_VALUE"""),"Croud")</f>
        <v>Croud</v>
      </c>
      <c r="I136" s="11">
        <f>IFERROR(__xludf.DUMMYFUNCTION("""COMPUTED_VALUE"""),1.0)</f>
        <v>1</v>
      </c>
      <c r="J136" s="11">
        <f>IFERROR(__xludf.DUMMYFUNCTION("""COMPUTED_VALUE"""),0.0)</f>
        <v>0</v>
      </c>
      <c r="K136" s="11">
        <f>IFERROR(__xludf.DUMMYFUNCTION("""COMPUTED_VALUE"""),1.0)</f>
        <v>1</v>
      </c>
    </row>
    <row r="137" ht="15.75" customHeight="1">
      <c r="A137" s="8" t="str">
        <f>IFERROR(__xludf.DUMMYFUNCTION("""COMPUTED_VALUE"""),"https://www.saphirsolution.de/")</f>
        <v>https://www.saphirsolution.de/</v>
      </c>
      <c r="B137" s="11" t="str">
        <f>IFERROR(__xludf.DUMMYFUNCTION("""COMPUTED_VALUE"""),"360° Online-Marketing-Agentur - SaphirSolution")</f>
        <v>360° Online-Marketing-Agentur - SaphirSolution</v>
      </c>
      <c r="C137" s="8" t="str">
        <f>IFERROR(__xludf.DUMMYFUNCTION("""COMPUTED_VALUE"""),"saphirsolution.de")</f>
        <v>saphirsolution.de</v>
      </c>
      <c r="D137" s="11" t="str">
        <f>IFERROR(__xludf.DUMMYFUNCTION("""COMPUTED_VALUE"""),"HOMEPAGE")</f>
        <v>HOMEPAGE</v>
      </c>
      <c r="E137" s="11" t="str">
        <f>IFERROR(__xludf.DUMMYFUNCTION("""COMPUTED_VALUE"""),"CORPORATE")</f>
        <v>CORPORATE</v>
      </c>
      <c r="F137" s="11" t="str">
        <f>IFERROR(__xludf.DUMMYFUNCTION("""COMPUTED_VALUE"""),"Homepage")</f>
        <v>Homepage</v>
      </c>
      <c r="G137" s="11" t="b">
        <f>IFERROR(__xludf.DUMMYFUNCTION("""COMPUTED_VALUE"""),FALSE)</f>
        <v>0</v>
      </c>
      <c r="H137" s="11"/>
      <c r="I137" s="11">
        <f>IFERROR(__xludf.DUMMYFUNCTION("""COMPUTED_VALUE"""),1.0)</f>
        <v>1</v>
      </c>
      <c r="J137" s="11">
        <f>IFERROR(__xludf.DUMMYFUNCTION("""COMPUTED_VALUE"""),0.0)</f>
        <v>0</v>
      </c>
      <c r="K137" s="11">
        <f>IFERROR(__xludf.DUMMYFUNCTION("""COMPUTED_VALUE"""),1.0)</f>
        <v>1</v>
      </c>
    </row>
    <row r="138" ht="15.75" customHeight="1">
      <c r="A138" s="8" t="str">
        <f>IFERROR(__xludf.DUMMYFUNCTION("""COMPUTED_VALUE"""),"https://www.scaleandcompany.com/")</f>
        <v>https://www.scaleandcompany.com/</v>
      </c>
      <c r="B138" s="11" t="str">
        <f>IFERROR(__xludf.DUMMYFUNCTION("""COMPUTED_VALUE"""),"Scale &amp;amp; Co")</f>
        <v>Scale &amp;amp; Co</v>
      </c>
      <c r="C138" s="8" t="str">
        <f>IFERROR(__xludf.DUMMYFUNCTION("""COMPUTED_VALUE"""),"scaleandcompany.com")</f>
        <v>scaleandcompany.com</v>
      </c>
      <c r="D138" s="11" t="str">
        <f>IFERROR(__xludf.DUMMYFUNCTION("""COMPUTED_VALUE"""),"HOMEPAGE")</f>
        <v>HOMEPAGE</v>
      </c>
      <c r="E138" s="11" t="str">
        <f>IFERROR(__xludf.DUMMYFUNCTION("""COMPUTED_VALUE"""),"CORPORATE")</f>
        <v>CORPORATE</v>
      </c>
      <c r="F138" s="11" t="str">
        <f>IFERROR(__xludf.DUMMYFUNCTION("""COMPUTED_VALUE"""),"Homepage")</f>
        <v>Homepage</v>
      </c>
      <c r="G138" s="11" t="b">
        <f>IFERROR(__xludf.DUMMYFUNCTION("""COMPUTED_VALUE"""),FALSE)</f>
        <v>0</v>
      </c>
      <c r="H138" s="11"/>
      <c r="I138" s="11">
        <f>IFERROR(__xludf.DUMMYFUNCTION("""COMPUTED_VALUE"""),1.0)</f>
        <v>1</v>
      </c>
      <c r="J138" s="11">
        <f>IFERROR(__xludf.DUMMYFUNCTION("""COMPUTED_VALUE"""),0.0)</f>
        <v>0</v>
      </c>
      <c r="K138" s="11">
        <f>IFERROR(__xludf.DUMMYFUNCTION("""COMPUTED_VALUE"""),0.0)</f>
        <v>0</v>
      </c>
    </row>
    <row r="139" ht="15.75" customHeight="1">
      <c r="A139" s="8" t="str">
        <f>IFERROR(__xludf.DUMMYFUNCTION("""COMPUTED_VALUE"""),"https://www.scalecom.de/")</f>
        <v>https://www.scalecom.de/</v>
      </c>
      <c r="B139" s="11" t="str">
        <f>IFERROR(__xludf.DUMMYFUNCTION("""COMPUTED_VALUE"""),"scalecom® | Performance Marketing &amp;amp; Paid Social Advertising Agentur")</f>
        <v>scalecom® | Performance Marketing &amp;amp; Paid Social Advertising Agentur</v>
      </c>
      <c r="C139" s="8" t="str">
        <f>IFERROR(__xludf.DUMMYFUNCTION("""COMPUTED_VALUE"""),"scalecom.de")</f>
        <v>scalecom.de</v>
      </c>
      <c r="D139" s="11" t="str">
        <f>IFERROR(__xludf.DUMMYFUNCTION("""COMPUTED_VALUE"""),"HOMEPAGE")</f>
        <v>HOMEPAGE</v>
      </c>
      <c r="E139" s="11" t="str">
        <f>IFERROR(__xludf.DUMMYFUNCTION("""COMPUTED_VALUE"""),"CORPORATE")</f>
        <v>CORPORATE</v>
      </c>
      <c r="F139" s="11" t="str">
        <f>IFERROR(__xludf.DUMMYFUNCTION("""COMPUTED_VALUE"""),"Homepage")</f>
        <v>Homepage</v>
      </c>
      <c r="G139" s="11" t="b">
        <f>IFERROR(__xludf.DUMMYFUNCTION("""COMPUTED_VALUE"""),FALSE)</f>
        <v>0</v>
      </c>
      <c r="H139" s="11"/>
      <c r="I139" s="11">
        <f>IFERROR(__xludf.DUMMYFUNCTION("""COMPUTED_VALUE"""),1.0)</f>
        <v>1</v>
      </c>
      <c r="J139" s="11">
        <f>IFERROR(__xludf.DUMMYFUNCTION("""COMPUTED_VALUE"""),0.0)</f>
        <v>0</v>
      </c>
      <c r="K139" s="11">
        <f>IFERROR(__xludf.DUMMYFUNCTION("""COMPUTED_VALUE"""),0.0)</f>
        <v>0</v>
      </c>
    </row>
    <row r="140" ht="15.75" customHeight="1">
      <c r="A140" s="8" t="str">
        <f>IFERROR(__xludf.DUMMYFUNCTION("""COMPUTED_VALUE"""),"https://www.scalefox.de/")</f>
        <v>https://www.scalefox.de/</v>
      </c>
      <c r="B140" s="11" t="str">
        <f>IFERROR(__xludf.DUMMYFUNCTION("""COMPUTED_VALUE"""),"Scalefox \| Growth Beratung, Media Buying &amp; Analytics")</f>
        <v>Scalefox \| Growth Beratung, Media Buying &amp; Analytics</v>
      </c>
      <c r="C140" s="8" t="str">
        <f>IFERROR(__xludf.DUMMYFUNCTION("""COMPUTED_VALUE"""),"scalefox.de")</f>
        <v>scalefox.de</v>
      </c>
      <c r="D140" s="11" t="str">
        <f>IFERROR(__xludf.DUMMYFUNCTION("""COMPUTED_VALUE"""),"HOMEPAGE")</f>
        <v>HOMEPAGE</v>
      </c>
      <c r="E140" s="11" t="str">
        <f>IFERROR(__xludf.DUMMYFUNCTION("""COMPUTED_VALUE"""),"CORPORATE")</f>
        <v>CORPORATE</v>
      </c>
      <c r="F140" s="11" t="str">
        <f>IFERROR(__xludf.DUMMYFUNCTION("""COMPUTED_VALUE"""),"Homepage")</f>
        <v>Homepage</v>
      </c>
      <c r="G140" s="11" t="b">
        <f>IFERROR(__xludf.DUMMYFUNCTION("""COMPUTED_VALUE"""),FALSE)</f>
        <v>0</v>
      </c>
      <c r="H140" s="11"/>
      <c r="I140" s="11">
        <f>IFERROR(__xludf.DUMMYFUNCTION("""COMPUTED_VALUE"""),1.0)</f>
        <v>1</v>
      </c>
      <c r="J140" s="11">
        <f>IFERROR(__xludf.DUMMYFUNCTION("""COMPUTED_VALUE"""),0.0)</f>
        <v>0</v>
      </c>
      <c r="K140" s="11">
        <f>IFERROR(__xludf.DUMMYFUNCTION("""COMPUTED_VALUE"""),0.0)</f>
        <v>0</v>
      </c>
    </row>
    <row r="141" ht="15.75" customHeight="1">
      <c r="A141" s="8" t="str">
        <f>IFERROR(__xludf.DUMMYFUNCTION("""COMPUTED_VALUE"""),"https://search.agency/")</f>
        <v>https://search.agency/</v>
      </c>
      <c r="B141" s="11" t="str">
        <f>IFERROR(__xludf.DUMMYFUNCTION("""COMPUTED_VALUE"""),"Search Agency: The AI Search, GEO, AEO &amp;amp; SEO Agency")</f>
        <v>Search Agency: The AI Search, GEO, AEO &amp;amp; SEO Agency</v>
      </c>
      <c r="C141" s="11" t="str">
        <f>IFERROR(__xludf.DUMMYFUNCTION("""COMPUTED_VALUE"""),"search.agency")</f>
        <v>search.agency</v>
      </c>
      <c r="D141" s="11" t="str">
        <f>IFERROR(__xludf.DUMMYFUNCTION("""COMPUTED_VALUE"""),"HOMEPAGE")</f>
        <v>HOMEPAGE</v>
      </c>
      <c r="E141" s="11" t="str">
        <f>IFERROR(__xludf.DUMMYFUNCTION("""COMPUTED_VALUE"""),"CORPORATE")</f>
        <v>CORPORATE</v>
      </c>
      <c r="F141" s="11" t="str">
        <f>IFERROR(__xludf.DUMMYFUNCTION("""COMPUTED_VALUE"""),"Homepage")</f>
        <v>Homepage</v>
      </c>
      <c r="G141" s="11" t="b">
        <f>IFERROR(__xludf.DUMMYFUNCTION("""COMPUTED_VALUE"""),FALSE)</f>
        <v>0</v>
      </c>
      <c r="H141" s="11"/>
      <c r="I141" s="11">
        <f>IFERROR(__xludf.DUMMYFUNCTION("""COMPUTED_VALUE"""),1.0)</f>
        <v>1</v>
      </c>
      <c r="J141" s="11">
        <f>IFERROR(__xludf.DUMMYFUNCTION("""COMPUTED_VALUE"""),0.0)</f>
        <v>0</v>
      </c>
      <c r="K141" s="11">
        <f>IFERROR(__xludf.DUMMYFUNCTION("""COMPUTED_VALUE"""),0.0)</f>
        <v>0</v>
      </c>
    </row>
    <row r="142" ht="15.75" customHeight="1">
      <c r="A142" s="8" t="str">
        <f>IFERROR(__xludf.DUMMYFUNCTION("""COMPUTED_VALUE"""),"https://seybold.de/en/")</f>
        <v>https://seybold.de/en/</v>
      </c>
      <c r="B142" s="11" t="str">
        <f>IFERROR(__xludf.DUMMYFUNCTION("""COMPUTED_VALUE"""),"SEYBOLD - Digital Marketing Agency")</f>
        <v>SEYBOLD - Digital Marketing Agency</v>
      </c>
      <c r="C142" s="8" t="str">
        <f>IFERROR(__xludf.DUMMYFUNCTION("""COMPUTED_VALUE"""),"seybold.de")</f>
        <v>seybold.de</v>
      </c>
      <c r="D142" s="11" t="str">
        <f>IFERROR(__xludf.DUMMYFUNCTION("""COMPUTED_VALUE"""),"HOMEPAGE")</f>
        <v>HOMEPAGE</v>
      </c>
      <c r="E142" s="11" t="str">
        <f>IFERROR(__xludf.DUMMYFUNCTION("""COMPUTED_VALUE"""),"CORPORATE")</f>
        <v>CORPORATE</v>
      </c>
      <c r="F142" s="11" t="str">
        <f>IFERROR(__xludf.DUMMYFUNCTION("""COMPUTED_VALUE"""),"Homepage")</f>
        <v>Homepage</v>
      </c>
      <c r="G142" s="11" t="b">
        <f>IFERROR(__xludf.DUMMYFUNCTION("""COMPUTED_VALUE"""),FALSE)</f>
        <v>0</v>
      </c>
      <c r="H142" s="11"/>
      <c r="I142" s="11">
        <f>IFERROR(__xludf.DUMMYFUNCTION("""COMPUTED_VALUE"""),1.0)</f>
        <v>1</v>
      </c>
      <c r="J142" s="11">
        <f>IFERROR(__xludf.DUMMYFUNCTION("""COMPUTED_VALUE"""),0.0)</f>
        <v>0</v>
      </c>
      <c r="K142" s="11">
        <f>IFERROR(__xludf.DUMMYFUNCTION("""COMPUTED_VALUE"""),0.0)</f>
        <v>0</v>
      </c>
    </row>
    <row r="143" ht="15.75" customHeight="1">
      <c r="A143" s="8" t="str">
        <f>IFERROR(__xludf.DUMMYFUNCTION("""COMPUTED_VALUE"""),"https://www.signalandkairos.com/")</f>
        <v>https://www.signalandkairos.com/</v>
      </c>
      <c r="B143" s="11" t="str">
        <f>IFERROR(__xludf.DUMMYFUNCTION("""COMPUTED_VALUE"""),"Home | SignalandKairos")</f>
        <v>Home | SignalandKairos</v>
      </c>
      <c r="C143" s="8" t="str">
        <f>IFERROR(__xludf.DUMMYFUNCTION("""COMPUTED_VALUE"""),"signalandkairos.com")</f>
        <v>signalandkairos.com</v>
      </c>
      <c r="D143" s="11" t="str">
        <f>IFERROR(__xludf.DUMMYFUNCTION("""COMPUTED_VALUE"""),"HOMEPAGE")</f>
        <v>HOMEPAGE</v>
      </c>
      <c r="E143" s="11" t="str">
        <f>IFERROR(__xludf.DUMMYFUNCTION("""COMPUTED_VALUE"""),"OTHER")</f>
        <v>OTHER</v>
      </c>
      <c r="F143" s="11" t="str">
        <f>IFERROR(__xludf.DUMMYFUNCTION("""COMPUTED_VALUE"""),"Homepage")</f>
        <v>Homepage</v>
      </c>
      <c r="G143" s="11" t="b">
        <f>IFERROR(__xludf.DUMMYFUNCTION("""COMPUTED_VALUE"""),FALSE)</f>
        <v>0</v>
      </c>
      <c r="H143" s="11" t="str">
        <f>IFERROR(__xludf.DUMMYFUNCTION("""COMPUTED_VALUE"""),"Northbeam, Rockerbox")</f>
        <v>Northbeam, Rockerbox</v>
      </c>
      <c r="I143" s="11">
        <f>IFERROR(__xludf.DUMMYFUNCTION("""COMPUTED_VALUE"""),1.0)</f>
        <v>1</v>
      </c>
      <c r="J143" s="11">
        <f>IFERROR(__xludf.DUMMYFUNCTION("""COMPUTED_VALUE"""),0.0)</f>
        <v>0</v>
      </c>
      <c r="K143" s="11">
        <f>IFERROR(__xludf.DUMMYFUNCTION("""COMPUTED_VALUE"""),2.0)</f>
        <v>2</v>
      </c>
    </row>
    <row r="144" ht="15.75" customHeight="1">
      <c r="A144" s="8" t="str">
        <f>IFERROR(__xludf.DUMMYFUNCTION("""COMPUTED_VALUE"""),"https://www.spacedealer.de/en/")</f>
        <v>https://www.spacedealer.de/en/</v>
      </c>
      <c r="B144" s="11" t="str">
        <f>IFERROR(__xludf.DUMMYFUNCTION("""COMPUTED_VALUE"""),"spacedealer \| Performance Marketing for Complex Markets")</f>
        <v>spacedealer \| Performance Marketing for Complex Markets</v>
      </c>
      <c r="C144" s="8" t="str">
        <f>IFERROR(__xludf.DUMMYFUNCTION("""COMPUTED_VALUE"""),"spacedealer.de")</f>
        <v>spacedealer.de</v>
      </c>
      <c r="D144" s="11" t="str">
        <f>IFERROR(__xludf.DUMMYFUNCTION("""COMPUTED_VALUE"""),"HOMEPAGE")</f>
        <v>HOMEPAGE</v>
      </c>
      <c r="E144" s="11" t="str">
        <f>IFERROR(__xludf.DUMMYFUNCTION("""COMPUTED_VALUE"""),"CORPORATE")</f>
        <v>CORPORATE</v>
      </c>
      <c r="F144" s="11" t="str">
        <f>IFERROR(__xludf.DUMMYFUNCTION("""COMPUTED_VALUE"""),"Homepage")</f>
        <v>Homepage</v>
      </c>
      <c r="G144" s="11" t="b">
        <f>IFERROR(__xludf.DUMMYFUNCTION("""COMPUTED_VALUE"""),FALSE)</f>
        <v>0</v>
      </c>
      <c r="H144" s="11"/>
      <c r="I144" s="11">
        <f>IFERROR(__xludf.DUMMYFUNCTION("""COMPUTED_VALUE"""),1.0)</f>
        <v>1</v>
      </c>
      <c r="J144" s="11">
        <f>IFERROR(__xludf.DUMMYFUNCTION("""COMPUTED_VALUE"""),0.0)</f>
        <v>0</v>
      </c>
      <c r="K144" s="11">
        <f>IFERROR(__xludf.DUMMYFUNCTION("""COMPUTED_VALUE"""),0.0)</f>
        <v>0</v>
      </c>
    </row>
    <row r="145" ht="15.75" customHeight="1">
      <c r="A145" s="8" t="str">
        <f>IFERROR(__xludf.DUMMYFUNCTION("""COMPUTED_VALUE"""),"https://stamp.productions/")</f>
        <v>https://stamp.productions/</v>
      </c>
      <c r="B145" s="11" t="str">
        <f>IFERROR(__xludf.DUMMYFUNCTION("""COMPUTED_VALUE"""),"Stamp Productions")</f>
        <v>Stamp Productions</v>
      </c>
      <c r="C145" s="11" t="str">
        <f>IFERROR(__xludf.DUMMYFUNCTION("""COMPUTED_VALUE"""),"stamp.productions")</f>
        <v>stamp.productions</v>
      </c>
      <c r="D145" s="11" t="str">
        <f>IFERROR(__xludf.DUMMYFUNCTION("""COMPUTED_VALUE"""),"HOMEPAGE")</f>
        <v>HOMEPAGE</v>
      </c>
      <c r="E145" s="11" t="str">
        <f>IFERROR(__xludf.DUMMYFUNCTION("""COMPUTED_VALUE"""),"CORPORATE")</f>
        <v>CORPORATE</v>
      </c>
      <c r="F145" s="11" t="str">
        <f>IFERROR(__xludf.DUMMYFUNCTION("""COMPUTED_VALUE"""),"Homepage")</f>
        <v>Homepage</v>
      </c>
      <c r="G145" s="11" t="b">
        <f>IFERROR(__xludf.DUMMYFUNCTION("""COMPUTED_VALUE"""),FALSE)</f>
        <v>0</v>
      </c>
      <c r="H145" s="11"/>
      <c r="I145" s="11">
        <f>IFERROR(__xludf.DUMMYFUNCTION("""COMPUTED_VALUE"""),1.0)</f>
        <v>1</v>
      </c>
      <c r="J145" s="11">
        <f>IFERROR(__xludf.DUMMYFUNCTION("""COMPUTED_VALUE"""),0.0)</f>
        <v>0</v>
      </c>
      <c r="K145" s="11">
        <f>IFERROR(__xludf.DUMMYFUNCTION("""COMPUTED_VALUE"""),2.0)</f>
        <v>2</v>
      </c>
    </row>
    <row r="146" ht="15.75" customHeight="1">
      <c r="A146" s="8" t="str">
        <f>IFERROR(__xludf.DUMMYFUNCTION("""COMPUTED_VALUE"""),"https://www.the-boutique-agency.de/de/seo")</f>
        <v>https://www.the-boutique-agency.de/de/seo</v>
      </c>
      <c r="B146" s="11" t="str">
        <f>IFERROR(__xludf.DUMMYFUNCTION("""COMPUTED_VALUE"""),"SEO Agentur in München // The Boutique Agency – Zertifizierte B Corp™ • The Boutique Agency")</f>
        <v>SEO Agentur in München // The Boutique Agency – Zertifizierte B Corp™ • The Boutique Agency</v>
      </c>
      <c r="C146" s="8" t="str">
        <f>IFERROR(__xludf.DUMMYFUNCTION("""COMPUTED_VALUE"""),"the-boutique-agency.de")</f>
        <v>the-boutique-agency.de</v>
      </c>
      <c r="D146" s="11" t="str">
        <f>IFERROR(__xludf.DUMMYFUNCTION("""COMPUTED_VALUE"""),"HOMEPAGE")</f>
        <v>HOMEPAGE</v>
      </c>
      <c r="E146" s="11" t="str">
        <f>IFERROR(__xludf.DUMMYFUNCTION("""COMPUTED_VALUE"""),"COMPETITOR")</f>
        <v>COMPETITOR</v>
      </c>
      <c r="F146" s="11" t="str">
        <f>IFERROR(__xludf.DUMMYFUNCTION("""COMPUTED_VALUE"""),"Homepage")</f>
        <v>Homepage</v>
      </c>
      <c r="G146" s="11" t="b">
        <f>IFERROR(__xludf.DUMMYFUNCTION("""COMPUTED_VALUE"""),FALSE)</f>
        <v>0</v>
      </c>
      <c r="H146" s="11" t="str">
        <f>IFERROR(__xludf.DUMMYFUNCTION("""COMPUTED_VALUE"""),"The Boutique Agency")</f>
        <v>The Boutique Agency</v>
      </c>
      <c r="I146" s="11">
        <f>IFERROR(__xludf.DUMMYFUNCTION("""COMPUTED_VALUE"""),1.0)</f>
        <v>1</v>
      </c>
      <c r="J146" s="11">
        <f>IFERROR(__xludf.DUMMYFUNCTION("""COMPUTED_VALUE"""),0.0)</f>
        <v>0</v>
      </c>
      <c r="K146" s="11">
        <f>IFERROR(__xludf.DUMMYFUNCTION("""COMPUTED_VALUE"""),1.0)</f>
        <v>1</v>
      </c>
    </row>
    <row r="147" ht="15.75" customHeight="1">
      <c r="A147" s="8" t="str">
        <f>IFERROR(__xludf.DUMMYFUNCTION("""COMPUTED_VALUE"""),"https://www.theadfirm.net/ai-seo/")</f>
        <v>https://www.theadfirm.net/ai-seo/</v>
      </c>
      <c r="B147" s="11" t="str">
        <f>IFERROR(__xludf.DUMMYFUNCTION("""COMPUTED_VALUE"""),"AI SEO Agency: Top-Rated AI SEO Services \| The Ad Firm")</f>
        <v>AI SEO Agency: Top-Rated AI SEO Services \| The Ad Firm</v>
      </c>
      <c r="C147" s="8" t="str">
        <f>IFERROR(__xludf.DUMMYFUNCTION("""COMPUTED_VALUE"""),"theadfirm.net")</f>
        <v>theadfirm.net</v>
      </c>
      <c r="D147" s="11" t="str">
        <f>IFERROR(__xludf.DUMMYFUNCTION("""COMPUTED_VALUE"""),"HOMEPAGE")</f>
        <v>HOMEPAGE</v>
      </c>
      <c r="E147" s="11" t="str">
        <f>IFERROR(__xludf.DUMMYFUNCTION("""COMPUTED_VALUE"""),"OTHER")</f>
        <v>OTHER</v>
      </c>
      <c r="F147" s="11" t="str">
        <f>IFERROR(__xludf.DUMMYFUNCTION("""COMPUTED_VALUE"""),"Homepage")</f>
        <v>Homepage</v>
      </c>
      <c r="G147" s="11" t="b">
        <f>IFERROR(__xludf.DUMMYFUNCTION("""COMPUTED_VALUE"""),FALSE)</f>
        <v>0</v>
      </c>
      <c r="H147" s="11" t="str">
        <f>IFERROR(__xludf.DUMMYFUNCTION("""COMPUTED_VALUE"""),"Measured, Huge")</f>
        <v>Measured, Huge</v>
      </c>
      <c r="I147" s="11">
        <f>IFERROR(__xludf.DUMMYFUNCTION("""COMPUTED_VALUE"""),1.0)</f>
        <v>1</v>
      </c>
      <c r="J147" s="11">
        <f>IFERROR(__xludf.DUMMYFUNCTION("""COMPUTED_VALUE"""),0.0)</f>
        <v>0</v>
      </c>
      <c r="K147" s="11">
        <f>IFERROR(__xludf.DUMMYFUNCTION("""COMPUTED_VALUE"""),1.0)</f>
        <v>1</v>
      </c>
    </row>
    <row r="148" ht="15.75" customHeight="1">
      <c r="A148" s="8" t="str">
        <f>IFERROR(__xludf.DUMMYFUNCTION("""COMPUTED_VALUE"""),"https://thecypress.de/")</f>
        <v>https://thecypress.de/</v>
      </c>
      <c r="B148" s="11" t="str">
        <f>IFERROR(__xludf.DUMMYFUNCTION("""COMPUTED_VALUE"""),"Cypress")</f>
        <v>Cypress</v>
      </c>
      <c r="C148" s="8" t="str">
        <f>IFERROR(__xludf.DUMMYFUNCTION("""COMPUTED_VALUE"""),"thecypress.de")</f>
        <v>thecypress.de</v>
      </c>
      <c r="D148" s="11" t="str">
        <f>IFERROR(__xludf.DUMMYFUNCTION("""COMPUTED_VALUE"""),"HOMEPAGE")</f>
        <v>HOMEPAGE</v>
      </c>
      <c r="E148" s="11" t="str">
        <f>IFERROR(__xludf.DUMMYFUNCTION("""COMPUTED_VALUE"""),"CORPORATE")</f>
        <v>CORPORATE</v>
      </c>
      <c r="F148" s="11" t="str">
        <f>IFERROR(__xludf.DUMMYFUNCTION("""COMPUTED_VALUE"""),"Homepage")</f>
        <v>Homepage</v>
      </c>
      <c r="G148" s="11" t="b">
        <f>IFERROR(__xludf.DUMMYFUNCTION("""COMPUTED_VALUE"""),FALSE)</f>
        <v>0</v>
      </c>
      <c r="H148" s="11"/>
      <c r="I148" s="11">
        <f>IFERROR(__xludf.DUMMYFUNCTION("""COMPUTED_VALUE"""),1.0)</f>
        <v>1</v>
      </c>
      <c r="J148" s="11">
        <f>IFERROR(__xludf.DUMMYFUNCTION("""COMPUTED_VALUE"""),0.0)</f>
        <v>0</v>
      </c>
      <c r="K148" s="11">
        <f>IFERROR(__xludf.DUMMYFUNCTION("""COMPUTED_VALUE"""),0.0)</f>
        <v>0</v>
      </c>
    </row>
    <row r="149" ht="15.75" customHeight="1">
      <c r="A149" s="8" t="str">
        <f>IFERROR(__xludf.DUMMYFUNCTION("""COMPUTED_VALUE"""),"https://www.thekeenfolks.com/")</f>
        <v>https://www.thekeenfolks.com/</v>
      </c>
      <c r="B149" s="11" t="str">
        <f>IFERROR(__xludf.DUMMYFUNCTION("""COMPUTED_VALUE"""),"AI Marketing Agency | Keenfolks")</f>
        <v>AI Marketing Agency | Keenfolks</v>
      </c>
      <c r="C149" s="8" t="str">
        <f>IFERROR(__xludf.DUMMYFUNCTION("""COMPUTED_VALUE"""),"thekeenfolks.com")</f>
        <v>thekeenfolks.com</v>
      </c>
      <c r="D149" s="11" t="str">
        <f>IFERROR(__xludf.DUMMYFUNCTION("""COMPUTED_VALUE"""),"HOMEPAGE")</f>
        <v>HOMEPAGE</v>
      </c>
      <c r="E149" s="11" t="str">
        <f>IFERROR(__xludf.DUMMYFUNCTION("""COMPUTED_VALUE"""),"EDITORIAL")</f>
        <v>EDITORIAL</v>
      </c>
      <c r="F149" s="11" t="str">
        <f>IFERROR(__xludf.DUMMYFUNCTION("""COMPUTED_VALUE"""),"Homepage")</f>
        <v>Homepage</v>
      </c>
      <c r="G149" s="11" t="b">
        <f>IFERROR(__xludf.DUMMYFUNCTION("""COMPUTED_VALUE"""),FALSE)</f>
        <v>0</v>
      </c>
      <c r="H149" s="11" t="str">
        <f>IFERROR(__xludf.DUMMYFUNCTION("""COMPUTED_VALUE"""),"DEPT")</f>
        <v>DEPT</v>
      </c>
      <c r="I149" s="11">
        <f>IFERROR(__xludf.DUMMYFUNCTION("""COMPUTED_VALUE"""),1.0)</f>
        <v>1</v>
      </c>
      <c r="J149" s="11">
        <f>IFERROR(__xludf.DUMMYFUNCTION("""COMPUTED_VALUE"""),0.0)</f>
        <v>0</v>
      </c>
      <c r="K149" s="11">
        <f>IFERROR(__xludf.DUMMYFUNCTION("""COMPUTED_VALUE"""),1.0)</f>
        <v>1</v>
      </c>
    </row>
    <row r="150" ht="15.75" customHeight="1">
      <c r="A150" s="8" t="str">
        <f>IFERROR(__xludf.DUMMYFUNCTION("""COMPUTED_VALUE"""),"https://www.tppc.agency/")</f>
        <v>https://www.tppc.agency/</v>
      </c>
      <c r="B150" s="11"/>
      <c r="C150" s="11" t="str">
        <f>IFERROR(__xludf.DUMMYFUNCTION("""COMPUTED_VALUE"""),"tppc.agency")</f>
        <v>tppc.agency</v>
      </c>
      <c r="D150" s="11" t="str">
        <f>IFERROR(__xludf.DUMMYFUNCTION("""COMPUTED_VALUE"""),"HOMEPAGE")</f>
        <v>HOMEPAGE</v>
      </c>
      <c r="E150" s="11" t="str">
        <f>IFERROR(__xludf.DUMMYFUNCTION("""COMPUTED_VALUE"""),"CORPORATE")</f>
        <v>CORPORATE</v>
      </c>
      <c r="F150" s="11" t="str">
        <f>IFERROR(__xludf.DUMMYFUNCTION("""COMPUTED_VALUE"""),"Homepage")</f>
        <v>Homepage</v>
      </c>
      <c r="G150" s="11"/>
      <c r="H150" s="11" t="str">
        <f>IFERROR(__xludf.DUMMYFUNCTION("""COMPUTED_VALUE"""),"Unknown")</f>
        <v>Unknown</v>
      </c>
      <c r="I150" s="11">
        <f>IFERROR(__xludf.DUMMYFUNCTION("""COMPUTED_VALUE"""),1.0)</f>
        <v>1</v>
      </c>
      <c r="J150" s="11">
        <f>IFERROR(__xludf.DUMMYFUNCTION("""COMPUTED_VALUE"""),0.0)</f>
        <v>0</v>
      </c>
      <c r="K150" s="11">
        <f>IFERROR(__xludf.DUMMYFUNCTION("""COMPUTED_VALUE"""),3.0)</f>
        <v>3</v>
      </c>
    </row>
    <row r="151" ht="15.75" customHeight="1">
      <c r="A151" s="8" t="str">
        <f>IFERROR(__xludf.DUMMYFUNCTION("""COMPUTED_VALUE"""),"https://tracify.ai/en")</f>
        <v>https://tracify.ai/en</v>
      </c>
      <c r="B151" s="11" t="str">
        <f>IFERROR(__xludf.DUMMYFUNCTION("""COMPUTED_VALUE"""),"tracify.ai | Accurate Tracking &amp;amp; AI Attribution")</f>
        <v>tracify.ai | Accurate Tracking &amp;amp; AI Attribution</v>
      </c>
      <c r="C151" s="8" t="str">
        <f>IFERROR(__xludf.DUMMYFUNCTION("""COMPUTED_VALUE"""),"tracify.ai")</f>
        <v>tracify.ai</v>
      </c>
      <c r="D151" s="11" t="str">
        <f>IFERROR(__xludf.DUMMYFUNCTION("""COMPUTED_VALUE"""),"HOMEPAGE")</f>
        <v>HOMEPAGE</v>
      </c>
      <c r="E151" s="11" t="str">
        <f>IFERROR(__xludf.DUMMYFUNCTION("""COMPUTED_VALUE"""),"CORPORATE")</f>
        <v>CORPORATE</v>
      </c>
      <c r="F151" s="11" t="str">
        <f>IFERROR(__xludf.DUMMYFUNCTION("""COMPUTED_VALUE"""),"Homepage")</f>
        <v>Homepage</v>
      </c>
      <c r="G151" s="11" t="b">
        <f>IFERROR(__xludf.DUMMYFUNCTION("""COMPUTED_VALUE"""),FALSE)</f>
        <v>0</v>
      </c>
      <c r="H151" s="11" t="str">
        <f>IFERROR(__xludf.DUMMYFUNCTION("""COMPUTED_VALUE"""),"Triple Whale")</f>
        <v>Triple Whale</v>
      </c>
      <c r="I151" s="11">
        <f>IFERROR(__xludf.DUMMYFUNCTION("""COMPUTED_VALUE"""),1.0)</f>
        <v>1</v>
      </c>
      <c r="J151" s="11">
        <f>IFERROR(__xludf.DUMMYFUNCTION("""COMPUTED_VALUE"""),0.0)</f>
        <v>0</v>
      </c>
      <c r="K151" s="11">
        <f>IFERROR(__xludf.DUMMYFUNCTION("""COMPUTED_VALUE"""),2.0)</f>
        <v>2</v>
      </c>
    </row>
    <row r="152" ht="15.75" customHeight="1">
      <c r="A152" s="8" t="str">
        <f>IFERROR(__xludf.DUMMYFUNCTION("""COMPUTED_VALUE"""),"https://www.unfuture.de/de/")</f>
        <v>https://www.unfuture.de/de/</v>
      </c>
      <c r="B152" s="11" t="str">
        <f>IFERROR(__xludf.DUMMYFUNCTION("""COMPUTED_VALUE"""),"Unfuture — KI-Transformation für den deutschen Mittelstand")</f>
        <v>Unfuture — KI-Transformation für den deutschen Mittelstand</v>
      </c>
      <c r="C152" s="8" t="str">
        <f>IFERROR(__xludf.DUMMYFUNCTION("""COMPUTED_VALUE"""),"unfuture.de")</f>
        <v>unfuture.de</v>
      </c>
      <c r="D152" s="11" t="str">
        <f>IFERROR(__xludf.DUMMYFUNCTION("""COMPUTED_VALUE"""),"HOMEPAGE")</f>
        <v>HOMEPAGE</v>
      </c>
      <c r="E152" s="11" t="str">
        <f>IFERROR(__xludf.DUMMYFUNCTION("""COMPUTED_VALUE"""),"CORPORATE")</f>
        <v>CORPORATE</v>
      </c>
      <c r="F152" s="11" t="str">
        <f>IFERROR(__xludf.DUMMYFUNCTION("""COMPUTED_VALUE"""),"Homepage")</f>
        <v>Homepage</v>
      </c>
      <c r="G152" s="11" t="b">
        <f>IFERROR(__xludf.DUMMYFUNCTION("""COMPUTED_VALUE"""),FALSE)</f>
        <v>0</v>
      </c>
      <c r="H152" s="11" t="str">
        <f>IFERROR(__xludf.DUMMYFUNCTION("""COMPUTED_VALUE"""),"Pilot")</f>
        <v>Pilot</v>
      </c>
      <c r="I152" s="11">
        <f>IFERROR(__xludf.DUMMYFUNCTION("""COMPUTED_VALUE"""),1.0)</f>
        <v>1</v>
      </c>
      <c r="J152" s="11">
        <f>IFERROR(__xludf.DUMMYFUNCTION("""COMPUTED_VALUE"""),0.0)</f>
        <v>0</v>
      </c>
      <c r="K152" s="11">
        <f>IFERROR(__xludf.DUMMYFUNCTION("""COMPUTED_VALUE"""),0.0)</f>
        <v>0</v>
      </c>
    </row>
    <row r="153" ht="15.75" customHeight="1">
      <c r="A153" s="8" t="str">
        <f>IFERROR(__xludf.DUMMYFUNCTION("""COMPUTED_VALUE"""),"https://videofactory.agency/")</f>
        <v>https://videofactory.agency/</v>
      </c>
      <c r="B153" s="11" t="str">
        <f>IFERROR(__xludf.DUMMYFUNCTION("""COMPUTED_VALUE"""),"Video Factory - Infrastructure to scale ads")</f>
        <v>Video Factory - Infrastructure to scale ads</v>
      </c>
      <c r="C153" s="11" t="str">
        <f>IFERROR(__xludf.DUMMYFUNCTION("""COMPUTED_VALUE"""),"videofactory.agency")</f>
        <v>videofactory.agency</v>
      </c>
      <c r="D153" s="11" t="str">
        <f>IFERROR(__xludf.DUMMYFUNCTION("""COMPUTED_VALUE"""),"HOMEPAGE")</f>
        <v>HOMEPAGE</v>
      </c>
      <c r="E153" s="11" t="str">
        <f>IFERROR(__xludf.DUMMYFUNCTION("""COMPUTED_VALUE"""),"CORPORATE")</f>
        <v>CORPORATE</v>
      </c>
      <c r="F153" s="11" t="str">
        <f>IFERROR(__xludf.DUMMYFUNCTION("""COMPUTED_VALUE"""),"Homepage")</f>
        <v>Homepage</v>
      </c>
      <c r="G153" s="11" t="b">
        <f>IFERROR(__xludf.DUMMYFUNCTION("""COMPUTED_VALUE"""),FALSE)</f>
        <v>0</v>
      </c>
      <c r="H153" s="11"/>
      <c r="I153" s="11">
        <f>IFERROR(__xludf.DUMMYFUNCTION("""COMPUTED_VALUE"""),1.0)</f>
        <v>1</v>
      </c>
      <c r="J153" s="11">
        <f>IFERROR(__xludf.DUMMYFUNCTION("""COMPUTED_VALUE"""),0.0)</f>
        <v>0</v>
      </c>
      <c r="K153" s="11">
        <f>IFERROR(__xludf.DUMMYFUNCTION("""COMPUTED_VALUE"""),0.0)</f>
        <v>0</v>
      </c>
    </row>
    <row r="154" ht="15.75" customHeight="1">
      <c r="A154" s="8" t="str">
        <f>IFERROR(__xludf.DUMMYFUNCTION("""COMPUTED_VALUE"""),"https://weareaudiences.com/")</f>
        <v>https://weareaudiences.com/</v>
      </c>
      <c r="B154" s="11" t="str">
        <f>IFERROR(__xludf.DUMMYFUNCTION("""COMPUTED_VALUE"""),"AUDIENCES | In-Cloud Signal Distribution for First-Party Data")</f>
        <v>AUDIENCES | In-Cloud Signal Distribution for First-Party Data</v>
      </c>
      <c r="C154" s="8" t="str">
        <f>IFERROR(__xludf.DUMMYFUNCTION("""COMPUTED_VALUE"""),"weareaudiences.com")</f>
        <v>weareaudiences.com</v>
      </c>
      <c r="D154" s="11" t="str">
        <f>IFERROR(__xludf.DUMMYFUNCTION("""COMPUTED_VALUE"""),"HOMEPAGE")</f>
        <v>HOMEPAGE</v>
      </c>
      <c r="E154" s="11" t="str">
        <f>IFERROR(__xludf.DUMMYFUNCTION("""COMPUTED_VALUE"""),"CORPORATE")</f>
        <v>CORPORATE</v>
      </c>
      <c r="F154" s="11" t="str">
        <f>IFERROR(__xludf.DUMMYFUNCTION("""COMPUTED_VALUE"""),"Homepage")</f>
        <v>Homepage</v>
      </c>
      <c r="G154" s="11" t="b">
        <f>IFERROR(__xludf.DUMMYFUNCTION("""COMPUTED_VALUE"""),FALSE)</f>
        <v>0</v>
      </c>
      <c r="H154" s="11"/>
      <c r="I154" s="11">
        <f>IFERROR(__xludf.DUMMYFUNCTION("""COMPUTED_VALUE"""),1.0)</f>
        <v>1</v>
      </c>
      <c r="J154" s="11">
        <f>IFERROR(__xludf.DUMMYFUNCTION("""COMPUTED_VALUE"""),0.0)</f>
        <v>0</v>
      </c>
      <c r="K154" s="11">
        <f>IFERROR(__xludf.DUMMYFUNCTION("""COMPUTED_VALUE"""),1.0)</f>
        <v>1</v>
      </c>
    </row>
    <row r="155" ht="15.75" customHeight="1">
      <c r="A155" s="8" t="str">
        <f>IFERROR(__xludf.DUMMYFUNCTION("""COMPUTED_VALUE"""),"https://westlakepartners.de/")</f>
        <v>https://westlakepartners.de/</v>
      </c>
      <c r="B155" s="11"/>
      <c r="C155" s="8" t="str">
        <f>IFERROR(__xludf.DUMMYFUNCTION("""COMPUTED_VALUE"""),"westlakepartners.de")</f>
        <v>westlakepartners.de</v>
      </c>
      <c r="D155" s="11" t="str">
        <f>IFERROR(__xludf.DUMMYFUNCTION("""COMPUTED_VALUE"""),"HOMEPAGE")</f>
        <v>HOMEPAGE</v>
      </c>
      <c r="E155" s="11" t="str">
        <f>IFERROR(__xludf.DUMMYFUNCTION("""COMPUTED_VALUE"""),"CORPORATE")</f>
        <v>CORPORATE</v>
      </c>
      <c r="F155" s="11" t="str">
        <f>IFERROR(__xludf.DUMMYFUNCTION("""COMPUTED_VALUE"""),"Homepage")</f>
        <v>Homepage</v>
      </c>
      <c r="G155" s="11"/>
      <c r="H155" s="11" t="str">
        <f>IFERROR(__xludf.DUMMYFUNCTION("""COMPUTED_VALUE"""),"Unknown")</f>
        <v>Unknown</v>
      </c>
      <c r="I155" s="11">
        <f>IFERROR(__xludf.DUMMYFUNCTION("""COMPUTED_VALUE"""),1.0)</f>
        <v>1</v>
      </c>
      <c r="J155" s="11">
        <f>IFERROR(__xludf.DUMMYFUNCTION("""COMPUTED_VALUE"""),0.0)</f>
        <v>0</v>
      </c>
      <c r="K155" s="11">
        <f>IFERROR(__xludf.DUMMYFUNCTION("""COMPUTED_VALUE"""),0.0)</f>
        <v>0</v>
      </c>
    </row>
    <row r="156" ht="15.75" customHeight="1">
      <c r="A156" s="8" t="str">
        <f>IFERROR(__xludf.DUMMYFUNCTION("""COMPUTED_VALUE"""),"https://www.xn--wie-findet-man-die-beste-agentur-fr-ki-suche-oue.de/")</f>
        <v>https://www.xn--wie-findet-man-die-beste-agentur-fr-ki-suche-oue.de/</v>
      </c>
      <c r="B156" s="11" t="str">
        <f>IFERROR(__xludf.DUMMYFUNCTION("""COMPUTED_VALUE"""),"Die 10 besten GEO-Agenturen 2026 – Beste GEO-Agentur finden | Checkliste &amp;amp; Ranking")</f>
        <v>Die 10 besten GEO-Agenturen 2026 – Beste GEO-Agentur finden | Checkliste &amp;amp; Ranking</v>
      </c>
      <c r="C156" s="8" t="str">
        <f>IFERROR(__xludf.DUMMYFUNCTION("""COMPUTED_VALUE"""),"xn--wie-findet-man-die-beste-agentur-fr-ki-suche-oue.de")</f>
        <v>xn--wie-findet-man-die-beste-agentur-fr-ki-suche-oue.de</v>
      </c>
      <c r="D156" s="11" t="str">
        <f>IFERROR(__xludf.DUMMYFUNCTION("""COMPUTED_VALUE"""),"HOMEPAGE")</f>
        <v>HOMEPAGE</v>
      </c>
      <c r="E156" s="11" t="str">
        <f>IFERROR(__xludf.DUMMYFUNCTION("""COMPUTED_VALUE"""),"EDITORIAL")</f>
        <v>EDITORIAL</v>
      </c>
      <c r="F156" s="11" t="str">
        <f>IFERROR(__xludf.DUMMYFUNCTION("""COMPUTED_VALUE"""),"Homepage")</f>
        <v>Homepage</v>
      </c>
      <c r="G156" s="11" t="b">
        <f>IFERROR(__xludf.DUMMYFUNCTION("""COMPUTED_VALUE"""),FALSE)</f>
        <v>0</v>
      </c>
      <c r="H156" s="11"/>
      <c r="I156" s="11">
        <f>IFERROR(__xludf.DUMMYFUNCTION("""COMPUTED_VALUE"""),1.0)</f>
        <v>1</v>
      </c>
      <c r="J156" s="11">
        <f>IFERROR(__xludf.DUMMYFUNCTION("""COMPUTED_VALUE"""),0.0)</f>
        <v>0</v>
      </c>
      <c r="K156" s="11">
        <f>IFERROR(__xludf.DUMMYFUNCTION("""COMPUTED_VALUE"""),0.0)</f>
        <v>0</v>
      </c>
    </row>
    <row r="157" ht="15.75" customHeight="1">
      <c r="A157" s="8" t="str">
        <f>IFERROR(__xludf.DUMMYFUNCTION("""COMPUTED_VALUE"""),"https://www.workmagic.io/")</f>
        <v>https://www.workmagic.io/</v>
      </c>
      <c r="B157" s="11" t="str">
        <f>IFERROR(__xludf.DUMMYFUNCTION("""COMPUTED_VALUE"""),"WorkMagic | Growth by Science")</f>
        <v>WorkMagic | Growth by Science</v>
      </c>
      <c r="C157" s="8" t="str">
        <f>IFERROR(__xludf.DUMMYFUNCTION("""COMPUTED_VALUE"""),"workmagic.io")</f>
        <v>workmagic.io</v>
      </c>
      <c r="D157" s="11" t="str">
        <f>IFERROR(__xludf.DUMMYFUNCTION("""COMPUTED_VALUE"""),"HOMEPAGE")</f>
        <v>HOMEPAGE</v>
      </c>
      <c r="E157" s="11" t="str">
        <f>IFERROR(__xludf.DUMMYFUNCTION("""COMPUTED_VALUE"""),"CORPORATE")</f>
        <v>CORPORATE</v>
      </c>
      <c r="F157" s="11" t="str">
        <f>IFERROR(__xludf.DUMMYFUNCTION("""COMPUTED_VALUE"""),"Homepage")</f>
        <v>Homepage</v>
      </c>
      <c r="G157" s="11" t="b">
        <f>IFERROR(__xludf.DUMMYFUNCTION("""COMPUTED_VALUE"""),FALSE)</f>
        <v>0</v>
      </c>
      <c r="H157" s="11" t="str">
        <f>IFERROR(__xludf.DUMMYFUNCTION("""COMPUTED_VALUE"""),"Measured")</f>
        <v>Measured</v>
      </c>
      <c r="I157" s="11">
        <f>IFERROR(__xludf.DUMMYFUNCTION("""COMPUTED_VALUE"""),1.0)</f>
        <v>1</v>
      </c>
      <c r="J157" s="11">
        <f>IFERROR(__xludf.DUMMYFUNCTION("""COMPUTED_VALUE"""),0.0)</f>
        <v>0</v>
      </c>
      <c r="K157" s="11">
        <f>IFERROR(__xludf.DUMMYFUNCTION("""COMPUTED_VALUE"""),0.0)</f>
        <v>0</v>
      </c>
    </row>
    <row r="158" ht="15.75" customHeight="1">
      <c r="A158" s="8" t="str">
        <f>IFERROR(__xludf.DUMMYFUNCTION("""COMPUTED_VALUE"""),"https://www.xmanmobi.com/")</f>
        <v>https://www.xmanmobi.com/</v>
      </c>
      <c r="B158" s="11" t="str">
        <f>IFERROR(__xludf.DUMMYFUNCTION("""COMPUTED_VALUE"""),"XMAN - Scale Your Revenue with AI-Driven Media Buying | Premium Agency")</f>
        <v>XMAN - Scale Your Revenue with AI-Driven Media Buying | Premium Agency</v>
      </c>
      <c r="C158" s="8" t="str">
        <f>IFERROR(__xludf.DUMMYFUNCTION("""COMPUTED_VALUE"""),"xmanmobi.com")</f>
        <v>xmanmobi.com</v>
      </c>
      <c r="D158" s="11" t="str">
        <f>IFERROR(__xludf.DUMMYFUNCTION("""COMPUTED_VALUE"""),"HOMEPAGE")</f>
        <v>HOMEPAGE</v>
      </c>
      <c r="E158" s="11" t="str">
        <f>IFERROR(__xludf.DUMMYFUNCTION("""COMPUTED_VALUE"""),"CORPORATE")</f>
        <v>CORPORATE</v>
      </c>
      <c r="F158" s="11" t="str">
        <f>IFERROR(__xludf.DUMMYFUNCTION("""COMPUTED_VALUE"""),"Homepage")</f>
        <v>Homepage</v>
      </c>
      <c r="G158" s="11" t="b">
        <f>IFERROR(__xludf.DUMMYFUNCTION("""COMPUTED_VALUE"""),FALSE)</f>
        <v>0</v>
      </c>
      <c r="H158" s="11"/>
      <c r="I158" s="11">
        <f>IFERROR(__xludf.DUMMYFUNCTION("""COMPUTED_VALUE"""),1.0)</f>
        <v>1</v>
      </c>
      <c r="J158" s="11">
        <f>IFERROR(__xludf.DUMMYFUNCTION("""COMPUTED_VALUE"""),0.0)</f>
        <v>0</v>
      </c>
      <c r="K158" s="11">
        <f>IFERROR(__xludf.DUMMYFUNCTION("""COMPUTED_VALUE"""),0.0)</f>
        <v>0</v>
      </c>
    </row>
    <row r="159" ht="15.75" customHeight="1">
      <c r="A159" s="8" t="str">
        <f>IFERROR(__xludf.DUMMYFUNCTION("""COMPUTED_VALUE"""),"https://www.zweidigital.de/")</f>
        <v>https://www.zweidigital.de/</v>
      </c>
      <c r="B159" s="11" t="str">
        <f>IFERROR(__xludf.DUMMYFUNCTION("""COMPUTED_VALUE"""),"ZweiDigital | Social Ads Performance Marketing Agentur")</f>
        <v>ZweiDigital | Social Ads Performance Marketing Agentur</v>
      </c>
      <c r="C159" s="8" t="str">
        <f>IFERROR(__xludf.DUMMYFUNCTION("""COMPUTED_VALUE"""),"zweidigital.de")</f>
        <v>zweidigital.de</v>
      </c>
      <c r="D159" s="11" t="str">
        <f>IFERROR(__xludf.DUMMYFUNCTION("""COMPUTED_VALUE"""),"HOMEPAGE")</f>
        <v>HOMEPAGE</v>
      </c>
      <c r="E159" s="11" t="str">
        <f>IFERROR(__xludf.DUMMYFUNCTION("""COMPUTED_VALUE"""),"COMPETITOR")</f>
        <v>COMPETITOR</v>
      </c>
      <c r="F159" s="11" t="str">
        <f>IFERROR(__xludf.DUMMYFUNCTION("""COMPUTED_VALUE"""),"Homepage")</f>
        <v>Homepage</v>
      </c>
      <c r="G159" s="11" t="b">
        <f>IFERROR(__xludf.DUMMYFUNCTION("""COMPUTED_VALUE"""),FALSE)</f>
        <v>0</v>
      </c>
      <c r="H159" s="11"/>
      <c r="I159" s="11">
        <f>IFERROR(__xludf.DUMMYFUNCTION("""COMPUTED_VALUE"""),1.0)</f>
        <v>1</v>
      </c>
      <c r="J159" s="11">
        <f>IFERROR(__xludf.DUMMYFUNCTION("""COMPUTED_VALUE"""),0.0)</f>
        <v>0</v>
      </c>
      <c r="K159" s="11">
        <f>IFERROR(__xludf.DUMMYFUNCTION("""COMPUTED_VALUE"""),0.0)</f>
        <v>0</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A21"/>
    <hyperlink r:id="rId38" ref="C21"/>
    <hyperlink r:id="rId39" ref="A22"/>
    <hyperlink r:id="rId40" ref="A23"/>
    <hyperlink r:id="rId41" ref="C23"/>
    <hyperlink r:id="rId42" ref="A24"/>
    <hyperlink r:id="rId43" ref="C24"/>
    <hyperlink r:id="rId44" ref="A25"/>
    <hyperlink r:id="rId45" ref="C25"/>
    <hyperlink r:id="rId46" ref="A26"/>
    <hyperlink r:id="rId47" ref="C26"/>
    <hyperlink r:id="rId48" ref="A27"/>
    <hyperlink r:id="rId49" ref="C27"/>
    <hyperlink r:id="rId50" ref="A28"/>
    <hyperlink r:id="rId51" ref="C28"/>
    <hyperlink r:id="rId52" ref="A29"/>
    <hyperlink r:id="rId53" ref="C29"/>
    <hyperlink r:id="rId54" ref="A30"/>
    <hyperlink r:id="rId55" ref="C30"/>
    <hyperlink r:id="rId56" ref="A31"/>
    <hyperlink r:id="rId57" ref="C31"/>
    <hyperlink r:id="rId58" location=":~:text=Our%20holistically%20minded%20team%20not,most%20sustainable%20long%2Dterm%20success."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 r:id="rId86" ref="A46"/>
    <hyperlink r:id="rId87" ref="C46"/>
    <hyperlink r:id="rId88" ref="A47"/>
    <hyperlink r:id="rId89" ref="C47"/>
    <hyperlink r:id="rId90" ref="A48"/>
    <hyperlink r:id="rId91" ref="C48"/>
    <hyperlink r:id="rId92" ref="A49"/>
    <hyperlink r:id="rId93" ref="C49"/>
    <hyperlink r:id="rId94" location=":~:text=TRKKN%20ist%20einer%20der%20f%C3%BChrenden,und%20Data%20%26%20Tech%20Strategy%20hinweg."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C59"/>
    <hyperlink r:id="rId114" ref="A60"/>
    <hyperlink r:id="rId115" ref="C60"/>
    <hyperlink r:id="rId116" ref="A61"/>
    <hyperlink r:id="rId117" ref="C61"/>
    <hyperlink r:id="rId118" ref="A62"/>
    <hyperlink r:id="rId119" ref="C62"/>
    <hyperlink r:id="rId120" ref="A63"/>
    <hyperlink r:id="rId121" ref="C63"/>
    <hyperlink r:id="rId122" ref="A64"/>
    <hyperlink r:id="rId123" ref="C64"/>
    <hyperlink r:id="rId124" ref="A65"/>
    <hyperlink r:id="rId125" ref="C65"/>
    <hyperlink r:id="rId126" ref="A66"/>
    <hyperlink r:id="rId127" ref="C66"/>
    <hyperlink r:id="rId128" ref="A67"/>
    <hyperlink r:id="rId129" ref="C67"/>
    <hyperlink r:id="rId130" ref="A68"/>
    <hyperlink r:id="rId131" ref="C68"/>
    <hyperlink r:id="rId132" ref="A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 r:id="rId165" ref="A86"/>
    <hyperlink r:id="rId166" ref="C86"/>
    <hyperlink r:id="rId167" ref="A87"/>
    <hyperlink r:id="rId168" ref="C87"/>
    <hyperlink r:id="rId169" ref="A88"/>
    <hyperlink r:id="rId170" ref="C88"/>
    <hyperlink r:id="rId171" ref="A89"/>
    <hyperlink r:id="rId172" ref="C89"/>
    <hyperlink r:id="rId173" ref="A90"/>
    <hyperlink r:id="rId174" ref="C90"/>
    <hyperlink r:id="rId175" ref="A91"/>
    <hyperlink r:id="rId176" ref="C91"/>
    <hyperlink r:id="rId177" location=":~:text=Measurable%20Success-,in%20Marketing,for%20real%20Agentic%20performance%20marketing." ref="A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A100"/>
    <hyperlink r:id="rId192" ref="C100"/>
    <hyperlink r:id="rId193" ref="A101"/>
    <hyperlink r:id="rId194" ref="C101"/>
    <hyperlink r:id="rId195" ref="A102"/>
    <hyperlink r:id="rId196" ref="C102"/>
    <hyperlink r:id="rId197" ref="A103"/>
    <hyperlink r:id="rId198" ref="C103"/>
    <hyperlink r:id="rId199" ref="A104"/>
    <hyperlink r:id="rId200" ref="C104"/>
    <hyperlink r:id="rId201" ref="A105"/>
    <hyperlink r:id="rId202" ref="C105"/>
    <hyperlink r:id="rId203" ref="A106"/>
    <hyperlink r:id="rId204" ref="C106"/>
    <hyperlink r:id="rId205" ref="A107"/>
    <hyperlink r:id="rId206" ref="C107"/>
    <hyperlink r:id="rId207" ref="A108"/>
    <hyperlink r:id="rId208" ref="C108"/>
    <hyperlink r:id="rId209" ref="A109"/>
    <hyperlink r:id="rId210" ref="C109"/>
    <hyperlink r:id="rId211" ref="A110"/>
    <hyperlink r:id="rId212" ref="C110"/>
    <hyperlink r:id="rId213" ref="A111"/>
    <hyperlink r:id="rId214" ref="C111"/>
    <hyperlink r:id="rId215" ref="A112"/>
    <hyperlink r:id="rId216" ref="C112"/>
    <hyperlink r:id="rId217" ref="A113"/>
    <hyperlink r:id="rId218" ref="C113"/>
    <hyperlink r:id="rId219" ref="A114"/>
    <hyperlink r:id="rId220" ref="C114"/>
    <hyperlink r:id="rId221" ref="A115"/>
    <hyperlink r:id="rId222" ref="C115"/>
    <hyperlink r:id="rId223" ref="A116"/>
    <hyperlink r:id="rId224" ref="C116"/>
    <hyperlink r:id="rId225" ref="A117"/>
    <hyperlink r:id="rId226" ref="C117"/>
    <hyperlink r:id="rId227" ref="A118"/>
    <hyperlink r:id="rId228" ref="C118"/>
    <hyperlink r:id="rId229" ref="A119"/>
    <hyperlink r:id="rId230" ref="C119"/>
    <hyperlink r:id="rId231" ref="A120"/>
    <hyperlink r:id="rId232" ref="C120"/>
    <hyperlink r:id="rId233" ref="A121"/>
    <hyperlink r:id="rId234" ref="C121"/>
    <hyperlink r:id="rId235" ref="A122"/>
    <hyperlink r:id="rId236" ref="C122"/>
    <hyperlink r:id="rId237" ref="A123"/>
    <hyperlink r:id="rId238" ref="C123"/>
    <hyperlink r:id="rId239" ref="A124"/>
    <hyperlink r:id="rId240" ref="C124"/>
    <hyperlink r:id="rId241" ref="A125"/>
    <hyperlink r:id="rId242" ref="C125"/>
    <hyperlink r:id="rId243" ref="A126"/>
    <hyperlink r:id="rId244" ref="C126"/>
    <hyperlink r:id="rId245" ref="A127"/>
    <hyperlink r:id="rId246" ref="C127"/>
    <hyperlink r:id="rId247" ref="A128"/>
    <hyperlink r:id="rId248" ref="C128"/>
    <hyperlink r:id="rId249" ref="A129"/>
    <hyperlink r:id="rId250" ref="C129"/>
    <hyperlink r:id="rId251" ref="A130"/>
    <hyperlink r:id="rId252" ref="C130"/>
    <hyperlink r:id="rId253" ref="A131"/>
    <hyperlink r:id="rId254" ref="C131"/>
    <hyperlink r:id="rId255" ref="A132"/>
    <hyperlink r:id="rId256" ref="C132"/>
    <hyperlink r:id="rId257" ref="A133"/>
    <hyperlink r:id="rId258" ref="C133"/>
    <hyperlink r:id="rId259" ref="A134"/>
    <hyperlink r:id="rId260" ref="C134"/>
    <hyperlink r:id="rId261" ref="A135"/>
    <hyperlink r:id="rId262" ref="C135"/>
    <hyperlink r:id="rId263" ref="A136"/>
    <hyperlink r:id="rId264" ref="C136"/>
    <hyperlink r:id="rId265" ref="A137"/>
    <hyperlink r:id="rId266" ref="C137"/>
    <hyperlink r:id="rId267" ref="A138"/>
    <hyperlink r:id="rId268" ref="C138"/>
    <hyperlink r:id="rId269" ref="A139"/>
    <hyperlink r:id="rId270" ref="C139"/>
    <hyperlink r:id="rId271" ref="A140"/>
    <hyperlink r:id="rId272" ref="C140"/>
    <hyperlink r:id="rId273" ref="A141"/>
    <hyperlink r:id="rId274" ref="A142"/>
    <hyperlink r:id="rId275" ref="C142"/>
    <hyperlink r:id="rId276" ref="A143"/>
    <hyperlink r:id="rId277" ref="C143"/>
    <hyperlink r:id="rId278" ref="A144"/>
    <hyperlink r:id="rId279" ref="C144"/>
    <hyperlink r:id="rId280" ref="A145"/>
    <hyperlink r:id="rId281" ref="A146"/>
    <hyperlink r:id="rId282" ref="C146"/>
    <hyperlink r:id="rId283" ref="A147"/>
    <hyperlink r:id="rId284" ref="C147"/>
    <hyperlink r:id="rId285" ref="A148"/>
    <hyperlink r:id="rId286" ref="C148"/>
    <hyperlink r:id="rId287" ref="A149"/>
    <hyperlink r:id="rId288" ref="C149"/>
    <hyperlink r:id="rId289" ref="A150"/>
    <hyperlink r:id="rId290" ref="A151"/>
    <hyperlink r:id="rId291" ref="C151"/>
    <hyperlink r:id="rId292" ref="A152"/>
    <hyperlink r:id="rId293" ref="C152"/>
    <hyperlink r:id="rId294" ref="A153"/>
    <hyperlink r:id="rId295" ref="A154"/>
    <hyperlink r:id="rId296" ref="C154"/>
    <hyperlink r:id="rId297" ref="A155"/>
    <hyperlink r:id="rId298" ref="C155"/>
    <hyperlink r:id="rId299" ref="A156"/>
    <hyperlink r:id="rId300" ref="C156"/>
    <hyperlink r:id="rId301" ref="A157"/>
    <hyperlink r:id="rId302" ref="C157"/>
    <hyperlink r:id="rId303" ref="A158"/>
    <hyperlink r:id="rId304" ref="C158"/>
    <hyperlink r:id="rId305" ref="A159"/>
    <hyperlink r:id="rId306" ref="C159"/>
  </hyperlinks>
  <drawing r:id="rId30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All'!D2:D1000)))=""HOW_TO_GUIDE""
  ),
  """"
)"),"https://www.sortlist.de/s/bezahlte-media/deutschland-de")</f>
        <v>https://www.sortlist.de/s/bezahlte-media/deutschland-de</v>
      </c>
      <c r="B2" s="11" t="str">
        <f>IFERROR(__xludf.DUMMYFUNCTION("""COMPUTED_VALUE"""),"Unsere 10 Besten Bezahlte Media Agenturen in Deutschland - 2026 Bewertungen")</f>
        <v>Unsere 10 Besten Bezahlte Media Agenturen in Deutschland - 2026 Bewertungen</v>
      </c>
      <c r="C2" s="8" t="str">
        <f>IFERROR(__xludf.DUMMYFUNCTION("""COMPUTED_VALUE"""),"sortlist.de")</f>
        <v>sortlist.de</v>
      </c>
      <c r="D2" s="11" t="str">
        <f>IFERROR(__xludf.DUMMYFUNCTION("""COMPUTED_VALUE"""),"HOW_TO_GUIDE")</f>
        <v>HOW_TO_GUIDE</v>
      </c>
      <c r="E2" s="11" t="str">
        <f>IFERROR(__xludf.DUMMYFUNCTION("""COMPUTED_VALUE"""),"CORPORATE")</f>
        <v>CORPORATE</v>
      </c>
      <c r="F2" s="11" t="str">
        <f>IFERROR(__xludf.DUMMYFUNCTION("""COMPUTED_VALUE"""),"How-To Guide")</f>
        <v>How-To Guide</v>
      </c>
      <c r="G2" s="11" t="b">
        <f>IFERROR(__xludf.DUMMYFUNCTION("""COMPUTED_VALUE"""),FALSE)</f>
        <v>0</v>
      </c>
      <c r="H2" s="11" t="str">
        <f>IFERROR(__xludf.DUMMYFUNCTION("""COMPUTED_VALUE"""),"lehof, MONSOON, KlickPiloten, Mediacharge")</f>
        <v>lehof, MONSOON, KlickPiloten, Mediacharge</v>
      </c>
      <c r="I2" s="11">
        <f>IFERROR(__xludf.DUMMYFUNCTION("""COMPUTED_VALUE"""),24.0)</f>
        <v>24</v>
      </c>
      <c r="J2" s="11">
        <f>IFERROR(__xludf.DUMMYFUNCTION("""COMPUTED_VALUE"""),0.02)</f>
        <v>0.02</v>
      </c>
      <c r="K2" s="11">
        <f>IFERROR(__xludf.DUMMYFUNCTION("""COMPUTED_VALUE"""),3.75)</f>
        <v>3.75</v>
      </c>
    </row>
    <row r="3" ht="15.75" customHeight="1">
      <c r="A3" s="8" t="str">
        <f>IFERROR(__xludf.DUMMYFUNCTION("""COMPUTED_VALUE"""),"https://promoguy.nl/blog/2026/02/12/incrementality-testing-for-marketing-promotion/")</f>
        <v>https://promoguy.nl/blog/2026/02/12/incrementality-testing-for-marketing-promotion/</v>
      </c>
      <c r="B3" s="11" t="str">
        <f>IFERROR(__xludf.DUMMYFUNCTION("""COMPUTED_VALUE"""),"Incrementality Testing For Marketing &amp;amp; Promotion - Promoguy Digital Marketing Agency")</f>
        <v>Incrementality Testing For Marketing &amp;amp; Promotion - Promoguy Digital Marketing Agency</v>
      </c>
      <c r="C3" s="8" t="str">
        <f>IFERROR(__xludf.DUMMYFUNCTION("""COMPUTED_VALUE"""),"promoguy.nl")</f>
        <v>promoguy.nl</v>
      </c>
      <c r="D3" s="11" t="str">
        <f>IFERROR(__xludf.DUMMYFUNCTION("""COMPUTED_VALUE"""),"HOW_TO_GUIDE")</f>
        <v>HOW_TO_GUIDE</v>
      </c>
      <c r="E3" s="11" t="str">
        <f>IFERROR(__xludf.DUMMYFUNCTION("""COMPUTED_VALUE"""),"CORPORATE")</f>
        <v>CORPORATE</v>
      </c>
      <c r="F3" s="11" t="str">
        <f>IFERROR(__xludf.DUMMYFUNCTION("""COMPUTED_VALUE"""),"How-To Guide")</f>
        <v>How-To Guide</v>
      </c>
      <c r="G3" s="11" t="b">
        <f>IFERROR(__xludf.DUMMYFUNCTION("""COMPUTED_VALUE"""),FALSE)</f>
        <v>0</v>
      </c>
      <c r="H3" s="11" t="str">
        <f>IFERROR(__xludf.DUMMYFUNCTION("""COMPUTED_VALUE"""),"LifeSight, Haus, Measured")</f>
        <v>LifeSight, Haus, Measured</v>
      </c>
      <c r="I3" s="11">
        <f>IFERROR(__xludf.DUMMYFUNCTION("""COMPUTED_VALUE"""),9.0)</f>
        <v>9</v>
      </c>
      <c r="J3" s="11">
        <f>IFERROR(__xludf.DUMMYFUNCTION("""COMPUTED_VALUE"""),0.01)</f>
        <v>0.01</v>
      </c>
      <c r="K3" s="11">
        <f>IFERROR(__xludf.DUMMYFUNCTION("""COMPUTED_VALUE"""),0.89)</f>
        <v>0.89</v>
      </c>
    </row>
    <row r="4" ht="15.75" customHeight="1">
      <c r="A4" s="8" t="str">
        <f>IFERROR(__xludf.DUMMYFUNCTION("""COMPUTED_VALUE"""),"https://aio.com.ai/blog/13498-best-seo-company-in-germany-ai-optimized-aio-guide")</f>
        <v>https://aio.com.ai/blog/13498-best-seo-company-in-germany-ai-optimized-aio-guide</v>
      </c>
      <c r="B4" s="11" t="str">
        <f>IFERROR(__xludf.DUMMYFUNCTION("""COMPUTED_VALUE"""),"Best SEO Company In Germany: A Visionary AI-Driven Guide To Unified AIO Optimization \| Semalt AI Blog")</f>
        <v>Best SEO Company In Germany: A Visionary AI-Driven Guide To Unified AIO Optimization \| Semalt AI Blog</v>
      </c>
      <c r="C4" s="8" t="str">
        <f>IFERROR(__xludf.DUMMYFUNCTION("""COMPUTED_VALUE"""),"aio.com.ai")</f>
        <v>aio.com.ai</v>
      </c>
      <c r="D4" s="11" t="str">
        <f>IFERROR(__xludf.DUMMYFUNCTION("""COMPUTED_VALUE"""),"HOW_TO_GUIDE")</f>
        <v>HOW_TO_GUIDE</v>
      </c>
      <c r="E4" s="11" t="str">
        <f>IFERROR(__xludf.DUMMYFUNCTION("""COMPUTED_VALUE"""),"CORPORATE")</f>
        <v>CORPORATE</v>
      </c>
      <c r="F4" s="11" t="str">
        <f>IFERROR(__xludf.DUMMYFUNCTION("""COMPUTED_VALUE"""),"How-To Guide")</f>
        <v>How-To Guide</v>
      </c>
      <c r="G4" s="11" t="b">
        <f>IFERROR(__xludf.DUMMYFUNCTION("""COMPUTED_VALUE"""),FALSE)</f>
        <v>0</v>
      </c>
      <c r="H4" s="11" t="str">
        <f>IFERROR(__xludf.DUMMYFUNCTION("""COMPUTED_VALUE"""),"Measured, Pilot")</f>
        <v>Measured, Pilot</v>
      </c>
      <c r="I4" s="11">
        <f>IFERROR(__xludf.DUMMYFUNCTION("""COMPUTED_VALUE"""),6.0)</f>
        <v>6</v>
      </c>
      <c r="J4" s="11">
        <f>IFERROR(__xludf.DUMMYFUNCTION("""COMPUTED_VALUE"""),0.01)</f>
        <v>0.01</v>
      </c>
      <c r="K4" s="11">
        <f>IFERROR(__xludf.DUMMYFUNCTION("""COMPUTED_VALUE"""),0.0)</f>
        <v>0</v>
      </c>
    </row>
    <row r="5" ht="15.75" customHeight="1">
      <c r="A5" s="8" t="str">
        <f>IFERROR(__xludf.DUMMYFUNCTION("""COMPUTED_VALUE"""),"https://gemprogrammers.com/best-digital-marketing-agency-germany/")</f>
        <v>https://gemprogrammers.com/best-digital-marketing-agency-germany/</v>
      </c>
      <c r="B5" s="11" t="str">
        <f>IFERROR(__xludf.DUMMYFUNCTION("""COMPUTED_VALUE"""),"Best Digital Marketing Agency Germany 2026: Right Fit Guide")</f>
        <v>Best Digital Marketing Agency Germany 2026: Right Fit Guide</v>
      </c>
      <c r="C5" s="8" t="str">
        <f>IFERROR(__xludf.DUMMYFUNCTION("""COMPUTED_VALUE"""),"gemprogrammers.com")</f>
        <v>gemprogrammers.com</v>
      </c>
      <c r="D5" s="11" t="str">
        <f>IFERROR(__xludf.DUMMYFUNCTION("""COMPUTED_VALUE"""),"HOW_TO_GUIDE")</f>
        <v>HOW_TO_GUIDE</v>
      </c>
      <c r="E5" s="11" t="str">
        <f>IFERROR(__xludf.DUMMYFUNCTION("""COMPUTED_VALUE"""),"CORPORATE")</f>
        <v>CORPORATE</v>
      </c>
      <c r="F5" s="11" t="str">
        <f>IFERROR(__xludf.DUMMYFUNCTION("""COMPUTED_VALUE"""),"How-To Guide")</f>
        <v>How-To Guide</v>
      </c>
      <c r="G5" s="11" t="b">
        <f>IFERROR(__xludf.DUMMYFUNCTION("""COMPUTED_VALUE"""),FALSE)</f>
        <v>0</v>
      </c>
      <c r="H5" s="11" t="str">
        <f>IFERROR(__xludf.DUMMYFUNCTION("""COMPUTED_VALUE"""),"WPP, Omnicom, Dentsu")</f>
        <v>WPP, Omnicom, Dentsu</v>
      </c>
      <c r="I5" s="11">
        <f>IFERROR(__xludf.DUMMYFUNCTION("""COMPUTED_VALUE"""),5.0)</f>
        <v>5</v>
      </c>
      <c r="J5" s="11">
        <f>IFERROR(__xludf.DUMMYFUNCTION("""COMPUTED_VALUE"""),0.01)</f>
        <v>0.01</v>
      </c>
      <c r="K5" s="11">
        <f>IFERROR(__xludf.DUMMYFUNCTION("""COMPUTED_VALUE"""),1.0)</f>
        <v>1</v>
      </c>
    </row>
    <row r="6" ht="15.75" customHeight="1">
      <c r="A6" s="8" t="str">
        <f>IFERROR(__xludf.DUMMYFUNCTION("""COMPUTED_VALUE"""),"https://www.youtube.com/watch?v=yqAWlB2swWU")</f>
        <v>https://www.youtube.com/watch?v=yqAWlB2swWU</v>
      </c>
      <c r="B6" s="11" t="str">
        <f>IFERROR(__xludf.DUMMYFUNCTION("""COMPUTED_VALUE"""),"AI SEO Guide 2026: In ChatGPT gefunden werden (GEO, AEO, LLMO)")</f>
        <v>AI SEO Guide 2026: In ChatGPT gefunden werden (GEO, AEO, LLMO)</v>
      </c>
      <c r="C6" s="8" t="str">
        <f>IFERROR(__xludf.DUMMYFUNCTION("""COMPUTED_VALUE"""),"youtube.com")</f>
        <v>youtube.com</v>
      </c>
      <c r="D6" s="11" t="str">
        <f>IFERROR(__xludf.DUMMYFUNCTION("""COMPUTED_VALUE"""),"HOW_TO_GUIDE")</f>
        <v>HOW_TO_GUIDE</v>
      </c>
      <c r="E6" s="11" t="str">
        <f>IFERROR(__xludf.DUMMYFUNCTION("""COMPUTED_VALUE"""),"UGC")</f>
        <v>UGC</v>
      </c>
      <c r="F6" s="11" t="str">
        <f>IFERROR(__xludf.DUMMYFUNCTION("""COMPUTED_VALUE"""),"How-To Guide")</f>
        <v>How-To Guide</v>
      </c>
      <c r="G6" s="11" t="b">
        <f>IFERROR(__xludf.DUMMYFUNCTION("""COMPUTED_VALUE"""),FALSE)</f>
        <v>0</v>
      </c>
      <c r="H6" s="11"/>
      <c r="I6" s="11">
        <f>IFERROR(__xludf.DUMMYFUNCTION("""COMPUTED_VALUE"""),5.0)</f>
        <v>5</v>
      </c>
      <c r="J6" s="11">
        <f>IFERROR(__xludf.DUMMYFUNCTION("""COMPUTED_VALUE"""),0.01)</f>
        <v>0.01</v>
      </c>
      <c r="K6" s="11">
        <f>IFERROR(__xludf.DUMMYFUNCTION("""COMPUTED_VALUE"""),1.0)</f>
        <v>1</v>
      </c>
    </row>
    <row r="7" ht="15.75" customHeight="1">
      <c r="A7" s="8" t="str">
        <f>IFERROR(__xludf.DUMMYFUNCTION("""COMPUTED_VALUE"""),"https://sellforte.com/support/sellforte-experiments-geo-lift")</f>
        <v>https://sellforte.com/support/sellforte-experiments-geo-lift</v>
      </c>
      <c r="B7" s="11" t="str">
        <f>IFERROR(__xludf.DUMMYFUNCTION("""COMPUTED_VALUE"""),"Sellforte Experiments: Geo Lift")</f>
        <v>Sellforte Experiments: Geo Lift</v>
      </c>
      <c r="C7" s="8" t="str">
        <f>IFERROR(__xludf.DUMMYFUNCTION("""COMPUTED_VALUE"""),"sellforte.com")</f>
        <v>sellforte.com</v>
      </c>
      <c r="D7" s="11" t="str">
        <f>IFERROR(__xludf.DUMMYFUNCTION("""COMPUTED_VALUE"""),"HOW_TO_GUIDE")</f>
        <v>HOW_TO_GUIDE</v>
      </c>
      <c r="E7" s="11" t="str">
        <f>IFERROR(__xludf.DUMMYFUNCTION("""COMPUTED_VALUE"""),"COMPETITOR")</f>
        <v>COMPETITOR</v>
      </c>
      <c r="F7" s="11" t="str">
        <f>IFERROR(__xludf.DUMMYFUNCTION("""COMPUTED_VALUE"""),"How-To Guide")</f>
        <v>How-To Guide</v>
      </c>
      <c r="G7" s="11" t="b">
        <f>IFERROR(__xludf.DUMMYFUNCTION("""COMPUTED_VALUE"""),FALSE)</f>
        <v>0</v>
      </c>
      <c r="H7" s="11" t="str">
        <f>IFERROR(__xludf.DUMMYFUNCTION("""COMPUTED_VALUE"""),"Sellforte")</f>
        <v>Sellforte</v>
      </c>
      <c r="I7" s="11">
        <f>IFERROR(__xludf.DUMMYFUNCTION("""COMPUTED_VALUE"""),3.0)</f>
        <v>3</v>
      </c>
      <c r="J7" s="11">
        <f>IFERROR(__xludf.DUMMYFUNCTION("""COMPUTED_VALUE"""),0.0)</f>
        <v>0</v>
      </c>
      <c r="K7" s="11">
        <f>IFERROR(__xludf.DUMMYFUNCTION("""COMPUTED_VALUE"""),0.67)</f>
        <v>0.67</v>
      </c>
    </row>
    <row r="8" ht="15.75" customHeight="1">
      <c r="A8" s="8" t="str">
        <f>IFERROR(__xludf.DUMMYFUNCTION("""COMPUTED_VALUE"""),"https://business.google.com/uk/think/measurement/incrementality-testing/")</f>
        <v>https://business.google.com/uk/think/measurement/incrementality-testing/</v>
      </c>
      <c r="B8" s="11" t="str">
        <f>IFERROR(__xludf.DUMMYFUNCTION("""COMPUTED_VALUE"""),"Use incrementality testing for effective marketing measurement")</f>
        <v>Use incrementality testing for effective marketing measurement</v>
      </c>
      <c r="C8" s="8" t="str">
        <f>IFERROR(__xludf.DUMMYFUNCTION("""COMPUTED_VALUE"""),"google.com")</f>
        <v>google.com</v>
      </c>
      <c r="D8" s="11" t="str">
        <f>IFERROR(__xludf.DUMMYFUNCTION("""COMPUTED_VALUE"""),"HOW_TO_GUIDE")</f>
        <v>HOW_TO_GUIDE</v>
      </c>
      <c r="E8" s="11" t="str">
        <f>IFERROR(__xludf.DUMMYFUNCTION("""COMPUTED_VALUE"""),"OTHER")</f>
        <v>OTHER</v>
      </c>
      <c r="F8" s="11" t="str">
        <f>IFERROR(__xludf.DUMMYFUNCTION("""COMPUTED_VALUE"""),"How-To Guide")</f>
        <v>How-To Guide</v>
      </c>
      <c r="G8" s="11" t="b">
        <f>IFERROR(__xludf.DUMMYFUNCTION("""COMPUTED_VALUE"""),FALSE)</f>
        <v>0</v>
      </c>
      <c r="H8" s="11"/>
      <c r="I8" s="11">
        <f>IFERROR(__xludf.DUMMYFUNCTION("""COMPUTED_VALUE"""),2.0)</f>
        <v>2</v>
      </c>
      <c r="J8" s="11">
        <f>IFERROR(__xludf.DUMMYFUNCTION("""COMPUTED_VALUE"""),0.0)</f>
        <v>0</v>
      </c>
      <c r="K8" s="11">
        <f>IFERROR(__xludf.DUMMYFUNCTION("""COMPUTED_VALUE"""),0.5)</f>
        <v>0.5</v>
      </c>
    </row>
    <row r="9" ht="15.75" customHeight="1">
      <c r="A9" s="8" t="str">
        <f>IFERROR(__xludf.DUMMYFUNCTION("""COMPUTED_VALUE"""),"https://www.bvdw.org/rankings/internetagentur-ranking-2025/")</f>
        <v>https://www.bvdw.org/rankings/internetagentur-ranking-2025/</v>
      </c>
      <c r="B9" s="11" t="str">
        <f>IFERROR(__xludf.DUMMYFUNCTION("""COMPUTED_VALUE"""),"Die größten, besten und kreativsten Digital-Agenturen - Bundesverband Digitale Wirtschaft (BVDW) e.V.")</f>
        <v>Die größten, besten und kreativsten Digital-Agenturen - Bundesverband Digitale Wirtschaft (BVDW) e.V.</v>
      </c>
      <c r="C9" s="8" t="str">
        <f>IFERROR(__xludf.DUMMYFUNCTION("""COMPUTED_VALUE"""),"bvdw.org")</f>
        <v>bvdw.org</v>
      </c>
      <c r="D9" s="11" t="str">
        <f>IFERROR(__xludf.DUMMYFUNCTION("""COMPUTED_VALUE"""),"HOW_TO_GUIDE")</f>
        <v>HOW_TO_GUIDE</v>
      </c>
      <c r="E9" s="11" t="str">
        <f>IFERROR(__xludf.DUMMYFUNCTION("""COMPUTED_VALUE"""),"INSTITUTIONAL")</f>
        <v>INSTITUTIONAL</v>
      </c>
      <c r="F9" s="11" t="str">
        <f>IFERROR(__xludf.DUMMYFUNCTION("""COMPUTED_VALUE"""),"How-To Guide")</f>
        <v>How-To Guide</v>
      </c>
      <c r="G9" s="11" t="b">
        <f>IFERROR(__xludf.DUMMYFUNCTION("""COMPUTED_VALUE"""),FALSE)</f>
        <v>0</v>
      </c>
      <c r="H9" s="11" t="str">
        <f>IFERROR(__xludf.DUMMYFUNCTION("""COMPUTED_VALUE"""),"Merkle, Pilot, DREIKON, PANORAMA3000")</f>
        <v>Merkle, Pilot, DREIKON, PANORAMA3000</v>
      </c>
      <c r="I9" s="11">
        <f>IFERROR(__xludf.DUMMYFUNCTION("""COMPUTED_VALUE"""),2.0)</f>
        <v>2</v>
      </c>
      <c r="J9" s="11">
        <f>IFERROR(__xludf.DUMMYFUNCTION("""COMPUTED_VALUE"""),0.0)</f>
        <v>0</v>
      </c>
      <c r="K9" s="11">
        <f>IFERROR(__xludf.DUMMYFUNCTION("""COMPUTED_VALUE"""),1.0)</f>
        <v>1</v>
      </c>
    </row>
    <row r="10" ht="15.75" customHeight="1">
      <c r="A10" s="8" t="str">
        <f>IFERROR(__xludf.DUMMYFUNCTION("""COMPUTED_VALUE"""),"https://www.consult.tv/measuring-what-matters-a-c-suite-guide-to-incrementality-testing-in-programmatic-advertising/")</f>
        <v>https://www.consult.tv/measuring-what-matters-a-c-suite-guide-to-incrementality-testing-in-programmatic-advertising/</v>
      </c>
      <c r="B10" s="11" t="str">
        <f>IFERROR(__xludf.DUMMYFUNCTION("""COMPUTED_VALUE"""),"Measuring What Matters: A C-Suite Guide to Incrementality Testing in Programmatic Advertising")</f>
        <v>Measuring What Matters: A C-Suite Guide to Incrementality Testing in Programmatic Advertising</v>
      </c>
      <c r="C10" s="8" t="str">
        <f>IFERROR(__xludf.DUMMYFUNCTION("""COMPUTED_VALUE"""),"consult.tv")</f>
        <v>consult.tv</v>
      </c>
      <c r="D10" s="11" t="str">
        <f>IFERROR(__xludf.DUMMYFUNCTION("""COMPUTED_VALUE"""),"HOW_TO_GUIDE")</f>
        <v>HOW_TO_GUIDE</v>
      </c>
      <c r="E10" s="11" t="str">
        <f>IFERROR(__xludf.DUMMYFUNCTION("""COMPUTED_VALUE"""),"CORPORATE")</f>
        <v>CORPORATE</v>
      </c>
      <c r="F10" s="11" t="str">
        <f>IFERROR(__xludf.DUMMYFUNCTION("""COMPUTED_VALUE"""),"How-To Guide")</f>
        <v>How-To Guide</v>
      </c>
      <c r="G10" s="11" t="b">
        <f>IFERROR(__xludf.DUMMYFUNCTION("""COMPUTED_VALUE"""),FALSE)</f>
        <v>0</v>
      </c>
      <c r="H10" s="11" t="str">
        <f>IFERROR(__xludf.DUMMYFUNCTION("""COMPUTED_VALUE"""),"Measured")</f>
        <v>Measured</v>
      </c>
      <c r="I10" s="11">
        <f>IFERROR(__xludf.DUMMYFUNCTION("""COMPUTED_VALUE"""),2.0)</f>
        <v>2</v>
      </c>
      <c r="J10" s="11">
        <f>IFERROR(__xludf.DUMMYFUNCTION("""COMPUTED_VALUE"""),0.0)</f>
        <v>0</v>
      </c>
      <c r="K10" s="11">
        <f>IFERROR(__xludf.DUMMYFUNCTION("""COMPUTED_VALUE"""),1.0)</f>
        <v>1</v>
      </c>
    </row>
    <row r="11" ht="15.75" customHeight="1">
      <c r="A11" s="8" t="str">
        <f>IFERROR(__xludf.DUMMYFUNCTION("""COMPUTED_VALUE"""),"https://www.fieldtrip.agency/post/overcoming-creative-production-challenges-for-large-brand")</f>
        <v>https://www.fieldtrip.agency/post/overcoming-creative-production-challenges-for-large-brand</v>
      </c>
      <c r="B11" s="11" t="str">
        <f>IFERROR(__xludf.DUMMYFUNCTION("""COMPUTED_VALUE"""),"Overcoming Challenges in Creative Production for Large-Scale Brands")</f>
        <v>Overcoming Challenges in Creative Production for Large-Scale Brands</v>
      </c>
      <c r="C11" s="11" t="str">
        <f>IFERROR(__xludf.DUMMYFUNCTION("""COMPUTED_VALUE"""),"fieldtrip.agency")</f>
        <v>fieldtrip.agency</v>
      </c>
      <c r="D11" s="11" t="str">
        <f>IFERROR(__xludf.DUMMYFUNCTION("""COMPUTED_VALUE"""),"HOW_TO_GUIDE")</f>
        <v>HOW_TO_GUIDE</v>
      </c>
      <c r="E11" s="11" t="str">
        <f>IFERROR(__xludf.DUMMYFUNCTION("""COMPUTED_VALUE"""),"CORPORATE")</f>
        <v>CORPORATE</v>
      </c>
      <c r="F11" s="11" t="str">
        <f>IFERROR(__xludf.DUMMYFUNCTION("""COMPUTED_VALUE"""),"How-To Guide")</f>
        <v>How-To Guide</v>
      </c>
      <c r="G11" s="11" t="b">
        <f>IFERROR(__xludf.DUMMYFUNCTION("""COMPUTED_VALUE"""),FALSE)</f>
        <v>0</v>
      </c>
      <c r="H11" s="11" t="str">
        <f>IFERROR(__xludf.DUMMYFUNCTION("""COMPUTED_VALUE"""),"inBeat, Momentum")</f>
        <v>inBeat, Momentum</v>
      </c>
      <c r="I11" s="11">
        <f>IFERROR(__xludf.DUMMYFUNCTION("""COMPUTED_VALUE"""),2.0)</f>
        <v>2</v>
      </c>
      <c r="J11" s="11">
        <f>IFERROR(__xludf.DUMMYFUNCTION("""COMPUTED_VALUE"""),0.0)</f>
        <v>0</v>
      </c>
      <c r="K11" s="11">
        <f>IFERROR(__xludf.DUMMYFUNCTION("""COMPUTED_VALUE"""),0.5)</f>
        <v>0.5</v>
      </c>
    </row>
    <row r="12" ht="15.75" customHeight="1">
      <c r="A12" s="8" t="str">
        <f>IFERROR(__xludf.DUMMYFUNCTION("""COMPUTED_VALUE"""),"https://partnerundsoehne.de/en/magazine/inkrementelle-attribution/")</f>
        <v>https://partnerundsoehne.de/en/magazine/inkrementelle-attribution/</v>
      </c>
      <c r="B12" s="11" t="str">
        <f>IFERROR(__xludf.DUMMYFUNCTION("""COMPUTED_VALUE"""),"Incremental attribution: How to measure the true impact of meta ads")</f>
        <v>Incremental attribution: How to measure the true impact of meta ads</v>
      </c>
      <c r="C12" s="8" t="str">
        <f>IFERROR(__xludf.DUMMYFUNCTION("""COMPUTED_VALUE"""),"partnerundsoehne.de")</f>
        <v>partnerundsoehne.de</v>
      </c>
      <c r="D12" s="11" t="str">
        <f>IFERROR(__xludf.DUMMYFUNCTION("""COMPUTED_VALUE"""),"HOW_TO_GUIDE")</f>
        <v>HOW_TO_GUIDE</v>
      </c>
      <c r="E12" s="11" t="str">
        <f>IFERROR(__xludf.DUMMYFUNCTION("""COMPUTED_VALUE"""),"CORPORATE")</f>
        <v>CORPORATE</v>
      </c>
      <c r="F12" s="11" t="str">
        <f>IFERROR(__xludf.DUMMYFUNCTION("""COMPUTED_VALUE"""),"How-To Guide")</f>
        <v>How-To Guide</v>
      </c>
      <c r="G12" s="11" t="b">
        <f>IFERROR(__xludf.DUMMYFUNCTION("""COMPUTED_VALUE"""),FALSE)</f>
        <v>0</v>
      </c>
      <c r="H12" s="11" t="str">
        <f>IFERROR(__xludf.DUMMYFUNCTION("""COMPUTED_VALUE"""),"Momentum, Triple Whale, Measured")</f>
        <v>Momentum, Triple Whale, Measured</v>
      </c>
      <c r="I12" s="11">
        <f>IFERROR(__xludf.DUMMYFUNCTION("""COMPUTED_VALUE"""),2.0)</f>
        <v>2</v>
      </c>
      <c r="J12" s="11">
        <f>IFERROR(__xludf.DUMMYFUNCTION("""COMPUTED_VALUE"""),0.0)</f>
        <v>0</v>
      </c>
      <c r="K12" s="11">
        <f>IFERROR(__xludf.DUMMYFUNCTION("""COMPUTED_VALUE"""),1.0)</f>
        <v>1</v>
      </c>
    </row>
    <row r="13" ht="15.75" customHeight="1">
      <c r="A13" s="8" t="str">
        <f>IFERROR(__xludf.DUMMYFUNCTION("""COMPUTED_VALUE"""),"https://www.sortlist.com/i/s/growth-marketing/germany-de")</f>
        <v>https://www.sortlist.com/i/s/growth-marketing/germany-de</v>
      </c>
      <c r="B13" s="11" t="str">
        <f>IFERROR(__xludf.DUMMYFUNCTION("""COMPUTED_VALUE"""),"The 10 Best Growth Marketing Agencies in Germany - 2026 Reviews")</f>
        <v>The 10 Best Growth Marketing Agencies in Germany - 2026 Reviews</v>
      </c>
      <c r="C13" s="8" t="str">
        <f>IFERROR(__xludf.DUMMYFUNCTION("""COMPUTED_VALUE"""),"sortlist.com")</f>
        <v>sortlist.com</v>
      </c>
      <c r="D13" s="11" t="str">
        <f>IFERROR(__xludf.DUMMYFUNCTION("""COMPUTED_VALUE"""),"HOW_TO_GUIDE")</f>
        <v>HOW_TO_GUIDE</v>
      </c>
      <c r="E13" s="11" t="str">
        <f>IFERROR(__xludf.DUMMYFUNCTION("""COMPUTED_VALUE"""),"CORPORATE")</f>
        <v>CORPORATE</v>
      </c>
      <c r="F13" s="11" t="str">
        <f>IFERROR(__xludf.DUMMYFUNCTION("""COMPUTED_VALUE"""),"How-To Guide")</f>
        <v>How-To Guide</v>
      </c>
      <c r="G13" s="11" t="b">
        <f>IFERROR(__xludf.DUMMYFUNCTION("""COMPUTED_VALUE"""),FALSE)</f>
        <v>0</v>
      </c>
      <c r="H13" s="11" t="str">
        <f>IFERROR(__xludf.DUMMYFUNCTION("""COMPUTED_VALUE"""),"Triple Whale, Northbeam, Dreamdata, MONSOON, Measured")</f>
        <v>Triple Whale, Northbeam, Dreamdata, MONSOON, Measured</v>
      </c>
      <c r="I13" s="11">
        <f>IFERROR(__xludf.DUMMYFUNCTION("""COMPUTED_VALUE"""),2.0)</f>
        <v>2</v>
      </c>
      <c r="J13" s="11">
        <f>IFERROR(__xludf.DUMMYFUNCTION("""COMPUTED_VALUE"""),0.0)</f>
        <v>0</v>
      </c>
      <c r="K13" s="11">
        <f>IFERROR(__xludf.DUMMYFUNCTION("""COMPUTED_VALUE"""),1.0)</f>
        <v>1</v>
      </c>
    </row>
    <row r="14" ht="15.75" customHeight="1">
      <c r="A14" s="8" t="str">
        <f>IFERROR(__xludf.DUMMYFUNCTION("""COMPUTED_VALUE"""),"https://www.stellaheystella.com/blog/how-to-integrate-geo-testing-into-your-marketing-strategy-a-step-by-step-guide")</f>
        <v>https://www.stellaheystella.com/blog/how-to-integrate-geo-testing-into-your-marketing-strategy-a-step-by-step-guide</v>
      </c>
      <c r="B14" s="11" t="str">
        <f>IFERROR(__xludf.DUMMYFUNCTION("""COMPUTED_VALUE"""),"Geo-Testing in Marketing: How to Measure True Incrementality (2026 Guide) | Stella")</f>
        <v>Geo-Testing in Marketing: How to Measure True Incrementality (2026 Guide) | Stella</v>
      </c>
      <c r="C14" s="8" t="str">
        <f>IFERROR(__xludf.DUMMYFUNCTION("""COMPUTED_VALUE"""),"stellaheystella.com")</f>
        <v>stellaheystella.com</v>
      </c>
      <c r="D14" s="11" t="str">
        <f>IFERROR(__xludf.DUMMYFUNCTION("""COMPUTED_VALUE"""),"HOW_TO_GUIDE")</f>
        <v>HOW_TO_GUIDE</v>
      </c>
      <c r="E14" s="11" t="str">
        <f>IFERROR(__xludf.DUMMYFUNCTION("""COMPUTED_VALUE"""),"CORPORATE")</f>
        <v>CORPORATE</v>
      </c>
      <c r="F14" s="11" t="str">
        <f>IFERROR(__xludf.DUMMYFUNCTION("""COMPUTED_VALUE"""),"How-To Guide")</f>
        <v>How-To Guide</v>
      </c>
      <c r="G14" s="11" t="b">
        <f>IFERROR(__xludf.DUMMYFUNCTION("""COMPUTED_VALUE"""),FALSE)</f>
        <v>0</v>
      </c>
      <c r="H14" s="11" t="str">
        <f>IFERROR(__xludf.DUMMYFUNCTION("""COMPUTED_VALUE"""),"Dentsu, LifeSight, BCG")</f>
        <v>Dentsu, LifeSight, BCG</v>
      </c>
      <c r="I14" s="11">
        <f>IFERROR(__xludf.DUMMYFUNCTION("""COMPUTED_VALUE"""),2.0)</f>
        <v>2</v>
      </c>
      <c r="J14" s="11">
        <f>IFERROR(__xludf.DUMMYFUNCTION("""COMPUTED_VALUE"""),0.0)</f>
        <v>0</v>
      </c>
      <c r="K14" s="11">
        <f>IFERROR(__xludf.DUMMYFUNCTION("""COMPUTED_VALUE"""),1.0)</f>
        <v>1</v>
      </c>
    </row>
    <row r="15" ht="15.75" customHeight="1">
      <c r="A15" s="8" t="str">
        <f>IFERROR(__xludf.DUMMYFUNCTION("""COMPUTED_VALUE"""),"https://upmore.com/blog/who-are-google-partners-how-to-become-a-google-certified-partner")</f>
        <v>https://upmore.com/blog/who-are-google-partners-how-to-become-a-google-certified-partner</v>
      </c>
      <c r="B15" s="11" t="str">
        <f>IFERROR(__xludf.DUMMYFUNCTION("""COMPUTED_VALUE"""),"Who are Google partners? How to become a Google Certified Partner? - Up&amp;amp;More ®")</f>
        <v>Who are Google partners? How to become a Google Certified Partner? - Up&amp;amp;More ®</v>
      </c>
      <c r="C15" s="8" t="str">
        <f>IFERROR(__xludf.DUMMYFUNCTION("""COMPUTED_VALUE"""),"upmore.com")</f>
        <v>upmore.com</v>
      </c>
      <c r="D15" s="11" t="str">
        <f>IFERROR(__xludf.DUMMYFUNCTION("""COMPUTED_VALUE"""),"HOW_TO_GUIDE")</f>
        <v>HOW_TO_GUIDE</v>
      </c>
      <c r="E15" s="11" t="str">
        <f>IFERROR(__xludf.DUMMYFUNCTION("""COMPUTED_VALUE"""),"CORPORATE")</f>
        <v>CORPORATE</v>
      </c>
      <c r="F15" s="11" t="str">
        <f>IFERROR(__xludf.DUMMYFUNCTION("""COMPUTED_VALUE"""),"How-To Guide")</f>
        <v>How-To Guide</v>
      </c>
      <c r="G15" s="11" t="b">
        <f>IFERROR(__xludf.DUMMYFUNCTION("""COMPUTED_VALUE"""),FALSE)</f>
        <v>0</v>
      </c>
      <c r="H15" s="11"/>
      <c r="I15" s="11">
        <f>IFERROR(__xludf.DUMMYFUNCTION("""COMPUTED_VALUE"""),2.0)</f>
        <v>2</v>
      </c>
      <c r="J15" s="11">
        <f>IFERROR(__xludf.DUMMYFUNCTION("""COMPUTED_VALUE"""),0.0)</f>
        <v>0</v>
      </c>
      <c r="K15" s="11">
        <f>IFERROR(__xludf.DUMMYFUNCTION("""COMPUTED_VALUE"""),1.0)</f>
        <v>1</v>
      </c>
    </row>
    <row r="16" ht="15.75" customHeight="1">
      <c r="A16" s="8" t="str">
        <f>IFERROR(__xludf.DUMMYFUNCTION("""COMPUTED_VALUE"""),"https://www.2pointagency.com/glossary/data-activation-and-first-party-data-strategy-a-comprehensive-guide-for-businesses/")</f>
        <v>https://www.2pointagency.com/glossary/data-activation-and-first-party-data-strategy-a-comprehensive-guide-for-businesses/</v>
      </c>
      <c r="B16" s="11" t="str">
        <f>IFERROR(__xludf.DUMMYFUNCTION("""COMPUTED_VALUE"""),"Data Activation and First-Party Data Strategy: A Comprehensive Guide for Businesses - 2POINT Agency - Best Digital Marketing Agency")</f>
        <v>Data Activation and First-Party Data Strategy: A Comprehensive Guide for Businesses - 2POINT Agency - Best Digital Marketing Agency</v>
      </c>
      <c r="C16" s="8" t="str">
        <f>IFERROR(__xludf.DUMMYFUNCTION("""COMPUTED_VALUE"""),"2pointagency.com")</f>
        <v>2pointagency.com</v>
      </c>
      <c r="D16" s="11" t="str">
        <f>IFERROR(__xludf.DUMMYFUNCTION("""COMPUTED_VALUE"""),"HOW_TO_GUIDE")</f>
        <v>HOW_TO_GUIDE</v>
      </c>
      <c r="E16" s="11" t="str">
        <f>IFERROR(__xludf.DUMMYFUNCTION("""COMPUTED_VALUE"""),"CORPORATE")</f>
        <v>CORPORATE</v>
      </c>
      <c r="F16" s="11" t="str">
        <f>IFERROR(__xludf.DUMMYFUNCTION("""COMPUTED_VALUE"""),"How-To Guide")</f>
        <v>How-To Guide</v>
      </c>
      <c r="G16" s="11" t="b">
        <f>IFERROR(__xludf.DUMMYFUNCTION("""COMPUTED_VALUE"""),FALSE)</f>
        <v>0</v>
      </c>
      <c r="H16" s="11"/>
      <c r="I16" s="11">
        <f>IFERROR(__xludf.DUMMYFUNCTION("""COMPUTED_VALUE"""),1.0)</f>
        <v>1</v>
      </c>
      <c r="J16" s="11">
        <f>IFERROR(__xludf.DUMMYFUNCTION("""COMPUTED_VALUE"""),0.0)</f>
        <v>0</v>
      </c>
      <c r="K16" s="11">
        <f>IFERROR(__xludf.DUMMYFUNCTION("""COMPUTED_VALUE"""),0.0)</f>
        <v>0</v>
      </c>
    </row>
    <row r="17" ht="15.75" customHeight="1">
      <c r="A17" s="8" t="str">
        <f>IFERROR(__xludf.DUMMYFUNCTION("""COMPUTED_VALUE"""),"https://adoption.microsoft.com/en-us/ai-readiness-wizard/")</f>
        <v>https://adoption.microsoft.com/en-us/ai-readiness-wizard/</v>
      </c>
      <c r="B17" s="11" t="str">
        <f>IFERROR(__xludf.DUMMYFUNCTION("""COMPUTED_VALUE"""),"AI Readiness Wizard – Microsoft Adoption")</f>
        <v>AI Readiness Wizard – Microsoft Adoption</v>
      </c>
      <c r="C17" s="8" t="str">
        <f>IFERROR(__xludf.DUMMYFUNCTION("""COMPUTED_VALUE"""),"microsoft.com")</f>
        <v>microsoft.com</v>
      </c>
      <c r="D17" s="11" t="str">
        <f>IFERROR(__xludf.DUMMYFUNCTION("""COMPUTED_VALUE"""),"HOW_TO_GUIDE")</f>
        <v>HOW_TO_GUIDE</v>
      </c>
      <c r="E17" s="11" t="str">
        <f>IFERROR(__xludf.DUMMYFUNCTION("""COMPUTED_VALUE"""),"CORPORATE")</f>
        <v>CORPORATE</v>
      </c>
      <c r="F17" s="11" t="str">
        <f>IFERROR(__xludf.DUMMYFUNCTION("""COMPUTED_VALUE"""),"How-To Guide")</f>
        <v>How-To Guide</v>
      </c>
      <c r="G17" s="11" t="b">
        <f>IFERROR(__xludf.DUMMYFUNCTION("""COMPUTED_VALUE"""),FALSE)</f>
        <v>0</v>
      </c>
      <c r="H17" s="11"/>
      <c r="I17" s="11">
        <f>IFERROR(__xludf.DUMMYFUNCTION("""COMPUTED_VALUE"""),1.0)</f>
        <v>1</v>
      </c>
      <c r="J17" s="11">
        <f>IFERROR(__xludf.DUMMYFUNCTION("""COMPUTED_VALUE"""),0.0)</f>
        <v>0</v>
      </c>
      <c r="K17" s="11">
        <f>IFERROR(__xludf.DUMMYFUNCTION("""COMPUTED_VALUE"""),0.0)</f>
        <v>0</v>
      </c>
    </row>
    <row r="18" ht="15.75" customHeight="1">
      <c r="A18" s="8" t="str">
        <f>IFERROR(__xludf.DUMMYFUNCTION("""COMPUTED_VALUE"""),"https://aiadvantageagency.com/first-party-data-strategy/")</f>
        <v>https://aiadvantageagency.com/first-party-data-strategy/</v>
      </c>
      <c r="B18" s="11" t="str">
        <f>IFERROR(__xludf.DUMMYFUNCTION("""COMPUTED_VALUE"""),"First-Party Data Strategy for AI Advertising in 2026")</f>
        <v>First-Party Data Strategy for AI Advertising in 2026</v>
      </c>
      <c r="C18" s="8" t="str">
        <f>IFERROR(__xludf.DUMMYFUNCTION("""COMPUTED_VALUE"""),"aiadvantageagency.com")</f>
        <v>aiadvantageagency.com</v>
      </c>
      <c r="D18" s="11" t="str">
        <f>IFERROR(__xludf.DUMMYFUNCTION("""COMPUTED_VALUE"""),"HOW_TO_GUIDE")</f>
        <v>HOW_TO_GUIDE</v>
      </c>
      <c r="E18" s="11" t="str">
        <f>IFERROR(__xludf.DUMMYFUNCTION("""COMPUTED_VALUE"""),"CORPORATE")</f>
        <v>CORPORATE</v>
      </c>
      <c r="F18" s="11" t="str">
        <f>IFERROR(__xludf.DUMMYFUNCTION("""COMPUTED_VALUE"""),"How-To Guide")</f>
        <v>How-To Guide</v>
      </c>
      <c r="G18" s="11" t="b">
        <f>IFERROR(__xludf.DUMMYFUNCTION("""COMPUTED_VALUE"""),FALSE)</f>
        <v>0</v>
      </c>
      <c r="H18" s="11" t="str">
        <f>IFERROR(__xludf.DUMMYFUNCTION("""COMPUTED_VALUE"""),"Triple Whale, Northbeam")</f>
        <v>Triple Whale, Northbeam</v>
      </c>
      <c r="I18" s="11">
        <f>IFERROR(__xludf.DUMMYFUNCTION("""COMPUTED_VALUE"""),1.0)</f>
        <v>1</v>
      </c>
      <c r="J18" s="11">
        <f>IFERROR(__xludf.DUMMYFUNCTION("""COMPUTED_VALUE"""),0.0)</f>
        <v>0</v>
      </c>
      <c r="K18" s="11">
        <f>IFERROR(__xludf.DUMMYFUNCTION("""COMPUTED_VALUE"""),0.0)</f>
        <v>0</v>
      </c>
    </row>
    <row r="19" ht="15.75" customHeight="1">
      <c r="A19" s="8" t="str">
        <f>IFERROR(__xludf.DUMMYFUNCTION("""COMPUTED_VALUE"""),"https://amplitude.com/explore/experiment/incrementality-testing")</f>
        <v>https://amplitude.com/explore/experiment/incrementality-testing</v>
      </c>
      <c r="B19" s="11" t="str">
        <f>IFERROR(__xludf.DUMMYFUNCTION("""COMPUTED_VALUE"""),"What Is Incrementality Testing for Modern Marketers")</f>
        <v>What Is Incrementality Testing for Modern Marketers</v>
      </c>
      <c r="C19" s="8" t="str">
        <f>IFERROR(__xludf.DUMMYFUNCTION("""COMPUTED_VALUE"""),"amplitude.com")</f>
        <v>amplitude.com</v>
      </c>
      <c r="D19" s="11" t="str">
        <f>IFERROR(__xludf.DUMMYFUNCTION("""COMPUTED_VALUE"""),"HOW_TO_GUIDE")</f>
        <v>HOW_TO_GUIDE</v>
      </c>
      <c r="E19" s="11" t="str">
        <f>IFERROR(__xludf.DUMMYFUNCTION("""COMPUTED_VALUE"""),"CORPORATE")</f>
        <v>CORPORATE</v>
      </c>
      <c r="F19" s="11" t="str">
        <f>IFERROR(__xludf.DUMMYFUNCTION("""COMPUTED_VALUE"""),"How-To Guide")</f>
        <v>How-To Guide</v>
      </c>
      <c r="G19" s="11" t="b">
        <f>IFERROR(__xludf.DUMMYFUNCTION("""COMPUTED_VALUE"""),FALSE)</f>
        <v>0</v>
      </c>
      <c r="H19" s="11"/>
      <c r="I19" s="11">
        <f>IFERROR(__xludf.DUMMYFUNCTION("""COMPUTED_VALUE"""),1.0)</f>
        <v>1</v>
      </c>
      <c r="J19" s="11">
        <f>IFERROR(__xludf.DUMMYFUNCTION("""COMPUTED_VALUE"""),0.0)</f>
        <v>0</v>
      </c>
      <c r="K19" s="11">
        <f>IFERROR(__xludf.DUMMYFUNCTION("""COMPUTED_VALUE"""),1.0)</f>
        <v>1</v>
      </c>
    </row>
    <row r="20" ht="15.75" customHeight="1">
      <c r="A20" s="8" t="str">
        <f>IFERROR(__xludf.DUMMYFUNCTION("""COMPUTED_VALUE"""),"https://www.attnagency.com/blog/first-party-data-activation-cdp-ad-platform-strategy")</f>
        <v>https://www.attnagency.com/blog/first-party-data-activation-cdp-ad-platform-strategy</v>
      </c>
      <c r="B20" s="11" t="str">
        <f>IFERROR(__xludf.DUMMYFUNCTION("""COMPUTED_VALUE"""),"First-Party Data Activation: From CDP to Ad Platform Profitability | ATTN Agency")</f>
        <v>First-Party Data Activation: From CDP to Ad Platform Profitability | ATTN Agency</v>
      </c>
      <c r="C20" s="8" t="str">
        <f>IFERROR(__xludf.DUMMYFUNCTION("""COMPUTED_VALUE"""),"attnagency.com")</f>
        <v>attnagency.com</v>
      </c>
      <c r="D20" s="11" t="str">
        <f>IFERROR(__xludf.DUMMYFUNCTION("""COMPUTED_VALUE"""),"HOW_TO_GUIDE")</f>
        <v>HOW_TO_GUIDE</v>
      </c>
      <c r="E20" s="11" t="str">
        <f>IFERROR(__xludf.DUMMYFUNCTION("""COMPUTED_VALUE"""),"CORPORATE")</f>
        <v>CORPORATE</v>
      </c>
      <c r="F20" s="11" t="str">
        <f>IFERROR(__xludf.DUMMYFUNCTION("""COMPUTED_VALUE"""),"How-To Guide")</f>
        <v>How-To Guide</v>
      </c>
      <c r="G20" s="11" t="b">
        <f>IFERROR(__xludf.DUMMYFUNCTION("""COMPUTED_VALUE"""),FALSE)</f>
        <v>0</v>
      </c>
      <c r="H20" s="11"/>
      <c r="I20" s="11">
        <f>IFERROR(__xludf.DUMMYFUNCTION("""COMPUTED_VALUE"""),1.0)</f>
        <v>1</v>
      </c>
      <c r="J20" s="11">
        <f>IFERROR(__xludf.DUMMYFUNCTION("""COMPUTED_VALUE"""),0.0)</f>
        <v>0</v>
      </c>
      <c r="K20" s="11">
        <f>IFERROR(__xludf.DUMMYFUNCTION("""COMPUTED_VALUE"""),0.0)</f>
        <v>0</v>
      </c>
    </row>
    <row r="21" ht="15.75" customHeight="1">
      <c r="A21" s="8" t="str">
        <f>IFERROR(__xludf.DUMMYFUNCTION("""COMPUTED_VALUE"""),"https://www.avaus.com/blog/how-media-agencies-can-utilize-first-party-data-to-drive-better-results/")</f>
        <v>https://www.avaus.com/blog/how-media-agencies-can-utilize-first-party-data-to-drive-better-results/</v>
      </c>
      <c r="B21" s="11" t="str">
        <f>IFERROR(__xludf.DUMMYFUNCTION("""COMPUTED_VALUE"""),"How media agencies can utilize first-party data to drive better results - Avaus")</f>
        <v>How media agencies can utilize first-party data to drive better results - Avaus</v>
      </c>
      <c r="C21" s="8" t="str">
        <f>IFERROR(__xludf.DUMMYFUNCTION("""COMPUTED_VALUE"""),"avaus.com")</f>
        <v>avaus.com</v>
      </c>
      <c r="D21" s="11" t="str">
        <f>IFERROR(__xludf.DUMMYFUNCTION("""COMPUTED_VALUE"""),"HOW_TO_GUIDE")</f>
        <v>HOW_TO_GUIDE</v>
      </c>
      <c r="E21" s="11" t="str">
        <f>IFERROR(__xludf.DUMMYFUNCTION("""COMPUTED_VALUE"""),"CORPORATE")</f>
        <v>CORPORATE</v>
      </c>
      <c r="F21" s="11" t="str">
        <f>IFERROR(__xludf.DUMMYFUNCTION("""COMPUTED_VALUE"""),"How-To Guide")</f>
        <v>How-To Guide</v>
      </c>
      <c r="G21" s="11" t="b">
        <f>IFERROR(__xludf.DUMMYFUNCTION("""COMPUTED_VALUE"""),FALSE)</f>
        <v>0</v>
      </c>
      <c r="H21" s="11"/>
      <c r="I21" s="11">
        <f>IFERROR(__xludf.DUMMYFUNCTION("""COMPUTED_VALUE"""),1.0)</f>
        <v>1</v>
      </c>
      <c r="J21" s="11">
        <f>IFERROR(__xludf.DUMMYFUNCTION("""COMPUTED_VALUE"""),0.0)</f>
        <v>0</v>
      </c>
      <c r="K21" s="11">
        <f>IFERROR(__xludf.DUMMYFUNCTION("""COMPUTED_VALUE"""),0.0)</f>
        <v>0</v>
      </c>
    </row>
    <row r="22" ht="15.75" customHeight="1">
      <c r="A22" s="8" t="str">
        <f>IFERROR(__xludf.DUMMYFUNCTION("""COMPUTED_VALUE"""),"https://www.back9.co.nz/how-to-find-a-certified-google-partner/")</f>
        <v>https://www.back9.co.nz/how-to-find-a-certified-google-partner/</v>
      </c>
      <c r="B22" s="11" t="str">
        <f>IFERROR(__xludf.DUMMYFUNCTION("""COMPUTED_VALUE"""),"Certified Google Partner: How to find the best one for you - Back9 Digital")</f>
        <v>Certified Google Partner: How to find the best one for you - Back9 Digital</v>
      </c>
      <c r="C22" s="8" t="str">
        <f>IFERROR(__xludf.DUMMYFUNCTION("""COMPUTED_VALUE"""),"back9.co.nz")</f>
        <v>back9.co.nz</v>
      </c>
      <c r="D22" s="11" t="str">
        <f>IFERROR(__xludf.DUMMYFUNCTION("""COMPUTED_VALUE"""),"HOW_TO_GUIDE")</f>
        <v>HOW_TO_GUIDE</v>
      </c>
      <c r="E22" s="11" t="str">
        <f>IFERROR(__xludf.DUMMYFUNCTION("""COMPUTED_VALUE"""),"CORPORATE")</f>
        <v>CORPORATE</v>
      </c>
      <c r="F22" s="11" t="str">
        <f>IFERROR(__xludf.DUMMYFUNCTION("""COMPUTED_VALUE"""),"How-To Guide")</f>
        <v>How-To Guide</v>
      </c>
      <c r="G22" s="11" t="b">
        <f>IFERROR(__xludf.DUMMYFUNCTION("""COMPUTED_VALUE"""),FALSE)</f>
        <v>0</v>
      </c>
      <c r="H22" s="11"/>
      <c r="I22" s="11">
        <f>IFERROR(__xludf.DUMMYFUNCTION("""COMPUTED_VALUE"""),1.0)</f>
        <v>1</v>
      </c>
      <c r="J22" s="11">
        <f>IFERROR(__xludf.DUMMYFUNCTION("""COMPUTED_VALUE"""),0.0)</f>
        <v>0</v>
      </c>
      <c r="K22" s="11">
        <f>IFERROR(__xludf.DUMMYFUNCTION("""COMPUTED_VALUE"""),1.0)</f>
        <v>1</v>
      </c>
    </row>
    <row r="23" ht="15.75" customHeight="1">
      <c r="A23" s="8" t="str">
        <f>IFERROR(__xludf.DUMMYFUNCTION("""COMPUTED_VALUE"""),"https://www.blueduckagency.com/blog/incrementality")</f>
        <v>https://www.blueduckagency.com/blog/incrementality</v>
      </c>
      <c r="B23" s="11" t="str">
        <f>IFERROR(__xludf.DUMMYFUNCTION("""COMPUTED_VALUE"""),"How to Add Incrementality Testing to Your Marketing Campaigns | Blue Duck Agency")</f>
        <v>How to Add Incrementality Testing to Your Marketing Campaigns | Blue Duck Agency</v>
      </c>
      <c r="C23" s="8" t="str">
        <f>IFERROR(__xludf.DUMMYFUNCTION("""COMPUTED_VALUE"""),"blueduckagency.com")</f>
        <v>blueduckagency.com</v>
      </c>
      <c r="D23" s="11" t="str">
        <f>IFERROR(__xludf.DUMMYFUNCTION("""COMPUTED_VALUE"""),"HOW_TO_GUIDE")</f>
        <v>HOW_TO_GUIDE</v>
      </c>
      <c r="E23" s="11" t="str">
        <f>IFERROR(__xludf.DUMMYFUNCTION("""COMPUTED_VALUE"""),"CORPORATE")</f>
        <v>CORPORATE</v>
      </c>
      <c r="F23" s="11" t="str">
        <f>IFERROR(__xludf.DUMMYFUNCTION("""COMPUTED_VALUE"""),"How-To Guide")</f>
        <v>How-To Guide</v>
      </c>
      <c r="G23" s="11" t="b">
        <f>IFERROR(__xludf.DUMMYFUNCTION("""COMPUTED_VALUE"""),FALSE)</f>
        <v>0</v>
      </c>
      <c r="H23" s="11"/>
      <c r="I23" s="11">
        <f>IFERROR(__xludf.DUMMYFUNCTION("""COMPUTED_VALUE"""),1.0)</f>
        <v>1</v>
      </c>
      <c r="J23" s="11">
        <f>IFERROR(__xludf.DUMMYFUNCTION("""COMPUTED_VALUE"""),0.0)</f>
        <v>0</v>
      </c>
      <c r="K23" s="11">
        <f>IFERROR(__xludf.DUMMYFUNCTION("""COMPUTED_VALUE"""),1.0)</f>
        <v>1</v>
      </c>
    </row>
    <row r="24" ht="15.75" customHeight="1">
      <c r="A24" s="8" t="str">
        <f>IFERROR(__xludf.DUMMYFUNCTION("""COMPUTED_VALUE"""),"https://c-n-t-a.com/ai-lead-generation-triple-your-lead-quality-expert-tips/")</f>
        <v>https://c-n-t-a.com/ai-lead-generation-triple-your-lead-quality-expert-tips/</v>
      </c>
      <c r="B24" s="11" t="str">
        <f>IFERROR(__xludf.DUMMYFUNCTION("""COMPUTED_VALUE"""),"AI Lead Generation: Triple Your Lead Quality (Expert Tips) - c-n-t-a.com")</f>
        <v>AI Lead Generation: Triple Your Lead Quality (Expert Tips) - c-n-t-a.com</v>
      </c>
      <c r="C24" s="8" t="str">
        <f>IFERROR(__xludf.DUMMYFUNCTION("""COMPUTED_VALUE"""),"c-n-t-a.com")</f>
        <v>c-n-t-a.com</v>
      </c>
      <c r="D24" s="11" t="str">
        <f>IFERROR(__xludf.DUMMYFUNCTION("""COMPUTED_VALUE"""),"HOW_TO_GUIDE")</f>
        <v>HOW_TO_GUIDE</v>
      </c>
      <c r="E24" s="11" t="str">
        <f>IFERROR(__xludf.DUMMYFUNCTION("""COMPUTED_VALUE"""),"CORPORATE")</f>
        <v>CORPORATE</v>
      </c>
      <c r="F24" s="11" t="str">
        <f>IFERROR(__xludf.DUMMYFUNCTION("""COMPUTED_VALUE"""),"How-To Guide")</f>
        <v>How-To Guide</v>
      </c>
      <c r="G24" s="11" t="b">
        <f>IFERROR(__xludf.DUMMYFUNCTION("""COMPUTED_VALUE"""),FALSE)</f>
        <v>0</v>
      </c>
      <c r="H24" s="11"/>
      <c r="I24" s="11">
        <f>IFERROR(__xludf.DUMMYFUNCTION("""COMPUTED_VALUE"""),1.0)</f>
        <v>1</v>
      </c>
      <c r="J24" s="11">
        <f>IFERROR(__xludf.DUMMYFUNCTION("""COMPUTED_VALUE"""),0.0)</f>
        <v>0</v>
      </c>
      <c r="K24" s="11">
        <f>IFERROR(__xludf.DUMMYFUNCTION("""COMPUTED_VALUE"""),0.0)</f>
        <v>0</v>
      </c>
    </row>
    <row r="25" ht="15.75" customHeight="1">
      <c r="A25" s="8" t="str">
        <f>IFERROR(__xludf.DUMMYFUNCTION("""COMPUTED_VALUE"""),"https://clicksgeek.com/best-digital-marketing-agency-for-roi/")</f>
        <v>https://clicksgeek.com/best-digital-marketing-agency-for-roi/</v>
      </c>
      <c r="B25" s="11" t="str">
        <f>IFERROR(__xludf.DUMMYFUNCTION("""COMPUTED_VALUE"""),"Best Digital Marketing Agency For ROI: 7 Strategies")</f>
        <v>Best Digital Marketing Agency For ROI: 7 Strategies</v>
      </c>
      <c r="C25" s="8" t="str">
        <f>IFERROR(__xludf.DUMMYFUNCTION("""COMPUTED_VALUE"""),"clicksgeek.com")</f>
        <v>clicksgeek.com</v>
      </c>
      <c r="D25" s="11" t="str">
        <f>IFERROR(__xludf.DUMMYFUNCTION("""COMPUTED_VALUE"""),"HOW_TO_GUIDE")</f>
        <v>HOW_TO_GUIDE</v>
      </c>
      <c r="E25" s="11" t="str">
        <f>IFERROR(__xludf.DUMMYFUNCTION("""COMPUTED_VALUE"""),"CORPORATE")</f>
        <v>CORPORATE</v>
      </c>
      <c r="F25" s="11" t="str">
        <f>IFERROR(__xludf.DUMMYFUNCTION("""COMPUTED_VALUE"""),"How-To Guide")</f>
        <v>How-To Guide</v>
      </c>
      <c r="G25" s="11" t="b">
        <f>IFERROR(__xludf.DUMMYFUNCTION("""COMPUTED_VALUE"""),FALSE)</f>
        <v>0</v>
      </c>
      <c r="H25" s="11"/>
      <c r="I25" s="11">
        <f>IFERROR(__xludf.DUMMYFUNCTION("""COMPUTED_VALUE"""),1.0)</f>
        <v>1</v>
      </c>
      <c r="J25" s="11">
        <f>IFERROR(__xludf.DUMMYFUNCTION("""COMPUTED_VALUE"""),0.0)</f>
        <v>0</v>
      </c>
      <c r="K25" s="11">
        <f>IFERROR(__xludf.DUMMYFUNCTION("""COMPUTED_VALUE"""),1.0)</f>
        <v>1</v>
      </c>
    </row>
    <row r="26" ht="15.75" customHeight="1">
      <c r="A26" s="8" t="str">
        <f>IFERROR(__xludf.DUMMYFUNCTION("""COMPUTED_VALUE"""),"https://clicksgeek.com/best-marketing-agency-for-roi/")</f>
        <v>https://clicksgeek.com/best-marketing-agency-for-roi/</v>
      </c>
      <c r="B26" s="11" t="str">
        <f>IFERROR(__xludf.DUMMYFUNCTION("""COMPUTED_VALUE"""),"Best Marketing Agency For ROI: 7 Proven Strategies")</f>
        <v>Best Marketing Agency For ROI: 7 Proven Strategies</v>
      </c>
      <c r="C26" s="8" t="str">
        <f>IFERROR(__xludf.DUMMYFUNCTION("""COMPUTED_VALUE"""),"clicksgeek.com")</f>
        <v>clicksgeek.com</v>
      </c>
      <c r="D26" s="11" t="str">
        <f>IFERROR(__xludf.DUMMYFUNCTION("""COMPUTED_VALUE"""),"HOW_TO_GUIDE")</f>
        <v>HOW_TO_GUIDE</v>
      </c>
      <c r="E26" s="11" t="str">
        <f>IFERROR(__xludf.DUMMYFUNCTION("""COMPUTED_VALUE"""),"CORPORATE")</f>
        <v>CORPORATE</v>
      </c>
      <c r="F26" s="11" t="str">
        <f>IFERROR(__xludf.DUMMYFUNCTION("""COMPUTED_VALUE"""),"How-To Guide")</f>
        <v>How-To Guide</v>
      </c>
      <c r="G26" s="11" t="b">
        <f>IFERROR(__xludf.DUMMYFUNCTION("""COMPUTED_VALUE"""),FALSE)</f>
        <v>0</v>
      </c>
      <c r="H26" s="11"/>
      <c r="I26" s="11">
        <f>IFERROR(__xludf.DUMMYFUNCTION("""COMPUTED_VALUE"""),1.0)</f>
        <v>1</v>
      </c>
      <c r="J26" s="11">
        <f>IFERROR(__xludf.DUMMYFUNCTION("""COMPUTED_VALUE"""),0.0)</f>
        <v>0</v>
      </c>
      <c r="K26" s="11">
        <f>IFERROR(__xludf.DUMMYFUNCTION("""COMPUTED_VALUE"""),0.0)</f>
        <v>0</v>
      </c>
    </row>
    <row r="27" ht="15.75" customHeight="1">
      <c r="A27" s="8" t="str">
        <f>IFERROR(__xludf.DUMMYFUNCTION("""COMPUTED_VALUE"""),"https://www.cometly.com/post/how-to-calculate-marketing-attribution")</f>
        <v>https://www.cometly.com/post/how-to-calculate-marketing-attribution</v>
      </c>
      <c r="B27" s="11" t="str">
        <f>IFERROR(__xludf.DUMMYFUNCTION("""COMPUTED_VALUE"""),"How To Calculate Marketing Attribution: 2026 Guide")</f>
        <v>How To Calculate Marketing Attribution: 2026 Guide</v>
      </c>
      <c r="C27" s="8" t="str">
        <f>IFERROR(__xludf.DUMMYFUNCTION("""COMPUTED_VALUE"""),"cometly.com")</f>
        <v>cometly.com</v>
      </c>
      <c r="D27" s="11" t="str">
        <f>IFERROR(__xludf.DUMMYFUNCTION("""COMPUTED_VALUE"""),"HOW_TO_GUIDE")</f>
        <v>HOW_TO_GUIDE</v>
      </c>
      <c r="E27" s="11" t="str">
        <f>IFERROR(__xludf.DUMMYFUNCTION("""COMPUTED_VALUE"""),"COMPETITOR")</f>
        <v>COMPETITOR</v>
      </c>
      <c r="F27" s="11" t="str">
        <f>IFERROR(__xludf.DUMMYFUNCTION("""COMPUTED_VALUE"""),"How-To Guide")</f>
        <v>How-To Guide</v>
      </c>
      <c r="G27" s="11" t="b">
        <f>IFERROR(__xludf.DUMMYFUNCTION("""COMPUTED_VALUE"""),FALSE)</f>
        <v>0</v>
      </c>
      <c r="H27" s="11" t="str">
        <f>IFERROR(__xludf.DUMMYFUNCTION("""COMPUTED_VALUE"""),"Cometly")</f>
        <v>Cometly</v>
      </c>
      <c r="I27" s="11">
        <f>IFERROR(__xludf.DUMMYFUNCTION("""COMPUTED_VALUE"""),1.0)</f>
        <v>1</v>
      </c>
      <c r="J27" s="11">
        <f>IFERROR(__xludf.DUMMYFUNCTION("""COMPUTED_VALUE"""),0.0)</f>
        <v>0</v>
      </c>
      <c r="K27" s="11">
        <f>IFERROR(__xludf.DUMMYFUNCTION("""COMPUTED_VALUE"""),1.0)</f>
        <v>1</v>
      </c>
    </row>
    <row r="28" ht="15.75" customHeight="1">
      <c r="A28" s="8" t="str">
        <f>IFERROR(__xludf.DUMMYFUNCTION("""COMPUTED_VALUE"""),"https://www.cometly.com/post/incrementality-testing-for-paid-advertising")</f>
        <v>https://www.cometly.com/post/incrementality-testing-for-paid-advertising</v>
      </c>
      <c r="B28" s="11" t="str">
        <f>IFERROR(__xludf.DUMMYFUNCTION("""COMPUTED_VALUE"""),"Incrementality Testing For Paid Advertising Guide 2026")</f>
        <v>Incrementality Testing For Paid Advertising Guide 2026</v>
      </c>
      <c r="C28" s="8" t="str">
        <f>IFERROR(__xludf.DUMMYFUNCTION("""COMPUTED_VALUE"""),"cometly.com")</f>
        <v>cometly.com</v>
      </c>
      <c r="D28" s="11" t="str">
        <f>IFERROR(__xludf.DUMMYFUNCTION("""COMPUTED_VALUE"""),"HOW_TO_GUIDE")</f>
        <v>HOW_TO_GUIDE</v>
      </c>
      <c r="E28" s="11" t="str">
        <f>IFERROR(__xludf.DUMMYFUNCTION("""COMPUTED_VALUE"""),"COMPETITOR")</f>
        <v>COMPETITOR</v>
      </c>
      <c r="F28" s="11" t="str">
        <f>IFERROR(__xludf.DUMMYFUNCTION("""COMPUTED_VALUE"""),"How-To Guide")</f>
        <v>How-To Guide</v>
      </c>
      <c r="G28" s="11" t="b">
        <f>IFERROR(__xludf.DUMMYFUNCTION("""COMPUTED_VALUE"""),FALSE)</f>
        <v>0</v>
      </c>
      <c r="H28" s="11" t="str">
        <f>IFERROR(__xludf.DUMMYFUNCTION("""COMPUTED_VALUE"""),"Cometly")</f>
        <v>Cometly</v>
      </c>
      <c r="I28" s="11">
        <f>IFERROR(__xludf.DUMMYFUNCTION("""COMPUTED_VALUE"""),1.0)</f>
        <v>1</v>
      </c>
      <c r="J28" s="11">
        <f>IFERROR(__xludf.DUMMYFUNCTION("""COMPUTED_VALUE"""),0.0)</f>
        <v>0</v>
      </c>
      <c r="K28" s="11">
        <f>IFERROR(__xludf.DUMMYFUNCTION("""COMPUTED_VALUE"""),1.0)</f>
        <v>1</v>
      </c>
    </row>
    <row r="29" ht="15.75" customHeight="1">
      <c r="A29" s="8" t="str">
        <f>IFERROR(__xludf.DUMMYFUNCTION("""COMPUTED_VALUE"""),"https://www.digitalapplied.com/blog/first-party-data-activation-2026-server-side-tracking-playbook")</f>
        <v>https://www.digitalapplied.com/blog/first-party-data-activation-2026-server-side-tracking-playbook</v>
      </c>
      <c r="B29" s="11" t="str">
        <f>IFERROR(__xludf.DUMMYFUNCTION("""COMPUTED_VALUE"""),"First-Party Data Activation: 2026 Server-Side Playbook")</f>
        <v>First-Party Data Activation: 2026 Server-Side Playbook</v>
      </c>
      <c r="C29" s="8" t="str">
        <f>IFERROR(__xludf.DUMMYFUNCTION("""COMPUTED_VALUE"""),"digitalapplied.com")</f>
        <v>digitalapplied.com</v>
      </c>
      <c r="D29" s="11" t="str">
        <f>IFERROR(__xludf.DUMMYFUNCTION("""COMPUTED_VALUE"""),"HOW_TO_GUIDE")</f>
        <v>HOW_TO_GUIDE</v>
      </c>
      <c r="E29" s="11" t="str">
        <f>IFERROR(__xludf.DUMMYFUNCTION("""COMPUTED_VALUE"""),"CORPORATE")</f>
        <v>CORPORATE</v>
      </c>
      <c r="F29" s="11" t="str">
        <f>IFERROR(__xludf.DUMMYFUNCTION("""COMPUTED_VALUE"""),"How-To Guide")</f>
        <v>How-To Guide</v>
      </c>
      <c r="G29" s="11" t="b">
        <f>IFERROR(__xludf.DUMMYFUNCTION("""COMPUTED_VALUE"""),FALSE)</f>
        <v>0</v>
      </c>
      <c r="H29" s="11" t="str">
        <f>IFERROR(__xludf.DUMMYFUNCTION("""COMPUTED_VALUE"""),"PwC")</f>
        <v>PwC</v>
      </c>
      <c r="I29" s="11">
        <f>IFERROR(__xludf.DUMMYFUNCTION("""COMPUTED_VALUE"""),1.0)</f>
        <v>1</v>
      </c>
      <c r="J29" s="11">
        <f>IFERROR(__xludf.DUMMYFUNCTION("""COMPUTED_VALUE"""),0.0)</f>
        <v>0</v>
      </c>
      <c r="K29" s="11">
        <f>IFERROR(__xludf.DUMMYFUNCTION("""COMPUTED_VALUE"""),1.0)</f>
        <v>1</v>
      </c>
    </row>
    <row r="30" ht="15.75" customHeight="1">
      <c r="A30" s="8" t="str">
        <f>IFERROR(__xludf.DUMMYFUNCTION("""COMPUTED_VALUE"""),"https://www.evergreen.media/en/guide/answer-engine-optimization/")</f>
        <v>https://www.evergreen.media/en/guide/answer-engine-optimization/</v>
      </c>
      <c r="B30" s="11" t="str">
        <f>IFERROR(__xludf.DUMMYFUNCTION("""COMPUTED_VALUE"""),"Answer Engine Optimization (AEO): AI visibility in 2026")</f>
        <v>Answer Engine Optimization (AEO): AI visibility in 2026</v>
      </c>
      <c r="C30" s="11" t="str">
        <f>IFERROR(__xludf.DUMMYFUNCTION("""COMPUTED_VALUE"""),"evergreen.media")</f>
        <v>evergreen.media</v>
      </c>
      <c r="D30" s="11" t="str">
        <f>IFERROR(__xludf.DUMMYFUNCTION("""COMPUTED_VALUE"""),"HOW_TO_GUIDE")</f>
        <v>HOW_TO_GUIDE</v>
      </c>
      <c r="E30" s="11" t="str">
        <f>IFERROR(__xludf.DUMMYFUNCTION("""COMPUTED_VALUE"""),"EDITORIAL")</f>
        <v>EDITORIAL</v>
      </c>
      <c r="F30" s="11" t="str">
        <f>IFERROR(__xludf.DUMMYFUNCTION("""COMPUTED_VALUE"""),"How-To Guide")</f>
        <v>How-To Guide</v>
      </c>
      <c r="G30" s="11" t="b">
        <f>IFERROR(__xludf.DUMMYFUNCTION("""COMPUTED_VALUE"""),FALSE)</f>
        <v>0</v>
      </c>
      <c r="H30" s="11" t="str">
        <f>IFERROR(__xludf.DUMMYFUNCTION("""COMPUTED_VALUE"""),"Measured")</f>
        <v>Measured</v>
      </c>
      <c r="I30" s="11">
        <f>IFERROR(__xludf.DUMMYFUNCTION("""COMPUTED_VALUE"""),1.0)</f>
        <v>1</v>
      </c>
      <c r="J30" s="11">
        <f>IFERROR(__xludf.DUMMYFUNCTION("""COMPUTED_VALUE"""),0.0)</f>
        <v>0</v>
      </c>
      <c r="K30" s="11">
        <f>IFERROR(__xludf.DUMMYFUNCTION("""COMPUTED_VALUE"""),1.0)</f>
        <v>1</v>
      </c>
    </row>
    <row r="31" ht="15.75" customHeight="1">
      <c r="A31" s="8" t="str">
        <f>IFERROR(__xludf.DUMMYFUNCTION("""COMPUTED_VALUE"""),"https://www.get-ryze.ai/blog/how-agencies-scale-ad-creative-production")</f>
        <v>https://www.get-ryze.ai/blog/how-agencies-scale-ad-creative-production</v>
      </c>
      <c r="B31" s="11" t="str">
        <f>IFERROR(__xludf.DUMMYFUNCTION("""COMPUTED_VALUE"""),"How Advertising Agencies Scale Ad Creative Production")</f>
        <v>How Advertising Agencies Scale Ad Creative Production</v>
      </c>
      <c r="C31" s="8" t="str">
        <f>IFERROR(__xludf.DUMMYFUNCTION("""COMPUTED_VALUE"""),"get-ryze.ai")</f>
        <v>get-ryze.ai</v>
      </c>
      <c r="D31" s="11" t="str">
        <f>IFERROR(__xludf.DUMMYFUNCTION("""COMPUTED_VALUE"""),"HOW_TO_GUIDE")</f>
        <v>HOW_TO_GUIDE</v>
      </c>
      <c r="E31" s="11" t="str">
        <f>IFERROR(__xludf.DUMMYFUNCTION("""COMPUTED_VALUE"""),"CORPORATE")</f>
        <v>CORPORATE</v>
      </c>
      <c r="F31" s="11" t="str">
        <f>IFERROR(__xludf.DUMMYFUNCTION("""COMPUTED_VALUE"""),"How-To Guide")</f>
        <v>How-To Guide</v>
      </c>
      <c r="G31" s="11" t="b">
        <f>IFERROR(__xludf.DUMMYFUNCTION("""COMPUTED_VALUE"""),FALSE)</f>
        <v>0</v>
      </c>
      <c r="H31" s="11" t="str">
        <f>IFERROR(__xludf.DUMMYFUNCTION("""COMPUTED_VALUE"""),"Momentum, Triple Whale")</f>
        <v>Momentum, Triple Whale</v>
      </c>
      <c r="I31" s="11">
        <f>IFERROR(__xludf.DUMMYFUNCTION("""COMPUTED_VALUE"""),1.0)</f>
        <v>1</v>
      </c>
      <c r="J31" s="11">
        <f>IFERROR(__xludf.DUMMYFUNCTION("""COMPUTED_VALUE"""),0.0)</f>
        <v>0</v>
      </c>
      <c r="K31" s="11">
        <f>IFERROR(__xludf.DUMMYFUNCTION("""COMPUTED_VALUE"""),0.0)</f>
        <v>0</v>
      </c>
    </row>
    <row r="32" ht="15.75" customHeight="1">
      <c r="A32" s="8" t="str">
        <f>IFERROR(__xludf.DUMMYFUNCTION("""COMPUTED_VALUE"""),"https://www.growth-rocket.com/blog/what-high-performing-agencies-do-differently-with-first-party-data-strategy/")</f>
        <v>https://www.growth-rocket.com/blog/what-high-performing-agencies-do-differently-with-first-party-data-strategy/</v>
      </c>
      <c r="B32" s="11" t="str">
        <f>IFERROR(__xludf.DUMMYFUNCTION("""COMPUTED_VALUE"""),"What High-Performing Agencies Do Differently With First-Party Data Strategy - Growth Rocket")</f>
        <v>What High-Performing Agencies Do Differently With First-Party Data Strategy - Growth Rocket</v>
      </c>
      <c r="C32" s="8" t="str">
        <f>IFERROR(__xludf.DUMMYFUNCTION("""COMPUTED_VALUE"""),"growth-rocket.com")</f>
        <v>growth-rocket.com</v>
      </c>
      <c r="D32" s="11" t="str">
        <f>IFERROR(__xludf.DUMMYFUNCTION("""COMPUTED_VALUE"""),"HOW_TO_GUIDE")</f>
        <v>HOW_TO_GUIDE</v>
      </c>
      <c r="E32" s="11" t="str">
        <f>IFERROR(__xludf.DUMMYFUNCTION("""COMPUTED_VALUE"""),"CORPORATE")</f>
        <v>CORPORATE</v>
      </c>
      <c r="F32" s="11" t="str">
        <f>IFERROR(__xludf.DUMMYFUNCTION("""COMPUTED_VALUE"""),"How-To Guide")</f>
        <v>How-To Guide</v>
      </c>
      <c r="G32" s="11" t="b">
        <f>IFERROR(__xludf.DUMMYFUNCTION("""COMPUTED_VALUE"""),FALSE)</f>
        <v>0</v>
      </c>
      <c r="H32" s="11"/>
      <c r="I32" s="11">
        <f>IFERROR(__xludf.DUMMYFUNCTION("""COMPUTED_VALUE"""),1.0)</f>
        <v>1</v>
      </c>
      <c r="J32" s="11">
        <f>IFERROR(__xludf.DUMMYFUNCTION("""COMPUTED_VALUE"""),0.0)</f>
        <v>0</v>
      </c>
      <c r="K32" s="11">
        <f>IFERROR(__xludf.DUMMYFUNCTION("""COMPUTED_VALUE"""),0.0)</f>
        <v>0</v>
      </c>
    </row>
    <row r="33" ht="15.75" customHeight="1">
      <c r="A33" s="8" t="str">
        <f>IFERROR(__xludf.DUMMYFUNCTION("""COMPUTED_VALUE"""),"https://haus.io/blog/choosing-the-best-incrementality-testing-tool")</f>
        <v>https://haus.io/blog/choosing-the-best-incrementality-testing-tool</v>
      </c>
      <c r="B33" s="11" t="str">
        <f>IFERROR(__xludf.DUMMYFUNCTION("""COMPUTED_VALUE"""),"Incrementality Testing: How to Choose the Best Tool")</f>
        <v>Incrementality Testing: How to Choose the Best Tool</v>
      </c>
      <c r="C33" s="8" t="str">
        <f>IFERROR(__xludf.DUMMYFUNCTION("""COMPUTED_VALUE"""),"haus.io")</f>
        <v>haus.io</v>
      </c>
      <c r="D33" s="11" t="str">
        <f>IFERROR(__xludf.DUMMYFUNCTION("""COMPUTED_VALUE"""),"HOW_TO_GUIDE")</f>
        <v>HOW_TO_GUIDE</v>
      </c>
      <c r="E33" s="11" t="str">
        <f>IFERROR(__xludf.DUMMYFUNCTION("""COMPUTED_VALUE"""),"COMPETITOR")</f>
        <v>COMPETITOR</v>
      </c>
      <c r="F33" s="11" t="str">
        <f>IFERROR(__xludf.DUMMYFUNCTION("""COMPUTED_VALUE"""),"How-To Guide")</f>
        <v>How-To Guide</v>
      </c>
      <c r="G33" s="11" t="b">
        <f>IFERROR(__xludf.DUMMYFUNCTION("""COMPUTED_VALUE"""),FALSE)</f>
        <v>0</v>
      </c>
      <c r="H33" s="11" t="str">
        <f>IFERROR(__xludf.DUMMYFUNCTION("""COMPUTED_VALUE"""),"Haus")</f>
        <v>Haus</v>
      </c>
      <c r="I33" s="11">
        <f>IFERROR(__xludf.DUMMYFUNCTION("""COMPUTED_VALUE"""),1.0)</f>
        <v>1</v>
      </c>
      <c r="J33" s="11">
        <f>IFERROR(__xludf.DUMMYFUNCTION("""COMPUTED_VALUE"""),0.0)</f>
        <v>0</v>
      </c>
      <c r="K33" s="11">
        <f>IFERROR(__xludf.DUMMYFUNCTION("""COMPUTED_VALUE"""),0.0)</f>
        <v>0</v>
      </c>
    </row>
    <row r="34" ht="15.75" customHeight="1">
      <c r="A34" s="8" t="str">
        <f>IFERROR(__xludf.DUMMYFUNCTION("""COMPUTED_VALUE"""),"https://www.linkedin.com/top-content/marketing/digital-advertising-metrics/incrementality-testing-in-ads/")</f>
        <v>https://www.linkedin.com/top-content/marketing/digital-advertising-metrics/incrementality-testing-in-ads/</v>
      </c>
      <c r="B34" s="11" t="str">
        <f>IFERROR(__xludf.DUMMYFUNCTION("""COMPUTED_VALUE"""),"Incrementality Testing in Ads")</f>
        <v>Incrementality Testing in Ads</v>
      </c>
      <c r="C34" s="8" t="str">
        <f>IFERROR(__xludf.DUMMYFUNCTION("""COMPUTED_VALUE"""),"linkedin.com")</f>
        <v>linkedin.com</v>
      </c>
      <c r="D34" s="11" t="str">
        <f>IFERROR(__xludf.DUMMYFUNCTION("""COMPUTED_VALUE"""),"HOW_TO_GUIDE")</f>
        <v>HOW_TO_GUIDE</v>
      </c>
      <c r="E34" s="11" t="str">
        <f>IFERROR(__xludf.DUMMYFUNCTION("""COMPUTED_VALUE"""),"UGC")</f>
        <v>UGC</v>
      </c>
      <c r="F34" s="11" t="str">
        <f>IFERROR(__xludf.DUMMYFUNCTION("""COMPUTED_VALUE"""),"How-To Guide")</f>
        <v>How-To Guide</v>
      </c>
      <c r="G34" s="11" t="b">
        <f>IFERROR(__xludf.DUMMYFUNCTION("""COMPUTED_VALUE"""),FALSE)</f>
        <v>0</v>
      </c>
      <c r="H34" s="11" t="str">
        <f>IFERROR(__xludf.DUMMYFUNCTION("""COMPUTED_VALUE"""),"Triple Whale, Northbeam, Analytic Partners")</f>
        <v>Triple Whale, Northbeam, Analytic Partners</v>
      </c>
      <c r="I34" s="11">
        <f>IFERROR(__xludf.DUMMYFUNCTION("""COMPUTED_VALUE"""),1.0)</f>
        <v>1</v>
      </c>
      <c r="J34" s="11">
        <f>IFERROR(__xludf.DUMMYFUNCTION("""COMPUTED_VALUE"""),0.0)</f>
        <v>0</v>
      </c>
      <c r="K34" s="11">
        <f>IFERROR(__xludf.DUMMYFUNCTION("""COMPUTED_VALUE"""),1.0)</f>
        <v>1</v>
      </c>
    </row>
    <row r="35" ht="15.75" customHeight="1">
      <c r="A35" s="8" t="str">
        <f>IFERROR(__xludf.DUMMYFUNCTION("""COMPUTED_VALUE"""),"https://madgicx.com/blog/ai-powered-marketing-tools-performance-ads")</f>
        <v>https://madgicx.com/blog/ai-powered-marketing-tools-performance-ads</v>
      </c>
      <c r="B35" s="11" t="str">
        <f>IFERROR(__xludf.DUMMYFUNCTION("""COMPUTED_VALUE"""),"Top AI-Powered Marketing Platforms for Performance Ads")</f>
        <v>Top AI-Powered Marketing Platforms for Performance Ads</v>
      </c>
      <c r="C35" s="8" t="str">
        <f>IFERROR(__xludf.DUMMYFUNCTION("""COMPUTED_VALUE"""),"madgicx.com")</f>
        <v>madgicx.com</v>
      </c>
      <c r="D35" s="11" t="str">
        <f>IFERROR(__xludf.DUMMYFUNCTION("""COMPUTED_VALUE"""),"HOW_TO_GUIDE")</f>
        <v>HOW_TO_GUIDE</v>
      </c>
      <c r="E35" s="11" t="str">
        <f>IFERROR(__xludf.DUMMYFUNCTION("""COMPUTED_VALUE"""),"UGC")</f>
        <v>UGC</v>
      </c>
      <c r="F35" s="11" t="str">
        <f>IFERROR(__xludf.DUMMYFUNCTION("""COMPUTED_VALUE"""),"How-To Guide")</f>
        <v>How-To Guide</v>
      </c>
      <c r="G35" s="11" t="b">
        <f>IFERROR(__xludf.DUMMYFUNCTION("""COMPUTED_VALUE"""),FALSE)</f>
        <v>0</v>
      </c>
      <c r="H35" s="11" t="str">
        <f>IFERROR(__xludf.DUMMYFUNCTION("""COMPUTED_VALUE"""),"Triple Whale")</f>
        <v>Triple Whale</v>
      </c>
      <c r="I35" s="11">
        <f>IFERROR(__xludf.DUMMYFUNCTION("""COMPUTED_VALUE"""),1.0)</f>
        <v>1</v>
      </c>
      <c r="J35" s="11">
        <f>IFERROR(__xludf.DUMMYFUNCTION("""COMPUTED_VALUE"""),0.0)</f>
        <v>0</v>
      </c>
      <c r="K35" s="11">
        <f>IFERROR(__xludf.DUMMYFUNCTION("""COMPUTED_VALUE"""),1.0)</f>
        <v>1</v>
      </c>
    </row>
    <row r="36" ht="15.75" customHeight="1">
      <c r="A36" s="8" t="str">
        <f>IFERROR(__xludf.DUMMYFUNCTION("""COMPUTED_VALUE"""),"https://www.osmos.ai/blog/first-party-data-in-retail-media-the-complete-targeting-guide")</f>
        <v>https://www.osmos.ai/blog/first-party-data-in-retail-media-the-complete-targeting-guide</v>
      </c>
      <c r="B36" s="11" t="str">
        <f>IFERROR(__xludf.DUMMYFUNCTION("""COMPUTED_VALUE"""),"First-Party Shopper Data in Retail Media: 2026 Playbook")</f>
        <v>First-Party Shopper Data in Retail Media: 2026 Playbook</v>
      </c>
      <c r="C36" s="8" t="str">
        <f>IFERROR(__xludf.DUMMYFUNCTION("""COMPUTED_VALUE"""),"osmos.ai")</f>
        <v>osmos.ai</v>
      </c>
      <c r="D36" s="11" t="str">
        <f>IFERROR(__xludf.DUMMYFUNCTION("""COMPUTED_VALUE"""),"HOW_TO_GUIDE")</f>
        <v>HOW_TO_GUIDE</v>
      </c>
      <c r="E36" s="11" t="str">
        <f>IFERROR(__xludf.DUMMYFUNCTION("""COMPUTED_VALUE"""),"CORPORATE")</f>
        <v>CORPORATE</v>
      </c>
      <c r="F36" s="11" t="str">
        <f>IFERROR(__xludf.DUMMYFUNCTION("""COMPUTED_VALUE"""),"How-To Guide")</f>
        <v>How-To Guide</v>
      </c>
      <c r="G36" s="11" t="b">
        <f>IFERROR(__xludf.DUMMYFUNCTION("""COMPUTED_VALUE"""),FALSE)</f>
        <v>0</v>
      </c>
      <c r="H36" s="11" t="str">
        <f>IFERROR(__xludf.DUMMYFUNCTION("""COMPUTED_VALUE"""),"Nielsen")</f>
        <v>Nielsen</v>
      </c>
      <c r="I36" s="11">
        <f>IFERROR(__xludf.DUMMYFUNCTION("""COMPUTED_VALUE"""),1.0)</f>
        <v>1</v>
      </c>
      <c r="J36" s="11">
        <f>IFERROR(__xludf.DUMMYFUNCTION("""COMPUTED_VALUE"""),0.0)</f>
        <v>0</v>
      </c>
      <c r="K36" s="11">
        <f>IFERROR(__xludf.DUMMYFUNCTION("""COMPUTED_VALUE"""),0.0)</f>
        <v>0</v>
      </c>
    </row>
    <row r="37" ht="15.75" customHeight="1">
      <c r="A37" s="8" t="str">
        <f>IFERROR(__xludf.DUMMYFUNCTION("""COMPUTED_VALUE"""),"https://simpli.fi/latest/how-to-build-a-winning-first-party-data-strategy-for-advertising")</f>
        <v>https://simpli.fi/latest/how-to-build-a-winning-first-party-data-strategy-for-advertising</v>
      </c>
      <c r="B37" s="11" t="str">
        <f>IFERROR(__xludf.DUMMYFUNCTION("""COMPUTED_VALUE"""),"First-Party Data Strategies for Modern Advertising")</f>
        <v>First-Party Data Strategies for Modern Advertising</v>
      </c>
      <c r="C37" s="8" t="str">
        <f>IFERROR(__xludf.DUMMYFUNCTION("""COMPUTED_VALUE"""),"simpli.fi")</f>
        <v>simpli.fi</v>
      </c>
      <c r="D37" s="11" t="str">
        <f>IFERROR(__xludf.DUMMYFUNCTION("""COMPUTED_VALUE"""),"HOW_TO_GUIDE")</f>
        <v>HOW_TO_GUIDE</v>
      </c>
      <c r="E37" s="11" t="str">
        <f>IFERROR(__xludf.DUMMYFUNCTION("""COMPUTED_VALUE"""),"CORPORATE")</f>
        <v>CORPORATE</v>
      </c>
      <c r="F37" s="11" t="str">
        <f>IFERROR(__xludf.DUMMYFUNCTION("""COMPUTED_VALUE"""),"How-To Guide")</f>
        <v>How-To Guide</v>
      </c>
      <c r="G37" s="11" t="b">
        <f>IFERROR(__xludf.DUMMYFUNCTION("""COMPUTED_VALUE"""),FALSE)</f>
        <v>0</v>
      </c>
      <c r="H37" s="11" t="str">
        <f>IFERROR(__xludf.DUMMYFUNCTION("""COMPUTED_VALUE"""),"Deloitte Digital")</f>
        <v>Deloitte Digital</v>
      </c>
      <c r="I37" s="11">
        <f>IFERROR(__xludf.DUMMYFUNCTION("""COMPUTED_VALUE"""),1.0)</f>
        <v>1</v>
      </c>
      <c r="J37" s="11">
        <f>IFERROR(__xludf.DUMMYFUNCTION("""COMPUTED_VALUE"""),0.0)</f>
        <v>0</v>
      </c>
      <c r="K37" s="11">
        <f>IFERROR(__xludf.DUMMYFUNCTION("""COMPUTED_VALUE"""),2.0)</f>
        <v>2</v>
      </c>
    </row>
    <row r="38" ht="15.75" customHeight="1">
      <c r="A38" s="8" t="str">
        <f>IFERROR(__xludf.DUMMYFUNCTION("""COMPUTED_VALUE"""),"https://www.stackadapt.com/resources/blog/first-party-data-strategy")</f>
        <v>https://www.stackadapt.com/resources/blog/first-party-data-strategy</v>
      </c>
      <c r="B38" s="11" t="str">
        <f>IFERROR(__xludf.DUMMYFUNCTION("""COMPUTED_VALUE"""),"First-party data strategy: An in-depth guide for marketers")</f>
        <v>First-party data strategy: An in-depth guide for marketers</v>
      </c>
      <c r="C38" s="8" t="str">
        <f>IFERROR(__xludf.DUMMYFUNCTION("""COMPUTED_VALUE"""),"stackadapt.com")</f>
        <v>stackadapt.com</v>
      </c>
      <c r="D38" s="11" t="str">
        <f>IFERROR(__xludf.DUMMYFUNCTION("""COMPUTED_VALUE"""),"HOW_TO_GUIDE")</f>
        <v>HOW_TO_GUIDE</v>
      </c>
      <c r="E38" s="11" t="str">
        <f>IFERROR(__xludf.DUMMYFUNCTION("""COMPUTED_VALUE"""),"CORPORATE")</f>
        <v>CORPORATE</v>
      </c>
      <c r="F38" s="11" t="str">
        <f>IFERROR(__xludf.DUMMYFUNCTION("""COMPUTED_VALUE"""),"How-To Guide")</f>
        <v>How-To Guide</v>
      </c>
      <c r="G38" s="11" t="b">
        <f>IFERROR(__xludf.DUMMYFUNCTION("""COMPUTED_VALUE"""),FALSE)</f>
        <v>0</v>
      </c>
      <c r="H38" s="11" t="str">
        <f>IFERROR(__xludf.DUMMYFUNCTION("""COMPUTED_VALUE"""),"Boston Consulting Group, BCG")</f>
        <v>Boston Consulting Group, BCG</v>
      </c>
      <c r="I38" s="11">
        <f>IFERROR(__xludf.DUMMYFUNCTION("""COMPUTED_VALUE"""),1.0)</f>
        <v>1</v>
      </c>
      <c r="J38" s="11">
        <f>IFERROR(__xludf.DUMMYFUNCTION("""COMPUTED_VALUE"""),0.0)</f>
        <v>0</v>
      </c>
      <c r="K38" s="11">
        <f>IFERROR(__xludf.DUMMYFUNCTION("""COMPUTED_VALUE"""),1.0)</f>
        <v>1</v>
      </c>
    </row>
    <row r="39" ht="15.75" customHeight="1">
      <c r="A39" s="8" t="str">
        <f>IFERROR(__xludf.DUMMYFUNCTION("""COMPUTED_VALUE"""),"https://support.google.com/google-ads/answer/11410677?hl=en")</f>
        <v>https://support.google.com/google-ads/answer/11410677?hl=en</v>
      </c>
      <c r="B39" s="11" t="str">
        <f>IFERROR(__xludf.DUMMYFUNCTION("""COMPUTED_VALUE"""),"Google Partners directory - Google Ads Help")</f>
        <v>Google Partners directory - Google Ads Help</v>
      </c>
      <c r="C39" s="8" t="str">
        <f>IFERROR(__xludf.DUMMYFUNCTION("""COMPUTED_VALUE"""),"google.com")</f>
        <v>google.com</v>
      </c>
      <c r="D39" s="11" t="str">
        <f>IFERROR(__xludf.DUMMYFUNCTION("""COMPUTED_VALUE"""),"HOW_TO_GUIDE")</f>
        <v>HOW_TO_GUIDE</v>
      </c>
      <c r="E39" s="11" t="str">
        <f>IFERROR(__xludf.DUMMYFUNCTION("""COMPUTED_VALUE"""),"OTHER")</f>
        <v>OTHER</v>
      </c>
      <c r="F39" s="11" t="str">
        <f>IFERROR(__xludf.DUMMYFUNCTION("""COMPUTED_VALUE"""),"How-To Guide")</f>
        <v>How-To Guide</v>
      </c>
      <c r="G39" s="11" t="b">
        <f>IFERROR(__xludf.DUMMYFUNCTION("""COMPUTED_VALUE"""),FALSE)</f>
        <v>0</v>
      </c>
      <c r="H39" s="11"/>
      <c r="I39" s="11">
        <f>IFERROR(__xludf.DUMMYFUNCTION("""COMPUTED_VALUE"""),1.0)</f>
        <v>1</v>
      </c>
      <c r="J39" s="11">
        <f>IFERROR(__xludf.DUMMYFUNCTION("""COMPUTED_VALUE"""),0.0)</f>
        <v>0</v>
      </c>
      <c r="K39" s="11">
        <f>IFERROR(__xludf.DUMMYFUNCTION("""COMPUTED_VALUE"""),0.0)</f>
        <v>0</v>
      </c>
    </row>
    <row r="40" ht="15.75" customHeight="1">
      <c r="A40" s="8" t="str">
        <f>IFERROR(__xludf.DUMMYFUNCTION("""COMPUTED_VALUE"""),"https://support.google.com/google-ads/answer/9702452?hl=de")</f>
        <v>https://support.google.com/google-ads/answer/9702452?hl=de</v>
      </c>
      <c r="B40" s="11" t="str">
        <f>IFERROR(__xludf.DUMMYFUNCTION("""COMPUTED_VALUE"""),"Google Partner oder Premium-Partner werden")</f>
        <v>Google Partner oder Premium-Partner werden</v>
      </c>
      <c r="C40" s="8" t="str">
        <f>IFERROR(__xludf.DUMMYFUNCTION("""COMPUTED_VALUE"""),"google.com")</f>
        <v>google.com</v>
      </c>
      <c r="D40" s="11" t="str">
        <f>IFERROR(__xludf.DUMMYFUNCTION("""COMPUTED_VALUE"""),"HOW_TO_GUIDE")</f>
        <v>HOW_TO_GUIDE</v>
      </c>
      <c r="E40" s="11" t="str">
        <f>IFERROR(__xludf.DUMMYFUNCTION("""COMPUTED_VALUE"""),"OTHER")</f>
        <v>OTHER</v>
      </c>
      <c r="F40" s="11" t="str">
        <f>IFERROR(__xludf.DUMMYFUNCTION("""COMPUTED_VALUE"""),"How-To Guide")</f>
        <v>How-To Guide</v>
      </c>
      <c r="G40" s="11" t="b">
        <f>IFERROR(__xludf.DUMMYFUNCTION("""COMPUTED_VALUE"""),FALSE)</f>
        <v>0</v>
      </c>
      <c r="H40" s="11"/>
      <c r="I40" s="11">
        <f>IFERROR(__xludf.DUMMYFUNCTION("""COMPUTED_VALUE"""),1.0)</f>
        <v>1</v>
      </c>
      <c r="J40" s="11">
        <f>IFERROR(__xludf.DUMMYFUNCTION("""COMPUTED_VALUE"""),0.0)</f>
        <v>0</v>
      </c>
      <c r="K40" s="11">
        <f>IFERROR(__xludf.DUMMYFUNCTION("""COMPUTED_VALUE"""),1.0)</f>
        <v>1</v>
      </c>
    </row>
    <row r="41" ht="15.75" customHeight="1">
      <c r="A41" s="8" t="str">
        <f>IFERROR(__xludf.DUMMYFUNCTION("""COMPUTED_VALUE"""),"https://www.triplewhale.com/blog/incrementality-testing-methods")</f>
        <v>https://www.triplewhale.com/blog/incrementality-testing-methods</v>
      </c>
      <c r="B41" s="11" t="str">
        <f>IFERROR(__xludf.DUMMYFUNCTION("""COMPUTED_VALUE"""),"A Guide to Incrementality Testing Methods: Different Ways to Measure True Marketing Impact | Triple Whale")</f>
        <v>A Guide to Incrementality Testing Methods: Different Ways to Measure True Marketing Impact | Triple Whale</v>
      </c>
      <c r="C41" s="8" t="str">
        <f>IFERROR(__xludf.DUMMYFUNCTION("""COMPUTED_VALUE"""),"triplewhale.com")</f>
        <v>triplewhale.com</v>
      </c>
      <c r="D41" s="11" t="str">
        <f>IFERROR(__xludf.DUMMYFUNCTION("""COMPUTED_VALUE"""),"HOW_TO_GUIDE")</f>
        <v>HOW_TO_GUIDE</v>
      </c>
      <c r="E41" s="11" t="str">
        <f>IFERROR(__xludf.DUMMYFUNCTION("""COMPUTED_VALUE"""),"COMPETITOR")</f>
        <v>COMPETITOR</v>
      </c>
      <c r="F41" s="11" t="str">
        <f>IFERROR(__xludf.DUMMYFUNCTION("""COMPUTED_VALUE"""),"How-To Guide")</f>
        <v>How-To Guide</v>
      </c>
      <c r="G41" s="11" t="b">
        <f>IFERROR(__xludf.DUMMYFUNCTION("""COMPUTED_VALUE"""),FALSE)</f>
        <v>0</v>
      </c>
      <c r="H41" s="11" t="str">
        <f>IFERROR(__xludf.DUMMYFUNCTION("""COMPUTED_VALUE"""),"Triple Whale")</f>
        <v>Triple Whale</v>
      </c>
      <c r="I41" s="11">
        <f>IFERROR(__xludf.DUMMYFUNCTION("""COMPUTED_VALUE"""),1.0)</f>
        <v>1</v>
      </c>
      <c r="J41" s="11">
        <f>IFERROR(__xludf.DUMMYFUNCTION("""COMPUTED_VALUE"""),0.0)</f>
        <v>0</v>
      </c>
      <c r="K41" s="11">
        <f>IFERROR(__xludf.DUMMYFUNCTION("""COMPUTED_VALUE"""),0.0)</f>
        <v>0</v>
      </c>
    </row>
    <row r="42" ht="15.75" customHeight="1">
      <c r="A42" s="8" t="str">
        <f>IFERROR(__xludf.DUMMYFUNCTION("""COMPUTED_VALUE"""),"https://usercentrics.com/guides/future-of-data-in-marketing/first-party-data-marketing/")</f>
        <v>https://usercentrics.com/guides/future-of-data-in-marketing/first-party-data-marketing/</v>
      </c>
      <c r="B42" s="11" t="str">
        <f>IFERROR(__xludf.DUMMYFUNCTION("""COMPUTED_VALUE"""),"First-Party Data Marketing | Tips &amp;amp; Strategies for 2026")</f>
        <v>First-Party Data Marketing | Tips &amp;amp; Strategies for 2026</v>
      </c>
      <c r="C42" s="8" t="str">
        <f>IFERROR(__xludf.DUMMYFUNCTION("""COMPUTED_VALUE"""),"usercentrics.com")</f>
        <v>usercentrics.com</v>
      </c>
      <c r="D42" s="11" t="str">
        <f>IFERROR(__xludf.DUMMYFUNCTION("""COMPUTED_VALUE"""),"HOW_TO_GUIDE")</f>
        <v>HOW_TO_GUIDE</v>
      </c>
      <c r="E42" s="11" t="str">
        <f>IFERROR(__xludf.DUMMYFUNCTION("""COMPUTED_VALUE"""),"CORPORATE")</f>
        <v>CORPORATE</v>
      </c>
      <c r="F42" s="11" t="str">
        <f>IFERROR(__xludf.DUMMYFUNCTION("""COMPUTED_VALUE"""),"How-To Guide")</f>
        <v>How-To Guide</v>
      </c>
      <c r="G42" s="11" t="b">
        <f>IFERROR(__xludf.DUMMYFUNCTION("""COMPUTED_VALUE"""),FALSE)</f>
        <v>0</v>
      </c>
      <c r="H42" s="11"/>
      <c r="I42" s="11">
        <f>IFERROR(__xludf.DUMMYFUNCTION("""COMPUTED_VALUE"""),1.0)</f>
        <v>1</v>
      </c>
      <c r="J42" s="11">
        <f>IFERROR(__xludf.DUMMYFUNCTION("""COMPUTED_VALUE"""),0.0)</f>
        <v>0</v>
      </c>
      <c r="K42" s="11">
        <f>IFERROR(__xludf.DUMMYFUNCTION("""COMPUTED_VALUE"""),0.0)</f>
        <v>0</v>
      </c>
    </row>
    <row r="43" ht="15.75" customHeight="1">
      <c r="A43" s="8" t="str">
        <f>IFERROR(__xludf.DUMMYFUNCTION("""COMPUTED_VALUE"""),"https://www.yotpo.com/blog/aeo-vs-seo-strategy/")</f>
        <v>https://www.yotpo.com/blog/aeo-vs-seo-strategy/</v>
      </c>
      <c r="B43" s="11" t="str">
        <f>IFERROR(__xludf.DUMMYFUNCTION("""COMPUTED_VALUE"""),"AEO Vs. SEO: Best Strategies For 2026")</f>
        <v>AEO Vs. SEO: Best Strategies For 2026</v>
      </c>
      <c r="C43" s="8" t="str">
        <f>IFERROR(__xludf.DUMMYFUNCTION("""COMPUTED_VALUE"""),"yotpo.com")</f>
        <v>yotpo.com</v>
      </c>
      <c r="D43" s="11" t="str">
        <f>IFERROR(__xludf.DUMMYFUNCTION("""COMPUTED_VALUE"""),"HOW_TO_GUIDE")</f>
        <v>HOW_TO_GUIDE</v>
      </c>
      <c r="E43" s="11" t="str">
        <f>IFERROR(__xludf.DUMMYFUNCTION("""COMPUTED_VALUE"""),"CORPORATE")</f>
        <v>CORPORATE</v>
      </c>
      <c r="F43" s="11" t="str">
        <f>IFERROR(__xludf.DUMMYFUNCTION("""COMPUTED_VALUE"""),"How-To Guide")</f>
        <v>How-To Guide</v>
      </c>
      <c r="G43" s="11" t="b">
        <f>IFERROR(__xludf.DUMMYFUNCTION("""COMPUTED_VALUE"""),FALSE)</f>
        <v>0</v>
      </c>
      <c r="H43" s="11" t="str">
        <f>IFERROR(__xludf.DUMMYFUNCTION("""COMPUTED_VALUE"""),"Measured")</f>
        <v>Measured</v>
      </c>
      <c r="I43" s="11">
        <f>IFERROR(__xludf.DUMMYFUNCTION("""COMPUTED_VALUE"""),1.0)</f>
        <v>1</v>
      </c>
      <c r="J43" s="11">
        <f>IFERROR(__xludf.DUMMYFUNCTION("""COMPUTED_VALUE"""),0.0)</f>
        <v>0</v>
      </c>
      <c r="K43" s="11">
        <f>IFERROR(__xludf.DUMMYFUNCTION("""COMPUTED_VALUE"""),1.0)</f>
        <v>1</v>
      </c>
    </row>
    <row r="44" ht="15.75" customHeight="1">
      <c r="A44" s="8" t="str">
        <f>IFERROR(__xludf.DUMMYFUNCTION("""COMPUTED_VALUE"""),"https://www.youtube.com/watch?v=WD-3boLVluY&amp;vl=de&amp;t=368")</f>
        <v>https://www.youtube.com/watch?v=WD-3boLVluY&amp;vl=de&amp;t=368</v>
      </c>
      <c r="B44" s="11" t="str">
        <f>IFERROR(__xludf.DUMMYFUNCTION("""COMPUTED_VALUE"""),"The 2026 Playbook: Generative Engine Optimization &amp; LLMO")</f>
        <v>The 2026 Playbook: Generative Engine Optimization &amp; LLMO</v>
      </c>
      <c r="C44" s="8" t="str">
        <f>IFERROR(__xludf.DUMMYFUNCTION("""COMPUTED_VALUE"""),"youtube.com")</f>
        <v>youtube.com</v>
      </c>
      <c r="D44" s="11" t="str">
        <f>IFERROR(__xludf.DUMMYFUNCTION("""COMPUTED_VALUE"""),"HOW_TO_GUIDE")</f>
        <v>HOW_TO_GUIDE</v>
      </c>
      <c r="E44" s="11" t="str">
        <f>IFERROR(__xludf.DUMMYFUNCTION("""COMPUTED_VALUE"""),"UGC")</f>
        <v>UGC</v>
      </c>
      <c r="F44" s="11" t="str">
        <f>IFERROR(__xludf.DUMMYFUNCTION("""COMPUTED_VALUE"""),"How-To Guide")</f>
        <v>How-To Guide</v>
      </c>
      <c r="G44" s="11" t="b">
        <f>IFERROR(__xludf.DUMMYFUNCTION("""COMPUTED_VALUE"""),FALSE)</f>
        <v>0</v>
      </c>
      <c r="H44" s="11"/>
      <c r="I44" s="11">
        <f>IFERROR(__xludf.DUMMYFUNCTION("""COMPUTED_VALUE"""),1.0)</f>
        <v>1</v>
      </c>
      <c r="J44" s="11">
        <f>IFERROR(__xludf.DUMMYFUNCTION("""COMPUTED_VALUE"""),0.0)</f>
        <v>0</v>
      </c>
      <c r="K44" s="11">
        <f>IFERROR(__xludf.DUMMYFUNCTION("""COMPUTED_VALUE"""),1.0)</f>
        <v>1</v>
      </c>
    </row>
    <row r="45" ht="15.75" customHeight="1">
      <c r="A45" s="8" t="str">
        <f>IFERROR(__xludf.DUMMYFUNCTION("""COMPUTED_VALUE"""),"https://www.youtube.com/watch?v=dtlZTULGX4A")</f>
        <v>https://www.youtube.com/watch?v=dtlZTULGX4A</v>
      </c>
      <c r="B45" s="11" t="str">
        <f>IFERROR(__xludf.DUMMYFUNCTION("""COMPUTED_VALUE"""),"GEO Keyword Research and Tracking AI Search Results For Your Main Keywords")</f>
        <v>GEO Keyword Research and Tracking AI Search Results For Your Main Keywords</v>
      </c>
      <c r="C45" s="8" t="str">
        <f>IFERROR(__xludf.DUMMYFUNCTION("""COMPUTED_VALUE"""),"youtube.com")</f>
        <v>youtube.com</v>
      </c>
      <c r="D45" s="11" t="str">
        <f>IFERROR(__xludf.DUMMYFUNCTION("""COMPUTED_VALUE"""),"HOW_TO_GUIDE")</f>
        <v>HOW_TO_GUIDE</v>
      </c>
      <c r="E45" s="11" t="str">
        <f>IFERROR(__xludf.DUMMYFUNCTION("""COMPUTED_VALUE"""),"UGC")</f>
        <v>UGC</v>
      </c>
      <c r="F45" s="11" t="str">
        <f>IFERROR(__xludf.DUMMYFUNCTION("""COMPUTED_VALUE"""),"How-To Guide")</f>
        <v>How-To Guide</v>
      </c>
      <c r="G45" s="11" t="b">
        <f>IFERROR(__xludf.DUMMYFUNCTION("""COMPUTED_VALUE"""),FALSE)</f>
        <v>0</v>
      </c>
      <c r="H45" s="11" t="str">
        <f>IFERROR(__xludf.DUMMYFUNCTION("""COMPUTED_VALUE"""),"Huge")</f>
        <v>Huge</v>
      </c>
      <c r="I45" s="11">
        <f>IFERROR(__xludf.DUMMYFUNCTION("""COMPUTED_VALUE"""),1.0)</f>
        <v>1</v>
      </c>
      <c r="J45" s="11">
        <f>IFERROR(__xludf.DUMMYFUNCTION("""COMPUTED_VALUE"""),0.0)</f>
        <v>0</v>
      </c>
      <c r="K45" s="11">
        <f>IFERROR(__xludf.DUMMYFUNCTION("""COMPUTED_VALUE"""),2.0)</f>
        <v>2</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A12"/>
    <hyperlink r:id="rId20" ref="C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s>
  <drawing r:id="rId8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All'!D2:D1000)))=""listicle""
  ),
  """"
)"),"https://www.bakedwith.com/en/blog/the-best-geo-agencies-in-germany-an-overview")</f>
        <v>https://www.bakedwith.com/en/blog/the-best-geo-agencies-in-germany-an-overview</v>
      </c>
      <c r="B2" s="11" t="str">
        <f>IFERROR(__xludf.DUMMYFUNCTION("""COMPUTED_VALUE"""),"The best GEO agencies in Germany: an overview")</f>
        <v>The best GEO agencies in Germany: an overview</v>
      </c>
      <c r="C2" s="8" t="str">
        <f>IFERROR(__xludf.DUMMYFUNCTION("""COMPUTED_VALUE"""),"bakedwith.com")</f>
        <v>bakedwith.com</v>
      </c>
      <c r="D2" s="11" t="str">
        <f>IFERROR(__xludf.DUMMYFUNCTION("""COMPUTED_VALUE"""),"LISTICLE")</f>
        <v>LISTICLE</v>
      </c>
      <c r="E2" s="11" t="str">
        <f>IFERROR(__xludf.DUMMYFUNCTION("""COMPUTED_VALUE"""),"CORPORATE")</f>
        <v>CORPORATE</v>
      </c>
      <c r="F2" s="11" t="str">
        <f>IFERROR(__xludf.DUMMYFUNCTION("""COMPUTED_VALUE"""),"Listicle")</f>
        <v>Listicle</v>
      </c>
      <c r="G2" s="11" t="b">
        <f>IFERROR(__xludf.DUMMYFUNCTION("""COMPUTED_VALUE"""),FALSE)</f>
        <v>0</v>
      </c>
      <c r="H2" s="11" t="str">
        <f>IFERROR(__xludf.DUMMYFUNCTION("""COMPUTED_VALUE"""),"Radyant, Claneo, HECHT INS GEFECHT, Suchhelden, Aufgesang, DREIKON, Löwenstark, TRYSEO")</f>
        <v>Radyant, Claneo, HECHT INS GEFECHT, Suchhelden, Aufgesang, DREIKON, Löwenstark, TRYSEO</v>
      </c>
      <c r="I2" s="11">
        <f>IFERROR(__xludf.DUMMYFUNCTION("""COMPUTED_VALUE"""),97.0)</f>
        <v>97</v>
      </c>
      <c r="J2" s="11">
        <f>IFERROR(__xludf.DUMMYFUNCTION("""COMPUTED_VALUE"""),0.1)</f>
        <v>0.1</v>
      </c>
      <c r="K2" s="11">
        <f>IFERROR(__xludf.DUMMYFUNCTION("""COMPUTED_VALUE"""),2.69)</f>
        <v>2.69</v>
      </c>
    </row>
    <row r="3" ht="15.75" customHeight="1">
      <c r="A3" s="8" t="str">
        <f>IFERROR(__xludf.DUMMYFUNCTION("""COMPUTED_VALUE"""),"https://vitasoft.co/best/geo-agency-germany/")</f>
        <v>https://vitasoft.co/best/geo-agency-germany/</v>
      </c>
      <c r="B3" s="11" t="str">
        <f>IFERROR(__xludf.DUMMYFUNCTION("""COMPUTED_VALUE"""),"Best GEO &amp;amp; AEO Agencies in Germany (2026) — Ranked")</f>
        <v>Best GEO &amp;amp; AEO Agencies in Germany (2026) — Ranked</v>
      </c>
      <c r="C3" s="8" t="str">
        <f>IFERROR(__xludf.DUMMYFUNCTION("""COMPUTED_VALUE"""),"vitasoft.co")</f>
        <v>vitasoft.co</v>
      </c>
      <c r="D3" s="11" t="str">
        <f>IFERROR(__xludf.DUMMYFUNCTION("""COMPUTED_VALUE"""),"LISTICLE")</f>
        <v>LISTICLE</v>
      </c>
      <c r="E3" s="11" t="str">
        <f>IFERROR(__xludf.DUMMYFUNCTION("""COMPUTED_VALUE"""),"REFERENCE")</f>
        <v>REFERENCE</v>
      </c>
      <c r="F3" s="11" t="str">
        <f>IFERROR(__xludf.DUMMYFUNCTION("""COMPUTED_VALUE"""),"Listicle")</f>
        <v>Listicle</v>
      </c>
      <c r="G3" s="11" t="b">
        <f>IFERROR(__xludf.DUMMYFUNCTION("""COMPUTED_VALUE"""),FALSE)</f>
        <v>0</v>
      </c>
      <c r="H3" s="11" t="str">
        <f>IFERROR(__xludf.DUMMYFUNCTION("""COMPUTED_VALUE"""),"Peak Ace, Digital Delight, Claneo")</f>
        <v>Peak Ace, Digital Delight, Claneo</v>
      </c>
      <c r="I3" s="11">
        <f>IFERROR(__xludf.DUMMYFUNCTION("""COMPUTED_VALUE"""),95.0)</f>
        <v>95</v>
      </c>
      <c r="J3" s="11">
        <f>IFERROR(__xludf.DUMMYFUNCTION("""COMPUTED_VALUE"""),0.1)</f>
        <v>0.1</v>
      </c>
      <c r="K3" s="11">
        <f>IFERROR(__xludf.DUMMYFUNCTION("""COMPUTED_VALUE"""),1.22)</f>
        <v>1.22</v>
      </c>
    </row>
    <row r="4" ht="15.75" customHeight="1">
      <c r="A4" s="8" t="str">
        <f>IFERROR(__xludf.DUMMYFUNCTION("""COMPUTED_VALUE"""),"https://www.influencer-hero.com/blogs/top-digital-advertising-agencies-in-germany")</f>
        <v>https://www.influencer-hero.com/blogs/top-digital-advertising-agencies-in-germany</v>
      </c>
      <c r="B4" s="11" t="str">
        <f>IFERROR(__xludf.DUMMYFUNCTION("""COMPUTED_VALUE"""),"Top 10 Digital Advertising Agencies in Germany")</f>
        <v>Top 10 Digital Advertising Agencies in Germany</v>
      </c>
      <c r="C4" s="8" t="str">
        <f>IFERROR(__xludf.DUMMYFUNCTION("""COMPUTED_VALUE"""),"influencer-hero.com")</f>
        <v>influencer-hero.com</v>
      </c>
      <c r="D4" s="11" t="str">
        <f>IFERROR(__xludf.DUMMYFUNCTION("""COMPUTED_VALUE"""),"LISTICLE")</f>
        <v>LISTICLE</v>
      </c>
      <c r="E4" s="11" t="str">
        <f>IFERROR(__xludf.DUMMYFUNCTION("""COMPUTED_VALUE"""),"CORPORATE")</f>
        <v>CORPORATE</v>
      </c>
      <c r="F4" s="11" t="str">
        <f>IFERROR(__xludf.DUMMYFUNCTION("""COMPUTED_VALUE"""),"Listicle")</f>
        <v>Listicle</v>
      </c>
      <c r="G4" s="11" t="b">
        <f>IFERROR(__xludf.DUMMYFUNCTION("""COMPUTED_VALUE"""),FALSE)</f>
        <v>0</v>
      </c>
      <c r="H4" s="11" t="str">
        <f>IFERROR(__xludf.DUMMYFUNCTION("""COMPUTED_VALUE"""),"Serviceplan Group, Medialabel, Scholz &amp; Friends, Globalist, Jung von Matt, Mawave, Momentum")</f>
        <v>Serviceplan Group, Medialabel, Scholz &amp; Friends, Globalist, Jung von Matt, Mawave, Momentum</v>
      </c>
      <c r="I4" s="11">
        <f>IFERROR(__xludf.DUMMYFUNCTION("""COMPUTED_VALUE"""),81.0)</f>
        <v>81</v>
      </c>
      <c r="J4" s="11">
        <f>IFERROR(__xludf.DUMMYFUNCTION("""COMPUTED_VALUE"""),0.08)</f>
        <v>0.08</v>
      </c>
      <c r="K4" s="11">
        <f>IFERROR(__xludf.DUMMYFUNCTION("""COMPUTED_VALUE"""),1.41)</f>
        <v>1.41</v>
      </c>
    </row>
    <row r="5" ht="15.75" customHeight="1">
      <c r="A5" s="8" t="str">
        <f>IFERROR(__xludf.DUMMYFUNCTION("""COMPUTED_VALUE"""),"https://www.influencer-hero.com/blogs/top-digital-marketing-agencies-in-germany")</f>
        <v>https://www.influencer-hero.com/blogs/top-digital-marketing-agencies-in-germany</v>
      </c>
      <c r="B5" s="11" t="str">
        <f>IFERROR(__xludf.DUMMYFUNCTION("""COMPUTED_VALUE"""),"Top 10 Digital Marketing Agencies in Germany")</f>
        <v>Top 10 Digital Marketing Agencies in Germany</v>
      </c>
      <c r="C5" s="8" t="str">
        <f>IFERROR(__xludf.DUMMYFUNCTION("""COMPUTED_VALUE"""),"influencer-hero.com")</f>
        <v>influencer-hero.com</v>
      </c>
      <c r="D5" s="11" t="str">
        <f>IFERROR(__xludf.DUMMYFUNCTION("""COMPUTED_VALUE"""),"LISTICLE")</f>
        <v>LISTICLE</v>
      </c>
      <c r="E5" s="11" t="str">
        <f>IFERROR(__xludf.DUMMYFUNCTION("""COMPUTED_VALUE"""),"CORPORATE")</f>
        <v>CORPORATE</v>
      </c>
      <c r="F5" s="11" t="str">
        <f>IFERROR(__xludf.DUMMYFUNCTION("""COMPUTED_VALUE"""),"Listicle")</f>
        <v>Listicle</v>
      </c>
      <c r="G5" s="11" t="b">
        <f>IFERROR(__xludf.DUMMYFUNCTION("""COMPUTED_VALUE"""),FALSE)</f>
        <v>0</v>
      </c>
      <c r="H5" s="11" t="str">
        <f>IFERROR(__xludf.DUMMYFUNCTION("""COMPUTED_VALUE"""),"Serviceplan Group, Mawave, Globalist, Brandtech, McKinsey &amp; Company, Medialabel")</f>
        <v>Serviceplan Group, Mawave, Globalist, Brandtech, McKinsey &amp; Company, Medialabel</v>
      </c>
      <c r="I5" s="11">
        <f>IFERROR(__xludf.DUMMYFUNCTION("""COMPUTED_VALUE"""),62.0)</f>
        <v>62</v>
      </c>
      <c r="J5" s="11">
        <f>IFERROR(__xludf.DUMMYFUNCTION("""COMPUTED_VALUE"""),0.06)</f>
        <v>0.06</v>
      </c>
      <c r="K5" s="11">
        <f>IFERROR(__xludf.DUMMYFUNCTION("""COMPUTED_VALUE"""),1.1)</f>
        <v>1.1</v>
      </c>
    </row>
    <row r="6" ht="15.75" customHeight="1">
      <c r="A6" s="8" t="str">
        <f>IFERROR(__xludf.DUMMYFUNCTION("""COMPUTED_VALUE"""),"https://www.sortlist.com/s/performance-marketing/germany-de")</f>
        <v>https://www.sortlist.com/s/performance-marketing/germany-de</v>
      </c>
      <c r="B6" s="11" t="str">
        <f>IFERROR(__xludf.DUMMYFUNCTION("""COMPUTED_VALUE"""),"The 10 Best Performance Marketing Agencies in Germany - 2026 Reviews")</f>
        <v>The 10 Best Performance Marketing Agencies in Germany - 2026 Reviews</v>
      </c>
      <c r="C6" s="8" t="str">
        <f>IFERROR(__xludf.DUMMYFUNCTION("""COMPUTED_VALUE"""),"sortlist.com")</f>
        <v>sortlist.com</v>
      </c>
      <c r="D6" s="11" t="str">
        <f>IFERROR(__xludf.DUMMYFUNCTION("""COMPUTED_VALUE"""),"LISTICLE")</f>
        <v>LISTICLE</v>
      </c>
      <c r="E6" s="11" t="str">
        <f>IFERROR(__xludf.DUMMYFUNCTION("""COMPUTED_VALUE"""),"CORPORATE")</f>
        <v>CORPORATE</v>
      </c>
      <c r="F6" s="11" t="str">
        <f>IFERROR(__xludf.DUMMYFUNCTION("""COMPUTED_VALUE"""),"Listicle")</f>
        <v>Listicle</v>
      </c>
      <c r="G6" s="11" t="b">
        <f>IFERROR(__xludf.DUMMYFUNCTION("""COMPUTED_VALUE"""),FALSE)</f>
        <v>0</v>
      </c>
      <c r="H6" s="11" t="str">
        <f>IFERROR(__xludf.DUMMYFUNCTION("""COMPUTED_VALUE"""),"MONSOON, lehof, Triple Whale, Northbeam, Dreamdata, Mediacharge")</f>
        <v>MONSOON, lehof, Triple Whale, Northbeam, Dreamdata, Mediacharge</v>
      </c>
      <c r="I6" s="11">
        <f>IFERROR(__xludf.DUMMYFUNCTION("""COMPUTED_VALUE"""),62.0)</f>
        <v>62</v>
      </c>
      <c r="J6" s="11">
        <f>IFERROR(__xludf.DUMMYFUNCTION("""COMPUTED_VALUE"""),0.06)</f>
        <v>0.06</v>
      </c>
      <c r="K6" s="11">
        <f>IFERROR(__xludf.DUMMYFUNCTION("""COMPUTED_VALUE"""),1.35)</f>
        <v>1.35</v>
      </c>
    </row>
    <row r="7" ht="15.75" customHeight="1">
      <c r="A7" s="8" t="str">
        <f>IFERROR(__xludf.DUMMYFUNCTION("""COMPUTED_VALUE"""),"https://www.influencer-hero.com/blogs/top-10-creative-agencies-in-germany")</f>
        <v>https://www.influencer-hero.com/blogs/top-10-creative-agencies-in-germany</v>
      </c>
      <c r="B7" s="11" t="str">
        <f>IFERROR(__xludf.DUMMYFUNCTION("""COMPUTED_VALUE"""),"Top 10 Creative Agencies in Germany")</f>
        <v>Top 10 Creative Agencies in Germany</v>
      </c>
      <c r="C7" s="8" t="str">
        <f>IFERROR(__xludf.DUMMYFUNCTION("""COMPUTED_VALUE"""),"influencer-hero.com")</f>
        <v>influencer-hero.com</v>
      </c>
      <c r="D7" s="11" t="str">
        <f>IFERROR(__xludf.DUMMYFUNCTION("""COMPUTED_VALUE"""),"LISTICLE")</f>
        <v>LISTICLE</v>
      </c>
      <c r="E7" s="11" t="str">
        <f>IFERROR(__xludf.DUMMYFUNCTION("""COMPUTED_VALUE"""),"CORPORATE")</f>
        <v>CORPORATE</v>
      </c>
      <c r="F7" s="11" t="str">
        <f>IFERROR(__xludf.DUMMYFUNCTION("""COMPUTED_VALUE"""),"Listicle")</f>
        <v>Listicle</v>
      </c>
      <c r="G7" s="11" t="b">
        <f>IFERROR(__xludf.DUMMYFUNCTION("""COMPUTED_VALUE"""),FALSE)</f>
        <v>0</v>
      </c>
      <c r="H7" s="11" t="str">
        <f>IFERROR(__xludf.DUMMYFUNCTION("""COMPUTED_VALUE"""),"Jung von Matt, DDB Germany, Admiral Media, Mawave, Momentum, WPP")</f>
        <v>Jung von Matt, DDB Germany, Admiral Media, Mawave, Momentum, WPP</v>
      </c>
      <c r="I7" s="11">
        <f>IFERROR(__xludf.DUMMYFUNCTION("""COMPUTED_VALUE"""),61.0)</f>
        <v>61</v>
      </c>
      <c r="J7" s="11">
        <f>IFERROR(__xludf.DUMMYFUNCTION("""COMPUTED_VALUE"""),0.06)</f>
        <v>0.06</v>
      </c>
      <c r="K7" s="11">
        <f>IFERROR(__xludf.DUMMYFUNCTION("""COMPUTED_VALUE"""),1.93)</f>
        <v>1.93</v>
      </c>
    </row>
    <row r="8" ht="15.75" customHeight="1">
      <c r="A8" s="8" t="str">
        <f>IFERROR(__xludf.DUMMYFUNCTION("""COMPUTED_VALUE"""),"https://www.ibusiness.de/performance-ranking/")</f>
        <v>https://www.ibusiness.de/performance-ranking/</v>
      </c>
      <c r="B8" s="11" t="str">
        <f>IFERROR(__xludf.DUMMYFUNCTION("""COMPUTED_VALUE"""),"Das Ranking der gr��ten deutschen Performance-Marketing-Agenturen")</f>
        <v>Das Ranking der gr��ten deutschen Performance-Marketing-Agenturen</v>
      </c>
      <c r="C8" s="8" t="str">
        <f>IFERROR(__xludf.DUMMYFUNCTION("""COMPUTED_VALUE"""),"ibusiness.de")</f>
        <v>ibusiness.de</v>
      </c>
      <c r="D8" s="11" t="str">
        <f>IFERROR(__xludf.DUMMYFUNCTION("""COMPUTED_VALUE"""),"LISTICLE")</f>
        <v>LISTICLE</v>
      </c>
      <c r="E8" s="11" t="str">
        <f>IFERROR(__xludf.DUMMYFUNCTION("""COMPUTED_VALUE"""),"EDITORIAL")</f>
        <v>EDITORIAL</v>
      </c>
      <c r="F8" s="11" t="str">
        <f>IFERROR(__xludf.DUMMYFUNCTION("""COMPUTED_VALUE"""),"Listicle")</f>
        <v>Listicle</v>
      </c>
      <c r="G8" s="11" t="b">
        <f>IFERROR(__xludf.DUMMYFUNCTION("""COMPUTED_VALUE"""),FALSE)</f>
        <v>0</v>
      </c>
      <c r="H8" s="11" t="str">
        <f>IFERROR(__xludf.DUMMYFUNCTION("""COMPUTED_VALUE"""),"iProspect, Smarketer, e-dialog, morefire, Artefact, The Boutique Agency, 42DIGITAL, DREIKON, Aufgesang, eMinded GmbH")</f>
        <v>iProspect, Smarketer, e-dialog, morefire, Artefact, The Boutique Agency, 42DIGITAL, DREIKON, Aufgesang, eMinded GmbH</v>
      </c>
      <c r="I8" s="11">
        <f>IFERROR(__xludf.DUMMYFUNCTION("""COMPUTED_VALUE"""),56.0)</f>
        <v>56</v>
      </c>
      <c r="J8" s="11">
        <f>IFERROR(__xludf.DUMMYFUNCTION("""COMPUTED_VALUE"""),0.06)</f>
        <v>0.06</v>
      </c>
      <c r="K8" s="11">
        <f>IFERROR(__xludf.DUMMYFUNCTION("""COMPUTED_VALUE"""),0.45)</f>
        <v>0.45</v>
      </c>
    </row>
    <row r="9" ht="15.75" customHeight="1">
      <c r="A9" s="8" t="str">
        <f>IFERROR(__xludf.DUMMYFUNCTION("""COMPUTED_VALUE"""),"https://www.radyant.io/comparison/6-best-geo-agencies-in-germany")</f>
        <v>https://www.radyant.io/comparison/6-best-geo-agencies-in-germany</v>
      </c>
      <c r="B9" s="11" t="str">
        <f>IFERROR(__xludf.DUMMYFUNCTION("""COMPUTED_VALUE"""),"6 best GEO agencies in Germany · Radyant")</f>
        <v>6 best GEO agencies in Germany · Radyant</v>
      </c>
      <c r="C9" s="8" t="str">
        <f>IFERROR(__xludf.DUMMYFUNCTION("""COMPUTED_VALUE"""),"radyant.io")</f>
        <v>radyant.io</v>
      </c>
      <c r="D9" s="11" t="str">
        <f>IFERROR(__xludf.DUMMYFUNCTION("""COMPUTED_VALUE"""),"LISTICLE")</f>
        <v>LISTICLE</v>
      </c>
      <c r="E9" s="11" t="str">
        <f>IFERROR(__xludf.DUMMYFUNCTION("""COMPUTED_VALUE"""),"COMPETITOR")</f>
        <v>COMPETITOR</v>
      </c>
      <c r="F9" s="11" t="str">
        <f>IFERROR(__xludf.DUMMYFUNCTION("""COMPUTED_VALUE"""),"Listicle")</f>
        <v>Listicle</v>
      </c>
      <c r="G9" s="11" t="b">
        <f>IFERROR(__xludf.DUMMYFUNCTION("""COMPUTED_VALUE"""),FALSE)</f>
        <v>0</v>
      </c>
      <c r="H9" s="11" t="str">
        <f>IFERROR(__xludf.DUMMYFUNCTION("""COMPUTED_VALUE"""),"Radyant, Claneo, Kosch Klink Performance, Suchhelden, DREIKON")</f>
        <v>Radyant, Claneo, Kosch Klink Performance, Suchhelden, DREIKON</v>
      </c>
      <c r="I9" s="11">
        <f>IFERROR(__xludf.DUMMYFUNCTION("""COMPUTED_VALUE"""),53.0)</f>
        <v>53</v>
      </c>
      <c r="J9" s="11">
        <f>IFERROR(__xludf.DUMMYFUNCTION("""COMPUTED_VALUE"""),0.06)</f>
        <v>0.06</v>
      </c>
      <c r="K9" s="11">
        <f>IFERROR(__xludf.DUMMYFUNCTION("""COMPUTED_VALUE"""),3.11)</f>
        <v>3.11</v>
      </c>
    </row>
    <row r="10" ht="15.75" customHeight="1">
      <c r="A10" s="8" t="str">
        <f>IFERROR(__xludf.DUMMYFUNCTION("""COMPUTED_VALUE"""),"https://www.dreikon.de/en/news/online-marketing-knowledge/10-best-seo-and-geo-agencies-2026/#:~:text=The%20agency%20has%20been%20recognised,KG%20(M%C3%BCnster)")</f>
        <v>https://www.dreikon.de/en/news/online-marketing-knowledge/10-best-seo-and-geo-agencies-2026/#:~:text=The%20agency%20has%20been%20recognised,KG%20(M%C3%BCnster)</v>
      </c>
      <c r="B10" s="11" t="str">
        <f>IFERROR(__xludf.DUMMYFUNCTION("""COMPUTED_VALUE"""),"The 15 best SEO and GEO agencies in 2026")</f>
        <v>The 15 best SEO and GEO agencies in 2026</v>
      </c>
      <c r="C10" s="8" t="str">
        <f>IFERROR(__xludf.DUMMYFUNCTION("""COMPUTED_VALUE"""),"dreikon.de")</f>
        <v>dreikon.de</v>
      </c>
      <c r="D10" s="11" t="str">
        <f>IFERROR(__xludf.DUMMYFUNCTION("""COMPUTED_VALUE"""),"LISTICLE")</f>
        <v>LISTICLE</v>
      </c>
      <c r="E10" s="11" t="str">
        <f>IFERROR(__xludf.DUMMYFUNCTION("""COMPUTED_VALUE"""),"COMPETITOR")</f>
        <v>COMPETITOR</v>
      </c>
      <c r="F10" s="11" t="str">
        <f>IFERROR(__xludf.DUMMYFUNCTION("""COMPUTED_VALUE"""),"Listicle")</f>
        <v>Listicle</v>
      </c>
      <c r="G10" s="11" t="b">
        <f>IFERROR(__xludf.DUMMYFUNCTION("""COMPUTED_VALUE"""),FALSE)</f>
        <v>0</v>
      </c>
      <c r="H10" s="11" t="str">
        <f>IFERROR(__xludf.DUMMYFUNCTION("""COMPUTED_VALUE"""),"DREIKON, TRYSEO, morefire, eMinded GmbH, Measured")</f>
        <v>DREIKON, TRYSEO, morefire, eMinded GmbH, Measured</v>
      </c>
      <c r="I10" s="11">
        <f>IFERROR(__xludf.DUMMYFUNCTION("""COMPUTED_VALUE"""),51.0)</f>
        <v>51</v>
      </c>
      <c r="J10" s="11">
        <f>IFERROR(__xludf.DUMMYFUNCTION("""COMPUTED_VALUE"""),0.05)</f>
        <v>0.05</v>
      </c>
      <c r="K10" s="11">
        <f>IFERROR(__xludf.DUMMYFUNCTION("""COMPUTED_VALUE"""),0.96)</f>
        <v>0.96</v>
      </c>
    </row>
    <row r="11" ht="15.75" customHeight="1">
      <c r="A11" s="8" t="str">
        <f>IFERROR(__xludf.DUMMYFUNCTION("""COMPUTED_VALUE"""),"https://www.influencer-hero.com/blogs/top-advertising-agencies-in-germany")</f>
        <v>https://www.influencer-hero.com/blogs/top-advertising-agencies-in-germany</v>
      </c>
      <c r="B11" s="11" t="str">
        <f>IFERROR(__xludf.DUMMYFUNCTION("""COMPUTED_VALUE"""),"Top 10 Advertising Agencies in Germany")</f>
        <v>Top 10 Advertising Agencies in Germany</v>
      </c>
      <c r="C11" s="8" t="str">
        <f>IFERROR(__xludf.DUMMYFUNCTION("""COMPUTED_VALUE"""),"influencer-hero.com")</f>
        <v>influencer-hero.com</v>
      </c>
      <c r="D11" s="11" t="str">
        <f>IFERROR(__xludf.DUMMYFUNCTION("""COMPUTED_VALUE"""),"LISTICLE")</f>
        <v>LISTICLE</v>
      </c>
      <c r="E11" s="11" t="str">
        <f>IFERROR(__xludf.DUMMYFUNCTION("""COMPUTED_VALUE"""),"CORPORATE")</f>
        <v>CORPORATE</v>
      </c>
      <c r="F11" s="11" t="str">
        <f>IFERROR(__xludf.DUMMYFUNCTION("""COMPUTED_VALUE"""),"Listicle")</f>
        <v>Listicle</v>
      </c>
      <c r="G11" s="11" t="b">
        <f>IFERROR(__xludf.DUMMYFUNCTION("""COMPUTED_VALUE"""),FALSE)</f>
        <v>0</v>
      </c>
      <c r="H11" s="11" t="str">
        <f>IFERROR(__xludf.DUMMYFUNCTION("""COMPUTED_VALUE"""),"Pilot, Mawave, MONSOON, Globalist, Social Media Pirates, Medialabel")</f>
        <v>Pilot, Mawave, MONSOON, Globalist, Social Media Pirates, Medialabel</v>
      </c>
      <c r="I11" s="11">
        <f>IFERROR(__xludf.DUMMYFUNCTION("""COMPUTED_VALUE"""),45.0)</f>
        <v>45</v>
      </c>
      <c r="J11" s="11">
        <f>IFERROR(__xludf.DUMMYFUNCTION("""COMPUTED_VALUE"""),0.05)</f>
        <v>0.05</v>
      </c>
      <c r="K11" s="11">
        <f>IFERROR(__xludf.DUMMYFUNCTION("""COMPUTED_VALUE"""),1.0)</f>
        <v>1</v>
      </c>
    </row>
    <row r="12" ht="15.75" customHeight="1">
      <c r="A12" s="8" t="str">
        <f>IFERROR(__xludf.DUMMYFUNCTION("""COMPUTED_VALUE"""),"https://creatif.agency/the-best-branding-agencies-in-germany/#:~:text=Another%20standout%20agency%20based%20in,Deutsche%20Post%20reinvent%20their%20identities.")</f>
        <v>https://creatif.agency/the-best-branding-agencies-in-germany/#:~:text=Another%20standout%20agency%20based%20in,Deutsche%20Post%20reinvent%20their%20identities.</v>
      </c>
      <c r="B12" s="11" t="str">
        <f>IFERROR(__xludf.DUMMYFUNCTION("""COMPUTED_VALUE"""),"The best branding agencies in Germany ranked")</f>
        <v>The best branding agencies in Germany ranked</v>
      </c>
      <c r="C12" s="11" t="str">
        <f>IFERROR(__xludf.DUMMYFUNCTION("""COMPUTED_VALUE"""),"creatif.agency")</f>
        <v>creatif.agency</v>
      </c>
      <c r="D12" s="11" t="str">
        <f>IFERROR(__xludf.DUMMYFUNCTION("""COMPUTED_VALUE"""),"LISTICLE")</f>
        <v>LISTICLE</v>
      </c>
      <c r="E12" s="11" t="str">
        <f>IFERROR(__xludf.DUMMYFUNCTION("""COMPUTED_VALUE"""),"CORPORATE")</f>
        <v>CORPORATE</v>
      </c>
      <c r="F12" s="11" t="str">
        <f>IFERROR(__xludf.DUMMYFUNCTION("""COMPUTED_VALUE"""),"Listicle")</f>
        <v>Listicle</v>
      </c>
      <c r="G12" s="11" t="b">
        <f>IFERROR(__xludf.DUMMYFUNCTION("""COMPUTED_VALUE"""),FALSE)</f>
        <v>0</v>
      </c>
      <c r="H12" s="11" t="str">
        <f>IFERROR(__xludf.DUMMYFUNCTION("""COMPUTED_VALUE"""),"MetaDesign")</f>
        <v>MetaDesign</v>
      </c>
      <c r="I12" s="11">
        <f>IFERROR(__xludf.DUMMYFUNCTION("""COMPUTED_VALUE"""),37.0)</f>
        <v>37</v>
      </c>
      <c r="J12" s="11">
        <f>IFERROR(__xludf.DUMMYFUNCTION("""COMPUTED_VALUE"""),0.04)</f>
        <v>0.04</v>
      </c>
      <c r="K12" s="11">
        <f>IFERROR(__xludf.DUMMYFUNCTION("""COMPUTED_VALUE"""),1.73)</f>
        <v>1.73</v>
      </c>
    </row>
    <row r="13" ht="15.75" customHeight="1">
      <c r="A13" s="8" t="str">
        <f>IFERROR(__xludf.DUMMYFUNCTION("""COMPUTED_VALUE"""),"https://www.influencer-hero.com/blogs/top-social-media-agencies-in-germany")</f>
        <v>https://www.influencer-hero.com/blogs/top-social-media-agencies-in-germany</v>
      </c>
      <c r="B13" s="11" t="str">
        <f>IFERROR(__xludf.DUMMYFUNCTION("""COMPUTED_VALUE"""),"Top 10 Social Media Agencies in Germany")</f>
        <v>Top 10 Social Media Agencies in Germany</v>
      </c>
      <c r="C13" s="8" t="str">
        <f>IFERROR(__xludf.DUMMYFUNCTION("""COMPUTED_VALUE"""),"influencer-hero.com")</f>
        <v>influencer-hero.com</v>
      </c>
      <c r="D13" s="11" t="str">
        <f>IFERROR(__xludf.DUMMYFUNCTION("""COMPUTED_VALUE"""),"LISTICLE")</f>
        <v>LISTICLE</v>
      </c>
      <c r="E13" s="11" t="str">
        <f>IFERROR(__xludf.DUMMYFUNCTION("""COMPUTED_VALUE"""),"CORPORATE")</f>
        <v>CORPORATE</v>
      </c>
      <c r="F13" s="11" t="str">
        <f>IFERROR(__xludf.DUMMYFUNCTION("""COMPUTED_VALUE"""),"Listicle")</f>
        <v>Listicle</v>
      </c>
      <c r="G13" s="11" t="b">
        <f>IFERROR(__xludf.DUMMYFUNCTION("""COMPUTED_VALUE"""),FALSE)</f>
        <v>0</v>
      </c>
      <c r="H13" s="11" t="str">
        <f>IFERROR(__xludf.DUMMYFUNCTION("""COMPUTED_VALUE"""),"Medialabel, Social Media One, Mawave, PANORAMA3000, Social Media Pirates, WPP")</f>
        <v>Medialabel, Social Media One, Mawave, PANORAMA3000, Social Media Pirates, WPP</v>
      </c>
      <c r="I13" s="11">
        <f>IFERROR(__xludf.DUMMYFUNCTION("""COMPUTED_VALUE"""),35.0)</f>
        <v>35</v>
      </c>
      <c r="J13" s="11">
        <f>IFERROR(__xludf.DUMMYFUNCTION("""COMPUTED_VALUE"""),0.04)</f>
        <v>0.04</v>
      </c>
      <c r="K13" s="11">
        <f>IFERROR(__xludf.DUMMYFUNCTION("""COMPUTED_VALUE"""),1.06)</f>
        <v>1.06</v>
      </c>
    </row>
    <row r="14" ht="15.75" customHeight="1">
      <c r="A14" s="8" t="str">
        <f>IFERROR(__xludf.DUMMYFUNCTION("""COMPUTED_VALUE"""),"https://www.measured.com/faq/best-incrementality-testing-companies-software-for-marketing-2026/")</f>
        <v>https://www.measured.com/faq/best-incrementality-testing-companies-software-for-marketing-2026/</v>
      </c>
      <c r="B14" s="11" t="str">
        <f>IFERROR(__xludf.DUMMYFUNCTION("""COMPUTED_VALUE"""),"Best Incrementality Testing Companies &amp;amp; Software for Marketing (2026)")</f>
        <v>Best Incrementality Testing Companies &amp;amp; Software for Marketing (2026)</v>
      </c>
      <c r="C14" s="8" t="str">
        <f>IFERROR(__xludf.DUMMYFUNCTION("""COMPUTED_VALUE"""),"measured.com")</f>
        <v>measured.com</v>
      </c>
      <c r="D14" s="11" t="str">
        <f>IFERROR(__xludf.DUMMYFUNCTION("""COMPUTED_VALUE"""),"LISTICLE")</f>
        <v>LISTICLE</v>
      </c>
      <c r="E14" s="11" t="str">
        <f>IFERROR(__xludf.DUMMYFUNCTION("""COMPUTED_VALUE"""),"COMPETITOR")</f>
        <v>COMPETITOR</v>
      </c>
      <c r="F14" s="11" t="str">
        <f>IFERROR(__xludf.DUMMYFUNCTION("""COMPUTED_VALUE"""),"Listicle")</f>
        <v>Listicle</v>
      </c>
      <c r="G14" s="11" t="b">
        <f>IFERROR(__xludf.DUMMYFUNCTION("""COMPUTED_VALUE"""),FALSE)</f>
        <v>0</v>
      </c>
      <c r="H14" s="11" t="str">
        <f>IFERROR(__xludf.DUMMYFUNCTION("""COMPUTED_VALUE"""),"Measured, Neustar, Rockerbox, Haus, Recast, Analytic Partners")</f>
        <v>Measured, Neustar, Rockerbox, Haus, Recast, Analytic Partners</v>
      </c>
      <c r="I14" s="11">
        <f>IFERROR(__xludf.DUMMYFUNCTION("""COMPUTED_VALUE"""),34.0)</f>
        <v>34</v>
      </c>
      <c r="J14" s="11">
        <f>IFERROR(__xludf.DUMMYFUNCTION("""COMPUTED_VALUE"""),0.04)</f>
        <v>0.04</v>
      </c>
      <c r="K14" s="11">
        <f>IFERROR(__xludf.DUMMYFUNCTION("""COMPUTED_VALUE"""),1.62)</f>
        <v>1.62</v>
      </c>
    </row>
    <row r="15" ht="15.75" customHeight="1">
      <c r="A15" s="8" t="str">
        <f>IFERROR(__xludf.DUMMYFUNCTION("""COMPUTED_VALUE"""),"https://www.radigitalworld.com/2026/03/best-performance-marketing-companies-in.html")</f>
        <v>https://www.radigitalworld.com/2026/03/best-performance-marketing-companies-in.html</v>
      </c>
      <c r="B15" s="11" t="str">
        <f>IFERROR(__xludf.DUMMYFUNCTION("""COMPUTED_VALUE"""),"Best Performance Marketing Companies in Germany")</f>
        <v>Best Performance Marketing Companies in Germany</v>
      </c>
      <c r="C15" s="8" t="str">
        <f>IFERROR(__xludf.DUMMYFUNCTION("""COMPUTED_VALUE"""),"radigitalworld.com")</f>
        <v>radigitalworld.com</v>
      </c>
      <c r="D15" s="11" t="str">
        <f>IFERROR(__xludf.DUMMYFUNCTION("""COMPUTED_VALUE"""),"LISTICLE")</f>
        <v>LISTICLE</v>
      </c>
      <c r="E15" s="11" t="str">
        <f>IFERROR(__xludf.DUMMYFUNCTION("""COMPUTED_VALUE"""),"OTHER")</f>
        <v>OTHER</v>
      </c>
      <c r="F15" s="11" t="str">
        <f>IFERROR(__xludf.DUMMYFUNCTION("""COMPUTED_VALUE"""),"Listicle")</f>
        <v>Listicle</v>
      </c>
      <c r="G15" s="11" t="b">
        <f>IFERROR(__xludf.DUMMYFUNCTION("""COMPUTED_VALUE"""),FALSE)</f>
        <v>0</v>
      </c>
      <c r="H15" s="11" t="str">
        <f>IFERROR(__xludf.DUMMYFUNCTION("""COMPUTED_VALUE"""),"MONSOON, eMinded GmbH, morefire, Think11, Serviceplan Group, Claneo")</f>
        <v>MONSOON, eMinded GmbH, morefire, Think11, Serviceplan Group, Claneo</v>
      </c>
      <c r="I15" s="11">
        <f>IFERROR(__xludf.DUMMYFUNCTION("""COMPUTED_VALUE"""),34.0)</f>
        <v>34</v>
      </c>
      <c r="J15" s="11">
        <f>IFERROR(__xludf.DUMMYFUNCTION("""COMPUTED_VALUE"""),0.04)</f>
        <v>0.04</v>
      </c>
      <c r="K15" s="11">
        <f>IFERROR(__xludf.DUMMYFUNCTION("""COMPUTED_VALUE"""),2.85)</f>
        <v>2.85</v>
      </c>
    </row>
    <row r="16" ht="15.75" customHeight="1">
      <c r="A16" s="8" t="str">
        <f>IFERROR(__xludf.DUMMYFUNCTION("""COMPUTED_VALUE"""),"https://www.xmethod.de/en/blog/best-ai-agencies")</f>
        <v>https://www.xmethod.de/en/blog/best-ai-agencies</v>
      </c>
      <c r="B16" s="11" t="str">
        <f>IFERROR(__xludf.DUMMYFUNCTION("""COMPUTED_VALUE"""),"Best AI Development &amp;amp; Automation Companies 2026 in Germany")</f>
        <v>Best AI Development &amp;amp; Automation Companies 2026 in Germany</v>
      </c>
      <c r="C16" s="8" t="str">
        <f>IFERROR(__xludf.DUMMYFUNCTION("""COMPUTED_VALUE"""),"xmethod.de")</f>
        <v>xmethod.de</v>
      </c>
      <c r="D16" s="11" t="str">
        <f>IFERROR(__xludf.DUMMYFUNCTION("""COMPUTED_VALUE"""),"LISTICLE")</f>
        <v>LISTICLE</v>
      </c>
      <c r="E16" s="11" t="str">
        <f>IFERROR(__xludf.DUMMYFUNCTION("""COMPUTED_VALUE"""),"COMPETITOR")</f>
        <v>COMPETITOR</v>
      </c>
      <c r="F16" s="11" t="str">
        <f>IFERROR(__xludf.DUMMYFUNCTION("""COMPUTED_VALUE"""),"Listicle")</f>
        <v>Listicle</v>
      </c>
      <c r="G16" s="11" t="b">
        <f>IFERROR(__xludf.DUMMYFUNCTION("""COMPUTED_VALUE"""),FALSE)</f>
        <v>0</v>
      </c>
      <c r="H16" s="11" t="str">
        <f>IFERROR(__xludf.DUMMYFUNCTION("""COMPUTED_VALUE"""),"Xmethod, Seiten-Werk, Pilot")</f>
        <v>Xmethod, Seiten-Werk, Pilot</v>
      </c>
      <c r="I16" s="11">
        <f>IFERROR(__xludf.DUMMYFUNCTION("""COMPUTED_VALUE"""),34.0)</f>
        <v>34</v>
      </c>
      <c r="J16" s="11">
        <f>IFERROR(__xludf.DUMMYFUNCTION("""COMPUTED_VALUE"""),0.04)</f>
        <v>0.04</v>
      </c>
      <c r="K16" s="11">
        <f>IFERROR(__xludf.DUMMYFUNCTION("""COMPUTED_VALUE"""),1.32)</f>
        <v>1.32</v>
      </c>
    </row>
    <row r="17" ht="15.75" customHeight="1">
      <c r="A17" s="8" t="str">
        <f>IFERROR(__xludf.DUMMYFUNCTION("""COMPUTED_VALUE"""),"https://www.dreikon.de/en/news/social-media/the-10-best-agencies-in-germany-2026/")</f>
        <v>https://www.dreikon.de/en/news/social-media/the-10-best-agencies-in-germany-2026/</v>
      </c>
      <c r="B17" s="11" t="str">
        <f>IFERROR(__xludf.DUMMYFUNCTION("""COMPUTED_VALUE"""),"Ranking of the 10 best social media agencies in Germany")</f>
        <v>Ranking of the 10 best social media agencies in Germany</v>
      </c>
      <c r="C17" s="8" t="str">
        <f>IFERROR(__xludf.DUMMYFUNCTION("""COMPUTED_VALUE"""),"dreikon.de")</f>
        <v>dreikon.de</v>
      </c>
      <c r="D17" s="11" t="str">
        <f>IFERROR(__xludf.DUMMYFUNCTION("""COMPUTED_VALUE"""),"LISTICLE")</f>
        <v>LISTICLE</v>
      </c>
      <c r="E17" s="11" t="str">
        <f>IFERROR(__xludf.DUMMYFUNCTION("""COMPUTED_VALUE"""),"COMPETITOR")</f>
        <v>COMPETITOR</v>
      </c>
      <c r="F17" s="11" t="str">
        <f>IFERROR(__xludf.DUMMYFUNCTION("""COMPUTED_VALUE"""),"Listicle")</f>
        <v>Listicle</v>
      </c>
      <c r="G17" s="11" t="b">
        <f>IFERROR(__xludf.DUMMYFUNCTION("""COMPUTED_VALUE"""),FALSE)</f>
        <v>0</v>
      </c>
      <c r="H17" s="11" t="str">
        <f>IFERROR(__xludf.DUMMYFUNCTION("""COMPUTED_VALUE"""),"DREIKON, Loyamo, Mawave")</f>
        <v>DREIKON, Loyamo, Mawave</v>
      </c>
      <c r="I17" s="11">
        <f>IFERROR(__xludf.DUMMYFUNCTION("""COMPUTED_VALUE"""),33.0)</f>
        <v>33</v>
      </c>
      <c r="J17" s="11">
        <f>IFERROR(__xludf.DUMMYFUNCTION("""COMPUTED_VALUE"""),0.03)</f>
        <v>0.03</v>
      </c>
      <c r="K17" s="11">
        <f>IFERROR(__xludf.DUMMYFUNCTION("""COMPUTED_VALUE"""),1.79)</f>
        <v>1.79</v>
      </c>
    </row>
    <row r="18" ht="15.75" customHeight="1">
      <c r="A18" s="8" t="str">
        <f>IFERROR(__xludf.DUMMYFUNCTION("""COMPUTED_VALUE"""),"https://hikemytraffic.com/ai-digital-marketing-agencies-in-germany/")</f>
        <v>https://hikemytraffic.com/ai-digital-marketing-agencies-in-germany/</v>
      </c>
      <c r="B18" s="11" t="str">
        <f>IFERROR(__xludf.DUMMYFUNCTION("""COMPUTED_VALUE"""),"15 Best AI Digital Marketing Agencies in Germany (2026)")</f>
        <v>15 Best AI Digital Marketing Agencies in Germany (2026)</v>
      </c>
      <c r="C18" s="8" t="str">
        <f>IFERROR(__xludf.DUMMYFUNCTION("""COMPUTED_VALUE"""),"hikemytraffic.com")</f>
        <v>hikemytraffic.com</v>
      </c>
      <c r="D18" s="11" t="str">
        <f>IFERROR(__xludf.DUMMYFUNCTION("""COMPUTED_VALUE"""),"LISTICLE")</f>
        <v>LISTICLE</v>
      </c>
      <c r="E18" s="11" t="str">
        <f>IFERROR(__xludf.DUMMYFUNCTION("""COMPUTED_VALUE"""),"COMPETITOR")</f>
        <v>COMPETITOR</v>
      </c>
      <c r="F18" s="11" t="str">
        <f>IFERROR(__xludf.DUMMYFUNCTION("""COMPUTED_VALUE"""),"Listicle")</f>
        <v>Listicle</v>
      </c>
      <c r="G18" s="11" t="b">
        <f>IFERROR(__xludf.DUMMYFUNCTION("""COMPUTED_VALUE"""),FALSE)</f>
        <v>0</v>
      </c>
      <c r="H18" s="11" t="str">
        <f>IFERROR(__xludf.DUMMYFUNCTION("""COMPUTED_VALUE"""),"HikeMyTraffic")</f>
        <v>HikeMyTraffic</v>
      </c>
      <c r="I18" s="11">
        <f>IFERROR(__xludf.DUMMYFUNCTION("""COMPUTED_VALUE"""),30.0)</f>
        <v>30</v>
      </c>
      <c r="J18" s="11">
        <f>IFERROR(__xludf.DUMMYFUNCTION("""COMPUTED_VALUE"""),0.03)</f>
        <v>0.03</v>
      </c>
      <c r="K18" s="11">
        <f>IFERROR(__xludf.DUMMYFUNCTION("""COMPUTED_VALUE"""),1.17)</f>
        <v>1.17</v>
      </c>
    </row>
    <row r="19" ht="15.75" customHeight="1">
      <c r="A19" s="8" t="str">
        <f>IFERROR(__xludf.DUMMYFUNCTION("""COMPUTED_VALUE"""),"https://www.influencer-hero.com/blogs/top-pay-per-click-agencies-in-germany")</f>
        <v>https://www.influencer-hero.com/blogs/top-pay-per-click-agencies-in-germany</v>
      </c>
      <c r="B19" s="11" t="str">
        <f>IFERROR(__xludf.DUMMYFUNCTION("""COMPUTED_VALUE"""),"Top 10 Pay-Per-Click Agencies in Germany")</f>
        <v>Top 10 Pay-Per-Click Agencies in Germany</v>
      </c>
      <c r="C19" s="8" t="str">
        <f>IFERROR(__xludf.DUMMYFUNCTION("""COMPUTED_VALUE"""),"influencer-hero.com")</f>
        <v>influencer-hero.com</v>
      </c>
      <c r="D19" s="11" t="str">
        <f>IFERROR(__xludf.DUMMYFUNCTION("""COMPUTED_VALUE"""),"LISTICLE")</f>
        <v>LISTICLE</v>
      </c>
      <c r="E19" s="11" t="str">
        <f>IFERROR(__xludf.DUMMYFUNCTION("""COMPUTED_VALUE"""),"CORPORATE")</f>
        <v>CORPORATE</v>
      </c>
      <c r="F19" s="11" t="str">
        <f>IFERROR(__xludf.DUMMYFUNCTION("""COMPUTED_VALUE"""),"Listicle")</f>
        <v>Listicle</v>
      </c>
      <c r="G19" s="11" t="b">
        <f>IFERROR(__xludf.DUMMYFUNCTION("""COMPUTED_VALUE"""),FALSE)</f>
        <v>0</v>
      </c>
      <c r="H19" s="11" t="str">
        <f>IFERROR(__xludf.DUMMYFUNCTION("""COMPUTED_VALUE"""),"Globalist, Social Media One, MONSOON, Mediacharge, Smarketer, KlickPiloten, Loyamo")</f>
        <v>Globalist, Social Media One, MONSOON, Mediacharge, Smarketer, KlickPiloten, Loyamo</v>
      </c>
      <c r="I19" s="11">
        <f>IFERROR(__xludf.DUMMYFUNCTION("""COMPUTED_VALUE"""),30.0)</f>
        <v>30</v>
      </c>
      <c r="J19" s="11">
        <f>IFERROR(__xludf.DUMMYFUNCTION("""COMPUTED_VALUE"""),0.03)</f>
        <v>0.03</v>
      </c>
      <c r="K19" s="11">
        <f>IFERROR(__xludf.DUMMYFUNCTION("""COMPUTED_VALUE"""),1.03)</f>
        <v>1.03</v>
      </c>
    </row>
    <row r="20" ht="15.75" customHeight="1">
      <c r="A20" s="8" t="str">
        <f>IFERROR(__xludf.DUMMYFUNCTION("""COMPUTED_VALUE"""),"https://www.cometly.com/post/best-marketing-attribution-agencies-in-europe")</f>
        <v>https://www.cometly.com/post/best-marketing-attribution-agencies-in-europe</v>
      </c>
      <c r="B20" s="11" t="str">
        <f>IFERROR(__xludf.DUMMYFUNCTION("""COMPUTED_VALUE"""),"Best Marketing Attribution Agencies In Europe 2026")</f>
        <v>Best Marketing Attribution Agencies In Europe 2026</v>
      </c>
      <c r="C20" s="8" t="str">
        <f>IFERROR(__xludf.DUMMYFUNCTION("""COMPUTED_VALUE"""),"cometly.com")</f>
        <v>cometly.com</v>
      </c>
      <c r="D20" s="11" t="str">
        <f>IFERROR(__xludf.DUMMYFUNCTION("""COMPUTED_VALUE"""),"LISTICLE")</f>
        <v>LISTICLE</v>
      </c>
      <c r="E20" s="11" t="str">
        <f>IFERROR(__xludf.DUMMYFUNCTION("""COMPUTED_VALUE"""),"COMPETITOR")</f>
        <v>COMPETITOR</v>
      </c>
      <c r="F20" s="11" t="str">
        <f>IFERROR(__xludf.DUMMYFUNCTION("""COMPUTED_VALUE"""),"Listicle")</f>
        <v>Listicle</v>
      </c>
      <c r="G20" s="11" t="b">
        <f>IFERROR(__xludf.DUMMYFUNCTION("""COMPUTED_VALUE"""),TRUE)</f>
        <v>1</v>
      </c>
      <c r="H20" s="11" t="str">
        <f>IFERROR(__xludf.DUMMYFUNCTION("""COMPUTED_VALUE"""),"Cometly, Incubeta, Artefact, Convertiv, Jellyfish, Making Science")</f>
        <v>Cometly, Incubeta, Artefact, Convertiv, Jellyfish, Making Science</v>
      </c>
      <c r="I20" s="11">
        <f>IFERROR(__xludf.DUMMYFUNCTION("""COMPUTED_VALUE"""),28.0)</f>
        <v>28</v>
      </c>
      <c r="J20" s="11">
        <f>IFERROR(__xludf.DUMMYFUNCTION("""COMPUTED_VALUE"""),0.03)</f>
        <v>0.03</v>
      </c>
      <c r="K20" s="11">
        <f>IFERROR(__xludf.DUMMYFUNCTION("""COMPUTED_VALUE"""),1.71)</f>
        <v>1.71</v>
      </c>
    </row>
    <row r="21" ht="15.75" customHeight="1">
      <c r="A21" s="8" t="str">
        <f>IFERROR(__xludf.DUMMYFUNCTION("""COMPUTED_VALUE"""),"https://www.magiclibrary.co/blog/best-b2b-saas-marketing-agencies-in-germany")</f>
        <v>https://www.magiclibrary.co/blog/best-b2b-saas-marketing-agencies-in-germany</v>
      </c>
      <c r="B21" s="11" t="str">
        <f>IFERROR(__xludf.DUMMYFUNCTION("""COMPUTED_VALUE"""),"12 best B2B SaaS marketing agencies in Germany for 2026")</f>
        <v>12 best B2B SaaS marketing agencies in Germany for 2026</v>
      </c>
      <c r="C21" s="8" t="str">
        <f>IFERROR(__xludf.DUMMYFUNCTION("""COMPUTED_VALUE"""),"magiclibrary.co")</f>
        <v>magiclibrary.co</v>
      </c>
      <c r="D21" s="11" t="str">
        <f>IFERROR(__xludf.DUMMYFUNCTION("""COMPUTED_VALUE"""),"LISTICLE")</f>
        <v>LISTICLE</v>
      </c>
      <c r="E21" s="11" t="str">
        <f>IFERROR(__xludf.DUMMYFUNCTION("""COMPUTED_VALUE"""),"REFERENCE")</f>
        <v>REFERENCE</v>
      </c>
      <c r="F21" s="11" t="str">
        <f>IFERROR(__xludf.DUMMYFUNCTION("""COMPUTED_VALUE"""),"Listicle")</f>
        <v>Listicle</v>
      </c>
      <c r="G21" s="11" t="b">
        <f>IFERROR(__xludf.DUMMYFUNCTION("""COMPUTED_VALUE"""),FALSE)</f>
        <v>0</v>
      </c>
      <c r="H21" s="11" t="str">
        <f>IFERROR(__xludf.DUMMYFUNCTION("""COMPUTED_VALUE"""),"Radyant, Omnius")</f>
        <v>Radyant, Omnius</v>
      </c>
      <c r="I21" s="11">
        <f>IFERROR(__xludf.DUMMYFUNCTION("""COMPUTED_VALUE"""),27.0)</f>
        <v>27</v>
      </c>
      <c r="J21" s="11">
        <f>IFERROR(__xludf.DUMMYFUNCTION("""COMPUTED_VALUE"""),0.03)</f>
        <v>0.03</v>
      </c>
      <c r="K21" s="11">
        <f>IFERROR(__xludf.DUMMYFUNCTION("""COMPUTED_VALUE"""),1.15)</f>
        <v>1.15</v>
      </c>
    </row>
    <row r="22" ht="15.75" customHeight="1">
      <c r="A22" s="8" t="str">
        <f>IFERROR(__xludf.DUMMYFUNCTION("""COMPUTED_VALUE"""),"https://aeovision.ai/articles/best-aeo-geo-agencies-2026/")</f>
        <v>https://aeovision.ai/articles/best-aeo-geo-agencies-2026/</v>
      </c>
      <c r="B22" s="11" t="str">
        <f>IFERROR(__xludf.DUMMYFUNCTION("""COMPUTED_VALUE"""),"Best 60+ AEO/GEO Agencies in 2026 (US, Europe &amp;amp; Asia Directory) | AEO Vision")</f>
        <v>Best 60+ AEO/GEO Agencies in 2026 (US, Europe &amp;amp; Asia Directory) | AEO Vision</v>
      </c>
      <c r="C22" s="8" t="str">
        <f>IFERROR(__xludf.DUMMYFUNCTION("""COMPUTED_VALUE"""),"aeovision.ai")</f>
        <v>aeovision.ai</v>
      </c>
      <c r="D22" s="11" t="str">
        <f>IFERROR(__xludf.DUMMYFUNCTION("""COMPUTED_VALUE"""),"LISTICLE")</f>
        <v>LISTICLE</v>
      </c>
      <c r="E22" s="11" t="str">
        <f>IFERROR(__xludf.DUMMYFUNCTION("""COMPUTED_VALUE"""),"CORPORATE")</f>
        <v>CORPORATE</v>
      </c>
      <c r="F22" s="11" t="str">
        <f>IFERROR(__xludf.DUMMYFUNCTION("""COMPUTED_VALUE"""),"Listicle")</f>
        <v>Listicle</v>
      </c>
      <c r="G22" s="11" t="b">
        <f>IFERROR(__xludf.DUMMYFUNCTION("""COMPUTED_VALUE"""),FALSE)</f>
        <v>0</v>
      </c>
      <c r="H22" s="11" t="str">
        <f>IFERROR(__xludf.DUMMYFUNCTION("""COMPUTED_VALUE"""),"iPullRank, Siege Media, Omniscient Digital, NoGood, Directive Consulting, Single Grain, Darkroom, Wpromote, Omnius, Seeders, Claneo, Radyant")</f>
        <v>iPullRank, Siege Media, Omniscient Digital, NoGood, Directive Consulting, Single Grain, Darkroom, Wpromote, Omnius, Seeders, Claneo, Radyant</v>
      </c>
      <c r="I22" s="11">
        <f>IFERROR(__xludf.DUMMYFUNCTION("""COMPUTED_VALUE"""),26.0)</f>
        <v>26</v>
      </c>
      <c r="J22" s="11">
        <f>IFERROR(__xludf.DUMMYFUNCTION("""COMPUTED_VALUE"""),0.03)</f>
        <v>0.03</v>
      </c>
      <c r="K22" s="11">
        <f>IFERROR(__xludf.DUMMYFUNCTION("""COMPUTED_VALUE"""),0.54)</f>
        <v>0.54</v>
      </c>
    </row>
    <row r="23" ht="15.75" customHeight="1">
      <c r="A23" s="8" t="str">
        <f>IFERROR(__xludf.DUMMYFUNCTION("""COMPUTED_VALUE"""),"https://sourceforge.net/software/marketing-attribution/germany/")</f>
        <v>https://sourceforge.net/software/marketing-attribution/germany/</v>
      </c>
      <c r="B23" s="11" t="str">
        <f>IFERROR(__xludf.DUMMYFUNCTION("""COMPUTED_VALUE"""),"Best Marketing Attribution Software in Germany of 2026 - Reviews &amp;amp; Comparison")</f>
        <v>Best Marketing Attribution Software in Germany of 2026 - Reviews &amp;amp; Comparison</v>
      </c>
      <c r="C23" s="8" t="str">
        <f>IFERROR(__xludf.DUMMYFUNCTION("""COMPUTED_VALUE"""),"sourceforge.net")</f>
        <v>sourceforge.net</v>
      </c>
      <c r="D23" s="11" t="str">
        <f>IFERROR(__xludf.DUMMYFUNCTION("""COMPUTED_VALUE"""),"LISTICLE")</f>
        <v>LISTICLE</v>
      </c>
      <c r="E23" s="11" t="str">
        <f>IFERROR(__xludf.DUMMYFUNCTION("""COMPUTED_VALUE"""),"OTHER")</f>
        <v>OTHER</v>
      </c>
      <c r="F23" s="11" t="str">
        <f>IFERROR(__xludf.DUMMYFUNCTION("""COMPUTED_VALUE"""),"Listicle")</f>
        <v>Listicle</v>
      </c>
      <c r="G23" s="11" t="b">
        <f>IFERROR(__xludf.DUMMYFUNCTION("""COMPUTED_VALUE"""),FALSE)</f>
        <v>0</v>
      </c>
      <c r="H23" s="11" t="str">
        <f>IFERROR(__xludf.DUMMYFUNCTION("""COMPUTED_VALUE"""),"Triple Whale, Measured")</f>
        <v>Triple Whale, Measured</v>
      </c>
      <c r="I23" s="11">
        <f>IFERROR(__xludf.DUMMYFUNCTION("""COMPUTED_VALUE"""),26.0)</f>
        <v>26</v>
      </c>
      <c r="J23" s="11">
        <f>IFERROR(__xludf.DUMMYFUNCTION("""COMPUTED_VALUE"""),0.03)</f>
        <v>0.03</v>
      </c>
      <c r="K23" s="11">
        <f>IFERROR(__xludf.DUMMYFUNCTION("""COMPUTED_VALUE"""),0.15)</f>
        <v>0.15</v>
      </c>
    </row>
    <row r="24" ht="15.75" customHeight="1">
      <c r="A24" s="8" t="str">
        <f>IFERROR(__xludf.DUMMYFUNCTION("""COMPUTED_VALUE"""),"https://hikemytraffic.com/ai-digital-marketing-services-in-germany/")</f>
        <v>https://hikemytraffic.com/ai-digital-marketing-services-in-germany/</v>
      </c>
      <c r="B24" s="11" t="str">
        <f>IFERROR(__xludf.DUMMYFUNCTION("""COMPUTED_VALUE"""),"Top 10 AI Digital Marketing Services in Germany (2026)")</f>
        <v>Top 10 AI Digital Marketing Services in Germany (2026)</v>
      </c>
      <c r="C24" s="8" t="str">
        <f>IFERROR(__xludf.DUMMYFUNCTION("""COMPUTED_VALUE"""),"hikemytraffic.com")</f>
        <v>hikemytraffic.com</v>
      </c>
      <c r="D24" s="11" t="str">
        <f>IFERROR(__xludf.DUMMYFUNCTION("""COMPUTED_VALUE"""),"LISTICLE")</f>
        <v>LISTICLE</v>
      </c>
      <c r="E24" s="11" t="str">
        <f>IFERROR(__xludf.DUMMYFUNCTION("""COMPUTED_VALUE"""),"COMPETITOR")</f>
        <v>COMPETITOR</v>
      </c>
      <c r="F24" s="11" t="str">
        <f>IFERROR(__xludf.DUMMYFUNCTION("""COMPUTED_VALUE"""),"Listicle")</f>
        <v>Listicle</v>
      </c>
      <c r="G24" s="11" t="b">
        <f>IFERROR(__xludf.DUMMYFUNCTION("""COMPUTED_VALUE"""),FALSE)</f>
        <v>0</v>
      </c>
      <c r="H24" s="11" t="str">
        <f>IFERROR(__xludf.DUMMYFUNCTION("""COMPUTED_VALUE"""),"HikeMyTraffic")</f>
        <v>HikeMyTraffic</v>
      </c>
      <c r="I24" s="11">
        <f>IFERROR(__xludf.DUMMYFUNCTION("""COMPUTED_VALUE"""),24.0)</f>
        <v>24</v>
      </c>
      <c r="J24" s="11">
        <f>IFERROR(__xludf.DUMMYFUNCTION("""COMPUTED_VALUE"""),0.02)</f>
        <v>0.02</v>
      </c>
      <c r="K24" s="11">
        <f>IFERROR(__xludf.DUMMYFUNCTION("""COMPUTED_VALUE"""),1.08)</f>
        <v>1.08</v>
      </c>
    </row>
    <row r="25" ht="15.75" customHeight="1">
      <c r="A25" s="8" t="str">
        <f>IFERROR(__xludf.DUMMYFUNCTION("""COMPUTED_VALUE"""),"https://www.xmethod.de/en/blog/besten-ki-agenturen")</f>
        <v>https://www.xmethod.de/en/blog/besten-ki-agenturen</v>
      </c>
      <c r="B25" s="11" t="str">
        <f>IFERROR(__xludf.DUMMYFUNCTION("""COMPUTED_VALUE"""),"Top AI Agencies 2026 in Germany – Services &amp;amp; Costs")</f>
        <v>Top AI Agencies 2026 in Germany – Services &amp;amp; Costs</v>
      </c>
      <c r="C25" s="8" t="str">
        <f>IFERROR(__xludf.DUMMYFUNCTION("""COMPUTED_VALUE"""),"xmethod.de")</f>
        <v>xmethod.de</v>
      </c>
      <c r="D25" s="11" t="str">
        <f>IFERROR(__xludf.DUMMYFUNCTION("""COMPUTED_VALUE"""),"LISTICLE")</f>
        <v>LISTICLE</v>
      </c>
      <c r="E25" s="11" t="str">
        <f>IFERROR(__xludf.DUMMYFUNCTION("""COMPUTED_VALUE"""),"COMPETITOR")</f>
        <v>COMPETITOR</v>
      </c>
      <c r="F25" s="11" t="str">
        <f>IFERROR(__xludf.DUMMYFUNCTION("""COMPUTED_VALUE"""),"Listicle")</f>
        <v>Listicle</v>
      </c>
      <c r="G25" s="11" t="b">
        <f>IFERROR(__xludf.DUMMYFUNCTION("""COMPUTED_VALUE"""),FALSE)</f>
        <v>0</v>
      </c>
      <c r="H25" s="11" t="str">
        <f>IFERROR(__xludf.DUMMYFUNCTION("""COMPUTED_VALUE"""),"Xmethod, Seiten-Werk, Pilot")</f>
        <v>Xmethod, Seiten-Werk, Pilot</v>
      </c>
      <c r="I25" s="11">
        <f>IFERROR(__xludf.DUMMYFUNCTION("""COMPUTED_VALUE"""),24.0)</f>
        <v>24</v>
      </c>
      <c r="J25" s="11">
        <f>IFERROR(__xludf.DUMMYFUNCTION("""COMPUTED_VALUE"""),0.02)</f>
        <v>0.02</v>
      </c>
      <c r="K25" s="11">
        <f>IFERROR(__xludf.DUMMYFUNCTION("""COMPUTED_VALUE"""),0.83)</f>
        <v>0.83</v>
      </c>
    </row>
    <row r="26" ht="15.75" customHeight="1">
      <c r="A26" s="8" t="str">
        <f>IFERROR(__xludf.DUMMYFUNCTION("""COMPUTED_VALUE"""),"https://www.zendikt.com/top-10-marketing-analytics-software/germany")</f>
        <v>https://www.zendikt.com/top-10-marketing-analytics-software/germany</v>
      </c>
      <c r="B26" s="11" t="str">
        <f>IFERROR(__xludf.DUMMYFUNCTION("""COMPUTED_VALUE"""),"Top 10 Marketing Analytics Software in Germany for 2026")</f>
        <v>Top 10 Marketing Analytics Software in Germany for 2026</v>
      </c>
      <c r="C26" s="8" t="str">
        <f>IFERROR(__xludf.DUMMYFUNCTION("""COMPUTED_VALUE"""),"zendikt.com")</f>
        <v>zendikt.com</v>
      </c>
      <c r="D26" s="11" t="str">
        <f>IFERROR(__xludf.DUMMYFUNCTION("""COMPUTED_VALUE"""),"LISTICLE")</f>
        <v>LISTICLE</v>
      </c>
      <c r="E26" s="11" t="str">
        <f>IFERROR(__xludf.DUMMYFUNCTION("""COMPUTED_VALUE"""),"CORPORATE")</f>
        <v>CORPORATE</v>
      </c>
      <c r="F26" s="11" t="str">
        <f>IFERROR(__xludf.DUMMYFUNCTION("""COMPUTED_VALUE"""),"Listicle")</f>
        <v>Listicle</v>
      </c>
      <c r="G26" s="11" t="b">
        <f>IFERROR(__xludf.DUMMYFUNCTION("""COMPUTED_VALUE"""),FALSE)</f>
        <v>0</v>
      </c>
      <c r="H26" s="11" t="str">
        <f>IFERROR(__xludf.DUMMYFUNCTION("""COMPUTED_VALUE"""),"Ruler Analytics, Measured, Dreamdata")</f>
        <v>Ruler Analytics, Measured, Dreamdata</v>
      </c>
      <c r="I26" s="11">
        <f>IFERROR(__xludf.DUMMYFUNCTION("""COMPUTED_VALUE"""),24.0)</f>
        <v>24</v>
      </c>
      <c r="J26" s="11">
        <f>IFERROR(__xludf.DUMMYFUNCTION("""COMPUTED_VALUE"""),0.02)</f>
        <v>0.02</v>
      </c>
      <c r="K26" s="11">
        <f>IFERROR(__xludf.DUMMYFUNCTION("""COMPUTED_VALUE"""),1.17)</f>
        <v>1.17</v>
      </c>
    </row>
    <row r="27" ht="15.75" customHeight="1">
      <c r="A27" s="8" t="str">
        <f>IFERROR(__xludf.DUMMYFUNCTION("""COMPUTED_VALUE"""),"https://www.dreikon.de/en/news/online-marketing-knowledge/best-online-marketing-agency-in-germany/")</f>
        <v>https://www.dreikon.de/en/news/online-marketing-knowledge/best-online-marketing-agency-in-germany/</v>
      </c>
      <c r="B27" s="11" t="str">
        <f>IFERROR(__xludf.DUMMYFUNCTION("""COMPUTED_VALUE"""),"Best online marketing agency in Germany")</f>
        <v>Best online marketing agency in Germany</v>
      </c>
      <c r="C27" s="8" t="str">
        <f>IFERROR(__xludf.DUMMYFUNCTION("""COMPUTED_VALUE"""),"dreikon.de")</f>
        <v>dreikon.de</v>
      </c>
      <c r="D27" s="11" t="str">
        <f>IFERROR(__xludf.DUMMYFUNCTION("""COMPUTED_VALUE"""),"LISTICLE")</f>
        <v>LISTICLE</v>
      </c>
      <c r="E27" s="11" t="str">
        <f>IFERROR(__xludf.DUMMYFUNCTION("""COMPUTED_VALUE"""),"COMPETITOR")</f>
        <v>COMPETITOR</v>
      </c>
      <c r="F27" s="11" t="str">
        <f>IFERROR(__xludf.DUMMYFUNCTION("""COMPUTED_VALUE"""),"Listicle")</f>
        <v>Listicle</v>
      </c>
      <c r="G27" s="11" t="b">
        <f>IFERROR(__xludf.DUMMYFUNCTION("""COMPUTED_VALUE"""),FALSE)</f>
        <v>0</v>
      </c>
      <c r="H27" s="11" t="str">
        <f>IFERROR(__xludf.DUMMYFUNCTION("""COMPUTED_VALUE"""),"DREIKON")</f>
        <v>DREIKON</v>
      </c>
      <c r="I27" s="11">
        <f>IFERROR(__xludf.DUMMYFUNCTION("""COMPUTED_VALUE"""),23.0)</f>
        <v>23</v>
      </c>
      <c r="J27" s="11">
        <f>IFERROR(__xludf.DUMMYFUNCTION("""COMPUTED_VALUE"""),0.02)</f>
        <v>0.02</v>
      </c>
      <c r="K27" s="11">
        <f>IFERROR(__xludf.DUMMYFUNCTION("""COMPUTED_VALUE"""),0.22)</f>
        <v>0.22</v>
      </c>
    </row>
    <row r="28" ht="15.75" customHeight="1">
      <c r="A28" s="8" t="str">
        <f>IFERROR(__xludf.DUMMYFUNCTION("""COMPUTED_VALUE"""),"https://www.cometly.com/post/marketing-incrementality-testing-tools")</f>
        <v>https://www.cometly.com/post/marketing-incrementality-testing-tools</v>
      </c>
      <c r="B28" s="11" t="str">
        <f>IFERROR(__xludf.DUMMYFUNCTION("""COMPUTED_VALUE"""),"9 Best Marketing Incrementality Testing Tools 2026")</f>
        <v>9 Best Marketing Incrementality Testing Tools 2026</v>
      </c>
      <c r="C28" s="8" t="str">
        <f>IFERROR(__xludf.DUMMYFUNCTION("""COMPUTED_VALUE"""),"cometly.com")</f>
        <v>cometly.com</v>
      </c>
      <c r="D28" s="11" t="str">
        <f>IFERROR(__xludf.DUMMYFUNCTION("""COMPUTED_VALUE"""),"LISTICLE")</f>
        <v>LISTICLE</v>
      </c>
      <c r="E28" s="11" t="str">
        <f>IFERROR(__xludf.DUMMYFUNCTION("""COMPUTED_VALUE"""),"COMPETITOR")</f>
        <v>COMPETITOR</v>
      </c>
      <c r="F28" s="11" t="str">
        <f>IFERROR(__xludf.DUMMYFUNCTION("""COMPUTED_VALUE"""),"Listicle")</f>
        <v>Listicle</v>
      </c>
      <c r="G28" s="11" t="b">
        <f>IFERROR(__xludf.DUMMYFUNCTION("""COMPUTED_VALUE"""),FALSE)</f>
        <v>0</v>
      </c>
      <c r="H28" s="11" t="str">
        <f>IFERROR(__xludf.DUMMYFUNCTION("""COMPUTED_VALUE"""),"Cometly, Measured, Rockerbox, Northbeam, LifeSight, Haus, Recast")</f>
        <v>Cometly, Measured, Rockerbox, Northbeam, LifeSight, Haus, Recast</v>
      </c>
      <c r="I28" s="11">
        <f>IFERROR(__xludf.DUMMYFUNCTION("""COMPUTED_VALUE"""),22.0)</f>
        <v>22</v>
      </c>
      <c r="J28" s="11">
        <f>IFERROR(__xludf.DUMMYFUNCTION("""COMPUTED_VALUE"""),0.02)</f>
        <v>0.02</v>
      </c>
      <c r="K28" s="11">
        <f>IFERROR(__xludf.DUMMYFUNCTION("""COMPUTED_VALUE"""),0.5)</f>
        <v>0.5</v>
      </c>
    </row>
    <row r="29" ht="15.75" customHeight="1">
      <c r="A29" s="8" t="str">
        <f>IFERROR(__xludf.DUMMYFUNCTION("""COMPUTED_VALUE"""),"https://hikemytraffic.com/ai-seo-agencies-in-germany/")</f>
        <v>https://hikemytraffic.com/ai-seo-agencies-in-germany/</v>
      </c>
      <c r="B29" s="11" t="str">
        <f>IFERROR(__xludf.DUMMYFUNCTION("""COMPUTED_VALUE"""),"Top 11 AI SEO Agencies in Germany")</f>
        <v>Top 11 AI SEO Agencies in Germany</v>
      </c>
      <c r="C29" s="8" t="str">
        <f>IFERROR(__xludf.DUMMYFUNCTION("""COMPUTED_VALUE"""),"hikemytraffic.com")</f>
        <v>hikemytraffic.com</v>
      </c>
      <c r="D29" s="11" t="str">
        <f>IFERROR(__xludf.DUMMYFUNCTION("""COMPUTED_VALUE"""),"LISTICLE")</f>
        <v>LISTICLE</v>
      </c>
      <c r="E29" s="11" t="str">
        <f>IFERROR(__xludf.DUMMYFUNCTION("""COMPUTED_VALUE"""),"COMPETITOR")</f>
        <v>COMPETITOR</v>
      </c>
      <c r="F29" s="11" t="str">
        <f>IFERROR(__xludf.DUMMYFUNCTION("""COMPUTED_VALUE"""),"Listicle")</f>
        <v>Listicle</v>
      </c>
      <c r="G29" s="11" t="b">
        <f>IFERROR(__xludf.DUMMYFUNCTION("""COMPUTED_VALUE"""),FALSE)</f>
        <v>0</v>
      </c>
      <c r="H29" s="11" t="str">
        <f>IFERROR(__xludf.DUMMYFUNCTION("""COMPUTED_VALUE"""),"HikeMyTraffic")</f>
        <v>HikeMyTraffic</v>
      </c>
      <c r="I29" s="11">
        <f>IFERROR(__xludf.DUMMYFUNCTION("""COMPUTED_VALUE"""),22.0)</f>
        <v>22</v>
      </c>
      <c r="J29" s="11">
        <f>IFERROR(__xludf.DUMMYFUNCTION("""COMPUTED_VALUE"""),0.02)</f>
        <v>0.02</v>
      </c>
      <c r="K29" s="11">
        <f>IFERROR(__xludf.DUMMYFUNCTION("""COMPUTED_VALUE"""),0.68)</f>
        <v>0.68</v>
      </c>
    </row>
    <row r="30" ht="15.75" customHeight="1">
      <c r="A30" s="8" t="str">
        <f>IFERROR(__xludf.DUMMYFUNCTION("""COMPUTED_VALUE"""),"https://lengreo.com/best-llm-seo-agencies-in-germany/")</f>
        <v>https://lengreo.com/best-llm-seo-agencies-in-germany/</v>
      </c>
      <c r="B30" s="11" t="str">
        <f>IFERROR(__xludf.DUMMYFUNCTION("""COMPUTED_VALUE"""),"Top 9 German Companies for LLM SEO (2026)")</f>
        <v>Top 9 German Companies for LLM SEO (2026)</v>
      </c>
      <c r="C30" s="8" t="str">
        <f>IFERROR(__xludf.DUMMYFUNCTION("""COMPUTED_VALUE"""),"lengreo.com")</f>
        <v>lengreo.com</v>
      </c>
      <c r="D30" s="11" t="str">
        <f>IFERROR(__xludf.DUMMYFUNCTION("""COMPUTED_VALUE"""),"LISTICLE")</f>
        <v>LISTICLE</v>
      </c>
      <c r="E30" s="11" t="str">
        <f>IFERROR(__xludf.DUMMYFUNCTION("""COMPUTED_VALUE"""),"CORPORATE")</f>
        <v>CORPORATE</v>
      </c>
      <c r="F30" s="11" t="str">
        <f>IFERROR(__xludf.DUMMYFUNCTION("""COMPUTED_VALUE"""),"Listicle")</f>
        <v>Listicle</v>
      </c>
      <c r="G30" s="11" t="b">
        <f>IFERROR(__xludf.DUMMYFUNCTION("""COMPUTED_VALUE"""),FALSE)</f>
        <v>0</v>
      </c>
      <c r="H30" s="11" t="str">
        <f>IFERROR(__xludf.DUMMYFUNCTION("""COMPUTED_VALUE"""),"TRYSEO, Omnius, Löwenstark")</f>
        <v>TRYSEO, Omnius, Löwenstark</v>
      </c>
      <c r="I30" s="11">
        <f>IFERROR(__xludf.DUMMYFUNCTION("""COMPUTED_VALUE"""),22.0)</f>
        <v>22</v>
      </c>
      <c r="J30" s="11">
        <f>IFERROR(__xludf.DUMMYFUNCTION("""COMPUTED_VALUE"""),0.02)</f>
        <v>0.02</v>
      </c>
      <c r="K30" s="11">
        <f>IFERROR(__xludf.DUMMYFUNCTION("""COMPUTED_VALUE"""),1.77)</f>
        <v>1.77</v>
      </c>
    </row>
    <row r="31" ht="15.75" customHeight="1">
      <c r="A31" s="8" t="str">
        <f>IFERROR(__xludf.DUMMYFUNCTION("""COMPUTED_VALUE"""),"https://northquery.com/best-aeo-agency/europe")</f>
        <v>https://northquery.com/best-aeo-agency/europe</v>
      </c>
      <c r="B31" s="11" t="str">
        <f>IFERROR(__xludf.DUMMYFUNCTION("""COMPUTED_VALUE"""),"Best AEO Agency in Europe 2026: I Ranked 8 That Actually Deliver | Northquery")</f>
        <v>Best AEO Agency in Europe 2026: I Ranked 8 That Actually Deliver | Northquery</v>
      </c>
      <c r="C31" s="8" t="str">
        <f>IFERROR(__xludf.DUMMYFUNCTION("""COMPUTED_VALUE"""),"northquery.com")</f>
        <v>northquery.com</v>
      </c>
      <c r="D31" s="11" t="str">
        <f>IFERROR(__xludf.DUMMYFUNCTION("""COMPUTED_VALUE"""),"LISTICLE")</f>
        <v>LISTICLE</v>
      </c>
      <c r="E31" s="11" t="str">
        <f>IFERROR(__xludf.DUMMYFUNCTION("""COMPUTED_VALUE"""),"CORPORATE")</f>
        <v>CORPORATE</v>
      </c>
      <c r="F31" s="11" t="str">
        <f>IFERROR(__xludf.DUMMYFUNCTION("""COMPUTED_VALUE"""),"Listicle")</f>
        <v>Listicle</v>
      </c>
      <c r="G31" s="11" t="b">
        <f>IFERROR(__xludf.DUMMYFUNCTION("""COMPUTED_VALUE"""),FALSE)</f>
        <v>0</v>
      </c>
      <c r="H31" s="11" t="str">
        <f>IFERROR(__xludf.DUMMYFUNCTION("""COMPUTED_VALUE"""),"Peak Ace, iProspect, Dentsu, Siege Media")</f>
        <v>Peak Ace, iProspect, Dentsu, Siege Media</v>
      </c>
      <c r="I31" s="11">
        <f>IFERROR(__xludf.DUMMYFUNCTION("""COMPUTED_VALUE"""),22.0)</f>
        <v>22</v>
      </c>
      <c r="J31" s="11">
        <f>IFERROR(__xludf.DUMMYFUNCTION("""COMPUTED_VALUE"""),0.02)</f>
        <v>0.02</v>
      </c>
      <c r="K31" s="11">
        <f>IFERROR(__xludf.DUMMYFUNCTION("""COMPUTED_VALUE"""),0.73)</f>
        <v>0.73</v>
      </c>
    </row>
    <row r="32" ht="15.75" customHeight="1">
      <c r="A32" s="8" t="str">
        <f>IFERROR(__xludf.DUMMYFUNCTION("""COMPUTED_VALUE"""),"https://www.agenturtipp.de/performance-marketing-agenturen/")</f>
        <v>https://www.agenturtipp.de/performance-marketing-agenturen/</v>
      </c>
      <c r="B32" s="11" t="str">
        <f>IFERROR(__xludf.DUMMYFUNCTION("""COMPUTED_VALUE"""),"Top Performance-Marketing-Agenturen (2026) im Vergleich ↗️")</f>
        <v>Top Performance-Marketing-Agenturen (2026) im Vergleich ↗️</v>
      </c>
      <c r="C32" s="8" t="str">
        <f>IFERROR(__xludf.DUMMYFUNCTION("""COMPUTED_VALUE"""),"agenturtipp.de")</f>
        <v>agenturtipp.de</v>
      </c>
      <c r="D32" s="11" t="str">
        <f>IFERROR(__xludf.DUMMYFUNCTION("""COMPUTED_VALUE"""),"LISTICLE")</f>
        <v>LISTICLE</v>
      </c>
      <c r="E32" s="11" t="str">
        <f>IFERROR(__xludf.DUMMYFUNCTION("""COMPUTED_VALUE"""),"REFERENCE")</f>
        <v>REFERENCE</v>
      </c>
      <c r="F32" s="11" t="str">
        <f>IFERROR(__xludf.DUMMYFUNCTION("""COMPUTED_VALUE"""),"Listicle")</f>
        <v>Listicle</v>
      </c>
      <c r="G32" s="11" t="b">
        <f>IFERROR(__xludf.DUMMYFUNCTION("""COMPUTED_VALUE"""),FALSE)</f>
        <v>0</v>
      </c>
      <c r="H32" s="11" t="str">
        <f>IFERROR(__xludf.DUMMYFUNCTION("""COMPUTED_VALUE"""),"ZweiDigital GmbH, Smarketer, Mediacharge, Jellyfish")</f>
        <v>ZweiDigital GmbH, Smarketer, Mediacharge, Jellyfish</v>
      </c>
      <c r="I32" s="11">
        <f>IFERROR(__xludf.DUMMYFUNCTION("""COMPUTED_VALUE"""),21.0)</f>
        <v>21</v>
      </c>
      <c r="J32" s="11">
        <f>IFERROR(__xludf.DUMMYFUNCTION("""COMPUTED_VALUE"""),0.02)</f>
        <v>0.02</v>
      </c>
      <c r="K32" s="11">
        <f>IFERROR(__xludf.DUMMYFUNCTION("""COMPUTED_VALUE"""),0.38)</f>
        <v>0.38</v>
      </c>
    </row>
    <row r="33" ht="15.75" customHeight="1">
      <c r="A33" s="8" t="str">
        <f>IFERROR(__xludf.DUMMYFUNCTION("""COMPUTED_VALUE"""),"https://www.neuhandeln.de/performance-ranking/performance_2024")</f>
        <v>https://www.neuhandeln.de/performance-ranking/performance_2024</v>
      </c>
      <c r="B33" s="11" t="str">
        <f>IFERROR(__xludf.DUMMYFUNCTION("""COMPUTED_VALUE"""),"Das Ranking der gr��ten deutschsprachigen Performance-Marketing-Agenturen")</f>
        <v>Das Ranking der gr��ten deutschsprachigen Performance-Marketing-Agenturen</v>
      </c>
      <c r="C33" s="8" t="str">
        <f>IFERROR(__xludf.DUMMYFUNCTION("""COMPUTED_VALUE"""),"neuhandeln.de")</f>
        <v>neuhandeln.de</v>
      </c>
      <c r="D33" s="11" t="str">
        <f>IFERROR(__xludf.DUMMYFUNCTION("""COMPUTED_VALUE"""),"LISTICLE")</f>
        <v>LISTICLE</v>
      </c>
      <c r="E33" s="11" t="str">
        <f>IFERROR(__xludf.DUMMYFUNCTION("""COMPUTED_VALUE"""),"EDITORIAL")</f>
        <v>EDITORIAL</v>
      </c>
      <c r="F33" s="11" t="str">
        <f>IFERROR(__xludf.DUMMYFUNCTION("""COMPUTED_VALUE"""),"Listicle")</f>
        <v>Listicle</v>
      </c>
      <c r="G33" s="11" t="b">
        <f>IFERROR(__xludf.DUMMYFUNCTION("""COMPUTED_VALUE"""),FALSE)</f>
        <v>0</v>
      </c>
      <c r="H33" s="11" t="str">
        <f>IFERROR(__xludf.DUMMYFUNCTION("""COMPUTED_VALUE"""),"iProspect, Smarketer, Peak Ace, e-dialog, morefire, The Boutique Agency, 42DIGITAL, Aufgesang, eMinded GmbH")</f>
        <v>iProspect, Smarketer, Peak Ace, e-dialog, morefire, The Boutique Agency, 42DIGITAL, Aufgesang, eMinded GmbH</v>
      </c>
      <c r="I33" s="11">
        <f>IFERROR(__xludf.DUMMYFUNCTION("""COMPUTED_VALUE"""),21.0)</f>
        <v>21</v>
      </c>
      <c r="J33" s="11">
        <f>IFERROR(__xludf.DUMMYFUNCTION("""COMPUTED_VALUE"""),0.02)</f>
        <v>0.02</v>
      </c>
      <c r="K33" s="11">
        <f>IFERROR(__xludf.DUMMYFUNCTION("""COMPUTED_VALUE"""),0.29)</f>
        <v>0.29</v>
      </c>
    </row>
    <row r="34" ht="15.75" customHeight="1">
      <c r="A34" s="8" t="str">
        <f>IFERROR(__xludf.DUMMYFUNCTION("""COMPUTED_VALUE"""),"https://seeders.com/blog/8-best-seo-agencies-in-germany-2026-ranked/")</f>
        <v>https://seeders.com/blog/8-best-seo-agencies-in-germany-2026-ranked/</v>
      </c>
      <c r="B34" s="11" t="str">
        <f>IFERROR(__xludf.DUMMYFUNCTION("""COMPUTED_VALUE"""),"8 best SEO agencies in Germany [2026 ranked] | Seeders")</f>
        <v>8 best SEO agencies in Germany [2026 ranked] | Seeders</v>
      </c>
      <c r="C34" s="8" t="str">
        <f>IFERROR(__xludf.DUMMYFUNCTION("""COMPUTED_VALUE"""),"seeders.com")</f>
        <v>seeders.com</v>
      </c>
      <c r="D34" s="11" t="str">
        <f>IFERROR(__xludf.DUMMYFUNCTION("""COMPUTED_VALUE"""),"LISTICLE")</f>
        <v>LISTICLE</v>
      </c>
      <c r="E34" s="11" t="str">
        <f>IFERROR(__xludf.DUMMYFUNCTION("""COMPUTED_VALUE"""),"COMPETITOR")</f>
        <v>COMPETITOR</v>
      </c>
      <c r="F34" s="11" t="str">
        <f>IFERROR(__xludf.DUMMYFUNCTION("""COMPUTED_VALUE"""),"Listicle")</f>
        <v>Listicle</v>
      </c>
      <c r="G34" s="11" t="b">
        <f>IFERROR(__xludf.DUMMYFUNCTION("""COMPUTED_VALUE"""),FALSE)</f>
        <v>0</v>
      </c>
      <c r="H34" s="11" t="str">
        <f>IFERROR(__xludf.DUMMYFUNCTION("""COMPUTED_VALUE"""),"Seeders, Claneo, Omnius, Suchhelden, morefire, Huge")</f>
        <v>Seeders, Claneo, Omnius, Suchhelden, morefire, Huge</v>
      </c>
      <c r="I34" s="11">
        <f>IFERROR(__xludf.DUMMYFUNCTION("""COMPUTED_VALUE"""),21.0)</f>
        <v>21</v>
      </c>
      <c r="J34" s="11">
        <f>IFERROR(__xludf.DUMMYFUNCTION("""COMPUTED_VALUE"""),0.02)</f>
        <v>0.02</v>
      </c>
      <c r="K34" s="11">
        <f>IFERROR(__xludf.DUMMYFUNCTION("""COMPUTED_VALUE"""),1.52)</f>
        <v>1.52</v>
      </c>
    </row>
    <row r="35" ht="15.75" customHeight="1">
      <c r="A35" s="8" t="str">
        <f>IFERROR(__xludf.DUMMYFUNCTION("""COMPUTED_VALUE"""),"https://www.thegrowthsyndicate.com/agencies/best-b2b-performance-marketing-agencies-europe")</f>
        <v>https://www.thegrowthsyndicate.com/agencies/best-b2b-performance-marketing-agencies-europe</v>
      </c>
      <c r="B35" s="11" t="str">
        <f>IFERROR(__xludf.DUMMYFUNCTION("""COMPUTED_VALUE"""),"The 12 Best B2B Performance Marketing Agencies in Europe")</f>
        <v>The 12 Best B2B Performance Marketing Agencies in Europe</v>
      </c>
      <c r="C35" s="8" t="str">
        <f>IFERROR(__xludf.DUMMYFUNCTION("""COMPUTED_VALUE"""),"thegrowthsyndicate.com")</f>
        <v>thegrowthsyndicate.com</v>
      </c>
      <c r="D35" s="11" t="str">
        <f>IFERROR(__xludf.DUMMYFUNCTION("""COMPUTED_VALUE"""),"LISTICLE")</f>
        <v>LISTICLE</v>
      </c>
      <c r="E35" s="11" t="str">
        <f>IFERROR(__xludf.DUMMYFUNCTION("""COMPUTED_VALUE"""),"CORPORATE")</f>
        <v>CORPORATE</v>
      </c>
      <c r="F35" s="11" t="str">
        <f>IFERROR(__xludf.DUMMYFUNCTION("""COMPUTED_VALUE"""),"Listicle")</f>
        <v>Listicle</v>
      </c>
      <c r="G35" s="11" t="b">
        <f>IFERROR(__xludf.DUMMYFUNCTION("""COMPUTED_VALUE"""),TRUE)</f>
        <v>1</v>
      </c>
      <c r="H35" s="11" t="str">
        <f>IFERROR(__xludf.DUMMYFUNCTION("""COMPUTED_VALUE"""),"Brainlabs, WPP, GroupM, s360, Incubeta, Croud, iProspect, Measured, Huge, Mindshare, Publicis Groupe, Omnicom, Dentsu, Merkle")</f>
        <v>Brainlabs, WPP, GroupM, s360, Incubeta, Croud, iProspect, Measured, Huge, Mindshare, Publicis Groupe, Omnicom, Dentsu, Merkle</v>
      </c>
      <c r="I35" s="11">
        <f>IFERROR(__xludf.DUMMYFUNCTION("""COMPUTED_VALUE"""),21.0)</f>
        <v>21</v>
      </c>
      <c r="J35" s="11">
        <f>IFERROR(__xludf.DUMMYFUNCTION("""COMPUTED_VALUE"""),0.02)</f>
        <v>0.02</v>
      </c>
      <c r="K35" s="11">
        <f>IFERROR(__xludf.DUMMYFUNCTION("""COMPUTED_VALUE"""),1.0)</f>
        <v>1</v>
      </c>
    </row>
    <row r="36" ht="15.75" customHeight="1">
      <c r="A36" s="8" t="str">
        <f>IFERROR(__xludf.DUMMYFUNCTION("""COMPUTED_VALUE"""),"https://www.ibusiness.de/performance-ranking/performance_2025")</f>
        <v>https://www.ibusiness.de/performance-ranking/performance_2025</v>
      </c>
      <c r="B36" s="11" t="str">
        <f>IFERROR(__xludf.DUMMYFUNCTION("""COMPUTED_VALUE"""),"Das Ranking der gr��ten deutschen Performance-Marketing-Agenturen")</f>
        <v>Das Ranking der gr��ten deutschen Performance-Marketing-Agenturen</v>
      </c>
      <c r="C36" s="8" t="str">
        <f>IFERROR(__xludf.DUMMYFUNCTION("""COMPUTED_VALUE"""),"ibusiness.de")</f>
        <v>ibusiness.de</v>
      </c>
      <c r="D36" s="11" t="str">
        <f>IFERROR(__xludf.DUMMYFUNCTION("""COMPUTED_VALUE"""),"LISTICLE")</f>
        <v>LISTICLE</v>
      </c>
      <c r="E36" s="11" t="str">
        <f>IFERROR(__xludf.DUMMYFUNCTION("""COMPUTED_VALUE"""),"EDITORIAL")</f>
        <v>EDITORIAL</v>
      </c>
      <c r="F36" s="11" t="str">
        <f>IFERROR(__xludf.DUMMYFUNCTION("""COMPUTED_VALUE"""),"Listicle")</f>
        <v>Listicle</v>
      </c>
      <c r="G36" s="11" t="b">
        <f>IFERROR(__xludf.DUMMYFUNCTION("""COMPUTED_VALUE"""),FALSE)</f>
        <v>0</v>
      </c>
      <c r="H36" s="11" t="str">
        <f>IFERROR(__xludf.DUMMYFUNCTION("""COMPUTED_VALUE"""),"iProspect, Smarketer, e-dialog, morefire, Artefact, The Boutique Agency, 42DIGITAL, DREIKON, Aufgesang, eMinded GmbH")</f>
        <v>iProspect, Smarketer, e-dialog, morefire, Artefact, The Boutique Agency, 42DIGITAL, DREIKON, Aufgesang, eMinded GmbH</v>
      </c>
      <c r="I36" s="11">
        <f>IFERROR(__xludf.DUMMYFUNCTION("""COMPUTED_VALUE"""),20.0)</f>
        <v>20</v>
      </c>
      <c r="J36" s="11">
        <f>IFERROR(__xludf.DUMMYFUNCTION("""COMPUTED_VALUE"""),0.02)</f>
        <v>0.02</v>
      </c>
      <c r="K36" s="11">
        <f>IFERROR(__xludf.DUMMYFUNCTION("""COMPUTED_VALUE"""),1.2)</f>
        <v>1.2</v>
      </c>
    </row>
    <row r="37" ht="15.75" customHeight="1">
      <c r="A37" s="8" t="str">
        <f>IFERROR(__xludf.DUMMYFUNCTION("""COMPUTED_VALUE"""),"https://nevolearn.com/blog/social-media-marketing-agencies-germany")</f>
        <v>https://nevolearn.com/blog/social-media-marketing-agencies-germany</v>
      </c>
      <c r="B37" s="11" t="str">
        <f>IFERROR(__xludf.DUMMYFUNCTION("""COMPUTED_VALUE"""),"Top 5 Social Media Marketing Agencies in Germany | Guide 2025 | NevoLearn")</f>
        <v>Top 5 Social Media Marketing Agencies in Germany | Guide 2025 | NevoLearn</v>
      </c>
      <c r="C37" s="8" t="str">
        <f>IFERROR(__xludf.DUMMYFUNCTION("""COMPUTED_VALUE"""),"nevolearn.com")</f>
        <v>nevolearn.com</v>
      </c>
      <c r="D37" s="11" t="str">
        <f>IFERROR(__xludf.DUMMYFUNCTION("""COMPUTED_VALUE"""),"LISTICLE")</f>
        <v>LISTICLE</v>
      </c>
      <c r="E37" s="11" t="str">
        <f>IFERROR(__xludf.DUMMYFUNCTION("""COMPUTED_VALUE"""),"CORPORATE")</f>
        <v>CORPORATE</v>
      </c>
      <c r="F37" s="11" t="str">
        <f>IFERROR(__xludf.DUMMYFUNCTION("""COMPUTED_VALUE"""),"Listicle")</f>
        <v>Listicle</v>
      </c>
      <c r="G37" s="11" t="b">
        <f>IFERROR(__xludf.DUMMYFUNCTION("""COMPUTED_VALUE"""),FALSE)</f>
        <v>0</v>
      </c>
      <c r="H37" s="11" t="str">
        <f>IFERROR(__xludf.DUMMYFUNCTION("""COMPUTED_VALUE"""),"Artefact, morefire, Haus, Scholz &amp; Friends")</f>
        <v>Artefact, morefire, Haus, Scholz &amp; Friends</v>
      </c>
      <c r="I37" s="11">
        <f>IFERROR(__xludf.DUMMYFUNCTION("""COMPUTED_VALUE"""),20.0)</f>
        <v>20</v>
      </c>
      <c r="J37" s="11">
        <f>IFERROR(__xludf.DUMMYFUNCTION("""COMPUTED_VALUE"""),0.02)</f>
        <v>0.02</v>
      </c>
      <c r="K37" s="11">
        <f>IFERROR(__xludf.DUMMYFUNCTION("""COMPUTED_VALUE"""),0.65)</f>
        <v>0.65</v>
      </c>
    </row>
    <row r="38" ht="15.75" customHeight="1">
      <c r="A38" s="8" t="str">
        <f>IFERROR(__xludf.DUMMYFUNCTION("""COMPUTED_VALUE"""),"https://oski.site/blog/sales-and-marketing-analytics-companies-germany/")</f>
        <v>https://oski.site/blog/sales-and-marketing-analytics-companies-germany/</v>
      </c>
      <c r="B38" s="11" t="str">
        <f>IFERROR(__xludf.DUMMYFUNCTION("""COMPUTED_VALUE"""),"Best 14 Sales and Marketing Analytics Companies in Germany")</f>
        <v>Best 14 Sales and Marketing Analytics Companies in Germany</v>
      </c>
      <c r="C38" s="11" t="str">
        <f>IFERROR(__xludf.DUMMYFUNCTION("""COMPUTED_VALUE"""),"oski.site")</f>
        <v>oski.site</v>
      </c>
      <c r="D38" s="11" t="str">
        <f>IFERROR(__xludf.DUMMYFUNCTION("""COMPUTED_VALUE"""),"LISTICLE")</f>
        <v>LISTICLE</v>
      </c>
      <c r="E38" s="11" t="str">
        <f>IFERROR(__xludf.DUMMYFUNCTION("""COMPUTED_VALUE"""),"OTHER")</f>
        <v>OTHER</v>
      </c>
      <c r="F38" s="11" t="str">
        <f>IFERROR(__xludf.DUMMYFUNCTION("""COMPUTED_VALUE"""),"Listicle")</f>
        <v>Listicle</v>
      </c>
      <c r="G38" s="11" t="b">
        <f>IFERROR(__xludf.DUMMYFUNCTION("""COMPUTED_VALUE"""),FALSE)</f>
        <v>0</v>
      </c>
      <c r="H38" s="11" t="str">
        <f>IFERROR(__xludf.DUMMYFUNCTION("""COMPUTED_VALUE"""),"b.telligent, Kantar, Nielsen, MONSOON, Artefact")</f>
        <v>b.telligent, Kantar, Nielsen, MONSOON, Artefact</v>
      </c>
      <c r="I38" s="11">
        <f>IFERROR(__xludf.DUMMYFUNCTION("""COMPUTED_VALUE"""),20.0)</f>
        <v>20</v>
      </c>
      <c r="J38" s="11">
        <f>IFERROR(__xludf.DUMMYFUNCTION("""COMPUTED_VALUE"""),0.02)</f>
        <v>0.02</v>
      </c>
      <c r="K38" s="11">
        <f>IFERROR(__xludf.DUMMYFUNCTION("""COMPUTED_VALUE"""),1.0)</f>
        <v>1</v>
      </c>
    </row>
    <row r="39" ht="15.75" customHeight="1">
      <c r="A39" s="8" t="str">
        <f>IFERROR(__xludf.DUMMYFUNCTION("""COMPUTED_VALUE"""),"https://lengreo.com/germany-berlin-aeo-geo-llmo-companies/")</f>
        <v>https://lengreo.com/germany-berlin-aeo-geo-llmo-companies/</v>
      </c>
      <c r="B39" s="11" t="str">
        <f>IFERROR(__xludf.DUMMYFUNCTION("""COMPUTED_VALUE"""),"Top 10 Berlin’s Companies in AEO, GEO, and LLMO (2026)")</f>
        <v>Top 10 Berlin’s Companies in AEO, GEO, and LLMO (2026)</v>
      </c>
      <c r="C39" s="8" t="str">
        <f>IFERROR(__xludf.DUMMYFUNCTION("""COMPUTED_VALUE"""),"lengreo.com")</f>
        <v>lengreo.com</v>
      </c>
      <c r="D39" s="11" t="str">
        <f>IFERROR(__xludf.DUMMYFUNCTION("""COMPUTED_VALUE"""),"LISTICLE")</f>
        <v>LISTICLE</v>
      </c>
      <c r="E39" s="11" t="str">
        <f>IFERROR(__xludf.DUMMYFUNCTION("""COMPUTED_VALUE"""),"CORPORATE")</f>
        <v>CORPORATE</v>
      </c>
      <c r="F39" s="11" t="str">
        <f>IFERROR(__xludf.DUMMYFUNCTION("""COMPUTED_VALUE"""),"Listicle")</f>
        <v>Listicle</v>
      </c>
      <c r="G39" s="11" t="b">
        <f>IFERROR(__xludf.DUMMYFUNCTION("""COMPUTED_VALUE"""),FALSE)</f>
        <v>0</v>
      </c>
      <c r="H39" s="11" t="str">
        <f>IFERROR(__xludf.DUMMYFUNCTION("""COMPUTED_VALUE"""),"Claneo, KlickPiloten")</f>
        <v>Claneo, KlickPiloten</v>
      </c>
      <c r="I39" s="11">
        <f>IFERROR(__xludf.DUMMYFUNCTION("""COMPUTED_VALUE"""),19.0)</f>
        <v>19</v>
      </c>
      <c r="J39" s="11">
        <f>IFERROR(__xludf.DUMMYFUNCTION("""COMPUTED_VALUE"""),0.02)</f>
        <v>0.02</v>
      </c>
      <c r="K39" s="11">
        <f>IFERROR(__xludf.DUMMYFUNCTION("""COMPUTED_VALUE"""),0.32)</f>
        <v>0.32</v>
      </c>
    </row>
    <row r="40" ht="15.75" customHeight="1">
      <c r="A40" s="8" t="str">
        <f>IFERROR(__xludf.DUMMYFUNCTION("""COMPUTED_VALUE"""),"https://www.youtube.com/watch?v=00C1PZt8bLw&amp;vl=de&amp;t=116")</f>
        <v>https://www.youtube.com/watch?v=00C1PZt8bLw&amp;vl=de&amp;t=116</v>
      </c>
      <c r="B40" s="11" t="str">
        <f>IFERROR(__xludf.DUMMYFUNCTION("""COMPUTED_VALUE"""),"Die 5 besten GEO-Agenturen in Deutschland 2026 (Liste)")</f>
        <v>Die 5 besten GEO-Agenturen in Deutschland 2026 (Liste)</v>
      </c>
      <c r="C40" s="8" t="str">
        <f>IFERROR(__xludf.DUMMYFUNCTION("""COMPUTED_VALUE"""),"youtube.com")</f>
        <v>youtube.com</v>
      </c>
      <c r="D40" s="11" t="str">
        <f>IFERROR(__xludf.DUMMYFUNCTION("""COMPUTED_VALUE"""),"LISTICLE")</f>
        <v>LISTICLE</v>
      </c>
      <c r="E40" s="11" t="str">
        <f>IFERROR(__xludf.DUMMYFUNCTION("""COMPUTED_VALUE"""),"UGC")</f>
        <v>UGC</v>
      </c>
      <c r="F40" s="11" t="str">
        <f>IFERROR(__xludf.DUMMYFUNCTION("""COMPUTED_VALUE"""),"Listicle")</f>
        <v>Listicle</v>
      </c>
      <c r="G40" s="11" t="b">
        <f>IFERROR(__xludf.DUMMYFUNCTION("""COMPUTED_VALUE"""),FALSE)</f>
        <v>0</v>
      </c>
      <c r="H40" s="11" t="str">
        <f>IFERROR(__xludf.DUMMYFUNCTION("""COMPUTED_VALUE"""),"Claneo")</f>
        <v>Claneo</v>
      </c>
      <c r="I40" s="11">
        <f>IFERROR(__xludf.DUMMYFUNCTION("""COMPUTED_VALUE"""),19.0)</f>
        <v>19</v>
      </c>
      <c r="J40" s="11">
        <f>IFERROR(__xludf.DUMMYFUNCTION("""COMPUTED_VALUE"""),0.02)</f>
        <v>0.02</v>
      </c>
      <c r="K40" s="11">
        <f>IFERROR(__xludf.DUMMYFUNCTION("""COMPUTED_VALUE"""),0.68)</f>
        <v>0.68</v>
      </c>
    </row>
    <row r="41" ht="15.75" customHeight="1">
      <c r="A41" s="8" t="str">
        <f>IFERROR(__xludf.DUMMYFUNCTION("""COMPUTED_VALUE"""),"https://awisee.com/blog/digital-marketing-agencies-germany/")</f>
        <v>https://awisee.com/blog/digital-marketing-agencies-germany/</v>
      </c>
      <c r="B41" s="11" t="str">
        <f>IFERROR(__xludf.DUMMYFUNCTION("""COMPUTED_VALUE"""),"Top 4 Digital Marketing Agencies Germany In 2025 (Reviews)")</f>
        <v>Top 4 Digital Marketing Agencies Germany In 2025 (Reviews)</v>
      </c>
      <c r="C41" s="8" t="str">
        <f>IFERROR(__xludf.DUMMYFUNCTION("""COMPUTED_VALUE"""),"awisee.com")</f>
        <v>awisee.com</v>
      </c>
      <c r="D41" s="11" t="str">
        <f>IFERROR(__xludf.DUMMYFUNCTION("""COMPUTED_VALUE"""),"LISTICLE")</f>
        <v>LISTICLE</v>
      </c>
      <c r="E41" s="11" t="str">
        <f>IFERROR(__xludf.DUMMYFUNCTION("""COMPUTED_VALUE"""),"OTHER")</f>
        <v>OTHER</v>
      </c>
      <c r="F41" s="11" t="str">
        <f>IFERROR(__xludf.DUMMYFUNCTION("""COMPUTED_VALUE"""),"Listicle")</f>
        <v>Listicle</v>
      </c>
      <c r="G41" s="11" t="b">
        <f>IFERROR(__xludf.DUMMYFUNCTION("""COMPUTED_VALUE"""),FALSE)</f>
        <v>0</v>
      </c>
      <c r="H41" s="11" t="str">
        <f>IFERROR(__xludf.DUMMYFUNCTION("""COMPUTED_VALUE"""),"KlickPiloten")</f>
        <v>KlickPiloten</v>
      </c>
      <c r="I41" s="11">
        <f>IFERROR(__xludf.DUMMYFUNCTION("""COMPUTED_VALUE"""),18.0)</f>
        <v>18</v>
      </c>
      <c r="J41" s="11">
        <f>IFERROR(__xludf.DUMMYFUNCTION("""COMPUTED_VALUE"""),0.02)</f>
        <v>0.02</v>
      </c>
      <c r="K41" s="11">
        <f>IFERROR(__xludf.DUMMYFUNCTION("""COMPUTED_VALUE"""),0.22)</f>
        <v>0.22</v>
      </c>
    </row>
    <row r="42" ht="15.75" customHeight="1">
      <c r="A42" s="8" t="str">
        <f>IFERROR(__xludf.DUMMYFUNCTION("""COMPUTED_VALUE"""),"https://www.radyant.io/comparison/the-7-best-ai-search-optimization-agencies-in-europe")</f>
        <v>https://www.radyant.io/comparison/the-7-best-ai-search-optimization-agencies-in-europe</v>
      </c>
      <c r="B42" s="11" t="str">
        <f>IFERROR(__xludf.DUMMYFUNCTION("""COMPUTED_VALUE"""),"The 7 best AI Search Optimization agencies in Europe · Radyant")</f>
        <v>The 7 best AI Search Optimization agencies in Europe · Radyant</v>
      </c>
      <c r="C42" s="8" t="str">
        <f>IFERROR(__xludf.DUMMYFUNCTION("""COMPUTED_VALUE"""),"radyant.io")</f>
        <v>radyant.io</v>
      </c>
      <c r="D42" s="11" t="str">
        <f>IFERROR(__xludf.DUMMYFUNCTION("""COMPUTED_VALUE"""),"LISTICLE")</f>
        <v>LISTICLE</v>
      </c>
      <c r="E42" s="11" t="str">
        <f>IFERROR(__xludf.DUMMYFUNCTION("""COMPUTED_VALUE"""),"COMPETITOR")</f>
        <v>COMPETITOR</v>
      </c>
      <c r="F42" s="11" t="str">
        <f>IFERROR(__xludf.DUMMYFUNCTION("""COMPUTED_VALUE"""),"Listicle")</f>
        <v>Listicle</v>
      </c>
      <c r="G42" s="11" t="b">
        <f>IFERROR(__xludf.DUMMYFUNCTION("""COMPUTED_VALUE"""),FALSE)</f>
        <v>0</v>
      </c>
      <c r="H42" s="11" t="str">
        <f>IFERROR(__xludf.DUMMYFUNCTION("""COMPUTED_VALUE"""),"Radyant, Omnius, Peak Ace")</f>
        <v>Radyant, Omnius, Peak Ace</v>
      </c>
      <c r="I42" s="11">
        <f>IFERROR(__xludf.DUMMYFUNCTION("""COMPUTED_VALUE"""),18.0)</f>
        <v>18</v>
      </c>
      <c r="J42" s="11">
        <f>IFERROR(__xludf.DUMMYFUNCTION("""COMPUTED_VALUE"""),0.02)</f>
        <v>0.02</v>
      </c>
      <c r="K42" s="11">
        <f>IFERROR(__xludf.DUMMYFUNCTION("""COMPUTED_VALUE"""),0.78)</f>
        <v>0.78</v>
      </c>
    </row>
    <row r="43" ht="15.75" customHeight="1">
      <c r="A43" s="8" t="str">
        <f>IFERROR(__xludf.DUMMYFUNCTION("""COMPUTED_VALUE"""),"https://seeders.com/blog/top-10-generative-engine-optimization-geo-agencies-in-europe/")</f>
        <v>https://seeders.com/blog/top-10-generative-engine-optimization-geo-agencies-in-europe/</v>
      </c>
      <c r="B43" s="11" t="str">
        <f>IFERROR(__xludf.DUMMYFUNCTION("""COMPUTED_VALUE"""),"10 Best European GEO Agencies | Seeders")</f>
        <v>10 Best European GEO Agencies | Seeders</v>
      </c>
      <c r="C43" s="8" t="str">
        <f>IFERROR(__xludf.DUMMYFUNCTION("""COMPUTED_VALUE"""),"seeders.com")</f>
        <v>seeders.com</v>
      </c>
      <c r="D43" s="11" t="str">
        <f>IFERROR(__xludf.DUMMYFUNCTION("""COMPUTED_VALUE"""),"LISTICLE")</f>
        <v>LISTICLE</v>
      </c>
      <c r="E43" s="11" t="str">
        <f>IFERROR(__xludf.DUMMYFUNCTION("""COMPUTED_VALUE"""),"COMPETITOR")</f>
        <v>COMPETITOR</v>
      </c>
      <c r="F43" s="11" t="str">
        <f>IFERROR(__xludf.DUMMYFUNCTION("""COMPUTED_VALUE"""),"Listicle")</f>
        <v>Listicle</v>
      </c>
      <c r="G43" s="11" t="b">
        <f>IFERROR(__xludf.DUMMYFUNCTION("""COMPUTED_VALUE"""),FALSE)</f>
        <v>0</v>
      </c>
      <c r="H43" s="11" t="str">
        <f>IFERROR(__xludf.DUMMYFUNCTION("""COMPUTED_VALUE"""),"Seeders, iProspect, Dentsu, Brainlabs, DEPT, Croud, Peak Ace")</f>
        <v>Seeders, iProspect, Dentsu, Brainlabs, DEPT, Croud, Peak Ace</v>
      </c>
      <c r="I43" s="11">
        <f>IFERROR(__xludf.DUMMYFUNCTION("""COMPUTED_VALUE"""),18.0)</f>
        <v>18</v>
      </c>
      <c r="J43" s="11">
        <f>IFERROR(__xludf.DUMMYFUNCTION("""COMPUTED_VALUE"""),0.02)</f>
        <v>0.02</v>
      </c>
      <c r="K43" s="11">
        <f>IFERROR(__xludf.DUMMYFUNCTION("""COMPUTED_VALUE"""),1.22)</f>
        <v>1.22</v>
      </c>
    </row>
    <row r="44" ht="15.75" customHeight="1">
      <c r="A44" s="8" t="str">
        <f>IFERROR(__xludf.DUMMYFUNCTION("""COMPUTED_VALUE"""),"https://zyppy.com/companies/c/generative-ai-seo/germany/")</f>
        <v>https://zyppy.com/companies/c/generative-ai-seo/germany/</v>
      </c>
      <c r="B44" s="11" t="str">
        <f>IFERROR(__xludf.DUMMYFUNCTION("""COMPUTED_VALUE"""),"Top Generative AI Search Companies in Germany - July 2026")</f>
        <v>Top Generative AI Search Companies in Germany - July 2026</v>
      </c>
      <c r="C44" s="8" t="str">
        <f>IFERROR(__xludf.DUMMYFUNCTION("""COMPUTED_VALUE"""),"zyppy.com")</f>
        <v>zyppy.com</v>
      </c>
      <c r="D44" s="11" t="str">
        <f>IFERROR(__xludf.DUMMYFUNCTION("""COMPUTED_VALUE"""),"LISTICLE")</f>
        <v>LISTICLE</v>
      </c>
      <c r="E44" s="11" t="str">
        <f>IFERROR(__xludf.DUMMYFUNCTION("""COMPUTED_VALUE"""),"CORPORATE")</f>
        <v>CORPORATE</v>
      </c>
      <c r="F44" s="11" t="str">
        <f>IFERROR(__xludf.DUMMYFUNCTION("""COMPUTED_VALUE"""),"Listicle")</f>
        <v>Listicle</v>
      </c>
      <c r="G44" s="11" t="b">
        <f>IFERROR(__xludf.DUMMYFUNCTION("""COMPUTED_VALUE"""),FALSE)</f>
        <v>0</v>
      </c>
      <c r="H44" s="11" t="str">
        <f>IFERROR(__xludf.DUMMYFUNCTION("""COMPUTED_VALUE"""),"HECHT INS GEFECHT")</f>
        <v>HECHT INS GEFECHT</v>
      </c>
      <c r="I44" s="11">
        <f>IFERROR(__xludf.DUMMYFUNCTION("""COMPUTED_VALUE"""),18.0)</f>
        <v>18</v>
      </c>
      <c r="J44" s="11">
        <f>IFERROR(__xludf.DUMMYFUNCTION("""COMPUTED_VALUE"""),0.02)</f>
        <v>0.02</v>
      </c>
      <c r="K44" s="11">
        <f>IFERROR(__xludf.DUMMYFUNCTION("""COMPUTED_VALUE"""),0.06)</f>
        <v>0.06</v>
      </c>
    </row>
    <row r="45" ht="15.75" customHeight="1">
      <c r="A45" s="8" t="str">
        <f>IFERROR(__xludf.DUMMYFUNCTION("""COMPUTED_VALUE"""),"https://themanifest.com/de/social-media/agencies")</f>
        <v>https://themanifest.com/de/social-media/agencies</v>
      </c>
      <c r="B45" s="11" t="str">
        <f>IFERROR(__xludf.DUMMYFUNCTION("""COMPUTED_VALUE"""),"The Best Social Media Marketing Companies in Germany - Jun 2026 \| The Manifest")</f>
        <v>The Best Social Media Marketing Companies in Germany - Jun 2026 \| The Manifest</v>
      </c>
      <c r="C45" s="8" t="str">
        <f>IFERROR(__xludf.DUMMYFUNCTION("""COMPUTED_VALUE"""),"themanifest.com")</f>
        <v>themanifest.com</v>
      </c>
      <c r="D45" s="11" t="str">
        <f>IFERROR(__xludf.DUMMYFUNCTION("""COMPUTED_VALUE"""),"LISTICLE")</f>
        <v>LISTICLE</v>
      </c>
      <c r="E45" s="11" t="str">
        <f>IFERROR(__xludf.DUMMYFUNCTION("""COMPUTED_VALUE"""),"REFERENCE")</f>
        <v>REFERENCE</v>
      </c>
      <c r="F45" s="11" t="str">
        <f>IFERROR(__xludf.DUMMYFUNCTION("""COMPUTED_VALUE"""),"Listicle")</f>
        <v>Listicle</v>
      </c>
      <c r="G45" s="11" t="b">
        <f>IFERROR(__xludf.DUMMYFUNCTION("""COMPUTED_VALUE"""),FALSE)</f>
        <v>0</v>
      </c>
      <c r="H45" s="11" t="str">
        <f>IFERROR(__xludf.DUMMYFUNCTION("""COMPUTED_VALUE"""),"MONSOON, Mediacharge, HY.AM STUDIOS, PANORAMA3000, DREIKON")</f>
        <v>MONSOON, Mediacharge, HY.AM STUDIOS, PANORAMA3000, DREIKON</v>
      </c>
      <c r="I45" s="11">
        <f>IFERROR(__xludf.DUMMYFUNCTION("""COMPUTED_VALUE"""),17.0)</f>
        <v>17</v>
      </c>
      <c r="J45" s="11">
        <f>IFERROR(__xludf.DUMMYFUNCTION("""COMPUTED_VALUE"""),0.02)</f>
        <v>0.02</v>
      </c>
      <c r="K45" s="11">
        <f>IFERROR(__xludf.DUMMYFUNCTION("""COMPUTED_VALUE"""),0.41)</f>
        <v>0.41</v>
      </c>
    </row>
    <row r="46" ht="15.75" customHeight="1">
      <c r="A46" s="8" t="str">
        <f>IFERROR(__xludf.DUMMYFUNCTION("""COMPUTED_VALUE"""),"https://www.omnius.so/blog/best-answer-engine-optimization-agencies")</f>
        <v>https://www.omnius.so/blog/best-answer-engine-optimization-agencies</v>
      </c>
      <c r="B46" s="11" t="str">
        <f>IFERROR(__xludf.DUMMYFUNCTION("""COMPUTED_VALUE"""),"16 Best Answer Engine Optimization (AEO) Agencies in 2026")</f>
        <v>16 Best Answer Engine Optimization (AEO) Agencies in 2026</v>
      </c>
      <c r="C46" s="8" t="str">
        <f>IFERROR(__xludf.DUMMYFUNCTION("""COMPUTED_VALUE"""),"omnius.so")</f>
        <v>omnius.so</v>
      </c>
      <c r="D46" s="11" t="str">
        <f>IFERROR(__xludf.DUMMYFUNCTION("""COMPUTED_VALUE"""),"LISTICLE")</f>
        <v>LISTICLE</v>
      </c>
      <c r="E46" s="11" t="str">
        <f>IFERROR(__xludf.DUMMYFUNCTION("""COMPUTED_VALUE"""),"COMPETITOR")</f>
        <v>COMPETITOR</v>
      </c>
      <c r="F46" s="11" t="str">
        <f>IFERROR(__xludf.DUMMYFUNCTION("""COMPUTED_VALUE"""),"Listicle")</f>
        <v>Listicle</v>
      </c>
      <c r="G46" s="11" t="b">
        <f>IFERROR(__xludf.DUMMYFUNCTION("""COMPUTED_VALUE"""),FALSE)</f>
        <v>0</v>
      </c>
      <c r="H46" s="11" t="str">
        <f>IFERROR(__xludf.DUMMYFUNCTION("""COMPUTED_VALUE"""),"Omnius, Omniscient Digital, iPullRank, Single Grain")</f>
        <v>Omnius, Omniscient Digital, iPullRank, Single Grain</v>
      </c>
      <c r="I46" s="11">
        <f>IFERROR(__xludf.DUMMYFUNCTION("""COMPUTED_VALUE"""),16.0)</f>
        <v>16</v>
      </c>
      <c r="J46" s="11">
        <f>IFERROR(__xludf.DUMMYFUNCTION("""COMPUTED_VALUE"""),0.02)</f>
        <v>0.02</v>
      </c>
      <c r="K46" s="11">
        <f>IFERROR(__xludf.DUMMYFUNCTION("""COMPUTED_VALUE"""),1.13)</f>
        <v>1.13</v>
      </c>
    </row>
    <row r="47" ht="15.75" customHeight="1">
      <c r="A47" s="8" t="str">
        <f>IFERROR(__xludf.DUMMYFUNCTION("""COMPUTED_VALUE"""),"https://lengreo.com/germany-aeo-geo-llmo-companies/")</f>
        <v>https://lengreo.com/germany-aeo-geo-llmo-companies/</v>
      </c>
      <c r="B47" s="11" t="str">
        <f>IFERROR(__xludf.DUMMYFUNCTION("""COMPUTED_VALUE"""),"Top 13 Germany AEO GEO LLMO Companies (2026)")</f>
        <v>Top 13 Germany AEO GEO LLMO Companies (2026)</v>
      </c>
      <c r="C47" s="8" t="str">
        <f>IFERROR(__xludf.DUMMYFUNCTION("""COMPUTED_VALUE"""),"lengreo.com")</f>
        <v>lengreo.com</v>
      </c>
      <c r="D47" s="11" t="str">
        <f>IFERROR(__xludf.DUMMYFUNCTION("""COMPUTED_VALUE"""),"LISTICLE")</f>
        <v>LISTICLE</v>
      </c>
      <c r="E47" s="11" t="str">
        <f>IFERROR(__xludf.DUMMYFUNCTION("""COMPUTED_VALUE"""),"CORPORATE")</f>
        <v>CORPORATE</v>
      </c>
      <c r="F47" s="11" t="str">
        <f>IFERROR(__xludf.DUMMYFUNCTION("""COMPUTED_VALUE"""),"Listicle")</f>
        <v>Listicle</v>
      </c>
      <c r="G47" s="11" t="b">
        <f>IFERROR(__xludf.DUMMYFUNCTION("""COMPUTED_VALUE"""),FALSE)</f>
        <v>0</v>
      </c>
      <c r="H47" s="11" t="str">
        <f>IFERROR(__xludf.DUMMYFUNCTION("""COMPUTED_VALUE"""),"Aufgesang")</f>
        <v>Aufgesang</v>
      </c>
      <c r="I47" s="11">
        <f>IFERROR(__xludf.DUMMYFUNCTION("""COMPUTED_VALUE"""),15.0)</f>
        <v>15</v>
      </c>
      <c r="J47" s="11">
        <f>IFERROR(__xludf.DUMMYFUNCTION("""COMPUTED_VALUE"""),0.02)</f>
        <v>0.02</v>
      </c>
      <c r="K47" s="11">
        <f>IFERROR(__xludf.DUMMYFUNCTION("""COMPUTED_VALUE"""),1.33)</f>
        <v>1.33</v>
      </c>
    </row>
    <row r="48" ht="15.75" customHeight="1">
      <c r="A48" s="8" t="str">
        <f>IFERROR(__xludf.DUMMYFUNCTION("""COMPUTED_VALUE"""),"https://lengreo.com/top-google-ads-agencies-in-germany/")</f>
        <v>https://lengreo.com/top-google-ads-agencies-in-germany/</v>
      </c>
      <c r="B48" s="11" t="str">
        <f>IFERROR(__xludf.DUMMYFUNCTION("""COMPUTED_VALUE"""),"10 Best Google Ads Experts Helping Businesses Thrive in Germany (2026)")</f>
        <v>10 Best Google Ads Experts Helping Businesses Thrive in Germany (2026)</v>
      </c>
      <c r="C48" s="8" t="str">
        <f>IFERROR(__xludf.DUMMYFUNCTION("""COMPUTED_VALUE"""),"lengreo.com")</f>
        <v>lengreo.com</v>
      </c>
      <c r="D48" s="11" t="str">
        <f>IFERROR(__xludf.DUMMYFUNCTION("""COMPUTED_VALUE"""),"LISTICLE")</f>
        <v>LISTICLE</v>
      </c>
      <c r="E48" s="11" t="str">
        <f>IFERROR(__xludf.DUMMYFUNCTION("""COMPUTED_VALUE"""),"CORPORATE")</f>
        <v>CORPORATE</v>
      </c>
      <c r="F48" s="11" t="str">
        <f>IFERROR(__xludf.DUMMYFUNCTION("""COMPUTED_VALUE"""),"Listicle")</f>
        <v>Listicle</v>
      </c>
      <c r="G48" s="11" t="b">
        <f>IFERROR(__xludf.DUMMYFUNCTION("""COMPUTED_VALUE"""),FALSE)</f>
        <v>0</v>
      </c>
      <c r="H48" s="11" t="str">
        <f>IFERROR(__xludf.DUMMYFUNCTION("""COMPUTED_VALUE"""),"SmartSites, Smarketer, morefire")</f>
        <v>SmartSites, Smarketer, morefire</v>
      </c>
      <c r="I48" s="11">
        <f>IFERROR(__xludf.DUMMYFUNCTION("""COMPUTED_VALUE"""),15.0)</f>
        <v>15</v>
      </c>
      <c r="J48" s="11">
        <f>IFERROR(__xludf.DUMMYFUNCTION("""COMPUTED_VALUE"""),0.02)</f>
        <v>0.02</v>
      </c>
      <c r="K48" s="11">
        <f>IFERROR(__xludf.DUMMYFUNCTION("""COMPUTED_VALUE"""),0.87)</f>
        <v>0.87</v>
      </c>
    </row>
    <row r="49" ht="15.75" customHeight="1">
      <c r="A49" s="8" t="str">
        <f>IFERROR(__xludf.DUMMYFUNCTION("""COMPUTED_VALUE"""),"https://www.loudface.co/blog/best-aeo-agencies-2026")</f>
        <v>https://www.loudface.co/blog/best-aeo-agencies-2026</v>
      </c>
      <c r="B49" s="11" t="str">
        <f>IFERROR(__xludf.DUMMYFUNCTION("""COMPUTED_VALUE"""),"Best AEO &amp;amp; AI Search Agencies in 2026 (Ranked) | LoudFace")</f>
        <v>Best AEO &amp;amp; AI Search Agencies in 2026 (Ranked) | LoudFace</v>
      </c>
      <c r="C49" s="8" t="str">
        <f>IFERROR(__xludf.DUMMYFUNCTION("""COMPUTED_VALUE"""),"loudface.co")</f>
        <v>loudface.co</v>
      </c>
      <c r="D49" s="11" t="str">
        <f>IFERROR(__xludf.DUMMYFUNCTION("""COMPUTED_VALUE"""),"LISTICLE")</f>
        <v>LISTICLE</v>
      </c>
      <c r="E49" s="11" t="str">
        <f>IFERROR(__xludf.DUMMYFUNCTION("""COMPUTED_VALUE"""),"CORPORATE")</f>
        <v>CORPORATE</v>
      </c>
      <c r="F49" s="11" t="str">
        <f>IFERROR(__xludf.DUMMYFUNCTION("""COMPUTED_VALUE"""),"Listicle")</f>
        <v>Listicle</v>
      </c>
      <c r="G49" s="11" t="b">
        <f>IFERROR(__xludf.DUMMYFUNCTION("""COMPUTED_VALUE"""),FALSE)</f>
        <v>0</v>
      </c>
      <c r="H49" s="11" t="str">
        <f>IFERROR(__xludf.DUMMYFUNCTION("""COMPUTED_VALUE"""),"iPullRank, NoGood, Omniscient Digital, Siege Media, Omnius, Measured")</f>
        <v>iPullRank, NoGood, Omniscient Digital, Siege Media, Omnius, Measured</v>
      </c>
      <c r="I49" s="11">
        <f>IFERROR(__xludf.DUMMYFUNCTION("""COMPUTED_VALUE"""),15.0)</f>
        <v>15</v>
      </c>
      <c r="J49" s="11">
        <f>IFERROR(__xludf.DUMMYFUNCTION("""COMPUTED_VALUE"""),0.02)</f>
        <v>0.02</v>
      </c>
      <c r="K49" s="11">
        <f>IFERROR(__xludf.DUMMYFUNCTION("""COMPUTED_VALUE"""),0.47)</f>
        <v>0.47</v>
      </c>
    </row>
    <row r="50" ht="15.75" customHeight="1">
      <c r="A50" s="8" t="str">
        <f>IFERROR(__xludf.DUMMYFUNCTION("""COMPUTED_VALUE"""),"https://www.adbeacon.com/19-best-marketing-attribution-software-solutions-in-2026/")</f>
        <v>https://www.adbeacon.com/19-best-marketing-attribution-software-solutions-in-2026/</v>
      </c>
      <c r="B50" s="11" t="str">
        <f>IFERROR(__xludf.DUMMYFUNCTION("""COMPUTED_VALUE"""),"19 Best Marketing Attribution Software Solutions in 2026 | AdBeacon")</f>
        <v>19 Best Marketing Attribution Software Solutions in 2026 | AdBeacon</v>
      </c>
      <c r="C50" s="8" t="str">
        <f>IFERROR(__xludf.DUMMYFUNCTION("""COMPUTED_VALUE"""),"adbeacon.com")</f>
        <v>adbeacon.com</v>
      </c>
      <c r="D50" s="11" t="str">
        <f>IFERROR(__xludf.DUMMYFUNCTION("""COMPUTED_VALUE"""),"LISTICLE")</f>
        <v>LISTICLE</v>
      </c>
      <c r="E50" s="11" t="str">
        <f>IFERROR(__xludf.DUMMYFUNCTION("""COMPUTED_VALUE"""),"CORPORATE")</f>
        <v>CORPORATE</v>
      </c>
      <c r="F50" s="11" t="str">
        <f>IFERROR(__xludf.DUMMYFUNCTION("""COMPUTED_VALUE"""),"Listicle")</f>
        <v>Listicle</v>
      </c>
      <c r="G50" s="11" t="b">
        <f>IFERROR(__xludf.DUMMYFUNCTION("""COMPUTED_VALUE"""),FALSE)</f>
        <v>0</v>
      </c>
      <c r="H50" s="11" t="str">
        <f>IFERROR(__xludf.DUMMYFUNCTION("""COMPUTED_VALUE"""),"Ruler Analytics, Dreamdata, Triple Whale, Rockerbox")</f>
        <v>Ruler Analytics, Dreamdata, Triple Whale, Rockerbox</v>
      </c>
      <c r="I50" s="11">
        <f>IFERROR(__xludf.DUMMYFUNCTION("""COMPUTED_VALUE"""),14.0)</f>
        <v>14</v>
      </c>
      <c r="J50" s="11">
        <f>IFERROR(__xludf.DUMMYFUNCTION("""COMPUTED_VALUE"""),0.01)</f>
        <v>0.01</v>
      </c>
      <c r="K50" s="11">
        <f>IFERROR(__xludf.DUMMYFUNCTION("""COMPUTED_VALUE"""),0.0)</f>
        <v>0</v>
      </c>
    </row>
    <row r="51" ht="15.75" customHeight="1">
      <c r="A51" s="8" t="str">
        <f>IFERROR(__xludf.DUMMYFUNCTION("""COMPUTED_VALUE"""),"https://www.adbeacon.com/7-best-marketing-attribution-tools-compared-2026/")</f>
        <v>https://www.adbeacon.com/7-best-marketing-attribution-tools-compared-2026/</v>
      </c>
      <c r="B51" s="11" t="str">
        <f>IFERROR(__xludf.DUMMYFUNCTION("""COMPUTED_VALUE"""),"7 Best Marketing Attribution Tools Compared (2026) | AdBeacon")</f>
        <v>7 Best Marketing Attribution Tools Compared (2026) | AdBeacon</v>
      </c>
      <c r="C51" s="8" t="str">
        <f>IFERROR(__xludf.DUMMYFUNCTION("""COMPUTED_VALUE"""),"adbeacon.com")</f>
        <v>adbeacon.com</v>
      </c>
      <c r="D51" s="11" t="str">
        <f>IFERROR(__xludf.DUMMYFUNCTION("""COMPUTED_VALUE"""),"LISTICLE")</f>
        <v>LISTICLE</v>
      </c>
      <c r="E51" s="11" t="str">
        <f>IFERROR(__xludf.DUMMYFUNCTION("""COMPUTED_VALUE"""),"CORPORATE")</f>
        <v>CORPORATE</v>
      </c>
      <c r="F51" s="11" t="str">
        <f>IFERROR(__xludf.DUMMYFUNCTION("""COMPUTED_VALUE"""),"Listicle")</f>
        <v>Listicle</v>
      </c>
      <c r="G51" s="11" t="b">
        <f>IFERROR(__xludf.DUMMYFUNCTION("""COMPUTED_VALUE"""),FALSE)</f>
        <v>0</v>
      </c>
      <c r="H51" s="11" t="str">
        <f>IFERROR(__xludf.DUMMYFUNCTION("""COMPUTED_VALUE"""),"Cometly, Triple Whale, Northbeam, Rockerbox, Ruler Analytics")</f>
        <v>Cometly, Triple Whale, Northbeam, Rockerbox, Ruler Analytics</v>
      </c>
      <c r="I51" s="11">
        <f>IFERROR(__xludf.DUMMYFUNCTION("""COMPUTED_VALUE"""),14.0)</f>
        <v>14</v>
      </c>
      <c r="J51" s="11">
        <f>IFERROR(__xludf.DUMMYFUNCTION("""COMPUTED_VALUE"""),0.01)</f>
        <v>0.01</v>
      </c>
      <c r="K51" s="11">
        <f>IFERROR(__xludf.DUMMYFUNCTION("""COMPUTED_VALUE"""),0.07)</f>
        <v>0.07</v>
      </c>
    </row>
    <row r="52" ht="15.75" customHeight="1">
      <c r="A52" s="8" t="str">
        <f>IFERROR(__xludf.DUMMYFUNCTION("""COMPUTED_VALUE"""),"https://aisuperior.com/ai-consulting-companies-in-germany/")</f>
        <v>https://aisuperior.com/ai-consulting-companies-in-germany/</v>
      </c>
      <c r="B52" s="11" t="str">
        <f>IFERROR(__xludf.DUMMYFUNCTION("""COMPUTED_VALUE"""),"15 Best AI Consulting Companies in Germany (2026)")</f>
        <v>15 Best AI Consulting Companies in Germany (2026)</v>
      </c>
      <c r="C52" s="8" t="str">
        <f>IFERROR(__xludf.DUMMYFUNCTION("""COMPUTED_VALUE"""),"aisuperior.com")</f>
        <v>aisuperior.com</v>
      </c>
      <c r="D52" s="11" t="str">
        <f>IFERROR(__xludf.DUMMYFUNCTION("""COMPUTED_VALUE"""),"LISTICLE")</f>
        <v>LISTICLE</v>
      </c>
      <c r="E52" s="11" t="str">
        <f>IFERROR(__xludf.DUMMYFUNCTION("""COMPUTED_VALUE"""),"OTHER")</f>
        <v>OTHER</v>
      </c>
      <c r="F52" s="11" t="str">
        <f>IFERROR(__xludf.DUMMYFUNCTION("""COMPUTED_VALUE"""),"Listicle")</f>
        <v>Listicle</v>
      </c>
      <c r="G52" s="11" t="b">
        <f>IFERROR(__xludf.DUMMYFUNCTION("""COMPUTED_VALUE"""),FALSE)</f>
        <v>0</v>
      </c>
      <c r="H52" s="11" t="str">
        <f>IFERROR(__xludf.DUMMYFUNCTION("""COMPUTED_VALUE"""),"MaibornWolff")</f>
        <v>MaibornWolff</v>
      </c>
      <c r="I52" s="11">
        <f>IFERROR(__xludf.DUMMYFUNCTION("""COMPUTED_VALUE"""),14.0)</f>
        <v>14</v>
      </c>
      <c r="J52" s="11">
        <f>IFERROR(__xludf.DUMMYFUNCTION("""COMPUTED_VALUE"""),0.01)</f>
        <v>0.01</v>
      </c>
      <c r="K52" s="11">
        <f>IFERROR(__xludf.DUMMYFUNCTION("""COMPUTED_VALUE"""),0.14)</f>
        <v>0.14</v>
      </c>
    </row>
    <row r="53" ht="15.75" customHeight="1">
      <c r="A53" s="8" t="str">
        <f>IFERROR(__xludf.DUMMYFUNCTION("""COMPUTED_VALUE"""),"https://oski.site/blog/ai-consulting-companies-germany/")</f>
        <v>https://oski.site/blog/ai-consulting-companies-germany/</v>
      </c>
      <c r="B53" s="11" t="str">
        <f>IFERROR(__xludf.DUMMYFUNCTION("""COMPUTED_VALUE"""),"Top AI Consulting Companies in Germany 2026")</f>
        <v>Top AI Consulting Companies in Germany 2026</v>
      </c>
      <c r="C53" s="11" t="str">
        <f>IFERROR(__xludf.DUMMYFUNCTION("""COMPUTED_VALUE"""),"oski.site")</f>
        <v>oski.site</v>
      </c>
      <c r="D53" s="11" t="str">
        <f>IFERROR(__xludf.DUMMYFUNCTION("""COMPUTED_VALUE"""),"LISTICLE")</f>
        <v>LISTICLE</v>
      </c>
      <c r="E53" s="11" t="str">
        <f>IFERROR(__xludf.DUMMYFUNCTION("""COMPUTED_VALUE"""),"OTHER")</f>
        <v>OTHER</v>
      </c>
      <c r="F53" s="11" t="str">
        <f>IFERROR(__xludf.DUMMYFUNCTION("""COMPUTED_VALUE"""),"Listicle")</f>
        <v>Listicle</v>
      </c>
      <c r="G53" s="11" t="b">
        <f>IFERROR(__xludf.DUMMYFUNCTION("""COMPUTED_VALUE"""),FALSE)</f>
        <v>0</v>
      </c>
      <c r="H53" s="11" t="str">
        <f>IFERROR(__xludf.DUMMYFUNCTION("""COMPUTED_VALUE"""),"Opinosis Analytics, MaibornWolff, statworx, Capgemini, PwC, Momentum")</f>
        <v>Opinosis Analytics, MaibornWolff, statworx, Capgemini, PwC, Momentum</v>
      </c>
      <c r="I53" s="11">
        <f>IFERROR(__xludf.DUMMYFUNCTION("""COMPUTED_VALUE"""),14.0)</f>
        <v>14</v>
      </c>
      <c r="J53" s="11">
        <f>IFERROR(__xludf.DUMMYFUNCTION("""COMPUTED_VALUE"""),0.01)</f>
        <v>0.01</v>
      </c>
      <c r="K53" s="11">
        <f>IFERROR(__xludf.DUMMYFUNCTION("""COMPUTED_VALUE"""),1.21)</f>
        <v>1.21</v>
      </c>
    </row>
    <row r="54" ht="15.75" customHeight="1">
      <c r="A54" s="8" t="str">
        <f>IFERROR(__xludf.DUMMYFUNCTION("""COMPUTED_VALUE"""),"https://segmentstream.com/blog/articles/top-10-incrementality-testing-tools")</f>
        <v>https://segmentstream.com/blog/articles/top-10-incrementality-testing-tools</v>
      </c>
      <c r="B54" s="11" t="str">
        <f>IFERROR(__xludf.DUMMYFUNCTION("""COMPUTED_VALUE"""),"10 Best Incrementality Testing Tools (2026) — SegmentStream")</f>
        <v>10 Best Incrementality Testing Tools (2026) — SegmentStream</v>
      </c>
      <c r="C54" s="8" t="str">
        <f>IFERROR(__xludf.DUMMYFUNCTION("""COMPUTED_VALUE"""),"segmentstream.com")</f>
        <v>segmentstream.com</v>
      </c>
      <c r="D54" s="11" t="str">
        <f>IFERROR(__xludf.DUMMYFUNCTION("""COMPUTED_VALUE"""),"LISTICLE")</f>
        <v>LISTICLE</v>
      </c>
      <c r="E54" s="11" t="str">
        <f>IFERROR(__xludf.DUMMYFUNCTION("""COMPUTED_VALUE"""),"COMPETITOR")</f>
        <v>COMPETITOR</v>
      </c>
      <c r="F54" s="11" t="str">
        <f>IFERROR(__xludf.DUMMYFUNCTION("""COMPUTED_VALUE"""),"Listicle")</f>
        <v>Listicle</v>
      </c>
      <c r="G54" s="11" t="b">
        <f>IFERROR(__xludf.DUMMYFUNCTION("""COMPUTED_VALUE"""),FALSE)</f>
        <v>0</v>
      </c>
      <c r="H54" s="11" t="str">
        <f>IFERROR(__xludf.DUMMYFUNCTION("""COMPUTED_VALUE"""),"SegmentStream, Measured, Haus, LifeSight, Rockerbox, Recast, INCRMNTAL")</f>
        <v>SegmentStream, Measured, Haus, LifeSight, Rockerbox, Recast, INCRMNTAL</v>
      </c>
      <c r="I54" s="11">
        <f>IFERROR(__xludf.DUMMYFUNCTION("""COMPUTED_VALUE"""),14.0)</f>
        <v>14</v>
      </c>
      <c r="J54" s="11">
        <f>IFERROR(__xludf.DUMMYFUNCTION("""COMPUTED_VALUE"""),0.01)</f>
        <v>0.01</v>
      </c>
      <c r="K54" s="11">
        <f>IFERROR(__xludf.DUMMYFUNCTION("""COMPUTED_VALUE"""),1.71)</f>
        <v>1.71</v>
      </c>
    </row>
    <row r="55" ht="15.75" customHeight="1">
      <c r="A55" s="8" t="str">
        <f>IFERROR(__xludf.DUMMYFUNCTION("""COMPUTED_VALUE"""),"https://superbcompanies.com/categories/creative-agencies-in-germany/")</f>
        <v>https://superbcompanies.com/categories/creative-agencies-in-germany/</v>
      </c>
      <c r="B55" s="11" t="str">
        <f>IFERROR(__xludf.DUMMYFUNCTION("""COMPUTED_VALUE"""),"Top 50 Creative Agencies in Germany - Jul 2026 | Ranking | SuperbCompanies")</f>
        <v>Top 50 Creative Agencies in Germany - Jul 2026 | Ranking | SuperbCompanies</v>
      </c>
      <c r="C55" s="8" t="str">
        <f>IFERROR(__xludf.DUMMYFUNCTION("""COMPUTED_VALUE"""),"superbcompanies.com")</f>
        <v>superbcompanies.com</v>
      </c>
      <c r="D55" s="11" t="str">
        <f>IFERROR(__xludf.DUMMYFUNCTION("""COMPUTED_VALUE"""),"LISTICLE")</f>
        <v>LISTICLE</v>
      </c>
      <c r="E55" s="11" t="str">
        <f>IFERROR(__xludf.DUMMYFUNCTION("""COMPUTED_VALUE"""),"REFERENCE")</f>
        <v>REFERENCE</v>
      </c>
      <c r="F55" s="11" t="str">
        <f>IFERROR(__xludf.DUMMYFUNCTION("""COMPUTED_VALUE"""),"Listicle")</f>
        <v>Listicle</v>
      </c>
      <c r="G55" s="11" t="b">
        <f>IFERROR(__xludf.DUMMYFUNCTION("""COMPUTED_VALUE"""),FALSE)</f>
        <v>0</v>
      </c>
      <c r="H55" s="11" t="str">
        <f>IFERROR(__xludf.DUMMYFUNCTION("""COMPUTED_VALUE"""),"DEPT, KlickPiloten")</f>
        <v>DEPT, KlickPiloten</v>
      </c>
      <c r="I55" s="11">
        <f>IFERROR(__xludf.DUMMYFUNCTION("""COMPUTED_VALUE"""),14.0)</f>
        <v>14</v>
      </c>
      <c r="J55" s="11">
        <f>IFERROR(__xludf.DUMMYFUNCTION("""COMPUTED_VALUE"""),0.01)</f>
        <v>0.01</v>
      </c>
      <c r="K55" s="11">
        <f>IFERROR(__xludf.DUMMYFUNCTION("""COMPUTED_VALUE"""),0.0)</f>
        <v>0</v>
      </c>
    </row>
    <row r="56" ht="15.75" customHeight="1">
      <c r="A56" s="8" t="str">
        <f>IFERROR(__xludf.DUMMYFUNCTION("""COMPUTED_VALUE"""),"https://www.ayrank.com/blog/top-geo-agencies-berlin")</f>
        <v>https://www.ayrank.com/blog/top-geo-agencies-berlin</v>
      </c>
      <c r="B56" s="11"/>
      <c r="C56" s="8" t="str">
        <f>IFERROR(__xludf.DUMMYFUNCTION("""COMPUTED_VALUE"""),"ayrank.com")</f>
        <v>ayrank.com</v>
      </c>
      <c r="D56" s="11" t="str">
        <f>IFERROR(__xludf.DUMMYFUNCTION("""COMPUTED_VALUE"""),"LISTICLE")</f>
        <v>LISTICLE</v>
      </c>
      <c r="E56" s="11" t="str">
        <f>IFERROR(__xludf.DUMMYFUNCTION("""COMPUTED_VALUE"""),"CORPORATE")</f>
        <v>CORPORATE</v>
      </c>
      <c r="F56" s="11" t="str">
        <f>IFERROR(__xludf.DUMMYFUNCTION("""COMPUTED_VALUE"""),"Listicle")</f>
        <v>Listicle</v>
      </c>
      <c r="G56" s="11" t="b">
        <f>IFERROR(__xludf.DUMMYFUNCTION("""COMPUTED_VALUE"""),FALSE)</f>
        <v>0</v>
      </c>
      <c r="H56" s="11" t="str">
        <f>IFERROR(__xludf.DUMMYFUNCTION("""COMPUTED_VALUE"""),"Claneo, Radyant, KlickPiloten")</f>
        <v>Claneo, Radyant, KlickPiloten</v>
      </c>
      <c r="I56" s="11">
        <f>IFERROR(__xludf.DUMMYFUNCTION("""COMPUTED_VALUE"""),13.0)</f>
        <v>13</v>
      </c>
      <c r="J56" s="11">
        <f>IFERROR(__xludf.DUMMYFUNCTION("""COMPUTED_VALUE"""),0.01)</f>
        <v>0.01</v>
      </c>
      <c r="K56" s="11">
        <f>IFERROR(__xludf.DUMMYFUNCTION("""COMPUTED_VALUE"""),0.77)</f>
        <v>0.77</v>
      </c>
    </row>
    <row r="57" ht="15.75" customHeight="1">
      <c r="A57" s="8" t="str">
        <f>IFERROR(__xludf.DUMMYFUNCTION("""COMPUTED_VALUE"""),"https://digiscorp.com/top-ai-consulting-companies-in-berlin/")</f>
        <v>https://digiscorp.com/top-ai-consulting-companies-in-berlin/</v>
      </c>
      <c r="B57" s="11" t="str">
        <f>IFERROR(__xludf.DUMMYFUNCTION("""COMPUTED_VALUE"""),"Top AI Consulting Companies in Berlin")</f>
        <v>Top AI Consulting Companies in Berlin</v>
      </c>
      <c r="C57" s="8" t="str">
        <f>IFERROR(__xludf.DUMMYFUNCTION("""COMPUTED_VALUE"""),"digiscorp.com")</f>
        <v>digiscorp.com</v>
      </c>
      <c r="D57" s="11" t="str">
        <f>IFERROR(__xludf.DUMMYFUNCTION("""COMPUTED_VALUE"""),"LISTICLE")</f>
        <v>LISTICLE</v>
      </c>
      <c r="E57" s="11" t="str">
        <f>IFERROR(__xludf.DUMMYFUNCTION("""COMPUTED_VALUE"""),"CORPORATE")</f>
        <v>CORPORATE</v>
      </c>
      <c r="F57" s="11" t="str">
        <f>IFERROR(__xludf.DUMMYFUNCTION("""COMPUTED_VALUE"""),"Listicle")</f>
        <v>Listicle</v>
      </c>
      <c r="G57" s="11" t="b">
        <f>IFERROR(__xludf.DUMMYFUNCTION("""COMPUTED_VALUE"""),FALSE)</f>
        <v>0</v>
      </c>
      <c r="H57" s="11" t="str">
        <f>IFERROR(__xludf.DUMMYFUNCTION("""COMPUTED_VALUE"""),"appliedAI, Measured, Pilot")</f>
        <v>appliedAI, Measured, Pilot</v>
      </c>
      <c r="I57" s="11">
        <f>IFERROR(__xludf.DUMMYFUNCTION("""COMPUTED_VALUE"""),13.0)</f>
        <v>13</v>
      </c>
      <c r="J57" s="11">
        <f>IFERROR(__xludf.DUMMYFUNCTION("""COMPUTED_VALUE"""),0.01)</f>
        <v>0.01</v>
      </c>
      <c r="K57" s="11">
        <f>IFERROR(__xludf.DUMMYFUNCTION("""COMPUTED_VALUE"""),0.08)</f>
        <v>0.08</v>
      </c>
    </row>
    <row r="58" ht="15.75" customHeight="1">
      <c r="A58" s="8" t="str">
        <f>IFERROR(__xludf.DUMMYFUNCTION("""COMPUTED_VALUE"""),"https://geoagentur.de/ratgeber/beste-geo-agentur/")</f>
        <v>https://geoagentur.de/ratgeber/beste-geo-agentur/</v>
      </c>
      <c r="B58" s="11" t="str">
        <f>IFERROR(__xludf.DUMMYFUNCTION("""COMPUTED_VALUE"""),"Die besten GEO-Agenturen 2026 (und wie du sie findest)")</f>
        <v>Die besten GEO-Agenturen 2026 (und wie du sie findest)</v>
      </c>
      <c r="C58" s="8" t="str">
        <f>IFERROR(__xludf.DUMMYFUNCTION("""COMPUTED_VALUE"""),"geoagentur.de")</f>
        <v>geoagentur.de</v>
      </c>
      <c r="D58" s="11" t="str">
        <f>IFERROR(__xludf.DUMMYFUNCTION("""COMPUTED_VALUE"""),"LISTICLE")</f>
        <v>LISTICLE</v>
      </c>
      <c r="E58" s="11" t="str">
        <f>IFERROR(__xludf.DUMMYFUNCTION("""COMPUTED_VALUE"""),"CORPORATE")</f>
        <v>CORPORATE</v>
      </c>
      <c r="F58" s="11" t="str">
        <f>IFERROR(__xludf.DUMMYFUNCTION("""COMPUTED_VALUE"""),"Listicle")</f>
        <v>Listicle</v>
      </c>
      <c r="G58" s="11" t="b">
        <f>IFERROR(__xludf.DUMMYFUNCTION("""COMPUTED_VALUE"""),FALSE)</f>
        <v>0</v>
      </c>
      <c r="H58" s="11" t="str">
        <f>IFERROR(__xludf.DUMMYFUNCTION("""COMPUTED_VALUE"""),"Aufgesang, Claneo")</f>
        <v>Aufgesang, Claneo</v>
      </c>
      <c r="I58" s="11">
        <f>IFERROR(__xludf.DUMMYFUNCTION("""COMPUTED_VALUE"""),13.0)</f>
        <v>13</v>
      </c>
      <c r="J58" s="11">
        <f>IFERROR(__xludf.DUMMYFUNCTION("""COMPUTED_VALUE"""),0.01)</f>
        <v>0.01</v>
      </c>
      <c r="K58" s="11">
        <f>IFERROR(__xludf.DUMMYFUNCTION("""COMPUTED_VALUE"""),1.85)</f>
        <v>1.85</v>
      </c>
    </row>
    <row r="59" ht="15.75" customHeight="1">
      <c r="A59" s="8" t="str">
        <f>IFERROR(__xludf.DUMMYFUNCTION("""COMPUTED_VALUE"""),"https://hikemytraffic.com/ai-digital-marketing-companies-in-germany/")</f>
        <v>https://hikemytraffic.com/ai-digital-marketing-companies-in-germany/</v>
      </c>
      <c r="B59" s="11" t="str">
        <f>IFERROR(__xludf.DUMMYFUNCTION("""COMPUTED_VALUE"""),"Best AI Digital Marketing Companies in Germany (2026)")</f>
        <v>Best AI Digital Marketing Companies in Germany (2026)</v>
      </c>
      <c r="C59" s="8" t="str">
        <f>IFERROR(__xludf.DUMMYFUNCTION("""COMPUTED_VALUE"""),"hikemytraffic.com")</f>
        <v>hikemytraffic.com</v>
      </c>
      <c r="D59" s="11" t="str">
        <f>IFERROR(__xludf.DUMMYFUNCTION("""COMPUTED_VALUE"""),"LISTICLE")</f>
        <v>LISTICLE</v>
      </c>
      <c r="E59" s="11" t="str">
        <f>IFERROR(__xludf.DUMMYFUNCTION("""COMPUTED_VALUE"""),"COMPETITOR")</f>
        <v>COMPETITOR</v>
      </c>
      <c r="F59" s="11" t="str">
        <f>IFERROR(__xludf.DUMMYFUNCTION("""COMPUTED_VALUE"""),"Listicle")</f>
        <v>Listicle</v>
      </c>
      <c r="G59" s="11" t="b">
        <f>IFERROR(__xludf.DUMMYFUNCTION("""COMPUTED_VALUE"""),FALSE)</f>
        <v>0</v>
      </c>
      <c r="H59" s="11" t="str">
        <f>IFERROR(__xludf.DUMMYFUNCTION("""COMPUTED_VALUE"""),"HikeMyTraffic")</f>
        <v>HikeMyTraffic</v>
      </c>
      <c r="I59" s="11">
        <f>IFERROR(__xludf.DUMMYFUNCTION("""COMPUTED_VALUE"""),13.0)</f>
        <v>13</v>
      </c>
      <c r="J59" s="11">
        <f>IFERROR(__xludf.DUMMYFUNCTION("""COMPUTED_VALUE"""),0.01)</f>
        <v>0.01</v>
      </c>
      <c r="K59" s="11">
        <f>IFERROR(__xludf.DUMMYFUNCTION("""COMPUTED_VALUE"""),0.54)</f>
        <v>0.54</v>
      </c>
    </row>
    <row r="60" ht="15.75" customHeight="1">
      <c r="A60" s="8" t="str">
        <f>IFERROR(__xludf.DUMMYFUNCTION("""COMPUTED_VALUE"""),"https://indeedseo.com/directories/ai-marketing-agencies-germany/")</f>
        <v>https://indeedseo.com/directories/ai-marketing-agencies-germany/</v>
      </c>
      <c r="B60" s="11" t="str">
        <f>IFERROR(__xludf.DUMMYFUNCTION("""COMPUTED_VALUE"""),"Top 10 AI Marketing Agencies in Germany for 2026")</f>
        <v>Top 10 AI Marketing Agencies in Germany for 2026</v>
      </c>
      <c r="C60" s="8" t="str">
        <f>IFERROR(__xludf.DUMMYFUNCTION("""COMPUTED_VALUE"""),"indeedseo.com")</f>
        <v>indeedseo.com</v>
      </c>
      <c r="D60" s="11" t="str">
        <f>IFERROR(__xludf.DUMMYFUNCTION("""COMPUTED_VALUE"""),"LISTICLE")</f>
        <v>LISTICLE</v>
      </c>
      <c r="E60" s="11" t="str">
        <f>IFERROR(__xludf.DUMMYFUNCTION("""COMPUTED_VALUE"""),"CORPORATE")</f>
        <v>CORPORATE</v>
      </c>
      <c r="F60" s="11" t="str">
        <f>IFERROR(__xludf.DUMMYFUNCTION("""COMPUTED_VALUE"""),"Listicle")</f>
        <v>Listicle</v>
      </c>
      <c r="G60" s="11" t="b">
        <f>IFERROR(__xludf.DUMMYFUNCTION("""COMPUTED_VALUE"""),FALSE)</f>
        <v>0</v>
      </c>
      <c r="H60" s="11" t="str">
        <f>IFERROR(__xludf.DUMMYFUNCTION("""COMPUTED_VALUE"""),"Artefact")</f>
        <v>Artefact</v>
      </c>
      <c r="I60" s="11">
        <f>IFERROR(__xludf.DUMMYFUNCTION("""COMPUTED_VALUE"""),13.0)</f>
        <v>13</v>
      </c>
      <c r="J60" s="11">
        <f>IFERROR(__xludf.DUMMYFUNCTION("""COMPUTED_VALUE"""),0.01)</f>
        <v>0.01</v>
      </c>
      <c r="K60" s="11">
        <f>IFERROR(__xludf.DUMMYFUNCTION("""COMPUTED_VALUE"""),2.08)</f>
        <v>2.08</v>
      </c>
    </row>
    <row r="61" ht="15.75" customHeight="1">
      <c r="A61" s="8" t="str">
        <f>IFERROR(__xludf.DUMMYFUNCTION("""COMPUTED_VALUE"""),"https://www.influencer-hero.com/ar/blogs/top-10-creative-agencies-in-germany")</f>
        <v>https://www.influencer-hero.com/ar/blogs/top-10-creative-agencies-in-germany</v>
      </c>
      <c r="B61" s="11" t="str">
        <f>IFERROR(__xludf.DUMMYFUNCTION("""COMPUTED_VALUE"""),"أفضل 10 وكالات إبداعية في ألمانيا")</f>
        <v>أفضل 10 وكالات إبداعية في ألمانيا</v>
      </c>
      <c r="C61" s="8" t="str">
        <f>IFERROR(__xludf.DUMMYFUNCTION("""COMPUTED_VALUE"""),"influencer-hero.com")</f>
        <v>influencer-hero.com</v>
      </c>
      <c r="D61" s="11" t="str">
        <f>IFERROR(__xludf.DUMMYFUNCTION("""COMPUTED_VALUE"""),"LISTICLE")</f>
        <v>LISTICLE</v>
      </c>
      <c r="E61" s="11" t="str">
        <f>IFERROR(__xludf.DUMMYFUNCTION("""COMPUTED_VALUE"""),"CORPORATE")</f>
        <v>CORPORATE</v>
      </c>
      <c r="F61" s="11" t="str">
        <f>IFERROR(__xludf.DUMMYFUNCTION("""COMPUTED_VALUE"""),"Listicle")</f>
        <v>Listicle</v>
      </c>
      <c r="G61" s="11" t="b">
        <f>IFERROR(__xludf.DUMMYFUNCTION("""COMPUTED_VALUE"""),FALSE)</f>
        <v>0</v>
      </c>
      <c r="H61" s="11" t="str">
        <f>IFERROR(__xludf.DUMMYFUNCTION("""COMPUTED_VALUE"""),"Jung von Matt, DDB Germany, Admiral Media, Mawave, WPP")</f>
        <v>Jung von Matt, DDB Germany, Admiral Media, Mawave, WPP</v>
      </c>
      <c r="I61" s="11">
        <f>IFERROR(__xludf.DUMMYFUNCTION("""COMPUTED_VALUE"""),13.0)</f>
        <v>13</v>
      </c>
      <c r="J61" s="11">
        <f>IFERROR(__xludf.DUMMYFUNCTION("""COMPUTED_VALUE"""),0.01)</f>
        <v>0.01</v>
      </c>
      <c r="K61" s="11">
        <f>IFERROR(__xludf.DUMMYFUNCTION("""COMPUTED_VALUE"""),0.0)</f>
        <v>0</v>
      </c>
    </row>
    <row r="62" ht="15.75" customHeight="1">
      <c r="A62" s="8" t="str">
        <f>IFERROR(__xludf.DUMMYFUNCTION("""COMPUTED_VALUE"""),"https://www.openpr.com/news/4378626/these-are-the-top-10-seo-geo-agencies-in-germany")</f>
        <v>https://www.openpr.com/news/4378626/these-are-the-top-10-seo-geo-agencies-in-germany</v>
      </c>
      <c r="B62" s="11" t="str">
        <f>IFERROR(__xludf.DUMMYFUNCTION("""COMPUTED_VALUE"""),"These are the top 10 SEO + GEO agencies in Germany")</f>
        <v>These are the top 10 SEO + GEO agencies in Germany</v>
      </c>
      <c r="C62" s="8" t="str">
        <f>IFERROR(__xludf.DUMMYFUNCTION("""COMPUTED_VALUE"""),"openpr.com")</f>
        <v>openpr.com</v>
      </c>
      <c r="D62" s="11" t="str">
        <f>IFERROR(__xludf.DUMMYFUNCTION("""COMPUTED_VALUE"""),"LISTICLE")</f>
        <v>LISTICLE</v>
      </c>
      <c r="E62" s="11" t="str">
        <f>IFERROR(__xludf.DUMMYFUNCTION("""COMPUTED_VALUE"""),"UGC")</f>
        <v>UGC</v>
      </c>
      <c r="F62" s="11" t="str">
        <f>IFERROR(__xludf.DUMMYFUNCTION("""COMPUTED_VALUE"""),"Listicle")</f>
        <v>Listicle</v>
      </c>
      <c r="G62" s="11" t="b">
        <f>IFERROR(__xludf.DUMMYFUNCTION("""COMPUTED_VALUE"""),FALSE)</f>
        <v>0</v>
      </c>
      <c r="H62" s="11" t="str">
        <f>IFERROR(__xludf.DUMMYFUNCTION("""COMPUTED_VALUE"""),"DREIKON")</f>
        <v>DREIKON</v>
      </c>
      <c r="I62" s="11">
        <f>IFERROR(__xludf.DUMMYFUNCTION("""COMPUTED_VALUE"""),13.0)</f>
        <v>13</v>
      </c>
      <c r="J62" s="11">
        <f>IFERROR(__xludf.DUMMYFUNCTION("""COMPUTED_VALUE"""),0.01)</f>
        <v>0.01</v>
      </c>
      <c r="K62" s="11">
        <f>IFERROR(__xludf.DUMMYFUNCTION("""COMPUTED_VALUE"""),0.69)</f>
        <v>0.69</v>
      </c>
    </row>
    <row r="63" ht="15.75" customHeight="1">
      <c r="A63" s="8" t="str">
        <f>IFERROR(__xludf.DUMMYFUNCTION("""COMPUTED_VALUE"""),"https://tech-now.io/en/blogs/top-10-best-e-commerce-seo-agencies-in-germany/")</f>
        <v>https://tech-now.io/en/blogs/top-10-best-e-commerce-seo-agencies-in-germany/</v>
      </c>
      <c r="B63" s="11" t="str">
        <f>IFERROR(__xludf.DUMMYFUNCTION("""COMPUTED_VALUE"""),"Top 10 Best E-Commerce SEO Agencies in Germany (2026) - TechNow")</f>
        <v>Top 10 Best E-Commerce SEO Agencies in Germany (2026) - TechNow</v>
      </c>
      <c r="C63" s="8" t="str">
        <f>IFERROR(__xludf.DUMMYFUNCTION("""COMPUTED_VALUE"""),"tech-now.io")</f>
        <v>tech-now.io</v>
      </c>
      <c r="D63" s="11" t="str">
        <f>IFERROR(__xludf.DUMMYFUNCTION("""COMPUTED_VALUE"""),"LISTICLE")</f>
        <v>LISTICLE</v>
      </c>
      <c r="E63" s="11" t="str">
        <f>IFERROR(__xludf.DUMMYFUNCTION("""COMPUTED_VALUE"""),"EDITORIAL")</f>
        <v>EDITORIAL</v>
      </c>
      <c r="F63" s="11" t="str">
        <f>IFERROR(__xludf.DUMMYFUNCTION("""COMPUTED_VALUE"""),"Listicle")</f>
        <v>Listicle</v>
      </c>
      <c r="G63" s="11" t="b">
        <f>IFERROR(__xludf.DUMMYFUNCTION("""COMPUTED_VALUE"""),FALSE)</f>
        <v>0</v>
      </c>
      <c r="H63" s="11" t="str">
        <f>IFERROR(__xludf.DUMMYFUNCTION("""COMPUTED_VALUE"""),"HECHT INS GEFECHT, morefire")</f>
        <v>HECHT INS GEFECHT, morefire</v>
      </c>
      <c r="I63" s="11">
        <f>IFERROR(__xludf.DUMMYFUNCTION("""COMPUTED_VALUE"""),13.0)</f>
        <v>13</v>
      </c>
      <c r="J63" s="11">
        <f>IFERROR(__xludf.DUMMYFUNCTION("""COMPUTED_VALUE"""),0.01)</f>
        <v>0.01</v>
      </c>
      <c r="K63" s="11">
        <f>IFERROR(__xludf.DUMMYFUNCTION("""COMPUTED_VALUE"""),0.15)</f>
        <v>0.15</v>
      </c>
    </row>
    <row r="64" ht="15.75" customHeight="1">
      <c r="A64" s="8" t="str">
        <f>IFERROR(__xludf.DUMMYFUNCTION("""COMPUTED_VALUE"""),"https://www.wmtips.com/technologies/marketing-attribution/country/de/")</f>
        <v>https://www.wmtips.com/technologies/marketing-attribution/country/de/</v>
      </c>
      <c r="B64" s="11" t="str">
        <f>IFERROR(__xludf.DUMMYFUNCTION("""COMPUTED_VALUE"""),"Bot check")</f>
        <v>Bot check</v>
      </c>
      <c r="C64" s="8" t="str">
        <f>IFERROR(__xludf.DUMMYFUNCTION("""COMPUTED_VALUE"""),"wmtips.com")</f>
        <v>wmtips.com</v>
      </c>
      <c r="D64" s="11" t="str">
        <f>IFERROR(__xludf.DUMMYFUNCTION("""COMPUTED_VALUE"""),"LISTICLE")</f>
        <v>LISTICLE</v>
      </c>
      <c r="E64" s="11" t="str">
        <f>IFERROR(__xludf.DUMMYFUNCTION("""COMPUTED_VALUE"""),"REFERENCE")</f>
        <v>REFERENCE</v>
      </c>
      <c r="F64" s="11" t="str">
        <f>IFERROR(__xludf.DUMMYFUNCTION("""COMPUTED_VALUE"""),"Listicle")</f>
        <v>Listicle</v>
      </c>
      <c r="G64" s="11" t="b">
        <f>IFERROR(__xludf.DUMMYFUNCTION("""COMPUTED_VALUE"""),FALSE)</f>
        <v>0</v>
      </c>
      <c r="H64" s="11"/>
      <c r="I64" s="11">
        <f>IFERROR(__xludf.DUMMYFUNCTION("""COMPUTED_VALUE"""),13.0)</f>
        <v>13</v>
      </c>
      <c r="J64" s="11">
        <f>IFERROR(__xludf.DUMMYFUNCTION("""COMPUTED_VALUE"""),0.01)</f>
        <v>0.01</v>
      </c>
      <c r="K64" s="11">
        <f>IFERROR(__xludf.DUMMYFUNCTION("""COMPUTED_VALUE"""),0.62)</f>
        <v>0.62</v>
      </c>
    </row>
    <row r="65" ht="15.75" customHeight="1">
      <c r="A65" s="8" t="str">
        <f>IFERROR(__xludf.DUMMYFUNCTION("""COMPUTED_VALUE"""),"https://awisee.com/blog/social-media-agencies-germany/")</f>
        <v>https://awisee.com/blog/social-media-agencies-germany/</v>
      </c>
      <c r="B65" s="11" t="str">
        <f>IFERROR(__xludf.DUMMYFUNCTION("""COMPUTED_VALUE"""),"The 4 Best Social Media Agencies in Germany")</f>
        <v>The 4 Best Social Media Agencies in Germany</v>
      </c>
      <c r="C65" s="8" t="str">
        <f>IFERROR(__xludf.DUMMYFUNCTION("""COMPUTED_VALUE"""),"awisee.com")</f>
        <v>awisee.com</v>
      </c>
      <c r="D65" s="11" t="str">
        <f>IFERROR(__xludf.DUMMYFUNCTION("""COMPUTED_VALUE"""),"LISTICLE")</f>
        <v>LISTICLE</v>
      </c>
      <c r="E65" s="11" t="str">
        <f>IFERROR(__xludf.DUMMYFUNCTION("""COMPUTED_VALUE"""),"OTHER")</f>
        <v>OTHER</v>
      </c>
      <c r="F65" s="11" t="str">
        <f>IFERROR(__xludf.DUMMYFUNCTION("""COMPUTED_VALUE"""),"Listicle")</f>
        <v>Listicle</v>
      </c>
      <c r="G65" s="11" t="b">
        <f>IFERROR(__xludf.DUMMYFUNCTION("""COMPUTED_VALUE"""),FALSE)</f>
        <v>0</v>
      </c>
      <c r="H65" s="11"/>
      <c r="I65" s="11">
        <f>IFERROR(__xludf.DUMMYFUNCTION("""COMPUTED_VALUE"""),12.0)</f>
        <v>12</v>
      </c>
      <c r="J65" s="11">
        <f>IFERROR(__xludf.DUMMYFUNCTION("""COMPUTED_VALUE"""),0.01)</f>
        <v>0.01</v>
      </c>
      <c r="K65" s="11">
        <f>IFERROR(__xludf.DUMMYFUNCTION("""COMPUTED_VALUE"""),0.0)</f>
        <v>0</v>
      </c>
    </row>
    <row r="66" ht="15.75" customHeight="1">
      <c r="A66" s="8" t="str">
        <f>IFERROR(__xludf.DUMMYFUNCTION("""COMPUTED_VALUE"""),"https://www.digipims.com/social-media-marketing-agencies-in-germany/")</f>
        <v>https://www.digipims.com/social-media-marketing-agencies-in-germany/</v>
      </c>
      <c r="B66" s="11" t="str">
        <f>IFERROR(__xludf.DUMMYFUNCTION("""COMPUTED_VALUE"""),"Top 10 Social Media Marketing Agencies in Germany (Updated 2026)")</f>
        <v>Top 10 Social Media Marketing Agencies in Germany (Updated 2026)</v>
      </c>
      <c r="C66" s="8" t="str">
        <f>IFERROR(__xludf.DUMMYFUNCTION("""COMPUTED_VALUE"""),"digipims.com")</f>
        <v>digipims.com</v>
      </c>
      <c r="D66" s="11" t="str">
        <f>IFERROR(__xludf.DUMMYFUNCTION("""COMPUTED_VALUE"""),"LISTICLE")</f>
        <v>LISTICLE</v>
      </c>
      <c r="E66" s="11" t="str">
        <f>IFERROR(__xludf.DUMMYFUNCTION("""COMPUTED_VALUE"""),"INSTITUTIONAL")</f>
        <v>INSTITUTIONAL</v>
      </c>
      <c r="F66" s="11" t="str">
        <f>IFERROR(__xludf.DUMMYFUNCTION("""COMPUTED_VALUE"""),"Listicle")</f>
        <v>Listicle</v>
      </c>
      <c r="G66" s="11" t="b">
        <f>IFERROR(__xludf.DUMMYFUNCTION("""COMPUTED_VALUE"""),FALSE)</f>
        <v>0</v>
      </c>
      <c r="H66" s="11" t="str">
        <f>IFERROR(__xludf.DUMMYFUNCTION("""COMPUTED_VALUE"""),"HikeMyTraffic, Nielsen")</f>
        <v>HikeMyTraffic, Nielsen</v>
      </c>
      <c r="I66" s="11">
        <f>IFERROR(__xludf.DUMMYFUNCTION("""COMPUTED_VALUE"""),12.0)</f>
        <v>12</v>
      </c>
      <c r="J66" s="11">
        <f>IFERROR(__xludf.DUMMYFUNCTION("""COMPUTED_VALUE"""),0.01)</f>
        <v>0.01</v>
      </c>
      <c r="K66" s="11">
        <f>IFERROR(__xludf.DUMMYFUNCTION("""COMPUTED_VALUE"""),0.0)</f>
        <v>0</v>
      </c>
    </row>
    <row r="67" ht="15.75" customHeight="1">
      <c r="A67" s="8" t="str">
        <f>IFERROR(__xludf.DUMMYFUNCTION("""COMPUTED_VALUE"""),"https://icoda.io/ai/best-ai-seo-agency-germany/")</f>
        <v>https://icoda.io/ai/best-ai-seo-agency-germany/</v>
      </c>
      <c r="B67" s="11" t="str">
        <f>IFERROR(__xludf.DUMMYFUNCTION("""COMPUTED_VALUE"""),"Best AI SEO Agency in Germany: Top 10 Providers for 2026")</f>
        <v>Best AI SEO Agency in Germany: Top 10 Providers for 2026</v>
      </c>
      <c r="C67" s="8" t="str">
        <f>IFERROR(__xludf.DUMMYFUNCTION("""COMPUTED_VALUE"""),"icoda.io")</f>
        <v>icoda.io</v>
      </c>
      <c r="D67" s="11" t="str">
        <f>IFERROR(__xludf.DUMMYFUNCTION("""COMPUTED_VALUE"""),"LISTICLE")</f>
        <v>LISTICLE</v>
      </c>
      <c r="E67" s="11" t="str">
        <f>IFERROR(__xludf.DUMMYFUNCTION("""COMPUTED_VALUE"""),"CORPORATE")</f>
        <v>CORPORATE</v>
      </c>
      <c r="F67" s="11" t="str">
        <f>IFERROR(__xludf.DUMMYFUNCTION("""COMPUTED_VALUE"""),"Listicle")</f>
        <v>Listicle</v>
      </c>
      <c r="G67" s="11" t="b">
        <f>IFERROR(__xludf.DUMMYFUNCTION("""COMPUTED_VALUE"""),FALSE)</f>
        <v>0</v>
      </c>
      <c r="H67" s="11" t="str">
        <f>IFERROR(__xludf.DUMMYFUNCTION("""COMPUTED_VALUE"""),"Omnius, TRYSEO, Aufgesang, Claneo, Single Grain")</f>
        <v>Omnius, TRYSEO, Aufgesang, Claneo, Single Grain</v>
      </c>
      <c r="I67" s="11">
        <f>IFERROR(__xludf.DUMMYFUNCTION("""COMPUTED_VALUE"""),12.0)</f>
        <v>12</v>
      </c>
      <c r="J67" s="11">
        <f>IFERROR(__xludf.DUMMYFUNCTION("""COMPUTED_VALUE"""),0.01)</f>
        <v>0.01</v>
      </c>
      <c r="K67" s="11">
        <f>IFERROR(__xludf.DUMMYFUNCTION("""COMPUTED_VALUE"""),0.83)</f>
        <v>0.83</v>
      </c>
    </row>
    <row r="68" ht="15.75" customHeight="1">
      <c r="A68" s="8" t="str">
        <f>IFERROR(__xludf.DUMMYFUNCTION("""COMPUTED_VALUE"""),"https://www.influencer-hero.com/blogs/top-facebook-advertising-agencies-in-germany")</f>
        <v>https://www.influencer-hero.com/blogs/top-facebook-advertising-agencies-in-germany</v>
      </c>
      <c r="B68" s="11" t="str">
        <f>IFERROR(__xludf.DUMMYFUNCTION("""COMPUTED_VALUE"""),"Top 10 Facebook Advertising Agencies in Germany")</f>
        <v>Top 10 Facebook Advertising Agencies in Germany</v>
      </c>
      <c r="C68" s="8" t="str">
        <f>IFERROR(__xludf.DUMMYFUNCTION("""COMPUTED_VALUE"""),"influencer-hero.com")</f>
        <v>influencer-hero.com</v>
      </c>
      <c r="D68" s="11" t="str">
        <f>IFERROR(__xludf.DUMMYFUNCTION("""COMPUTED_VALUE"""),"LISTICLE")</f>
        <v>LISTICLE</v>
      </c>
      <c r="E68" s="11" t="str">
        <f>IFERROR(__xludf.DUMMYFUNCTION("""COMPUTED_VALUE"""),"CORPORATE")</f>
        <v>CORPORATE</v>
      </c>
      <c r="F68" s="11" t="str">
        <f>IFERROR(__xludf.DUMMYFUNCTION("""COMPUTED_VALUE"""),"Listicle")</f>
        <v>Listicle</v>
      </c>
      <c r="G68" s="11" t="b">
        <f>IFERROR(__xludf.DUMMYFUNCTION("""COMPUTED_VALUE"""),FALSE)</f>
        <v>0</v>
      </c>
      <c r="H68" s="11" t="str">
        <f>IFERROR(__xludf.DUMMYFUNCTION("""COMPUTED_VALUE"""),"MONSOON, DREIKON, Social Media One, Globalist, Mawave")</f>
        <v>MONSOON, DREIKON, Social Media One, Globalist, Mawave</v>
      </c>
      <c r="I68" s="11">
        <f>IFERROR(__xludf.DUMMYFUNCTION("""COMPUTED_VALUE"""),12.0)</f>
        <v>12</v>
      </c>
      <c r="J68" s="11">
        <f>IFERROR(__xludf.DUMMYFUNCTION("""COMPUTED_VALUE"""),0.01)</f>
        <v>0.01</v>
      </c>
      <c r="K68" s="11">
        <f>IFERROR(__xludf.DUMMYFUNCTION("""COMPUTED_VALUE"""),2.0)</f>
        <v>2</v>
      </c>
    </row>
    <row r="69" ht="15.75" customHeight="1">
      <c r="A69" s="8" t="str">
        <f>IFERROR(__xludf.DUMMYFUNCTION("""COMPUTED_VALUE"""),"https://lengreo.com/de/ai-marketing-consulting-companies/")</f>
        <v>https://lengreo.com/de/ai-marketing-consulting-companies/</v>
      </c>
      <c r="B69" s="11" t="str">
        <f>IFERROR(__xludf.DUMMYFUNCTION("""COMPUTED_VALUE"""),"Die 16 besten Beratungsunternehmen für KI-Marketing (2026)")</f>
        <v>Die 16 besten Beratungsunternehmen für KI-Marketing (2026)</v>
      </c>
      <c r="C69" s="8" t="str">
        <f>IFERROR(__xludf.DUMMYFUNCTION("""COMPUTED_VALUE"""),"lengreo.com")</f>
        <v>lengreo.com</v>
      </c>
      <c r="D69" s="11" t="str">
        <f>IFERROR(__xludf.DUMMYFUNCTION("""COMPUTED_VALUE"""),"LISTICLE")</f>
        <v>LISTICLE</v>
      </c>
      <c r="E69" s="11" t="str">
        <f>IFERROR(__xludf.DUMMYFUNCTION("""COMPUTED_VALUE"""),"CORPORATE")</f>
        <v>CORPORATE</v>
      </c>
      <c r="F69" s="11" t="str">
        <f>IFERROR(__xludf.DUMMYFUNCTION("""COMPUTED_VALUE"""),"Listicle")</f>
        <v>Listicle</v>
      </c>
      <c r="G69" s="11" t="b">
        <f>IFERROR(__xludf.DUMMYFUNCTION("""COMPUTED_VALUE"""),FALSE)</f>
        <v>0</v>
      </c>
      <c r="H69" s="11" t="str">
        <f>IFERROR(__xludf.DUMMYFUNCTION("""COMPUTED_VALUE"""),"McKinsey &amp; Company, PwC, Boston Consulting Group, BCG, Momentum")</f>
        <v>McKinsey &amp; Company, PwC, Boston Consulting Group, BCG, Momentum</v>
      </c>
      <c r="I69" s="11">
        <f>IFERROR(__xludf.DUMMYFUNCTION("""COMPUTED_VALUE"""),12.0)</f>
        <v>12</v>
      </c>
      <c r="J69" s="11">
        <f>IFERROR(__xludf.DUMMYFUNCTION("""COMPUTED_VALUE"""),0.01)</f>
        <v>0.01</v>
      </c>
      <c r="K69" s="11">
        <f>IFERROR(__xludf.DUMMYFUNCTION("""COMPUTED_VALUE"""),0.0)</f>
        <v>0</v>
      </c>
    </row>
    <row r="70" ht="15.75" customHeight="1">
      <c r="A70" s="8" t="str">
        <f>IFERROR(__xludf.DUMMYFUNCTION("""COMPUTED_VALUE"""),"https://ninjapromo.io/top-digital-marketing-agencies-in-germany")</f>
        <v>https://ninjapromo.io/top-digital-marketing-agencies-in-germany</v>
      </c>
      <c r="B70" s="11" t="str">
        <f>IFERROR(__xludf.DUMMYFUNCTION("""COMPUTED_VALUE"""),"Ninja Promo – Digital Marketing Company with Subscription-Based Model")</f>
        <v>Ninja Promo – Digital Marketing Company with Subscription-Based Model</v>
      </c>
      <c r="C70" s="8" t="str">
        <f>IFERROR(__xludf.DUMMYFUNCTION("""COMPUTED_VALUE"""),"ninjapromo.io")</f>
        <v>ninjapromo.io</v>
      </c>
      <c r="D70" s="11" t="str">
        <f>IFERROR(__xludf.DUMMYFUNCTION("""COMPUTED_VALUE"""),"LISTICLE")</f>
        <v>LISTICLE</v>
      </c>
      <c r="E70" s="11" t="str">
        <f>IFERROR(__xludf.DUMMYFUNCTION("""COMPUTED_VALUE"""),"CORPORATE")</f>
        <v>CORPORATE</v>
      </c>
      <c r="F70" s="11" t="str">
        <f>IFERROR(__xludf.DUMMYFUNCTION("""COMPUTED_VALUE"""),"Listicle")</f>
        <v>Listicle</v>
      </c>
      <c r="G70" s="11" t="b">
        <f>IFERROR(__xludf.DUMMYFUNCTION("""COMPUTED_VALUE"""),FALSE)</f>
        <v>0</v>
      </c>
      <c r="H70" s="11"/>
      <c r="I70" s="11">
        <f>IFERROR(__xludf.DUMMYFUNCTION("""COMPUTED_VALUE"""),12.0)</f>
        <v>12</v>
      </c>
      <c r="J70" s="11">
        <f>IFERROR(__xludf.DUMMYFUNCTION("""COMPUTED_VALUE"""),0.01)</f>
        <v>0.01</v>
      </c>
      <c r="K70" s="11">
        <f>IFERROR(__xludf.DUMMYFUNCTION("""COMPUTED_VALUE"""),1.67)</f>
        <v>1.67</v>
      </c>
    </row>
    <row r="71" ht="15.75" customHeight="1">
      <c r="A71" s="8" t="str">
        <f>IFERROR(__xludf.DUMMYFUNCTION("""COMPUTED_VALUE"""),"https://www.radigitalworld.com/2025/06/top-10-digital-marketing-agencies-in.html")</f>
        <v>https://www.radigitalworld.com/2025/06/top-10-digital-marketing-agencies-in.html</v>
      </c>
      <c r="B71" s="11" t="str">
        <f>IFERROR(__xludf.DUMMYFUNCTION("""COMPUTED_VALUE"""),"Top 10 Digital Marketing Agencies in Germany to Watch")</f>
        <v>Top 10 Digital Marketing Agencies in Germany to Watch</v>
      </c>
      <c r="C71" s="8" t="str">
        <f>IFERROR(__xludf.DUMMYFUNCTION("""COMPUTED_VALUE"""),"radigitalworld.com")</f>
        <v>radigitalworld.com</v>
      </c>
      <c r="D71" s="11" t="str">
        <f>IFERROR(__xludf.DUMMYFUNCTION("""COMPUTED_VALUE"""),"LISTICLE")</f>
        <v>LISTICLE</v>
      </c>
      <c r="E71" s="11" t="str">
        <f>IFERROR(__xludf.DUMMYFUNCTION("""COMPUTED_VALUE"""),"OTHER")</f>
        <v>OTHER</v>
      </c>
      <c r="F71" s="11" t="str">
        <f>IFERROR(__xludf.DUMMYFUNCTION("""COMPUTED_VALUE"""),"Listicle")</f>
        <v>Listicle</v>
      </c>
      <c r="G71" s="11" t="b">
        <f>IFERROR(__xludf.DUMMYFUNCTION("""COMPUTED_VALUE"""),FALSE)</f>
        <v>0</v>
      </c>
      <c r="H71" s="11" t="str">
        <f>IFERROR(__xludf.DUMMYFUNCTION("""COMPUTED_VALUE"""),"Jung von Matt, DEPT, Think11")</f>
        <v>Jung von Matt, DEPT, Think11</v>
      </c>
      <c r="I71" s="11">
        <f>IFERROR(__xludf.DUMMYFUNCTION("""COMPUTED_VALUE"""),12.0)</f>
        <v>12</v>
      </c>
      <c r="J71" s="11">
        <f>IFERROR(__xludf.DUMMYFUNCTION("""COMPUTED_VALUE"""),0.01)</f>
        <v>0.01</v>
      </c>
      <c r="K71" s="11">
        <f>IFERROR(__xludf.DUMMYFUNCTION("""COMPUTED_VALUE"""),0.42)</f>
        <v>0.42</v>
      </c>
    </row>
    <row r="72" ht="15.75" customHeight="1">
      <c r="A72" s="8" t="str">
        <f>IFERROR(__xludf.DUMMYFUNCTION("""COMPUTED_VALUE"""),"https://conplore.com/geo-agenturen-in-der-dach-region-2026-wer-hilft-marken-in-der-ki-suche-sichtbar-zu-werden/")</f>
        <v>https://conplore.com/geo-agenturen-in-der-dach-region-2026-wer-hilft-marken-in-der-ki-suche-sichtbar-zu-werden/</v>
      </c>
      <c r="B72" s="11" t="str">
        <f>IFERROR(__xludf.DUMMYFUNCTION("""COMPUTED_VALUE"""),"GEO-Agenturen in der DACH-Region 2026: Wer hilft Marken, in der KI-Suche sichtbar zu werden? | Conplore Wirtschaftsmagazin")</f>
        <v>GEO-Agenturen in der DACH-Region 2026: Wer hilft Marken, in der KI-Suche sichtbar zu werden? | Conplore Wirtschaftsmagazin</v>
      </c>
      <c r="C72" s="8" t="str">
        <f>IFERROR(__xludf.DUMMYFUNCTION("""COMPUTED_VALUE"""),"conplore.com")</f>
        <v>conplore.com</v>
      </c>
      <c r="D72" s="11" t="str">
        <f>IFERROR(__xludf.DUMMYFUNCTION("""COMPUTED_VALUE"""),"LISTICLE")</f>
        <v>LISTICLE</v>
      </c>
      <c r="E72" s="11" t="str">
        <f>IFERROR(__xludf.DUMMYFUNCTION("""COMPUTED_VALUE"""),"OTHER")</f>
        <v>OTHER</v>
      </c>
      <c r="F72" s="11" t="str">
        <f>IFERROR(__xludf.DUMMYFUNCTION("""COMPUTED_VALUE"""),"Listicle")</f>
        <v>Listicle</v>
      </c>
      <c r="G72" s="11" t="b">
        <f>IFERROR(__xludf.DUMMYFUNCTION("""COMPUTED_VALUE"""),FALSE)</f>
        <v>0</v>
      </c>
      <c r="H72" s="11" t="str">
        <f>IFERROR(__xludf.DUMMYFUNCTION("""COMPUTED_VALUE"""),"Aufgesang, Claneo, Peak Ace")</f>
        <v>Aufgesang, Claneo, Peak Ace</v>
      </c>
      <c r="I72" s="11">
        <f>IFERROR(__xludf.DUMMYFUNCTION("""COMPUTED_VALUE"""),11.0)</f>
        <v>11</v>
      </c>
      <c r="J72" s="11">
        <f>IFERROR(__xludf.DUMMYFUNCTION("""COMPUTED_VALUE"""),0.01)</f>
        <v>0.01</v>
      </c>
      <c r="K72" s="11">
        <f>IFERROR(__xludf.DUMMYFUNCTION("""COMPUTED_VALUE"""),0.45)</f>
        <v>0.45</v>
      </c>
    </row>
    <row r="73" ht="15.75" customHeight="1">
      <c r="A73" s="8" t="str">
        <f>IFERROR(__xludf.DUMMYFUNCTION("""COMPUTED_VALUE"""),"https://www.hockeystack.com/blog-posts/best-marketing-attribution-software")</f>
        <v>https://www.hockeystack.com/blog-posts/best-marketing-attribution-software</v>
      </c>
      <c r="B73" s="11" t="str">
        <f>IFERROR(__xludf.DUMMYFUNCTION("""COMPUTED_VALUE"""),"19 Best Marketing Attribution Software Solutions Reviewed for 2026")</f>
        <v>19 Best Marketing Attribution Software Solutions Reviewed for 2026</v>
      </c>
      <c r="C73" s="8" t="str">
        <f>IFERROR(__xludf.DUMMYFUNCTION("""COMPUTED_VALUE"""),"hockeystack.com")</f>
        <v>hockeystack.com</v>
      </c>
      <c r="D73" s="11" t="str">
        <f>IFERROR(__xludf.DUMMYFUNCTION("""COMPUTED_VALUE"""),"LISTICLE")</f>
        <v>LISTICLE</v>
      </c>
      <c r="E73" s="11" t="str">
        <f>IFERROR(__xludf.DUMMYFUNCTION("""COMPUTED_VALUE"""),"CORPORATE")</f>
        <v>CORPORATE</v>
      </c>
      <c r="F73" s="11" t="str">
        <f>IFERROR(__xludf.DUMMYFUNCTION("""COMPUTED_VALUE"""),"Listicle")</f>
        <v>Listicle</v>
      </c>
      <c r="G73" s="11" t="b">
        <f>IFERROR(__xludf.DUMMYFUNCTION("""COMPUTED_VALUE"""),FALSE)</f>
        <v>0</v>
      </c>
      <c r="H73" s="11" t="str">
        <f>IFERROR(__xludf.DUMMYFUNCTION("""COMPUTED_VALUE"""),"Ruler Analytics, Dreamdata, Triple Whale, Rockerbox, Northbeam")</f>
        <v>Ruler Analytics, Dreamdata, Triple Whale, Rockerbox, Northbeam</v>
      </c>
      <c r="I73" s="11">
        <f>IFERROR(__xludf.DUMMYFUNCTION("""COMPUTED_VALUE"""),11.0)</f>
        <v>11</v>
      </c>
      <c r="J73" s="11">
        <f>IFERROR(__xludf.DUMMYFUNCTION("""COMPUTED_VALUE"""),0.01)</f>
        <v>0.01</v>
      </c>
      <c r="K73" s="11">
        <f>IFERROR(__xludf.DUMMYFUNCTION("""COMPUTED_VALUE"""),0.0)</f>
        <v>0</v>
      </c>
    </row>
    <row r="74" ht="15.75" customHeight="1">
      <c r="A74" s="8" t="str">
        <f>IFERROR(__xludf.DUMMYFUNCTION("""COMPUTED_VALUE"""),"https://www.icreativez.com/marketing-companies-by-country/distinguished-digital-marketing-firms-germany-2026.html")</f>
        <v>https://www.icreativez.com/marketing-companies-by-country/distinguished-digital-marketing-firms-germany-2026.html</v>
      </c>
      <c r="B74" s="11" t="str">
        <f>IFERROR(__xludf.DUMMYFUNCTION("""COMPUTED_VALUE"""),"10 Distinguished Digital Marketing Firms in Germany | Authority List 2026")</f>
        <v>10 Distinguished Digital Marketing Firms in Germany | Authority List 2026</v>
      </c>
      <c r="C74" s="8" t="str">
        <f>IFERROR(__xludf.DUMMYFUNCTION("""COMPUTED_VALUE"""),"icreativez.com")</f>
        <v>icreativez.com</v>
      </c>
      <c r="D74" s="11" t="str">
        <f>IFERROR(__xludf.DUMMYFUNCTION("""COMPUTED_VALUE"""),"LISTICLE")</f>
        <v>LISTICLE</v>
      </c>
      <c r="E74" s="11" t="str">
        <f>IFERROR(__xludf.DUMMYFUNCTION("""COMPUTED_VALUE"""),"OTHER")</f>
        <v>OTHER</v>
      </c>
      <c r="F74" s="11" t="str">
        <f>IFERROR(__xludf.DUMMYFUNCTION("""COMPUTED_VALUE"""),"Listicle")</f>
        <v>Listicle</v>
      </c>
      <c r="G74" s="11" t="b">
        <f>IFERROR(__xludf.DUMMYFUNCTION("""COMPUTED_VALUE"""),FALSE)</f>
        <v>0</v>
      </c>
      <c r="H74" s="11" t="str">
        <f>IFERROR(__xludf.DUMMYFUNCTION("""COMPUTED_VALUE"""),"Haus")</f>
        <v>Haus</v>
      </c>
      <c r="I74" s="11">
        <f>IFERROR(__xludf.DUMMYFUNCTION("""COMPUTED_VALUE"""),11.0)</f>
        <v>11</v>
      </c>
      <c r="J74" s="11">
        <f>IFERROR(__xludf.DUMMYFUNCTION("""COMPUTED_VALUE"""),0.01)</f>
        <v>0.01</v>
      </c>
      <c r="K74" s="11">
        <f>IFERROR(__xludf.DUMMYFUNCTION("""COMPUTED_VALUE"""),0.0)</f>
        <v>0</v>
      </c>
    </row>
    <row r="75" ht="15.75" customHeight="1">
      <c r="A75" s="8" t="str">
        <f>IFERROR(__xludf.DUMMYFUNCTION("""COMPUTED_VALUE"""),"https://itprofiles.com/services/advertising-marketing/germany")</f>
        <v>https://itprofiles.com/services/advertising-marketing/germany</v>
      </c>
      <c r="B75" s="11" t="str">
        <f>IFERROR(__xludf.DUMMYFUNCTION("""COMPUTED_VALUE"""),"In the Spotlight - Highest-Rated Marketing Agencies in Germany for Jul 2026 | ITProfiles")</f>
        <v>In the Spotlight - Highest-Rated Marketing Agencies in Germany for Jul 2026 | ITProfiles</v>
      </c>
      <c r="C75" s="8" t="str">
        <f>IFERROR(__xludf.DUMMYFUNCTION("""COMPUTED_VALUE"""),"itprofiles.com")</f>
        <v>itprofiles.com</v>
      </c>
      <c r="D75" s="11" t="str">
        <f>IFERROR(__xludf.DUMMYFUNCTION("""COMPUTED_VALUE"""),"LISTICLE")</f>
        <v>LISTICLE</v>
      </c>
      <c r="E75" s="11" t="str">
        <f>IFERROR(__xludf.DUMMYFUNCTION("""COMPUTED_VALUE"""),"REFERENCE")</f>
        <v>REFERENCE</v>
      </c>
      <c r="F75" s="11" t="str">
        <f>IFERROR(__xludf.DUMMYFUNCTION("""COMPUTED_VALUE"""),"Listicle")</f>
        <v>Listicle</v>
      </c>
      <c r="G75" s="11" t="b">
        <f>IFERROR(__xludf.DUMMYFUNCTION("""COMPUTED_VALUE"""),FALSE)</f>
        <v>0</v>
      </c>
      <c r="H75" s="11" t="str">
        <f>IFERROR(__xludf.DUMMYFUNCTION("""COMPUTED_VALUE"""),"MONSOON, REPLUG, Phiture, Mediacharge, Measured, Jung von Matt, Serviceplan Group")</f>
        <v>MONSOON, REPLUG, Phiture, Mediacharge, Measured, Jung von Matt, Serviceplan Group</v>
      </c>
      <c r="I75" s="11">
        <f>IFERROR(__xludf.DUMMYFUNCTION("""COMPUTED_VALUE"""),11.0)</f>
        <v>11</v>
      </c>
      <c r="J75" s="11">
        <f>IFERROR(__xludf.DUMMYFUNCTION("""COMPUTED_VALUE"""),0.01)</f>
        <v>0.01</v>
      </c>
      <c r="K75" s="11">
        <f>IFERROR(__xludf.DUMMYFUNCTION("""COMPUTED_VALUE"""),0.82)</f>
        <v>0.82</v>
      </c>
    </row>
    <row r="76" ht="15.75" customHeight="1">
      <c r="A76" s="8" t="str">
        <f>IFERROR(__xludf.DUMMYFUNCTION("""COMPUTED_VALUE"""),"https://mobian.studio/ai-consulting-companies-germany/")</f>
        <v>https://mobian.studio/ai-consulting-companies-germany/</v>
      </c>
      <c r="B76" s="11" t="str">
        <f>IFERROR(__xludf.DUMMYFUNCTION("""COMPUTED_VALUE"""),"Top AI Consulting Firms in Germany 2025 Guide")</f>
        <v>Top AI Consulting Firms in Germany 2025 Guide</v>
      </c>
      <c r="C76" s="11" t="str">
        <f>IFERROR(__xludf.DUMMYFUNCTION("""COMPUTED_VALUE"""),"mobian.studio")</f>
        <v>mobian.studio</v>
      </c>
      <c r="D76" s="11" t="str">
        <f>IFERROR(__xludf.DUMMYFUNCTION("""COMPUTED_VALUE"""),"LISTICLE")</f>
        <v>LISTICLE</v>
      </c>
      <c r="E76" s="11" t="str">
        <f>IFERROR(__xludf.DUMMYFUNCTION("""COMPUTED_VALUE"""),"CORPORATE")</f>
        <v>CORPORATE</v>
      </c>
      <c r="F76" s="11" t="str">
        <f>IFERROR(__xludf.DUMMYFUNCTION("""COMPUTED_VALUE"""),"Listicle")</f>
        <v>Listicle</v>
      </c>
      <c r="G76" s="11" t="b">
        <f>IFERROR(__xludf.DUMMYFUNCTION("""COMPUTED_VALUE"""),FALSE)</f>
        <v>0</v>
      </c>
      <c r="H76" s="11" t="str">
        <f>IFERROR(__xludf.DUMMYFUNCTION("""COMPUTED_VALUE"""),"Artefact, b.telligent")</f>
        <v>Artefact, b.telligent</v>
      </c>
      <c r="I76" s="11">
        <f>IFERROR(__xludf.DUMMYFUNCTION("""COMPUTED_VALUE"""),11.0)</f>
        <v>11</v>
      </c>
      <c r="J76" s="11">
        <f>IFERROR(__xludf.DUMMYFUNCTION("""COMPUTED_VALUE"""),0.01)</f>
        <v>0.01</v>
      </c>
      <c r="K76" s="11">
        <f>IFERROR(__xludf.DUMMYFUNCTION("""COMPUTED_VALUE"""),0.55)</f>
        <v>0.55</v>
      </c>
    </row>
    <row r="77" ht="15.75" customHeight="1">
      <c r="A77" s="8" t="str">
        <f>IFERROR(__xludf.DUMMYFUNCTION("""COMPUTED_VALUE"""),"https://www.youtube.com/watch?v=iUNdeZPBkbk")</f>
        <v>https://www.youtube.com/watch?v=iUNdeZPBkbk</v>
      </c>
      <c r="B77" s="11" t="str">
        <f>IFERROR(__xludf.DUMMYFUNCTION("""COMPUTED_VALUE"""),"15 Best AI Digital Marketing Agencies in Germany (2026) | You NEED These AI Agencies!")</f>
        <v>15 Best AI Digital Marketing Agencies in Germany (2026) | You NEED These AI Agencies!</v>
      </c>
      <c r="C77" s="8" t="str">
        <f>IFERROR(__xludf.DUMMYFUNCTION("""COMPUTED_VALUE"""),"youtube.com")</f>
        <v>youtube.com</v>
      </c>
      <c r="D77" s="11" t="str">
        <f>IFERROR(__xludf.DUMMYFUNCTION("""COMPUTED_VALUE"""),"LISTICLE")</f>
        <v>LISTICLE</v>
      </c>
      <c r="E77" s="11" t="str">
        <f>IFERROR(__xludf.DUMMYFUNCTION("""COMPUTED_VALUE"""),"UGC")</f>
        <v>UGC</v>
      </c>
      <c r="F77" s="11" t="str">
        <f>IFERROR(__xludf.DUMMYFUNCTION("""COMPUTED_VALUE"""),"Listicle")</f>
        <v>Listicle</v>
      </c>
      <c r="G77" s="11" t="b">
        <f>IFERROR(__xludf.DUMMYFUNCTION("""COMPUTED_VALUE"""),FALSE)</f>
        <v>0</v>
      </c>
      <c r="H77" s="11" t="str">
        <f>IFERROR(__xludf.DUMMYFUNCTION("""COMPUTED_VALUE"""),"HikeMyTraffic")</f>
        <v>HikeMyTraffic</v>
      </c>
      <c r="I77" s="11">
        <f>IFERROR(__xludf.DUMMYFUNCTION("""COMPUTED_VALUE"""),11.0)</f>
        <v>11</v>
      </c>
      <c r="J77" s="11">
        <f>IFERROR(__xludf.DUMMYFUNCTION("""COMPUTED_VALUE"""),0.01)</f>
        <v>0.01</v>
      </c>
      <c r="K77" s="11">
        <f>IFERROR(__xludf.DUMMYFUNCTION("""COMPUTED_VALUE"""),1.09)</f>
        <v>1.09</v>
      </c>
    </row>
    <row r="78" ht="15.75" customHeight="1">
      <c r="A78" s="8" t="str">
        <f>IFERROR(__xludf.DUMMYFUNCTION("""COMPUTED_VALUE"""),"https://aeoagency.org/best-aeo-agencies/")</f>
        <v>https://aeoagency.org/best-aeo-agencies/</v>
      </c>
      <c r="B78" s="11" t="str">
        <f>IFERROR(__xludf.DUMMYFUNCTION("""COMPUTED_VALUE"""),"Best AEO Agencies 2025-2026")</f>
        <v>Best AEO Agencies 2025-2026</v>
      </c>
      <c r="C78" s="8" t="str">
        <f>IFERROR(__xludf.DUMMYFUNCTION("""COMPUTED_VALUE"""),"aeoagency.org")</f>
        <v>aeoagency.org</v>
      </c>
      <c r="D78" s="11" t="str">
        <f>IFERROR(__xludf.DUMMYFUNCTION("""COMPUTED_VALUE"""),"LISTICLE")</f>
        <v>LISTICLE</v>
      </c>
      <c r="E78" s="11" t="str">
        <f>IFERROR(__xludf.DUMMYFUNCTION("""COMPUTED_VALUE"""),"CORPORATE")</f>
        <v>CORPORATE</v>
      </c>
      <c r="F78" s="11" t="str">
        <f>IFERROR(__xludf.DUMMYFUNCTION("""COMPUTED_VALUE"""),"Listicle")</f>
        <v>Listicle</v>
      </c>
      <c r="G78" s="11" t="b">
        <f>IFERROR(__xludf.DUMMYFUNCTION("""COMPUTED_VALUE"""),FALSE)</f>
        <v>0</v>
      </c>
      <c r="H78" s="11"/>
      <c r="I78" s="11">
        <f>IFERROR(__xludf.DUMMYFUNCTION("""COMPUTED_VALUE"""),10.0)</f>
        <v>10</v>
      </c>
      <c r="J78" s="11">
        <f>IFERROR(__xludf.DUMMYFUNCTION("""COMPUTED_VALUE"""),0.01)</f>
        <v>0.01</v>
      </c>
      <c r="K78" s="11">
        <f>IFERROR(__xludf.DUMMYFUNCTION("""COMPUTED_VALUE"""),0.1)</f>
        <v>0.1</v>
      </c>
    </row>
    <row r="79" ht="15.75" customHeight="1">
      <c r="A79" s="8" t="str">
        <f>IFERROR(__xludf.DUMMYFUNCTION("""COMPUTED_VALUE"""),"https://www.dreikon.de/en/news/online-marketing-knowledge/top-10-google-ads-agencies/")</f>
        <v>https://www.dreikon.de/en/news/online-marketing-knowledge/top-10-google-ads-agencies/</v>
      </c>
      <c r="B79" s="11" t="str">
        <f>IFERROR(__xludf.DUMMYFUNCTION("""COMPUTED_VALUE"""),"The 10 best Google Ads agencies 2026")</f>
        <v>The 10 best Google Ads agencies 2026</v>
      </c>
      <c r="C79" s="8" t="str">
        <f>IFERROR(__xludf.DUMMYFUNCTION("""COMPUTED_VALUE"""),"dreikon.de")</f>
        <v>dreikon.de</v>
      </c>
      <c r="D79" s="11" t="str">
        <f>IFERROR(__xludf.DUMMYFUNCTION("""COMPUTED_VALUE"""),"LISTICLE")</f>
        <v>LISTICLE</v>
      </c>
      <c r="E79" s="11" t="str">
        <f>IFERROR(__xludf.DUMMYFUNCTION("""COMPUTED_VALUE"""),"COMPETITOR")</f>
        <v>COMPETITOR</v>
      </c>
      <c r="F79" s="11" t="str">
        <f>IFERROR(__xludf.DUMMYFUNCTION("""COMPUTED_VALUE"""),"Listicle")</f>
        <v>Listicle</v>
      </c>
      <c r="G79" s="11" t="b">
        <f>IFERROR(__xludf.DUMMYFUNCTION("""COMPUTED_VALUE"""),FALSE)</f>
        <v>0</v>
      </c>
      <c r="H79" s="11" t="str">
        <f>IFERROR(__xludf.DUMMYFUNCTION("""COMPUTED_VALUE"""),"DREIKON, Suchhelden, Bloofusion Germany GmbH, eMinded GmbH")</f>
        <v>DREIKON, Suchhelden, Bloofusion Germany GmbH, eMinded GmbH</v>
      </c>
      <c r="I79" s="11">
        <f>IFERROR(__xludf.DUMMYFUNCTION("""COMPUTED_VALUE"""),10.0)</f>
        <v>10</v>
      </c>
      <c r="J79" s="11">
        <f>IFERROR(__xludf.DUMMYFUNCTION("""COMPUTED_VALUE"""),0.01)</f>
        <v>0.01</v>
      </c>
      <c r="K79" s="11">
        <f>IFERROR(__xludf.DUMMYFUNCTION("""COMPUTED_VALUE"""),0.4)</f>
        <v>0.4</v>
      </c>
    </row>
    <row r="80" ht="15.75" customHeight="1">
      <c r="A80" s="8" t="str">
        <f>IFERROR(__xludf.DUMMYFUNCTION("""COMPUTED_VALUE"""),"https://founderpal.ai/best-marketing-agencies/germany")</f>
        <v>https://founderpal.ai/best-marketing-agencies/germany</v>
      </c>
      <c r="B80" s="11" t="str">
        <f>IFERROR(__xludf.DUMMYFUNCTION("""COMPUTED_VALUE"""),"10 Best Marketing Agencies in Germany \[2026 Updated\]")</f>
        <v>10 Best Marketing Agencies in Germany \[2026 Updated\]</v>
      </c>
      <c r="C80" s="8" t="str">
        <f>IFERROR(__xludf.DUMMYFUNCTION("""COMPUTED_VALUE"""),"founderpal.ai")</f>
        <v>founderpal.ai</v>
      </c>
      <c r="D80" s="11" t="str">
        <f>IFERROR(__xludf.DUMMYFUNCTION("""COMPUTED_VALUE"""),"LISTICLE")</f>
        <v>LISTICLE</v>
      </c>
      <c r="E80" s="11" t="str">
        <f>IFERROR(__xludf.DUMMYFUNCTION("""COMPUTED_VALUE"""),"CORPORATE")</f>
        <v>CORPORATE</v>
      </c>
      <c r="F80" s="11" t="str">
        <f>IFERROR(__xludf.DUMMYFUNCTION("""COMPUTED_VALUE"""),"Listicle")</f>
        <v>Listicle</v>
      </c>
      <c r="G80" s="11" t="b">
        <f>IFERROR(__xludf.DUMMYFUNCTION("""COMPUTED_VALUE"""),FALSE)</f>
        <v>0</v>
      </c>
      <c r="H80" s="11" t="str">
        <f>IFERROR(__xludf.DUMMYFUNCTION("""COMPUTED_VALUE"""),"Jung von Matt, Serviceplan Group, Scholz &amp; Friends, Pilot, DEPT")</f>
        <v>Jung von Matt, Serviceplan Group, Scholz &amp; Friends, Pilot, DEPT</v>
      </c>
      <c r="I80" s="11">
        <f>IFERROR(__xludf.DUMMYFUNCTION("""COMPUTED_VALUE"""),10.0)</f>
        <v>10</v>
      </c>
      <c r="J80" s="11">
        <f>IFERROR(__xludf.DUMMYFUNCTION("""COMPUTED_VALUE"""),0.01)</f>
        <v>0.01</v>
      </c>
      <c r="K80" s="11">
        <f>IFERROR(__xludf.DUMMYFUNCTION("""COMPUTED_VALUE"""),0.2)</f>
        <v>0.2</v>
      </c>
    </row>
    <row r="81" ht="15.75" customHeight="1">
      <c r="A81" s="8" t="str">
        <f>IFERROR(__xludf.DUMMYFUNCTION("""COMPUTED_VALUE"""),"https://gaper.io/best-aeo-agencies")</f>
        <v>https://gaper.io/best-aeo-agencies</v>
      </c>
      <c r="B81" s="11" t="str">
        <f>IFERROR(__xludf.DUMMYFUNCTION("""COMPUTED_VALUE"""),"Best AEO Agencies in 2026: Answer Engine Optimization Shortlist · Gaper")</f>
        <v>Best AEO Agencies in 2026: Answer Engine Optimization Shortlist · Gaper</v>
      </c>
      <c r="C81" s="8" t="str">
        <f>IFERROR(__xludf.DUMMYFUNCTION("""COMPUTED_VALUE"""),"gaper.io")</f>
        <v>gaper.io</v>
      </c>
      <c r="D81" s="11" t="str">
        <f>IFERROR(__xludf.DUMMYFUNCTION("""COMPUTED_VALUE"""),"LISTICLE")</f>
        <v>LISTICLE</v>
      </c>
      <c r="E81" s="11" t="str">
        <f>IFERROR(__xludf.DUMMYFUNCTION("""COMPUTED_VALUE"""),"CORPORATE")</f>
        <v>CORPORATE</v>
      </c>
      <c r="F81" s="11" t="str">
        <f>IFERROR(__xludf.DUMMYFUNCTION("""COMPUTED_VALUE"""),"Listicle")</f>
        <v>Listicle</v>
      </c>
      <c r="G81" s="11" t="b">
        <f>IFERROR(__xludf.DUMMYFUNCTION("""COMPUTED_VALUE"""),FALSE)</f>
        <v>0</v>
      </c>
      <c r="H81" s="11" t="str">
        <f>IFERROR(__xludf.DUMMYFUNCTION("""COMPUTED_VALUE"""),"NoGood")</f>
        <v>NoGood</v>
      </c>
      <c r="I81" s="11">
        <f>IFERROR(__xludf.DUMMYFUNCTION("""COMPUTED_VALUE"""),10.0)</f>
        <v>10</v>
      </c>
      <c r="J81" s="11">
        <f>IFERROR(__xludf.DUMMYFUNCTION("""COMPUTED_VALUE"""),0.01)</f>
        <v>0.01</v>
      </c>
      <c r="K81" s="11">
        <f>IFERROR(__xludf.DUMMYFUNCTION("""COMPUTED_VALUE"""),0.0)</f>
        <v>0</v>
      </c>
    </row>
    <row r="82" ht="15.75" customHeight="1">
      <c r="A82" s="8" t="str">
        <f>IFERROR(__xludf.DUMMYFUNCTION("""COMPUTED_VALUE"""),"https://www.ibusiness.de/performance-ranking/performance_2022.html")</f>
        <v>https://www.ibusiness.de/performance-ranking/performance_2022.html</v>
      </c>
      <c r="B82" s="11" t="str">
        <f>IFERROR(__xludf.DUMMYFUNCTION("""COMPUTED_VALUE"""),"Das Ranking der gr��ten deutschen Performance-Marketing-Agenturen")</f>
        <v>Das Ranking der gr��ten deutschen Performance-Marketing-Agenturen</v>
      </c>
      <c r="C82" s="8" t="str">
        <f>IFERROR(__xludf.DUMMYFUNCTION("""COMPUTED_VALUE"""),"ibusiness.de")</f>
        <v>ibusiness.de</v>
      </c>
      <c r="D82" s="11" t="str">
        <f>IFERROR(__xludf.DUMMYFUNCTION("""COMPUTED_VALUE"""),"LISTICLE")</f>
        <v>LISTICLE</v>
      </c>
      <c r="E82" s="11" t="str">
        <f>IFERROR(__xludf.DUMMYFUNCTION("""COMPUTED_VALUE"""),"EDITORIAL")</f>
        <v>EDITORIAL</v>
      </c>
      <c r="F82" s="11" t="str">
        <f>IFERROR(__xludf.DUMMYFUNCTION("""COMPUTED_VALUE"""),"Listicle")</f>
        <v>Listicle</v>
      </c>
      <c r="G82" s="11" t="b">
        <f>IFERROR(__xludf.DUMMYFUNCTION("""COMPUTED_VALUE"""),FALSE)</f>
        <v>0</v>
      </c>
      <c r="H82" s="11"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I82" s="11">
        <f>IFERROR(__xludf.DUMMYFUNCTION("""COMPUTED_VALUE"""),10.0)</f>
        <v>10</v>
      </c>
      <c r="J82" s="11">
        <f>IFERROR(__xludf.DUMMYFUNCTION("""COMPUTED_VALUE"""),0.01)</f>
        <v>0.01</v>
      </c>
      <c r="K82" s="11">
        <f>IFERROR(__xludf.DUMMYFUNCTION("""COMPUTED_VALUE"""),0.0)</f>
        <v>0</v>
      </c>
    </row>
    <row r="83" ht="15.75" customHeight="1">
      <c r="A83" s="8" t="str">
        <f>IFERROR(__xludf.DUMMYFUNCTION("""COMPUTED_VALUE"""),"https://www.influencer-hero.com/fr/blogs/top-10-creative-agencies-in-germany")</f>
        <v>https://www.influencer-hero.com/fr/blogs/top-10-creative-agencies-in-germany</v>
      </c>
      <c r="B83" s="11" t="str">
        <f>IFERROR(__xludf.DUMMYFUNCTION("""COMPUTED_VALUE"""),"Top 10 agences créatives en Allemagne")</f>
        <v>Top 10 agences créatives en Allemagne</v>
      </c>
      <c r="C83" s="8" t="str">
        <f>IFERROR(__xludf.DUMMYFUNCTION("""COMPUTED_VALUE"""),"influencer-hero.com")</f>
        <v>influencer-hero.com</v>
      </c>
      <c r="D83" s="11" t="str">
        <f>IFERROR(__xludf.DUMMYFUNCTION("""COMPUTED_VALUE"""),"LISTICLE")</f>
        <v>LISTICLE</v>
      </c>
      <c r="E83" s="11" t="str">
        <f>IFERROR(__xludf.DUMMYFUNCTION("""COMPUTED_VALUE"""),"CORPORATE")</f>
        <v>CORPORATE</v>
      </c>
      <c r="F83" s="11" t="str">
        <f>IFERROR(__xludf.DUMMYFUNCTION("""COMPUTED_VALUE"""),"Listicle")</f>
        <v>Listicle</v>
      </c>
      <c r="G83" s="11" t="b">
        <f>IFERROR(__xludf.DUMMYFUNCTION("""COMPUTED_VALUE"""),FALSE)</f>
        <v>0</v>
      </c>
      <c r="H83" s="11" t="str">
        <f>IFERROR(__xludf.DUMMYFUNCTION("""COMPUTED_VALUE"""),"Jung von Matt, DDB Germany, Admiral Media, Mawave, Momentum, WPP")</f>
        <v>Jung von Matt, DDB Germany, Admiral Media, Mawave, Momentum, WPP</v>
      </c>
      <c r="I83" s="11">
        <f>IFERROR(__xludf.DUMMYFUNCTION("""COMPUTED_VALUE"""),10.0)</f>
        <v>10</v>
      </c>
      <c r="J83" s="11">
        <f>IFERROR(__xludf.DUMMYFUNCTION("""COMPUTED_VALUE"""),0.01)</f>
        <v>0.01</v>
      </c>
      <c r="K83" s="11">
        <f>IFERROR(__xludf.DUMMYFUNCTION("""COMPUTED_VALUE"""),0.0)</f>
        <v>0</v>
      </c>
    </row>
    <row r="84" ht="15.75" customHeight="1">
      <c r="A84" s="8" t="str">
        <f>IFERROR(__xludf.DUMMYFUNCTION("""COMPUTED_VALUE"""),"https://www.influencer-hero.com/it/blogs/top-10-creative-agencies-in-germany")</f>
        <v>https://www.influencer-hero.com/it/blogs/top-10-creative-agencies-in-germany</v>
      </c>
      <c r="B84" s="11" t="str">
        <f>IFERROR(__xludf.DUMMYFUNCTION("""COMPUTED_VALUE"""),"Top 10 Agenzie Creative in Germania")</f>
        <v>Top 10 Agenzie Creative in Germania</v>
      </c>
      <c r="C84" s="8" t="str">
        <f>IFERROR(__xludf.DUMMYFUNCTION("""COMPUTED_VALUE"""),"influencer-hero.com")</f>
        <v>influencer-hero.com</v>
      </c>
      <c r="D84" s="11" t="str">
        <f>IFERROR(__xludf.DUMMYFUNCTION("""COMPUTED_VALUE"""),"LISTICLE")</f>
        <v>LISTICLE</v>
      </c>
      <c r="E84" s="11" t="str">
        <f>IFERROR(__xludf.DUMMYFUNCTION("""COMPUTED_VALUE"""),"CORPORATE")</f>
        <v>CORPORATE</v>
      </c>
      <c r="F84" s="11" t="str">
        <f>IFERROR(__xludf.DUMMYFUNCTION("""COMPUTED_VALUE"""),"Listicle")</f>
        <v>Listicle</v>
      </c>
      <c r="G84" s="11" t="b">
        <f>IFERROR(__xludf.DUMMYFUNCTION("""COMPUTED_VALUE"""),FALSE)</f>
        <v>0</v>
      </c>
      <c r="H84" s="11" t="str">
        <f>IFERROR(__xludf.DUMMYFUNCTION("""COMPUTED_VALUE"""),"Jung von Matt, DDB Germany, Admiral Media, Mawave, Momentum, WPP")</f>
        <v>Jung von Matt, DDB Germany, Admiral Media, Mawave, Momentum, WPP</v>
      </c>
      <c r="I84" s="11">
        <f>IFERROR(__xludf.DUMMYFUNCTION("""COMPUTED_VALUE"""),10.0)</f>
        <v>10</v>
      </c>
      <c r="J84" s="11">
        <f>IFERROR(__xludf.DUMMYFUNCTION("""COMPUTED_VALUE"""),0.01)</f>
        <v>0.01</v>
      </c>
      <c r="K84" s="11">
        <f>IFERROR(__xludf.DUMMYFUNCTION("""COMPUTED_VALUE"""),0.1)</f>
        <v>0.1</v>
      </c>
    </row>
    <row r="85" ht="15.75" customHeight="1">
      <c r="A85" s="8" t="str">
        <f>IFERROR(__xludf.DUMMYFUNCTION("""COMPUTED_VALUE"""),"https://www.influencer-hero.com/it/blogs/top-facebook-advertising-agencies-in-germany")</f>
        <v>https://www.influencer-hero.com/it/blogs/top-facebook-advertising-agencies-in-germany</v>
      </c>
      <c r="B85" s="11" t="str">
        <f>IFERROR(__xludf.DUMMYFUNCTION("""COMPUTED_VALUE"""),"I top 10 agenzie pubblicitarie Facebook in Germania")</f>
        <v>I top 10 agenzie pubblicitarie Facebook in Germania</v>
      </c>
      <c r="C85" s="8" t="str">
        <f>IFERROR(__xludf.DUMMYFUNCTION("""COMPUTED_VALUE"""),"influencer-hero.com")</f>
        <v>influencer-hero.com</v>
      </c>
      <c r="D85" s="11" t="str">
        <f>IFERROR(__xludf.DUMMYFUNCTION("""COMPUTED_VALUE"""),"LISTICLE")</f>
        <v>LISTICLE</v>
      </c>
      <c r="E85" s="11" t="str">
        <f>IFERROR(__xludf.DUMMYFUNCTION("""COMPUTED_VALUE"""),"CORPORATE")</f>
        <v>CORPORATE</v>
      </c>
      <c r="F85" s="11" t="str">
        <f>IFERROR(__xludf.DUMMYFUNCTION("""COMPUTED_VALUE"""),"Listicle")</f>
        <v>Listicle</v>
      </c>
      <c r="G85" s="11" t="b">
        <f>IFERROR(__xludf.DUMMYFUNCTION("""COMPUTED_VALUE"""),FALSE)</f>
        <v>0</v>
      </c>
      <c r="H85" s="11" t="str">
        <f>IFERROR(__xludf.DUMMYFUNCTION("""COMPUTED_VALUE"""),"MONSOON, DREIKON, Social Media One, Globalist, Mawave")</f>
        <v>MONSOON, DREIKON, Social Media One, Globalist, Mawave</v>
      </c>
      <c r="I85" s="11">
        <f>IFERROR(__xludf.DUMMYFUNCTION("""COMPUTED_VALUE"""),10.0)</f>
        <v>10</v>
      </c>
      <c r="J85" s="11">
        <f>IFERROR(__xludf.DUMMYFUNCTION("""COMPUTED_VALUE"""),0.01)</f>
        <v>0.01</v>
      </c>
      <c r="K85" s="11">
        <f>IFERROR(__xludf.DUMMYFUNCTION("""COMPUTED_VALUE"""),0.0)</f>
        <v>0</v>
      </c>
    </row>
    <row r="86" ht="15.75" customHeight="1">
      <c r="A86" s="8" t="str">
        <f>IFERROR(__xludf.DUMMYFUNCTION("""COMPUTED_VALUE"""),"https://lengreo.com/germany-dusseldorf-aeo-geo-llmo-companies/")</f>
        <v>https://lengreo.com/germany-dusseldorf-aeo-geo-llmo-companies/</v>
      </c>
      <c r="B86" s="11" t="str">
        <f>IFERROR(__xludf.DUMMYFUNCTION("""COMPUTED_VALUE"""),"Top AEO, GEO &amp;amp; LLMO Companies in Düsseldorf, Germany")</f>
        <v>Top AEO, GEO &amp;amp; LLMO Companies in Düsseldorf, Germany</v>
      </c>
      <c r="C86" s="8" t="str">
        <f>IFERROR(__xludf.DUMMYFUNCTION("""COMPUTED_VALUE"""),"lengreo.com")</f>
        <v>lengreo.com</v>
      </c>
      <c r="D86" s="11" t="str">
        <f>IFERROR(__xludf.DUMMYFUNCTION("""COMPUTED_VALUE"""),"LISTICLE")</f>
        <v>LISTICLE</v>
      </c>
      <c r="E86" s="11" t="str">
        <f>IFERROR(__xludf.DUMMYFUNCTION("""COMPUTED_VALUE"""),"CORPORATE")</f>
        <v>CORPORATE</v>
      </c>
      <c r="F86" s="11" t="str">
        <f>IFERROR(__xludf.DUMMYFUNCTION("""COMPUTED_VALUE"""),"Listicle")</f>
        <v>Listicle</v>
      </c>
      <c r="G86" s="11" t="b">
        <f>IFERROR(__xludf.DUMMYFUNCTION("""COMPUTED_VALUE"""),FALSE)</f>
        <v>0</v>
      </c>
      <c r="H86" s="11" t="str">
        <f>IFERROR(__xludf.DUMMYFUNCTION("""COMPUTED_VALUE"""),"Seeders, Baseplus DIGITAL MEDIA GmbH, Measured, Suchhelden")</f>
        <v>Seeders, Baseplus DIGITAL MEDIA GmbH, Measured, Suchhelden</v>
      </c>
      <c r="I86" s="11">
        <f>IFERROR(__xludf.DUMMYFUNCTION("""COMPUTED_VALUE"""),10.0)</f>
        <v>10</v>
      </c>
      <c r="J86" s="11">
        <f>IFERROR(__xludf.DUMMYFUNCTION("""COMPUTED_VALUE"""),0.01)</f>
        <v>0.01</v>
      </c>
      <c r="K86" s="11">
        <f>IFERROR(__xludf.DUMMYFUNCTION("""COMPUTED_VALUE"""),0.9)</f>
        <v>0.9</v>
      </c>
    </row>
    <row r="87" ht="15.75" customHeight="1">
      <c r="A87" s="8" t="str">
        <f>IFERROR(__xludf.DUMMYFUNCTION("""COMPUTED_VALUE"""),"https://orm-tech.com/blog/best-marketing-attribution-software/")</f>
        <v>https://orm-tech.com/blog/best-marketing-attribution-software/</v>
      </c>
      <c r="B87" s="11" t="str">
        <f>IFERROR(__xludf.DUMMYFUNCTION("""COMPUTED_VALUE"""),"9 Best Marketing Attribution Software for B2B (2026) | ORM")</f>
        <v>9 Best Marketing Attribution Software for B2B (2026) | ORM</v>
      </c>
      <c r="C87" s="8" t="str">
        <f>IFERROR(__xludf.DUMMYFUNCTION("""COMPUTED_VALUE"""),"orm-tech.com")</f>
        <v>orm-tech.com</v>
      </c>
      <c r="D87" s="11" t="str">
        <f>IFERROR(__xludf.DUMMYFUNCTION("""COMPUTED_VALUE"""),"LISTICLE")</f>
        <v>LISTICLE</v>
      </c>
      <c r="E87" s="11" t="str">
        <f>IFERROR(__xludf.DUMMYFUNCTION("""COMPUTED_VALUE"""),"CORPORATE")</f>
        <v>CORPORATE</v>
      </c>
      <c r="F87" s="11" t="str">
        <f>IFERROR(__xludf.DUMMYFUNCTION("""COMPUTED_VALUE"""),"Listicle")</f>
        <v>Listicle</v>
      </c>
      <c r="G87" s="11" t="b">
        <f>IFERROR(__xludf.DUMMYFUNCTION("""COMPUTED_VALUE"""),FALSE)</f>
        <v>0</v>
      </c>
      <c r="H87" s="11" t="str">
        <f>IFERROR(__xludf.DUMMYFUNCTION("""COMPUTED_VALUE"""),"Dreamdata")</f>
        <v>Dreamdata</v>
      </c>
      <c r="I87" s="11">
        <f>IFERROR(__xludf.DUMMYFUNCTION("""COMPUTED_VALUE"""),10.0)</f>
        <v>10</v>
      </c>
      <c r="J87" s="11">
        <f>IFERROR(__xludf.DUMMYFUNCTION("""COMPUTED_VALUE"""),0.01)</f>
        <v>0.01</v>
      </c>
      <c r="K87" s="11">
        <f>IFERROR(__xludf.DUMMYFUNCTION("""COMPUTED_VALUE"""),0.1)</f>
        <v>0.1</v>
      </c>
    </row>
    <row r="88" ht="15.75" customHeight="1">
      <c r="A88" s="8" t="str">
        <f>IFERROR(__xludf.DUMMYFUNCTION("""COMPUTED_VALUE"""),"https://www.rankshift.ai/blog/best-geo-agencies/")</f>
        <v>https://www.rankshift.ai/blog/best-geo-agencies/</v>
      </c>
      <c r="B88" s="11" t="str">
        <f>IFERROR(__xludf.DUMMYFUNCTION("""COMPUTED_VALUE"""),"20 Best GEO Agencies in 2026 for Generative Engine Optimization")</f>
        <v>20 Best GEO Agencies in 2026 for Generative Engine Optimization</v>
      </c>
      <c r="C88" s="8" t="str">
        <f>IFERROR(__xludf.DUMMYFUNCTION("""COMPUTED_VALUE"""),"rankshift.ai")</f>
        <v>rankshift.ai</v>
      </c>
      <c r="D88" s="11" t="str">
        <f>IFERROR(__xludf.DUMMYFUNCTION("""COMPUTED_VALUE"""),"LISTICLE")</f>
        <v>LISTICLE</v>
      </c>
      <c r="E88" s="11" t="str">
        <f>IFERROR(__xludf.DUMMYFUNCTION("""COMPUTED_VALUE"""),"CORPORATE")</f>
        <v>CORPORATE</v>
      </c>
      <c r="F88" s="11" t="str">
        <f>IFERROR(__xludf.DUMMYFUNCTION("""COMPUTED_VALUE"""),"Listicle")</f>
        <v>Listicle</v>
      </c>
      <c r="G88" s="11" t="b">
        <f>IFERROR(__xludf.DUMMYFUNCTION("""COMPUTED_VALUE"""),FALSE)</f>
        <v>0</v>
      </c>
      <c r="H88" s="11" t="str">
        <f>IFERROR(__xludf.DUMMYFUNCTION("""COMPUTED_VALUE"""),"iPullRank, Omnius, WebFX")</f>
        <v>iPullRank, Omnius, WebFX</v>
      </c>
      <c r="I88" s="11">
        <f>IFERROR(__xludf.DUMMYFUNCTION("""COMPUTED_VALUE"""),10.0)</f>
        <v>10</v>
      </c>
      <c r="J88" s="11">
        <f>IFERROR(__xludf.DUMMYFUNCTION("""COMPUTED_VALUE"""),0.01)</f>
        <v>0.01</v>
      </c>
      <c r="K88" s="11">
        <f>IFERROR(__xludf.DUMMYFUNCTION("""COMPUTED_VALUE"""),0.0)</f>
        <v>0</v>
      </c>
    </row>
    <row r="89" ht="15.75" customHeight="1">
      <c r="A89" s="8" t="str">
        <f>IFERROR(__xludf.DUMMYFUNCTION("""COMPUTED_VALUE"""),"https://www.bakedwith.com/blog/die-besten-geo-agenturen-in-deutschland-ein-uberblick")</f>
        <v>https://www.bakedwith.com/blog/die-besten-geo-agenturen-in-deutschland-ein-uberblick</v>
      </c>
      <c r="B89" s="11" t="str">
        <f>IFERROR(__xludf.DUMMYFUNCTION("""COMPUTED_VALUE"""),"Die besten GEO-Agenturen in Deutschland: ein Überblick")</f>
        <v>Die besten GEO-Agenturen in Deutschland: ein Überblick</v>
      </c>
      <c r="C89" s="8" t="str">
        <f>IFERROR(__xludf.DUMMYFUNCTION("""COMPUTED_VALUE"""),"bakedwith.com")</f>
        <v>bakedwith.com</v>
      </c>
      <c r="D89" s="11" t="str">
        <f>IFERROR(__xludf.DUMMYFUNCTION("""COMPUTED_VALUE"""),"LISTICLE")</f>
        <v>LISTICLE</v>
      </c>
      <c r="E89" s="11" t="str">
        <f>IFERROR(__xludf.DUMMYFUNCTION("""COMPUTED_VALUE"""),"CORPORATE")</f>
        <v>CORPORATE</v>
      </c>
      <c r="F89" s="11" t="str">
        <f>IFERROR(__xludf.DUMMYFUNCTION("""COMPUTED_VALUE"""),"Listicle")</f>
        <v>Listicle</v>
      </c>
      <c r="G89" s="11" t="b">
        <f>IFERROR(__xludf.DUMMYFUNCTION("""COMPUTED_VALUE"""),FALSE)</f>
        <v>0</v>
      </c>
      <c r="H89" s="11" t="str">
        <f>IFERROR(__xludf.DUMMYFUNCTION("""COMPUTED_VALUE"""),"Radyant, Claneo, HECHT INS GEFECHT, Suchhelden, Aufgesang, DREIKON, Löwenstark, TRYSEO")</f>
        <v>Radyant, Claneo, HECHT INS GEFECHT, Suchhelden, Aufgesang, DREIKON, Löwenstark, TRYSEO</v>
      </c>
      <c r="I89" s="11">
        <f>IFERROR(__xludf.DUMMYFUNCTION("""COMPUTED_VALUE"""),9.0)</f>
        <v>9</v>
      </c>
      <c r="J89" s="11">
        <f>IFERROR(__xludf.DUMMYFUNCTION("""COMPUTED_VALUE"""),0.01)</f>
        <v>0.01</v>
      </c>
      <c r="K89" s="11">
        <f>IFERROR(__xludf.DUMMYFUNCTION("""COMPUTED_VALUE"""),0.22)</f>
        <v>0.22</v>
      </c>
    </row>
    <row r="90" ht="15.75" customHeight="1">
      <c r="A90" s="8" t="str">
        <f>IFERROR(__xludf.DUMMYFUNCTION("""COMPUTED_VALUE"""),"https://www.ekipa.ai/ekipa-labs/end-to-end-ai-consulting-companies")</f>
        <v>https://www.ekipa.ai/ekipa-labs/end-to-end-ai-consulting-companies</v>
      </c>
      <c r="B90" s="11" t="str">
        <f>IFERROR(__xludf.DUMMYFUNCTION("""COMPUTED_VALUE"""),"Top End-to-End AI Consulting Companies in Germany")</f>
        <v>Top End-to-End AI Consulting Companies in Germany</v>
      </c>
      <c r="C90" s="8" t="str">
        <f>IFERROR(__xludf.DUMMYFUNCTION("""COMPUTED_VALUE"""),"ekipa.ai")</f>
        <v>ekipa.ai</v>
      </c>
      <c r="D90" s="11" t="str">
        <f>IFERROR(__xludf.DUMMYFUNCTION("""COMPUTED_VALUE"""),"LISTICLE")</f>
        <v>LISTICLE</v>
      </c>
      <c r="E90" s="11" t="str">
        <f>IFERROR(__xludf.DUMMYFUNCTION("""COMPUTED_VALUE"""),"CORPORATE")</f>
        <v>CORPORATE</v>
      </c>
      <c r="F90" s="11" t="str">
        <f>IFERROR(__xludf.DUMMYFUNCTION("""COMPUTED_VALUE"""),"Listicle")</f>
        <v>Listicle</v>
      </c>
      <c r="G90" s="11" t="b">
        <f>IFERROR(__xludf.DUMMYFUNCTION("""COMPUTED_VALUE"""),FALSE)</f>
        <v>0</v>
      </c>
      <c r="H90" s="11" t="str">
        <f>IFERROR(__xludf.DUMMYFUNCTION("""COMPUTED_VALUE"""),"Pilot")</f>
        <v>Pilot</v>
      </c>
      <c r="I90" s="11">
        <f>IFERROR(__xludf.DUMMYFUNCTION("""COMPUTED_VALUE"""),9.0)</f>
        <v>9</v>
      </c>
      <c r="J90" s="11">
        <f>IFERROR(__xludf.DUMMYFUNCTION("""COMPUTED_VALUE"""),0.01)</f>
        <v>0.01</v>
      </c>
      <c r="K90" s="11">
        <f>IFERROR(__xludf.DUMMYFUNCTION("""COMPUTED_VALUE"""),0.11)</f>
        <v>0.11</v>
      </c>
    </row>
    <row r="91" ht="15.75" customHeight="1">
      <c r="A91" s="8" t="str">
        <f>IFERROR(__xludf.DUMMYFUNCTION("""COMPUTED_VALUE"""),"https://www.factors.ai/blog/multi-touch-attribution-tools-platforms-software-guide")</f>
        <v>https://www.factors.ai/blog/multi-touch-attribution-tools-platforms-software-guide</v>
      </c>
      <c r="B91" s="11" t="str">
        <f>IFERROR(__xludf.DUMMYFUNCTION("""COMPUTED_VALUE"""),"Multi-Touch Attribution Tools &amp;amp; Platforms for B2B Marketers")</f>
        <v>Multi-Touch Attribution Tools &amp;amp; Platforms for B2B Marketers</v>
      </c>
      <c r="C91" s="8" t="str">
        <f>IFERROR(__xludf.DUMMYFUNCTION("""COMPUTED_VALUE"""),"factors.ai")</f>
        <v>factors.ai</v>
      </c>
      <c r="D91" s="11" t="str">
        <f>IFERROR(__xludf.DUMMYFUNCTION("""COMPUTED_VALUE"""),"LISTICLE")</f>
        <v>LISTICLE</v>
      </c>
      <c r="E91" s="11" t="str">
        <f>IFERROR(__xludf.DUMMYFUNCTION("""COMPUTED_VALUE"""),"CORPORATE")</f>
        <v>CORPORATE</v>
      </c>
      <c r="F91" s="11" t="str">
        <f>IFERROR(__xludf.DUMMYFUNCTION("""COMPUTED_VALUE"""),"Listicle")</f>
        <v>Listicle</v>
      </c>
      <c r="G91" s="11" t="b">
        <f>IFERROR(__xludf.DUMMYFUNCTION("""COMPUTED_VALUE"""),FALSE)</f>
        <v>0</v>
      </c>
      <c r="H91" s="11" t="str">
        <f>IFERROR(__xludf.DUMMYFUNCTION("""COMPUTED_VALUE"""),"Dreamdata, Rockerbox, Measured")</f>
        <v>Dreamdata, Rockerbox, Measured</v>
      </c>
      <c r="I91" s="11">
        <f>IFERROR(__xludf.DUMMYFUNCTION("""COMPUTED_VALUE"""),9.0)</f>
        <v>9</v>
      </c>
      <c r="J91" s="11">
        <f>IFERROR(__xludf.DUMMYFUNCTION("""COMPUTED_VALUE"""),0.01)</f>
        <v>0.01</v>
      </c>
      <c r="K91" s="11">
        <f>IFERROR(__xludf.DUMMYFUNCTION("""COMPUTED_VALUE"""),0.0)</f>
        <v>0</v>
      </c>
    </row>
    <row r="92" ht="15.75" customHeight="1">
      <c r="A92" s="8" t="str">
        <f>IFERROR(__xludf.DUMMYFUNCTION("""COMPUTED_VALUE"""),"https://www.ibusiness.de/performance-ranking/performance_2022")</f>
        <v>https://www.ibusiness.de/performance-ranking/performance_2022</v>
      </c>
      <c r="B92" s="11" t="str">
        <f>IFERROR(__xludf.DUMMYFUNCTION("""COMPUTED_VALUE"""),"Das Ranking der gr��ten deutschen Performance-Marketing-Agenturen")</f>
        <v>Das Ranking der gr��ten deutschen Performance-Marketing-Agenturen</v>
      </c>
      <c r="C92" s="8" t="str">
        <f>IFERROR(__xludf.DUMMYFUNCTION("""COMPUTED_VALUE"""),"ibusiness.de")</f>
        <v>ibusiness.de</v>
      </c>
      <c r="D92" s="11" t="str">
        <f>IFERROR(__xludf.DUMMYFUNCTION("""COMPUTED_VALUE"""),"LISTICLE")</f>
        <v>LISTICLE</v>
      </c>
      <c r="E92" s="11" t="str">
        <f>IFERROR(__xludf.DUMMYFUNCTION("""COMPUTED_VALUE"""),"EDITORIAL")</f>
        <v>EDITORIAL</v>
      </c>
      <c r="F92" s="11" t="str">
        <f>IFERROR(__xludf.DUMMYFUNCTION("""COMPUTED_VALUE"""),"Listicle")</f>
        <v>Listicle</v>
      </c>
      <c r="G92" s="11" t="b">
        <f>IFERROR(__xludf.DUMMYFUNCTION("""COMPUTED_VALUE"""),FALSE)</f>
        <v>0</v>
      </c>
      <c r="H92" s="11"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I92" s="11">
        <f>IFERROR(__xludf.DUMMYFUNCTION("""COMPUTED_VALUE"""),9.0)</f>
        <v>9</v>
      </c>
      <c r="J92" s="11">
        <f>IFERROR(__xludf.DUMMYFUNCTION("""COMPUTED_VALUE"""),0.01)</f>
        <v>0.01</v>
      </c>
      <c r="K92" s="11">
        <f>IFERROR(__xludf.DUMMYFUNCTION("""COMPUTED_VALUE"""),0.0)</f>
        <v>0</v>
      </c>
    </row>
    <row r="93" ht="15.75" customHeight="1">
      <c r="A93" s="8" t="str">
        <f>IFERROR(__xludf.DUMMYFUNCTION("""COMPUTED_VALUE"""),"https://www.influencer-hero.com/de/blogs/top-10-creative-agencies-in-germany")</f>
        <v>https://www.influencer-hero.com/de/blogs/top-10-creative-agencies-in-germany</v>
      </c>
      <c r="B93" s="11" t="str">
        <f>IFERROR(__xludf.DUMMYFUNCTION("""COMPUTED_VALUE"""),"Top 10 Creative Agenturen in Deutschland")</f>
        <v>Top 10 Creative Agenturen in Deutschland</v>
      </c>
      <c r="C93" s="8" t="str">
        <f>IFERROR(__xludf.DUMMYFUNCTION("""COMPUTED_VALUE"""),"influencer-hero.com")</f>
        <v>influencer-hero.com</v>
      </c>
      <c r="D93" s="11" t="str">
        <f>IFERROR(__xludf.DUMMYFUNCTION("""COMPUTED_VALUE"""),"LISTICLE")</f>
        <v>LISTICLE</v>
      </c>
      <c r="E93" s="11" t="str">
        <f>IFERROR(__xludf.DUMMYFUNCTION("""COMPUTED_VALUE"""),"CORPORATE")</f>
        <v>CORPORATE</v>
      </c>
      <c r="F93" s="11" t="str">
        <f>IFERROR(__xludf.DUMMYFUNCTION("""COMPUTED_VALUE"""),"Listicle")</f>
        <v>Listicle</v>
      </c>
      <c r="G93" s="11" t="b">
        <f>IFERROR(__xludf.DUMMYFUNCTION("""COMPUTED_VALUE"""),FALSE)</f>
        <v>0</v>
      </c>
      <c r="H93" s="11" t="str">
        <f>IFERROR(__xludf.DUMMYFUNCTION("""COMPUTED_VALUE"""),"Jung von Matt, DDB Germany, Admiral Media, Mawave, Momentum, WPP")</f>
        <v>Jung von Matt, DDB Germany, Admiral Media, Mawave, Momentum, WPP</v>
      </c>
      <c r="I93" s="11">
        <f>IFERROR(__xludf.DUMMYFUNCTION("""COMPUTED_VALUE"""),9.0)</f>
        <v>9</v>
      </c>
      <c r="J93" s="11">
        <f>IFERROR(__xludf.DUMMYFUNCTION("""COMPUTED_VALUE"""),0.01)</f>
        <v>0.01</v>
      </c>
      <c r="K93" s="11">
        <f>IFERROR(__xludf.DUMMYFUNCTION("""COMPUTED_VALUE"""),0.0)</f>
        <v>0</v>
      </c>
    </row>
    <row r="94" ht="15.75" customHeight="1">
      <c r="A94" s="8" t="str">
        <f>IFERROR(__xludf.DUMMYFUNCTION("""COMPUTED_VALUE"""),"https://www.influencer-hero.com/fr/blogs/top-facebook-advertising-agencies-in-germany")</f>
        <v>https://www.influencer-hero.com/fr/blogs/top-facebook-advertising-agencies-in-germany</v>
      </c>
      <c r="B94" s="11" t="str">
        <f>IFERROR(__xludf.DUMMYFUNCTION("""COMPUTED_VALUE"""),"Top 10 agences de publicité Facebook en Allemagne")</f>
        <v>Top 10 agences de publicité Facebook en Allemagne</v>
      </c>
      <c r="C94" s="8" t="str">
        <f>IFERROR(__xludf.DUMMYFUNCTION("""COMPUTED_VALUE"""),"influencer-hero.com")</f>
        <v>influencer-hero.com</v>
      </c>
      <c r="D94" s="11" t="str">
        <f>IFERROR(__xludf.DUMMYFUNCTION("""COMPUTED_VALUE"""),"LISTICLE")</f>
        <v>LISTICLE</v>
      </c>
      <c r="E94" s="11" t="str">
        <f>IFERROR(__xludf.DUMMYFUNCTION("""COMPUTED_VALUE"""),"CORPORATE")</f>
        <v>CORPORATE</v>
      </c>
      <c r="F94" s="11" t="str">
        <f>IFERROR(__xludf.DUMMYFUNCTION("""COMPUTED_VALUE"""),"Listicle")</f>
        <v>Listicle</v>
      </c>
      <c r="G94" s="11" t="b">
        <f>IFERROR(__xludf.DUMMYFUNCTION("""COMPUTED_VALUE"""),FALSE)</f>
        <v>0</v>
      </c>
      <c r="H94" s="11" t="str">
        <f>IFERROR(__xludf.DUMMYFUNCTION("""COMPUTED_VALUE"""),"MONSOON, DREIKON, Social Media One, Globalist, Mawave")</f>
        <v>MONSOON, DREIKON, Social Media One, Globalist, Mawave</v>
      </c>
      <c r="I94" s="11">
        <f>IFERROR(__xludf.DUMMYFUNCTION("""COMPUTED_VALUE"""),9.0)</f>
        <v>9</v>
      </c>
      <c r="J94" s="11">
        <f>IFERROR(__xludf.DUMMYFUNCTION("""COMPUTED_VALUE"""),0.01)</f>
        <v>0.01</v>
      </c>
      <c r="K94" s="11">
        <f>IFERROR(__xludf.DUMMYFUNCTION("""COMPUTED_VALUE"""),0.44)</f>
        <v>0.44</v>
      </c>
    </row>
    <row r="95" ht="15.75" customHeight="1">
      <c r="A95" s="8" t="str">
        <f>IFERROR(__xludf.DUMMYFUNCTION("""COMPUTED_VALUE"""),"https://intentcliq.com/google-ads-agencies-in-germany/")</f>
        <v>https://intentcliq.com/google-ads-agencies-in-germany/</v>
      </c>
      <c r="B95" s="11" t="str">
        <f>IFERROR(__xludf.DUMMYFUNCTION("""COMPUTED_VALUE"""),"Top 20 Professional Google Ads Agencies in Germany 2024")</f>
        <v>Top 20 Professional Google Ads Agencies in Germany 2024</v>
      </c>
      <c r="C95" s="8" t="str">
        <f>IFERROR(__xludf.DUMMYFUNCTION("""COMPUTED_VALUE"""),"intentcliq.com")</f>
        <v>intentcliq.com</v>
      </c>
      <c r="D95" s="11" t="str">
        <f>IFERROR(__xludf.DUMMYFUNCTION("""COMPUTED_VALUE"""),"LISTICLE")</f>
        <v>LISTICLE</v>
      </c>
      <c r="E95" s="11" t="str">
        <f>IFERROR(__xludf.DUMMYFUNCTION("""COMPUTED_VALUE"""),"CORPORATE")</f>
        <v>CORPORATE</v>
      </c>
      <c r="F95" s="11" t="str">
        <f>IFERROR(__xludf.DUMMYFUNCTION("""COMPUTED_VALUE"""),"Listicle")</f>
        <v>Listicle</v>
      </c>
      <c r="G95" s="11" t="b">
        <f>IFERROR(__xludf.DUMMYFUNCTION("""COMPUTED_VALUE"""),FALSE)</f>
        <v>0</v>
      </c>
      <c r="H95" s="11" t="str">
        <f>IFERROR(__xludf.DUMMYFUNCTION("""COMPUTED_VALUE"""),"Mediacharge, Smarketer")</f>
        <v>Mediacharge, Smarketer</v>
      </c>
      <c r="I95" s="11">
        <f>IFERROR(__xludf.DUMMYFUNCTION("""COMPUTED_VALUE"""),9.0)</f>
        <v>9</v>
      </c>
      <c r="J95" s="11">
        <f>IFERROR(__xludf.DUMMYFUNCTION("""COMPUTED_VALUE"""),0.01)</f>
        <v>0.01</v>
      </c>
      <c r="K95" s="11">
        <f>IFERROR(__xludf.DUMMYFUNCTION("""COMPUTED_VALUE"""),0.0)</f>
        <v>0</v>
      </c>
    </row>
    <row r="96" ht="15.75" customHeight="1">
      <c r="A96" s="8" t="str">
        <f>IFERROR(__xludf.DUMMYFUNCTION("""COMPUTED_VALUE"""),"https://invademarketing.com/best-data-driven-marketing-agencies-in-europe/")</f>
        <v>https://invademarketing.com/best-data-driven-marketing-agencies-in-europe/</v>
      </c>
      <c r="B96" s="11" t="str">
        <f>IFERROR(__xludf.DUMMYFUNCTION("""COMPUTED_VALUE"""),"Best Data-Driven Marketing Agencies in Europe 2026")</f>
        <v>Best Data-Driven Marketing Agencies in Europe 2026</v>
      </c>
      <c r="C96" s="8" t="str">
        <f>IFERROR(__xludf.DUMMYFUNCTION("""COMPUTED_VALUE"""),"invademarketing.com")</f>
        <v>invademarketing.com</v>
      </c>
      <c r="D96" s="11" t="str">
        <f>IFERROR(__xludf.DUMMYFUNCTION("""COMPUTED_VALUE"""),"LISTICLE")</f>
        <v>LISTICLE</v>
      </c>
      <c r="E96" s="11" t="str">
        <f>IFERROR(__xludf.DUMMYFUNCTION("""COMPUTED_VALUE"""),"CORPORATE")</f>
        <v>CORPORATE</v>
      </c>
      <c r="F96" s="11" t="str">
        <f>IFERROR(__xludf.DUMMYFUNCTION("""COMPUTED_VALUE"""),"Listicle")</f>
        <v>Listicle</v>
      </c>
      <c r="G96" s="11" t="b">
        <f>IFERROR(__xludf.DUMMYFUNCTION("""COMPUTED_VALUE"""),FALSE)</f>
        <v>0</v>
      </c>
      <c r="H96" s="11"/>
      <c r="I96" s="11">
        <f>IFERROR(__xludf.DUMMYFUNCTION("""COMPUTED_VALUE"""),9.0)</f>
        <v>9</v>
      </c>
      <c r="J96" s="11">
        <f>IFERROR(__xludf.DUMMYFUNCTION("""COMPUTED_VALUE"""),0.01)</f>
        <v>0.01</v>
      </c>
      <c r="K96" s="11">
        <f>IFERROR(__xludf.DUMMYFUNCTION("""COMPUTED_VALUE"""),1.11)</f>
        <v>1.11</v>
      </c>
    </row>
    <row r="97" ht="15.75" customHeight="1">
      <c r="A97" s="8" t="str">
        <f>IFERROR(__xludf.DUMMYFUNCTION("""COMPUTED_VALUE"""),"https://seeders.com/blog/top-10-digital-pr-agencies-germany/")</f>
        <v>https://seeders.com/blog/top-10-digital-pr-agencies-germany/</v>
      </c>
      <c r="B97" s="11" t="str">
        <f>IFERROR(__xludf.DUMMYFUNCTION("""COMPUTED_VALUE"""),"Top 10 digital PR agencies in Germany | Seeders")</f>
        <v>Top 10 digital PR agencies in Germany | Seeders</v>
      </c>
      <c r="C97" s="8" t="str">
        <f>IFERROR(__xludf.DUMMYFUNCTION("""COMPUTED_VALUE"""),"seeders.com")</f>
        <v>seeders.com</v>
      </c>
      <c r="D97" s="11" t="str">
        <f>IFERROR(__xludf.DUMMYFUNCTION("""COMPUTED_VALUE"""),"LISTICLE")</f>
        <v>LISTICLE</v>
      </c>
      <c r="E97" s="11" t="str">
        <f>IFERROR(__xludf.DUMMYFUNCTION("""COMPUTED_VALUE"""),"COMPETITOR")</f>
        <v>COMPETITOR</v>
      </c>
      <c r="F97" s="11" t="str">
        <f>IFERROR(__xludf.DUMMYFUNCTION("""COMPUTED_VALUE"""),"Listicle")</f>
        <v>Listicle</v>
      </c>
      <c r="G97" s="11" t="b">
        <f>IFERROR(__xludf.DUMMYFUNCTION("""COMPUTED_VALUE"""),FALSE)</f>
        <v>0</v>
      </c>
      <c r="H97" s="11" t="str">
        <f>IFERROR(__xludf.DUMMYFUNCTION("""COMPUTED_VALUE"""),"Seeders, Claneo")</f>
        <v>Seeders, Claneo</v>
      </c>
      <c r="I97" s="11">
        <f>IFERROR(__xludf.DUMMYFUNCTION("""COMPUTED_VALUE"""),9.0)</f>
        <v>9</v>
      </c>
      <c r="J97" s="11">
        <f>IFERROR(__xludf.DUMMYFUNCTION("""COMPUTED_VALUE"""),0.01)</f>
        <v>0.01</v>
      </c>
      <c r="K97" s="11">
        <f>IFERROR(__xludf.DUMMYFUNCTION("""COMPUTED_VALUE"""),1.67)</f>
        <v>1.67</v>
      </c>
    </row>
    <row r="98" ht="15.75" customHeight="1">
      <c r="A98" s="8" t="str">
        <f>IFERROR(__xludf.DUMMYFUNCTION("""COMPUTED_VALUE"""),"https://www.sortlist.com/display-advertising")</f>
        <v>https://www.sortlist.com/display-advertising</v>
      </c>
      <c r="B98" s="11" t="str">
        <f>IFERROR(__xludf.DUMMYFUNCTION("""COMPUTED_VALUE"""),"The 100 Best Display Advertising Agencies - 2026 Reviews")</f>
        <v>The 100 Best Display Advertising Agencies - 2026 Reviews</v>
      </c>
      <c r="C98" s="8" t="str">
        <f>IFERROR(__xludf.DUMMYFUNCTION("""COMPUTED_VALUE"""),"sortlist.com")</f>
        <v>sortlist.com</v>
      </c>
      <c r="D98" s="11" t="str">
        <f>IFERROR(__xludf.DUMMYFUNCTION("""COMPUTED_VALUE"""),"LISTICLE")</f>
        <v>LISTICLE</v>
      </c>
      <c r="E98" s="11" t="str">
        <f>IFERROR(__xludf.DUMMYFUNCTION("""COMPUTED_VALUE"""),"CORPORATE")</f>
        <v>CORPORATE</v>
      </c>
      <c r="F98" s="11" t="str">
        <f>IFERROR(__xludf.DUMMYFUNCTION("""COMPUTED_VALUE"""),"Listicle")</f>
        <v>Listicle</v>
      </c>
      <c r="G98" s="11" t="b">
        <f>IFERROR(__xludf.DUMMYFUNCTION("""COMPUTED_VALUE"""),FALSE)</f>
        <v>0</v>
      </c>
      <c r="H98" s="11" t="str">
        <f>IFERROR(__xludf.DUMMYFUNCTION("""COMPUTED_VALUE"""),"MONSOON")</f>
        <v>MONSOON</v>
      </c>
      <c r="I98" s="11">
        <f>IFERROR(__xludf.DUMMYFUNCTION("""COMPUTED_VALUE"""),9.0)</f>
        <v>9</v>
      </c>
      <c r="J98" s="11">
        <f>IFERROR(__xludf.DUMMYFUNCTION("""COMPUTED_VALUE"""),0.01)</f>
        <v>0.01</v>
      </c>
      <c r="K98" s="11">
        <f>IFERROR(__xludf.DUMMYFUNCTION("""COMPUTED_VALUE"""),0.0)</f>
        <v>0</v>
      </c>
    </row>
    <row r="99" ht="15.75" customHeight="1">
      <c r="A99" s="8" t="str">
        <f>IFERROR(__xludf.DUMMYFUNCTION("""COMPUTED_VALUE"""),"https://thatware.co/top-10-aeo-companies-in-germany/")</f>
        <v>https://thatware.co/top-10-aeo-companies-in-germany/</v>
      </c>
      <c r="B99" s="11" t="str">
        <f>IFERROR(__xludf.DUMMYFUNCTION("""COMPUTED_VALUE"""),"Top 10 AEO Companies in Germany | 10 Best Germany AEO Firms")</f>
        <v>Top 10 AEO Companies in Germany | 10 Best Germany AEO Firms</v>
      </c>
      <c r="C99" s="8" t="str">
        <f>IFERROR(__xludf.DUMMYFUNCTION("""COMPUTED_VALUE"""),"thatware.co")</f>
        <v>thatware.co</v>
      </c>
      <c r="D99" s="11" t="str">
        <f>IFERROR(__xludf.DUMMYFUNCTION("""COMPUTED_VALUE"""),"LISTICLE")</f>
        <v>LISTICLE</v>
      </c>
      <c r="E99" s="11" t="str">
        <f>IFERROR(__xludf.DUMMYFUNCTION("""COMPUTED_VALUE"""),"CORPORATE")</f>
        <v>CORPORATE</v>
      </c>
      <c r="F99" s="11" t="str">
        <f>IFERROR(__xludf.DUMMYFUNCTION("""COMPUTED_VALUE"""),"Listicle")</f>
        <v>Listicle</v>
      </c>
      <c r="G99" s="11" t="b">
        <f>IFERROR(__xludf.DUMMYFUNCTION("""COMPUTED_VALUE"""),FALSE)</f>
        <v>0</v>
      </c>
      <c r="H99" s="11" t="str">
        <f>IFERROR(__xludf.DUMMYFUNCTION("""COMPUTED_VALUE"""),"Claneo, Peak Ace")</f>
        <v>Claneo, Peak Ace</v>
      </c>
      <c r="I99" s="11">
        <f>IFERROR(__xludf.DUMMYFUNCTION("""COMPUTED_VALUE"""),9.0)</f>
        <v>9</v>
      </c>
      <c r="J99" s="11">
        <f>IFERROR(__xludf.DUMMYFUNCTION("""COMPUTED_VALUE"""),0.01)</f>
        <v>0.01</v>
      </c>
      <c r="K99" s="11">
        <f>IFERROR(__xludf.DUMMYFUNCTION("""COMPUTED_VALUE"""),1.78)</f>
        <v>1.78</v>
      </c>
    </row>
    <row r="100" ht="15.75" customHeight="1">
      <c r="A100" s="8" t="str">
        <f>IFERROR(__xludf.DUMMYFUNCTION("""COMPUTED_VALUE"""),"https://thedigitalelevator.com/blog/best-generative-engine-optimization-geo-agencies/")</f>
        <v>https://thedigitalelevator.com/blog/best-generative-engine-optimization-geo-agencies/</v>
      </c>
      <c r="B100" s="11" t="str">
        <f>IFERROR(__xludf.DUMMYFUNCTION("""COMPUTED_VALUE"""),"The 12 Best Generative Engine Optimization (GEO) Agencies of 2026 | Digital Elevator")</f>
        <v>The 12 Best Generative Engine Optimization (GEO) Agencies of 2026 | Digital Elevator</v>
      </c>
      <c r="C100" s="8" t="str">
        <f>IFERROR(__xludf.DUMMYFUNCTION("""COMPUTED_VALUE"""),"thedigitalelevator.com")</f>
        <v>thedigitalelevator.com</v>
      </c>
      <c r="D100" s="11" t="str">
        <f>IFERROR(__xludf.DUMMYFUNCTION("""COMPUTED_VALUE"""),"LISTICLE")</f>
        <v>LISTICLE</v>
      </c>
      <c r="E100" s="11" t="str">
        <f>IFERROR(__xludf.DUMMYFUNCTION("""COMPUTED_VALUE"""),"CORPORATE")</f>
        <v>CORPORATE</v>
      </c>
      <c r="F100" s="11" t="str">
        <f>IFERROR(__xludf.DUMMYFUNCTION("""COMPUTED_VALUE"""),"Listicle")</f>
        <v>Listicle</v>
      </c>
      <c r="G100" s="11" t="b">
        <f>IFERROR(__xludf.DUMMYFUNCTION("""COMPUTED_VALUE"""),FALSE)</f>
        <v>0</v>
      </c>
      <c r="H100" s="11" t="str">
        <f>IFERROR(__xludf.DUMMYFUNCTION("""COMPUTED_VALUE"""),"Omnius, Directive Consulting, Siege Media, iPullRank")</f>
        <v>Omnius, Directive Consulting, Siege Media, iPullRank</v>
      </c>
      <c r="I100" s="11">
        <f>IFERROR(__xludf.DUMMYFUNCTION("""COMPUTED_VALUE"""),9.0)</f>
        <v>9</v>
      </c>
      <c r="J100" s="11">
        <f>IFERROR(__xludf.DUMMYFUNCTION("""COMPUTED_VALUE"""),0.01)</f>
        <v>0.01</v>
      </c>
      <c r="K100" s="11">
        <f>IFERROR(__xludf.DUMMYFUNCTION("""COMPUTED_VALUE"""),0.67)</f>
        <v>0.67</v>
      </c>
    </row>
    <row r="101" ht="15.75" customHeight="1">
      <c r="A101" s="8" t="str">
        <f>IFERROR(__xludf.DUMMYFUNCTION("""COMPUTED_VALUE"""),"https://ultragrowthmedia.com/best-b2b-marketing-agencies-germany/")</f>
        <v>https://ultragrowthmedia.com/best-b2b-marketing-agencies-germany/</v>
      </c>
      <c r="B101" s="11" t="str">
        <f>IFERROR(__xludf.DUMMYFUNCTION("""COMPUTED_VALUE"""),"10 Best B2B Marketing Agencies in Germany (Top-Rated)")</f>
        <v>10 Best B2B Marketing Agencies in Germany (Top-Rated)</v>
      </c>
      <c r="C101" s="8" t="str">
        <f>IFERROR(__xludf.DUMMYFUNCTION("""COMPUTED_VALUE"""),"ultragrowthmedia.com")</f>
        <v>ultragrowthmedia.com</v>
      </c>
      <c r="D101" s="11" t="str">
        <f>IFERROR(__xludf.DUMMYFUNCTION("""COMPUTED_VALUE"""),"LISTICLE")</f>
        <v>LISTICLE</v>
      </c>
      <c r="E101" s="11" t="str">
        <f>IFERROR(__xludf.DUMMYFUNCTION("""COMPUTED_VALUE"""),"CORPORATE")</f>
        <v>CORPORATE</v>
      </c>
      <c r="F101" s="11" t="str">
        <f>IFERROR(__xludf.DUMMYFUNCTION("""COMPUTED_VALUE"""),"Listicle")</f>
        <v>Listicle</v>
      </c>
      <c r="G101" s="11" t="b">
        <f>IFERROR(__xludf.DUMMYFUNCTION("""COMPUTED_VALUE"""),FALSE)</f>
        <v>0</v>
      </c>
      <c r="H101" s="11" t="str">
        <f>IFERROR(__xludf.DUMMYFUNCTION("""COMPUTED_VALUE"""),"Serviceplan Group, Jung von Matt, Mediacharge")</f>
        <v>Serviceplan Group, Jung von Matt, Mediacharge</v>
      </c>
      <c r="I101" s="11">
        <f>IFERROR(__xludf.DUMMYFUNCTION("""COMPUTED_VALUE"""),9.0)</f>
        <v>9</v>
      </c>
      <c r="J101" s="11">
        <f>IFERROR(__xludf.DUMMYFUNCTION("""COMPUTED_VALUE"""),0.01)</f>
        <v>0.01</v>
      </c>
      <c r="K101" s="11">
        <f>IFERROR(__xludf.DUMMYFUNCTION("""COMPUTED_VALUE"""),1.0)</f>
        <v>1</v>
      </c>
    </row>
    <row r="102" ht="15.75" customHeight="1">
      <c r="A102" s="8" t="str">
        <f>IFERROR(__xludf.DUMMYFUNCTION("""COMPUTED_VALUE"""),"https://www.dejaoffice.com/blog/2026/06/15/9-best-aeo-agencies-helping-brands-win-in-the-age-of-ai/")</f>
        <v>https://www.dejaoffice.com/blog/2026/06/15/9-best-aeo-agencies-helping-brands-win-in-the-age-of-ai/</v>
      </c>
      <c r="B102" s="11" t="str">
        <f>IFERROR(__xludf.DUMMYFUNCTION("""COMPUTED_VALUE"""),"9 Best AEO Agencies Helping Brands Win in the Age of AI - DejaOffice Blog")</f>
        <v>9 Best AEO Agencies Helping Brands Win in the Age of AI - DejaOffice Blog</v>
      </c>
      <c r="C102" s="8" t="str">
        <f>IFERROR(__xludf.DUMMYFUNCTION("""COMPUTED_VALUE"""),"dejaoffice.com")</f>
        <v>dejaoffice.com</v>
      </c>
      <c r="D102" s="11" t="str">
        <f>IFERROR(__xludf.DUMMYFUNCTION("""COMPUTED_VALUE"""),"LISTICLE")</f>
        <v>LISTICLE</v>
      </c>
      <c r="E102" s="11" t="str">
        <f>IFERROR(__xludf.DUMMYFUNCTION("""COMPUTED_VALUE"""),"CORPORATE")</f>
        <v>CORPORATE</v>
      </c>
      <c r="F102" s="11" t="str">
        <f>IFERROR(__xludf.DUMMYFUNCTION("""COMPUTED_VALUE"""),"Listicle")</f>
        <v>Listicle</v>
      </c>
      <c r="G102" s="11" t="b">
        <f>IFERROR(__xludf.DUMMYFUNCTION("""COMPUTED_VALUE"""),FALSE)</f>
        <v>0</v>
      </c>
      <c r="H102" s="11" t="str">
        <f>IFERROR(__xludf.DUMMYFUNCTION("""COMPUTED_VALUE"""),"NoGood, Omniscient Digital, Huge, Single Grain, Siege Media, iPullRank")</f>
        <v>NoGood, Omniscient Digital, Huge, Single Grain, Siege Media, iPullRank</v>
      </c>
      <c r="I102" s="11">
        <f>IFERROR(__xludf.DUMMYFUNCTION("""COMPUTED_VALUE"""),8.0)</f>
        <v>8</v>
      </c>
      <c r="J102" s="11">
        <f>IFERROR(__xludf.DUMMYFUNCTION("""COMPUTED_VALUE"""),0.01)</f>
        <v>0.01</v>
      </c>
      <c r="K102" s="11">
        <f>IFERROR(__xludf.DUMMYFUNCTION("""COMPUTED_VALUE"""),0.0)</f>
        <v>0</v>
      </c>
    </row>
    <row r="103" ht="15.75" customHeight="1">
      <c r="A103" s="8" t="str">
        <f>IFERROR(__xludf.DUMMYFUNCTION("""COMPUTED_VALUE"""),"https://ecommercegermany.com/blog/ai-companies-in-germany/")</f>
        <v>https://ecommercegermany.com/blog/ai-companies-in-germany/</v>
      </c>
      <c r="B103" s="11" t="str">
        <f>IFERROR(__xludf.DUMMYFUNCTION("""COMPUTED_VALUE"""),"AI companies in Germany: 34 names to watch in 2026")</f>
        <v>AI companies in Germany: 34 names to watch in 2026</v>
      </c>
      <c r="C103" s="8" t="str">
        <f>IFERROR(__xludf.DUMMYFUNCTION("""COMPUTED_VALUE"""),"ecommercegermany.com")</f>
        <v>ecommercegermany.com</v>
      </c>
      <c r="D103" s="11" t="str">
        <f>IFERROR(__xludf.DUMMYFUNCTION("""COMPUTED_VALUE"""),"LISTICLE")</f>
        <v>LISTICLE</v>
      </c>
      <c r="E103" s="11" t="str">
        <f>IFERROR(__xludf.DUMMYFUNCTION("""COMPUTED_VALUE"""),"EDITORIAL")</f>
        <v>EDITORIAL</v>
      </c>
      <c r="F103" s="11" t="str">
        <f>IFERROR(__xludf.DUMMYFUNCTION("""COMPUTED_VALUE"""),"Listicle")</f>
        <v>Listicle</v>
      </c>
      <c r="G103" s="11" t="b">
        <f>IFERROR(__xludf.DUMMYFUNCTION("""COMPUTED_VALUE"""),FALSE)</f>
        <v>0</v>
      </c>
      <c r="H103" s="11" t="str">
        <f>IFERROR(__xludf.DUMMYFUNCTION("""COMPUTED_VALUE"""),"Admiral Media")</f>
        <v>Admiral Media</v>
      </c>
      <c r="I103" s="11">
        <f>IFERROR(__xludf.DUMMYFUNCTION("""COMPUTED_VALUE"""),8.0)</f>
        <v>8</v>
      </c>
      <c r="J103" s="11">
        <f>IFERROR(__xludf.DUMMYFUNCTION("""COMPUTED_VALUE"""),0.01)</f>
        <v>0.01</v>
      </c>
      <c r="K103" s="11">
        <f>IFERROR(__xludf.DUMMYFUNCTION("""COMPUTED_VALUE"""),0.75)</f>
        <v>0.75</v>
      </c>
    </row>
    <row r="104" ht="15.75" customHeight="1">
      <c r="A104" s="8" t="str">
        <f>IFERROR(__xludf.DUMMYFUNCTION("""COMPUTED_VALUE"""),"https://lifesight.io/blog/best-incrementality-testing-tools/")</f>
        <v>https://lifesight.io/blog/best-incrementality-testing-tools/</v>
      </c>
      <c r="B104" s="11" t="str">
        <f>IFERROR(__xludf.DUMMYFUNCTION("""COMPUTED_VALUE"""),"6 Best Incrementality Testing Tools in 2025 [UPDATED] - Lifesight")</f>
        <v>6 Best Incrementality Testing Tools in 2025 [UPDATED] - Lifesight</v>
      </c>
      <c r="C104" s="8" t="str">
        <f>IFERROR(__xludf.DUMMYFUNCTION("""COMPUTED_VALUE"""),"lifesight.io")</f>
        <v>lifesight.io</v>
      </c>
      <c r="D104" s="11" t="str">
        <f>IFERROR(__xludf.DUMMYFUNCTION("""COMPUTED_VALUE"""),"LISTICLE")</f>
        <v>LISTICLE</v>
      </c>
      <c r="E104" s="11" t="str">
        <f>IFERROR(__xludf.DUMMYFUNCTION("""COMPUTED_VALUE"""),"COMPETITOR")</f>
        <v>COMPETITOR</v>
      </c>
      <c r="F104" s="11" t="str">
        <f>IFERROR(__xludf.DUMMYFUNCTION("""COMPUTED_VALUE"""),"Listicle")</f>
        <v>Listicle</v>
      </c>
      <c r="G104" s="11" t="b">
        <f>IFERROR(__xludf.DUMMYFUNCTION("""COMPUTED_VALUE"""),FALSE)</f>
        <v>0</v>
      </c>
      <c r="H104" s="11" t="str">
        <f>IFERROR(__xludf.DUMMYFUNCTION("""COMPUTED_VALUE"""),"LifeSight, Haus, Measured, Recast, Northbeam, Triple Whale")</f>
        <v>LifeSight, Haus, Measured, Recast, Northbeam, Triple Whale</v>
      </c>
      <c r="I104" s="11">
        <f>IFERROR(__xludf.DUMMYFUNCTION("""COMPUTED_VALUE"""),8.0)</f>
        <v>8</v>
      </c>
      <c r="J104" s="11">
        <f>IFERROR(__xludf.DUMMYFUNCTION("""COMPUTED_VALUE"""),0.01)</f>
        <v>0.01</v>
      </c>
      <c r="K104" s="11">
        <f>IFERROR(__xludf.DUMMYFUNCTION("""COMPUTED_VALUE"""),0.63)</f>
        <v>0.63</v>
      </c>
    </row>
    <row r="105" ht="15.75" customHeight="1">
      <c r="A105" s="8" t="str">
        <f>IFERROR(__xludf.DUMMYFUNCTION("""COMPUTED_VALUE"""),"https://www.thedrum.com/news/serviceplan-reclaims-emea-agency-top-spot-in-2026-world-creative-rankings")</f>
        <v>https://www.thedrum.com/news/serviceplan-reclaims-emea-agency-top-spot-in-2026-world-creative-rankings</v>
      </c>
      <c r="B105" s="11" t="str">
        <f>IFERROR(__xludf.DUMMYFUNCTION("""COMPUTED_VALUE"""),"Serviceplan reclaims EMEA agency top spot in 2026 World Creative Rankings | The Drum")</f>
        <v>Serviceplan reclaims EMEA agency top spot in 2026 World Creative Rankings | The Drum</v>
      </c>
      <c r="C105" s="8" t="str">
        <f>IFERROR(__xludf.DUMMYFUNCTION("""COMPUTED_VALUE"""),"thedrum.com")</f>
        <v>thedrum.com</v>
      </c>
      <c r="D105" s="11" t="str">
        <f>IFERROR(__xludf.DUMMYFUNCTION("""COMPUTED_VALUE"""),"LISTICLE")</f>
        <v>LISTICLE</v>
      </c>
      <c r="E105" s="11" t="str">
        <f>IFERROR(__xludf.DUMMYFUNCTION("""COMPUTED_VALUE"""),"EDITORIAL")</f>
        <v>EDITORIAL</v>
      </c>
      <c r="F105" s="11" t="str">
        <f>IFERROR(__xludf.DUMMYFUNCTION("""COMPUTED_VALUE"""),"Listicle")</f>
        <v>Listicle</v>
      </c>
      <c r="G105" s="11" t="b">
        <f>IFERROR(__xludf.DUMMYFUNCTION("""COMPUTED_VALUE"""),FALSE)</f>
        <v>0</v>
      </c>
      <c r="H105" s="11" t="str">
        <f>IFERROR(__xludf.DUMMYFUNCTION("""COMPUTED_VALUE"""),"Omnicom, WPP")</f>
        <v>Omnicom, WPP</v>
      </c>
      <c r="I105" s="11">
        <f>IFERROR(__xludf.DUMMYFUNCTION("""COMPUTED_VALUE"""),8.0)</f>
        <v>8</v>
      </c>
      <c r="J105" s="11">
        <f>IFERROR(__xludf.DUMMYFUNCTION("""COMPUTED_VALUE"""),0.01)</f>
        <v>0.01</v>
      </c>
      <c r="K105" s="11">
        <f>IFERROR(__xludf.DUMMYFUNCTION("""COMPUTED_VALUE"""),0.0)</f>
        <v>0</v>
      </c>
    </row>
    <row r="106" ht="15.75" customHeight="1">
      <c r="A106" s="8" t="str">
        <f>IFERROR(__xludf.DUMMYFUNCTION("""COMPUTED_VALUE"""),"https://www.upliftgtm.com/blog/best-aeo-agencies")</f>
        <v>https://www.upliftgtm.com/blog/best-aeo-agencies</v>
      </c>
      <c r="B106" s="11" t="str">
        <f>IFERROR(__xludf.DUMMYFUNCTION("""COMPUTED_VALUE"""),"Best AEO Agencies 2026: Top 12 Answer Engine Optimization Firms")</f>
        <v>Best AEO Agencies 2026: Top 12 Answer Engine Optimization Firms</v>
      </c>
      <c r="C106" s="8" t="str">
        <f>IFERROR(__xludf.DUMMYFUNCTION("""COMPUTED_VALUE"""),"upliftgtm.com")</f>
        <v>upliftgtm.com</v>
      </c>
      <c r="D106" s="11" t="str">
        <f>IFERROR(__xludf.DUMMYFUNCTION("""COMPUTED_VALUE"""),"LISTICLE")</f>
        <v>LISTICLE</v>
      </c>
      <c r="E106" s="11" t="str">
        <f>IFERROR(__xludf.DUMMYFUNCTION("""COMPUTED_VALUE"""),"CORPORATE")</f>
        <v>CORPORATE</v>
      </c>
      <c r="F106" s="11" t="str">
        <f>IFERROR(__xludf.DUMMYFUNCTION("""COMPUTED_VALUE"""),"Listicle")</f>
        <v>Listicle</v>
      </c>
      <c r="G106" s="11" t="b">
        <f>IFERROR(__xludf.DUMMYFUNCTION("""COMPUTED_VALUE"""),FALSE)</f>
        <v>0</v>
      </c>
      <c r="H106" s="11" t="str">
        <f>IFERROR(__xludf.DUMMYFUNCTION("""COMPUTED_VALUE"""),"Omniscient Digital, Single Grain, NoGood, Siege Media, Measured")</f>
        <v>Omniscient Digital, Single Grain, NoGood, Siege Media, Measured</v>
      </c>
      <c r="I106" s="11">
        <f>IFERROR(__xludf.DUMMYFUNCTION("""COMPUTED_VALUE"""),8.0)</f>
        <v>8</v>
      </c>
      <c r="J106" s="11">
        <f>IFERROR(__xludf.DUMMYFUNCTION("""COMPUTED_VALUE"""),0.01)</f>
        <v>0.01</v>
      </c>
      <c r="K106" s="11">
        <f>IFERROR(__xludf.DUMMYFUNCTION("""COMPUTED_VALUE"""),0.0)</f>
        <v>0</v>
      </c>
    </row>
    <row r="107" ht="15.75" customHeight="1">
      <c r="A107" s="8" t="str">
        <f>IFERROR(__xludf.DUMMYFUNCTION("""COMPUTED_VALUE"""),"https://websenor.com/top-10-ai-agencies-in-germany/")</f>
        <v>https://websenor.com/top-10-ai-agencies-in-germany/</v>
      </c>
      <c r="B107" s="11" t="str">
        <f>IFERROR(__xludf.DUMMYFUNCTION("""COMPUTED_VALUE"""),"Top 10 AI Agencies in Germany - WebSenor")</f>
        <v>Top 10 AI Agencies in Germany - WebSenor</v>
      </c>
      <c r="C107" s="8" t="str">
        <f>IFERROR(__xludf.DUMMYFUNCTION("""COMPUTED_VALUE"""),"websenor.com")</f>
        <v>websenor.com</v>
      </c>
      <c r="D107" s="11" t="str">
        <f>IFERROR(__xludf.DUMMYFUNCTION("""COMPUTED_VALUE"""),"LISTICLE")</f>
        <v>LISTICLE</v>
      </c>
      <c r="E107" s="11" t="str">
        <f>IFERROR(__xludf.DUMMYFUNCTION("""COMPUTED_VALUE"""),"CORPORATE")</f>
        <v>CORPORATE</v>
      </c>
      <c r="F107" s="11" t="str">
        <f>IFERROR(__xludf.DUMMYFUNCTION("""COMPUTED_VALUE"""),"Listicle")</f>
        <v>Listicle</v>
      </c>
      <c r="G107" s="11" t="b">
        <f>IFERROR(__xludf.DUMMYFUNCTION("""COMPUTED_VALUE"""),FALSE)</f>
        <v>0</v>
      </c>
      <c r="H107" s="11" t="str">
        <f>IFERROR(__xludf.DUMMYFUNCTION("""COMPUTED_VALUE"""),"statworx")</f>
        <v>statworx</v>
      </c>
      <c r="I107" s="11">
        <f>IFERROR(__xludf.DUMMYFUNCTION("""COMPUTED_VALUE"""),8.0)</f>
        <v>8</v>
      </c>
      <c r="J107" s="11">
        <f>IFERROR(__xludf.DUMMYFUNCTION("""COMPUTED_VALUE"""),0.01)</f>
        <v>0.01</v>
      </c>
      <c r="K107" s="11">
        <f>IFERROR(__xludf.DUMMYFUNCTION("""COMPUTED_VALUE"""),0.75)</f>
        <v>0.75</v>
      </c>
    </row>
    <row r="108" ht="15.75" customHeight="1">
      <c r="A108" s="8" t="str">
        <f>IFERROR(__xludf.DUMMYFUNCTION("""COMPUTED_VALUE"""),"https://www.youtube.com/watch?v=4L7On3IGqKQ")</f>
        <v>https://www.youtube.com/watch?v=4L7On3IGqKQ</v>
      </c>
      <c r="B108" s="11" t="str">
        <f>IFERROR(__xludf.DUMMYFUNCTION("""COMPUTED_VALUE"""),"What Are the Best Generative Engine Optimization (GEO) Agencies in Germany?")</f>
        <v>What Are the Best Generative Engine Optimization (GEO) Agencies in Germany?</v>
      </c>
      <c r="C108" s="8" t="str">
        <f>IFERROR(__xludf.DUMMYFUNCTION("""COMPUTED_VALUE"""),"youtube.com")</f>
        <v>youtube.com</v>
      </c>
      <c r="D108" s="11" t="str">
        <f>IFERROR(__xludf.DUMMYFUNCTION("""COMPUTED_VALUE"""),"LISTICLE")</f>
        <v>LISTICLE</v>
      </c>
      <c r="E108" s="11" t="str">
        <f>IFERROR(__xludf.DUMMYFUNCTION("""COMPUTED_VALUE"""),"UGC")</f>
        <v>UGC</v>
      </c>
      <c r="F108" s="11" t="str">
        <f>IFERROR(__xludf.DUMMYFUNCTION("""COMPUTED_VALUE"""),"Listicle")</f>
        <v>Listicle</v>
      </c>
      <c r="G108" s="11" t="b">
        <f>IFERROR(__xludf.DUMMYFUNCTION("""COMPUTED_VALUE"""),FALSE)</f>
        <v>0</v>
      </c>
      <c r="H108" s="11" t="str">
        <f>IFERROR(__xludf.DUMMYFUNCTION("""COMPUTED_VALUE"""),"Huge, Brainlabs")</f>
        <v>Huge, Brainlabs</v>
      </c>
      <c r="I108" s="11">
        <f>IFERROR(__xludf.DUMMYFUNCTION("""COMPUTED_VALUE"""),8.0)</f>
        <v>8</v>
      </c>
      <c r="J108" s="11">
        <f>IFERROR(__xludf.DUMMYFUNCTION("""COMPUTED_VALUE"""),0.01)</f>
        <v>0.01</v>
      </c>
      <c r="K108" s="11">
        <f>IFERROR(__xludf.DUMMYFUNCTION("""COMPUTED_VALUE"""),1.13)</f>
        <v>1.13</v>
      </c>
    </row>
    <row r="109" ht="15.75" customHeight="1">
      <c r="A109" s="8" t="str">
        <f>IFERROR(__xludf.DUMMYFUNCTION("""COMPUTED_VALUE"""),"https://www.alphaapexgroup.com/blog/top-ai-consulting-firms")</f>
        <v>https://www.alphaapexgroup.com/blog/top-ai-consulting-firms</v>
      </c>
      <c r="B109" s="11"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109" s="8" t="str">
        <f>IFERROR(__xludf.DUMMYFUNCTION("""COMPUTED_VALUE"""),"alphaapexgroup.com")</f>
        <v>alphaapexgroup.com</v>
      </c>
      <c r="D109" s="11" t="str">
        <f>IFERROR(__xludf.DUMMYFUNCTION("""COMPUTED_VALUE"""),"LISTICLE")</f>
        <v>LISTICLE</v>
      </c>
      <c r="E109" s="11" t="str">
        <f>IFERROR(__xludf.DUMMYFUNCTION("""COMPUTED_VALUE"""),"CORPORATE")</f>
        <v>CORPORATE</v>
      </c>
      <c r="F109" s="11" t="str">
        <f>IFERROR(__xludf.DUMMYFUNCTION("""COMPUTED_VALUE"""),"Listicle")</f>
        <v>Listicle</v>
      </c>
      <c r="G109" s="11" t="b">
        <f>IFERROR(__xludf.DUMMYFUNCTION("""COMPUTED_VALUE"""),FALSE)</f>
        <v>0</v>
      </c>
      <c r="H109" s="11" t="str">
        <f>IFERROR(__xludf.DUMMYFUNCTION("""COMPUTED_VALUE"""),"Pilot, Artefact, Ogilvy, McKinsey &amp; Company")</f>
        <v>Pilot, Artefact, Ogilvy, McKinsey &amp; Company</v>
      </c>
      <c r="I109" s="11">
        <f>IFERROR(__xludf.DUMMYFUNCTION("""COMPUTED_VALUE"""),7.0)</f>
        <v>7</v>
      </c>
      <c r="J109" s="11">
        <f>IFERROR(__xludf.DUMMYFUNCTION("""COMPUTED_VALUE"""),0.01)</f>
        <v>0.01</v>
      </c>
      <c r="K109" s="11">
        <f>IFERROR(__xludf.DUMMYFUNCTION("""COMPUTED_VALUE"""),1.29)</f>
        <v>1.29</v>
      </c>
    </row>
    <row r="110" ht="15.75" customHeight="1">
      <c r="A110" s="8" t="str">
        <f>IFERROR(__xludf.DUMMYFUNCTION("""COMPUTED_VALUE"""),"https://awisee.com/pt/blog/digital-marketing-agencies-germany/")</f>
        <v>https://awisee.com/pt/blog/digital-marketing-agencies-germany/</v>
      </c>
      <c r="B110" s="11" t="str">
        <f>IFERROR(__xludf.DUMMYFUNCTION("""COMPUTED_VALUE"""),"Top 4 Digital Marketing Agencies Germany In 2025 (Reviews)")</f>
        <v>Top 4 Digital Marketing Agencies Germany In 2025 (Reviews)</v>
      </c>
      <c r="C110" s="8" t="str">
        <f>IFERROR(__xludf.DUMMYFUNCTION("""COMPUTED_VALUE"""),"awisee.com")</f>
        <v>awisee.com</v>
      </c>
      <c r="D110" s="11" t="str">
        <f>IFERROR(__xludf.DUMMYFUNCTION("""COMPUTED_VALUE"""),"LISTICLE")</f>
        <v>LISTICLE</v>
      </c>
      <c r="E110" s="11" t="str">
        <f>IFERROR(__xludf.DUMMYFUNCTION("""COMPUTED_VALUE"""),"OTHER")</f>
        <v>OTHER</v>
      </c>
      <c r="F110" s="11" t="str">
        <f>IFERROR(__xludf.DUMMYFUNCTION("""COMPUTED_VALUE"""),"Listicle")</f>
        <v>Listicle</v>
      </c>
      <c r="G110" s="11" t="b">
        <f>IFERROR(__xludf.DUMMYFUNCTION("""COMPUTED_VALUE"""),FALSE)</f>
        <v>0</v>
      </c>
      <c r="H110" s="11" t="str">
        <f>IFERROR(__xludf.DUMMYFUNCTION("""COMPUTED_VALUE"""),"KlickPiloten")</f>
        <v>KlickPiloten</v>
      </c>
      <c r="I110" s="11">
        <f>IFERROR(__xludf.DUMMYFUNCTION("""COMPUTED_VALUE"""),7.0)</f>
        <v>7</v>
      </c>
      <c r="J110" s="11">
        <f>IFERROR(__xludf.DUMMYFUNCTION("""COMPUTED_VALUE"""),0.01)</f>
        <v>0.01</v>
      </c>
      <c r="K110" s="11">
        <f>IFERROR(__xludf.DUMMYFUNCTION("""COMPUTED_VALUE"""),0.14)</f>
        <v>0.14</v>
      </c>
    </row>
    <row r="111" ht="15.75" customHeight="1">
      <c r="A111" s="8" t="str">
        <f>IFERROR(__xludf.DUMMYFUNCTION("""COMPUTED_VALUE"""),"https://www.gtm8020.com/blog/best-aeo-agencies")</f>
        <v>https://www.gtm8020.com/blog/best-aeo-agencies</v>
      </c>
      <c r="B111" s="11" t="str">
        <f>IFERROR(__xludf.DUMMYFUNCTION("""COMPUTED_VALUE"""),"Best AEO Agencies - 2026 — GTM 8020")</f>
        <v>Best AEO Agencies - 2026 — GTM 8020</v>
      </c>
      <c r="C111" s="8" t="str">
        <f>IFERROR(__xludf.DUMMYFUNCTION("""COMPUTED_VALUE"""),"gtm8020.com")</f>
        <v>gtm8020.com</v>
      </c>
      <c r="D111" s="11" t="str">
        <f>IFERROR(__xludf.DUMMYFUNCTION("""COMPUTED_VALUE"""),"LISTICLE")</f>
        <v>LISTICLE</v>
      </c>
      <c r="E111" s="11" t="str">
        <f>IFERROR(__xludf.DUMMYFUNCTION("""COMPUTED_VALUE"""),"OTHER")</f>
        <v>OTHER</v>
      </c>
      <c r="F111" s="11" t="str">
        <f>IFERROR(__xludf.DUMMYFUNCTION("""COMPUTED_VALUE"""),"Listicle")</f>
        <v>Listicle</v>
      </c>
      <c r="G111" s="11" t="b">
        <f>IFERROR(__xludf.DUMMYFUNCTION("""COMPUTED_VALUE"""),FALSE)</f>
        <v>0</v>
      </c>
      <c r="H111" s="11" t="str">
        <f>IFERROR(__xludf.DUMMYFUNCTION("""COMPUTED_VALUE"""),"Siege Media, Omniscient Digital, Momentum")</f>
        <v>Siege Media, Omniscient Digital, Momentum</v>
      </c>
      <c r="I111" s="11">
        <f>IFERROR(__xludf.DUMMYFUNCTION("""COMPUTED_VALUE"""),7.0)</f>
        <v>7</v>
      </c>
      <c r="J111" s="11">
        <f>IFERROR(__xludf.DUMMYFUNCTION("""COMPUTED_VALUE"""),0.01)</f>
        <v>0.01</v>
      </c>
      <c r="K111" s="11">
        <f>IFERROR(__xludf.DUMMYFUNCTION("""COMPUTED_VALUE"""),0.29)</f>
        <v>0.29</v>
      </c>
    </row>
    <row r="112" ht="15.75" customHeight="1">
      <c r="A112" s="8" t="str">
        <f>IFERROR(__xludf.DUMMYFUNCTION("""COMPUTED_VALUE"""),"https://www.kom.de/analyse/das-sind-die-erfolgreichsten-kreativagenturen/")</f>
        <v>https://www.kom.de/analyse/das-sind-die-erfolgreichsten-kreativagenturen/</v>
      </c>
      <c r="B112" s="11" t="str">
        <f>IFERROR(__xludf.DUMMYFUNCTION("""COMPUTED_VALUE"""),"Das sind die erfolgreichsten Kreativagenturen")</f>
        <v>Das sind die erfolgreichsten Kreativagenturen</v>
      </c>
      <c r="C112" s="8" t="str">
        <f>IFERROR(__xludf.DUMMYFUNCTION("""COMPUTED_VALUE"""),"kom.de")</f>
        <v>kom.de</v>
      </c>
      <c r="D112" s="11" t="str">
        <f>IFERROR(__xludf.DUMMYFUNCTION("""COMPUTED_VALUE"""),"LISTICLE")</f>
        <v>LISTICLE</v>
      </c>
      <c r="E112" s="11" t="str">
        <f>IFERROR(__xludf.DUMMYFUNCTION("""COMPUTED_VALUE"""),"EDITORIAL")</f>
        <v>EDITORIAL</v>
      </c>
      <c r="F112" s="11" t="str">
        <f>IFERROR(__xludf.DUMMYFUNCTION("""COMPUTED_VALUE"""),"Listicle")</f>
        <v>Listicle</v>
      </c>
      <c r="G112" s="11" t="b">
        <f>IFERROR(__xludf.DUMMYFUNCTION("""COMPUTED_VALUE"""),FALSE)</f>
        <v>0</v>
      </c>
      <c r="H112" s="11" t="str">
        <f>IFERROR(__xludf.DUMMYFUNCTION("""COMPUTED_VALUE"""),"Serviceplan Group, Scholz &amp; Friends, Publicis Groupe, MetaDesign, Ogilvy, Accenture Song")</f>
        <v>Serviceplan Group, Scholz &amp; Friends, Publicis Groupe, MetaDesign, Ogilvy, Accenture Song</v>
      </c>
      <c r="I112" s="11">
        <f>IFERROR(__xludf.DUMMYFUNCTION("""COMPUTED_VALUE"""),7.0)</f>
        <v>7</v>
      </c>
      <c r="J112" s="11">
        <f>IFERROR(__xludf.DUMMYFUNCTION("""COMPUTED_VALUE"""),0.01)</f>
        <v>0.01</v>
      </c>
      <c r="K112" s="11">
        <f>IFERROR(__xludf.DUMMYFUNCTION("""COMPUTED_VALUE"""),0.43)</f>
        <v>0.43</v>
      </c>
    </row>
    <row r="113" ht="15.75" customHeight="1">
      <c r="A113" s="8" t="str">
        <f>IFERROR(__xludf.DUMMYFUNCTION("""COMPUTED_VALUE"""),"https://www.loudface.co/blog/best-aeo-agencies-b2b-saas-2026")</f>
        <v>https://www.loudface.co/blog/best-aeo-agencies-b2b-saas-2026</v>
      </c>
      <c r="B113" s="11" t="str">
        <f>IFERROR(__xludf.DUMMYFUNCTION("""COMPUTED_VALUE"""),"Best AEO &amp;amp; GEO Agencies for B2B SaaS in 2026 | LoudFace")</f>
        <v>Best AEO &amp;amp; GEO Agencies for B2B SaaS in 2026 | LoudFace</v>
      </c>
      <c r="C113" s="8" t="str">
        <f>IFERROR(__xludf.DUMMYFUNCTION("""COMPUTED_VALUE"""),"loudface.co")</f>
        <v>loudface.co</v>
      </c>
      <c r="D113" s="11" t="str">
        <f>IFERROR(__xludf.DUMMYFUNCTION("""COMPUTED_VALUE"""),"LISTICLE")</f>
        <v>LISTICLE</v>
      </c>
      <c r="E113" s="11" t="str">
        <f>IFERROR(__xludf.DUMMYFUNCTION("""COMPUTED_VALUE"""),"CORPORATE")</f>
        <v>CORPORATE</v>
      </c>
      <c r="F113" s="11" t="str">
        <f>IFERROR(__xludf.DUMMYFUNCTION("""COMPUTED_VALUE"""),"Listicle")</f>
        <v>Listicle</v>
      </c>
      <c r="G113" s="11" t="b">
        <f>IFERROR(__xludf.DUMMYFUNCTION("""COMPUTED_VALUE"""),FALSE)</f>
        <v>0</v>
      </c>
      <c r="H113" s="11" t="str">
        <f>IFERROR(__xludf.DUMMYFUNCTION("""COMPUTED_VALUE"""),"Omnius, Siege Media, NoGood")</f>
        <v>Omnius, Siege Media, NoGood</v>
      </c>
      <c r="I113" s="11">
        <f>IFERROR(__xludf.DUMMYFUNCTION("""COMPUTED_VALUE"""),7.0)</f>
        <v>7</v>
      </c>
      <c r="J113" s="11">
        <f>IFERROR(__xludf.DUMMYFUNCTION("""COMPUTED_VALUE"""),0.01)</f>
        <v>0.01</v>
      </c>
      <c r="K113" s="11">
        <f>IFERROR(__xludf.DUMMYFUNCTION("""COMPUTED_VALUE"""),0.0)</f>
        <v>0</v>
      </c>
    </row>
    <row r="114" ht="15.75" customHeight="1">
      <c r="A114" s="8" t="str">
        <f>IFERROR(__xludf.DUMMYFUNCTION("""COMPUTED_VALUE"""),"https://www.callboxinc.com/growth-hacking/best-aeo-agencies/")</f>
        <v>https://www.callboxinc.com/growth-hacking/best-aeo-agencies/</v>
      </c>
      <c r="B114" s="11" t="str">
        <f>IFERROR(__xludf.DUMMYFUNCTION("""COMPUTED_VALUE"""),"8 Top AEO Agencies in 2026 for Lead Generation")</f>
        <v>8 Top AEO Agencies in 2026 for Lead Generation</v>
      </c>
      <c r="C114" s="8" t="str">
        <f>IFERROR(__xludf.DUMMYFUNCTION("""COMPUTED_VALUE"""),"callboxinc.com")</f>
        <v>callboxinc.com</v>
      </c>
      <c r="D114" s="11" t="str">
        <f>IFERROR(__xludf.DUMMYFUNCTION("""COMPUTED_VALUE"""),"LISTICLE")</f>
        <v>LISTICLE</v>
      </c>
      <c r="E114" s="11" t="str">
        <f>IFERROR(__xludf.DUMMYFUNCTION("""COMPUTED_VALUE"""),"CORPORATE")</f>
        <v>CORPORATE</v>
      </c>
      <c r="F114" s="11" t="str">
        <f>IFERROR(__xludf.DUMMYFUNCTION("""COMPUTED_VALUE"""),"Listicle")</f>
        <v>Listicle</v>
      </c>
      <c r="G114" s="11" t="b">
        <f>IFERROR(__xludf.DUMMYFUNCTION("""COMPUTED_VALUE"""),FALSE)</f>
        <v>0</v>
      </c>
      <c r="H114" s="11" t="str">
        <f>IFERROR(__xludf.DUMMYFUNCTION("""COMPUTED_VALUE"""),"DEPT, iPullRank, Omniscient Digital, Directive Consulting, Siege Media")</f>
        <v>DEPT, iPullRank, Omniscient Digital, Directive Consulting, Siege Media</v>
      </c>
      <c r="I114" s="11">
        <f>IFERROR(__xludf.DUMMYFUNCTION("""COMPUTED_VALUE"""),6.0)</f>
        <v>6</v>
      </c>
      <c r="J114" s="11">
        <f>IFERROR(__xludf.DUMMYFUNCTION("""COMPUTED_VALUE"""),0.01)</f>
        <v>0.01</v>
      </c>
      <c r="K114" s="11">
        <f>IFERROR(__xludf.DUMMYFUNCTION("""COMPUTED_VALUE"""),0.17)</f>
        <v>0.17</v>
      </c>
    </row>
    <row r="115" ht="15.75" customHeight="1">
      <c r="A115" s="8" t="str">
        <f>IFERROR(__xludf.DUMMYFUNCTION("""COMPUTED_VALUE"""),"https://flypix.ai/geospatial-companies-in-germany/")</f>
        <v>https://flypix.ai/geospatial-companies-in-germany/</v>
      </c>
      <c r="B115" s="11" t="str">
        <f>IFERROR(__xludf.DUMMYFUNCTION("""COMPUTED_VALUE"""),"8 Best Geospatial Companies in Germany (2026)")</f>
        <v>8 Best Geospatial Companies in Germany (2026)</v>
      </c>
      <c r="C115" s="8" t="str">
        <f>IFERROR(__xludf.DUMMYFUNCTION("""COMPUTED_VALUE"""),"flypix.ai")</f>
        <v>flypix.ai</v>
      </c>
      <c r="D115" s="11" t="str">
        <f>IFERROR(__xludf.DUMMYFUNCTION("""COMPUTED_VALUE"""),"LISTICLE")</f>
        <v>LISTICLE</v>
      </c>
      <c r="E115" s="11" t="str">
        <f>IFERROR(__xludf.DUMMYFUNCTION("""COMPUTED_VALUE"""),"CORPORATE")</f>
        <v>CORPORATE</v>
      </c>
      <c r="F115" s="11" t="str">
        <f>IFERROR(__xludf.DUMMYFUNCTION("""COMPUTED_VALUE"""),"Listicle")</f>
        <v>Listicle</v>
      </c>
      <c r="G115" s="11" t="b">
        <f>IFERROR(__xludf.DUMMYFUNCTION("""COMPUTED_VALUE"""),FALSE)</f>
        <v>0</v>
      </c>
      <c r="H115" s="11"/>
      <c r="I115" s="11">
        <f>IFERROR(__xludf.DUMMYFUNCTION("""COMPUTED_VALUE"""),6.0)</f>
        <v>6</v>
      </c>
      <c r="J115" s="11">
        <f>IFERROR(__xludf.DUMMYFUNCTION("""COMPUTED_VALUE"""),0.01)</f>
        <v>0.01</v>
      </c>
      <c r="K115" s="11">
        <f>IFERROR(__xludf.DUMMYFUNCTION("""COMPUTED_VALUE"""),0.83)</f>
        <v>0.83</v>
      </c>
    </row>
    <row r="116" ht="15.75" customHeight="1">
      <c r="A116" s="8" t="str">
        <f>IFERROR(__xludf.DUMMYFUNCTION("""COMPUTED_VALUE"""),"https://hikemytraffic.com/ai-social-media-marketing-agencies-in-germany/")</f>
        <v>https://hikemytraffic.com/ai-social-media-marketing-agencies-in-germany/</v>
      </c>
      <c r="B116" s="11" t="str">
        <f>IFERROR(__xludf.DUMMYFUNCTION("""COMPUTED_VALUE"""),"10 Best AI Social Media Marketing Agencies in Germany (2026)")</f>
        <v>10 Best AI Social Media Marketing Agencies in Germany (2026)</v>
      </c>
      <c r="C116" s="8" t="str">
        <f>IFERROR(__xludf.DUMMYFUNCTION("""COMPUTED_VALUE"""),"hikemytraffic.com")</f>
        <v>hikemytraffic.com</v>
      </c>
      <c r="D116" s="11" t="str">
        <f>IFERROR(__xludf.DUMMYFUNCTION("""COMPUTED_VALUE"""),"LISTICLE")</f>
        <v>LISTICLE</v>
      </c>
      <c r="E116" s="11" t="str">
        <f>IFERROR(__xludf.DUMMYFUNCTION("""COMPUTED_VALUE"""),"COMPETITOR")</f>
        <v>COMPETITOR</v>
      </c>
      <c r="F116" s="11" t="str">
        <f>IFERROR(__xludf.DUMMYFUNCTION("""COMPUTED_VALUE"""),"Listicle")</f>
        <v>Listicle</v>
      </c>
      <c r="G116" s="11" t="b">
        <f>IFERROR(__xludf.DUMMYFUNCTION("""COMPUTED_VALUE"""),FALSE)</f>
        <v>0</v>
      </c>
      <c r="H116" s="11" t="str">
        <f>IFERROR(__xludf.DUMMYFUNCTION("""COMPUTED_VALUE"""),"HikeMyTraffic")</f>
        <v>HikeMyTraffic</v>
      </c>
      <c r="I116" s="11">
        <f>IFERROR(__xludf.DUMMYFUNCTION("""COMPUTED_VALUE"""),6.0)</f>
        <v>6</v>
      </c>
      <c r="J116" s="11">
        <f>IFERROR(__xludf.DUMMYFUNCTION("""COMPUTED_VALUE"""),0.01)</f>
        <v>0.01</v>
      </c>
      <c r="K116" s="11">
        <f>IFERROR(__xludf.DUMMYFUNCTION("""COMPUTED_VALUE"""),2.33)</f>
        <v>2.33</v>
      </c>
    </row>
    <row r="117" ht="15.75" customHeight="1">
      <c r="A117" s="8" t="str">
        <f>IFERROR(__xludf.DUMMYFUNCTION("""COMPUTED_VALUE"""),"https://www.influencer-hero.com/jp/blogs/top-digital-marketing-agencies-in-germany")</f>
        <v>https://www.influencer-hero.com/jp/blogs/top-digital-marketing-agencies-in-germany</v>
      </c>
      <c r="B117" s="11" t="str">
        <f>IFERROR(__xludf.DUMMYFUNCTION("""COMPUTED_VALUE"""),"ドイツのトップ10デジタルマーケティング代理店")</f>
        <v>ドイツのトップ10デジタルマーケティング代理店</v>
      </c>
      <c r="C117" s="8" t="str">
        <f>IFERROR(__xludf.DUMMYFUNCTION("""COMPUTED_VALUE"""),"influencer-hero.com")</f>
        <v>influencer-hero.com</v>
      </c>
      <c r="D117" s="11" t="str">
        <f>IFERROR(__xludf.DUMMYFUNCTION("""COMPUTED_VALUE"""),"LISTICLE")</f>
        <v>LISTICLE</v>
      </c>
      <c r="E117" s="11" t="str">
        <f>IFERROR(__xludf.DUMMYFUNCTION("""COMPUTED_VALUE"""),"CORPORATE")</f>
        <v>CORPORATE</v>
      </c>
      <c r="F117" s="11" t="str">
        <f>IFERROR(__xludf.DUMMYFUNCTION("""COMPUTED_VALUE"""),"Listicle")</f>
        <v>Listicle</v>
      </c>
      <c r="G117" s="11" t="b">
        <f>IFERROR(__xludf.DUMMYFUNCTION("""COMPUTED_VALUE"""),FALSE)</f>
        <v>0</v>
      </c>
      <c r="H117" s="11" t="str">
        <f>IFERROR(__xludf.DUMMYFUNCTION("""COMPUTED_VALUE"""),"Serviceplan Group, Mawave, Globalist, McKinsey &amp; Company, Medialabel")</f>
        <v>Serviceplan Group, Mawave, Globalist, McKinsey &amp; Company, Medialabel</v>
      </c>
      <c r="I117" s="11">
        <f>IFERROR(__xludf.DUMMYFUNCTION("""COMPUTED_VALUE"""),6.0)</f>
        <v>6</v>
      </c>
      <c r="J117" s="11">
        <f>IFERROR(__xludf.DUMMYFUNCTION("""COMPUTED_VALUE"""),0.01)</f>
        <v>0.01</v>
      </c>
      <c r="K117" s="11">
        <f>IFERROR(__xludf.DUMMYFUNCTION("""COMPUTED_VALUE"""),0.0)</f>
        <v>0</v>
      </c>
    </row>
    <row r="118" ht="15.75" customHeight="1">
      <c r="A118" s="8" t="str">
        <f>IFERROR(__xludf.DUMMYFUNCTION("""COMPUTED_VALUE"""),"https://www.madx.digital/learn/geo-aeo-agencies")</f>
        <v>https://www.madx.digital/learn/geo-aeo-agencies</v>
      </c>
      <c r="B118" s="11" t="str">
        <f>IFERROR(__xludf.DUMMYFUNCTION("""COMPUTED_VALUE"""),"14 Great GEO &amp;amp; AEO Agencies in 2026 | MADX Digital")</f>
        <v>14 Great GEO &amp;amp; AEO Agencies in 2026 | MADX Digital</v>
      </c>
      <c r="C118" s="11" t="str">
        <f>IFERROR(__xludf.DUMMYFUNCTION("""COMPUTED_VALUE"""),"madx.digital")</f>
        <v>madx.digital</v>
      </c>
      <c r="D118" s="11" t="str">
        <f>IFERROR(__xludf.DUMMYFUNCTION("""COMPUTED_VALUE"""),"LISTICLE")</f>
        <v>LISTICLE</v>
      </c>
      <c r="E118" s="11" t="str">
        <f>IFERROR(__xludf.DUMMYFUNCTION("""COMPUTED_VALUE"""),"OTHER")</f>
        <v>OTHER</v>
      </c>
      <c r="F118" s="11" t="str">
        <f>IFERROR(__xludf.DUMMYFUNCTION("""COMPUTED_VALUE"""),"Listicle")</f>
        <v>Listicle</v>
      </c>
      <c r="G118" s="11" t="b">
        <f>IFERROR(__xludf.DUMMYFUNCTION("""COMPUTED_VALUE"""),FALSE)</f>
        <v>0</v>
      </c>
      <c r="H118" s="11" t="str">
        <f>IFERROR(__xludf.DUMMYFUNCTION("""COMPUTED_VALUE"""),"NoGood, iPullRank, Omnius, Siege Media, Single Grain")</f>
        <v>NoGood, iPullRank, Omnius, Siege Media, Single Grain</v>
      </c>
      <c r="I118" s="11">
        <f>IFERROR(__xludf.DUMMYFUNCTION("""COMPUTED_VALUE"""),6.0)</f>
        <v>6</v>
      </c>
      <c r="J118" s="11">
        <f>IFERROR(__xludf.DUMMYFUNCTION("""COMPUTED_VALUE"""),0.01)</f>
        <v>0.01</v>
      </c>
      <c r="K118" s="11">
        <f>IFERROR(__xludf.DUMMYFUNCTION("""COMPUTED_VALUE"""),0.33)</f>
        <v>0.33</v>
      </c>
    </row>
    <row r="119" ht="15.75" customHeight="1">
      <c r="A119" s="8" t="str">
        <f>IFERROR(__xludf.DUMMYFUNCTION("""COMPUTED_VALUE"""),"https://www.measured.com/faq/best-incrementality-testing-companies-software-for-marketing-2025/")</f>
        <v>https://www.measured.com/faq/best-incrementality-testing-companies-software-for-marketing-2025/</v>
      </c>
      <c r="B119" s="11" t="str">
        <f>IFERROR(__xludf.DUMMYFUNCTION("""COMPUTED_VALUE"""),"Best Incrementality Testing Companies &amp; Software for Marketing (2026)")</f>
        <v>Best Incrementality Testing Companies &amp; Software for Marketing (2026)</v>
      </c>
      <c r="C119" s="8" t="str">
        <f>IFERROR(__xludf.DUMMYFUNCTION("""COMPUTED_VALUE"""),"measured.com")</f>
        <v>measured.com</v>
      </c>
      <c r="D119" s="11" t="str">
        <f>IFERROR(__xludf.DUMMYFUNCTION("""COMPUTED_VALUE"""),"LISTICLE")</f>
        <v>LISTICLE</v>
      </c>
      <c r="E119" s="11" t="str">
        <f>IFERROR(__xludf.DUMMYFUNCTION("""COMPUTED_VALUE"""),"COMPETITOR")</f>
        <v>COMPETITOR</v>
      </c>
      <c r="F119" s="11" t="str">
        <f>IFERROR(__xludf.DUMMYFUNCTION("""COMPUTED_VALUE"""),"Listicle")</f>
        <v>Listicle</v>
      </c>
      <c r="G119" s="11" t="b">
        <f>IFERROR(__xludf.DUMMYFUNCTION("""COMPUTED_VALUE"""),FALSE)</f>
        <v>0</v>
      </c>
      <c r="H119" s="11" t="str">
        <f>IFERROR(__xludf.DUMMYFUNCTION("""COMPUTED_VALUE"""),"Measured, Neustar, Rockerbox, Haus, Recast, Analytic Partners")</f>
        <v>Measured, Neustar, Rockerbox, Haus, Recast, Analytic Partners</v>
      </c>
      <c r="I119" s="11">
        <f>IFERROR(__xludf.DUMMYFUNCTION("""COMPUTED_VALUE"""),6.0)</f>
        <v>6</v>
      </c>
      <c r="J119" s="11">
        <f>IFERROR(__xludf.DUMMYFUNCTION("""COMPUTED_VALUE"""),0.01)</f>
        <v>0.01</v>
      </c>
      <c r="K119" s="11">
        <f>IFERROR(__xludf.DUMMYFUNCTION("""COMPUTED_VALUE"""),2.0)</f>
        <v>2</v>
      </c>
    </row>
    <row r="120" ht="15.75" customHeight="1">
      <c r="A120" s="8" t="str">
        <f>IFERROR(__xludf.DUMMYFUNCTION("""COMPUTED_VALUE"""),"https://minuttia.com/best-geo-agencies/")</f>
        <v>https://minuttia.com/best-geo-agencies/</v>
      </c>
      <c r="B120" s="11" t="str">
        <f>IFERROR(__xludf.DUMMYFUNCTION("""COMPUTED_VALUE"""),"10 Best Generative Engine Optimization (GEO) Agencies 2026")</f>
        <v>10 Best Generative Engine Optimization (GEO) Agencies 2026</v>
      </c>
      <c r="C120" s="8" t="str">
        <f>IFERROR(__xludf.DUMMYFUNCTION("""COMPUTED_VALUE"""),"minuttia.com")</f>
        <v>minuttia.com</v>
      </c>
      <c r="D120" s="11" t="str">
        <f>IFERROR(__xludf.DUMMYFUNCTION("""COMPUTED_VALUE"""),"LISTICLE")</f>
        <v>LISTICLE</v>
      </c>
      <c r="E120" s="11" t="str">
        <f>IFERROR(__xludf.DUMMYFUNCTION("""COMPUTED_VALUE"""),"CORPORATE")</f>
        <v>CORPORATE</v>
      </c>
      <c r="F120" s="11" t="str">
        <f>IFERROR(__xludf.DUMMYFUNCTION("""COMPUTED_VALUE"""),"Listicle")</f>
        <v>Listicle</v>
      </c>
      <c r="G120" s="11" t="b">
        <f>IFERROR(__xludf.DUMMYFUNCTION("""COMPUTED_VALUE"""),FALSE)</f>
        <v>0</v>
      </c>
      <c r="H120" s="11" t="str">
        <f>IFERROR(__xludf.DUMMYFUNCTION("""COMPUTED_VALUE"""),"Seeders, Omnius, Huge, Measured")</f>
        <v>Seeders, Omnius, Huge, Measured</v>
      </c>
      <c r="I120" s="11">
        <f>IFERROR(__xludf.DUMMYFUNCTION("""COMPUTED_VALUE"""),6.0)</f>
        <v>6</v>
      </c>
      <c r="J120" s="11">
        <f>IFERROR(__xludf.DUMMYFUNCTION("""COMPUTED_VALUE"""),0.01)</f>
        <v>0.01</v>
      </c>
      <c r="K120" s="11">
        <f>IFERROR(__xludf.DUMMYFUNCTION("""COMPUTED_VALUE"""),1.5)</f>
        <v>1.5</v>
      </c>
    </row>
    <row r="121" ht="15.75" customHeight="1">
      <c r="A121" s="8" t="str">
        <f>IFERROR(__xludf.DUMMYFUNCTION("""COMPUTED_VALUE"""),"https://www.onetoone.de/performance-ranking/performance_2025.html")</f>
        <v>https://www.onetoone.de/performance-ranking/performance_2025.html</v>
      </c>
      <c r="B121" s="11" t="str">
        <f>IFERROR(__xludf.DUMMYFUNCTION("""COMPUTED_VALUE"""),"Performance-Agentur-Ranking")</f>
        <v>Performance-Agentur-Ranking</v>
      </c>
      <c r="C121" s="8" t="str">
        <f>IFERROR(__xludf.DUMMYFUNCTION("""COMPUTED_VALUE"""),"onetoone.de")</f>
        <v>onetoone.de</v>
      </c>
      <c r="D121" s="11" t="str">
        <f>IFERROR(__xludf.DUMMYFUNCTION("""COMPUTED_VALUE"""),"LISTICLE")</f>
        <v>LISTICLE</v>
      </c>
      <c r="E121" s="11" t="str">
        <f>IFERROR(__xludf.DUMMYFUNCTION("""COMPUTED_VALUE"""),"OTHER")</f>
        <v>OTHER</v>
      </c>
      <c r="F121" s="11" t="str">
        <f>IFERROR(__xludf.DUMMYFUNCTION("""COMPUTED_VALUE"""),"Listicle")</f>
        <v>Listicle</v>
      </c>
      <c r="G121" s="11" t="b">
        <f>IFERROR(__xludf.DUMMYFUNCTION("""COMPUTED_VALUE"""),FALSE)</f>
        <v>0</v>
      </c>
      <c r="H121" s="11" t="str">
        <f>IFERROR(__xludf.DUMMYFUNCTION("""COMPUTED_VALUE"""),"iProspect, Smarketer, e-dialog, morefire, Artefact, The Boutique Agency, 42DIGITAL, DREIKON, Aufgesang, eMinded GmbH")</f>
        <v>iProspect, Smarketer, e-dialog, morefire, Artefact, The Boutique Agency, 42DIGITAL, DREIKON, Aufgesang, eMinded GmbH</v>
      </c>
      <c r="I121" s="11">
        <f>IFERROR(__xludf.DUMMYFUNCTION("""COMPUTED_VALUE"""),6.0)</f>
        <v>6</v>
      </c>
      <c r="J121" s="11">
        <f>IFERROR(__xludf.DUMMYFUNCTION("""COMPUTED_VALUE"""),0.01)</f>
        <v>0.01</v>
      </c>
      <c r="K121" s="11">
        <f>IFERROR(__xludf.DUMMYFUNCTION("""COMPUTED_VALUE"""),0.0)</f>
        <v>0</v>
      </c>
    </row>
    <row r="122" ht="15.75" customHeight="1">
      <c r="A122" s="8" t="str">
        <f>IFERROR(__xludf.DUMMYFUNCTION("""COMPUTED_VALUE"""),"https://online-marketing-guy.com/en/global-german-digital-marketing-agencies/")</f>
        <v>https://online-marketing-guy.com/en/global-german-digital-marketing-agencies/</v>
      </c>
      <c r="B122" s="11" t="str">
        <f>IFERROR(__xludf.DUMMYFUNCTION("""COMPUTED_VALUE"""),"The 6 Most Global German Digital Marketing Agencies - Online Marketing Guy")</f>
        <v>The 6 Most Global German Digital Marketing Agencies - Online Marketing Guy</v>
      </c>
      <c r="C122" s="8" t="str">
        <f>IFERROR(__xludf.DUMMYFUNCTION("""COMPUTED_VALUE"""),"online-marketing-guy.com")</f>
        <v>online-marketing-guy.com</v>
      </c>
      <c r="D122" s="11" t="str">
        <f>IFERROR(__xludf.DUMMYFUNCTION("""COMPUTED_VALUE"""),"LISTICLE")</f>
        <v>LISTICLE</v>
      </c>
      <c r="E122" s="11" t="str">
        <f>IFERROR(__xludf.DUMMYFUNCTION("""COMPUTED_VALUE"""),"CORPORATE")</f>
        <v>CORPORATE</v>
      </c>
      <c r="F122" s="11" t="str">
        <f>IFERROR(__xludf.DUMMYFUNCTION("""COMPUTED_VALUE"""),"Listicle")</f>
        <v>Listicle</v>
      </c>
      <c r="G122" s="11" t="b">
        <f>IFERROR(__xludf.DUMMYFUNCTION("""COMPUTED_VALUE"""),FALSE)</f>
        <v>0</v>
      </c>
      <c r="H122" s="11" t="str">
        <f>IFERROR(__xludf.DUMMYFUNCTION("""COMPUTED_VALUE"""),"Jung von Matt, Dentsu, Scholz &amp; Friends, Omnicom")</f>
        <v>Jung von Matt, Dentsu, Scholz &amp; Friends, Omnicom</v>
      </c>
      <c r="I122" s="11">
        <f>IFERROR(__xludf.DUMMYFUNCTION("""COMPUTED_VALUE"""),6.0)</f>
        <v>6</v>
      </c>
      <c r="J122" s="11">
        <f>IFERROR(__xludf.DUMMYFUNCTION("""COMPUTED_VALUE"""),0.01)</f>
        <v>0.01</v>
      </c>
      <c r="K122" s="11">
        <f>IFERROR(__xludf.DUMMYFUNCTION("""COMPUTED_VALUE"""),1.0)</f>
        <v>1</v>
      </c>
    </row>
    <row r="123" ht="15.75" customHeight="1">
      <c r="A123" s="8" t="str">
        <f>IFERROR(__xludf.DUMMYFUNCTION("""COMPUTED_VALUE"""),"https://www.absatzwirtschaft.de/bvdw-kreativranking-2025-serviceplan-dominiert-die-deutsche-digitalkreation-mit-grossem-abstand-280339/")</f>
        <v>https://www.absatzwirtschaft.de/bvdw-kreativranking-2025-serviceplan-dominiert-die-deutsche-digitalkreation-mit-grossem-abstand-280339/</v>
      </c>
      <c r="B123" s="11" t="str">
        <f>IFERROR(__xludf.DUMMYFUNCTION("""COMPUTED_VALUE"""),"BVDW-Kreativranking 2025: Serviceplan dominiert Digitalkreation - absatzwirtschaft")</f>
        <v>BVDW-Kreativranking 2025: Serviceplan dominiert Digitalkreation - absatzwirtschaft</v>
      </c>
      <c r="C123" s="8" t="str">
        <f>IFERROR(__xludf.DUMMYFUNCTION("""COMPUTED_VALUE"""),"absatzwirtschaft.de")</f>
        <v>absatzwirtschaft.de</v>
      </c>
      <c r="D123" s="11" t="str">
        <f>IFERROR(__xludf.DUMMYFUNCTION("""COMPUTED_VALUE"""),"LISTICLE")</f>
        <v>LISTICLE</v>
      </c>
      <c r="E123" s="11" t="str">
        <f>IFERROR(__xludf.DUMMYFUNCTION("""COMPUTED_VALUE"""),"EDITORIAL")</f>
        <v>EDITORIAL</v>
      </c>
      <c r="F123" s="11" t="str">
        <f>IFERROR(__xludf.DUMMYFUNCTION("""COMPUTED_VALUE"""),"Listicle")</f>
        <v>Listicle</v>
      </c>
      <c r="G123" s="11" t="b">
        <f>IFERROR(__xludf.DUMMYFUNCTION("""COMPUTED_VALUE"""),FALSE)</f>
        <v>0</v>
      </c>
      <c r="H123" s="11" t="str">
        <f>IFERROR(__xludf.DUMMYFUNCTION("""COMPUTED_VALUE"""),"Publicis Groupe, Accenture Song, Ogilvy, Scholz &amp; Friends, OMD, AKQA, Serviceplan Group, Dentsu")</f>
        <v>Publicis Groupe, Accenture Song, Ogilvy, Scholz &amp; Friends, OMD, AKQA, Serviceplan Group, Dentsu</v>
      </c>
      <c r="I123" s="11">
        <f>IFERROR(__xludf.DUMMYFUNCTION("""COMPUTED_VALUE"""),5.0)</f>
        <v>5</v>
      </c>
      <c r="J123" s="11">
        <f>IFERROR(__xludf.DUMMYFUNCTION("""COMPUTED_VALUE"""),0.01)</f>
        <v>0.01</v>
      </c>
      <c r="K123" s="11">
        <f>IFERROR(__xludf.DUMMYFUNCTION("""COMPUTED_VALUE"""),0.0)</f>
        <v>0</v>
      </c>
    </row>
    <row r="124" ht="15.75" customHeight="1">
      <c r="A124" s="8" t="str">
        <f>IFERROR(__xludf.DUMMYFUNCTION("""COMPUTED_VALUE"""),"https://blog.applabx.com/top-10-best-digital-marketing-agencies-in-germany-in-2026/")</f>
        <v>https://blog.applabx.com/top-10-best-digital-marketing-agencies-in-germany-in-2026/</v>
      </c>
      <c r="B124" s="11" t="str">
        <f>IFERROR(__xludf.DUMMYFUNCTION("""COMPUTED_VALUE"""),"Top 10 Best Digital Marketing Agencies in Germany in 2026")</f>
        <v>Top 10 Best Digital Marketing Agencies in Germany in 2026</v>
      </c>
      <c r="C124" s="8" t="str">
        <f>IFERROR(__xludf.DUMMYFUNCTION("""COMPUTED_VALUE"""),"applabx.com")</f>
        <v>applabx.com</v>
      </c>
      <c r="D124" s="11" t="str">
        <f>IFERROR(__xludf.DUMMYFUNCTION("""COMPUTED_VALUE"""),"LISTICLE")</f>
        <v>LISTICLE</v>
      </c>
      <c r="E124" s="11" t="str">
        <f>IFERROR(__xludf.DUMMYFUNCTION("""COMPUTED_VALUE"""),"UGC")</f>
        <v>UGC</v>
      </c>
      <c r="F124" s="11" t="str">
        <f>IFERROR(__xludf.DUMMYFUNCTION("""COMPUTED_VALUE"""),"Listicle")</f>
        <v>Listicle</v>
      </c>
      <c r="G124" s="11" t="b">
        <f>IFERROR(__xludf.DUMMYFUNCTION("""COMPUTED_VALUE"""),FALSE)</f>
        <v>0</v>
      </c>
      <c r="H124" s="11" t="str">
        <f>IFERROR(__xludf.DUMMYFUNCTION("""COMPUTED_VALUE"""),"Serviceplan Group, MONSOON, Mediacharge, Claneo, HECHT INS GEFECHT, Digital Masters GmbH, Measured")</f>
        <v>Serviceplan Group, MONSOON, Mediacharge, Claneo, HECHT INS GEFECHT, Digital Masters GmbH, Measured</v>
      </c>
      <c r="I124" s="11">
        <f>IFERROR(__xludf.DUMMYFUNCTION("""COMPUTED_VALUE"""),5.0)</f>
        <v>5</v>
      </c>
      <c r="J124" s="11">
        <f>IFERROR(__xludf.DUMMYFUNCTION("""COMPUTED_VALUE"""),0.01)</f>
        <v>0.01</v>
      </c>
      <c r="K124" s="11">
        <f>IFERROR(__xludf.DUMMYFUNCTION("""COMPUTED_VALUE"""),1.8)</f>
        <v>1.8</v>
      </c>
    </row>
    <row r="125" ht="15.75" customHeight="1">
      <c r="A125" s="8" t="str">
        <f>IFERROR(__xludf.DUMMYFUNCTION("""COMPUTED_VALUE"""),"https://www.bvdw.org/news-und-publikationen/bvdw-kreativranking-2025/")</f>
        <v>https://www.bvdw.org/news-und-publikationen/bvdw-kreativranking-2025/</v>
      </c>
      <c r="B125" s="11" t="str">
        <f>IFERROR(__xludf.DUMMYFUNCTION("""COMPUTED_VALUE"""),"BVDW Kreativranking 2025: Serviceplan bleibt Spitzenreiter")</f>
        <v>BVDW Kreativranking 2025: Serviceplan bleibt Spitzenreiter</v>
      </c>
      <c r="C125" s="8" t="str">
        <f>IFERROR(__xludf.DUMMYFUNCTION("""COMPUTED_VALUE"""),"bvdw.org")</f>
        <v>bvdw.org</v>
      </c>
      <c r="D125" s="11" t="str">
        <f>IFERROR(__xludf.DUMMYFUNCTION("""COMPUTED_VALUE"""),"LISTICLE")</f>
        <v>LISTICLE</v>
      </c>
      <c r="E125" s="11" t="str">
        <f>IFERROR(__xludf.DUMMYFUNCTION("""COMPUTED_VALUE"""),"INSTITUTIONAL")</f>
        <v>INSTITUTIONAL</v>
      </c>
      <c r="F125" s="11" t="str">
        <f>IFERROR(__xludf.DUMMYFUNCTION("""COMPUTED_VALUE"""),"Listicle")</f>
        <v>Listicle</v>
      </c>
      <c r="G125" s="11" t="b">
        <f>IFERROR(__xludf.DUMMYFUNCTION("""COMPUTED_VALUE"""),FALSE)</f>
        <v>0</v>
      </c>
      <c r="H125" s="11" t="str">
        <f>IFERROR(__xludf.DUMMYFUNCTION("""COMPUTED_VALUE"""),"Ogilvy, Scholz &amp; Friends")</f>
        <v>Ogilvy, Scholz &amp; Friends</v>
      </c>
      <c r="I125" s="11">
        <f>IFERROR(__xludf.DUMMYFUNCTION("""COMPUTED_VALUE"""),5.0)</f>
        <v>5</v>
      </c>
      <c r="J125" s="11">
        <f>IFERROR(__xludf.DUMMYFUNCTION("""COMPUTED_VALUE"""),0.01)</f>
        <v>0.01</v>
      </c>
      <c r="K125" s="11">
        <f>IFERROR(__xludf.DUMMYFUNCTION("""COMPUTED_VALUE"""),0.0)</f>
        <v>0</v>
      </c>
    </row>
    <row r="126" ht="15.75" customHeight="1">
      <c r="A126" s="8" t="str">
        <f>IFERROR(__xludf.DUMMYFUNCTION("""COMPUTED_VALUE"""),"https://campaigngermany.de/news/beitrag/2502-bvdw-ranking-2025-das-sind-die-kreativsten-digitalagenturen-deutschlands.html")</f>
        <v>https://campaigngermany.de/news/beitrag/2502-bvdw-ranking-2025-das-sind-die-kreativsten-digitalagenturen-deutschlands.html</v>
      </c>
      <c r="B126" s="11" t="str">
        <f>IFERROR(__xludf.DUMMYFUNCTION("""COMPUTED_VALUE"""),"BVDW-Ranking 2025: Das sind die kreativsten Digitalagenturen Deutschlands")</f>
        <v>BVDW-Ranking 2025: Das sind die kreativsten Digitalagenturen Deutschlands</v>
      </c>
      <c r="C126" s="8" t="str">
        <f>IFERROR(__xludf.DUMMYFUNCTION("""COMPUTED_VALUE"""),"campaigngermany.de")</f>
        <v>campaigngermany.de</v>
      </c>
      <c r="D126" s="11" t="str">
        <f>IFERROR(__xludf.DUMMYFUNCTION("""COMPUTED_VALUE"""),"LISTICLE")</f>
        <v>LISTICLE</v>
      </c>
      <c r="E126" s="11" t="str">
        <f>IFERROR(__xludf.DUMMYFUNCTION("""COMPUTED_VALUE"""),"EDITORIAL")</f>
        <v>EDITORIAL</v>
      </c>
      <c r="F126" s="11" t="str">
        <f>IFERROR(__xludf.DUMMYFUNCTION("""COMPUTED_VALUE"""),"Listicle")</f>
        <v>Listicle</v>
      </c>
      <c r="G126" s="11" t="b">
        <f>IFERROR(__xludf.DUMMYFUNCTION("""COMPUTED_VALUE"""),FALSE)</f>
        <v>0</v>
      </c>
      <c r="H126" s="11" t="str">
        <f>IFERROR(__xludf.DUMMYFUNCTION("""COMPUTED_VALUE"""),"Serviceplan Group, Accenture Song, Jung von Matt, Ogilvy")</f>
        <v>Serviceplan Group, Accenture Song, Jung von Matt, Ogilvy</v>
      </c>
      <c r="I126" s="11">
        <f>IFERROR(__xludf.DUMMYFUNCTION("""COMPUTED_VALUE"""),5.0)</f>
        <v>5</v>
      </c>
      <c r="J126" s="11">
        <f>IFERROR(__xludf.DUMMYFUNCTION("""COMPUTED_VALUE"""),0.01)</f>
        <v>0.01</v>
      </c>
      <c r="K126" s="11">
        <f>IFERROR(__xludf.DUMMYFUNCTION("""COMPUTED_VALUE"""),0.4)</f>
        <v>0.4</v>
      </c>
    </row>
    <row r="127" ht="15.75" customHeight="1">
      <c r="A127" s="8" t="str">
        <f>IFERROR(__xludf.DUMMYFUNCTION("""COMPUTED_VALUE"""),"https://firstpagesage.com/seo-blog/the-top-answer-engine-optimization-aeo-companies/")</f>
        <v>https://firstpagesage.com/seo-blog/the-top-answer-engine-optimization-aeo-companies/</v>
      </c>
      <c r="B127" s="11" t="str">
        <f>IFERROR(__xludf.DUMMYFUNCTION("""COMPUTED_VALUE"""),"The Top Answer Engine Optimization (AEO) Companies of 2026 – First Page Sage")</f>
        <v>The Top Answer Engine Optimization (AEO) Companies of 2026 – First Page Sage</v>
      </c>
      <c r="C127" s="8" t="str">
        <f>IFERROR(__xludf.DUMMYFUNCTION("""COMPUTED_VALUE"""),"firstpagesage.com")</f>
        <v>firstpagesage.com</v>
      </c>
      <c r="D127" s="11" t="str">
        <f>IFERROR(__xludf.DUMMYFUNCTION("""COMPUTED_VALUE"""),"LISTICLE")</f>
        <v>LISTICLE</v>
      </c>
      <c r="E127" s="11" t="str">
        <f>IFERROR(__xludf.DUMMYFUNCTION("""COMPUTED_VALUE"""),"CORPORATE")</f>
        <v>CORPORATE</v>
      </c>
      <c r="F127" s="11" t="str">
        <f>IFERROR(__xludf.DUMMYFUNCTION("""COMPUTED_VALUE"""),"Listicle")</f>
        <v>Listicle</v>
      </c>
      <c r="G127" s="11" t="b">
        <f>IFERROR(__xludf.DUMMYFUNCTION("""COMPUTED_VALUE"""),FALSE)</f>
        <v>0</v>
      </c>
      <c r="H127" s="11" t="str">
        <f>IFERROR(__xludf.DUMMYFUNCTION("""COMPUTED_VALUE"""),"iPullRank, Omniscient Digital")</f>
        <v>iPullRank, Omniscient Digital</v>
      </c>
      <c r="I127" s="11">
        <f>IFERROR(__xludf.DUMMYFUNCTION("""COMPUTED_VALUE"""),5.0)</f>
        <v>5</v>
      </c>
      <c r="J127" s="11">
        <f>IFERROR(__xludf.DUMMYFUNCTION("""COMPUTED_VALUE"""),0.01)</f>
        <v>0.01</v>
      </c>
      <c r="K127" s="11">
        <f>IFERROR(__xludf.DUMMYFUNCTION("""COMPUTED_VALUE"""),0.0)</f>
        <v>0</v>
      </c>
    </row>
    <row r="128" ht="15.75" customHeight="1">
      <c r="A128" s="8" t="str">
        <f>IFERROR(__xludf.DUMMYFUNCTION("""COMPUTED_VALUE"""),"https://www.onlinemarketingagenturde.de/beste-performance-marketing-agenturen-in-deutschland/")</f>
        <v>https://www.onlinemarketingagenturde.de/beste-performance-marketing-agenturen-in-deutschland/</v>
      </c>
      <c r="B128" s="11" t="str">
        <f>IFERROR(__xludf.DUMMYFUNCTION("""COMPUTED_VALUE"""),"Beste Performance-Marketing-Agenturen in Deutschland 2026")</f>
        <v>Beste Performance-Marketing-Agenturen in Deutschland 2026</v>
      </c>
      <c r="C128" s="8" t="str">
        <f>IFERROR(__xludf.DUMMYFUNCTION("""COMPUTED_VALUE"""),"onlinemarketingagenturde.de")</f>
        <v>onlinemarketingagenturde.de</v>
      </c>
      <c r="D128" s="11" t="str">
        <f>IFERROR(__xludf.DUMMYFUNCTION("""COMPUTED_VALUE"""),"LISTICLE")</f>
        <v>LISTICLE</v>
      </c>
      <c r="E128" s="11" t="str">
        <f>IFERROR(__xludf.DUMMYFUNCTION("""COMPUTED_VALUE"""),"CORPORATE")</f>
        <v>CORPORATE</v>
      </c>
      <c r="F128" s="11" t="str">
        <f>IFERROR(__xludf.DUMMYFUNCTION("""COMPUTED_VALUE"""),"Listicle")</f>
        <v>Listicle</v>
      </c>
      <c r="G128" s="11" t="b">
        <f>IFERROR(__xludf.DUMMYFUNCTION("""COMPUTED_VALUE"""),FALSE)</f>
        <v>0</v>
      </c>
      <c r="H128" s="11" t="str">
        <f>IFERROR(__xludf.DUMMYFUNCTION("""COMPUTED_VALUE"""),"DEPT, Bloofusion Germany GmbH, Pilot")</f>
        <v>DEPT, Bloofusion Germany GmbH, Pilot</v>
      </c>
      <c r="I128" s="11">
        <f>IFERROR(__xludf.DUMMYFUNCTION("""COMPUTED_VALUE"""),5.0)</f>
        <v>5</v>
      </c>
      <c r="J128" s="11">
        <f>IFERROR(__xludf.DUMMYFUNCTION("""COMPUTED_VALUE"""),0.01)</f>
        <v>0.01</v>
      </c>
      <c r="K128" s="11">
        <f>IFERROR(__xludf.DUMMYFUNCTION("""COMPUTED_VALUE"""),0.0)</f>
        <v>0</v>
      </c>
    </row>
    <row r="129" ht="15.75" customHeight="1">
      <c r="A129" s="8" t="str">
        <f>IFERROR(__xludf.DUMMYFUNCTION("""COMPUTED_VALUE"""),"https://www.phable.io/top-creative-agencies/ty64guv22ftctcjddgh9avb7ywb85q")</f>
        <v>https://www.phable.io/top-creative-agencies/ty64guv22ftctcjddgh9avb7ywb85q</v>
      </c>
      <c r="B129" s="11" t="str">
        <f>IFERROR(__xludf.DUMMYFUNCTION("""COMPUTED_VALUE"""),"Top Creative Agencies in Europe | Leaders in Branding, Content Creation &amp;amp; Digital Innovation — Branding And Content Marketing For Technology")</f>
        <v>Top Creative Agencies in Europe | Leaders in Branding, Content Creation &amp;amp; Digital Innovation — Branding And Content Marketing For Technology</v>
      </c>
      <c r="C129" s="8" t="str">
        <f>IFERROR(__xludf.DUMMYFUNCTION("""COMPUTED_VALUE"""),"phable.io")</f>
        <v>phable.io</v>
      </c>
      <c r="D129" s="11" t="str">
        <f>IFERROR(__xludf.DUMMYFUNCTION("""COMPUTED_VALUE"""),"LISTICLE")</f>
        <v>LISTICLE</v>
      </c>
      <c r="E129" s="11" t="str">
        <f>IFERROR(__xludf.DUMMYFUNCTION("""COMPUTED_VALUE"""),"CORPORATE")</f>
        <v>CORPORATE</v>
      </c>
      <c r="F129" s="11" t="str">
        <f>IFERROR(__xludf.DUMMYFUNCTION("""COMPUTED_VALUE"""),"Listicle")</f>
        <v>Listicle</v>
      </c>
      <c r="G129" s="11" t="b">
        <f>IFERROR(__xludf.DUMMYFUNCTION("""COMPUTED_VALUE"""),FALSE)</f>
        <v>0</v>
      </c>
      <c r="H129" s="11" t="str">
        <f>IFERROR(__xludf.DUMMYFUNCTION("""COMPUTED_VALUE"""),"AKQA, Serviceplan Group, R/GA")</f>
        <v>AKQA, Serviceplan Group, R/GA</v>
      </c>
      <c r="I129" s="11">
        <f>IFERROR(__xludf.DUMMYFUNCTION("""COMPUTED_VALUE"""),5.0)</f>
        <v>5</v>
      </c>
      <c r="J129" s="11">
        <f>IFERROR(__xludf.DUMMYFUNCTION("""COMPUTED_VALUE"""),0.01)</f>
        <v>0.01</v>
      </c>
      <c r="K129" s="11">
        <f>IFERROR(__xludf.DUMMYFUNCTION("""COMPUTED_VALUE"""),0.8)</f>
        <v>0.8</v>
      </c>
    </row>
    <row r="130" ht="15.75" customHeight="1">
      <c r="A130" s="8" t="str">
        <f>IFERROR(__xludf.DUMMYFUNCTION("""COMPUTED_VALUE"""),"https://segmentstream.com/blog/articles/top-enterprise-marketing-analytics-and-attribution-platforms")</f>
        <v>https://segmentstream.com/blog/articles/top-enterprise-marketing-analytics-and-attribution-platforms</v>
      </c>
      <c r="B130" s="11" t="str">
        <f>IFERROR(__xludf.DUMMYFUNCTION("""COMPUTED_VALUE"""),"10 Best Enterprise Marketing Analytics &amp;amp; Attribution Platforms in 2026 — SegmentStream")</f>
        <v>10 Best Enterprise Marketing Analytics &amp;amp; Attribution Platforms in 2026 — SegmentStream</v>
      </c>
      <c r="C130" s="8" t="str">
        <f>IFERROR(__xludf.DUMMYFUNCTION("""COMPUTED_VALUE"""),"segmentstream.com")</f>
        <v>segmentstream.com</v>
      </c>
      <c r="D130" s="11" t="str">
        <f>IFERROR(__xludf.DUMMYFUNCTION("""COMPUTED_VALUE"""),"LISTICLE")</f>
        <v>LISTICLE</v>
      </c>
      <c r="E130" s="11" t="str">
        <f>IFERROR(__xludf.DUMMYFUNCTION("""COMPUTED_VALUE"""),"COMPETITOR")</f>
        <v>COMPETITOR</v>
      </c>
      <c r="F130" s="11" t="str">
        <f>IFERROR(__xludf.DUMMYFUNCTION("""COMPUTED_VALUE"""),"Listicle")</f>
        <v>Listicle</v>
      </c>
      <c r="G130" s="11" t="b">
        <f>IFERROR(__xludf.DUMMYFUNCTION("""COMPUTED_VALUE"""),FALSE)</f>
        <v>0</v>
      </c>
      <c r="H130" s="11" t="str">
        <f>IFERROR(__xludf.DUMMYFUNCTION("""COMPUTED_VALUE"""),"SegmentStream, Measured, Rockerbox, LifeSight")</f>
        <v>SegmentStream, Measured, Rockerbox, LifeSight</v>
      </c>
      <c r="I130" s="11">
        <f>IFERROR(__xludf.DUMMYFUNCTION("""COMPUTED_VALUE"""),5.0)</f>
        <v>5</v>
      </c>
      <c r="J130" s="11">
        <f>IFERROR(__xludf.DUMMYFUNCTION("""COMPUTED_VALUE"""),0.01)</f>
        <v>0.01</v>
      </c>
      <c r="K130" s="11">
        <f>IFERROR(__xludf.DUMMYFUNCTION("""COMPUTED_VALUE"""),0.2)</f>
        <v>0.2</v>
      </c>
    </row>
    <row r="131" ht="15.75" customHeight="1">
      <c r="A131" s="8" t="str">
        <f>IFERROR(__xludf.DUMMYFUNCTION("""COMPUTED_VALUE"""),"https://thebestagency.de/the-best-agency-ranking/")</f>
        <v>https://thebestagency.de/the-best-agency-ranking/</v>
      </c>
      <c r="B131" s="11" t="str">
        <f>IFERROR(__xludf.DUMMYFUNCTION("""COMPUTED_VALUE"""),"THE BEST AGENCY Ranking - ein Überblick")</f>
        <v>THE BEST AGENCY Ranking - ein Überblick</v>
      </c>
      <c r="C131" s="8" t="str">
        <f>IFERROR(__xludf.DUMMYFUNCTION("""COMPUTED_VALUE"""),"thebestagency.de")</f>
        <v>thebestagency.de</v>
      </c>
      <c r="D131" s="11" t="str">
        <f>IFERROR(__xludf.DUMMYFUNCTION("""COMPUTED_VALUE"""),"LISTICLE")</f>
        <v>LISTICLE</v>
      </c>
      <c r="E131" s="11" t="str">
        <f>IFERROR(__xludf.DUMMYFUNCTION("""COMPUTED_VALUE"""),"CORPORATE")</f>
        <v>CORPORATE</v>
      </c>
      <c r="F131" s="11" t="str">
        <f>IFERROR(__xludf.DUMMYFUNCTION("""COMPUTED_VALUE"""),"Listicle")</f>
        <v>Listicle</v>
      </c>
      <c r="G131" s="11" t="b">
        <f>IFERROR(__xludf.DUMMYFUNCTION("""COMPUTED_VALUE"""),FALSE)</f>
        <v>0</v>
      </c>
      <c r="H131" s="11" t="str">
        <f>IFERROR(__xludf.DUMMYFUNCTION("""COMPUTED_VALUE"""),"Publicis Groupe, Publicis Media, Ogilvy, Accenture Song, Scholz &amp; Friends, Omnicom, Omnicom Media Group, Jung von Matt, Havas Media, Mawave, Aufgesang, Mindshare, Serviceplan Group")</f>
        <v>Publicis Groupe, Publicis Media, Ogilvy, Accenture Song, Scholz &amp; Friends, Omnicom, Omnicom Media Group, Jung von Matt, Havas Media, Mawave, Aufgesang, Mindshare, Serviceplan Group</v>
      </c>
      <c r="I131" s="11">
        <f>IFERROR(__xludf.DUMMYFUNCTION("""COMPUTED_VALUE"""),5.0)</f>
        <v>5</v>
      </c>
      <c r="J131" s="11">
        <f>IFERROR(__xludf.DUMMYFUNCTION("""COMPUTED_VALUE"""),0.01)</f>
        <v>0.01</v>
      </c>
      <c r="K131" s="11">
        <f>IFERROR(__xludf.DUMMYFUNCTION("""COMPUTED_VALUE"""),0.6)</f>
        <v>0.6</v>
      </c>
    </row>
    <row r="132" ht="15.75" customHeight="1">
      <c r="A132" s="8" t="str">
        <f>IFERROR(__xludf.DUMMYFUNCTION("""COMPUTED_VALUE"""),"https://www.answermaniac.ai/best-geo-agencies")</f>
        <v>https://www.answermaniac.ai/best-geo-agencies</v>
      </c>
      <c r="B132" s="11" t="str">
        <f>IFERROR(__xludf.DUMMYFUNCTION("""COMPUTED_VALUE"""),"11 Best Generative Engine Optimization (GEO) Agencies [2026] | AnswerManiac")</f>
        <v>11 Best Generative Engine Optimization (GEO) Agencies [2026] | AnswerManiac</v>
      </c>
      <c r="C132" s="8" t="str">
        <f>IFERROR(__xludf.DUMMYFUNCTION("""COMPUTED_VALUE"""),"answermaniac.ai")</f>
        <v>answermaniac.ai</v>
      </c>
      <c r="D132" s="11" t="str">
        <f>IFERROR(__xludf.DUMMYFUNCTION("""COMPUTED_VALUE"""),"LISTICLE")</f>
        <v>LISTICLE</v>
      </c>
      <c r="E132" s="11" t="str">
        <f>IFERROR(__xludf.DUMMYFUNCTION("""COMPUTED_VALUE"""),"CORPORATE")</f>
        <v>CORPORATE</v>
      </c>
      <c r="F132" s="11" t="str">
        <f>IFERROR(__xludf.DUMMYFUNCTION("""COMPUTED_VALUE"""),"Listicle")</f>
        <v>Listicle</v>
      </c>
      <c r="G132" s="11" t="b">
        <f>IFERROR(__xludf.DUMMYFUNCTION("""COMPUTED_VALUE"""),FALSE)</f>
        <v>0</v>
      </c>
      <c r="H132" s="11" t="str">
        <f>IFERROR(__xludf.DUMMYFUNCTION("""COMPUTED_VALUE"""),"Omnius, Seeders, Measured")</f>
        <v>Omnius, Seeders, Measured</v>
      </c>
      <c r="I132" s="11">
        <f>IFERROR(__xludf.DUMMYFUNCTION("""COMPUTED_VALUE"""),4.0)</f>
        <v>4</v>
      </c>
      <c r="J132" s="11">
        <f>IFERROR(__xludf.DUMMYFUNCTION("""COMPUTED_VALUE"""),0.0)</f>
        <v>0</v>
      </c>
      <c r="K132" s="11">
        <f>IFERROR(__xludf.DUMMYFUNCTION("""COMPUTED_VALUE"""),1.25)</f>
        <v>1.25</v>
      </c>
    </row>
    <row r="133" ht="15.75" customHeight="1">
      <c r="A133" s="8" t="str">
        <f>IFERROR(__xludf.DUMMYFUNCTION("""COMPUTED_VALUE"""),"https://www.contextstudios.ai/blog/best-ai-agencies-berlin-2026-the-ultimate-comparison")</f>
        <v>https://www.contextstudios.ai/blog/best-ai-agencies-berlin-2026-the-ultimate-comparison</v>
      </c>
      <c r="B133" s="11" t="str">
        <f>IFERROR(__xludf.DUMMYFUNCTION("""COMPUTED_VALUE"""),"Best AI Agencies Berlin 2026: The Ultimate Comparison | Context Studios Blog")</f>
        <v>Best AI Agencies Berlin 2026: The Ultimate Comparison | Context Studios Blog</v>
      </c>
      <c r="C133" s="8" t="str">
        <f>IFERROR(__xludf.DUMMYFUNCTION("""COMPUTED_VALUE"""),"contextstudios.ai")</f>
        <v>contextstudios.ai</v>
      </c>
      <c r="D133" s="11" t="str">
        <f>IFERROR(__xludf.DUMMYFUNCTION("""COMPUTED_VALUE"""),"LISTICLE")</f>
        <v>LISTICLE</v>
      </c>
      <c r="E133" s="11" t="str">
        <f>IFERROR(__xludf.DUMMYFUNCTION("""COMPUTED_VALUE"""),"CORPORATE")</f>
        <v>CORPORATE</v>
      </c>
      <c r="F133" s="11" t="str">
        <f>IFERROR(__xludf.DUMMYFUNCTION("""COMPUTED_VALUE"""),"Listicle")</f>
        <v>Listicle</v>
      </c>
      <c r="G133" s="11" t="b">
        <f>IFERROR(__xludf.DUMMYFUNCTION("""COMPUTED_VALUE"""),FALSE)</f>
        <v>0</v>
      </c>
      <c r="H133" s="11" t="str">
        <f>IFERROR(__xludf.DUMMYFUNCTION("""COMPUTED_VALUE"""),"Momentum, Suchhelden, b.telligent, Peak Ace, Xmethod")</f>
        <v>Momentum, Suchhelden, b.telligent, Peak Ace, Xmethod</v>
      </c>
      <c r="I133" s="11">
        <f>IFERROR(__xludf.DUMMYFUNCTION("""COMPUTED_VALUE"""),4.0)</f>
        <v>4</v>
      </c>
      <c r="J133" s="11">
        <f>IFERROR(__xludf.DUMMYFUNCTION("""COMPUTED_VALUE"""),0.0)</f>
        <v>0</v>
      </c>
      <c r="K133" s="11">
        <f>IFERROR(__xludf.DUMMYFUNCTION("""COMPUTED_VALUE"""),1.25)</f>
        <v>1.25</v>
      </c>
    </row>
    <row r="134" ht="15.75" customHeight="1">
      <c r="A134" s="8" t="str">
        <f>IFERROR(__xludf.DUMMYFUNCTION("""COMPUTED_VALUE"""),"https://csw.agency/en/the-best-geo-agencies-duesseldorf/")</f>
        <v>https://csw.agency/en/the-best-geo-agencies-duesseldorf/</v>
      </c>
      <c r="B134" s="11" t="str">
        <f>IFERROR(__xludf.DUMMYFUNCTION("""COMPUTED_VALUE"""),"The ten best GEO agencies in Düsseldorf » CSW.AGENCY")</f>
        <v>The ten best GEO agencies in Düsseldorf » CSW.AGENCY</v>
      </c>
      <c r="C134" s="11" t="str">
        <f>IFERROR(__xludf.DUMMYFUNCTION("""COMPUTED_VALUE"""),"csw.agency")</f>
        <v>csw.agency</v>
      </c>
      <c r="D134" s="11" t="str">
        <f>IFERROR(__xludf.DUMMYFUNCTION("""COMPUTED_VALUE"""),"LISTICLE")</f>
        <v>LISTICLE</v>
      </c>
      <c r="E134" s="11" t="str">
        <f>IFERROR(__xludf.DUMMYFUNCTION("""COMPUTED_VALUE"""),"CORPORATE")</f>
        <v>CORPORATE</v>
      </c>
      <c r="F134" s="11" t="str">
        <f>IFERROR(__xludf.DUMMYFUNCTION("""COMPUTED_VALUE"""),"Listicle")</f>
        <v>Listicle</v>
      </c>
      <c r="G134" s="11" t="b">
        <f>IFERROR(__xludf.DUMMYFUNCTION("""COMPUTED_VALUE"""),FALSE)</f>
        <v>0</v>
      </c>
      <c r="H134" s="11" t="str">
        <f>IFERROR(__xludf.DUMMYFUNCTION("""COMPUTED_VALUE"""),"Seeders, Baseplus DIGITAL MEDIA GmbH")</f>
        <v>Seeders, Baseplus DIGITAL MEDIA GmbH</v>
      </c>
      <c r="I134" s="11">
        <f>IFERROR(__xludf.DUMMYFUNCTION("""COMPUTED_VALUE"""),4.0)</f>
        <v>4</v>
      </c>
      <c r="J134" s="11">
        <f>IFERROR(__xludf.DUMMYFUNCTION("""COMPUTED_VALUE"""),0.0)</f>
        <v>0</v>
      </c>
      <c r="K134" s="11">
        <f>IFERROR(__xludf.DUMMYFUNCTION("""COMPUTED_VALUE"""),1.25)</f>
        <v>1.25</v>
      </c>
    </row>
    <row r="135" ht="15.75" customHeight="1">
      <c r="A135" s="8" t="str">
        <f>IFERROR(__xludf.DUMMYFUNCTION("""COMPUTED_VALUE"""),"https://de.statista.com/statistik/daten/studie/168621/umfrage/top-30-kommunikationsagenturen-in-deutschland/")</f>
        <v>https://de.statista.com/statistik/daten/studie/168621/umfrage/top-30-kommunikationsagenturen-in-deutschland/</v>
      </c>
      <c r="B135" s="11" t="str">
        <f>IFERROR(__xludf.DUMMYFUNCTION("""COMPUTED_VALUE"""),"Top-30-Kommunikationsagenturen in Deutschland 2025\| Statista")</f>
        <v>Top-30-Kommunikationsagenturen in Deutschland 2025\| Statista</v>
      </c>
      <c r="C135" s="8" t="str">
        <f>IFERROR(__xludf.DUMMYFUNCTION("""COMPUTED_VALUE"""),"statista.com")</f>
        <v>statista.com</v>
      </c>
      <c r="D135" s="11" t="str">
        <f>IFERROR(__xludf.DUMMYFUNCTION("""COMPUTED_VALUE"""),"LISTICLE")</f>
        <v>LISTICLE</v>
      </c>
      <c r="E135" s="11" t="str">
        <f>IFERROR(__xludf.DUMMYFUNCTION("""COMPUTED_VALUE"""),"REFERENCE")</f>
        <v>REFERENCE</v>
      </c>
      <c r="F135" s="11" t="str">
        <f>IFERROR(__xludf.DUMMYFUNCTION("""COMPUTED_VALUE"""),"Listicle")</f>
        <v>Listicle</v>
      </c>
      <c r="G135" s="11" t="b">
        <f>IFERROR(__xludf.DUMMYFUNCTION("""COMPUTED_VALUE"""),FALSE)</f>
        <v>0</v>
      </c>
      <c r="H135" s="11" t="str">
        <f>IFERROR(__xludf.DUMMYFUNCTION("""COMPUTED_VALUE"""),"Ogilvy, OMD, Havas Media, MetaDesign, Publicis Media, Scholz &amp; Friends, Publicis Groupe")</f>
        <v>Ogilvy, OMD, Havas Media, MetaDesign, Publicis Media, Scholz &amp; Friends, Publicis Groupe</v>
      </c>
      <c r="I135" s="11">
        <f>IFERROR(__xludf.DUMMYFUNCTION("""COMPUTED_VALUE"""),4.0)</f>
        <v>4</v>
      </c>
      <c r="J135" s="11">
        <f>IFERROR(__xludf.DUMMYFUNCTION("""COMPUTED_VALUE"""),0.0)</f>
        <v>0</v>
      </c>
      <c r="K135" s="11">
        <f>IFERROR(__xludf.DUMMYFUNCTION("""COMPUTED_VALUE"""),0.0)</f>
        <v>0</v>
      </c>
    </row>
    <row r="136" ht="15.75" customHeight="1">
      <c r="A136" s="8" t="str">
        <f>IFERROR(__xludf.DUMMYFUNCTION("""COMPUTED_VALUE"""),"https://www.designrush.com/agency/digital-marketing/artificial-intelligence")</f>
        <v>https://www.designrush.com/agency/digital-marketing/artificial-intelligence</v>
      </c>
      <c r="B136" s="11" t="str">
        <f>IFERROR(__xludf.DUMMYFUNCTION("""COMPUTED_VALUE"""),"Top AI Marketing Companies in 2026")</f>
        <v>Top AI Marketing Companies in 2026</v>
      </c>
      <c r="C136" s="8" t="str">
        <f>IFERROR(__xludf.DUMMYFUNCTION("""COMPUTED_VALUE"""),"designrush.com")</f>
        <v>designrush.com</v>
      </c>
      <c r="D136" s="11" t="str">
        <f>IFERROR(__xludf.DUMMYFUNCTION("""COMPUTED_VALUE"""),"LISTICLE")</f>
        <v>LISTICLE</v>
      </c>
      <c r="E136" s="11" t="str">
        <f>IFERROR(__xludf.DUMMYFUNCTION("""COMPUTED_VALUE"""),"CORPORATE")</f>
        <v>CORPORATE</v>
      </c>
      <c r="F136" s="11" t="str">
        <f>IFERROR(__xludf.DUMMYFUNCTION("""COMPUTED_VALUE"""),"Listicle")</f>
        <v>Listicle</v>
      </c>
      <c r="G136" s="11" t="b">
        <f>IFERROR(__xludf.DUMMYFUNCTION("""COMPUTED_VALUE"""),FALSE)</f>
        <v>0</v>
      </c>
      <c r="H136" s="11" t="str">
        <f>IFERROR(__xludf.DUMMYFUNCTION("""COMPUTED_VALUE"""),"Single Grain, Jellyfish, SmartSites, Huge, Disruptive Advertising, PwC, WebFX, Capgemini")</f>
        <v>Single Grain, Jellyfish, SmartSites, Huge, Disruptive Advertising, PwC, WebFX, Capgemini</v>
      </c>
      <c r="I136" s="11">
        <f>IFERROR(__xludf.DUMMYFUNCTION("""COMPUTED_VALUE"""),4.0)</f>
        <v>4</v>
      </c>
      <c r="J136" s="11">
        <f>IFERROR(__xludf.DUMMYFUNCTION("""COMPUTED_VALUE"""),0.0)</f>
        <v>0</v>
      </c>
      <c r="K136" s="11">
        <f>IFERROR(__xludf.DUMMYFUNCTION("""COMPUTED_VALUE"""),0.0)</f>
        <v>0</v>
      </c>
    </row>
    <row r="137" ht="15.75" customHeight="1">
      <c r="A137" s="8" t="str">
        <f>IFERROR(__xludf.DUMMYFUNCTION("""COMPUTED_VALUE"""),"https://icoda.io/de/ai/best-ai-seo-agency-germany/")</f>
        <v>https://icoda.io/de/ai/best-ai-seo-agency-germany/</v>
      </c>
      <c r="B137" s="11" t="str">
        <f>IFERROR(__xludf.DUMMYFUNCTION("""COMPUTED_VALUE"""),"Beste AI SEO Agentur in Deutschland: Top 10 Anbieter für 2026")</f>
        <v>Beste AI SEO Agentur in Deutschland: Top 10 Anbieter für 2026</v>
      </c>
      <c r="C137" s="8" t="str">
        <f>IFERROR(__xludf.DUMMYFUNCTION("""COMPUTED_VALUE"""),"icoda.io")</f>
        <v>icoda.io</v>
      </c>
      <c r="D137" s="11" t="str">
        <f>IFERROR(__xludf.DUMMYFUNCTION("""COMPUTED_VALUE"""),"LISTICLE")</f>
        <v>LISTICLE</v>
      </c>
      <c r="E137" s="11" t="str">
        <f>IFERROR(__xludf.DUMMYFUNCTION("""COMPUTED_VALUE"""),"CORPORATE")</f>
        <v>CORPORATE</v>
      </c>
      <c r="F137" s="11" t="str">
        <f>IFERROR(__xludf.DUMMYFUNCTION("""COMPUTED_VALUE"""),"Listicle")</f>
        <v>Listicle</v>
      </c>
      <c r="G137" s="11" t="b">
        <f>IFERROR(__xludf.DUMMYFUNCTION("""COMPUTED_VALUE"""),FALSE)</f>
        <v>0</v>
      </c>
      <c r="H137" s="11" t="str">
        <f>IFERROR(__xludf.DUMMYFUNCTION("""COMPUTED_VALUE"""),"Omnius, TRYSEO, Aufgesang, Claneo")</f>
        <v>Omnius, TRYSEO, Aufgesang, Claneo</v>
      </c>
      <c r="I137" s="11">
        <f>IFERROR(__xludf.DUMMYFUNCTION("""COMPUTED_VALUE"""),4.0)</f>
        <v>4</v>
      </c>
      <c r="J137" s="11">
        <f>IFERROR(__xludf.DUMMYFUNCTION("""COMPUTED_VALUE"""),0.0)</f>
        <v>0</v>
      </c>
      <c r="K137" s="11">
        <f>IFERROR(__xludf.DUMMYFUNCTION("""COMPUTED_VALUE"""),3.75)</f>
        <v>3.75</v>
      </c>
    </row>
    <row r="138" ht="15.75" customHeight="1">
      <c r="A138" s="8" t="str">
        <f>IFERROR(__xludf.DUMMYFUNCTION("""COMPUTED_VALUE"""),"https://www.influencer-hero.com/fr/blogs/top-pay-per-click-agencies-in-germany")</f>
        <v>https://www.influencer-hero.com/fr/blogs/top-pay-per-click-agencies-in-germany</v>
      </c>
      <c r="B138" s="11" t="str">
        <f>IFERROR(__xludf.DUMMYFUNCTION("""COMPUTED_VALUE"""),"Top 10 Agences Pay-Per-Click en Allemagne")</f>
        <v>Top 10 Agences Pay-Per-Click en Allemagne</v>
      </c>
      <c r="C138" s="8" t="str">
        <f>IFERROR(__xludf.DUMMYFUNCTION("""COMPUTED_VALUE"""),"influencer-hero.com")</f>
        <v>influencer-hero.com</v>
      </c>
      <c r="D138" s="11" t="str">
        <f>IFERROR(__xludf.DUMMYFUNCTION("""COMPUTED_VALUE"""),"LISTICLE")</f>
        <v>LISTICLE</v>
      </c>
      <c r="E138" s="11" t="str">
        <f>IFERROR(__xludf.DUMMYFUNCTION("""COMPUTED_VALUE"""),"CORPORATE")</f>
        <v>CORPORATE</v>
      </c>
      <c r="F138" s="11" t="str">
        <f>IFERROR(__xludf.DUMMYFUNCTION("""COMPUTED_VALUE"""),"Listicle")</f>
        <v>Listicle</v>
      </c>
      <c r="G138" s="11" t="b">
        <f>IFERROR(__xludf.DUMMYFUNCTION("""COMPUTED_VALUE"""),FALSE)</f>
        <v>0</v>
      </c>
      <c r="H138" s="11" t="str">
        <f>IFERROR(__xludf.DUMMYFUNCTION("""COMPUTED_VALUE"""),"Globalist, Social Media One, MONSOON, Mediacharge, Smarketer, KlickPiloten, Loyamo")</f>
        <v>Globalist, Social Media One, MONSOON, Mediacharge, Smarketer, KlickPiloten, Loyamo</v>
      </c>
      <c r="I138" s="11">
        <f>IFERROR(__xludf.DUMMYFUNCTION("""COMPUTED_VALUE"""),4.0)</f>
        <v>4</v>
      </c>
      <c r="J138" s="11">
        <f>IFERROR(__xludf.DUMMYFUNCTION("""COMPUTED_VALUE"""),0.0)</f>
        <v>0</v>
      </c>
      <c r="K138" s="11">
        <f>IFERROR(__xludf.DUMMYFUNCTION("""COMPUTED_VALUE"""),0.0)</f>
        <v>0</v>
      </c>
    </row>
    <row r="139" ht="15.75" customHeight="1">
      <c r="A139" s="8" t="str">
        <f>IFERROR(__xludf.DUMMYFUNCTION("""COMPUTED_VALUE"""),"https://www.influencer-hero.com/kr/blogs/top-pay-per-click-agencies-in-germany")</f>
        <v>https://www.influencer-hero.com/kr/blogs/top-pay-per-click-agencies-in-germany</v>
      </c>
      <c r="B139" s="11" t="str">
        <f>IFERROR(__xludf.DUMMYFUNCTION("""COMPUTED_VALUE"""),"독일의 상위 10개 클릭당 지불(PPC) 에이전시")</f>
        <v>독일의 상위 10개 클릭당 지불(PPC) 에이전시</v>
      </c>
      <c r="C139" s="8" t="str">
        <f>IFERROR(__xludf.DUMMYFUNCTION("""COMPUTED_VALUE"""),"influencer-hero.com")</f>
        <v>influencer-hero.com</v>
      </c>
      <c r="D139" s="11" t="str">
        <f>IFERROR(__xludf.DUMMYFUNCTION("""COMPUTED_VALUE"""),"LISTICLE")</f>
        <v>LISTICLE</v>
      </c>
      <c r="E139" s="11" t="str">
        <f>IFERROR(__xludf.DUMMYFUNCTION("""COMPUTED_VALUE"""),"CORPORATE")</f>
        <v>CORPORATE</v>
      </c>
      <c r="F139" s="11" t="str">
        <f>IFERROR(__xludf.DUMMYFUNCTION("""COMPUTED_VALUE"""),"Listicle")</f>
        <v>Listicle</v>
      </c>
      <c r="G139" s="11" t="b">
        <f>IFERROR(__xludf.DUMMYFUNCTION("""COMPUTED_VALUE"""),FALSE)</f>
        <v>0</v>
      </c>
      <c r="H139" s="11" t="str">
        <f>IFERROR(__xludf.DUMMYFUNCTION("""COMPUTED_VALUE"""),"Globalist, Social Media One, MONSOON, Mediacharge, Smarketer, KlickPiloten, Loyamo")</f>
        <v>Globalist, Social Media One, MONSOON, Mediacharge, Smarketer, KlickPiloten, Loyamo</v>
      </c>
      <c r="I139" s="11">
        <f>IFERROR(__xludf.DUMMYFUNCTION("""COMPUTED_VALUE"""),4.0)</f>
        <v>4</v>
      </c>
      <c r="J139" s="11">
        <f>IFERROR(__xludf.DUMMYFUNCTION("""COMPUTED_VALUE"""),0.0)</f>
        <v>0</v>
      </c>
      <c r="K139" s="11">
        <f>IFERROR(__xludf.DUMMYFUNCTION("""COMPUTED_VALUE"""),0.0)</f>
        <v>0</v>
      </c>
    </row>
    <row r="140" ht="15.75" customHeight="1">
      <c r="A140" s="8" t="str">
        <f>IFERROR(__xludf.DUMMYFUNCTION("""COMPUTED_VALUE"""),"https://www.jadasquad.com/blog/top-ai-agent-development-companies-in-munich")</f>
        <v>https://www.jadasquad.com/blog/top-ai-agent-development-companies-in-munich</v>
      </c>
      <c r="B140" s="11" t="str">
        <f>IFERROR(__xludf.DUMMYFUNCTION("""COMPUTED_VALUE"""),"Top AI Agent Development Companies in Munich Germany (2026) | The JADA Squad")</f>
        <v>Top AI Agent Development Companies in Munich Germany (2026) | The JADA Squad</v>
      </c>
      <c r="C140" s="8" t="str">
        <f>IFERROR(__xludf.DUMMYFUNCTION("""COMPUTED_VALUE"""),"jadasquad.com")</f>
        <v>jadasquad.com</v>
      </c>
      <c r="D140" s="11" t="str">
        <f>IFERROR(__xludf.DUMMYFUNCTION("""COMPUTED_VALUE"""),"LISTICLE")</f>
        <v>LISTICLE</v>
      </c>
      <c r="E140" s="11" t="str">
        <f>IFERROR(__xludf.DUMMYFUNCTION("""COMPUTED_VALUE"""),"CORPORATE")</f>
        <v>CORPORATE</v>
      </c>
      <c r="F140" s="11" t="str">
        <f>IFERROR(__xludf.DUMMYFUNCTION("""COMPUTED_VALUE"""),"Listicle")</f>
        <v>Listicle</v>
      </c>
      <c r="G140" s="11" t="b">
        <f>IFERROR(__xludf.DUMMYFUNCTION("""COMPUTED_VALUE"""),FALSE)</f>
        <v>0</v>
      </c>
      <c r="H140" s="11" t="str">
        <f>IFERROR(__xludf.DUMMYFUNCTION("""COMPUTED_VALUE"""),"MaibornWolff, Momentum, appliedAI")</f>
        <v>MaibornWolff, Momentum, appliedAI</v>
      </c>
      <c r="I140" s="11">
        <f>IFERROR(__xludf.DUMMYFUNCTION("""COMPUTED_VALUE"""),4.0)</f>
        <v>4</v>
      </c>
      <c r="J140" s="11">
        <f>IFERROR(__xludf.DUMMYFUNCTION("""COMPUTED_VALUE"""),0.0)</f>
        <v>0</v>
      </c>
      <c r="K140" s="11">
        <f>IFERROR(__xludf.DUMMYFUNCTION("""COMPUTED_VALUE"""),0.75)</f>
        <v>0.75</v>
      </c>
    </row>
    <row r="141" ht="15.75" customHeight="1">
      <c r="A141" s="8" t="str">
        <f>IFERROR(__xludf.DUMMYFUNCTION("""COMPUTED_VALUE"""),"https://lengreo.com/best-meta-ads-agencies-in-germany/")</f>
        <v>https://lengreo.com/best-meta-ads-agencies-in-germany/</v>
      </c>
      <c r="B141" s="11" t="str">
        <f>IFERROR(__xludf.DUMMYFUNCTION("""COMPUTED_VALUE"""),"Top 15 Meta Ads Companies to Partner with in Germany (2026)")</f>
        <v>Top 15 Meta Ads Companies to Partner with in Germany (2026)</v>
      </c>
      <c r="C141" s="8" t="str">
        <f>IFERROR(__xludf.DUMMYFUNCTION("""COMPUTED_VALUE"""),"lengreo.com")</f>
        <v>lengreo.com</v>
      </c>
      <c r="D141" s="11" t="str">
        <f>IFERROR(__xludf.DUMMYFUNCTION("""COMPUTED_VALUE"""),"LISTICLE")</f>
        <v>LISTICLE</v>
      </c>
      <c r="E141" s="11" t="str">
        <f>IFERROR(__xludf.DUMMYFUNCTION("""COMPUTED_VALUE"""),"CORPORATE")</f>
        <v>CORPORATE</v>
      </c>
      <c r="F141" s="11" t="str">
        <f>IFERROR(__xludf.DUMMYFUNCTION("""COMPUTED_VALUE"""),"Listicle")</f>
        <v>Listicle</v>
      </c>
      <c r="G141" s="11" t="b">
        <f>IFERROR(__xludf.DUMMYFUNCTION("""COMPUTED_VALUE"""),FALSE)</f>
        <v>0</v>
      </c>
      <c r="H141" s="11" t="str">
        <f>IFERROR(__xludf.DUMMYFUNCTION("""COMPUTED_VALUE"""),"MONSOON, PANORAMA3000, Pilot, Medialabel, Mawave, Social Media Pirates, Claneo, Loyamo")</f>
        <v>MONSOON, PANORAMA3000, Pilot, Medialabel, Mawave, Social Media Pirates, Claneo, Loyamo</v>
      </c>
      <c r="I141" s="11">
        <f>IFERROR(__xludf.DUMMYFUNCTION("""COMPUTED_VALUE"""),4.0)</f>
        <v>4</v>
      </c>
      <c r="J141" s="11">
        <f>IFERROR(__xludf.DUMMYFUNCTION("""COMPUTED_VALUE"""),0.0)</f>
        <v>0</v>
      </c>
      <c r="K141" s="11">
        <f>IFERROR(__xludf.DUMMYFUNCTION("""COMPUTED_VALUE"""),2.0)</f>
        <v>2</v>
      </c>
    </row>
    <row r="142" ht="15.75" customHeight="1">
      <c r="A142" s="8" t="str">
        <f>IFERROR(__xludf.DUMMYFUNCTION("""COMPUTED_VALUE"""),"https://meedia.de/news/beitrag/19725-das-sind-die-15-groessten-mediaagenturen-in-deutschland.html")</f>
        <v>https://meedia.de/news/beitrag/19725-das-sind-die-15-groessten-mediaagenturen-in-deutschland.html</v>
      </c>
      <c r="B142" s="11" t="str">
        <f>IFERROR(__xludf.DUMMYFUNCTION("""COMPUTED_VALUE"""),"Das sind die 15 größten Mediaagenturen in Deutschland")</f>
        <v>Das sind die 15 größten Mediaagenturen in Deutschland</v>
      </c>
      <c r="C142" s="8" t="str">
        <f>IFERROR(__xludf.DUMMYFUNCTION("""COMPUTED_VALUE"""),"meedia.de")</f>
        <v>meedia.de</v>
      </c>
      <c r="D142" s="11" t="str">
        <f>IFERROR(__xludf.DUMMYFUNCTION("""COMPUTED_VALUE"""),"LISTICLE")</f>
        <v>LISTICLE</v>
      </c>
      <c r="E142" s="11" t="str">
        <f>IFERROR(__xludf.DUMMYFUNCTION("""COMPUTED_VALUE"""),"EDITORIAL")</f>
        <v>EDITORIAL</v>
      </c>
      <c r="F142" s="11" t="str">
        <f>IFERROR(__xludf.DUMMYFUNCTION("""COMPUTED_VALUE"""),"Listicle")</f>
        <v>Listicle</v>
      </c>
      <c r="G142" s="11" t="b">
        <f>IFERROR(__xludf.DUMMYFUNCTION("""COMPUTED_VALUE"""),FALSE)</f>
        <v>0</v>
      </c>
      <c r="H142" s="11" t="str">
        <f>IFERROR(__xludf.DUMMYFUNCTION("""COMPUTED_VALUE"""),"WPP, Dentsu, OMD, Omnicom, Mediaplus Group, Pilot, Publicis Media, Mindshare, Havas Media, GroupM, Omnicom Media Group")</f>
        <v>WPP, Dentsu, OMD, Omnicom, Mediaplus Group, Pilot, Publicis Media, Mindshare, Havas Media, GroupM, Omnicom Media Group</v>
      </c>
      <c r="I142" s="11">
        <f>IFERROR(__xludf.DUMMYFUNCTION("""COMPUTED_VALUE"""),4.0)</f>
        <v>4</v>
      </c>
      <c r="J142" s="11">
        <f>IFERROR(__xludf.DUMMYFUNCTION("""COMPUTED_VALUE"""),0.0)</f>
        <v>0</v>
      </c>
      <c r="K142" s="11">
        <f>IFERROR(__xludf.DUMMYFUNCTION("""COMPUTED_VALUE"""),0.75)</f>
        <v>0.75</v>
      </c>
    </row>
    <row r="143" ht="15.75" customHeight="1">
      <c r="A143" s="8" t="str">
        <f>IFERROR(__xludf.DUMMYFUNCTION("""COMPUTED_VALUE"""),"https://revolutions.de/die-5-besten-ai-agenturen-fur-den-deutschen-mittelstand-2026/")</f>
        <v>https://revolutions.de/die-5-besten-ai-agenturen-fur-den-deutschen-mittelstand-2026/</v>
      </c>
      <c r="B143" s="11" t="str">
        <f>IFERROR(__xludf.DUMMYFUNCTION("""COMPUTED_VALUE"""),"Die 5 besten AI-Agenturen für den deutschen Mittelstand (2026) - Revolutions")</f>
        <v>Die 5 besten AI-Agenturen für den deutschen Mittelstand (2026) - Revolutions</v>
      </c>
      <c r="C143" s="8" t="str">
        <f>IFERROR(__xludf.DUMMYFUNCTION("""COMPUTED_VALUE"""),"revolutions.de")</f>
        <v>revolutions.de</v>
      </c>
      <c r="D143" s="11" t="str">
        <f>IFERROR(__xludf.DUMMYFUNCTION("""COMPUTED_VALUE"""),"LISTICLE")</f>
        <v>LISTICLE</v>
      </c>
      <c r="E143" s="11" t="str">
        <f>IFERROR(__xludf.DUMMYFUNCTION("""COMPUTED_VALUE"""),"CORPORATE")</f>
        <v>CORPORATE</v>
      </c>
      <c r="F143" s="11" t="str">
        <f>IFERROR(__xludf.DUMMYFUNCTION("""COMPUTED_VALUE"""),"Listicle")</f>
        <v>Listicle</v>
      </c>
      <c r="G143" s="11" t="b">
        <f>IFERROR(__xludf.DUMMYFUNCTION("""COMPUTED_VALUE"""),FALSE)</f>
        <v>0</v>
      </c>
      <c r="H143" s="11" t="str">
        <f>IFERROR(__xludf.DUMMYFUNCTION("""COMPUTED_VALUE"""),"statworx")</f>
        <v>statworx</v>
      </c>
      <c r="I143" s="11">
        <f>IFERROR(__xludf.DUMMYFUNCTION("""COMPUTED_VALUE"""),4.0)</f>
        <v>4</v>
      </c>
      <c r="J143" s="11">
        <f>IFERROR(__xludf.DUMMYFUNCTION("""COMPUTED_VALUE"""),0.0)</f>
        <v>0</v>
      </c>
      <c r="K143" s="11">
        <f>IFERROR(__xludf.DUMMYFUNCTION("""COMPUTED_VALUE"""),2.25)</f>
        <v>2.25</v>
      </c>
    </row>
    <row r="144" ht="15.75" customHeight="1">
      <c r="A144" s="8" t="str">
        <f>IFERROR(__xludf.DUMMYFUNCTION("""COMPUTED_VALUE"""),"https://thatware.co/top-10-geo-companies-in-germany/")</f>
        <v>https://thatware.co/top-10-geo-companies-in-germany/</v>
      </c>
      <c r="B144" s="11" t="str">
        <f>IFERROR(__xludf.DUMMYFUNCTION("""COMPUTED_VALUE"""),"Top GEO Listing Companies in Germany (AI Era)")</f>
        <v>Top GEO Listing Companies in Germany (AI Era)</v>
      </c>
      <c r="C144" s="8" t="str">
        <f>IFERROR(__xludf.DUMMYFUNCTION("""COMPUTED_VALUE"""),"thatware.co")</f>
        <v>thatware.co</v>
      </c>
      <c r="D144" s="11" t="str">
        <f>IFERROR(__xludf.DUMMYFUNCTION("""COMPUTED_VALUE"""),"LISTICLE")</f>
        <v>LISTICLE</v>
      </c>
      <c r="E144" s="11" t="str">
        <f>IFERROR(__xludf.DUMMYFUNCTION("""COMPUTED_VALUE"""),"CORPORATE")</f>
        <v>CORPORATE</v>
      </c>
      <c r="F144" s="11" t="str">
        <f>IFERROR(__xludf.DUMMYFUNCTION("""COMPUTED_VALUE"""),"Listicle")</f>
        <v>Listicle</v>
      </c>
      <c r="G144" s="11" t="b">
        <f>IFERROR(__xludf.DUMMYFUNCTION("""COMPUTED_VALUE"""),FALSE)</f>
        <v>0</v>
      </c>
      <c r="H144" s="11"/>
      <c r="I144" s="11">
        <f>IFERROR(__xludf.DUMMYFUNCTION("""COMPUTED_VALUE"""),4.0)</f>
        <v>4</v>
      </c>
      <c r="J144" s="11">
        <f>IFERROR(__xludf.DUMMYFUNCTION("""COMPUTED_VALUE"""),0.0)</f>
        <v>0</v>
      </c>
      <c r="K144" s="11">
        <f>IFERROR(__xludf.DUMMYFUNCTION("""COMPUTED_VALUE"""),1.0)</f>
        <v>1</v>
      </c>
    </row>
    <row r="145" ht="15.75" customHeight="1">
      <c r="A145" s="8" t="str">
        <f>IFERROR(__xludf.DUMMYFUNCTION("""COMPUTED_VALUE"""),"https://threebestrated.de/advertising-agencies-in-munich")</f>
        <v>https://threebestrated.de/advertising-agencies-in-munich</v>
      </c>
      <c r="B145" s="11" t="str">
        <f>IFERROR(__xludf.DUMMYFUNCTION("""COMPUTED_VALUE"""),"3 Best Advertising Agencies in Munich - Expert Recommendations")</f>
        <v>3 Best Advertising Agencies in Munich - Expert Recommendations</v>
      </c>
      <c r="C145" s="8" t="str">
        <f>IFERROR(__xludf.DUMMYFUNCTION("""COMPUTED_VALUE"""),"threebestrated.de")</f>
        <v>threebestrated.de</v>
      </c>
      <c r="D145" s="11" t="str">
        <f>IFERROR(__xludf.DUMMYFUNCTION("""COMPUTED_VALUE"""),"LISTICLE")</f>
        <v>LISTICLE</v>
      </c>
      <c r="E145" s="11" t="str">
        <f>IFERROR(__xludf.DUMMYFUNCTION("""COMPUTED_VALUE"""),"REFERENCE")</f>
        <v>REFERENCE</v>
      </c>
      <c r="F145" s="11" t="str">
        <f>IFERROR(__xludf.DUMMYFUNCTION("""COMPUTED_VALUE"""),"Listicle")</f>
        <v>Listicle</v>
      </c>
      <c r="G145" s="11" t="b">
        <f>IFERROR(__xludf.DUMMYFUNCTION("""COMPUTED_VALUE"""),FALSE)</f>
        <v>0</v>
      </c>
      <c r="H145" s="11" t="str">
        <f>IFERROR(__xludf.DUMMYFUNCTION("""COMPUTED_VALUE"""),"eMinded GmbH")</f>
        <v>eMinded GmbH</v>
      </c>
      <c r="I145" s="11">
        <f>IFERROR(__xludf.DUMMYFUNCTION("""COMPUTED_VALUE"""),4.0)</f>
        <v>4</v>
      </c>
      <c r="J145" s="11">
        <f>IFERROR(__xludf.DUMMYFUNCTION("""COMPUTED_VALUE"""),0.0)</f>
        <v>0</v>
      </c>
      <c r="K145" s="11">
        <f>IFERROR(__xludf.DUMMYFUNCTION("""COMPUTED_VALUE"""),1.0)</f>
        <v>1</v>
      </c>
    </row>
    <row r="146" ht="15.75" customHeight="1">
      <c r="A146" s="8" t="str">
        <f>IFERROR(__xludf.DUMMYFUNCTION("""COMPUTED_VALUE"""),"https://www.warc.com/en/data-benchmarks/rankings-creative-100-overview")</f>
        <v>https://www.warc.com/en/data-benchmarks/rankings-creative-100-overview</v>
      </c>
      <c r="B146" s="11" t="str">
        <f>IFERROR(__xludf.DUMMYFUNCTION("""COMPUTED_VALUE"""),"Creative 100 Overview")</f>
        <v>Creative 100 Overview</v>
      </c>
      <c r="C146" s="8" t="str">
        <f>IFERROR(__xludf.DUMMYFUNCTION("""COMPUTED_VALUE"""),"warc.com")</f>
        <v>warc.com</v>
      </c>
      <c r="D146" s="11" t="str">
        <f>IFERROR(__xludf.DUMMYFUNCTION("""COMPUTED_VALUE"""),"LISTICLE")</f>
        <v>LISTICLE</v>
      </c>
      <c r="E146" s="11" t="str">
        <f>IFERROR(__xludf.DUMMYFUNCTION("""COMPUTED_VALUE"""),"REFERENCE")</f>
        <v>REFERENCE</v>
      </c>
      <c r="F146" s="11" t="str">
        <f>IFERROR(__xludf.DUMMYFUNCTION("""COMPUTED_VALUE"""),"Listicle")</f>
        <v>Listicle</v>
      </c>
      <c r="G146" s="11" t="b">
        <f>IFERROR(__xludf.DUMMYFUNCTION("""COMPUTED_VALUE"""),FALSE)</f>
        <v>0</v>
      </c>
      <c r="H146" s="11" t="str">
        <f>IFERROR(__xludf.DUMMYFUNCTION("""COMPUTED_VALUE"""),"Ogilvy, WPP, Omnicom")</f>
        <v>Ogilvy, WPP, Omnicom</v>
      </c>
      <c r="I146" s="11">
        <f>IFERROR(__xludf.DUMMYFUNCTION("""COMPUTED_VALUE"""),4.0)</f>
        <v>4</v>
      </c>
      <c r="J146" s="11">
        <f>IFERROR(__xludf.DUMMYFUNCTION("""COMPUTED_VALUE"""),0.0)</f>
        <v>0</v>
      </c>
      <c r="K146" s="11">
        <f>IFERROR(__xludf.DUMMYFUNCTION("""COMPUTED_VALUE"""),0.0)</f>
        <v>0</v>
      </c>
    </row>
    <row r="147" ht="15.75" customHeight="1">
      <c r="A147" s="8" t="str">
        <f>IFERROR(__xludf.DUMMYFUNCTION("""COMPUTED_VALUE"""),"https://www.youtube.com/watch?v=7pP2AGlSn50")</f>
        <v>https://www.youtube.com/watch?v=7pP2AGlSn50</v>
      </c>
      <c r="B147" s="11" t="str">
        <f>IFERROR(__xludf.DUMMYFUNCTION("""COMPUTED_VALUE"""),"What Are the Best Generative Engine Optimization GEO Agencies in Gelsenkirchen?")</f>
        <v>What Are the Best Generative Engine Optimization GEO Agencies in Gelsenkirchen?</v>
      </c>
      <c r="C147" s="8" t="str">
        <f>IFERROR(__xludf.DUMMYFUNCTION("""COMPUTED_VALUE"""),"youtube.com")</f>
        <v>youtube.com</v>
      </c>
      <c r="D147" s="11" t="str">
        <f>IFERROR(__xludf.DUMMYFUNCTION("""COMPUTED_VALUE"""),"LISTICLE")</f>
        <v>LISTICLE</v>
      </c>
      <c r="E147" s="11" t="str">
        <f>IFERROR(__xludf.DUMMYFUNCTION("""COMPUTED_VALUE"""),"UGC")</f>
        <v>UGC</v>
      </c>
      <c r="F147" s="11" t="str">
        <f>IFERROR(__xludf.DUMMYFUNCTION("""COMPUTED_VALUE"""),"Listicle")</f>
        <v>Listicle</v>
      </c>
      <c r="G147" s="11" t="b">
        <f>IFERROR(__xludf.DUMMYFUNCTION("""COMPUTED_VALUE"""),FALSE)</f>
        <v>0</v>
      </c>
      <c r="H147" s="11"/>
      <c r="I147" s="11">
        <f>IFERROR(__xludf.DUMMYFUNCTION("""COMPUTED_VALUE"""),4.0)</f>
        <v>4</v>
      </c>
      <c r="J147" s="11">
        <f>IFERROR(__xludf.DUMMYFUNCTION("""COMPUTED_VALUE"""),0.0)</f>
        <v>0</v>
      </c>
      <c r="K147" s="11">
        <f>IFERROR(__xludf.DUMMYFUNCTION("""COMPUTED_VALUE"""),7.5)</f>
        <v>7.5</v>
      </c>
    </row>
    <row r="148" ht="15.75" customHeight="1">
      <c r="A148" s="8" t="str">
        <f>IFERROR(__xludf.DUMMYFUNCTION("""COMPUTED_VALUE"""),"https://www.zendikt.com/top-10-marketing-attribution-software/germany")</f>
        <v>https://www.zendikt.com/top-10-marketing-attribution-software/germany</v>
      </c>
      <c r="B148" s="11" t="str">
        <f>IFERROR(__xludf.DUMMYFUNCTION("""COMPUTED_VALUE"""),"Top 10 Marketing Attribution Software in Germany for 2026")</f>
        <v>Top 10 Marketing Attribution Software in Germany for 2026</v>
      </c>
      <c r="C148" s="8" t="str">
        <f>IFERROR(__xludf.DUMMYFUNCTION("""COMPUTED_VALUE"""),"zendikt.com")</f>
        <v>zendikt.com</v>
      </c>
      <c r="D148" s="11" t="str">
        <f>IFERROR(__xludf.DUMMYFUNCTION("""COMPUTED_VALUE"""),"LISTICLE")</f>
        <v>LISTICLE</v>
      </c>
      <c r="E148" s="11" t="str">
        <f>IFERROR(__xludf.DUMMYFUNCTION("""COMPUTED_VALUE"""),"CORPORATE")</f>
        <v>CORPORATE</v>
      </c>
      <c r="F148" s="11" t="str">
        <f>IFERROR(__xludf.DUMMYFUNCTION("""COMPUTED_VALUE"""),"Listicle")</f>
        <v>Listicle</v>
      </c>
      <c r="G148" s="11" t="b">
        <f>IFERROR(__xludf.DUMMYFUNCTION("""COMPUTED_VALUE"""),FALSE)</f>
        <v>0</v>
      </c>
      <c r="H148" s="11" t="str">
        <f>IFERROR(__xludf.DUMMYFUNCTION("""COMPUTED_VALUE"""),"Dreamdata")</f>
        <v>Dreamdata</v>
      </c>
      <c r="I148" s="11">
        <f>IFERROR(__xludf.DUMMYFUNCTION("""COMPUTED_VALUE"""),4.0)</f>
        <v>4</v>
      </c>
      <c r="J148" s="11">
        <f>IFERROR(__xludf.DUMMYFUNCTION("""COMPUTED_VALUE"""),0.0)</f>
        <v>0</v>
      </c>
      <c r="K148" s="11">
        <f>IFERROR(__xludf.DUMMYFUNCTION("""COMPUTED_VALUE"""),0.0)</f>
        <v>0</v>
      </c>
    </row>
    <row r="149" ht="15.75" customHeight="1">
      <c r="A149" s="8" t="str">
        <f>IFERROR(__xludf.DUMMYFUNCTION("""COMPUTED_VALUE"""),"https://www.adc.de/2022/12/16/serviceplan-auf-platz-1-des-adc-kreativrankings/")</f>
        <v>https://www.adc.de/2022/12/16/serviceplan-auf-platz-1-des-adc-kreativrankings/</v>
      </c>
      <c r="B149" s="11" t="str">
        <f>IFERROR(__xludf.DUMMYFUNCTION("""COMPUTED_VALUE"""),"SERVICEPLAN auf Platz 1 des ADC Kreativrankings | Art Directors Club für Deutschland – ADC")</f>
        <v>SERVICEPLAN auf Platz 1 des ADC Kreativrankings | Art Directors Club für Deutschland – ADC</v>
      </c>
      <c r="C149" s="8" t="str">
        <f>IFERROR(__xludf.DUMMYFUNCTION("""COMPUTED_VALUE"""),"adc.de")</f>
        <v>adc.de</v>
      </c>
      <c r="D149" s="11" t="str">
        <f>IFERROR(__xludf.DUMMYFUNCTION("""COMPUTED_VALUE"""),"LISTICLE")</f>
        <v>LISTICLE</v>
      </c>
      <c r="E149" s="11" t="str">
        <f>IFERROR(__xludf.DUMMYFUNCTION("""COMPUTED_VALUE"""),"INSTITUTIONAL")</f>
        <v>INSTITUTIONAL</v>
      </c>
      <c r="F149" s="11" t="str">
        <f>IFERROR(__xludf.DUMMYFUNCTION("""COMPUTED_VALUE"""),"Listicle")</f>
        <v>Listicle</v>
      </c>
      <c r="G149" s="11" t="b">
        <f>IFERROR(__xludf.DUMMYFUNCTION("""COMPUTED_VALUE"""),FALSE)</f>
        <v>0</v>
      </c>
      <c r="H149" s="11" t="str">
        <f>IFERROR(__xludf.DUMMYFUNCTION("""COMPUTED_VALUE"""),"Jung von Matt, Publicis Groupe, MetaDesign, Scholz &amp; Friends, Accenture Song, Haus")</f>
        <v>Jung von Matt, Publicis Groupe, MetaDesign, Scholz &amp; Friends, Accenture Song, Haus</v>
      </c>
      <c r="I149" s="11">
        <f>IFERROR(__xludf.DUMMYFUNCTION("""COMPUTED_VALUE"""),3.0)</f>
        <v>3</v>
      </c>
      <c r="J149" s="11">
        <f>IFERROR(__xludf.DUMMYFUNCTION("""COMPUTED_VALUE"""),0.0)</f>
        <v>0</v>
      </c>
      <c r="K149" s="11">
        <f>IFERROR(__xludf.DUMMYFUNCTION("""COMPUTED_VALUE"""),0.0)</f>
        <v>0</v>
      </c>
    </row>
    <row r="150" ht="15.75" customHeight="1">
      <c r="A150" s="8" t="str">
        <f>IFERROR(__xludf.DUMMYFUNCTION("""COMPUTED_VALUE"""),"https://aeoagencyservices.com/Blog-Page/european-aeo-agency-landscape-answer-engine-optimization-providers-across-eu")</f>
        <v>https://aeoagencyservices.com/Blog-Page/european-aeo-agency-landscape-answer-engine-optimization-providers-across-eu</v>
      </c>
      <c r="B150" s="11" t="str">
        <f>IFERROR(__xludf.DUMMYFUNCTION("""COMPUTED_VALUE"""),"European AEO Agency Landscape: 29 Answer Engine Optimization Providers Across EU - Web Of Picasso")</f>
        <v>European AEO Agency Landscape: 29 Answer Engine Optimization Providers Across EU - Web Of Picasso</v>
      </c>
      <c r="C150" s="8" t="str">
        <f>IFERROR(__xludf.DUMMYFUNCTION("""COMPUTED_VALUE"""),"aeoagencyservices.com")</f>
        <v>aeoagencyservices.com</v>
      </c>
      <c r="D150" s="11" t="str">
        <f>IFERROR(__xludf.DUMMYFUNCTION("""COMPUTED_VALUE"""),"LISTICLE")</f>
        <v>LISTICLE</v>
      </c>
      <c r="E150" s="11" t="str">
        <f>IFERROR(__xludf.DUMMYFUNCTION("""COMPUTED_VALUE"""),"CORPORATE")</f>
        <v>CORPORATE</v>
      </c>
      <c r="F150" s="11" t="str">
        <f>IFERROR(__xludf.DUMMYFUNCTION("""COMPUTED_VALUE"""),"Listicle")</f>
        <v>Listicle</v>
      </c>
      <c r="G150" s="11" t="b">
        <f>IFERROR(__xludf.DUMMYFUNCTION("""COMPUTED_VALUE"""),FALSE)</f>
        <v>0</v>
      </c>
      <c r="H150" s="11" t="str">
        <f>IFERROR(__xludf.DUMMYFUNCTION("""COMPUTED_VALUE"""),"NoGood, HECHT INS GEFECHT, Omnius, Seeders")</f>
        <v>NoGood, HECHT INS GEFECHT, Omnius, Seeders</v>
      </c>
      <c r="I150" s="11">
        <f>IFERROR(__xludf.DUMMYFUNCTION("""COMPUTED_VALUE"""),3.0)</f>
        <v>3</v>
      </c>
      <c r="J150" s="11">
        <f>IFERROR(__xludf.DUMMYFUNCTION("""COMPUTED_VALUE"""),0.0)</f>
        <v>0</v>
      </c>
      <c r="K150" s="11">
        <f>IFERROR(__xludf.DUMMYFUNCTION("""COMPUTED_VALUE"""),0.0)</f>
        <v>0</v>
      </c>
    </row>
    <row r="151" ht="15.75" customHeight="1">
      <c r="A151" s="8" t="str">
        <f>IFERROR(__xludf.DUMMYFUNCTION("""COMPUTED_VALUE"""),"https://anyleads.com/geo-agencies-ai-search-visibility")</f>
        <v>https://anyleads.com/geo-agencies-ai-search-visibility</v>
      </c>
      <c r="B151" s="11" t="str">
        <f>IFERROR(__xludf.DUMMYFUNCTION("""COMPUTED_VALUE"""),"10 GEO Agencies for AI Search Visibility in 2026 - Anyleads")</f>
        <v>10 GEO Agencies for AI Search Visibility in 2026 - Anyleads</v>
      </c>
      <c r="C151" s="8" t="str">
        <f>IFERROR(__xludf.DUMMYFUNCTION("""COMPUTED_VALUE"""),"anyleads.com")</f>
        <v>anyleads.com</v>
      </c>
      <c r="D151" s="11" t="str">
        <f>IFERROR(__xludf.DUMMYFUNCTION("""COMPUTED_VALUE"""),"LISTICLE")</f>
        <v>LISTICLE</v>
      </c>
      <c r="E151" s="11" t="str">
        <f>IFERROR(__xludf.DUMMYFUNCTION("""COMPUTED_VALUE"""),"CORPORATE")</f>
        <v>CORPORATE</v>
      </c>
      <c r="F151" s="11" t="str">
        <f>IFERROR(__xludf.DUMMYFUNCTION("""COMPUTED_VALUE"""),"Listicle")</f>
        <v>Listicle</v>
      </c>
      <c r="G151" s="11" t="b">
        <f>IFERROR(__xludf.DUMMYFUNCTION("""COMPUTED_VALUE"""),FALSE)</f>
        <v>0</v>
      </c>
      <c r="H151" s="11" t="str">
        <f>IFERROR(__xludf.DUMMYFUNCTION("""COMPUTED_VALUE"""),"Siege Media, NoGood")</f>
        <v>Siege Media, NoGood</v>
      </c>
      <c r="I151" s="11">
        <f>IFERROR(__xludf.DUMMYFUNCTION("""COMPUTED_VALUE"""),3.0)</f>
        <v>3</v>
      </c>
      <c r="J151" s="11">
        <f>IFERROR(__xludf.DUMMYFUNCTION("""COMPUTED_VALUE"""),0.0)</f>
        <v>0</v>
      </c>
      <c r="K151" s="11">
        <f>IFERROR(__xludf.DUMMYFUNCTION("""COMPUTED_VALUE"""),0.67)</f>
        <v>0.67</v>
      </c>
    </row>
    <row r="152" ht="15.75" customHeight="1">
      <c r="A152" s="8" t="str">
        <f>IFERROR(__xludf.DUMMYFUNCTION("""COMPUTED_VALUE"""),"https://awisee.com/blog/social-media-marketing-agencies-germany/")</f>
        <v>https://awisee.com/blog/social-media-marketing-agencies-germany/</v>
      </c>
      <c r="B152" s="11" t="str">
        <f>IFERROR(__xludf.DUMMYFUNCTION("""COMPUTED_VALUE"""),"Best 4 Social Media Marketing Agencies Germany (Reviews)")</f>
        <v>Best 4 Social Media Marketing Agencies Germany (Reviews)</v>
      </c>
      <c r="C152" s="8" t="str">
        <f>IFERROR(__xludf.DUMMYFUNCTION("""COMPUTED_VALUE"""),"awisee.com")</f>
        <v>awisee.com</v>
      </c>
      <c r="D152" s="11" t="str">
        <f>IFERROR(__xludf.DUMMYFUNCTION("""COMPUTED_VALUE"""),"LISTICLE")</f>
        <v>LISTICLE</v>
      </c>
      <c r="E152" s="11" t="str">
        <f>IFERROR(__xludf.DUMMYFUNCTION("""COMPUTED_VALUE"""),"OTHER")</f>
        <v>OTHER</v>
      </c>
      <c r="F152" s="11" t="str">
        <f>IFERROR(__xludf.DUMMYFUNCTION("""COMPUTED_VALUE"""),"Listicle")</f>
        <v>Listicle</v>
      </c>
      <c r="G152" s="11" t="b">
        <f>IFERROR(__xludf.DUMMYFUNCTION("""COMPUTED_VALUE"""),FALSE)</f>
        <v>0</v>
      </c>
      <c r="H152" s="11" t="str">
        <f>IFERROR(__xludf.DUMMYFUNCTION("""COMPUTED_VALUE"""),"morefire")</f>
        <v>morefire</v>
      </c>
      <c r="I152" s="11">
        <f>IFERROR(__xludf.DUMMYFUNCTION("""COMPUTED_VALUE"""),3.0)</f>
        <v>3</v>
      </c>
      <c r="J152" s="11">
        <f>IFERROR(__xludf.DUMMYFUNCTION("""COMPUTED_VALUE"""),0.0)</f>
        <v>0</v>
      </c>
      <c r="K152" s="11">
        <f>IFERROR(__xludf.DUMMYFUNCTION("""COMPUTED_VALUE"""),0.33)</f>
        <v>0.33</v>
      </c>
    </row>
    <row r="153" ht="15.75" customHeight="1">
      <c r="A153" s="8" t="str">
        <f>IFERROR(__xludf.DUMMYFUNCTION("""COMPUTED_VALUE"""),"https://awisee.com/us/blog/digital-marketing-agencies-germany/")</f>
        <v>https://awisee.com/us/blog/digital-marketing-agencies-germany/</v>
      </c>
      <c r="B153" s="11" t="str">
        <f>IFERROR(__xludf.DUMMYFUNCTION("""COMPUTED_VALUE"""),"Top 4 Digital Marketing Agencies Germany In 2025 (Reviews)")</f>
        <v>Top 4 Digital Marketing Agencies Germany In 2025 (Reviews)</v>
      </c>
      <c r="C153" s="8" t="str">
        <f>IFERROR(__xludf.DUMMYFUNCTION("""COMPUTED_VALUE"""),"awisee.com")</f>
        <v>awisee.com</v>
      </c>
      <c r="D153" s="11" t="str">
        <f>IFERROR(__xludf.DUMMYFUNCTION("""COMPUTED_VALUE"""),"LISTICLE")</f>
        <v>LISTICLE</v>
      </c>
      <c r="E153" s="11" t="str">
        <f>IFERROR(__xludf.DUMMYFUNCTION("""COMPUTED_VALUE"""),"OTHER")</f>
        <v>OTHER</v>
      </c>
      <c r="F153" s="11" t="str">
        <f>IFERROR(__xludf.DUMMYFUNCTION("""COMPUTED_VALUE"""),"Listicle")</f>
        <v>Listicle</v>
      </c>
      <c r="G153" s="11" t="b">
        <f>IFERROR(__xludf.DUMMYFUNCTION("""COMPUTED_VALUE"""),FALSE)</f>
        <v>0</v>
      </c>
      <c r="H153" s="11" t="str">
        <f>IFERROR(__xludf.DUMMYFUNCTION("""COMPUTED_VALUE"""),"KlickPiloten")</f>
        <v>KlickPiloten</v>
      </c>
      <c r="I153" s="11">
        <f>IFERROR(__xludf.DUMMYFUNCTION("""COMPUTED_VALUE"""),3.0)</f>
        <v>3</v>
      </c>
      <c r="J153" s="11">
        <f>IFERROR(__xludf.DUMMYFUNCTION("""COMPUTED_VALUE"""),0.0)</f>
        <v>0</v>
      </c>
      <c r="K153" s="11">
        <f>IFERROR(__xludf.DUMMYFUNCTION("""COMPUTED_VALUE"""),0.33)</f>
        <v>0.33</v>
      </c>
    </row>
    <row r="154" ht="15.75" customHeight="1">
      <c r="A154" s="8" t="str">
        <f>IFERROR(__xludf.DUMMYFUNCTION("""COMPUTED_VALUE"""),"https://beomniscient.com/blog/best-ai-marketing-agencies/")</f>
        <v>https://beomniscient.com/blog/best-ai-marketing-agencies/</v>
      </c>
      <c r="B154" s="11" t="str">
        <f>IFERROR(__xludf.DUMMYFUNCTION("""COMPUTED_VALUE"""),"The 5 Best AI Marketing Agencies For B2B (2026 Update) - Omniscient Digital")</f>
        <v>The 5 Best AI Marketing Agencies For B2B (2026 Update) - Omniscient Digital</v>
      </c>
      <c r="C154" s="8" t="str">
        <f>IFERROR(__xludf.DUMMYFUNCTION("""COMPUTED_VALUE"""),"beomniscient.com")</f>
        <v>beomniscient.com</v>
      </c>
      <c r="D154" s="11" t="str">
        <f>IFERROR(__xludf.DUMMYFUNCTION("""COMPUTED_VALUE"""),"LISTICLE")</f>
        <v>LISTICLE</v>
      </c>
      <c r="E154" s="11" t="str">
        <f>IFERROR(__xludf.DUMMYFUNCTION("""COMPUTED_VALUE"""),"CORPORATE")</f>
        <v>CORPORATE</v>
      </c>
      <c r="F154" s="11" t="str">
        <f>IFERROR(__xludf.DUMMYFUNCTION("""COMPUTED_VALUE"""),"Listicle")</f>
        <v>Listicle</v>
      </c>
      <c r="G154" s="11" t="b">
        <f>IFERROR(__xludf.DUMMYFUNCTION("""COMPUTED_VALUE"""),FALSE)</f>
        <v>0</v>
      </c>
      <c r="H154" s="11" t="str">
        <f>IFERROR(__xludf.DUMMYFUNCTION("""COMPUTED_VALUE"""),"Omniscient Digital, NoGood, Daydream, Single Grain, Measured")</f>
        <v>Omniscient Digital, NoGood, Daydream, Single Grain, Measured</v>
      </c>
      <c r="I154" s="11">
        <f>IFERROR(__xludf.DUMMYFUNCTION("""COMPUTED_VALUE"""),3.0)</f>
        <v>3</v>
      </c>
      <c r="J154" s="11">
        <f>IFERROR(__xludf.DUMMYFUNCTION("""COMPUTED_VALUE"""),0.0)</f>
        <v>0</v>
      </c>
      <c r="K154" s="11">
        <f>IFERROR(__xludf.DUMMYFUNCTION("""COMPUTED_VALUE"""),0.67)</f>
        <v>0.67</v>
      </c>
    </row>
    <row r="155" ht="15.75" customHeight="1">
      <c r="A155" s="8" t="str">
        <f>IFERROR(__xludf.DUMMYFUNCTION("""COMPUTED_VALUE"""),"https://www.businessinsider.com/mckinsey-bcg-and-deloitte-competition-small-boutique-specialized-ai-2025-4")</f>
        <v>https://www.businessinsider.com/mckinsey-bcg-and-deloitte-competition-small-boutique-specialized-ai-2025-4</v>
      </c>
      <c r="B155" s="11" t="str">
        <f>IFERROR(__xludf.DUMMYFUNCTION("""COMPUTED_VALUE"""),"McKinsey, BCG, and Deloitte's New Competition Is Fast and Driven by AI - Business Insider")</f>
        <v>McKinsey, BCG, and Deloitte's New Competition Is Fast and Driven by AI - Business Insider</v>
      </c>
      <c r="C155" s="8" t="str">
        <f>IFERROR(__xludf.DUMMYFUNCTION("""COMPUTED_VALUE"""),"businessinsider.com")</f>
        <v>businessinsider.com</v>
      </c>
      <c r="D155" s="11" t="str">
        <f>IFERROR(__xludf.DUMMYFUNCTION("""COMPUTED_VALUE"""),"LISTICLE")</f>
        <v>LISTICLE</v>
      </c>
      <c r="E155" s="11" t="str">
        <f>IFERROR(__xludf.DUMMYFUNCTION("""COMPUTED_VALUE"""),"EDITORIAL")</f>
        <v>EDITORIAL</v>
      </c>
      <c r="F155" s="11" t="str">
        <f>IFERROR(__xludf.DUMMYFUNCTION("""COMPUTED_VALUE"""),"Listicle")</f>
        <v>Listicle</v>
      </c>
      <c r="G155" s="11" t="b">
        <f>IFERROR(__xludf.DUMMYFUNCTION("""COMPUTED_VALUE"""),FALSE)</f>
        <v>0</v>
      </c>
      <c r="H155" s="11" t="str">
        <f>IFERROR(__xludf.DUMMYFUNCTION("""COMPUTED_VALUE"""),"BCG, McKinsey &amp; Company, Boston Consulting Group, PwC, EY")</f>
        <v>BCG, McKinsey &amp; Company, Boston Consulting Group, PwC, EY</v>
      </c>
      <c r="I155" s="11">
        <f>IFERROR(__xludf.DUMMYFUNCTION("""COMPUTED_VALUE"""),3.0)</f>
        <v>3</v>
      </c>
      <c r="J155" s="11">
        <f>IFERROR(__xludf.DUMMYFUNCTION("""COMPUTED_VALUE"""),0.0)</f>
        <v>0</v>
      </c>
      <c r="K155" s="11">
        <f>IFERROR(__xludf.DUMMYFUNCTION("""COMPUTED_VALUE"""),1.67)</f>
        <v>1.67</v>
      </c>
    </row>
    <row r="156" ht="15.75" customHeight="1">
      <c r="A156" s="8" t="str">
        <f>IFERROR(__xludf.DUMMYFUNCTION("""COMPUTED_VALUE"""),"https://cornerstonecontent.com/best-answer-engine-optimization-aeo-agencies/")</f>
        <v>https://cornerstonecontent.com/best-answer-engine-optimization-aeo-agencies/</v>
      </c>
      <c r="B156" s="11" t="str">
        <f>IFERROR(__xludf.DUMMYFUNCTION("""COMPUTED_VALUE"""),"10 Best Answer Engine Optimization (AEO) Agencies (2026) - Cornerstone Content")</f>
        <v>10 Best Answer Engine Optimization (AEO) Agencies (2026) - Cornerstone Content</v>
      </c>
      <c r="C156" s="8" t="str">
        <f>IFERROR(__xludf.DUMMYFUNCTION("""COMPUTED_VALUE"""),"cornerstonecontent.com")</f>
        <v>cornerstonecontent.com</v>
      </c>
      <c r="D156" s="11" t="str">
        <f>IFERROR(__xludf.DUMMYFUNCTION("""COMPUTED_VALUE"""),"LISTICLE")</f>
        <v>LISTICLE</v>
      </c>
      <c r="E156" s="11" t="str">
        <f>IFERROR(__xludf.DUMMYFUNCTION("""COMPUTED_VALUE"""),"CORPORATE")</f>
        <v>CORPORATE</v>
      </c>
      <c r="F156" s="11" t="str">
        <f>IFERROR(__xludf.DUMMYFUNCTION("""COMPUTED_VALUE"""),"Listicle")</f>
        <v>Listicle</v>
      </c>
      <c r="G156" s="11" t="b">
        <f>IFERROR(__xludf.DUMMYFUNCTION("""COMPUTED_VALUE"""),FALSE)</f>
        <v>0</v>
      </c>
      <c r="H156" s="11" t="str">
        <f>IFERROR(__xludf.DUMMYFUNCTION("""COMPUTED_VALUE"""),"Omniscient Digital, Single Grain")</f>
        <v>Omniscient Digital, Single Grain</v>
      </c>
      <c r="I156" s="11">
        <f>IFERROR(__xludf.DUMMYFUNCTION("""COMPUTED_VALUE"""),3.0)</f>
        <v>3</v>
      </c>
      <c r="J156" s="11">
        <f>IFERROR(__xludf.DUMMYFUNCTION("""COMPUTED_VALUE"""),0.0)</f>
        <v>0</v>
      </c>
      <c r="K156" s="11">
        <f>IFERROR(__xludf.DUMMYFUNCTION("""COMPUTED_VALUE"""),0.0)</f>
        <v>0</v>
      </c>
    </row>
    <row r="157" ht="15.75" customHeight="1">
      <c r="A157" s="8" t="str">
        <f>IFERROR(__xludf.DUMMYFUNCTION("""COMPUTED_VALUE"""),"https://www.crystalinfoway.com/blogs/view/top-10-digital-marketing-companies-in-germany#:~:text=MONSOON%20is%20a%20performance%2Ddriven,KPIs%20and%20transparent%20reporting%20systems.")</f>
        <v>https://www.crystalinfoway.com/blogs/view/top-10-digital-marketing-companies-in-germany#:~:text=MONSOON%20is%20a%20performance%2Ddriven,KPIs%20and%20transparent%20reporting%20systems.</v>
      </c>
      <c r="B157" s="11" t="str">
        <f>IFERROR(__xludf.DUMMYFUNCTION("""COMPUTED_VALUE"""),"Top 10 Digital Marketing Companies in Germany")</f>
        <v>Top 10 Digital Marketing Companies in Germany</v>
      </c>
      <c r="C157" s="8" t="str">
        <f>IFERROR(__xludf.DUMMYFUNCTION("""COMPUTED_VALUE"""),"crystalinfoway.com")</f>
        <v>crystalinfoway.com</v>
      </c>
      <c r="D157" s="11" t="str">
        <f>IFERROR(__xludf.DUMMYFUNCTION("""COMPUTED_VALUE"""),"LISTICLE")</f>
        <v>LISTICLE</v>
      </c>
      <c r="E157" s="11" t="str">
        <f>IFERROR(__xludf.DUMMYFUNCTION("""COMPUTED_VALUE"""),"CORPORATE")</f>
        <v>CORPORATE</v>
      </c>
      <c r="F157" s="11" t="str">
        <f>IFERROR(__xludf.DUMMYFUNCTION("""COMPUTED_VALUE"""),"Listicle")</f>
        <v>Listicle</v>
      </c>
      <c r="G157" s="11" t="b">
        <f>IFERROR(__xludf.DUMMYFUNCTION("""COMPUTED_VALUE"""),FALSE)</f>
        <v>0</v>
      </c>
      <c r="H157" s="11" t="str">
        <f>IFERROR(__xludf.DUMMYFUNCTION("""COMPUTED_VALUE"""),"MONSOON, Mediacharge, Löwenstark")</f>
        <v>MONSOON, Mediacharge, Löwenstark</v>
      </c>
      <c r="I157" s="11">
        <f>IFERROR(__xludf.DUMMYFUNCTION("""COMPUTED_VALUE"""),3.0)</f>
        <v>3</v>
      </c>
      <c r="J157" s="11">
        <f>IFERROR(__xludf.DUMMYFUNCTION("""COMPUTED_VALUE"""),0.0)</f>
        <v>0</v>
      </c>
      <c r="K157" s="11">
        <f>IFERROR(__xludf.DUMMYFUNCTION("""COMPUTED_VALUE"""),1.67)</f>
        <v>1.67</v>
      </c>
    </row>
    <row r="158" ht="15.75" customHeight="1">
      <c r="A158" s="8" t="str">
        <f>IFERROR(__xludf.DUMMYFUNCTION("""COMPUTED_VALUE"""),"https://www.dreikon.de/aktuell/online-marketing-wissen/die-10-besten-seo-und-geo-agenturen-2026/")</f>
        <v>https://www.dreikon.de/aktuell/online-marketing-wissen/die-10-besten-seo-und-geo-agenturen-2026/</v>
      </c>
      <c r="B158" s="11" t="str">
        <f>IFERROR(__xludf.DUMMYFUNCTION("""COMPUTED_VALUE"""),"Die 15 besten SEO- und GEO-Agenturen 2026")</f>
        <v>Die 15 besten SEO- und GEO-Agenturen 2026</v>
      </c>
      <c r="C158" s="8" t="str">
        <f>IFERROR(__xludf.DUMMYFUNCTION("""COMPUTED_VALUE"""),"dreikon.de")</f>
        <v>dreikon.de</v>
      </c>
      <c r="D158" s="11" t="str">
        <f>IFERROR(__xludf.DUMMYFUNCTION("""COMPUTED_VALUE"""),"LISTICLE")</f>
        <v>LISTICLE</v>
      </c>
      <c r="E158" s="11" t="str">
        <f>IFERROR(__xludf.DUMMYFUNCTION("""COMPUTED_VALUE"""),"COMPETITOR")</f>
        <v>COMPETITOR</v>
      </c>
      <c r="F158" s="11" t="str">
        <f>IFERROR(__xludf.DUMMYFUNCTION("""COMPUTED_VALUE"""),"Listicle")</f>
        <v>Listicle</v>
      </c>
      <c r="G158" s="11" t="b">
        <f>IFERROR(__xludf.DUMMYFUNCTION("""COMPUTED_VALUE"""),FALSE)</f>
        <v>0</v>
      </c>
      <c r="H158" s="11" t="str">
        <f>IFERROR(__xludf.DUMMYFUNCTION("""COMPUTED_VALUE"""),"DREIKON, TRYSEO, morefire, eMinded GmbH")</f>
        <v>DREIKON, TRYSEO, morefire, eMinded GmbH</v>
      </c>
      <c r="I158" s="11">
        <f>IFERROR(__xludf.DUMMYFUNCTION("""COMPUTED_VALUE"""),3.0)</f>
        <v>3</v>
      </c>
      <c r="J158" s="11">
        <f>IFERROR(__xludf.DUMMYFUNCTION("""COMPUTED_VALUE"""),0.0)</f>
        <v>0</v>
      </c>
      <c r="K158" s="11">
        <f>IFERROR(__xludf.DUMMYFUNCTION("""COMPUTED_VALUE"""),0.0)</f>
        <v>0</v>
      </c>
    </row>
    <row r="159" ht="15.75" customHeight="1">
      <c r="A159" s="8" t="str">
        <f>IFERROR(__xludf.DUMMYFUNCTION("""COMPUTED_VALUE"""),"https://www.housesofgrowth.com/post/aeo-agencies-in-europe")</f>
        <v>https://www.housesofgrowth.com/post/aeo-agencies-in-europe</v>
      </c>
      <c r="B159" s="11" t="str">
        <f>IFERROR(__xludf.DUMMYFUNCTION("""COMPUTED_VALUE"""),"10 Best Answer Engine Optimization (AEO) Agencies in Europe [2026]")</f>
        <v>10 Best Answer Engine Optimization (AEO) Agencies in Europe [2026]</v>
      </c>
      <c r="C159" s="8" t="str">
        <f>IFERROR(__xludf.DUMMYFUNCTION("""COMPUTED_VALUE"""),"housesofgrowth.com")</f>
        <v>housesofgrowth.com</v>
      </c>
      <c r="D159" s="11" t="str">
        <f>IFERROR(__xludf.DUMMYFUNCTION("""COMPUTED_VALUE"""),"LISTICLE")</f>
        <v>LISTICLE</v>
      </c>
      <c r="E159" s="11" t="str">
        <f>IFERROR(__xludf.DUMMYFUNCTION("""COMPUTED_VALUE"""),"CORPORATE")</f>
        <v>CORPORATE</v>
      </c>
      <c r="F159" s="11" t="str">
        <f>IFERROR(__xludf.DUMMYFUNCTION("""COMPUTED_VALUE"""),"Listicle")</f>
        <v>Listicle</v>
      </c>
      <c r="G159" s="11" t="b">
        <f>IFERROR(__xludf.DUMMYFUNCTION("""COMPUTED_VALUE"""),FALSE)</f>
        <v>0</v>
      </c>
      <c r="H159" s="11" t="str">
        <f>IFERROR(__xludf.DUMMYFUNCTION("""COMPUTED_VALUE"""),"Peak Ace, Omnius")</f>
        <v>Peak Ace, Omnius</v>
      </c>
      <c r="I159" s="11">
        <f>IFERROR(__xludf.DUMMYFUNCTION("""COMPUTED_VALUE"""),3.0)</f>
        <v>3</v>
      </c>
      <c r="J159" s="11">
        <f>IFERROR(__xludf.DUMMYFUNCTION("""COMPUTED_VALUE"""),0.0)</f>
        <v>0</v>
      </c>
      <c r="K159" s="11">
        <f>IFERROR(__xludf.DUMMYFUNCTION("""COMPUTED_VALUE"""),0.0)</f>
        <v>0</v>
      </c>
    </row>
    <row r="160" ht="15.75" customHeight="1">
      <c r="A160" s="8" t="str">
        <f>IFERROR(__xludf.DUMMYFUNCTION("""COMPUTED_VALUE"""),"https://www.kom.de/public-relations/kreativranking-jung-von-matt-vor-msl-und-serviceplan/")</f>
        <v>https://www.kom.de/public-relations/kreativranking-jung-von-matt-vor-msl-und-serviceplan/</v>
      </c>
      <c r="B160" s="11" t="str">
        <f>IFERROR(__xludf.DUMMYFUNCTION("""COMPUTED_VALUE"""),"Kreativranking: Jung von Matt vor MSL und Serviceplan - Agenturen | KOM - Magazin für Kommunikation")</f>
        <v>Kreativranking: Jung von Matt vor MSL und Serviceplan - Agenturen | KOM - Magazin für Kommunikation</v>
      </c>
      <c r="C160" s="8" t="str">
        <f>IFERROR(__xludf.DUMMYFUNCTION("""COMPUTED_VALUE"""),"kom.de")</f>
        <v>kom.de</v>
      </c>
      <c r="D160" s="11" t="str">
        <f>IFERROR(__xludf.DUMMYFUNCTION("""COMPUTED_VALUE"""),"LISTICLE")</f>
        <v>LISTICLE</v>
      </c>
      <c r="E160" s="11" t="str">
        <f>IFERROR(__xludf.DUMMYFUNCTION("""COMPUTED_VALUE"""),"EDITORIAL")</f>
        <v>EDITORIAL</v>
      </c>
      <c r="F160" s="11" t="str">
        <f>IFERROR(__xludf.DUMMYFUNCTION("""COMPUTED_VALUE"""),"Listicle")</f>
        <v>Listicle</v>
      </c>
      <c r="G160" s="11" t="b">
        <f>IFERROR(__xludf.DUMMYFUNCTION("""COMPUTED_VALUE"""),FALSE)</f>
        <v>0</v>
      </c>
      <c r="H160" s="11" t="str">
        <f>IFERROR(__xludf.DUMMYFUNCTION("""COMPUTED_VALUE"""),"Jung von Matt")</f>
        <v>Jung von Matt</v>
      </c>
      <c r="I160" s="11">
        <f>IFERROR(__xludf.DUMMYFUNCTION("""COMPUTED_VALUE"""),3.0)</f>
        <v>3</v>
      </c>
      <c r="J160" s="11">
        <f>IFERROR(__xludf.DUMMYFUNCTION("""COMPUTED_VALUE"""),0.0)</f>
        <v>0</v>
      </c>
      <c r="K160" s="11">
        <f>IFERROR(__xludf.DUMMYFUNCTION("""COMPUTED_VALUE"""),0.0)</f>
        <v>0</v>
      </c>
    </row>
    <row r="161" ht="15.75" customHeight="1">
      <c r="A161" s="8" t="str">
        <f>IFERROR(__xludf.DUMMYFUNCTION("""COMPUTED_VALUE"""),"https://www.m1-project.com/blog/10-best-ai-marketing-agencies-in-depth-comparison")</f>
        <v>https://www.m1-project.com/blog/10-best-ai-marketing-agencies-in-depth-comparison</v>
      </c>
      <c r="B161" s="11" t="str">
        <f>IFERROR(__xludf.DUMMYFUNCTION("""COMPUTED_VALUE"""),"10 Best AI Marketing Agencies: In-Depth Comparison | M1-Project")</f>
        <v>10 Best AI Marketing Agencies: In-Depth Comparison | M1-Project</v>
      </c>
      <c r="C161" s="8" t="str">
        <f>IFERROR(__xludf.DUMMYFUNCTION("""COMPUTED_VALUE"""),"m1-project.com")</f>
        <v>m1-project.com</v>
      </c>
      <c r="D161" s="11" t="str">
        <f>IFERROR(__xludf.DUMMYFUNCTION("""COMPUTED_VALUE"""),"LISTICLE")</f>
        <v>LISTICLE</v>
      </c>
      <c r="E161" s="11" t="str">
        <f>IFERROR(__xludf.DUMMYFUNCTION("""COMPUTED_VALUE"""),"CORPORATE")</f>
        <v>CORPORATE</v>
      </c>
      <c r="F161" s="11" t="str">
        <f>IFERROR(__xludf.DUMMYFUNCTION("""COMPUTED_VALUE"""),"Listicle")</f>
        <v>Listicle</v>
      </c>
      <c r="G161" s="11" t="b">
        <f>IFERROR(__xludf.DUMMYFUNCTION("""COMPUTED_VALUE"""),FALSE)</f>
        <v>0</v>
      </c>
      <c r="H161" s="11" t="str">
        <f>IFERROR(__xludf.DUMMYFUNCTION("""COMPUTED_VALUE"""),"Measured")</f>
        <v>Measured</v>
      </c>
      <c r="I161" s="11">
        <f>IFERROR(__xludf.DUMMYFUNCTION("""COMPUTED_VALUE"""),3.0)</f>
        <v>3</v>
      </c>
      <c r="J161" s="11">
        <f>IFERROR(__xludf.DUMMYFUNCTION("""COMPUTED_VALUE"""),0.0)</f>
        <v>0</v>
      </c>
      <c r="K161" s="11">
        <f>IFERROR(__xludf.DUMMYFUNCTION("""COMPUTED_VALUE"""),0.67)</f>
        <v>0.67</v>
      </c>
    </row>
    <row r="162" ht="15.75" customHeight="1">
      <c r="A162" s="8" t="str">
        <f>IFERROR(__xludf.DUMMYFUNCTION("""COMPUTED_VALUE"""),"https://www.magiclibrary.co/blog/best-linkedin-ads-agency-in-germany")</f>
        <v>https://www.magiclibrary.co/blog/best-linkedin-ads-agency-in-germany</v>
      </c>
      <c r="B162" s="11" t="str">
        <f>IFERROR(__xludf.DUMMYFUNCTION("""COMPUTED_VALUE"""),"The Best LinkedIn Ads Agency in Germany: 11 Picks for B2B (2026)")</f>
        <v>The Best LinkedIn Ads Agency in Germany: 11 Picks for B2B (2026)</v>
      </c>
      <c r="C162" s="8" t="str">
        <f>IFERROR(__xludf.DUMMYFUNCTION("""COMPUTED_VALUE"""),"magiclibrary.co")</f>
        <v>magiclibrary.co</v>
      </c>
      <c r="D162" s="11" t="str">
        <f>IFERROR(__xludf.DUMMYFUNCTION("""COMPUTED_VALUE"""),"LISTICLE")</f>
        <v>LISTICLE</v>
      </c>
      <c r="E162" s="11" t="str">
        <f>IFERROR(__xludf.DUMMYFUNCTION("""COMPUTED_VALUE"""),"REFERENCE")</f>
        <v>REFERENCE</v>
      </c>
      <c r="F162" s="11" t="str">
        <f>IFERROR(__xludf.DUMMYFUNCTION("""COMPUTED_VALUE"""),"Listicle")</f>
        <v>Listicle</v>
      </c>
      <c r="G162" s="11" t="b">
        <f>IFERROR(__xludf.DUMMYFUNCTION("""COMPUTED_VALUE"""),FALSE)</f>
        <v>0</v>
      </c>
      <c r="H162" s="11" t="str">
        <f>IFERROR(__xludf.DUMMYFUNCTION("""COMPUTED_VALUE"""),"Loyamo, morefire, MONSOON")</f>
        <v>Loyamo, morefire, MONSOON</v>
      </c>
      <c r="I162" s="11">
        <f>IFERROR(__xludf.DUMMYFUNCTION("""COMPUTED_VALUE"""),3.0)</f>
        <v>3</v>
      </c>
      <c r="J162" s="11">
        <f>IFERROR(__xludf.DUMMYFUNCTION("""COMPUTED_VALUE"""),0.0)</f>
        <v>0</v>
      </c>
      <c r="K162" s="11">
        <f>IFERROR(__xludf.DUMMYFUNCTION("""COMPUTED_VALUE"""),1.0)</f>
        <v>1</v>
      </c>
    </row>
    <row r="163" ht="15.75" customHeight="1">
      <c r="A163" s="8" t="str">
        <f>IFERROR(__xludf.DUMMYFUNCTION("""COMPUTED_VALUE"""),"https://mammoth.io/blog/marketing-attribution-software/")</f>
        <v>https://mammoth.io/blog/marketing-attribution-software/</v>
      </c>
      <c r="B163" s="11" t="str">
        <f>IFERROR(__xludf.DUMMYFUNCTION("""COMPUTED_VALUE"""),"15 Best Marketing Attribution Software Tools [Curated List] | Mammoth Analytics")</f>
        <v>15 Best Marketing Attribution Software Tools [Curated List] | Mammoth Analytics</v>
      </c>
      <c r="C163" s="8" t="str">
        <f>IFERROR(__xludf.DUMMYFUNCTION("""COMPUTED_VALUE"""),"mammoth.io")</f>
        <v>mammoth.io</v>
      </c>
      <c r="D163" s="11" t="str">
        <f>IFERROR(__xludf.DUMMYFUNCTION("""COMPUTED_VALUE"""),"LISTICLE")</f>
        <v>LISTICLE</v>
      </c>
      <c r="E163" s="11" t="str">
        <f>IFERROR(__xludf.DUMMYFUNCTION("""COMPUTED_VALUE"""),"CORPORATE")</f>
        <v>CORPORATE</v>
      </c>
      <c r="F163" s="11" t="str">
        <f>IFERROR(__xludf.DUMMYFUNCTION("""COMPUTED_VALUE"""),"Listicle")</f>
        <v>Listicle</v>
      </c>
      <c r="G163" s="11" t="b">
        <f>IFERROR(__xludf.DUMMYFUNCTION("""COMPUTED_VALUE"""),FALSE)</f>
        <v>0</v>
      </c>
      <c r="H163" s="11" t="str">
        <f>IFERROR(__xludf.DUMMYFUNCTION("""COMPUTED_VALUE"""),"Triple Whale, Northbeam, Ruler Analytics")</f>
        <v>Triple Whale, Northbeam, Ruler Analytics</v>
      </c>
      <c r="I163" s="11">
        <f>IFERROR(__xludf.DUMMYFUNCTION("""COMPUTED_VALUE"""),3.0)</f>
        <v>3</v>
      </c>
      <c r="J163" s="11">
        <f>IFERROR(__xludf.DUMMYFUNCTION("""COMPUTED_VALUE"""),0.0)</f>
        <v>0</v>
      </c>
      <c r="K163" s="11">
        <f>IFERROR(__xludf.DUMMYFUNCTION("""COMPUTED_VALUE"""),0.0)</f>
        <v>0</v>
      </c>
    </row>
    <row r="164" ht="15.75" customHeight="1">
      <c r="A164" s="8" t="str">
        <f>IFERROR(__xludf.DUMMYFUNCTION("""COMPUTED_VALUE"""),"https://marketinglens.com/top-10/top-10-ppc-agencies-in-europe/")</f>
        <v>https://marketinglens.com/top-10/top-10-ppc-agencies-in-europe/</v>
      </c>
      <c r="B164" s="11" t="str">
        <f>IFERROR(__xludf.DUMMYFUNCTION("""COMPUTED_VALUE"""),"Top 10 PPC Agencies in Europe")</f>
        <v>Top 10 PPC Agencies in Europe</v>
      </c>
      <c r="C164" s="8" t="str">
        <f>IFERROR(__xludf.DUMMYFUNCTION("""COMPUTED_VALUE"""),"marketinglens.com")</f>
        <v>marketinglens.com</v>
      </c>
      <c r="D164" s="11" t="str">
        <f>IFERROR(__xludf.DUMMYFUNCTION("""COMPUTED_VALUE"""),"LISTICLE")</f>
        <v>LISTICLE</v>
      </c>
      <c r="E164" s="11" t="str">
        <f>IFERROR(__xludf.DUMMYFUNCTION("""COMPUTED_VALUE"""),"CORPORATE")</f>
        <v>CORPORATE</v>
      </c>
      <c r="F164" s="11" t="str">
        <f>IFERROR(__xludf.DUMMYFUNCTION("""COMPUTED_VALUE"""),"Listicle")</f>
        <v>Listicle</v>
      </c>
      <c r="G164" s="11" t="b">
        <f>IFERROR(__xludf.DUMMYFUNCTION("""COMPUTED_VALUE"""),FALSE)</f>
        <v>0</v>
      </c>
      <c r="H164" s="11" t="str">
        <f>IFERROR(__xludf.DUMMYFUNCTION("""COMPUTED_VALUE"""),"Peak Ace, Brainlabs, s360, DEPT, Jellyfish")</f>
        <v>Peak Ace, Brainlabs, s360, DEPT, Jellyfish</v>
      </c>
      <c r="I164" s="11">
        <f>IFERROR(__xludf.DUMMYFUNCTION("""COMPUTED_VALUE"""),3.0)</f>
        <v>3</v>
      </c>
      <c r="J164" s="11">
        <f>IFERROR(__xludf.DUMMYFUNCTION("""COMPUTED_VALUE"""),0.0)</f>
        <v>0</v>
      </c>
      <c r="K164" s="11">
        <f>IFERROR(__xludf.DUMMYFUNCTION("""COMPUTED_VALUE"""),1.33)</f>
        <v>1.33</v>
      </c>
    </row>
    <row r="165" ht="15.75" customHeight="1">
      <c r="A165" s="8" t="str">
        <f>IFERROR(__xludf.DUMMYFUNCTION("""COMPUTED_VALUE"""),"https://www.omnius.so/blog/german-seo-agencies")</f>
        <v>https://www.omnius.so/blog/german-seo-agencies</v>
      </c>
      <c r="B165" s="11" t="str">
        <f>IFERROR(__xludf.DUMMYFUNCTION("""COMPUTED_VALUE"""),"16 Best SEO Agencies in Germany to Work With in 2026")</f>
        <v>16 Best SEO Agencies in Germany to Work With in 2026</v>
      </c>
      <c r="C165" s="8" t="str">
        <f>IFERROR(__xludf.DUMMYFUNCTION("""COMPUTED_VALUE"""),"omnius.so")</f>
        <v>omnius.so</v>
      </c>
      <c r="D165" s="11" t="str">
        <f>IFERROR(__xludf.DUMMYFUNCTION("""COMPUTED_VALUE"""),"LISTICLE")</f>
        <v>LISTICLE</v>
      </c>
      <c r="E165" s="11" t="str">
        <f>IFERROR(__xludf.DUMMYFUNCTION("""COMPUTED_VALUE"""),"COMPETITOR")</f>
        <v>COMPETITOR</v>
      </c>
      <c r="F165" s="11" t="str">
        <f>IFERROR(__xludf.DUMMYFUNCTION("""COMPUTED_VALUE"""),"Listicle")</f>
        <v>Listicle</v>
      </c>
      <c r="G165" s="11" t="b">
        <f>IFERROR(__xludf.DUMMYFUNCTION("""COMPUTED_VALUE"""),FALSE)</f>
        <v>0</v>
      </c>
      <c r="H165" s="11" t="str">
        <f>IFERROR(__xludf.DUMMYFUNCTION("""COMPUTED_VALUE"""),"Omnius, TRYSEO, morefire")</f>
        <v>Omnius, TRYSEO, morefire</v>
      </c>
      <c r="I165" s="11">
        <f>IFERROR(__xludf.DUMMYFUNCTION("""COMPUTED_VALUE"""),3.0)</f>
        <v>3</v>
      </c>
      <c r="J165" s="11">
        <f>IFERROR(__xludf.DUMMYFUNCTION("""COMPUTED_VALUE"""),0.0)</f>
        <v>0</v>
      </c>
      <c r="K165" s="11">
        <f>IFERROR(__xludf.DUMMYFUNCTION("""COMPUTED_VALUE"""),1.67)</f>
        <v>1.67</v>
      </c>
    </row>
    <row r="166" ht="15.75" customHeight="1">
      <c r="A166" s="8" t="str">
        <f>IFERROR(__xludf.DUMMYFUNCTION("""COMPUTED_VALUE"""),"https://procloser.ai/blog/best-aeo-agencies-2026/")</f>
        <v>https://procloser.ai/blog/best-aeo-agencies-2026/</v>
      </c>
      <c r="B166" s="11" t="str">
        <f>IFERROR(__xludf.DUMMYFUNCTION("""COMPUTED_VALUE"""),"Best Answer Engine Optimization (AEO) Agencies 2026 | ProCloser.ai")</f>
        <v>Best Answer Engine Optimization (AEO) Agencies 2026 | ProCloser.ai</v>
      </c>
      <c r="C166" s="8" t="str">
        <f>IFERROR(__xludf.DUMMYFUNCTION("""COMPUTED_VALUE"""),"procloser.ai")</f>
        <v>procloser.ai</v>
      </c>
      <c r="D166" s="11" t="str">
        <f>IFERROR(__xludf.DUMMYFUNCTION("""COMPUTED_VALUE"""),"LISTICLE")</f>
        <v>LISTICLE</v>
      </c>
      <c r="E166" s="11" t="str">
        <f>IFERROR(__xludf.DUMMYFUNCTION("""COMPUTED_VALUE"""),"CORPORATE")</f>
        <v>CORPORATE</v>
      </c>
      <c r="F166" s="11" t="str">
        <f>IFERROR(__xludf.DUMMYFUNCTION("""COMPUTED_VALUE"""),"Listicle")</f>
        <v>Listicle</v>
      </c>
      <c r="G166" s="11" t="b">
        <f>IFERROR(__xludf.DUMMYFUNCTION("""COMPUTED_VALUE"""),FALSE)</f>
        <v>0</v>
      </c>
      <c r="H166" s="11" t="str">
        <f>IFERROR(__xludf.DUMMYFUNCTION("""COMPUTED_VALUE"""),"Siege Media, Omniscient Digital, Single Grain, WebFX, Omnius, SmartSites, KlientBoost, Directive Consulting, Momentum")</f>
        <v>Siege Media, Omniscient Digital, Single Grain, WebFX, Omnius, SmartSites, KlientBoost, Directive Consulting, Momentum</v>
      </c>
      <c r="I166" s="11">
        <f>IFERROR(__xludf.DUMMYFUNCTION("""COMPUTED_VALUE"""),3.0)</f>
        <v>3</v>
      </c>
      <c r="J166" s="11">
        <f>IFERROR(__xludf.DUMMYFUNCTION("""COMPUTED_VALUE"""),0.0)</f>
        <v>0</v>
      </c>
      <c r="K166" s="11">
        <f>IFERROR(__xludf.DUMMYFUNCTION("""COMPUTED_VALUE"""),0.0)</f>
        <v>0</v>
      </c>
    </row>
    <row r="167" ht="15.75" customHeight="1">
      <c r="A167" s="8" t="str">
        <f>IFERROR(__xludf.DUMMYFUNCTION("""COMPUTED_VALUE"""),"https://www.seoworks.com/lists/best-aeo-answer-engine-optimisation-agencies/")</f>
        <v>https://www.seoworks.com/lists/best-aeo-answer-engine-optimisation-agencies/</v>
      </c>
      <c r="B167" s="11" t="str">
        <f>IFERROR(__xludf.DUMMYFUNCTION("""COMPUTED_VALUE"""),"20 Best Answer Engine Optimisation (AEO) Agencies (2026) | The SEO Works")</f>
        <v>20 Best Answer Engine Optimisation (AEO) Agencies (2026) | The SEO Works</v>
      </c>
      <c r="C167" s="8" t="str">
        <f>IFERROR(__xludf.DUMMYFUNCTION("""COMPUTED_VALUE"""),"seoworks.com")</f>
        <v>seoworks.com</v>
      </c>
      <c r="D167" s="11" t="str">
        <f>IFERROR(__xludf.DUMMYFUNCTION("""COMPUTED_VALUE"""),"LISTICLE")</f>
        <v>LISTICLE</v>
      </c>
      <c r="E167" s="11" t="str">
        <f>IFERROR(__xludf.DUMMYFUNCTION("""COMPUTED_VALUE"""),"CORPORATE")</f>
        <v>CORPORATE</v>
      </c>
      <c r="F167" s="11" t="str">
        <f>IFERROR(__xludf.DUMMYFUNCTION("""COMPUTED_VALUE"""),"Listicle")</f>
        <v>Listicle</v>
      </c>
      <c r="G167" s="11" t="b">
        <f>IFERROR(__xludf.DUMMYFUNCTION("""COMPUTED_VALUE"""),FALSE)</f>
        <v>0</v>
      </c>
      <c r="H167" s="11" t="str">
        <f>IFERROR(__xludf.DUMMYFUNCTION("""COMPUTED_VALUE"""),"Measured, HikeMyTraffic, Jellyfish, Siege Media, Brainlabs, WebFX, SmartSites")</f>
        <v>Measured, HikeMyTraffic, Jellyfish, Siege Media, Brainlabs, WebFX, SmartSites</v>
      </c>
      <c r="I167" s="11">
        <f>IFERROR(__xludf.DUMMYFUNCTION("""COMPUTED_VALUE"""),3.0)</f>
        <v>3</v>
      </c>
      <c r="J167" s="11">
        <f>IFERROR(__xludf.DUMMYFUNCTION("""COMPUTED_VALUE"""),0.0)</f>
        <v>0</v>
      </c>
      <c r="K167" s="11">
        <f>IFERROR(__xludf.DUMMYFUNCTION("""COMPUTED_VALUE"""),0.0)</f>
        <v>0</v>
      </c>
    </row>
    <row r="168" ht="15.75" customHeight="1">
      <c r="A168" s="8" t="str">
        <f>IFERROR(__xludf.DUMMYFUNCTION("""COMPUTED_VALUE"""),"https://sourceforge.net/software/answer-engine-optimization-aeo/germany/")</f>
        <v>https://sourceforge.net/software/answer-engine-optimization-aeo/germany/</v>
      </c>
      <c r="B168" s="11" t="str">
        <f>IFERROR(__xludf.DUMMYFUNCTION("""COMPUTED_VALUE"""),"Best Answer Engine Optimization (AEO) Software in Germany of 2026 - Reviews &amp;amp; Comparison")</f>
        <v>Best Answer Engine Optimization (AEO) Software in Germany of 2026 - Reviews &amp;amp; Comparison</v>
      </c>
      <c r="C168" s="8" t="str">
        <f>IFERROR(__xludf.DUMMYFUNCTION("""COMPUTED_VALUE"""),"sourceforge.net")</f>
        <v>sourceforge.net</v>
      </c>
      <c r="D168" s="11" t="str">
        <f>IFERROR(__xludf.DUMMYFUNCTION("""COMPUTED_VALUE"""),"LISTICLE")</f>
        <v>LISTICLE</v>
      </c>
      <c r="E168" s="11" t="str">
        <f>IFERROR(__xludf.DUMMYFUNCTION("""COMPUTED_VALUE"""),"OTHER")</f>
        <v>OTHER</v>
      </c>
      <c r="F168" s="11" t="str">
        <f>IFERROR(__xludf.DUMMYFUNCTION("""COMPUTED_VALUE"""),"Listicle")</f>
        <v>Listicle</v>
      </c>
      <c r="G168" s="11" t="b">
        <f>IFERROR(__xludf.DUMMYFUNCTION("""COMPUTED_VALUE"""),FALSE)</f>
        <v>0</v>
      </c>
      <c r="H168" s="11"/>
      <c r="I168" s="11">
        <f>IFERROR(__xludf.DUMMYFUNCTION("""COMPUTED_VALUE"""),3.0)</f>
        <v>3</v>
      </c>
      <c r="J168" s="11">
        <f>IFERROR(__xludf.DUMMYFUNCTION("""COMPUTED_VALUE"""),0.0)</f>
        <v>0</v>
      </c>
      <c r="K168" s="11">
        <f>IFERROR(__xludf.DUMMYFUNCTION("""COMPUTED_VALUE"""),0.0)</f>
        <v>0</v>
      </c>
    </row>
    <row r="169" ht="15.75" customHeight="1">
      <c r="A169" s="8" t="str">
        <f>IFERROR(__xludf.DUMMYFUNCTION("""COMPUTED_VALUE"""),"https://thatware.co/top-10-llm-seo-companies-in-germany/")</f>
        <v>https://thatware.co/top-10-llm-seo-companies-in-germany/</v>
      </c>
      <c r="B169" s="11" t="str">
        <f>IFERROR(__xludf.DUMMYFUNCTION("""COMPUTED_VALUE"""),"Top LLM SEO Companies in Germany for AI Optimization")</f>
        <v>Top LLM SEO Companies in Germany for AI Optimization</v>
      </c>
      <c r="C169" s="8" t="str">
        <f>IFERROR(__xludf.DUMMYFUNCTION("""COMPUTED_VALUE"""),"thatware.co")</f>
        <v>thatware.co</v>
      </c>
      <c r="D169" s="11" t="str">
        <f>IFERROR(__xludf.DUMMYFUNCTION("""COMPUTED_VALUE"""),"LISTICLE")</f>
        <v>LISTICLE</v>
      </c>
      <c r="E169" s="11" t="str">
        <f>IFERROR(__xludf.DUMMYFUNCTION("""COMPUTED_VALUE"""),"CORPORATE")</f>
        <v>CORPORATE</v>
      </c>
      <c r="F169" s="11" t="str">
        <f>IFERROR(__xludf.DUMMYFUNCTION("""COMPUTED_VALUE"""),"Listicle")</f>
        <v>Listicle</v>
      </c>
      <c r="G169" s="11" t="b">
        <f>IFERROR(__xludf.DUMMYFUNCTION("""COMPUTED_VALUE"""),FALSE)</f>
        <v>0</v>
      </c>
      <c r="H169" s="11" t="str">
        <f>IFERROR(__xludf.DUMMYFUNCTION("""COMPUTED_VALUE"""),"KlickPiloten")</f>
        <v>KlickPiloten</v>
      </c>
      <c r="I169" s="11">
        <f>IFERROR(__xludf.DUMMYFUNCTION("""COMPUTED_VALUE"""),3.0)</f>
        <v>3</v>
      </c>
      <c r="J169" s="11">
        <f>IFERROR(__xludf.DUMMYFUNCTION("""COMPUTED_VALUE"""),0.0)</f>
        <v>0</v>
      </c>
      <c r="K169" s="11">
        <f>IFERROR(__xludf.DUMMYFUNCTION("""COMPUTED_VALUE"""),4.67)</f>
        <v>4.67</v>
      </c>
    </row>
    <row r="170" ht="15.75" customHeight="1">
      <c r="A170" s="8" t="str">
        <f>IFERROR(__xludf.DUMMYFUNCTION("""COMPUTED_VALUE"""),"https://themanifest.com/de/programmatic/agencies")</f>
        <v>https://themanifest.com/de/programmatic/agencies</v>
      </c>
      <c r="B170" s="11" t="str">
        <f>IFERROR(__xludf.DUMMYFUNCTION("""COMPUTED_VALUE"""),"The Best Programmatic Advertising Companies in Germany - Jul 2026 | The Manifest")</f>
        <v>The Best Programmatic Advertising Companies in Germany - Jul 2026 | The Manifest</v>
      </c>
      <c r="C170" s="8" t="str">
        <f>IFERROR(__xludf.DUMMYFUNCTION("""COMPUTED_VALUE"""),"themanifest.com")</f>
        <v>themanifest.com</v>
      </c>
      <c r="D170" s="11" t="str">
        <f>IFERROR(__xludf.DUMMYFUNCTION("""COMPUTED_VALUE"""),"LISTICLE")</f>
        <v>LISTICLE</v>
      </c>
      <c r="E170" s="11" t="str">
        <f>IFERROR(__xludf.DUMMYFUNCTION("""COMPUTED_VALUE"""),"REFERENCE")</f>
        <v>REFERENCE</v>
      </c>
      <c r="F170" s="11" t="str">
        <f>IFERROR(__xludf.DUMMYFUNCTION("""COMPUTED_VALUE"""),"Listicle")</f>
        <v>Listicle</v>
      </c>
      <c r="G170" s="11" t="b">
        <f>IFERROR(__xludf.DUMMYFUNCTION("""COMPUTED_VALUE"""),FALSE)</f>
        <v>0</v>
      </c>
      <c r="H170" s="11" t="str">
        <f>IFERROR(__xludf.DUMMYFUNCTION("""COMPUTED_VALUE"""),"Phiture, PANORAMA3000, morefire, WeLikeWeb GmbH")</f>
        <v>Phiture, PANORAMA3000, morefire, WeLikeWeb GmbH</v>
      </c>
      <c r="I170" s="11">
        <f>IFERROR(__xludf.DUMMYFUNCTION("""COMPUTED_VALUE"""),3.0)</f>
        <v>3</v>
      </c>
      <c r="J170" s="11">
        <f>IFERROR(__xludf.DUMMYFUNCTION("""COMPUTED_VALUE"""),0.0)</f>
        <v>0</v>
      </c>
      <c r="K170" s="11">
        <f>IFERROR(__xludf.DUMMYFUNCTION("""COMPUTED_VALUE"""),0.0)</f>
        <v>0</v>
      </c>
    </row>
    <row r="171" ht="15.75" customHeight="1">
      <c r="A171" s="8" t="str">
        <f>IFERROR(__xludf.DUMMYFUNCTION("""COMPUTED_VALUE"""),"https://toolbox.humandeluxe.com/best-design-studios/#:~:text=2020,local%20supermarket%20chain%20%C2%ABteGut%C2%BB.")</f>
        <v>https://toolbox.humandeluxe.com/best-design-studios/#:~:text=2020,local%20supermarket%20chain%20%C2%ABteGut%C2%BB.</v>
      </c>
      <c r="B171" s="11" t="str">
        <f>IFERROR(__xludf.DUMMYFUNCTION("""COMPUTED_VALUE"""),"Best Brand Agencies and Studios in Berlin")</f>
        <v>Best Brand Agencies and Studios in Berlin</v>
      </c>
      <c r="C171" s="8" t="str">
        <f>IFERROR(__xludf.DUMMYFUNCTION("""COMPUTED_VALUE"""),"humandeluxe.com")</f>
        <v>humandeluxe.com</v>
      </c>
      <c r="D171" s="11" t="str">
        <f>IFERROR(__xludf.DUMMYFUNCTION("""COMPUTED_VALUE"""),"LISTICLE")</f>
        <v>LISTICLE</v>
      </c>
      <c r="E171" s="11" t="str">
        <f>IFERROR(__xludf.DUMMYFUNCTION("""COMPUTED_VALUE"""),"CORPORATE")</f>
        <v>CORPORATE</v>
      </c>
      <c r="F171" s="11" t="str">
        <f>IFERROR(__xludf.DUMMYFUNCTION("""COMPUTED_VALUE"""),"Listicle")</f>
        <v>Listicle</v>
      </c>
      <c r="G171" s="11" t="b">
        <f>IFERROR(__xludf.DUMMYFUNCTION("""COMPUTED_VALUE"""),FALSE)</f>
        <v>0</v>
      </c>
      <c r="H171" s="11"/>
      <c r="I171" s="11">
        <f>IFERROR(__xludf.DUMMYFUNCTION("""COMPUTED_VALUE"""),3.0)</f>
        <v>3</v>
      </c>
      <c r="J171" s="11">
        <f>IFERROR(__xludf.DUMMYFUNCTION("""COMPUTED_VALUE"""),0.0)</f>
        <v>0</v>
      </c>
      <c r="K171" s="11">
        <f>IFERROR(__xludf.DUMMYFUNCTION("""COMPUTED_VALUE"""),1.0)</f>
        <v>1</v>
      </c>
    </row>
    <row r="172" ht="15.75" customHeight="1">
      <c r="A172" s="8" t="str">
        <f>IFERROR(__xludf.DUMMYFUNCTION("""COMPUTED_VALUE"""),"https://www.topseobrands.com/de/best-display-advertising-firms-in-germany")</f>
        <v>https://www.topseobrands.com/de/best-display-advertising-firms-in-germany</v>
      </c>
      <c r="B172" s="11" t="str">
        <f>IFERROR(__xludf.DUMMYFUNCTION("""COMPUTED_VALUE"""),"Best Display Advertising Firms in Germany | Top SEO Brands")</f>
        <v>Best Display Advertising Firms in Germany | Top SEO Brands</v>
      </c>
      <c r="C172" s="8" t="str">
        <f>IFERROR(__xludf.DUMMYFUNCTION("""COMPUTED_VALUE"""),"topseobrands.com")</f>
        <v>topseobrands.com</v>
      </c>
      <c r="D172" s="11" t="str">
        <f>IFERROR(__xludf.DUMMYFUNCTION("""COMPUTED_VALUE"""),"LISTICLE")</f>
        <v>LISTICLE</v>
      </c>
      <c r="E172" s="11" t="str">
        <f>IFERROR(__xludf.DUMMYFUNCTION("""COMPUTED_VALUE"""),"REFERENCE")</f>
        <v>REFERENCE</v>
      </c>
      <c r="F172" s="11" t="str">
        <f>IFERROR(__xludf.DUMMYFUNCTION("""COMPUTED_VALUE"""),"Listicle")</f>
        <v>Listicle</v>
      </c>
      <c r="G172" s="11" t="b">
        <f>IFERROR(__xludf.DUMMYFUNCTION("""COMPUTED_VALUE"""),FALSE)</f>
        <v>0</v>
      </c>
      <c r="H172" s="11"/>
      <c r="I172" s="11">
        <f>IFERROR(__xludf.DUMMYFUNCTION("""COMPUTED_VALUE"""),3.0)</f>
        <v>3</v>
      </c>
      <c r="J172" s="11">
        <f>IFERROR(__xludf.DUMMYFUNCTION("""COMPUTED_VALUE"""),0.0)</f>
        <v>0</v>
      </c>
      <c r="K172" s="11">
        <f>IFERROR(__xludf.DUMMYFUNCTION("""COMPUTED_VALUE"""),0.0)</f>
        <v>0</v>
      </c>
    </row>
    <row r="173" ht="15.75" customHeight="1">
      <c r="A173" s="8" t="str">
        <f>IFERROR(__xludf.DUMMYFUNCTION("""COMPUTED_VALUE"""),"https://visionone.co.uk/news/the-best-international-research-agencies/")</f>
        <v>https://visionone.co.uk/news/the-best-international-research-agencies/</v>
      </c>
      <c r="B173" s="11" t="str">
        <f>IFERROR(__xludf.DUMMYFUNCTION("""COMPUTED_VALUE"""),"Best International Research Agencies By Vision One")</f>
        <v>Best International Research Agencies By Vision One</v>
      </c>
      <c r="C173" s="8" t="str">
        <f>IFERROR(__xludf.DUMMYFUNCTION("""COMPUTED_VALUE"""),"visionone.co.uk")</f>
        <v>visionone.co.uk</v>
      </c>
      <c r="D173" s="11" t="str">
        <f>IFERROR(__xludf.DUMMYFUNCTION("""COMPUTED_VALUE"""),"LISTICLE")</f>
        <v>LISTICLE</v>
      </c>
      <c r="E173" s="11" t="str">
        <f>IFERROR(__xludf.DUMMYFUNCTION("""COMPUTED_VALUE"""),"CORPORATE")</f>
        <v>CORPORATE</v>
      </c>
      <c r="F173" s="11" t="str">
        <f>IFERROR(__xludf.DUMMYFUNCTION("""COMPUTED_VALUE"""),"Listicle")</f>
        <v>Listicle</v>
      </c>
      <c r="G173" s="11" t="b">
        <f>IFERROR(__xludf.DUMMYFUNCTION("""COMPUTED_VALUE"""),FALSE)</f>
        <v>0</v>
      </c>
      <c r="H173" s="11" t="str">
        <f>IFERROR(__xludf.DUMMYFUNCTION("""COMPUTED_VALUE"""),"Kantar")</f>
        <v>Kantar</v>
      </c>
      <c r="I173" s="11">
        <f>IFERROR(__xludf.DUMMYFUNCTION("""COMPUTED_VALUE"""),3.0)</f>
        <v>3</v>
      </c>
      <c r="J173" s="11">
        <f>IFERROR(__xludf.DUMMYFUNCTION("""COMPUTED_VALUE"""),0.0)</f>
        <v>0</v>
      </c>
      <c r="K173" s="11">
        <f>IFERROR(__xludf.DUMMYFUNCTION("""COMPUTED_VALUE"""),1.0)</f>
        <v>1</v>
      </c>
    </row>
    <row r="174" ht="15.75" customHeight="1">
      <c r="A174" s="8" t="str">
        <f>IFERROR(__xludf.DUMMYFUNCTION("""COMPUTED_VALUE"""),"https://www.youtube.com/watch?v=00C1PZt8bLw&amp;vl=en")</f>
        <v>https://www.youtube.com/watch?v=00C1PZt8bLw&amp;vl=en</v>
      </c>
      <c r="B174" s="11" t="str">
        <f>IFERROR(__xludf.DUMMYFUNCTION("""COMPUTED_VALUE"""),"Best GEO agencies in Germany")</f>
        <v>Best GEO agencies in Germany</v>
      </c>
      <c r="C174" s="8" t="str">
        <f>IFERROR(__xludf.DUMMYFUNCTION("""COMPUTED_VALUE"""),"youtube.com")</f>
        <v>youtube.com</v>
      </c>
      <c r="D174" s="11" t="str">
        <f>IFERROR(__xludf.DUMMYFUNCTION("""COMPUTED_VALUE"""),"LISTICLE")</f>
        <v>LISTICLE</v>
      </c>
      <c r="E174" s="11" t="str">
        <f>IFERROR(__xludf.DUMMYFUNCTION("""COMPUTED_VALUE"""),"UGC")</f>
        <v>UGC</v>
      </c>
      <c r="F174" s="11" t="str">
        <f>IFERROR(__xludf.DUMMYFUNCTION("""COMPUTED_VALUE"""),"Listicle")</f>
        <v>Listicle</v>
      </c>
      <c r="G174" s="11" t="b">
        <f>IFERROR(__xludf.DUMMYFUNCTION("""COMPUTED_VALUE"""),FALSE)</f>
        <v>0</v>
      </c>
      <c r="H174" s="11"/>
      <c r="I174" s="11">
        <f>IFERROR(__xludf.DUMMYFUNCTION("""COMPUTED_VALUE"""),3.0)</f>
        <v>3</v>
      </c>
      <c r="J174" s="11">
        <f>IFERROR(__xludf.DUMMYFUNCTION("""COMPUTED_VALUE"""),0.0)</f>
        <v>0</v>
      </c>
      <c r="K174" s="11">
        <f>IFERROR(__xludf.DUMMYFUNCTION("""COMPUTED_VALUE"""),1.0)</f>
        <v>1</v>
      </c>
    </row>
    <row r="175" ht="15.75" customHeight="1">
      <c r="A175" s="8" t="str">
        <f>IFERROR(__xludf.DUMMYFUNCTION("""COMPUTED_VALUE"""),"https://zipdo.co/service/marketing-attribution/")</f>
        <v>https://zipdo.co/service/marketing-attribution/</v>
      </c>
      <c r="B175" s="11" t="str">
        <f>IFERROR(__xludf.DUMMYFUNCTION("""COMPUTED_VALUE"""),"Top 10 Best Marketing Attribution Services | Top Picks 2026")</f>
        <v>Top 10 Best Marketing Attribution Services | Top Picks 2026</v>
      </c>
      <c r="C175" s="8" t="str">
        <f>IFERROR(__xludf.DUMMYFUNCTION("""COMPUTED_VALUE"""),"zipdo.co")</f>
        <v>zipdo.co</v>
      </c>
      <c r="D175" s="11" t="str">
        <f>IFERROR(__xludf.DUMMYFUNCTION("""COMPUTED_VALUE"""),"LISTICLE")</f>
        <v>LISTICLE</v>
      </c>
      <c r="E175" s="11" t="str">
        <f>IFERROR(__xludf.DUMMYFUNCTION("""COMPUTED_VALUE"""),"REFERENCE")</f>
        <v>REFERENCE</v>
      </c>
      <c r="F175" s="11" t="str">
        <f>IFERROR(__xludf.DUMMYFUNCTION("""COMPUTED_VALUE"""),"Listicle")</f>
        <v>Listicle</v>
      </c>
      <c r="G175" s="11" t="b">
        <f>IFERROR(__xludf.DUMMYFUNCTION("""COMPUTED_VALUE"""),FALSE)</f>
        <v>0</v>
      </c>
      <c r="H175" s="11" t="str">
        <f>IFERROR(__xludf.DUMMYFUNCTION("""COMPUTED_VALUE"""),"Northbeam, Merkle, Wpromote, PwC")</f>
        <v>Northbeam, Merkle, Wpromote, PwC</v>
      </c>
      <c r="I175" s="11">
        <f>IFERROR(__xludf.DUMMYFUNCTION("""COMPUTED_VALUE"""),3.0)</f>
        <v>3</v>
      </c>
      <c r="J175" s="11">
        <f>IFERROR(__xludf.DUMMYFUNCTION("""COMPUTED_VALUE"""),0.0)</f>
        <v>0</v>
      </c>
      <c r="K175" s="11">
        <f>IFERROR(__xludf.DUMMYFUNCTION("""COMPUTED_VALUE"""),0.0)</f>
        <v>0</v>
      </c>
    </row>
    <row r="176" ht="15.75" customHeight="1">
      <c r="A176" s="8" t="str">
        <f>IFERROR(__xludf.DUMMYFUNCTION("""COMPUTED_VALUE"""),"https://adspyder.io/blog/top-25-global-ad-agencies/")</f>
        <v>https://adspyder.io/blog/top-25-global-ad-agencies/</v>
      </c>
      <c r="B176" s="11" t="str">
        <f>IFERROR(__xludf.DUMMYFUNCTION("""COMPUTED_VALUE"""),"Top 25 Global Ad Agencies in July 2026 | Ranking &amp;amp; Revenue")</f>
        <v>Top 25 Global Ad Agencies in July 2026 | Ranking &amp;amp; Revenue</v>
      </c>
      <c r="C176" s="8" t="str">
        <f>IFERROR(__xludf.DUMMYFUNCTION("""COMPUTED_VALUE"""),"adspyder.io")</f>
        <v>adspyder.io</v>
      </c>
      <c r="D176" s="11" t="str">
        <f>IFERROR(__xludf.DUMMYFUNCTION("""COMPUTED_VALUE"""),"LISTICLE")</f>
        <v>LISTICLE</v>
      </c>
      <c r="E176" s="11" t="str">
        <f>IFERROR(__xludf.DUMMYFUNCTION("""COMPUTED_VALUE"""),"CORPORATE")</f>
        <v>CORPORATE</v>
      </c>
      <c r="F176" s="11" t="str">
        <f>IFERROR(__xludf.DUMMYFUNCTION("""COMPUTED_VALUE"""),"Listicle")</f>
        <v>Listicle</v>
      </c>
      <c r="G176" s="11" t="b">
        <f>IFERROR(__xludf.DUMMYFUNCTION("""COMPUTED_VALUE"""),FALSE)</f>
        <v>0</v>
      </c>
      <c r="H176" s="11" t="str">
        <f>IFERROR(__xludf.DUMMYFUNCTION("""COMPUTED_VALUE"""),"Omnicom, Publicis Groupe, WPP, Ogilvy, Accenture Song, Dentsu, Epsilon, Merkle, PwC, iProspect, OMD, R/GA, Serviceplan Group, Havas Media, Measured")</f>
        <v>Omnicom, Publicis Groupe, WPP, Ogilvy, Accenture Song, Dentsu, Epsilon, Merkle, PwC, iProspect, OMD, R/GA, Serviceplan Group, Havas Media, Measured</v>
      </c>
      <c r="I176" s="11">
        <f>IFERROR(__xludf.DUMMYFUNCTION("""COMPUTED_VALUE"""),2.0)</f>
        <v>2</v>
      </c>
      <c r="J176" s="11">
        <f>IFERROR(__xludf.DUMMYFUNCTION("""COMPUTED_VALUE"""),0.0)</f>
        <v>0</v>
      </c>
      <c r="K176" s="11">
        <f>IFERROR(__xludf.DUMMYFUNCTION("""COMPUTED_VALUE"""),0.5)</f>
        <v>0.5</v>
      </c>
    </row>
    <row r="177" ht="15.75" customHeight="1">
      <c r="A177" s="8" t="str">
        <f>IFERROR(__xludf.DUMMYFUNCTION("""COMPUTED_VALUE"""),"https://agenturjobs.de/beste-marketing-agenturen-deutschland-2026/")</f>
        <v>https://agenturjobs.de/beste-marketing-agenturen-deutschland-2026/</v>
      </c>
      <c r="B177" s="11" t="str">
        <f>IFERROR(__xludf.DUMMYFUNCTION("""COMPUTED_VALUE"""),"Beste Marketing Agenturen Deutschland: Top Rankings")</f>
        <v>Beste Marketing Agenturen Deutschland: Top Rankings</v>
      </c>
      <c r="C177" s="8" t="str">
        <f>IFERROR(__xludf.DUMMYFUNCTION("""COMPUTED_VALUE"""),"agenturjobs.de")</f>
        <v>agenturjobs.de</v>
      </c>
      <c r="D177" s="11" t="str">
        <f>IFERROR(__xludf.DUMMYFUNCTION("""COMPUTED_VALUE"""),"LISTICLE")</f>
        <v>LISTICLE</v>
      </c>
      <c r="E177" s="11" t="str">
        <f>IFERROR(__xludf.DUMMYFUNCTION("""COMPUTED_VALUE"""),"CORPORATE")</f>
        <v>CORPORATE</v>
      </c>
      <c r="F177" s="11" t="str">
        <f>IFERROR(__xludf.DUMMYFUNCTION("""COMPUTED_VALUE"""),"Listicle")</f>
        <v>Listicle</v>
      </c>
      <c r="G177" s="11" t="b">
        <f>IFERROR(__xludf.DUMMYFUNCTION("""COMPUTED_VALUE"""),FALSE)</f>
        <v>0</v>
      </c>
      <c r="H177" s="11" t="str">
        <f>IFERROR(__xludf.DUMMYFUNCTION("""COMPUTED_VALUE"""),"Claneo, eMinded GmbH, Serviceplan Group, Jung von Matt, Publicis Groupe, Scholz &amp; Friends")</f>
        <v>Claneo, eMinded GmbH, Serviceplan Group, Jung von Matt, Publicis Groupe, Scholz &amp; Friends</v>
      </c>
      <c r="I177" s="11">
        <f>IFERROR(__xludf.DUMMYFUNCTION("""COMPUTED_VALUE"""),2.0)</f>
        <v>2</v>
      </c>
      <c r="J177" s="11">
        <f>IFERROR(__xludf.DUMMYFUNCTION("""COMPUTED_VALUE"""),0.0)</f>
        <v>0</v>
      </c>
      <c r="K177" s="11">
        <f>IFERROR(__xludf.DUMMYFUNCTION("""COMPUTED_VALUE"""),2.0)</f>
        <v>2</v>
      </c>
    </row>
    <row r="178" ht="15.75" customHeight="1">
      <c r="A178" s="8" t="str">
        <f>IFERROR(__xludf.DUMMYFUNCTION("""COMPUTED_VALUE"""),"https://www.ai-heroes.co/en-us/blog/best-ai-search-agencies-2026")</f>
        <v>https://www.ai-heroes.co/en-us/blog/best-ai-search-agencies-2026</v>
      </c>
      <c r="B178" s="11" t="str">
        <f>IFERROR(__xludf.DUMMYFUNCTION("""COMPUTED_VALUE"""),"Best AI Search Agencies 2026 (GEO and AEO) Compared | AI Heroes")</f>
        <v>Best AI Search Agencies 2026 (GEO and AEO) Compared | AI Heroes</v>
      </c>
      <c r="C178" s="8" t="str">
        <f>IFERROR(__xludf.DUMMYFUNCTION("""COMPUTED_VALUE"""),"ai-heroes.co")</f>
        <v>ai-heroes.co</v>
      </c>
      <c r="D178" s="11" t="str">
        <f>IFERROR(__xludf.DUMMYFUNCTION("""COMPUTED_VALUE"""),"LISTICLE")</f>
        <v>LISTICLE</v>
      </c>
      <c r="E178" s="11" t="str">
        <f>IFERROR(__xludf.DUMMYFUNCTION("""COMPUTED_VALUE"""),"CORPORATE")</f>
        <v>CORPORATE</v>
      </c>
      <c r="F178" s="11" t="str">
        <f>IFERROR(__xludf.DUMMYFUNCTION("""COMPUTED_VALUE"""),"Listicle")</f>
        <v>Listicle</v>
      </c>
      <c r="G178" s="11" t="b">
        <f>IFERROR(__xludf.DUMMYFUNCTION("""COMPUTED_VALUE"""),FALSE)</f>
        <v>0</v>
      </c>
      <c r="H178" s="11" t="str">
        <f>IFERROR(__xludf.DUMMYFUNCTION("""COMPUTED_VALUE"""),"NoGood, Omnius, Radyant, Single Grain, Measured")</f>
        <v>NoGood, Omnius, Radyant, Single Grain, Measured</v>
      </c>
      <c r="I178" s="11">
        <f>IFERROR(__xludf.DUMMYFUNCTION("""COMPUTED_VALUE"""),2.0)</f>
        <v>2</v>
      </c>
      <c r="J178" s="11">
        <f>IFERROR(__xludf.DUMMYFUNCTION("""COMPUTED_VALUE"""),0.0)</f>
        <v>0</v>
      </c>
      <c r="K178" s="11">
        <f>IFERROR(__xludf.DUMMYFUNCTION("""COMPUTED_VALUE"""),0.0)</f>
        <v>0</v>
      </c>
    </row>
    <row r="179" ht="15.75" customHeight="1">
      <c r="A179" s="8" t="str">
        <f>IFERROR(__xludf.DUMMYFUNCTION("""COMPUTED_VALUE"""),"https://aoy.campaigngermany.de/shortlist/")</f>
        <v>https://aoy.campaigngermany.de/shortlist/</v>
      </c>
      <c r="B179" s="11" t="str">
        <f>IFERROR(__xludf.DUMMYFUNCTION("""COMPUTED_VALUE"""),"Shortlist | Agency of the Year Awards | Campaign Germany")</f>
        <v>Shortlist | Agency of the Year Awards | Campaign Germany</v>
      </c>
      <c r="C179" s="8" t="str">
        <f>IFERROR(__xludf.DUMMYFUNCTION("""COMPUTED_VALUE"""),"campaigngermany.de")</f>
        <v>campaigngermany.de</v>
      </c>
      <c r="D179" s="11" t="str">
        <f>IFERROR(__xludf.DUMMYFUNCTION("""COMPUTED_VALUE"""),"LISTICLE")</f>
        <v>LISTICLE</v>
      </c>
      <c r="E179" s="11" t="str">
        <f>IFERROR(__xludf.DUMMYFUNCTION("""COMPUTED_VALUE"""),"EDITORIAL")</f>
        <v>EDITORIAL</v>
      </c>
      <c r="F179" s="11" t="str">
        <f>IFERROR(__xludf.DUMMYFUNCTION("""COMPUTED_VALUE"""),"Listicle")</f>
        <v>Listicle</v>
      </c>
      <c r="G179" s="11" t="b">
        <f>IFERROR(__xludf.DUMMYFUNCTION("""COMPUTED_VALUE"""),FALSE)</f>
        <v>0</v>
      </c>
      <c r="H179" s="11" t="str">
        <f>IFERROR(__xludf.DUMMYFUNCTION("""COMPUTED_VALUE"""),"DEPT, Accenture Song, Jung von Matt, Mawave, Serviceplan Group, Mediaplus Group, Publicis Groupe, Pilot, BBDO Germany, DDB Germany, OMD, Havas Media, Scholz &amp; Friends")</f>
        <v>DEPT, Accenture Song, Jung von Matt, Mawave, Serviceplan Group, Mediaplus Group, Publicis Groupe, Pilot, BBDO Germany, DDB Germany, OMD, Havas Media, Scholz &amp; Friends</v>
      </c>
      <c r="I179" s="11">
        <f>IFERROR(__xludf.DUMMYFUNCTION("""COMPUTED_VALUE"""),2.0)</f>
        <v>2</v>
      </c>
      <c r="J179" s="11">
        <f>IFERROR(__xludf.DUMMYFUNCTION("""COMPUTED_VALUE"""),0.0)</f>
        <v>0</v>
      </c>
      <c r="K179" s="11">
        <f>IFERROR(__xludf.DUMMYFUNCTION("""COMPUTED_VALUE"""),0.0)</f>
        <v>0</v>
      </c>
    </row>
    <row r="180" ht="15.75" customHeight="1">
      <c r="A180" s="8" t="str">
        <f>IFERROR(__xludf.DUMMYFUNCTION("""COMPUTED_VALUE"""),"https://betteranswer.ai/blogs/best-aeo-agencies")</f>
        <v>https://betteranswer.ai/blogs/best-aeo-agencies</v>
      </c>
      <c r="B180" s="11" t="str">
        <f>IFERROR(__xludf.DUMMYFUNCTION("""COMPUTED_VALUE"""),"Best AEO Agencies")</f>
        <v>Best AEO Agencies</v>
      </c>
      <c r="C180" s="8" t="str">
        <f>IFERROR(__xludf.DUMMYFUNCTION("""COMPUTED_VALUE"""),"betteranswer.ai")</f>
        <v>betteranswer.ai</v>
      </c>
      <c r="D180" s="11" t="str">
        <f>IFERROR(__xludf.DUMMYFUNCTION("""COMPUTED_VALUE"""),"LISTICLE")</f>
        <v>LISTICLE</v>
      </c>
      <c r="E180" s="11" t="str">
        <f>IFERROR(__xludf.DUMMYFUNCTION("""COMPUTED_VALUE"""),"CORPORATE")</f>
        <v>CORPORATE</v>
      </c>
      <c r="F180" s="11" t="str">
        <f>IFERROR(__xludf.DUMMYFUNCTION("""COMPUTED_VALUE"""),"Listicle")</f>
        <v>Listicle</v>
      </c>
      <c r="G180" s="11" t="b">
        <f>IFERROR(__xludf.DUMMYFUNCTION("""COMPUTED_VALUE"""),FALSE)</f>
        <v>0</v>
      </c>
      <c r="H180" s="11"/>
      <c r="I180" s="11">
        <f>IFERROR(__xludf.DUMMYFUNCTION("""COMPUTED_VALUE"""),2.0)</f>
        <v>2</v>
      </c>
      <c r="J180" s="11">
        <f>IFERROR(__xludf.DUMMYFUNCTION("""COMPUTED_VALUE"""),0.0)</f>
        <v>0</v>
      </c>
      <c r="K180" s="11">
        <f>IFERROR(__xludf.DUMMYFUNCTION("""COMPUTED_VALUE"""),1.0)</f>
        <v>1</v>
      </c>
    </row>
    <row r="181" ht="15.75" customHeight="1">
      <c r="A181" s="8" t="str">
        <f>IFERROR(__xludf.DUMMYFUNCTION("""COMPUTED_VALUE"""),"https://www.bonanza-studios.com/blog/10-best-branding-agencies-in-berlin-to-look-for-in-2025")</f>
        <v>https://www.bonanza-studios.com/blog/10-best-branding-agencies-in-berlin-to-look-for-in-2025</v>
      </c>
      <c r="B181" s="11" t="str">
        <f>IFERROR(__xludf.DUMMYFUNCTION("""COMPUTED_VALUE"""),"10 Best Branding Agencies in Berlin to Look for in 2025")</f>
        <v>10 Best Branding Agencies in Berlin to Look for in 2025</v>
      </c>
      <c r="C181" s="8" t="str">
        <f>IFERROR(__xludf.DUMMYFUNCTION("""COMPUTED_VALUE"""),"bonanza-studios.com")</f>
        <v>bonanza-studios.com</v>
      </c>
      <c r="D181" s="11" t="str">
        <f>IFERROR(__xludf.DUMMYFUNCTION("""COMPUTED_VALUE"""),"LISTICLE")</f>
        <v>LISTICLE</v>
      </c>
      <c r="E181" s="11" t="str">
        <f>IFERROR(__xludf.DUMMYFUNCTION("""COMPUTED_VALUE"""),"CORPORATE")</f>
        <v>CORPORATE</v>
      </c>
      <c r="F181" s="11" t="str">
        <f>IFERROR(__xludf.DUMMYFUNCTION("""COMPUTED_VALUE"""),"Listicle")</f>
        <v>Listicle</v>
      </c>
      <c r="G181" s="11" t="b">
        <f>IFERROR(__xludf.DUMMYFUNCTION("""COMPUTED_VALUE"""),FALSE)</f>
        <v>0</v>
      </c>
      <c r="H181" s="11" t="str">
        <f>IFERROR(__xludf.DUMMYFUNCTION("""COMPUTED_VALUE"""),"MetaDesign, Measured, HY.AM STUDIOS, lehof")</f>
        <v>MetaDesign, Measured, HY.AM STUDIOS, lehof</v>
      </c>
      <c r="I181" s="11">
        <f>IFERROR(__xludf.DUMMYFUNCTION("""COMPUTED_VALUE"""),2.0)</f>
        <v>2</v>
      </c>
      <c r="J181" s="11">
        <f>IFERROR(__xludf.DUMMYFUNCTION("""COMPUTED_VALUE"""),0.0)</f>
        <v>0</v>
      </c>
      <c r="K181" s="11">
        <f>IFERROR(__xludf.DUMMYFUNCTION("""COMPUTED_VALUE"""),0.0)</f>
        <v>0</v>
      </c>
    </row>
    <row r="182" ht="15.75" customHeight="1">
      <c r="A182" s="8" t="str">
        <f>IFERROR(__xludf.DUMMYFUNCTION("""COMPUTED_VALUE"""),"https://cabinco.com/best-ai-consulting-firms/")</f>
        <v>https://cabinco.com/best-ai-consulting-firms/</v>
      </c>
      <c r="B182" s="11" t="str">
        <f>IFERROR(__xludf.DUMMYFUNCTION("""COMPUTED_VALUE"""),"Best AI Consulting Firms 2026: Giants vs Boutiques")</f>
        <v>Best AI Consulting Firms 2026: Giants vs Boutiques</v>
      </c>
      <c r="C182" s="8" t="str">
        <f>IFERROR(__xludf.DUMMYFUNCTION("""COMPUTED_VALUE"""),"cabinco.com")</f>
        <v>cabinco.com</v>
      </c>
      <c r="D182" s="11" t="str">
        <f>IFERROR(__xludf.DUMMYFUNCTION("""COMPUTED_VALUE"""),"LISTICLE")</f>
        <v>LISTICLE</v>
      </c>
      <c r="E182" s="11" t="str">
        <f>IFERROR(__xludf.DUMMYFUNCTION("""COMPUTED_VALUE"""),"CORPORATE")</f>
        <v>CORPORATE</v>
      </c>
      <c r="F182" s="11" t="str">
        <f>IFERROR(__xludf.DUMMYFUNCTION("""COMPUTED_VALUE"""),"Listicle")</f>
        <v>Listicle</v>
      </c>
      <c r="G182" s="11" t="b">
        <f>IFERROR(__xludf.DUMMYFUNCTION("""COMPUTED_VALUE"""),FALSE)</f>
        <v>0</v>
      </c>
      <c r="H182" s="11" t="str">
        <f>IFERROR(__xludf.DUMMYFUNCTION("""COMPUTED_VALUE"""),"McKinsey &amp; Company, BCG, PwC, EY")</f>
        <v>McKinsey &amp; Company, BCG, PwC, EY</v>
      </c>
      <c r="I182" s="11">
        <f>IFERROR(__xludf.DUMMYFUNCTION("""COMPUTED_VALUE"""),2.0)</f>
        <v>2</v>
      </c>
      <c r="J182" s="11">
        <f>IFERROR(__xludf.DUMMYFUNCTION("""COMPUTED_VALUE"""),0.0)</f>
        <v>0</v>
      </c>
      <c r="K182" s="11">
        <f>IFERROR(__xludf.DUMMYFUNCTION("""COMPUTED_VALUE"""),1.0)</f>
        <v>1</v>
      </c>
    </row>
    <row r="183" ht="15.75" customHeight="1">
      <c r="A183" s="8" t="str">
        <f>IFERROR(__xludf.DUMMYFUNCTION("""COMPUTED_VALUE"""),"https://clicksgeek.com/best-roi-digital-marketing-agencies/")</f>
        <v>https://clicksgeek.com/best-roi-digital-marketing-agencies/</v>
      </c>
      <c r="B183" s="11" t="str">
        <f>IFERROR(__xludf.DUMMYFUNCTION("""COMPUTED_VALUE"""),"Best ROI Digital Marketing Agencies: Expert Guide 2026")</f>
        <v>Best ROI Digital Marketing Agencies: Expert Guide 2026</v>
      </c>
      <c r="C183" s="8" t="str">
        <f>IFERROR(__xludf.DUMMYFUNCTION("""COMPUTED_VALUE"""),"clicksgeek.com")</f>
        <v>clicksgeek.com</v>
      </c>
      <c r="D183" s="11" t="str">
        <f>IFERROR(__xludf.DUMMYFUNCTION("""COMPUTED_VALUE"""),"LISTICLE")</f>
        <v>LISTICLE</v>
      </c>
      <c r="E183" s="11" t="str">
        <f>IFERROR(__xludf.DUMMYFUNCTION("""COMPUTED_VALUE"""),"CORPORATE")</f>
        <v>CORPORATE</v>
      </c>
      <c r="F183" s="11" t="str">
        <f>IFERROR(__xludf.DUMMYFUNCTION("""COMPUTED_VALUE"""),"Listicle")</f>
        <v>Listicle</v>
      </c>
      <c r="G183" s="11" t="b">
        <f>IFERROR(__xludf.DUMMYFUNCTION("""COMPUTED_VALUE"""),FALSE)</f>
        <v>0</v>
      </c>
      <c r="H183" s="11"/>
      <c r="I183" s="11">
        <f>IFERROR(__xludf.DUMMYFUNCTION("""COMPUTED_VALUE"""),2.0)</f>
        <v>2</v>
      </c>
      <c r="J183" s="11">
        <f>IFERROR(__xludf.DUMMYFUNCTION("""COMPUTED_VALUE"""),0.0)</f>
        <v>0</v>
      </c>
      <c r="K183" s="11">
        <f>IFERROR(__xludf.DUMMYFUNCTION("""COMPUTED_VALUE"""),0.5)</f>
        <v>0.5</v>
      </c>
    </row>
    <row r="184" ht="15.75" customHeight="1">
      <c r="A184" s="8" t="str">
        <f>IFERROR(__xludf.DUMMYFUNCTION("""COMPUTED_VALUE"""),"https://clicksgeek.com/best-roi-focused-marketing-agencies/")</f>
        <v>https://clicksgeek.com/best-roi-focused-marketing-agencies/</v>
      </c>
      <c r="B184" s="11" t="str">
        <f>IFERROR(__xludf.DUMMYFUNCTION("""COMPUTED_VALUE"""),"Best ROI Focused Marketing Agencies: 2026 Guide &amp;amp; Tips")</f>
        <v>Best ROI Focused Marketing Agencies: 2026 Guide &amp;amp; Tips</v>
      </c>
      <c r="C184" s="8" t="str">
        <f>IFERROR(__xludf.DUMMYFUNCTION("""COMPUTED_VALUE"""),"clicksgeek.com")</f>
        <v>clicksgeek.com</v>
      </c>
      <c r="D184" s="11" t="str">
        <f>IFERROR(__xludf.DUMMYFUNCTION("""COMPUTED_VALUE"""),"LISTICLE")</f>
        <v>LISTICLE</v>
      </c>
      <c r="E184" s="11" t="str">
        <f>IFERROR(__xludf.DUMMYFUNCTION("""COMPUTED_VALUE"""),"CORPORATE")</f>
        <v>CORPORATE</v>
      </c>
      <c r="F184" s="11" t="str">
        <f>IFERROR(__xludf.DUMMYFUNCTION("""COMPUTED_VALUE"""),"Listicle")</f>
        <v>Listicle</v>
      </c>
      <c r="G184" s="11" t="b">
        <f>IFERROR(__xludf.DUMMYFUNCTION("""COMPUTED_VALUE"""),FALSE)</f>
        <v>0</v>
      </c>
      <c r="H184" s="11" t="str">
        <f>IFERROR(__xludf.DUMMYFUNCTION("""COMPUTED_VALUE"""),"Momentum")</f>
        <v>Momentum</v>
      </c>
      <c r="I184" s="11">
        <f>IFERROR(__xludf.DUMMYFUNCTION("""COMPUTED_VALUE"""),2.0)</f>
        <v>2</v>
      </c>
      <c r="J184" s="11">
        <f>IFERROR(__xludf.DUMMYFUNCTION("""COMPUTED_VALUE"""),0.0)</f>
        <v>0</v>
      </c>
      <c r="K184" s="11">
        <f>IFERROR(__xludf.DUMMYFUNCTION("""COMPUTED_VALUE"""),0.5)</f>
        <v>0.5</v>
      </c>
    </row>
    <row r="185" ht="15.75" customHeight="1">
      <c r="A185" s="8" t="str">
        <f>IFERROR(__xludf.DUMMYFUNCTION("""COMPUTED_VALUE"""),"https://cmmodels.com/10-fashion-advertising-agencies-in-germany/")</f>
        <v>https://cmmodels.com/10-fashion-advertising-agencies-in-germany/</v>
      </c>
      <c r="B185" s="11" t="str">
        <f>IFERROR(__xludf.DUMMYFUNCTION("""COMPUTED_VALUE"""),"10+ fashion advertising agencies in Germany – CM Models")</f>
        <v>10+ fashion advertising agencies in Germany – CM Models</v>
      </c>
      <c r="C185" s="8" t="str">
        <f>IFERROR(__xludf.DUMMYFUNCTION("""COMPUTED_VALUE"""),"cmmodels.com")</f>
        <v>cmmodels.com</v>
      </c>
      <c r="D185" s="11" t="str">
        <f>IFERROR(__xludf.DUMMYFUNCTION("""COMPUTED_VALUE"""),"LISTICLE")</f>
        <v>LISTICLE</v>
      </c>
      <c r="E185" s="11" t="str">
        <f>IFERROR(__xludf.DUMMYFUNCTION("""COMPUTED_VALUE"""),"CORPORATE")</f>
        <v>CORPORATE</v>
      </c>
      <c r="F185" s="11" t="str">
        <f>IFERROR(__xludf.DUMMYFUNCTION("""COMPUTED_VALUE"""),"Listicle")</f>
        <v>Listicle</v>
      </c>
      <c r="G185" s="11" t="b">
        <f>IFERROR(__xludf.DUMMYFUNCTION("""COMPUTED_VALUE"""),FALSE)</f>
        <v>0</v>
      </c>
      <c r="H185" s="11" t="str">
        <f>IFERROR(__xludf.DUMMYFUNCTION("""COMPUTED_VALUE"""),"Social Media One")</f>
        <v>Social Media One</v>
      </c>
      <c r="I185" s="11">
        <f>IFERROR(__xludf.DUMMYFUNCTION("""COMPUTED_VALUE"""),2.0)</f>
        <v>2</v>
      </c>
      <c r="J185" s="11">
        <f>IFERROR(__xludf.DUMMYFUNCTION("""COMPUTED_VALUE"""),0.0)</f>
        <v>0</v>
      </c>
      <c r="K185" s="11">
        <f>IFERROR(__xludf.DUMMYFUNCTION("""COMPUTED_VALUE"""),1.0)</f>
        <v>1</v>
      </c>
    </row>
    <row r="186" ht="15.75" customHeight="1">
      <c r="A186" s="8" t="str">
        <f>IFERROR(__xludf.DUMMYFUNCTION("""COMPUTED_VALUE"""),"https://www.cometly.com/post/marketing-attribution-tools-for-agencies")</f>
        <v>https://www.cometly.com/post/marketing-attribution-tools-for-agencies</v>
      </c>
      <c r="B186" s="11" t="str">
        <f>IFERROR(__xludf.DUMMYFUNCTION("""COMPUTED_VALUE"""),"Best Marketing Attribution Tools For Agencies 2026")</f>
        <v>Best Marketing Attribution Tools For Agencies 2026</v>
      </c>
      <c r="C186" s="8" t="str">
        <f>IFERROR(__xludf.DUMMYFUNCTION("""COMPUTED_VALUE"""),"cometly.com")</f>
        <v>cometly.com</v>
      </c>
      <c r="D186" s="11" t="str">
        <f>IFERROR(__xludf.DUMMYFUNCTION("""COMPUTED_VALUE"""),"LISTICLE")</f>
        <v>LISTICLE</v>
      </c>
      <c r="E186" s="11" t="str">
        <f>IFERROR(__xludf.DUMMYFUNCTION("""COMPUTED_VALUE"""),"COMPETITOR")</f>
        <v>COMPETITOR</v>
      </c>
      <c r="F186" s="11" t="str">
        <f>IFERROR(__xludf.DUMMYFUNCTION("""COMPUTED_VALUE"""),"Listicle")</f>
        <v>Listicle</v>
      </c>
      <c r="G186" s="11" t="b">
        <f>IFERROR(__xludf.DUMMYFUNCTION("""COMPUTED_VALUE"""),FALSE)</f>
        <v>0</v>
      </c>
      <c r="H186" s="11" t="str">
        <f>IFERROR(__xludf.DUMMYFUNCTION("""COMPUTED_VALUE"""),"Cometly, Triple Whale, Northbeam, Rockerbox, Ruler Analytics")</f>
        <v>Cometly, Triple Whale, Northbeam, Rockerbox, Ruler Analytics</v>
      </c>
      <c r="I186" s="11">
        <f>IFERROR(__xludf.DUMMYFUNCTION("""COMPUTED_VALUE"""),2.0)</f>
        <v>2</v>
      </c>
      <c r="J186" s="11">
        <f>IFERROR(__xludf.DUMMYFUNCTION("""COMPUTED_VALUE"""),0.0)</f>
        <v>0</v>
      </c>
      <c r="K186" s="11">
        <f>IFERROR(__xludf.DUMMYFUNCTION("""COMPUTED_VALUE"""),0.0)</f>
        <v>0</v>
      </c>
    </row>
    <row r="187" ht="15.75" customHeight="1">
      <c r="A187" s="8" t="str">
        <f>IFERROR(__xludf.DUMMYFUNCTION("""COMPUTED_VALUE"""),"https://datenbanken.pr-journal.de/pr-agenturrankings/kreativ-ranking.html")</f>
        <v>https://datenbanken.pr-journal.de/pr-agenturrankings/kreativ-ranking.html</v>
      </c>
      <c r="B187" s="11" t="str">
        <f>IFERROR(__xludf.DUMMYFUNCTION("""COMPUTED_VALUE"""),"Rankings / PR Journal")</f>
        <v>Rankings / PR Journal</v>
      </c>
      <c r="C187" s="8" t="str">
        <f>IFERROR(__xludf.DUMMYFUNCTION("""COMPUTED_VALUE"""),"pr-journal.de")</f>
        <v>pr-journal.de</v>
      </c>
      <c r="D187" s="11" t="str">
        <f>IFERROR(__xludf.DUMMYFUNCTION("""COMPUTED_VALUE"""),"LISTICLE")</f>
        <v>LISTICLE</v>
      </c>
      <c r="E187" s="11" t="str">
        <f>IFERROR(__xludf.DUMMYFUNCTION("""COMPUTED_VALUE"""),"EDITORIAL")</f>
        <v>EDITORIAL</v>
      </c>
      <c r="F187" s="11" t="str">
        <f>IFERROR(__xludf.DUMMYFUNCTION("""COMPUTED_VALUE"""),"Listicle")</f>
        <v>Listicle</v>
      </c>
      <c r="G187" s="11" t="b">
        <f>IFERROR(__xludf.DUMMYFUNCTION("""COMPUTED_VALUE"""),FALSE)</f>
        <v>0</v>
      </c>
      <c r="H187" s="11"/>
      <c r="I187" s="11">
        <f>IFERROR(__xludf.DUMMYFUNCTION("""COMPUTED_VALUE"""),2.0)</f>
        <v>2</v>
      </c>
      <c r="J187" s="11">
        <f>IFERROR(__xludf.DUMMYFUNCTION("""COMPUTED_VALUE"""),0.0)</f>
        <v>0</v>
      </c>
      <c r="K187" s="11">
        <f>IFERROR(__xludf.DUMMYFUNCTION("""COMPUTED_VALUE"""),0.0)</f>
        <v>0</v>
      </c>
    </row>
    <row r="188" ht="15.75" customHeight="1">
      <c r="A188" s="8" t="str">
        <f>IFERROR(__xludf.DUMMYFUNCTION("""COMPUTED_VALUE"""),"https://directiveconsulting.com/blog/25-best-advertising-agencies-built-for-media-momentum/")</f>
        <v>https://directiveconsulting.com/blog/25-best-advertising-agencies-built-for-media-momentum/</v>
      </c>
      <c r="B188" s="11" t="str">
        <f>IFERROR(__xludf.DUMMYFUNCTION("""COMPUTED_VALUE"""),"25 Best Advertising Agencies For B2B - Directive")</f>
        <v>25 Best Advertising Agencies For B2B - Directive</v>
      </c>
      <c r="C188" s="8" t="str">
        <f>IFERROR(__xludf.DUMMYFUNCTION("""COMPUTED_VALUE"""),"directiveconsulting.com")</f>
        <v>directiveconsulting.com</v>
      </c>
      <c r="D188" s="11" t="str">
        <f>IFERROR(__xludf.DUMMYFUNCTION("""COMPUTED_VALUE"""),"LISTICLE")</f>
        <v>LISTICLE</v>
      </c>
      <c r="E188" s="11" t="str">
        <f>IFERROR(__xludf.DUMMYFUNCTION("""COMPUTED_VALUE"""),"COMPETITOR")</f>
        <v>COMPETITOR</v>
      </c>
      <c r="F188" s="11" t="str">
        <f>IFERROR(__xludf.DUMMYFUNCTION("""COMPUTED_VALUE"""),"Listicle")</f>
        <v>Listicle</v>
      </c>
      <c r="G188" s="11" t="b">
        <f>IFERROR(__xludf.DUMMYFUNCTION("""COMPUTED_VALUE"""),FALSE)</f>
        <v>0</v>
      </c>
      <c r="H188"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188" s="11">
        <f>IFERROR(__xludf.DUMMYFUNCTION("""COMPUTED_VALUE"""),2.0)</f>
        <v>2</v>
      </c>
      <c r="J188" s="11">
        <f>IFERROR(__xludf.DUMMYFUNCTION("""COMPUTED_VALUE"""),0.0)</f>
        <v>0</v>
      </c>
      <c r="K188" s="11">
        <f>IFERROR(__xludf.DUMMYFUNCTION("""COMPUTED_VALUE"""),1.0)</f>
        <v>1</v>
      </c>
    </row>
    <row r="189" ht="15.75" customHeight="1">
      <c r="A189" s="8" t="str">
        <f>IFERROR(__xludf.DUMMYFUNCTION("""COMPUTED_VALUE"""),"https://directiveconsulting.com/blog/top-performance-marketing-agencies/")</f>
        <v>https://directiveconsulting.com/blog/top-performance-marketing-agencies/</v>
      </c>
      <c r="B189" s="11" t="str">
        <f>IFERROR(__xludf.DUMMYFUNCTION("""COMPUTED_VALUE"""),"18 Best Performance Marketing Agencies For B2B - Directive")</f>
        <v>18 Best Performance Marketing Agencies For B2B - Directive</v>
      </c>
      <c r="C189" s="8" t="str">
        <f>IFERROR(__xludf.DUMMYFUNCTION("""COMPUTED_VALUE"""),"directiveconsulting.com")</f>
        <v>directiveconsulting.com</v>
      </c>
      <c r="D189" s="11" t="str">
        <f>IFERROR(__xludf.DUMMYFUNCTION("""COMPUTED_VALUE"""),"LISTICLE")</f>
        <v>LISTICLE</v>
      </c>
      <c r="E189" s="11" t="str">
        <f>IFERROR(__xludf.DUMMYFUNCTION("""COMPUTED_VALUE"""),"COMPETITOR")</f>
        <v>COMPETITOR</v>
      </c>
      <c r="F189" s="11" t="str">
        <f>IFERROR(__xludf.DUMMYFUNCTION("""COMPUTED_VALUE"""),"Listicle")</f>
        <v>Listicle</v>
      </c>
      <c r="G189" s="11" t="b">
        <f>IFERROR(__xludf.DUMMYFUNCTION("""COMPUTED_VALUE"""),FALSE)</f>
        <v>0</v>
      </c>
      <c r="H189" s="11" t="str">
        <f>IFERROR(__xludf.DUMMYFUNCTION("""COMPUTED_VALUE"""),"Directive Consulting, NoGood, Common Thread Collective, Wpromote, Darkroom, inBeat, Single Grain, Omniscient Digital, Measured, Pilot")</f>
        <v>Directive Consulting, NoGood, Common Thread Collective, Wpromote, Darkroom, inBeat, Single Grain, Omniscient Digital, Measured, Pilot</v>
      </c>
      <c r="I189" s="11">
        <f>IFERROR(__xludf.DUMMYFUNCTION("""COMPUTED_VALUE"""),2.0)</f>
        <v>2</v>
      </c>
      <c r="J189" s="11">
        <f>IFERROR(__xludf.DUMMYFUNCTION("""COMPUTED_VALUE"""),0.0)</f>
        <v>0</v>
      </c>
      <c r="K189" s="11">
        <f>IFERROR(__xludf.DUMMYFUNCTION("""COMPUTED_VALUE"""),2.0)</f>
        <v>2</v>
      </c>
    </row>
    <row r="190" ht="15.75" customHeight="1">
      <c r="A190" s="8" t="str">
        <f>IFERROR(__xludf.DUMMYFUNCTION("""COMPUTED_VALUE"""),"https://www.europeanbusinessreview.com/top-10-b2b-aeo-geo-companies-that-help-generate-leads-from-ai-search/")</f>
        <v>https://www.europeanbusinessreview.com/top-10-b2b-aeo-geo-companies-that-help-generate-leads-from-ai-search/</v>
      </c>
      <c r="B190" s="11" t="str">
        <f>IFERROR(__xludf.DUMMYFUNCTION("""COMPUTED_VALUE"""),"Top B2B AEO/GEO Companies for AI Search Leads - The European Business Review")</f>
        <v>Top B2B AEO/GEO Companies for AI Search Leads - The European Business Review</v>
      </c>
      <c r="C190" s="8" t="str">
        <f>IFERROR(__xludf.DUMMYFUNCTION("""COMPUTED_VALUE"""),"europeanbusinessreview.com")</f>
        <v>europeanbusinessreview.com</v>
      </c>
      <c r="D190" s="11" t="str">
        <f>IFERROR(__xludf.DUMMYFUNCTION("""COMPUTED_VALUE"""),"LISTICLE")</f>
        <v>LISTICLE</v>
      </c>
      <c r="E190" s="11" t="str">
        <f>IFERROR(__xludf.DUMMYFUNCTION("""COMPUTED_VALUE"""),"EDITORIAL")</f>
        <v>EDITORIAL</v>
      </c>
      <c r="F190" s="11" t="str">
        <f>IFERROR(__xludf.DUMMYFUNCTION("""COMPUTED_VALUE"""),"Listicle")</f>
        <v>Listicle</v>
      </c>
      <c r="G190" s="11" t="b">
        <f>IFERROR(__xludf.DUMMYFUNCTION("""COMPUTED_VALUE"""),FALSE)</f>
        <v>0</v>
      </c>
      <c r="H190" s="11" t="str">
        <f>IFERROR(__xludf.DUMMYFUNCTION("""COMPUTED_VALUE"""),"Omniscient Digital, Siege Media, Directive Consulting, Momentum")</f>
        <v>Omniscient Digital, Siege Media, Directive Consulting, Momentum</v>
      </c>
      <c r="I190" s="11">
        <f>IFERROR(__xludf.DUMMYFUNCTION("""COMPUTED_VALUE"""),2.0)</f>
        <v>2</v>
      </c>
      <c r="J190" s="11">
        <f>IFERROR(__xludf.DUMMYFUNCTION("""COMPUTED_VALUE"""),0.0)</f>
        <v>0</v>
      </c>
      <c r="K190" s="11">
        <f>IFERROR(__xludf.DUMMYFUNCTION("""COMPUTED_VALUE"""),0.0)</f>
        <v>0</v>
      </c>
    </row>
    <row r="191" ht="15.75" customHeight="1">
      <c r="A191" s="8" t="str">
        <f>IFERROR(__xludf.DUMMYFUNCTION("""COMPUTED_VALUE"""),"https://www.evergreen.media/ratgeber/beste-geo-agentur/")</f>
        <v>https://www.evergreen.media/ratgeber/beste-geo-agentur/</v>
      </c>
      <c r="B191" s="11" t="str">
        <f>IFERROR(__xludf.DUMMYFUNCTION("""COMPUTED_VALUE"""),"Beste GEO-Agenturen 2026 für Unternehmen ab 10 Mio. €")</f>
        <v>Beste GEO-Agenturen 2026 für Unternehmen ab 10 Mio. €</v>
      </c>
      <c r="C191" s="11" t="str">
        <f>IFERROR(__xludf.DUMMYFUNCTION("""COMPUTED_VALUE"""),"evergreen.media")</f>
        <v>evergreen.media</v>
      </c>
      <c r="D191" s="11" t="str">
        <f>IFERROR(__xludf.DUMMYFUNCTION("""COMPUTED_VALUE"""),"LISTICLE")</f>
        <v>LISTICLE</v>
      </c>
      <c r="E191" s="11" t="str">
        <f>IFERROR(__xludf.DUMMYFUNCTION("""COMPUTED_VALUE"""),"EDITORIAL")</f>
        <v>EDITORIAL</v>
      </c>
      <c r="F191" s="11" t="str">
        <f>IFERROR(__xludf.DUMMYFUNCTION("""COMPUTED_VALUE"""),"Listicle")</f>
        <v>Listicle</v>
      </c>
      <c r="G191" s="11" t="b">
        <f>IFERROR(__xludf.DUMMYFUNCTION("""COMPUTED_VALUE"""),FALSE)</f>
        <v>0</v>
      </c>
      <c r="H191" s="11" t="str">
        <f>IFERROR(__xludf.DUMMYFUNCTION("""COMPUTED_VALUE"""),"Claneo, Aufgesang, Peak Ace")</f>
        <v>Claneo, Aufgesang, Peak Ace</v>
      </c>
      <c r="I191" s="11">
        <f>IFERROR(__xludf.DUMMYFUNCTION("""COMPUTED_VALUE"""),2.0)</f>
        <v>2</v>
      </c>
      <c r="J191" s="11">
        <f>IFERROR(__xludf.DUMMYFUNCTION("""COMPUTED_VALUE"""),0.0)</f>
        <v>0</v>
      </c>
      <c r="K191" s="11">
        <f>IFERROR(__xludf.DUMMYFUNCTION("""COMPUTED_VALUE"""),0.0)</f>
        <v>0</v>
      </c>
    </row>
    <row r="192" ht="15.75" customHeight="1">
      <c r="A192" s="8" t="str">
        <f>IFERROR(__xludf.DUMMYFUNCTION("""COMPUTED_VALUE"""),"https://growthmanager.ai/best-geo-agency")</f>
        <v>https://growthmanager.ai/best-geo-agency</v>
      </c>
      <c r="B192" s="11" t="str">
        <f>IFERROR(__xludf.DUMMYFUNCTION("""COMPUTED_VALUE"""),"Best GEO agencies in 2026, reviewed and ranked")</f>
        <v>Best GEO agencies in 2026, reviewed and ranked</v>
      </c>
      <c r="C192" s="8" t="str">
        <f>IFERROR(__xludf.DUMMYFUNCTION("""COMPUTED_VALUE"""),"growthmanager.ai")</f>
        <v>growthmanager.ai</v>
      </c>
      <c r="D192" s="11" t="str">
        <f>IFERROR(__xludf.DUMMYFUNCTION("""COMPUTED_VALUE"""),"LISTICLE")</f>
        <v>LISTICLE</v>
      </c>
      <c r="E192" s="11" t="str">
        <f>IFERROR(__xludf.DUMMYFUNCTION("""COMPUTED_VALUE"""),"CORPORATE")</f>
        <v>CORPORATE</v>
      </c>
      <c r="F192" s="11" t="str">
        <f>IFERROR(__xludf.DUMMYFUNCTION("""COMPUTED_VALUE"""),"Listicle")</f>
        <v>Listicle</v>
      </c>
      <c r="G192" s="11" t="b">
        <f>IFERROR(__xludf.DUMMYFUNCTION("""COMPUTED_VALUE"""),FALSE)</f>
        <v>0</v>
      </c>
      <c r="H192" s="11" t="str">
        <f>IFERROR(__xludf.DUMMYFUNCTION("""COMPUTED_VALUE"""),"Momentum")</f>
        <v>Momentum</v>
      </c>
      <c r="I192" s="11">
        <f>IFERROR(__xludf.DUMMYFUNCTION("""COMPUTED_VALUE"""),2.0)</f>
        <v>2</v>
      </c>
      <c r="J192" s="11">
        <f>IFERROR(__xludf.DUMMYFUNCTION("""COMPUTED_VALUE"""),0.0)</f>
        <v>0</v>
      </c>
      <c r="K192" s="11">
        <f>IFERROR(__xludf.DUMMYFUNCTION("""COMPUTED_VALUE"""),1.5)</f>
        <v>1.5</v>
      </c>
    </row>
    <row r="193" ht="15.75" customHeight="1">
      <c r="A193" s="8" t="str">
        <f>IFERROR(__xludf.DUMMYFUNCTION("""COMPUTED_VALUE"""),"https://www.growthmarketingpro.com/best-aeo-marketing-agencies/")</f>
        <v>https://www.growthmarketingpro.com/best-aeo-marketing-agencies/</v>
      </c>
      <c r="B193" s="11" t="str">
        <f>IFERROR(__xludf.DUMMYFUNCTION("""COMPUTED_VALUE"""),"13 Best AEO marketing agencies | GMP")</f>
        <v>13 Best AEO marketing agencies | GMP</v>
      </c>
      <c r="C193" s="8" t="str">
        <f>IFERROR(__xludf.DUMMYFUNCTION("""COMPUTED_VALUE"""),"growthmarketingpro.com")</f>
        <v>growthmarketingpro.com</v>
      </c>
      <c r="D193" s="11" t="str">
        <f>IFERROR(__xludf.DUMMYFUNCTION("""COMPUTED_VALUE"""),"LISTICLE")</f>
        <v>LISTICLE</v>
      </c>
      <c r="E193" s="11" t="str">
        <f>IFERROR(__xludf.DUMMYFUNCTION("""COMPUTED_VALUE"""),"EDITORIAL")</f>
        <v>EDITORIAL</v>
      </c>
      <c r="F193" s="11" t="str">
        <f>IFERROR(__xludf.DUMMYFUNCTION("""COMPUTED_VALUE"""),"Listicle")</f>
        <v>Listicle</v>
      </c>
      <c r="G193" s="11" t="b">
        <f>IFERROR(__xludf.DUMMYFUNCTION("""COMPUTED_VALUE"""),FALSE)</f>
        <v>0</v>
      </c>
      <c r="H193" s="11" t="str">
        <f>IFERROR(__xludf.DUMMYFUNCTION("""COMPUTED_VALUE"""),"Single Grain, NoGood, WebFX, Siege Media, iPullRank")</f>
        <v>Single Grain, NoGood, WebFX, Siege Media, iPullRank</v>
      </c>
      <c r="I193" s="11">
        <f>IFERROR(__xludf.DUMMYFUNCTION("""COMPUTED_VALUE"""),2.0)</f>
        <v>2</v>
      </c>
      <c r="J193" s="11">
        <f>IFERROR(__xludf.DUMMYFUNCTION("""COMPUTED_VALUE"""),0.0)</f>
        <v>0</v>
      </c>
      <c r="K193" s="11">
        <f>IFERROR(__xludf.DUMMYFUNCTION("""COMPUTED_VALUE"""),1.0)</f>
        <v>1</v>
      </c>
    </row>
    <row r="194" ht="15.75" customHeight="1">
      <c r="A194" s="8" t="str">
        <f>IFERROR(__xludf.DUMMYFUNCTION("""COMPUTED_VALUE"""),"https://inbeat.agency/blog/top-marketing-measurement-and-analytics-companies#:~:text=Artefact%3A%20Artefact%20blends%20AI%20and,streams%20into%20a%20unified%20dashboard.")</f>
        <v>https://inbeat.agency/blog/top-marketing-measurement-and-analytics-companies#:~:text=Artefact%3A%20Artefact%20blends%20AI%20and,streams%20into%20a%20unified%20dashboard.</v>
      </c>
      <c r="B194" s="11" t="str">
        <f>IFERROR(__xludf.DUMMYFUNCTION("""COMPUTED_VALUE"""),"Top 15 Marketing Measurement and Analytics Firms Unlocking ROI Clarity in 2026 - inBeat Agency")</f>
        <v>Top 15 Marketing Measurement and Analytics Firms Unlocking ROI Clarity in 2026 - inBeat Agency</v>
      </c>
      <c r="C194" s="11" t="str">
        <f>IFERROR(__xludf.DUMMYFUNCTION("""COMPUTED_VALUE"""),"inbeat.agency")</f>
        <v>inbeat.agency</v>
      </c>
      <c r="D194" s="11" t="str">
        <f>IFERROR(__xludf.DUMMYFUNCTION("""COMPUTED_VALUE"""),"LISTICLE")</f>
        <v>LISTICLE</v>
      </c>
      <c r="E194" s="11" t="str">
        <f>IFERROR(__xludf.DUMMYFUNCTION("""COMPUTED_VALUE"""),"COMPETITOR")</f>
        <v>COMPETITOR</v>
      </c>
      <c r="F194" s="11" t="str">
        <f>IFERROR(__xludf.DUMMYFUNCTION("""COMPUTED_VALUE"""),"Listicle")</f>
        <v>Listicle</v>
      </c>
      <c r="G194" s="11" t="b">
        <f>IFERROR(__xludf.DUMMYFUNCTION("""COMPUTED_VALUE"""),FALSE)</f>
        <v>0</v>
      </c>
      <c r="H194" s="11" t="str">
        <f>IFERROR(__xludf.DUMMYFUNCTION("""COMPUTED_VALUE"""),"inBeat, Nielsen, Artefact, Measured, WebFX")</f>
        <v>inBeat, Nielsen, Artefact, Measured, WebFX</v>
      </c>
      <c r="I194" s="11">
        <f>IFERROR(__xludf.DUMMYFUNCTION("""COMPUTED_VALUE"""),2.0)</f>
        <v>2</v>
      </c>
      <c r="J194" s="11">
        <f>IFERROR(__xludf.DUMMYFUNCTION("""COMPUTED_VALUE"""),0.0)</f>
        <v>0</v>
      </c>
      <c r="K194" s="11">
        <f>IFERROR(__xludf.DUMMYFUNCTION("""COMPUTED_VALUE"""),1.5)</f>
        <v>1.5</v>
      </c>
    </row>
    <row r="195" ht="15.75" customHeight="1">
      <c r="A195" s="8" t="str">
        <f>IFERROR(__xludf.DUMMYFUNCTION("""COMPUTED_VALUE"""),"https://inbeat.agency/blog/top-media-buying-agencies")</f>
        <v>https://inbeat.agency/blog/top-media-buying-agencies</v>
      </c>
      <c r="B195" s="11" t="str">
        <f>IFERROR(__xludf.DUMMYFUNCTION("""COMPUTED_VALUE"""),"14 Media Buying Agencies That Actually Stretch a Budget - inBeat Agency")</f>
        <v>14 Media Buying Agencies That Actually Stretch a Budget - inBeat Agency</v>
      </c>
      <c r="C195" s="11" t="str">
        <f>IFERROR(__xludf.DUMMYFUNCTION("""COMPUTED_VALUE"""),"inbeat.agency")</f>
        <v>inbeat.agency</v>
      </c>
      <c r="D195" s="11" t="str">
        <f>IFERROR(__xludf.DUMMYFUNCTION("""COMPUTED_VALUE"""),"LISTICLE")</f>
        <v>LISTICLE</v>
      </c>
      <c r="E195" s="11" t="str">
        <f>IFERROR(__xludf.DUMMYFUNCTION("""COMPUTED_VALUE"""),"COMPETITOR")</f>
        <v>COMPETITOR</v>
      </c>
      <c r="F195" s="11" t="str">
        <f>IFERROR(__xludf.DUMMYFUNCTION("""COMPUTED_VALUE"""),"Listicle")</f>
        <v>Listicle</v>
      </c>
      <c r="G195" s="11" t="b">
        <f>IFERROR(__xludf.DUMMYFUNCTION("""COMPUTED_VALUE"""),FALSE)</f>
        <v>0</v>
      </c>
      <c r="H195" s="11" t="str">
        <f>IFERROR(__xludf.DUMMYFUNCTION("""COMPUTED_VALUE"""),"inBeat, Nielsen, Hawke Media, Measured")</f>
        <v>inBeat, Nielsen, Hawke Media, Measured</v>
      </c>
      <c r="I195" s="11">
        <f>IFERROR(__xludf.DUMMYFUNCTION("""COMPUTED_VALUE"""),2.0)</f>
        <v>2</v>
      </c>
      <c r="J195" s="11">
        <f>IFERROR(__xludf.DUMMYFUNCTION("""COMPUTED_VALUE"""),0.0)</f>
        <v>0</v>
      </c>
      <c r="K195" s="11">
        <f>IFERROR(__xludf.DUMMYFUNCTION("""COMPUTED_VALUE"""),0.0)</f>
        <v>0</v>
      </c>
    </row>
    <row r="196" ht="15.75" customHeight="1">
      <c r="A196" s="8" t="str">
        <f>IFERROR(__xludf.DUMMYFUNCTION("""COMPUTED_VALUE"""),"https://www.influencer-hero.com/blogs/top-social-media-agencies-in-munich")</f>
        <v>https://www.influencer-hero.com/blogs/top-social-media-agencies-in-munich</v>
      </c>
      <c r="B196" s="11" t="str">
        <f>IFERROR(__xludf.DUMMYFUNCTION("""COMPUTED_VALUE"""),"Top 10 Social Media Agencies in Munich")</f>
        <v>Top 10 Social Media Agencies in Munich</v>
      </c>
      <c r="C196" s="8" t="str">
        <f>IFERROR(__xludf.DUMMYFUNCTION("""COMPUTED_VALUE"""),"influencer-hero.com")</f>
        <v>influencer-hero.com</v>
      </c>
      <c r="D196" s="11" t="str">
        <f>IFERROR(__xludf.DUMMYFUNCTION("""COMPUTED_VALUE"""),"LISTICLE")</f>
        <v>LISTICLE</v>
      </c>
      <c r="E196" s="11" t="str">
        <f>IFERROR(__xludf.DUMMYFUNCTION("""COMPUTED_VALUE"""),"CORPORATE")</f>
        <v>CORPORATE</v>
      </c>
      <c r="F196" s="11" t="str">
        <f>IFERROR(__xludf.DUMMYFUNCTION("""COMPUTED_VALUE"""),"Listicle")</f>
        <v>Listicle</v>
      </c>
      <c r="G196" s="11" t="b">
        <f>IFERROR(__xludf.DUMMYFUNCTION("""COMPUTED_VALUE"""),FALSE)</f>
        <v>0</v>
      </c>
      <c r="H196" s="11" t="str">
        <f>IFERROR(__xludf.DUMMYFUNCTION("""COMPUTED_VALUE"""),"Social Media One, Social Media Pirates, Mawave, Jung von Matt")</f>
        <v>Social Media One, Social Media Pirates, Mawave, Jung von Matt</v>
      </c>
      <c r="I196" s="11">
        <f>IFERROR(__xludf.DUMMYFUNCTION("""COMPUTED_VALUE"""),2.0)</f>
        <v>2</v>
      </c>
      <c r="J196" s="11">
        <f>IFERROR(__xludf.DUMMYFUNCTION("""COMPUTED_VALUE"""),0.0)</f>
        <v>0</v>
      </c>
      <c r="K196" s="11">
        <f>IFERROR(__xludf.DUMMYFUNCTION("""COMPUTED_VALUE"""),0.5)</f>
        <v>0.5</v>
      </c>
    </row>
    <row r="197" ht="15.75" customHeight="1">
      <c r="A197" s="8" t="str">
        <f>IFERROR(__xludf.DUMMYFUNCTION("""COMPUTED_VALUE"""),"https://influencermarketinghub.com/ai-marketing-agencies/")</f>
        <v>https://influencermarketinghub.com/ai-marketing-agencies/</v>
      </c>
      <c r="B197" s="11" t="str">
        <f>IFERROR(__xludf.DUMMYFUNCTION("""COMPUTED_VALUE"""),"Best AI Marketing Agencies For 2026")</f>
        <v>Best AI Marketing Agencies For 2026</v>
      </c>
      <c r="C197" s="8" t="str">
        <f>IFERROR(__xludf.DUMMYFUNCTION("""COMPUTED_VALUE"""),"influencermarketinghub.com")</f>
        <v>influencermarketinghub.com</v>
      </c>
      <c r="D197" s="11" t="str">
        <f>IFERROR(__xludf.DUMMYFUNCTION("""COMPUTED_VALUE"""),"LISTICLE")</f>
        <v>LISTICLE</v>
      </c>
      <c r="E197" s="11" t="str">
        <f>IFERROR(__xludf.DUMMYFUNCTION("""COMPUTED_VALUE"""),"REFERENCE")</f>
        <v>REFERENCE</v>
      </c>
      <c r="F197" s="11" t="str">
        <f>IFERROR(__xludf.DUMMYFUNCTION("""COMPUTED_VALUE"""),"Listicle")</f>
        <v>Listicle</v>
      </c>
      <c r="G197" s="11" t="b">
        <f>IFERROR(__xludf.DUMMYFUNCTION("""COMPUTED_VALUE"""),FALSE)</f>
        <v>0</v>
      </c>
      <c r="H197" s="11" t="str">
        <f>IFERROR(__xludf.DUMMYFUNCTION("""COMPUTED_VALUE"""),"SmartSites, McKinsey &amp; Company, Momentum, Mindshare, Wpromote, Dentsu")</f>
        <v>SmartSites, McKinsey &amp; Company, Momentum, Mindshare, Wpromote, Dentsu</v>
      </c>
      <c r="I197" s="11">
        <f>IFERROR(__xludf.DUMMYFUNCTION("""COMPUTED_VALUE"""),2.0)</f>
        <v>2</v>
      </c>
      <c r="J197" s="11">
        <f>IFERROR(__xludf.DUMMYFUNCTION("""COMPUTED_VALUE"""),0.0)</f>
        <v>0</v>
      </c>
      <c r="K197" s="11">
        <f>IFERROR(__xludf.DUMMYFUNCTION("""COMPUTED_VALUE"""),0.0)</f>
        <v>0</v>
      </c>
    </row>
    <row r="198" ht="15.75" customHeight="1">
      <c r="A198" s="8" t="str">
        <f>IFERROR(__xludf.DUMMYFUNCTION("""COMPUTED_VALUE"""),"https://madebyevoke.com/blog/top-branding-agencies-berlin#:~:text=Specialisation%3A%20Integrated%20brand%20strategy%2C%20creative,communications%20for%20German%20market%20leaders.")</f>
        <v>https://madebyevoke.com/blog/top-branding-agencies-berlin#:~:text=Specialisation%3A%20Integrated%20brand%20strategy%2C%20creative,communications%20for%20German%20market%20leaders.</v>
      </c>
      <c r="B198" s="11" t="str">
        <f>IFERROR(__xludf.DUMMYFUNCTION("""COMPUTED_VALUE"""),"Top 10 Branding Agencies in Berlin, Germany (2026) — Ranked | Evoke Studio")</f>
        <v>Top 10 Branding Agencies in Berlin, Germany (2026) — Ranked | Evoke Studio</v>
      </c>
      <c r="C198" s="8" t="str">
        <f>IFERROR(__xludf.DUMMYFUNCTION("""COMPUTED_VALUE"""),"madebyevoke.com")</f>
        <v>madebyevoke.com</v>
      </c>
      <c r="D198" s="11" t="str">
        <f>IFERROR(__xludf.DUMMYFUNCTION("""COMPUTED_VALUE"""),"LISTICLE")</f>
        <v>LISTICLE</v>
      </c>
      <c r="E198" s="11" t="str">
        <f>IFERROR(__xludf.DUMMYFUNCTION("""COMPUTED_VALUE"""),"CORPORATE")</f>
        <v>CORPORATE</v>
      </c>
      <c r="F198" s="11" t="str">
        <f>IFERROR(__xludf.DUMMYFUNCTION("""COMPUTED_VALUE"""),"Listicle")</f>
        <v>Listicle</v>
      </c>
      <c r="G198" s="11" t="b">
        <f>IFERROR(__xludf.DUMMYFUNCTION("""COMPUTED_VALUE"""),FALSE)</f>
        <v>0</v>
      </c>
      <c r="H198" s="11" t="str">
        <f>IFERROR(__xludf.DUMMYFUNCTION("""COMPUTED_VALUE"""),"Jung von Matt, Scholz &amp; Friends, Serviceplan Group, BBDO Germany, Ogilvy")</f>
        <v>Jung von Matt, Scholz &amp; Friends, Serviceplan Group, BBDO Germany, Ogilvy</v>
      </c>
      <c r="I198" s="11">
        <f>IFERROR(__xludf.DUMMYFUNCTION("""COMPUTED_VALUE"""),2.0)</f>
        <v>2</v>
      </c>
      <c r="J198" s="11">
        <f>IFERROR(__xludf.DUMMYFUNCTION("""COMPUTED_VALUE"""),0.0)</f>
        <v>0</v>
      </c>
      <c r="K198" s="11">
        <f>IFERROR(__xludf.DUMMYFUNCTION("""COMPUTED_VALUE"""),3.0)</f>
        <v>3</v>
      </c>
    </row>
    <row r="199" ht="15.75" customHeight="1">
      <c r="A199" s="8" t="str">
        <f>IFERROR(__xludf.DUMMYFUNCTION("""COMPUTED_VALUE"""),"https://www.magier.com/blog/top-aeo-agencies")</f>
        <v>https://www.magier.com/blog/top-aeo-agencies</v>
      </c>
      <c r="B199" s="11" t="str">
        <f>IFERROR(__xludf.DUMMYFUNCTION("""COMPUTED_VALUE"""),"Top 12 AEO Agencies in 2026: How to Find the Right Fit for Your Brand")</f>
        <v>Top 12 AEO Agencies in 2026: How to Find the Right Fit for Your Brand</v>
      </c>
      <c r="C199" s="8" t="str">
        <f>IFERROR(__xludf.DUMMYFUNCTION("""COMPUTED_VALUE"""),"magier.com")</f>
        <v>magier.com</v>
      </c>
      <c r="D199" s="11" t="str">
        <f>IFERROR(__xludf.DUMMYFUNCTION("""COMPUTED_VALUE"""),"LISTICLE")</f>
        <v>LISTICLE</v>
      </c>
      <c r="E199" s="11" t="str">
        <f>IFERROR(__xludf.DUMMYFUNCTION("""COMPUTED_VALUE"""),"OTHER")</f>
        <v>OTHER</v>
      </c>
      <c r="F199" s="11" t="str">
        <f>IFERROR(__xludf.DUMMYFUNCTION("""COMPUTED_VALUE"""),"Listicle")</f>
        <v>Listicle</v>
      </c>
      <c r="G199" s="11" t="b">
        <f>IFERROR(__xludf.DUMMYFUNCTION("""COMPUTED_VALUE"""),FALSE)</f>
        <v>0</v>
      </c>
      <c r="H199" s="11" t="str">
        <f>IFERROR(__xludf.DUMMYFUNCTION("""COMPUTED_VALUE"""),"Radyant, iPullRank, Siege Media, Omnius, Omniscient Digital, SmartSites, Single Grain, NoGood")</f>
        <v>Radyant, iPullRank, Siege Media, Omnius, Omniscient Digital, SmartSites, Single Grain, NoGood</v>
      </c>
      <c r="I199" s="11">
        <f>IFERROR(__xludf.DUMMYFUNCTION("""COMPUTED_VALUE"""),2.0)</f>
        <v>2</v>
      </c>
      <c r="J199" s="11">
        <f>IFERROR(__xludf.DUMMYFUNCTION("""COMPUTED_VALUE"""),0.0)</f>
        <v>0</v>
      </c>
      <c r="K199" s="11">
        <f>IFERROR(__xludf.DUMMYFUNCTION("""COMPUTED_VALUE"""),1.0)</f>
        <v>1</v>
      </c>
    </row>
    <row r="200" ht="15.75" customHeight="1">
      <c r="A200" s="8" t="str">
        <f>IFERROR(__xludf.DUMMYFUNCTION("""COMPUTED_VALUE"""),"https://www.magier.com/de/blog/besten-aeo-agenturen")</f>
        <v>https://www.magier.com/de/blog/besten-aeo-agenturen</v>
      </c>
      <c r="B200" s="11" t="str">
        <f>IFERROR(__xludf.DUMMYFUNCTION("""COMPUTED_VALUE"""),"Die 12 besten AEO-Agenturen im Jahr 2026: So findest du die richtige für deine Brand")</f>
        <v>Die 12 besten AEO-Agenturen im Jahr 2026: So findest du die richtige für deine Brand</v>
      </c>
      <c r="C200" s="8" t="str">
        <f>IFERROR(__xludf.DUMMYFUNCTION("""COMPUTED_VALUE"""),"magier.com")</f>
        <v>magier.com</v>
      </c>
      <c r="D200" s="11" t="str">
        <f>IFERROR(__xludf.DUMMYFUNCTION("""COMPUTED_VALUE"""),"LISTICLE")</f>
        <v>LISTICLE</v>
      </c>
      <c r="E200" s="11" t="str">
        <f>IFERROR(__xludf.DUMMYFUNCTION("""COMPUTED_VALUE"""),"OTHER")</f>
        <v>OTHER</v>
      </c>
      <c r="F200" s="11" t="str">
        <f>IFERROR(__xludf.DUMMYFUNCTION("""COMPUTED_VALUE"""),"Listicle")</f>
        <v>Listicle</v>
      </c>
      <c r="G200" s="11" t="b">
        <f>IFERROR(__xludf.DUMMYFUNCTION("""COMPUTED_VALUE"""),FALSE)</f>
        <v>0</v>
      </c>
      <c r="H200" s="11" t="str">
        <f>IFERROR(__xludf.DUMMYFUNCTION("""COMPUTED_VALUE"""),"Radyant, iPullRank, Siege Media, Omnius, Omniscient Digital, SmartSites, Single Grain, NoGood")</f>
        <v>Radyant, iPullRank, Siege Media, Omnius, Omniscient Digital, SmartSites, Single Grain, NoGood</v>
      </c>
      <c r="I200" s="11">
        <f>IFERROR(__xludf.DUMMYFUNCTION("""COMPUTED_VALUE"""),2.0)</f>
        <v>2</v>
      </c>
      <c r="J200" s="11">
        <f>IFERROR(__xludf.DUMMYFUNCTION("""COMPUTED_VALUE"""),0.0)</f>
        <v>0</v>
      </c>
      <c r="K200" s="11">
        <f>IFERROR(__xludf.DUMMYFUNCTION("""COMPUTED_VALUE"""),0.0)</f>
        <v>0</v>
      </c>
    </row>
    <row r="201" ht="15.75" customHeight="1">
      <c r="A201" s="8" t="str">
        <f>IFERROR(__xludf.DUMMYFUNCTION("""COMPUTED_VALUE"""),"https://marketingexpertshub.com/de/seo/best-aeo-agencies/")</f>
        <v>https://marketingexpertshub.com/de/seo/best-aeo-agencies/</v>
      </c>
      <c r="B201" s="11" t="str">
        <f>IFERROR(__xludf.DUMMYFUNCTION("""COMPUTED_VALUE"""),"12 Best Answer Engine Optimization (AEO) Agencies in 2026 - Marketing Experts Hub")</f>
        <v>12 Best Answer Engine Optimization (AEO) Agencies in 2026 - Marketing Experts Hub</v>
      </c>
      <c r="C201" s="8" t="str">
        <f>IFERROR(__xludf.DUMMYFUNCTION("""COMPUTED_VALUE"""),"marketingexpertshub.com")</f>
        <v>marketingexpertshub.com</v>
      </c>
      <c r="D201" s="11" t="str">
        <f>IFERROR(__xludf.DUMMYFUNCTION("""COMPUTED_VALUE"""),"LISTICLE")</f>
        <v>LISTICLE</v>
      </c>
      <c r="E201" s="11" t="str">
        <f>IFERROR(__xludf.DUMMYFUNCTION("""COMPUTED_VALUE"""),"EDITORIAL")</f>
        <v>EDITORIAL</v>
      </c>
      <c r="F201" s="11" t="str">
        <f>IFERROR(__xludf.DUMMYFUNCTION("""COMPUTED_VALUE"""),"Listicle")</f>
        <v>Listicle</v>
      </c>
      <c r="G201" s="11" t="b">
        <f>IFERROR(__xludf.DUMMYFUNCTION("""COMPUTED_VALUE"""),FALSE)</f>
        <v>0</v>
      </c>
      <c r="H201" s="11" t="str">
        <f>IFERROR(__xludf.DUMMYFUNCTION("""COMPUTED_VALUE"""),"NoGood, iPullRank")</f>
        <v>NoGood, iPullRank</v>
      </c>
      <c r="I201" s="11">
        <f>IFERROR(__xludf.DUMMYFUNCTION("""COMPUTED_VALUE"""),2.0)</f>
        <v>2</v>
      </c>
      <c r="J201" s="11">
        <f>IFERROR(__xludf.DUMMYFUNCTION("""COMPUTED_VALUE"""),0.0)</f>
        <v>0</v>
      </c>
      <c r="K201" s="11">
        <f>IFERROR(__xludf.DUMMYFUNCTION("""COMPUTED_VALUE"""),0.0)</f>
        <v>0</v>
      </c>
    </row>
    <row r="202" ht="15.75" customHeight="1">
      <c r="A202" s="8" t="str">
        <f>IFERROR(__xludf.DUMMYFUNCTION("""COMPUTED_VALUE"""),"https://metaflow.life/blog/best-aeo-agencies-2026")</f>
        <v>https://metaflow.life/blog/best-aeo-agencies-2026</v>
      </c>
      <c r="B202" s="11"/>
      <c r="C202" s="11" t="str">
        <f>IFERROR(__xludf.DUMMYFUNCTION("""COMPUTED_VALUE"""),"metaflow.life")</f>
        <v>metaflow.life</v>
      </c>
      <c r="D202" s="11" t="str">
        <f>IFERROR(__xludf.DUMMYFUNCTION("""COMPUTED_VALUE"""),"LISTICLE")</f>
        <v>LISTICLE</v>
      </c>
      <c r="E202" s="11" t="str">
        <f>IFERROR(__xludf.DUMMYFUNCTION("""COMPUTED_VALUE"""),"OTHER")</f>
        <v>OTHER</v>
      </c>
      <c r="F202" s="11" t="str">
        <f>IFERROR(__xludf.DUMMYFUNCTION("""COMPUTED_VALUE"""),"Listicle")</f>
        <v>Listicle</v>
      </c>
      <c r="G202" s="11" t="b">
        <f>IFERROR(__xludf.DUMMYFUNCTION("""COMPUTED_VALUE"""),FALSE)</f>
        <v>0</v>
      </c>
      <c r="H202" s="11" t="str">
        <f>IFERROR(__xludf.DUMMYFUNCTION("""COMPUTED_VALUE"""),"iPullRank, Mindshare")</f>
        <v>iPullRank, Mindshare</v>
      </c>
      <c r="I202" s="11">
        <f>IFERROR(__xludf.DUMMYFUNCTION("""COMPUTED_VALUE"""),2.0)</f>
        <v>2</v>
      </c>
      <c r="J202" s="11">
        <f>IFERROR(__xludf.DUMMYFUNCTION("""COMPUTED_VALUE"""),0.0)</f>
        <v>0</v>
      </c>
      <c r="K202" s="11">
        <f>IFERROR(__xludf.DUMMYFUNCTION("""COMPUTED_VALUE"""),0.0)</f>
        <v>0</v>
      </c>
    </row>
    <row r="203" ht="15.75" customHeight="1">
      <c r="A203" s="8" t="str">
        <f>IFERROR(__xludf.DUMMYFUNCTION("""COMPUTED_VALUE"""),"https://www.neuhandeln.de/performance-ranking/performance_2025")</f>
        <v>https://www.neuhandeln.de/performance-ranking/performance_2025</v>
      </c>
      <c r="B203" s="11" t="str">
        <f>IFERROR(__xludf.DUMMYFUNCTION("""COMPUTED_VALUE"""),"Das Ranking der gr��ten deutschsprachigen Performance-Marketing-Agenturen")</f>
        <v>Das Ranking der gr��ten deutschsprachigen Performance-Marketing-Agenturen</v>
      </c>
      <c r="C203" s="8" t="str">
        <f>IFERROR(__xludf.DUMMYFUNCTION("""COMPUTED_VALUE"""),"neuhandeln.de")</f>
        <v>neuhandeln.de</v>
      </c>
      <c r="D203" s="11" t="str">
        <f>IFERROR(__xludf.DUMMYFUNCTION("""COMPUTED_VALUE"""),"LISTICLE")</f>
        <v>LISTICLE</v>
      </c>
      <c r="E203" s="11" t="str">
        <f>IFERROR(__xludf.DUMMYFUNCTION("""COMPUTED_VALUE"""),"EDITORIAL")</f>
        <v>EDITORIAL</v>
      </c>
      <c r="F203" s="11" t="str">
        <f>IFERROR(__xludf.DUMMYFUNCTION("""COMPUTED_VALUE"""),"Listicle")</f>
        <v>Listicle</v>
      </c>
      <c r="G203" s="11" t="b">
        <f>IFERROR(__xludf.DUMMYFUNCTION("""COMPUTED_VALUE"""),FALSE)</f>
        <v>0</v>
      </c>
      <c r="H203" s="11" t="str">
        <f>IFERROR(__xludf.DUMMYFUNCTION("""COMPUTED_VALUE"""),"iProspect, Smarketer, e-dialog, morefire, Artefact, The Boutique Agency, 42DIGITAL, DREIKON, Aufgesang, eMinded GmbH")</f>
        <v>iProspect, Smarketer, e-dialog, morefire, Artefact, The Boutique Agency, 42DIGITAL, DREIKON, Aufgesang, eMinded GmbH</v>
      </c>
      <c r="I203" s="11">
        <f>IFERROR(__xludf.DUMMYFUNCTION("""COMPUTED_VALUE"""),2.0)</f>
        <v>2</v>
      </c>
      <c r="J203" s="11">
        <f>IFERROR(__xludf.DUMMYFUNCTION("""COMPUTED_VALUE"""),0.0)</f>
        <v>0</v>
      </c>
      <c r="K203" s="11">
        <f>IFERROR(__xludf.DUMMYFUNCTION("""COMPUTED_VALUE"""),2.0)</f>
        <v>2</v>
      </c>
    </row>
    <row r="204" ht="15.75" customHeight="1">
      <c r="A204" s="8" t="str">
        <f>IFERROR(__xludf.DUMMYFUNCTION("""COMPUTED_VALUE"""),"https://nogood.io/blog/ai-marketing-agency/")</f>
        <v>https://nogood.io/blog/ai-marketing-agency/</v>
      </c>
      <c r="B204" s="11" t="str">
        <f>IFERROR(__xludf.DUMMYFUNCTION("""COMPUTED_VALUE"""),"Top 5 AI Marketing Agencies for Growth in 2026 | NoGood")</f>
        <v>Top 5 AI Marketing Agencies for Growth in 2026 | NoGood</v>
      </c>
      <c r="C204" s="8" t="str">
        <f>IFERROR(__xludf.DUMMYFUNCTION("""COMPUTED_VALUE"""),"nogood.io")</f>
        <v>nogood.io</v>
      </c>
      <c r="D204" s="11" t="str">
        <f>IFERROR(__xludf.DUMMYFUNCTION("""COMPUTED_VALUE"""),"LISTICLE")</f>
        <v>LISTICLE</v>
      </c>
      <c r="E204" s="11" t="str">
        <f>IFERROR(__xludf.DUMMYFUNCTION("""COMPUTED_VALUE"""),"CORPORATE")</f>
        <v>CORPORATE</v>
      </c>
      <c r="F204" s="11" t="str">
        <f>IFERROR(__xludf.DUMMYFUNCTION("""COMPUTED_VALUE"""),"Listicle")</f>
        <v>Listicle</v>
      </c>
      <c r="G204" s="11" t="b">
        <f>IFERROR(__xludf.DUMMYFUNCTION("""COMPUTED_VALUE"""),FALSE)</f>
        <v>0</v>
      </c>
      <c r="H204" s="11" t="str">
        <f>IFERROR(__xludf.DUMMYFUNCTION("""COMPUTED_VALUE"""),"NoGood, Single Grain, inBeat")</f>
        <v>NoGood, Single Grain, inBeat</v>
      </c>
      <c r="I204" s="11">
        <f>IFERROR(__xludf.DUMMYFUNCTION("""COMPUTED_VALUE"""),2.0)</f>
        <v>2</v>
      </c>
      <c r="J204" s="11">
        <f>IFERROR(__xludf.DUMMYFUNCTION("""COMPUTED_VALUE"""),0.0)</f>
        <v>0</v>
      </c>
      <c r="K204" s="11">
        <f>IFERROR(__xludf.DUMMYFUNCTION("""COMPUTED_VALUE"""),1.0)</f>
        <v>1</v>
      </c>
    </row>
    <row r="205" ht="15.75" customHeight="1">
      <c r="A205" s="8" t="str">
        <f>IFERROR(__xludf.DUMMYFUNCTION("""COMPUTED_VALUE"""),"https://nogood.io/blog/best-answer-engine-optimization-agencies/")</f>
        <v>https://nogood.io/blog/best-answer-engine-optimization-agencies/</v>
      </c>
      <c r="B205" s="11" t="str">
        <f>IFERROR(__xludf.DUMMYFUNCTION("""COMPUTED_VALUE"""),"Best Answer Engine Optimization (AEO) Agencies 2026 | NoGood")</f>
        <v>Best Answer Engine Optimization (AEO) Agencies 2026 | NoGood</v>
      </c>
      <c r="C205" s="8" t="str">
        <f>IFERROR(__xludf.DUMMYFUNCTION("""COMPUTED_VALUE"""),"nogood.io")</f>
        <v>nogood.io</v>
      </c>
      <c r="D205" s="11" t="str">
        <f>IFERROR(__xludf.DUMMYFUNCTION("""COMPUTED_VALUE"""),"LISTICLE")</f>
        <v>LISTICLE</v>
      </c>
      <c r="E205" s="11" t="str">
        <f>IFERROR(__xludf.DUMMYFUNCTION("""COMPUTED_VALUE"""),"CORPORATE")</f>
        <v>CORPORATE</v>
      </c>
      <c r="F205" s="11" t="str">
        <f>IFERROR(__xludf.DUMMYFUNCTION("""COMPUTED_VALUE"""),"Listicle")</f>
        <v>Listicle</v>
      </c>
      <c r="G205" s="11" t="b">
        <f>IFERROR(__xludf.DUMMYFUNCTION("""COMPUTED_VALUE"""),FALSE)</f>
        <v>0</v>
      </c>
      <c r="H205" s="11" t="str">
        <f>IFERROR(__xludf.DUMMYFUNCTION("""COMPUTED_VALUE"""),"NoGood, iPullRank, Omniscient Digital")</f>
        <v>NoGood, iPullRank, Omniscient Digital</v>
      </c>
      <c r="I205" s="11">
        <f>IFERROR(__xludf.DUMMYFUNCTION("""COMPUTED_VALUE"""),2.0)</f>
        <v>2</v>
      </c>
      <c r="J205" s="11">
        <f>IFERROR(__xludf.DUMMYFUNCTION("""COMPUTED_VALUE"""),0.0)</f>
        <v>0</v>
      </c>
      <c r="K205" s="11">
        <f>IFERROR(__xludf.DUMMYFUNCTION("""COMPUTED_VALUE"""),1.0)</f>
        <v>1</v>
      </c>
    </row>
    <row r="206" ht="15.75" customHeight="1">
      <c r="A206" s="8" t="str">
        <f>IFERROR(__xludf.DUMMYFUNCTION("""COMPUTED_VALUE"""),"https://www.oneclub.org/press/-adc100-rankings")</f>
        <v>https://www.oneclub.org/press/-adc100-rankings</v>
      </c>
      <c r="B206" s="11" t="str">
        <f>IFERROR(__xludf.DUMMYFUNCTION("""COMPUTED_VALUE"""),"DDB Group Germany is World’s Top-Ranked Agency In ADC 100th Annual Awards Global Creative Rankings | The One Club")</f>
        <v>DDB Group Germany is World’s Top-Ranked Agency In ADC 100th Annual Awards Global Creative Rankings | The One Club</v>
      </c>
      <c r="C206" s="8" t="str">
        <f>IFERROR(__xludf.DUMMYFUNCTION("""COMPUTED_VALUE"""),"oneclub.org")</f>
        <v>oneclub.org</v>
      </c>
      <c r="D206" s="11" t="str">
        <f>IFERROR(__xludf.DUMMYFUNCTION("""COMPUTED_VALUE"""),"LISTICLE")</f>
        <v>LISTICLE</v>
      </c>
      <c r="E206" s="11" t="str">
        <f>IFERROR(__xludf.DUMMYFUNCTION("""COMPUTED_VALUE"""),"INSTITUTIONAL")</f>
        <v>INSTITUTIONAL</v>
      </c>
      <c r="F206" s="11" t="str">
        <f>IFERROR(__xludf.DUMMYFUNCTION("""COMPUTED_VALUE"""),"Listicle")</f>
        <v>Listicle</v>
      </c>
      <c r="G206" s="11" t="b">
        <f>IFERROR(__xludf.DUMMYFUNCTION("""COMPUTED_VALUE"""),FALSE)</f>
        <v>0</v>
      </c>
      <c r="H206" s="11" t="str">
        <f>IFERROR(__xludf.DUMMYFUNCTION("""COMPUTED_VALUE"""),"Media.Monks, Ogilvy, Dentsu")</f>
        <v>Media.Monks, Ogilvy, Dentsu</v>
      </c>
      <c r="I206" s="11">
        <f>IFERROR(__xludf.DUMMYFUNCTION("""COMPUTED_VALUE"""),2.0)</f>
        <v>2</v>
      </c>
      <c r="J206" s="11">
        <f>IFERROR(__xludf.DUMMYFUNCTION("""COMPUTED_VALUE"""),0.0)</f>
        <v>0</v>
      </c>
      <c r="K206" s="11">
        <f>IFERROR(__xludf.DUMMYFUNCTION("""COMPUTED_VALUE"""),0.0)</f>
        <v>0</v>
      </c>
    </row>
    <row r="207" ht="15.75" customHeight="1">
      <c r="A207" s="8" t="str">
        <f>IFERROR(__xludf.DUMMYFUNCTION("""COMPUTED_VALUE"""),"https://onelittleweb.com/top-agencies/top-performance-marketing-agencies/")</f>
        <v>https://onelittleweb.com/top-agencies/top-performance-marketing-agencies/</v>
      </c>
      <c r="B207" s="11" t="str">
        <f>IFERROR(__xludf.DUMMYFUNCTION("""COMPUTED_VALUE"""),"Top Performance Marketing Agencies 2026 – Ranked &amp;amp; Reviewed")</f>
        <v>Top Performance Marketing Agencies 2026 – Ranked &amp;amp; Reviewed</v>
      </c>
      <c r="C207" s="8" t="str">
        <f>IFERROR(__xludf.DUMMYFUNCTION("""COMPUTED_VALUE"""),"onelittleweb.com")</f>
        <v>onelittleweb.com</v>
      </c>
      <c r="D207" s="11" t="str">
        <f>IFERROR(__xludf.DUMMYFUNCTION("""COMPUTED_VALUE"""),"LISTICLE")</f>
        <v>LISTICLE</v>
      </c>
      <c r="E207" s="11" t="str">
        <f>IFERROR(__xludf.DUMMYFUNCTION("""COMPUTED_VALUE"""),"CORPORATE")</f>
        <v>CORPORATE</v>
      </c>
      <c r="F207" s="11" t="str">
        <f>IFERROR(__xludf.DUMMYFUNCTION("""COMPUTED_VALUE"""),"Listicle")</f>
        <v>Listicle</v>
      </c>
      <c r="G207" s="11" t="b">
        <f>IFERROR(__xludf.DUMMYFUNCTION("""COMPUTED_VALUE"""),FALSE)</f>
        <v>0</v>
      </c>
      <c r="H207" s="11" t="str">
        <f>IFERROR(__xludf.DUMMYFUNCTION("""COMPUTED_VALUE"""),"WebFX, SmartSites, Disruptive Advertising, DEPT, MONSOON")</f>
        <v>WebFX, SmartSites, Disruptive Advertising, DEPT, MONSOON</v>
      </c>
      <c r="I207" s="11">
        <f>IFERROR(__xludf.DUMMYFUNCTION("""COMPUTED_VALUE"""),2.0)</f>
        <v>2</v>
      </c>
      <c r="J207" s="11">
        <f>IFERROR(__xludf.DUMMYFUNCTION("""COMPUTED_VALUE"""),0.0)</f>
        <v>0</v>
      </c>
      <c r="K207" s="11">
        <f>IFERROR(__xludf.DUMMYFUNCTION("""COMPUTED_VALUE"""),1.5)</f>
        <v>1.5</v>
      </c>
    </row>
    <row r="208" ht="15.75" customHeight="1">
      <c r="A208" s="8" t="str">
        <f>IFERROR(__xludf.DUMMYFUNCTION("""COMPUTED_VALUE"""),"https://open.partners/open-partners-insights/uk-marketing-agencies-that-work-with-google/")</f>
        <v>https://open.partners/open-partners-insights/uk-marketing-agencies-that-work-with-google/</v>
      </c>
      <c r="B208" s="11" t="str">
        <f>IFERROR(__xludf.DUMMYFUNCTION("""COMPUTED_VALUE"""),"10 UK marketing agencies that work with Google | Open Partners")</f>
        <v>10 UK marketing agencies that work with Google | Open Partners</v>
      </c>
      <c r="C208" s="11" t="str">
        <f>IFERROR(__xludf.DUMMYFUNCTION("""COMPUTED_VALUE"""),"open.partners")</f>
        <v>open.partners</v>
      </c>
      <c r="D208" s="11" t="str">
        <f>IFERROR(__xludf.DUMMYFUNCTION("""COMPUTED_VALUE"""),"LISTICLE")</f>
        <v>LISTICLE</v>
      </c>
      <c r="E208" s="11" t="str">
        <f>IFERROR(__xludf.DUMMYFUNCTION("""COMPUTED_VALUE"""),"CORPORATE")</f>
        <v>CORPORATE</v>
      </c>
      <c r="F208" s="11" t="str">
        <f>IFERROR(__xludf.DUMMYFUNCTION("""COMPUTED_VALUE"""),"Listicle")</f>
        <v>Listicle</v>
      </c>
      <c r="G208" s="11" t="b">
        <f>IFERROR(__xludf.DUMMYFUNCTION("""COMPUTED_VALUE"""),FALSE)</f>
        <v>0</v>
      </c>
      <c r="H208" s="11"/>
      <c r="I208" s="11">
        <f>IFERROR(__xludf.DUMMYFUNCTION("""COMPUTED_VALUE"""),2.0)</f>
        <v>2</v>
      </c>
      <c r="J208" s="11">
        <f>IFERROR(__xludf.DUMMYFUNCTION("""COMPUTED_VALUE"""),0.0)</f>
        <v>0</v>
      </c>
      <c r="K208" s="11">
        <f>IFERROR(__xludf.DUMMYFUNCTION("""COMPUTED_VALUE"""),0.5)</f>
        <v>0.5</v>
      </c>
    </row>
    <row r="209" ht="15.75" customHeight="1">
      <c r="A209" s="8" t="str">
        <f>IFERROR(__xludf.DUMMYFUNCTION("""COMPUTED_VALUE"""),"https://optis.digital/answer-engine-optimization-agencies/")</f>
        <v>https://optis.digital/answer-engine-optimization-agencies/</v>
      </c>
      <c r="B209" s="11" t="str">
        <f>IFERROR(__xludf.DUMMYFUNCTION("""COMPUTED_VALUE"""),"Top10 Answer Engine Optimization Agencies | AEO Experts")</f>
        <v>Top10 Answer Engine Optimization Agencies | AEO Experts</v>
      </c>
      <c r="C209" s="11" t="str">
        <f>IFERROR(__xludf.DUMMYFUNCTION("""COMPUTED_VALUE"""),"optis.digital")</f>
        <v>optis.digital</v>
      </c>
      <c r="D209" s="11" t="str">
        <f>IFERROR(__xludf.DUMMYFUNCTION("""COMPUTED_VALUE"""),"LISTICLE")</f>
        <v>LISTICLE</v>
      </c>
      <c r="E209" s="11" t="str">
        <f>IFERROR(__xludf.DUMMYFUNCTION("""COMPUTED_VALUE"""),"CORPORATE")</f>
        <v>CORPORATE</v>
      </c>
      <c r="F209" s="11" t="str">
        <f>IFERROR(__xludf.DUMMYFUNCTION("""COMPUTED_VALUE"""),"Listicle")</f>
        <v>Listicle</v>
      </c>
      <c r="G209" s="11" t="b">
        <f>IFERROR(__xludf.DUMMYFUNCTION("""COMPUTED_VALUE"""),FALSE)</f>
        <v>0</v>
      </c>
      <c r="H209" s="11" t="str">
        <f>IFERROR(__xludf.DUMMYFUNCTION("""COMPUTED_VALUE"""),"NoGood, Single Grain, Siege Media")</f>
        <v>NoGood, Single Grain, Siege Media</v>
      </c>
      <c r="I209" s="11">
        <f>IFERROR(__xludf.DUMMYFUNCTION("""COMPUTED_VALUE"""),2.0)</f>
        <v>2</v>
      </c>
      <c r="J209" s="11">
        <f>IFERROR(__xludf.DUMMYFUNCTION("""COMPUTED_VALUE"""),0.0)</f>
        <v>0</v>
      </c>
      <c r="K209" s="11">
        <f>IFERROR(__xludf.DUMMYFUNCTION("""COMPUTED_VALUE"""),0.0)</f>
        <v>0</v>
      </c>
    </row>
    <row r="210" ht="15.75" customHeight="1">
      <c r="A210" s="8" t="str">
        <f>IFERROR(__xludf.DUMMYFUNCTION("""COMPUTED_VALUE"""),"https://www.outsourceaccelerator.com/guide/top-advertising-agencies-in-europe/")</f>
        <v>https://www.outsourceaccelerator.com/guide/top-advertising-agencies-in-europe/</v>
      </c>
      <c r="B210" s="11" t="str">
        <f>IFERROR(__xludf.DUMMYFUNCTION("""COMPUTED_VALUE"""),"Top 15 advertising agencies in Europe | Outsource Accelerator")</f>
        <v>Top 15 advertising agencies in Europe | Outsource Accelerator</v>
      </c>
      <c r="C210" s="8" t="str">
        <f>IFERROR(__xludf.DUMMYFUNCTION("""COMPUTED_VALUE"""),"outsourceaccelerator.com")</f>
        <v>outsourceaccelerator.com</v>
      </c>
      <c r="D210" s="11" t="str">
        <f>IFERROR(__xludf.DUMMYFUNCTION("""COMPUTED_VALUE"""),"LISTICLE")</f>
        <v>LISTICLE</v>
      </c>
      <c r="E210" s="11" t="str">
        <f>IFERROR(__xludf.DUMMYFUNCTION("""COMPUTED_VALUE"""),"INSTITUTIONAL")</f>
        <v>INSTITUTIONAL</v>
      </c>
      <c r="F210" s="11" t="str">
        <f>IFERROR(__xludf.DUMMYFUNCTION("""COMPUTED_VALUE"""),"Listicle")</f>
        <v>Listicle</v>
      </c>
      <c r="G210" s="11" t="b">
        <f>IFERROR(__xludf.DUMMYFUNCTION("""COMPUTED_VALUE"""),FALSE)</f>
        <v>0</v>
      </c>
      <c r="H210" s="11" t="str">
        <f>IFERROR(__xludf.DUMMYFUNCTION("""COMPUTED_VALUE"""),"Mindshare, Serviceplan Group, GroupM")</f>
        <v>Mindshare, Serviceplan Group, GroupM</v>
      </c>
      <c r="I210" s="11">
        <f>IFERROR(__xludf.DUMMYFUNCTION("""COMPUTED_VALUE"""),2.0)</f>
        <v>2</v>
      </c>
      <c r="J210" s="11">
        <f>IFERROR(__xludf.DUMMYFUNCTION("""COMPUTED_VALUE"""),0.0)</f>
        <v>0</v>
      </c>
      <c r="K210" s="11">
        <f>IFERROR(__xludf.DUMMYFUNCTION("""COMPUTED_VALUE"""),1.0)</f>
        <v>1</v>
      </c>
    </row>
    <row r="211" ht="15.75" customHeight="1">
      <c r="A211" s="8" t="str">
        <f>IFERROR(__xludf.DUMMYFUNCTION("""COMPUTED_VALUE"""),"https://rocketium.ai/academy/all/ai-tools-scaling-creative-production")</f>
        <v>https://rocketium.ai/academy/all/ai-tools-scaling-creative-production</v>
      </c>
      <c r="B211" s="11" t="str">
        <f>IFERROR(__xludf.DUMMYFUNCTION("""COMPUTED_VALUE"""),"Top 6 AI tools for scaling creative production in 2026")</f>
        <v>Top 6 AI tools for scaling creative production in 2026</v>
      </c>
      <c r="C211" s="8" t="str">
        <f>IFERROR(__xludf.DUMMYFUNCTION("""COMPUTED_VALUE"""),"rocketium.ai")</f>
        <v>rocketium.ai</v>
      </c>
      <c r="D211" s="11" t="str">
        <f>IFERROR(__xludf.DUMMYFUNCTION("""COMPUTED_VALUE"""),"LISTICLE")</f>
        <v>LISTICLE</v>
      </c>
      <c r="E211" s="11" t="str">
        <f>IFERROR(__xludf.DUMMYFUNCTION("""COMPUTED_VALUE"""),"CORPORATE")</f>
        <v>CORPORATE</v>
      </c>
      <c r="F211" s="11" t="str">
        <f>IFERROR(__xludf.DUMMYFUNCTION("""COMPUTED_VALUE"""),"Listicle")</f>
        <v>Listicle</v>
      </c>
      <c r="G211" s="11" t="b">
        <f>IFERROR(__xludf.DUMMYFUNCTION("""COMPUTED_VALUE"""),FALSE)</f>
        <v>0</v>
      </c>
      <c r="H211" s="11" t="str">
        <f>IFERROR(__xludf.DUMMYFUNCTION("""COMPUTED_VALUE"""),"Pilot, Superside")</f>
        <v>Pilot, Superside</v>
      </c>
      <c r="I211" s="11">
        <f>IFERROR(__xludf.DUMMYFUNCTION("""COMPUTED_VALUE"""),2.0)</f>
        <v>2</v>
      </c>
      <c r="J211" s="11">
        <f>IFERROR(__xludf.DUMMYFUNCTION("""COMPUTED_VALUE"""),0.0)</f>
        <v>0</v>
      </c>
      <c r="K211" s="11">
        <f>IFERROR(__xludf.DUMMYFUNCTION("""COMPUTED_VALUE"""),1.0)</f>
        <v>1</v>
      </c>
    </row>
    <row r="212" ht="15.75" customHeight="1">
      <c r="A212" s="8" t="str">
        <f>IFERROR(__xludf.DUMMYFUNCTION("""COMPUTED_VALUE"""),"https://www.rzlt.io/blog/best-ai-marketing-agencies-in-2026-the-definitive-guide-by-specialty")</f>
        <v>https://www.rzlt.io/blog/best-ai-marketing-agencies-in-2026-the-definitive-guide-by-specialty</v>
      </c>
      <c r="B212" s="11" t="str">
        <f>IFERROR(__xludf.DUMMYFUNCTION("""COMPUTED_VALUE"""),"Best AI Marketing Agencies in 2026: The Definitive Guide")</f>
        <v>Best AI Marketing Agencies in 2026: The Definitive Guide</v>
      </c>
      <c r="C212" s="8" t="str">
        <f>IFERROR(__xludf.DUMMYFUNCTION("""COMPUTED_VALUE"""),"rzlt.io")</f>
        <v>rzlt.io</v>
      </c>
      <c r="D212" s="11" t="str">
        <f>IFERROR(__xludf.DUMMYFUNCTION("""COMPUTED_VALUE"""),"LISTICLE")</f>
        <v>LISTICLE</v>
      </c>
      <c r="E212" s="11" t="str">
        <f>IFERROR(__xludf.DUMMYFUNCTION("""COMPUTED_VALUE"""),"CORPORATE")</f>
        <v>CORPORATE</v>
      </c>
      <c r="F212" s="11" t="str">
        <f>IFERROR(__xludf.DUMMYFUNCTION("""COMPUTED_VALUE"""),"Listicle")</f>
        <v>Listicle</v>
      </c>
      <c r="G212" s="11" t="b">
        <f>IFERROR(__xludf.DUMMYFUNCTION("""COMPUTED_VALUE"""),FALSE)</f>
        <v>0</v>
      </c>
      <c r="H212" s="11" t="str">
        <f>IFERROR(__xludf.DUMMYFUNCTION("""COMPUTED_VALUE"""),"HikeMyTraffic, Monks, NoGood, Superside, Wpromote, Jellyfish")</f>
        <v>HikeMyTraffic, Monks, NoGood, Superside, Wpromote, Jellyfish</v>
      </c>
      <c r="I212" s="11">
        <f>IFERROR(__xludf.DUMMYFUNCTION("""COMPUTED_VALUE"""),2.0)</f>
        <v>2</v>
      </c>
      <c r="J212" s="11">
        <f>IFERROR(__xludf.DUMMYFUNCTION("""COMPUTED_VALUE"""),0.0)</f>
        <v>0</v>
      </c>
      <c r="K212" s="11">
        <f>IFERROR(__xludf.DUMMYFUNCTION("""COMPUTED_VALUE"""),2.0)</f>
        <v>2</v>
      </c>
    </row>
    <row r="213" ht="15.75" customHeight="1">
      <c r="A213" s="8" t="str">
        <f>IFERROR(__xludf.DUMMYFUNCTION("""COMPUTED_VALUE"""),"https://scalixai.com/blog/best-performance-marketing-agencies#:~:text=revenue%20growth%22%20claims.-,The%2015%20Best%20Performance%20Marketing%20Agencies%20for%202026,performance%20marketing%20for%20a%20reason.")</f>
        <v>https://scalixai.com/blog/best-performance-marketing-agencies#:~:text=revenue%20growth%22%20claims.-,The%2015%20Best%20Performance%20Marketing%20Agencies%20for%202026,performance%20marketing%20for%20a%20reason.</v>
      </c>
      <c r="B213" s="11" t="str">
        <f>IFERROR(__xludf.DUMMYFUNCTION("""COMPUTED_VALUE"""),"The Best Performance Marketing Agencies for 2026 | ScalixAI")</f>
        <v>The Best Performance Marketing Agencies for 2026 | ScalixAI</v>
      </c>
      <c r="C213" s="8" t="str">
        <f>IFERROR(__xludf.DUMMYFUNCTION("""COMPUTED_VALUE"""),"scalixai.com")</f>
        <v>scalixai.com</v>
      </c>
      <c r="D213" s="11" t="str">
        <f>IFERROR(__xludf.DUMMYFUNCTION("""COMPUTED_VALUE"""),"LISTICLE")</f>
        <v>LISTICLE</v>
      </c>
      <c r="E213" s="11" t="str">
        <f>IFERROR(__xludf.DUMMYFUNCTION("""COMPUTED_VALUE"""),"CORPORATE")</f>
        <v>CORPORATE</v>
      </c>
      <c r="F213" s="11" t="str">
        <f>IFERROR(__xludf.DUMMYFUNCTION("""COMPUTED_VALUE"""),"Listicle")</f>
        <v>Listicle</v>
      </c>
      <c r="G213" s="11" t="b">
        <f>IFERROR(__xludf.DUMMYFUNCTION("""COMPUTED_VALUE"""),FALSE)</f>
        <v>0</v>
      </c>
      <c r="H213" s="11" t="str">
        <f>IFERROR(__xludf.DUMMYFUNCTION("""COMPUTED_VALUE"""),"Refine Labs, NoGood, Single Grain, Wpromote, Omniscient Digital, Darkroom, Common Thread Collective")</f>
        <v>Refine Labs, NoGood, Single Grain, Wpromote, Omniscient Digital, Darkroom, Common Thread Collective</v>
      </c>
      <c r="I213" s="11">
        <f>IFERROR(__xludf.DUMMYFUNCTION("""COMPUTED_VALUE"""),2.0)</f>
        <v>2</v>
      </c>
      <c r="J213" s="11">
        <f>IFERROR(__xludf.DUMMYFUNCTION("""COMPUTED_VALUE"""),0.0)</f>
        <v>0</v>
      </c>
      <c r="K213" s="11">
        <f>IFERROR(__xludf.DUMMYFUNCTION("""COMPUTED_VALUE"""),1.5)</f>
        <v>1.5</v>
      </c>
    </row>
    <row r="214" ht="15.75" customHeight="1">
      <c r="A214" s="8" t="str">
        <f>IFERROR(__xludf.DUMMYFUNCTION("""COMPUTED_VALUE"""),"https://segmentstream.com/blog/articles/best-attribution-tools")</f>
        <v>https://segmentstream.com/blog/articles/best-attribution-tools</v>
      </c>
      <c r="B214" s="11" t="str">
        <f>IFERROR(__xludf.DUMMYFUNCTION("""COMPUTED_VALUE"""),"10 Best Marketing Attribution Tools &amp;amp; Platforms (2026) — SegmentStream")</f>
        <v>10 Best Marketing Attribution Tools &amp;amp; Platforms (2026) — SegmentStream</v>
      </c>
      <c r="C214" s="8" t="str">
        <f>IFERROR(__xludf.DUMMYFUNCTION("""COMPUTED_VALUE"""),"segmentstream.com")</f>
        <v>segmentstream.com</v>
      </c>
      <c r="D214" s="11" t="str">
        <f>IFERROR(__xludf.DUMMYFUNCTION("""COMPUTED_VALUE"""),"LISTICLE")</f>
        <v>LISTICLE</v>
      </c>
      <c r="E214" s="11" t="str">
        <f>IFERROR(__xludf.DUMMYFUNCTION("""COMPUTED_VALUE"""),"COMPETITOR")</f>
        <v>COMPETITOR</v>
      </c>
      <c r="F214" s="11" t="str">
        <f>IFERROR(__xludf.DUMMYFUNCTION("""COMPUTED_VALUE"""),"Listicle")</f>
        <v>Listicle</v>
      </c>
      <c r="G214" s="11" t="b">
        <f>IFERROR(__xludf.DUMMYFUNCTION("""COMPUTED_VALUE"""),FALSE)</f>
        <v>0</v>
      </c>
      <c r="H214" s="11" t="str">
        <f>IFERROR(__xludf.DUMMYFUNCTION("""COMPUTED_VALUE"""),"SegmentStream, Triple Whale, Northbeam, Dreamdata, Measured, Rockerbox, Ruler Analytics")</f>
        <v>SegmentStream, Triple Whale, Northbeam, Dreamdata, Measured, Rockerbox, Ruler Analytics</v>
      </c>
      <c r="I214" s="11">
        <f>IFERROR(__xludf.DUMMYFUNCTION("""COMPUTED_VALUE"""),2.0)</f>
        <v>2</v>
      </c>
      <c r="J214" s="11">
        <f>IFERROR(__xludf.DUMMYFUNCTION("""COMPUTED_VALUE"""),0.0)</f>
        <v>0</v>
      </c>
      <c r="K214" s="11">
        <f>IFERROR(__xludf.DUMMYFUNCTION("""COMPUTED_VALUE"""),0.0)</f>
        <v>0</v>
      </c>
    </row>
    <row r="215" ht="15.75" customHeight="1">
      <c r="A215" s="8" t="str">
        <f>IFERROR(__xludf.DUMMYFUNCTION("""COMPUTED_VALUE"""),"https://www.seoworks.com/lists/top-b2b-geo-and-aeo-agencies/")</f>
        <v>https://www.seoworks.com/lists/top-b2b-geo-and-aeo-agencies/</v>
      </c>
      <c r="B215" s="11" t="str">
        <f>IFERROR(__xludf.DUMMYFUNCTION("""COMPUTED_VALUE"""),"Top 20 B2B GEO and AEO Agencies (2026) | The SEO Works")</f>
        <v>Top 20 B2B GEO and AEO Agencies (2026) | The SEO Works</v>
      </c>
      <c r="C215" s="8" t="str">
        <f>IFERROR(__xludf.DUMMYFUNCTION("""COMPUTED_VALUE"""),"seoworks.com")</f>
        <v>seoworks.com</v>
      </c>
      <c r="D215" s="11" t="str">
        <f>IFERROR(__xludf.DUMMYFUNCTION("""COMPUTED_VALUE"""),"LISTICLE")</f>
        <v>LISTICLE</v>
      </c>
      <c r="E215" s="11" t="str">
        <f>IFERROR(__xludf.DUMMYFUNCTION("""COMPUTED_VALUE"""),"CORPORATE")</f>
        <v>CORPORATE</v>
      </c>
      <c r="F215" s="11" t="str">
        <f>IFERROR(__xludf.DUMMYFUNCTION("""COMPUTED_VALUE"""),"Listicle")</f>
        <v>Listicle</v>
      </c>
      <c r="G215" s="11" t="b">
        <f>IFERROR(__xludf.DUMMYFUNCTION("""COMPUTED_VALUE"""),FALSE)</f>
        <v>0</v>
      </c>
      <c r="H215" s="11" t="str">
        <f>IFERROR(__xludf.DUMMYFUNCTION("""COMPUTED_VALUE"""),"Omnius, WebFX")</f>
        <v>Omnius, WebFX</v>
      </c>
      <c r="I215" s="11">
        <f>IFERROR(__xludf.DUMMYFUNCTION("""COMPUTED_VALUE"""),2.0)</f>
        <v>2</v>
      </c>
      <c r="J215" s="11">
        <f>IFERROR(__xludf.DUMMYFUNCTION("""COMPUTED_VALUE"""),0.0)</f>
        <v>0</v>
      </c>
      <c r="K215" s="11">
        <f>IFERROR(__xludf.DUMMYFUNCTION("""COMPUTED_VALUE"""),0.0)</f>
        <v>0</v>
      </c>
    </row>
    <row r="216" ht="15.75" customHeight="1">
      <c r="A216" s="8" t="str">
        <f>IFERROR(__xludf.DUMMYFUNCTION("""COMPUTED_VALUE"""),"https://silverspoonagency.com/best-performance-marketing-agencies/")</f>
        <v>https://silverspoonagency.com/best-performance-marketing-agencies/</v>
      </c>
      <c r="B216" s="11" t="str">
        <f>IFERROR(__xludf.DUMMYFUNCTION("""COMPUTED_VALUE"""),"7 Best Performance marketing agencies to Drive ROI in 2026")</f>
        <v>7 Best Performance marketing agencies to Drive ROI in 2026</v>
      </c>
      <c r="C216" s="8" t="str">
        <f>IFERROR(__xludf.DUMMYFUNCTION("""COMPUTED_VALUE"""),"silverspoonagency.com")</f>
        <v>silverspoonagency.com</v>
      </c>
      <c r="D216" s="11" t="str">
        <f>IFERROR(__xludf.DUMMYFUNCTION("""COMPUTED_VALUE"""),"LISTICLE")</f>
        <v>LISTICLE</v>
      </c>
      <c r="E216" s="11" t="str">
        <f>IFERROR(__xludf.DUMMYFUNCTION("""COMPUTED_VALUE"""),"CORPORATE")</f>
        <v>CORPORATE</v>
      </c>
      <c r="F216" s="11" t="str">
        <f>IFERROR(__xludf.DUMMYFUNCTION("""COMPUTED_VALUE"""),"Listicle")</f>
        <v>Listicle</v>
      </c>
      <c r="G216" s="11" t="b">
        <f>IFERROR(__xludf.DUMMYFUNCTION("""COMPUTED_VALUE"""),FALSE)</f>
        <v>0</v>
      </c>
      <c r="H216" s="11" t="str">
        <f>IFERROR(__xludf.DUMMYFUNCTION("""COMPUTED_VALUE"""),"Pilot")</f>
        <v>Pilot</v>
      </c>
      <c r="I216" s="11">
        <f>IFERROR(__xludf.DUMMYFUNCTION("""COMPUTED_VALUE"""),2.0)</f>
        <v>2</v>
      </c>
      <c r="J216" s="11">
        <f>IFERROR(__xludf.DUMMYFUNCTION("""COMPUTED_VALUE"""),0.0)</f>
        <v>0</v>
      </c>
      <c r="K216" s="11">
        <f>IFERROR(__xludf.DUMMYFUNCTION("""COMPUTED_VALUE"""),0.5)</f>
        <v>0.5</v>
      </c>
    </row>
    <row r="217" ht="15.75" customHeight="1">
      <c r="A217" s="8" t="str">
        <f>IFERROR(__xludf.DUMMYFUNCTION("""COMPUTED_VALUE"""),"https://sourceforge.net/software/marketing-analytics/germany/")</f>
        <v>https://sourceforge.net/software/marketing-analytics/germany/</v>
      </c>
      <c r="B217" s="11" t="str">
        <f>IFERROR(__xludf.DUMMYFUNCTION("""COMPUTED_VALUE"""),"Best Marketing Analytics Software in Germany of 2026 - Reviews &amp;amp; Comparison")</f>
        <v>Best Marketing Analytics Software in Germany of 2026 - Reviews &amp;amp; Comparison</v>
      </c>
      <c r="C217" s="8" t="str">
        <f>IFERROR(__xludf.DUMMYFUNCTION("""COMPUTED_VALUE"""),"sourceforge.net")</f>
        <v>sourceforge.net</v>
      </c>
      <c r="D217" s="11" t="str">
        <f>IFERROR(__xludf.DUMMYFUNCTION("""COMPUTED_VALUE"""),"LISTICLE")</f>
        <v>LISTICLE</v>
      </c>
      <c r="E217" s="11" t="str">
        <f>IFERROR(__xludf.DUMMYFUNCTION("""COMPUTED_VALUE"""),"OTHER")</f>
        <v>OTHER</v>
      </c>
      <c r="F217" s="11" t="str">
        <f>IFERROR(__xludf.DUMMYFUNCTION("""COMPUTED_VALUE"""),"Listicle")</f>
        <v>Listicle</v>
      </c>
      <c r="G217" s="11" t="b">
        <f>IFERROR(__xludf.DUMMYFUNCTION("""COMPUTED_VALUE"""),FALSE)</f>
        <v>0</v>
      </c>
      <c r="H217" s="11" t="str">
        <f>IFERROR(__xludf.DUMMYFUNCTION("""COMPUTED_VALUE"""),"Triple Whale")</f>
        <v>Triple Whale</v>
      </c>
      <c r="I217" s="11">
        <f>IFERROR(__xludf.DUMMYFUNCTION("""COMPUTED_VALUE"""),2.0)</f>
        <v>2</v>
      </c>
      <c r="J217" s="11">
        <f>IFERROR(__xludf.DUMMYFUNCTION("""COMPUTED_VALUE"""),0.0)</f>
        <v>0</v>
      </c>
      <c r="K217" s="11">
        <f>IFERROR(__xludf.DUMMYFUNCTION("""COMPUTED_VALUE"""),0.0)</f>
        <v>0</v>
      </c>
    </row>
    <row r="218" ht="15.75" customHeight="1">
      <c r="A218" s="8" t="str">
        <f>IFERROR(__xludf.DUMMYFUNCTION("""COMPUTED_VALUE"""),"https://www.superside.com/blog/creative-agencies")</f>
        <v>https://www.superside.com/blog/creative-agencies</v>
      </c>
      <c r="B218" s="11" t="str">
        <f>IFERROR(__xludf.DUMMYFUNCTION("""COMPUTED_VALUE"""),"14 Best Creative Agencies That Make Brands Stand Out in 2026")</f>
        <v>14 Best Creative Agencies That Make Brands Stand Out in 2026</v>
      </c>
      <c r="C218" s="8" t="str">
        <f>IFERROR(__xludf.DUMMYFUNCTION("""COMPUTED_VALUE"""),"superside.com")</f>
        <v>superside.com</v>
      </c>
      <c r="D218" s="11" t="str">
        <f>IFERROR(__xludf.DUMMYFUNCTION("""COMPUTED_VALUE"""),"LISTICLE")</f>
        <v>LISTICLE</v>
      </c>
      <c r="E218" s="11" t="str">
        <f>IFERROR(__xludf.DUMMYFUNCTION("""COMPUTED_VALUE"""),"COMPETITOR")</f>
        <v>COMPETITOR</v>
      </c>
      <c r="F218" s="11" t="str">
        <f>IFERROR(__xludf.DUMMYFUNCTION("""COMPUTED_VALUE"""),"Listicle")</f>
        <v>Listicle</v>
      </c>
      <c r="G218" s="11" t="b">
        <f>IFERROR(__xludf.DUMMYFUNCTION("""COMPUTED_VALUE"""),FALSE)</f>
        <v>0</v>
      </c>
      <c r="H218" s="11" t="str">
        <f>IFERROR(__xludf.DUMMYFUNCTION("""COMPUTED_VALUE"""),"Superside, Huge, Ogilvy")</f>
        <v>Superside, Huge, Ogilvy</v>
      </c>
      <c r="I218" s="11">
        <f>IFERROR(__xludf.DUMMYFUNCTION("""COMPUTED_VALUE"""),2.0)</f>
        <v>2</v>
      </c>
      <c r="J218" s="11">
        <f>IFERROR(__xludf.DUMMYFUNCTION("""COMPUTED_VALUE"""),0.0)</f>
        <v>0</v>
      </c>
      <c r="K218" s="11">
        <f>IFERROR(__xludf.DUMMYFUNCTION("""COMPUTED_VALUE"""),0.5)</f>
        <v>0.5</v>
      </c>
    </row>
    <row r="219" ht="15.75" customHeight="1">
      <c r="A219" s="8" t="str">
        <f>IFERROR(__xludf.DUMMYFUNCTION("""COMPUTED_VALUE"""),"https://www.superside.com/blog/creative-content-agencies")</f>
        <v>https://www.superside.com/blog/creative-content-agencies</v>
      </c>
      <c r="B219" s="11" t="str">
        <f>IFERROR(__xludf.DUMMYFUNCTION("""COMPUTED_VALUE"""),"10 Creative Content Agencies Making Brands Shine in 2026")</f>
        <v>10 Creative Content Agencies Making Brands Shine in 2026</v>
      </c>
      <c r="C219" s="8" t="str">
        <f>IFERROR(__xludf.DUMMYFUNCTION("""COMPUTED_VALUE"""),"superside.com")</f>
        <v>superside.com</v>
      </c>
      <c r="D219" s="11" t="str">
        <f>IFERROR(__xludf.DUMMYFUNCTION("""COMPUTED_VALUE"""),"LISTICLE")</f>
        <v>LISTICLE</v>
      </c>
      <c r="E219" s="11" t="str">
        <f>IFERROR(__xludf.DUMMYFUNCTION("""COMPUTED_VALUE"""),"COMPETITOR")</f>
        <v>COMPETITOR</v>
      </c>
      <c r="F219" s="11" t="str">
        <f>IFERROR(__xludf.DUMMYFUNCTION("""COMPUTED_VALUE"""),"Listicle")</f>
        <v>Listicle</v>
      </c>
      <c r="G219" s="11" t="b">
        <f>IFERROR(__xludf.DUMMYFUNCTION("""COMPUTED_VALUE"""),FALSE)</f>
        <v>0</v>
      </c>
      <c r="H219" s="11" t="str">
        <f>IFERROR(__xludf.DUMMYFUNCTION("""COMPUTED_VALUE"""),"Superside")</f>
        <v>Superside</v>
      </c>
      <c r="I219" s="11">
        <f>IFERROR(__xludf.DUMMYFUNCTION("""COMPUTED_VALUE"""),2.0)</f>
        <v>2</v>
      </c>
      <c r="J219" s="11">
        <f>IFERROR(__xludf.DUMMYFUNCTION("""COMPUTED_VALUE"""),0.0)</f>
        <v>0</v>
      </c>
      <c r="K219" s="11">
        <f>IFERROR(__xludf.DUMMYFUNCTION("""COMPUTED_VALUE"""),0.5)</f>
        <v>0.5</v>
      </c>
    </row>
    <row r="220" ht="15.75" customHeight="1">
      <c r="A220" s="8" t="str">
        <f>IFERROR(__xludf.DUMMYFUNCTION("""COMPUTED_VALUE"""),"https://www.thedrum.com/news/measure-what-matters-where-maths-meets-magic-modern-marketing")</f>
        <v>https://www.thedrum.com/news/measure-what-matters-where-maths-meets-magic-modern-marketing</v>
      </c>
      <c r="B220" s="11" t="str">
        <f>IFERROR(__xludf.DUMMYFUNCTION("""COMPUTED_VALUE"""),"Measure what matters: where maths meets magic in modern marketing \| The Drum")</f>
        <v>Measure what matters: where maths meets magic in modern marketing \| The Drum</v>
      </c>
      <c r="C220" s="8" t="str">
        <f>IFERROR(__xludf.DUMMYFUNCTION("""COMPUTED_VALUE"""),"thedrum.com")</f>
        <v>thedrum.com</v>
      </c>
      <c r="D220" s="11" t="str">
        <f>IFERROR(__xludf.DUMMYFUNCTION("""COMPUTED_VALUE"""),"LISTICLE")</f>
        <v>LISTICLE</v>
      </c>
      <c r="E220" s="11" t="str">
        <f>IFERROR(__xludf.DUMMYFUNCTION("""COMPUTED_VALUE"""),"EDITORIAL")</f>
        <v>EDITORIAL</v>
      </c>
      <c r="F220" s="11" t="str">
        <f>IFERROR(__xludf.DUMMYFUNCTION("""COMPUTED_VALUE"""),"Listicle")</f>
        <v>Listicle</v>
      </c>
      <c r="G220" s="11" t="b">
        <f>IFERROR(__xludf.DUMMYFUNCTION("""COMPUTED_VALUE"""),FALSE)</f>
        <v>0</v>
      </c>
      <c r="H220" s="11" t="str">
        <f>IFERROR(__xludf.DUMMYFUNCTION("""COMPUTED_VALUE"""),"BCG, Kantar")</f>
        <v>BCG, Kantar</v>
      </c>
      <c r="I220" s="11">
        <f>IFERROR(__xludf.DUMMYFUNCTION("""COMPUTED_VALUE"""),2.0)</f>
        <v>2</v>
      </c>
      <c r="J220" s="11">
        <f>IFERROR(__xludf.DUMMYFUNCTION("""COMPUTED_VALUE"""),0.0)</f>
        <v>0</v>
      </c>
      <c r="K220" s="11">
        <f>IFERROR(__xludf.DUMMYFUNCTION("""COMPUTED_VALUE"""),1.0)</f>
        <v>1</v>
      </c>
    </row>
    <row r="221" ht="15.75" customHeight="1">
      <c r="A221" s="8" t="str">
        <f>IFERROR(__xludf.DUMMYFUNCTION("""COMPUTED_VALUE"""),"https://www.thegrowthsyndicate.com/agencies/best-digital-marketing-agencies-europe")</f>
        <v>https://www.thegrowthsyndicate.com/agencies/best-digital-marketing-agencies-europe</v>
      </c>
      <c r="B221" s="11" t="str">
        <f>IFERROR(__xludf.DUMMYFUNCTION("""COMPUTED_VALUE"""),"The 11 Best B2B Digital Marketing Agencies in Europe")</f>
        <v>The 11 Best B2B Digital Marketing Agencies in Europe</v>
      </c>
      <c r="C221" s="8" t="str">
        <f>IFERROR(__xludf.DUMMYFUNCTION("""COMPUTED_VALUE"""),"thegrowthsyndicate.com")</f>
        <v>thegrowthsyndicate.com</v>
      </c>
      <c r="D221" s="11" t="str">
        <f>IFERROR(__xludf.DUMMYFUNCTION("""COMPUTED_VALUE"""),"LISTICLE")</f>
        <v>LISTICLE</v>
      </c>
      <c r="E221" s="11" t="str">
        <f>IFERROR(__xludf.DUMMYFUNCTION("""COMPUTED_VALUE"""),"CORPORATE")</f>
        <v>CORPORATE</v>
      </c>
      <c r="F221" s="11" t="str">
        <f>IFERROR(__xludf.DUMMYFUNCTION("""COMPUTED_VALUE"""),"Listicle")</f>
        <v>Listicle</v>
      </c>
      <c r="G221" s="11" t="b">
        <f>IFERROR(__xludf.DUMMYFUNCTION("""COMPUTED_VALUE"""),FALSE)</f>
        <v>0</v>
      </c>
      <c r="H221" s="11" t="str">
        <f>IFERROR(__xludf.DUMMYFUNCTION("""COMPUTED_VALUE"""),"DEPT, Artefact, Jellyfish, Measured, Brandtech, WPP, Mindshare, Phiture, Publicis Groupe, Omnicom, Dentsu")</f>
        <v>DEPT, Artefact, Jellyfish, Measured, Brandtech, WPP, Mindshare, Phiture, Publicis Groupe, Omnicom, Dentsu</v>
      </c>
      <c r="I221" s="11">
        <f>IFERROR(__xludf.DUMMYFUNCTION("""COMPUTED_VALUE"""),2.0)</f>
        <v>2</v>
      </c>
      <c r="J221" s="11">
        <f>IFERROR(__xludf.DUMMYFUNCTION("""COMPUTED_VALUE"""),0.0)</f>
        <v>0</v>
      </c>
      <c r="K221" s="11">
        <f>IFERROR(__xludf.DUMMYFUNCTION("""COMPUTED_VALUE"""),0.5)</f>
        <v>0.5</v>
      </c>
    </row>
    <row r="222" ht="15.75" customHeight="1">
      <c r="A222" s="8" t="str">
        <f>IFERROR(__xludf.DUMMYFUNCTION("""COMPUTED_VALUE"""),"https://www.tofuhq.com/post/best-ai-agents-for-marketing")</f>
        <v>https://www.tofuhq.com/post/best-ai-agents-for-marketing</v>
      </c>
      <c r="B222" s="11" t="str">
        <f>IFERROR(__xludf.DUMMYFUNCTION("""COMPUTED_VALUE"""),"The 7 Best AI Agents for Marketing in 2026")</f>
        <v>The 7 Best AI Agents for Marketing in 2026</v>
      </c>
      <c r="C222" s="8" t="str">
        <f>IFERROR(__xludf.DUMMYFUNCTION("""COMPUTED_VALUE"""),"tofuhq.com")</f>
        <v>tofuhq.com</v>
      </c>
      <c r="D222" s="11" t="str">
        <f>IFERROR(__xludf.DUMMYFUNCTION("""COMPUTED_VALUE"""),"LISTICLE")</f>
        <v>LISTICLE</v>
      </c>
      <c r="E222" s="11" t="str">
        <f>IFERROR(__xludf.DUMMYFUNCTION("""COMPUTED_VALUE"""),"CORPORATE")</f>
        <v>CORPORATE</v>
      </c>
      <c r="F222" s="11" t="str">
        <f>IFERROR(__xludf.DUMMYFUNCTION("""COMPUTED_VALUE"""),"Listicle")</f>
        <v>Listicle</v>
      </c>
      <c r="G222" s="11" t="b">
        <f>IFERROR(__xludf.DUMMYFUNCTION("""COMPUTED_VALUE"""),FALSE)</f>
        <v>0</v>
      </c>
      <c r="H222" s="11" t="str">
        <f>IFERROR(__xludf.DUMMYFUNCTION("""COMPUTED_VALUE"""),"Pilot")</f>
        <v>Pilot</v>
      </c>
      <c r="I222" s="11">
        <f>IFERROR(__xludf.DUMMYFUNCTION("""COMPUTED_VALUE"""),2.0)</f>
        <v>2</v>
      </c>
      <c r="J222" s="11">
        <f>IFERROR(__xludf.DUMMYFUNCTION("""COMPUTED_VALUE"""),0.0)</f>
        <v>0</v>
      </c>
      <c r="K222" s="11">
        <f>IFERROR(__xludf.DUMMYFUNCTION("""COMPUTED_VALUE"""),0.5)</f>
        <v>0.5</v>
      </c>
    </row>
    <row r="223" ht="15.75" customHeight="1">
      <c r="A223" s="8" t="str">
        <f>IFERROR(__xludf.DUMMYFUNCTION("""COMPUTED_VALUE"""),"https://www.upliftgtm.com/blog/best-geo-agencies")</f>
        <v>https://www.upliftgtm.com/blog/best-geo-agencies</v>
      </c>
      <c r="B223" s="11" t="str">
        <f>IFERROR(__xludf.DUMMYFUNCTION("""COMPUTED_VALUE"""),"Best GEO Agencies 2026: Top 12 Generative Engine Optimization Firms")</f>
        <v>Best GEO Agencies 2026: Top 12 Generative Engine Optimization Firms</v>
      </c>
      <c r="C223" s="8" t="str">
        <f>IFERROR(__xludf.DUMMYFUNCTION("""COMPUTED_VALUE"""),"upliftgtm.com")</f>
        <v>upliftgtm.com</v>
      </c>
      <c r="D223" s="11" t="str">
        <f>IFERROR(__xludf.DUMMYFUNCTION("""COMPUTED_VALUE"""),"LISTICLE")</f>
        <v>LISTICLE</v>
      </c>
      <c r="E223" s="11" t="str">
        <f>IFERROR(__xludf.DUMMYFUNCTION("""COMPUTED_VALUE"""),"CORPORATE")</f>
        <v>CORPORATE</v>
      </c>
      <c r="F223" s="11" t="str">
        <f>IFERROR(__xludf.DUMMYFUNCTION("""COMPUTED_VALUE"""),"Listicle")</f>
        <v>Listicle</v>
      </c>
      <c r="G223" s="11" t="b">
        <f>IFERROR(__xludf.DUMMYFUNCTION("""COMPUTED_VALUE"""),FALSE)</f>
        <v>0</v>
      </c>
      <c r="H223" s="11" t="str">
        <f>IFERROR(__xludf.DUMMYFUNCTION("""COMPUTED_VALUE"""),"Omniscient Digital, Single Grain, NoGood, Siege Media")</f>
        <v>Omniscient Digital, Single Grain, NoGood, Siege Media</v>
      </c>
      <c r="I223" s="11">
        <f>IFERROR(__xludf.DUMMYFUNCTION("""COMPUTED_VALUE"""),2.0)</f>
        <v>2</v>
      </c>
      <c r="J223" s="11">
        <f>IFERROR(__xludf.DUMMYFUNCTION("""COMPUTED_VALUE"""),0.0)</f>
        <v>0</v>
      </c>
      <c r="K223" s="11">
        <f>IFERROR(__xludf.DUMMYFUNCTION("""COMPUTED_VALUE"""),0.5)</f>
        <v>0.5</v>
      </c>
    </row>
    <row r="224" ht="15.75" customHeight="1">
      <c r="A224" s="8" t="str">
        <f>IFERROR(__xludf.DUMMYFUNCTION("""COMPUTED_VALUE"""),"https://wamdigital.com/blog/top-5-creative-and-web-development-agencies-for-scalable-production-in-2026#:~:text=Superside%20is%20known%20for%20its,wide%20range%20of%20creative%20assets.")</f>
        <v>https://wamdigital.com/blog/top-5-creative-and-web-development-agencies-for-scalable-production-in-2026#:~:text=Superside%20is%20known%20for%20its,wide%20range%20of%20creative%20assets.</v>
      </c>
      <c r="B224" s="11" t="str">
        <f>IFERROR(__xludf.DUMMYFUNCTION("""COMPUTED_VALUE"""),"Top Creative &amp;amp; Web Development Agencies for Scalable Production in 2026")</f>
        <v>Top Creative &amp;amp; Web Development Agencies for Scalable Production in 2026</v>
      </c>
      <c r="C224" s="8" t="str">
        <f>IFERROR(__xludf.DUMMYFUNCTION("""COMPUTED_VALUE"""),"wamdigital.com")</f>
        <v>wamdigital.com</v>
      </c>
      <c r="D224" s="11" t="str">
        <f>IFERROR(__xludf.DUMMYFUNCTION("""COMPUTED_VALUE"""),"LISTICLE")</f>
        <v>LISTICLE</v>
      </c>
      <c r="E224" s="11" t="str">
        <f>IFERROR(__xludf.DUMMYFUNCTION("""COMPUTED_VALUE"""),"CORPORATE")</f>
        <v>CORPORATE</v>
      </c>
      <c r="F224" s="11" t="str">
        <f>IFERROR(__xludf.DUMMYFUNCTION("""COMPUTED_VALUE"""),"Listicle")</f>
        <v>Listicle</v>
      </c>
      <c r="G224" s="11" t="b">
        <f>IFERROR(__xludf.DUMMYFUNCTION("""COMPUTED_VALUE"""),FALSE)</f>
        <v>0</v>
      </c>
      <c r="H224" s="11" t="str">
        <f>IFERROR(__xludf.DUMMYFUNCTION("""COMPUTED_VALUE"""),"Superside, DEPT")</f>
        <v>Superside, DEPT</v>
      </c>
      <c r="I224" s="11">
        <f>IFERROR(__xludf.DUMMYFUNCTION("""COMPUTED_VALUE"""),2.0)</f>
        <v>2</v>
      </c>
      <c r="J224" s="11">
        <f>IFERROR(__xludf.DUMMYFUNCTION("""COMPUTED_VALUE"""),0.0)</f>
        <v>0</v>
      </c>
      <c r="K224" s="11">
        <f>IFERROR(__xludf.DUMMYFUNCTION("""COMPUTED_VALUE"""),1.5)</f>
        <v>1.5</v>
      </c>
    </row>
    <row r="225" ht="15.75" customHeight="1">
      <c r="A225" s="8" t="str">
        <f>IFERROR(__xludf.DUMMYFUNCTION("""COMPUTED_VALUE"""),"https://www.warc.com/en/rankings/creative-100")</f>
        <v>https://www.warc.com/en/rankings/creative-100</v>
      </c>
      <c r="B225" s="11" t="str">
        <f>IFERROR(__xludf.DUMMYFUNCTION("""COMPUTED_VALUE"""),"Creative 100 Overview")</f>
        <v>Creative 100 Overview</v>
      </c>
      <c r="C225" s="8" t="str">
        <f>IFERROR(__xludf.DUMMYFUNCTION("""COMPUTED_VALUE"""),"warc.com")</f>
        <v>warc.com</v>
      </c>
      <c r="D225" s="11" t="str">
        <f>IFERROR(__xludf.DUMMYFUNCTION("""COMPUTED_VALUE"""),"LISTICLE")</f>
        <v>LISTICLE</v>
      </c>
      <c r="E225" s="11" t="str">
        <f>IFERROR(__xludf.DUMMYFUNCTION("""COMPUTED_VALUE"""),"REFERENCE")</f>
        <v>REFERENCE</v>
      </c>
      <c r="F225" s="11" t="str">
        <f>IFERROR(__xludf.DUMMYFUNCTION("""COMPUTED_VALUE"""),"Listicle")</f>
        <v>Listicle</v>
      </c>
      <c r="G225" s="11" t="b">
        <f>IFERROR(__xludf.DUMMYFUNCTION("""COMPUTED_VALUE"""),FALSE)</f>
        <v>0</v>
      </c>
      <c r="H225" s="11" t="str">
        <f>IFERROR(__xludf.DUMMYFUNCTION("""COMPUTED_VALUE"""),"Ogilvy, WPP, Omnicom")</f>
        <v>Ogilvy, WPP, Omnicom</v>
      </c>
      <c r="I225" s="11">
        <f>IFERROR(__xludf.DUMMYFUNCTION("""COMPUTED_VALUE"""),2.0)</f>
        <v>2</v>
      </c>
      <c r="J225" s="11">
        <f>IFERROR(__xludf.DUMMYFUNCTION("""COMPUTED_VALUE"""),0.0)</f>
        <v>0</v>
      </c>
      <c r="K225" s="11">
        <f>IFERROR(__xludf.DUMMYFUNCTION("""COMPUTED_VALUE"""),0.0)</f>
        <v>0</v>
      </c>
    </row>
    <row r="226" ht="15.75" customHeight="1">
      <c r="A226" s="8" t="str">
        <f>IFERROR(__xludf.DUMMYFUNCTION("""COMPUTED_VALUE"""),"https://www.webtonic.io/blog/best-performance-marketing-agencies#:~:text=About%3A%20Hawke%20Media%20pioneered%20the,email%20marketing%2C%20and%20conversion%20optimization.")</f>
        <v>https://www.webtonic.io/blog/best-performance-marketing-agencies#:~:text=About%3A%20Hawke%20Media%20pioneered%20the,email%20marketing%2C%20and%20conversion%20optimization.</v>
      </c>
      <c r="B226" s="11" t="str">
        <f>IFERROR(__xludf.DUMMYFUNCTION("""COMPUTED_VALUE"""),"The 26 Best Performance Marketing Agencies for 2026")</f>
        <v>The 26 Best Performance Marketing Agencies for 2026</v>
      </c>
      <c r="C226" s="8" t="str">
        <f>IFERROR(__xludf.DUMMYFUNCTION("""COMPUTED_VALUE"""),"webtonic.io")</f>
        <v>webtonic.io</v>
      </c>
      <c r="D226" s="11" t="str">
        <f>IFERROR(__xludf.DUMMYFUNCTION("""COMPUTED_VALUE"""),"LISTICLE")</f>
        <v>LISTICLE</v>
      </c>
      <c r="E226" s="11" t="str">
        <f>IFERROR(__xludf.DUMMYFUNCTION("""COMPUTED_VALUE"""),"CORPORATE")</f>
        <v>CORPORATE</v>
      </c>
      <c r="F226" s="11" t="str">
        <f>IFERROR(__xludf.DUMMYFUNCTION("""COMPUTED_VALUE"""),"Listicle")</f>
        <v>Listicle</v>
      </c>
      <c r="G226" s="11" t="b">
        <f>IFERROR(__xludf.DUMMYFUNCTION("""COMPUTED_VALUE"""),TRUE)</f>
        <v>1</v>
      </c>
      <c r="H226" s="11" t="str">
        <f>IFERROR(__xludf.DUMMYFUNCTION("""COMPUTED_VALUE"""),"Tinuiti, Hawke Media, NoGood, Disruptive Advertising, Power Digital, Wpromote, Directive Consulting, SmartSites, KlientBoost, Single Grain, Jellyfish, Incubeta")</f>
        <v>Tinuiti, Hawke Media, NoGood, Disruptive Advertising, Power Digital, Wpromote, Directive Consulting, SmartSites, KlientBoost, Single Grain, Jellyfish, Incubeta</v>
      </c>
      <c r="I226" s="11">
        <f>IFERROR(__xludf.DUMMYFUNCTION("""COMPUTED_VALUE"""),2.0)</f>
        <v>2</v>
      </c>
      <c r="J226" s="11">
        <f>IFERROR(__xludf.DUMMYFUNCTION("""COMPUTED_VALUE"""),0.0)</f>
        <v>0</v>
      </c>
      <c r="K226" s="11">
        <f>IFERROR(__xludf.DUMMYFUNCTION("""COMPUTED_VALUE"""),1.0)</f>
        <v>1</v>
      </c>
    </row>
    <row r="227" ht="15.75" customHeight="1">
      <c r="A227" s="8" t="str">
        <f>IFERROR(__xludf.DUMMYFUNCTION("""COMPUTED_VALUE"""),"https://www.webtonic.io/blog/top-creative-performance-agencies")</f>
        <v>https://www.webtonic.io/blog/top-creative-performance-agencies</v>
      </c>
      <c r="B227" s="11" t="str">
        <f>IFERROR(__xludf.DUMMYFUNCTION("""COMPUTED_VALUE"""),"37 Top Creative Performance Agencies for 2026")</f>
        <v>37 Top Creative Performance Agencies for 2026</v>
      </c>
      <c r="C227" s="8" t="str">
        <f>IFERROR(__xludf.DUMMYFUNCTION("""COMPUTED_VALUE"""),"webtonic.io")</f>
        <v>webtonic.io</v>
      </c>
      <c r="D227" s="11" t="str">
        <f>IFERROR(__xludf.DUMMYFUNCTION("""COMPUTED_VALUE"""),"LISTICLE")</f>
        <v>LISTICLE</v>
      </c>
      <c r="E227" s="11" t="str">
        <f>IFERROR(__xludf.DUMMYFUNCTION("""COMPUTED_VALUE"""),"CORPORATE")</f>
        <v>CORPORATE</v>
      </c>
      <c r="F227" s="11" t="str">
        <f>IFERROR(__xludf.DUMMYFUNCTION("""COMPUTED_VALUE"""),"Listicle")</f>
        <v>Listicle</v>
      </c>
      <c r="G227" s="11" t="b">
        <f>IFERROR(__xludf.DUMMYFUNCTION("""COMPUTED_VALUE"""),FALSE)</f>
        <v>0</v>
      </c>
      <c r="H227" s="11" t="str">
        <f>IFERROR(__xludf.DUMMYFUNCTION("""COMPUTED_VALUE"""),"Tinuiti, Wpromote, WPP, Hawke Media, AKQA, R/GA, Accenture Song, Superside")</f>
        <v>Tinuiti, Wpromote, WPP, Hawke Media, AKQA, R/GA, Accenture Song, Superside</v>
      </c>
      <c r="I227" s="11">
        <f>IFERROR(__xludf.DUMMYFUNCTION("""COMPUTED_VALUE"""),2.0)</f>
        <v>2</v>
      </c>
      <c r="J227" s="11">
        <f>IFERROR(__xludf.DUMMYFUNCTION("""COMPUTED_VALUE"""),0.0)</f>
        <v>0</v>
      </c>
      <c r="K227" s="11">
        <f>IFERROR(__xludf.DUMMYFUNCTION("""COMPUTED_VALUE"""),1.0)</f>
        <v>1</v>
      </c>
    </row>
    <row r="228" ht="15.75" customHeight="1">
      <c r="A228" s="8" t="str">
        <f>IFERROR(__xludf.DUMMYFUNCTION("""COMPUTED_VALUE"""),"https://www.wuv.de/Themen/Agentur/BVDW-Kreativranking-Welche-Agenturen-2024-Massstaebe-setzten")</f>
        <v>https://www.wuv.de/Themen/Agentur/BVDW-Kreativranking-Welche-Agenturen-2024-Massstaebe-setzten</v>
      </c>
      <c r="B228" s="11" t="str">
        <f>IFERROR(__xludf.DUMMYFUNCTION("""COMPUTED_VALUE"""),"BVDW Kreativranking: Welche Agenturen 2024 Maßstäbe setzten | W&amp;amp;V")</f>
        <v>BVDW Kreativranking: Welche Agenturen 2024 Maßstäbe setzten | W&amp;amp;V</v>
      </c>
      <c r="C228" s="8" t="str">
        <f>IFERROR(__xludf.DUMMYFUNCTION("""COMPUTED_VALUE"""),"wuv.de")</f>
        <v>wuv.de</v>
      </c>
      <c r="D228" s="11" t="str">
        <f>IFERROR(__xludf.DUMMYFUNCTION("""COMPUTED_VALUE"""),"LISTICLE")</f>
        <v>LISTICLE</v>
      </c>
      <c r="E228" s="11" t="str">
        <f>IFERROR(__xludf.DUMMYFUNCTION("""COMPUTED_VALUE"""),"EDITORIAL")</f>
        <v>EDITORIAL</v>
      </c>
      <c r="F228" s="11" t="str">
        <f>IFERROR(__xludf.DUMMYFUNCTION("""COMPUTED_VALUE"""),"Listicle")</f>
        <v>Listicle</v>
      </c>
      <c r="G228" s="11" t="b">
        <f>IFERROR(__xludf.DUMMYFUNCTION("""COMPUTED_VALUE"""),FALSE)</f>
        <v>0</v>
      </c>
      <c r="H228" s="11" t="str">
        <f>IFERROR(__xludf.DUMMYFUNCTION("""COMPUTED_VALUE"""),"Jung von Matt, Publicis Groupe, Accenture Song")</f>
        <v>Jung von Matt, Publicis Groupe, Accenture Song</v>
      </c>
      <c r="I228" s="11">
        <f>IFERROR(__xludf.DUMMYFUNCTION("""COMPUTED_VALUE"""),2.0)</f>
        <v>2</v>
      </c>
      <c r="J228" s="11">
        <f>IFERROR(__xludf.DUMMYFUNCTION("""COMPUTED_VALUE"""),0.0)</f>
        <v>0</v>
      </c>
      <c r="K228" s="11">
        <f>IFERROR(__xludf.DUMMYFUNCTION("""COMPUTED_VALUE"""),0.0)</f>
        <v>0</v>
      </c>
    </row>
    <row r="229" ht="15.75" customHeight="1">
      <c r="A229" s="8" t="str">
        <f>IFERROR(__xludf.DUMMYFUNCTION("""COMPUTED_VALUE"""),"https://www.wuv.deamp.wuv.de/Themen/Agentur/Das-sind-Deutschlands-meistausgezeichnete-Agenturen")</f>
        <v>https://www.wuv.deamp.wuv.de/Themen/Agentur/Das-sind-Deutschlands-meistausgezeichnete-Agenturen</v>
      </c>
      <c r="B229" s="11" t="str">
        <f>IFERROR(__xludf.DUMMYFUNCTION("""COMPUTED_VALUE"""),"Kreativranking 2024: Deutschlands meistausgezeichnete Agenturen \| W&amp;V")</f>
        <v>Kreativranking 2024: Deutschlands meistausgezeichnete Agenturen \| W&amp;V</v>
      </c>
      <c r="C229" s="8" t="str">
        <f>IFERROR(__xludf.DUMMYFUNCTION("""COMPUTED_VALUE"""),"wuv.de")</f>
        <v>wuv.de</v>
      </c>
      <c r="D229" s="11" t="str">
        <f>IFERROR(__xludf.DUMMYFUNCTION("""COMPUTED_VALUE"""),"LISTICLE")</f>
        <v>LISTICLE</v>
      </c>
      <c r="E229" s="11" t="str">
        <f>IFERROR(__xludf.DUMMYFUNCTION("""COMPUTED_VALUE"""),"EDITORIAL")</f>
        <v>EDITORIAL</v>
      </c>
      <c r="F229" s="11" t="str">
        <f>IFERROR(__xludf.DUMMYFUNCTION("""COMPUTED_VALUE"""),"Listicle")</f>
        <v>Listicle</v>
      </c>
      <c r="G229" s="11" t="b">
        <f>IFERROR(__xludf.DUMMYFUNCTION("""COMPUTED_VALUE"""),FALSE)</f>
        <v>0</v>
      </c>
      <c r="H229" s="11" t="str">
        <f>IFERROR(__xludf.DUMMYFUNCTION("""COMPUTED_VALUE"""),"Jung von Matt, Serviceplan Group")</f>
        <v>Jung von Matt, Serviceplan Group</v>
      </c>
      <c r="I229" s="11">
        <f>IFERROR(__xludf.DUMMYFUNCTION("""COMPUTED_VALUE"""),2.0)</f>
        <v>2</v>
      </c>
      <c r="J229" s="11">
        <f>IFERROR(__xludf.DUMMYFUNCTION("""COMPUTED_VALUE"""),0.0)</f>
        <v>0</v>
      </c>
      <c r="K229" s="11">
        <f>IFERROR(__xludf.DUMMYFUNCTION("""COMPUTED_VALUE"""),0.0)</f>
        <v>0</v>
      </c>
    </row>
    <row r="230" ht="15.75" customHeight="1">
      <c r="A230" s="8" t="str">
        <f>IFERROR(__xludf.DUMMYFUNCTION("""COMPUTED_VALUE"""),"https://zipdo.co/service/attribution/")</f>
        <v>https://zipdo.co/service/attribution/</v>
      </c>
      <c r="B230" s="11" t="str">
        <f>IFERROR(__xludf.DUMMYFUNCTION("""COMPUTED_VALUE"""),"Top 10 Best Attribution Services (2026 Expert Review)")</f>
        <v>Top 10 Best Attribution Services (2026 Expert Review)</v>
      </c>
      <c r="C230" s="8" t="str">
        <f>IFERROR(__xludf.DUMMYFUNCTION("""COMPUTED_VALUE"""),"zipdo.co")</f>
        <v>zipdo.co</v>
      </c>
      <c r="D230" s="11" t="str">
        <f>IFERROR(__xludf.DUMMYFUNCTION("""COMPUTED_VALUE"""),"LISTICLE")</f>
        <v>LISTICLE</v>
      </c>
      <c r="E230" s="11" t="str">
        <f>IFERROR(__xludf.DUMMYFUNCTION("""COMPUTED_VALUE"""),"REFERENCE")</f>
        <v>REFERENCE</v>
      </c>
      <c r="F230" s="11" t="str">
        <f>IFERROR(__xludf.DUMMYFUNCTION("""COMPUTED_VALUE"""),"Listicle")</f>
        <v>Listicle</v>
      </c>
      <c r="G230" s="11" t="b">
        <f>IFERROR(__xludf.DUMMYFUNCTION("""COMPUTED_VALUE"""),FALSE)</f>
        <v>0</v>
      </c>
      <c r="H230" s="11" t="str">
        <f>IFERROR(__xludf.DUMMYFUNCTION("""COMPUTED_VALUE"""),"Kantar, Nielsen, PwC, Capgemini, Merkle, WPP, Publicis Media, Publicis Groupe")</f>
        <v>Kantar, Nielsen, PwC, Capgemini, Merkle, WPP, Publicis Media, Publicis Groupe</v>
      </c>
      <c r="I230" s="11">
        <f>IFERROR(__xludf.DUMMYFUNCTION("""COMPUTED_VALUE"""),2.0)</f>
        <v>2</v>
      </c>
      <c r="J230" s="11">
        <f>IFERROR(__xludf.DUMMYFUNCTION("""COMPUTED_VALUE"""),0.0)</f>
        <v>0</v>
      </c>
      <c r="K230" s="11">
        <f>IFERROR(__xludf.DUMMYFUNCTION("""COMPUTED_VALUE"""),0.0)</f>
        <v>0</v>
      </c>
    </row>
    <row r="231" ht="15.75" customHeight="1">
      <c r="A231" s="8" t="str">
        <f>IFERROR(__xludf.DUMMYFUNCTION("""COMPUTED_VALUE"""),"https://zupo.co/best-aeo-agencies/")</f>
        <v>https://zupo.co/best-aeo-agencies/</v>
      </c>
      <c r="B231" s="11" t="str">
        <f>IFERROR(__xludf.DUMMYFUNCTION("""COMPUTED_VALUE"""),"Best Answer Engine Optimization (AEO) Agencies in 2026")</f>
        <v>Best Answer Engine Optimization (AEO) Agencies in 2026</v>
      </c>
      <c r="C231" s="8" t="str">
        <f>IFERROR(__xludf.DUMMYFUNCTION("""COMPUTED_VALUE"""),"zupo.co")</f>
        <v>zupo.co</v>
      </c>
      <c r="D231" s="11" t="str">
        <f>IFERROR(__xludf.DUMMYFUNCTION("""COMPUTED_VALUE"""),"LISTICLE")</f>
        <v>LISTICLE</v>
      </c>
      <c r="E231" s="11" t="str">
        <f>IFERROR(__xludf.DUMMYFUNCTION("""COMPUTED_VALUE"""),"CORPORATE")</f>
        <v>CORPORATE</v>
      </c>
      <c r="F231" s="11" t="str">
        <f>IFERROR(__xludf.DUMMYFUNCTION("""COMPUTED_VALUE"""),"Listicle")</f>
        <v>Listicle</v>
      </c>
      <c r="G231" s="11" t="b">
        <f>IFERROR(__xludf.DUMMYFUNCTION("""COMPUTED_VALUE"""),FALSE)</f>
        <v>0</v>
      </c>
      <c r="H231" s="11" t="str">
        <f>IFERROR(__xludf.DUMMYFUNCTION("""COMPUTED_VALUE"""),"Mindshare, iPullRank")</f>
        <v>Mindshare, iPullRank</v>
      </c>
      <c r="I231" s="11">
        <f>IFERROR(__xludf.DUMMYFUNCTION("""COMPUTED_VALUE"""),2.0)</f>
        <v>2</v>
      </c>
      <c r="J231" s="11">
        <f>IFERROR(__xludf.DUMMYFUNCTION("""COMPUTED_VALUE"""),0.0)</f>
        <v>0</v>
      </c>
      <c r="K231" s="11">
        <f>IFERROR(__xludf.DUMMYFUNCTION("""COMPUTED_VALUE"""),1.0)</f>
        <v>1</v>
      </c>
    </row>
    <row r="232" ht="15.75" customHeight="1">
      <c r="A232" s="8" t="str">
        <f>IFERROR(__xludf.DUMMYFUNCTION("""COMPUTED_VALUE"""),"https://www.adstellar.ai/blog/media-buying-automation-tools")</f>
        <v>https://www.adstellar.ai/blog/media-buying-automation-tools</v>
      </c>
      <c r="B232" s="11" t="str">
        <f>IFERROR(__xludf.DUMMYFUNCTION("""COMPUTED_VALUE"""),"Top 9 Media Buying Automation Tools: 2026… | AdStellar")</f>
        <v>Top 9 Media Buying Automation Tools: 2026… | AdStellar</v>
      </c>
      <c r="C232" s="8" t="str">
        <f>IFERROR(__xludf.DUMMYFUNCTION("""COMPUTED_VALUE"""),"adstellar.ai")</f>
        <v>adstellar.ai</v>
      </c>
      <c r="D232" s="11" t="str">
        <f>IFERROR(__xludf.DUMMYFUNCTION("""COMPUTED_VALUE"""),"LISTICLE")</f>
        <v>LISTICLE</v>
      </c>
      <c r="E232" s="11" t="str">
        <f>IFERROR(__xludf.DUMMYFUNCTION("""COMPUTED_VALUE"""),"CORPORATE")</f>
        <v>CORPORATE</v>
      </c>
      <c r="F232" s="11" t="str">
        <f>IFERROR(__xludf.DUMMYFUNCTION("""COMPUTED_VALUE"""),"Listicle")</f>
        <v>Listicle</v>
      </c>
      <c r="G232" s="11" t="b">
        <f>IFERROR(__xludf.DUMMYFUNCTION("""COMPUTED_VALUE"""),FALSE)</f>
        <v>0</v>
      </c>
      <c r="H232" s="11" t="str">
        <f>IFERROR(__xludf.DUMMYFUNCTION("""COMPUTED_VALUE"""),"Cometly")</f>
        <v>Cometly</v>
      </c>
      <c r="I232" s="11">
        <f>IFERROR(__xludf.DUMMYFUNCTION("""COMPUTED_VALUE"""),1.0)</f>
        <v>1</v>
      </c>
      <c r="J232" s="11">
        <f>IFERROR(__xludf.DUMMYFUNCTION("""COMPUTED_VALUE"""),0.0)</f>
        <v>0</v>
      </c>
      <c r="K232" s="11">
        <f>IFERROR(__xludf.DUMMYFUNCTION("""COMPUTED_VALUE"""),0.0)</f>
        <v>0</v>
      </c>
    </row>
    <row r="233" ht="15.75" customHeight="1">
      <c r="A233" s="8" t="str">
        <f>IFERROR(__xludf.DUMMYFUNCTION("""COMPUTED_VALUE"""),"https://www.advertal.de/wissen/marketing-attribution-software-dach-vergleich")</f>
        <v>https://www.advertal.de/wissen/marketing-attribution-software-dach-vergleich</v>
      </c>
      <c r="B233" s="11" t="str">
        <f>IFERROR(__xludf.DUMMYFUNCTION("""COMPUTED_VALUE"""),"Marketing Attribution Software: 9 Tools für den DACH-Markt im Vergleich")</f>
        <v>Marketing Attribution Software: 9 Tools für den DACH-Markt im Vergleich</v>
      </c>
      <c r="C233" s="8" t="str">
        <f>IFERROR(__xludf.DUMMYFUNCTION("""COMPUTED_VALUE"""),"advertal.de")</f>
        <v>advertal.de</v>
      </c>
      <c r="D233" s="11" t="str">
        <f>IFERROR(__xludf.DUMMYFUNCTION("""COMPUTED_VALUE"""),"LISTICLE")</f>
        <v>LISTICLE</v>
      </c>
      <c r="E233" s="11" t="str">
        <f>IFERROR(__xludf.DUMMYFUNCTION("""COMPUTED_VALUE"""),"CORPORATE")</f>
        <v>CORPORATE</v>
      </c>
      <c r="F233" s="11" t="str">
        <f>IFERROR(__xludf.DUMMYFUNCTION("""COMPUTED_VALUE"""),"Listicle")</f>
        <v>Listicle</v>
      </c>
      <c r="G233" s="11" t="b">
        <f>IFERROR(__xludf.DUMMYFUNCTION("""COMPUTED_VALUE"""),FALSE)</f>
        <v>0</v>
      </c>
      <c r="H233" s="11" t="str">
        <f>IFERROR(__xludf.DUMMYFUNCTION("""COMPUTED_VALUE"""),"Ruler Analytics, Rockerbox, Nielsen")</f>
        <v>Ruler Analytics, Rockerbox, Nielsen</v>
      </c>
      <c r="I233" s="11">
        <f>IFERROR(__xludf.DUMMYFUNCTION("""COMPUTED_VALUE"""),1.0)</f>
        <v>1</v>
      </c>
      <c r="J233" s="11">
        <f>IFERROR(__xludf.DUMMYFUNCTION("""COMPUTED_VALUE"""),0.0)</f>
        <v>0</v>
      </c>
      <c r="K233" s="11">
        <f>IFERROR(__xludf.DUMMYFUNCTION("""COMPUTED_VALUE"""),1.0)</f>
        <v>1</v>
      </c>
    </row>
    <row r="234" ht="15.75" customHeight="1">
      <c r="A234" s="8" t="str">
        <f>IFERROR(__xludf.DUMMYFUNCTION("""COMPUTED_VALUE"""),"https://aeo-collective.com/blog/top-10-aeo-geo-aio-marketing-agencies-in-april-2026/")</f>
        <v>https://aeo-collective.com/blog/top-10-aeo-geo-aio-marketing-agencies-in-april-2026/</v>
      </c>
      <c r="B234" s="11" t="str">
        <f>IFERROR(__xludf.DUMMYFUNCTION("""COMPUTED_VALUE"""),"Top AEO Agencies for Boosting AI Search Visibility in 2026")</f>
        <v>Top AEO Agencies for Boosting AI Search Visibility in 2026</v>
      </c>
      <c r="C234" s="8" t="str">
        <f>IFERROR(__xludf.DUMMYFUNCTION("""COMPUTED_VALUE"""),"aeo-collective.com")</f>
        <v>aeo-collective.com</v>
      </c>
      <c r="D234" s="11" t="str">
        <f>IFERROR(__xludf.DUMMYFUNCTION("""COMPUTED_VALUE"""),"LISTICLE")</f>
        <v>LISTICLE</v>
      </c>
      <c r="E234" s="11" t="str">
        <f>IFERROR(__xludf.DUMMYFUNCTION("""COMPUTED_VALUE"""),"CORPORATE")</f>
        <v>CORPORATE</v>
      </c>
      <c r="F234" s="11" t="str">
        <f>IFERROR(__xludf.DUMMYFUNCTION("""COMPUTED_VALUE"""),"Listicle")</f>
        <v>Listicle</v>
      </c>
      <c r="G234" s="11" t="b">
        <f>IFERROR(__xludf.DUMMYFUNCTION("""COMPUTED_VALUE"""),FALSE)</f>
        <v>0</v>
      </c>
      <c r="H234" s="11" t="str">
        <f>IFERROR(__xludf.DUMMYFUNCTION("""COMPUTED_VALUE"""),"Single Grain")</f>
        <v>Single Grain</v>
      </c>
      <c r="I234" s="11">
        <f>IFERROR(__xludf.DUMMYFUNCTION("""COMPUTED_VALUE"""),1.0)</f>
        <v>1</v>
      </c>
      <c r="J234" s="11">
        <f>IFERROR(__xludf.DUMMYFUNCTION("""COMPUTED_VALUE"""),0.0)</f>
        <v>0</v>
      </c>
      <c r="K234" s="11">
        <f>IFERROR(__xludf.DUMMYFUNCTION("""COMPUTED_VALUE"""),0.0)</f>
        <v>0</v>
      </c>
    </row>
    <row r="235" ht="15.75" customHeight="1">
      <c r="A235" s="8" t="str">
        <f>IFERROR(__xludf.DUMMYFUNCTION("""COMPUTED_VALUE"""),"https://www.agenciesformarketing.com/post/navigating-the-landscape-your-guide-to-top-marketing-agencies-in-germany-for-2025")</f>
        <v>https://www.agenciesformarketing.com/post/navigating-the-landscape-your-guide-to-top-marketing-agencies-in-germany-for-2025</v>
      </c>
      <c r="B235" s="11" t="str">
        <f>IFERROR(__xludf.DUMMYFUNCTION("""COMPUTED_VALUE"""),"Navigating the Landscape: Your Guide to Top Marketing Agencies in Germany for 2025")</f>
        <v>Navigating the Landscape: Your Guide to Top Marketing Agencies in Germany for 2025</v>
      </c>
      <c r="C235" s="8" t="str">
        <f>IFERROR(__xludf.DUMMYFUNCTION("""COMPUTED_VALUE"""),"agenciesformarketing.com")</f>
        <v>agenciesformarketing.com</v>
      </c>
      <c r="D235" s="11" t="str">
        <f>IFERROR(__xludf.DUMMYFUNCTION("""COMPUTED_VALUE"""),"LISTICLE")</f>
        <v>LISTICLE</v>
      </c>
      <c r="E235" s="11" t="str">
        <f>IFERROR(__xludf.DUMMYFUNCTION("""COMPUTED_VALUE"""),"REFERENCE")</f>
        <v>REFERENCE</v>
      </c>
      <c r="F235" s="11" t="str">
        <f>IFERROR(__xludf.DUMMYFUNCTION("""COMPUTED_VALUE"""),"Listicle")</f>
        <v>Listicle</v>
      </c>
      <c r="G235" s="11" t="b">
        <f>IFERROR(__xludf.DUMMYFUNCTION("""COMPUTED_VALUE"""),FALSE)</f>
        <v>0</v>
      </c>
      <c r="H235" s="11" t="str">
        <f>IFERROR(__xludf.DUMMYFUNCTION("""COMPUTED_VALUE"""),"Pilot, Mawave, Medialabel, Globalist, Social Media Pirates, MONSOON")</f>
        <v>Pilot, Mawave, Medialabel, Globalist, Social Media Pirates, MONSOON</v>
      </c>
      <c r="I235" s="11">
        <f>IFERROR(__xludf.DUMMYFUNCTION("""COMPUTED_VALUE"""),1.0)</f>
        <v>1</v>
      </c>
      <c r="J235" s="11">
        <f>IFERROR(__xludf.DUMMYFUNCTION("""COMPUTED_VALUE"""),0.0)</f>
        <v>0</v>
      </c>
      <c r="K235" s="11">
        <f>IFERROR(__xludf.DUMMYFUNCTION("""COMPUTED_VALUE"""),0.0)</f>
        <v>0</v>
      </c>
    </row>
    <row r="236" ht="15.75" customHeight="1">
      <c r="A236" s="8" t="str">
        <f>IFERROR(__xludf.DUMMYFUNCTION("""COMPUTED_VALUE"""),"https://aimers.io/blog/top-10-llm-optimization-agencies")</f>
        <v>https://aimers.io/blog/top-10-llm-optimization-agencies</v>
      </c>
      <c r="B236" s="11" t="str">
        <f>IFERROR(__xludf.DUMMYFUNCTION("""COMPUTED_VALUE"""),"Top 10 LLM Optimization Agencies in 2026 - Aimers Blog")</f>
        <v>Top 10 LLM Optimization Agencies in 2026 - Aimers Blog</v>
      </c>
      <c r="C236" s="8" t="str">
        <f>IFERROR(__xludf.DUMMYFUNCTION("""COMPUTED_VALUE"""),"aimers.io")</f>
        <v>aimers.io</v>
      </c>
      <c r="D236" s="11" t="str">
        <f>IFERROR(__xludf.DUMMYFUNCTION("""COMPUTED_VALUE"""),"LISTICLE")</f>
        <v>LISTICLE</v>
      </c>
      <c r="E236" s="11" t="str">
        <f>IFERROR(__xludf.DUMMYFUNCTION("""COMPUTED_VALUE"""),"CORPORATE")</f>
        <v>CORPORATE</v>
      </c>
      <c r="F236" s="11" t="str">
        <f>IFERROR(__xludf.DUMMYFUNCTION("""COMPUTED_VALUE"""),"Listicle")</f>
        <v>Listicle</v>
      </c>
      <c r="G236" s="11" t="b">
        <f>IFERROR(__xludf.DUMMYFUNCTION("""COMPUTED_VALUE"""),FALSE)</f>
        <v>0</v>
      </c>
      <c r="H236" s="11" t="str">
        <f>IFERROR(__xludf.DUMMYFUNCTION("""COMPUTED_VALUE"""),"Omnius")</f>
        <v>Omnius</v>
      </c>
      <c r="I236" s="11">
        <f>IFERROR(__xludf.DUMMYFUNCTION("""COMPUTED_VALUE"""),1.0)</f>
        <v>1</v>
      </c>
      <c r="J236" s="11">
        <f>IFERROR(__xludf.DUMMYFUNCTION("""COMPUTED_VALUE"""),0.0)</f>
        <v>0</v>
      </c>
      <c r="K236" s="11">
        <f>IFERROR(__xludf.DUMMYFUNCTION("""COMPUTED_VALUE"""),1.0)</f>
        <v>1</v>
      </c>
    </row>
    <row r="237" ht="15.75" customHeight="1">
      <c r="A237" s="8" t="str">
        <f>IFERROR(__xludf.DUMMYFUNCTION("""COMPUTED_VALUE"""),"https://aimers.io/blog/top-11-saas-content-marketing-agencies")</f>
        <v>https://aimers.io/blog/top-11-saas-content-marketing-agencies</v>
      </c>
      <c r="B237" s="11" t="str">
        <f>IFERROR(__xludf.DUMMYFUNCTION("""COMPUTED_VALUE"""),"Top 11 SaaS Content Marketing Agencies in 2026 - Aimers Blog")</f>
        <v>Top 11 SaaS Content Marketing Agencies in 2026 - Aimers Blog</v>
      </c>
      <c r="C237" s="8" t="str">
        <f>IFERROR(__xludf.DUMMYFUNCTION("""COMPUTED_VALUE"""),"aimers.io")</f>
        <v>aimers.io</v>
      </c>
      <c r="D237" s="11" t="str">
        <f>IFERROR(__xludf.DUMMYFUNCTION("""COMPUTED_VALUE"""),"LISTICLE")</f>
        <v>LISTICLE</v>
      </c>
      <c r="E237" s="11" t="str">
        <f>IFERROR(__xludf.DUMMYFUNCTION("""COMPUTED_VALUE"""),"CORPORATE")</f>
        <v>CORPORATE</v>
      </c>
      <c r="F237" s="11" t="str">
        <f>IFERROR(__xludf.DUMMYFUNCTION("""COMPUTED_VALUE"""),"Listicle")</f>
        <v>Listicle</v>
      </c>
      <c r="G237" s="11" t="b">
        <f>IFERROR(__xludf.DUMMYFUNCTION("""COMPUTED_VALUE"""),FALSE)</f>
        <v>0</v>
      </c>
      <c r="H237" s="11" t="str">
        <f>IFERROR(__xludf.DUMMYFUNCTION("""COMPUTED_VALUE"""),"Directive Consulting")</f>
        <v>Directive Consulting</v>
      </c>
      <c r="I237" s="11">
        <f>IFERROR(__xludf.DUMMYFUNCTION("""COMPUTED_VALUE"""),1.0)</f>
        <v>1</v>
      </c>
      <c r="J237" s="11">
        <f>IFERROR(__xludf.DUMMYFUNCTION("""COMPUTED_VALUE"""),0.0)</f>
        <v>0</v>
      </c>
      <c r="K237" s="11">
        <f>IFERROR(__xludf.DUMMYFUNCTION("""COMPUTED_VALUE"""),1.0)</f>
        <v>1</v>
      </c>
    </row>
    <row r="238" ht="15.75" customHeight="1">
      <c r="A238" s="8" t="str">
        <f>IFERROR(__xludf.DUMMYFUNCTION("""COMPUTED_VALUE"""),"https://aimonk.com/top-genai-development-services/")</f>
        <v>https://aimonk.com/top-genai-development-services/</v>
      </c>
      <c r="B238" s="11" t="str">
        <f>IFERROR(__xludf.DUMMYFUNCTION("""COMPUTED_VALUE"""),"Top 7 GenAI Development Services in 2025 | AI Monk")</f>
        <v>Top 7 GenAI Development Services in 2025 | AI Monk</v>
      </c>
      <c r="C238" s="8" t="str">
        <f>IFERROR(__xludf.DUMMYFUNCTION("""COMPUTED_VALUE"""),"aimonk.com")</f>
        <v>aimonk.com</v>
      </c>
      <c r="D238" s="11" t="str">
        <f>IFERROR(__xludf.DUMMYFUNCTION("""COMPUTED_VALUE"""),"LISTICLE")</f>
        <v>LISTICLE</v>
      </c>
      <c r="E238" s="11" t="str">
        <f>IFERROR(__xludf.DUMMYFUNCTION("""COMPUTED_VALUE"""),"CORPORATE")</f>
        <v>CORPORATE</v>
      </c>
      <c r="F238" s="11" t="str">
        <f>IFERROR(__xludf.DUMMYFUNCTION("""COMPUTED_VALUE"""),"Listicle")</f>
        <v>Listicle</v>
      </c>
      <c r="G238" s="11" t="b">
        <f>IFERROR(__xludf.DUMMYFUNCTION("""COMPUTED_VALUE"""),FALSE)</f>
        <v>0</v>
      </c>
      <c r="H238" s="11"/>
      <c r="I238" s="11">
        <f>IFERROR(__xludf.DUMMYFUNCTION("""COMPUTED_VALUE"""),1.0)</f>
        <v>1</v>
      </c>
      <c r="J238" s="11">
        <f>IFERROR(__xludf.DUMMYFUNCTION("""COMPUTED_VALUE"""),0.0)</f>
        <v>0</v>
      </c>
      <c r="K238" s="11">
        <f>IFERROR(__xludf.DUMMYFUNCTION("""COMPUTED_VALUE"""),2.0)</f>
        <v>2</v>
      </c>
    </row>
    <row r="239" ht="15.75" customHeight="1">
      <c r="A239" s="8" t="str">
        <f>IFERROR(__xludf.DUMMYFUNCTION("""COMPUTED_VALUE"""),"https://www.amplework.com/blog/top-ai-agent-development-companies/")</f>
        <v>https://www.amplework.com/blog/top-ai-agent-development-companies/</v>
      </c>
      <c r="B239" s="11" t="str">
        <f>IFERROR(__xludf.DUMMYFUNCTION("""COMPUTED_VALUE"""),"AI Agent Development Companies You Must Know in 2025!")</f>
        <v>AI Agent Development Companies You Must Know in 2025!</v>
      </c>
      <c r="C239" s="8" t="str">
        <f>IFERROR(__xludf.DUMMYFUNCTION("""COMPUTED_VALUE"""),"amplework.com")</f>
        <v>amplework.com</v>
      </c>
      <c r="D239" s="11" t="str">
        <f>IFERROR(__xludf.DUMMYFUNCTION("""COMPUTED_VALUE"""),"LISTICLE")</f>
        <v>LISTICLE</v>
      </c>
      <c r="E239" s="11" t="str">
        <f>IFERROR(__xludf.DUMMYFUNCTION("""COMPUTED_VALUE"""),"OTHER")</f>
        <v>OTHER</v>
      </c>
      <c r="F239" s="11" t="str">
        <f>IFERROR(__xludf.DUMMYFUNCTION("""COMPUTED_VALUE"""),"Listicle")</f>
        <v>Listicle</v>
      </c>
      <c r="G239" s="11" t="b">
        <f>IFERROR(__xludf.DUMMYFUNCTION("""COMPUTED_VALUE"""),FALSE)</f>
        <v>0</v>
      </c>
      <c r="H239" s="11"/>
      <c r="I239" s="11">
        <f>IFERROR(__xludf.DUMMYFUNCTION("""COMPUTED_VALUE"""),1.0)</f>
        <v>1</v>
      </c>
      <c r="J239" s="11">
        <f>IFERROR(__xludf.DUMMYFUNCTION("""COMPUTED_VALUE"""),0.0)</f>
        <v>0</v>
      </c>
      <c r="K239" s="11">
        <f>IFERROR(__xludf.DUMMYFUNCTION("""COMPUTED_VALUE"""),1.0)</f>
        <v>1</v>
      </c>
    </row>
    <row r="240" ht="15.75" customHeight="1">
      <c r="A240" s="8" t="str">
        <f>IFERROR(__xludf.DUMMYFUNCTION("""COMPUTED_VALUE"""),"https://amworldgroup.com/best/ai-marketing-agencies")</f>
        <v>https://amworldgroup.com/best/ai-marketing-agencies</v>
      </c>
      <c r="B240" s="11" t="str">
        <f>IFERROR(__xludf.DUMMYFUNCTION("""COMPUTED_VALUE"""),"Best AI Marketing Agencies 2026 | Top 8 Reviewed | AMW®")</f>
        <v>Best AI Marketing Agencies 2026 | Top 8 Reviewed | AMW®</v>
      </c>
      <c r="C240" s="8" t="str">
        <f>IFERROR(__xludf.DUMMYFUNCTION("""COMPUTED_VALUE"""),"amworldgroup.com")</f>
        <v>amworldgroup.com</v>
      </c>
      <c r="D240" s="11" t="str">
        <f>IFERROR(__xludf.DUMMYFUNCTION("""COMPUTED_VALUE"""),"LISTICLE")</f>
        <v>LISTICLE</v>
      </c>
      <c r="E240" s="11" t="str">
        <f>IFERROR(__xludf.DUMMYFUNCTION("""COMPUTED_VALUE"""),"CORPORATE")</f>
        <v>CORPORATE</v>
      </c>
      <c r="F240" s="11" t="str">
        <f>IFERROR(__xludf.DUMMYFUNCTION("""COMPUTED_VALUE"""),"Listicle")</f>
        <v>Listicle</v>
      </c>
      <c r="G240" s="11" t="b">
        <f>IFERROR(__xludf.DUMMYFUNCTION("""COMPUTED_VALUE"""),FALSE)</f>
        <v>0</v>
      </c>
      <c r="H240" s="11"/>
      <c r="I240" s="11">
        <f>IFERROR(__xludf.DUMMYFUNCTION("""COMPUTED_VALUE"""),1.0)</f>
        <v>1</v>
      </c>
      <c r="J240" s="11">
        <f>IFERROR(__xludf.DUMMYFUNCTION("""COMPUTED_VALUE"""),0.0)</f>
        <v>0</v>
      </c>
      <c r="K240" s="11">
        <f>IFERROR(__xludf.DUMMYFUNCTION("""COMPUTED_VALUE"""),0.0)</f>
        <v>0</v>
      </c>
    </row>
    <row r="241" ht="15.75" customHeight="1">
      <c r="A241" s="8" t="str">
        <f>IFERROR(__xludf.DUMMYFUNCTION("""COMPUTED_VALUE"""),"https://www.arcintermedia.com/knowledge-base/seo-and-organic-reach/what-are-the-top-answer-engine-optimization-aeo-agencies/")</f>
        <v>https://www.arcintermedia.com/knowledge-base/seo-and-organic-reach/what-are-the-top-answer-engine-optimization-aeo-agencies/</v>
      </c>
      <c r="B241" s="11" t="str">
        <f>IFERROR(__xludf.DUMMYFUNCTION("""COMPUTED_VALUE"""),"TOP Answer Engine Optimization (AEO) Agencies")</f>
        <v>TOP Answer Engine Optimization (AEO) Agencies</v>
      </c>
      <c r="C241" s="8" t="str">
        <f>IFERROR(__xludf.DUMMYFUNCTION("""COMPUTED_VALUE"""),"arcintermedia.com")</f>
        <v>arcintermedia.com</v>
      </c>
      <c r="D241" s="11" t="str">
        <f>IFERROR(__xludf.DUMMYFUNCTION("""COMPUTED_VALUE"""),"LISTICLE")</f>
        <v>LISTICLE</v>
      </c>
      <c r="E241" s="11" t="str">
        <f>IFERROR(__xludf.DUMMYFUNCTION("""COMPUTED_VALUE"""),"CORPORATE")</f>
        <v>CORPORATE</v>
      </c>
      <c r="F241" s="11" t="str">
        <f>IFERROR(__xludf.DUMMYFUNCTION("""COMPUTED_VALUE"""),"Listicle")</f>
        <v>Listicle</v>
      </c>
      <c r="G241" s="11" t="b">
        <f>IFERROR(__xludf.DUMMYFUNCTION("""COMPUTED_VALUE"""),FALSE)</f>
        <v>0</v>
      </c>
      <c r="H241" s="11" t="str">
        <f>IFERROR(__xludf.DUMMYFUNCTION("""COMPUTED_VALUE"""),"NoGood")</f>
        <v>NoGood</v>
      </c>
      <c r="I241" s="11">
        <f>IFERROR(__xludf.DUMMYFUNCTION("""COMPUTED_VALUE"""),1.0)</f>
        <v>1</v>
      </c>
      <c r="J241" s="11">
        <f>IFERROR(__xludf.DUMMYFUNCTION("""COMPUTED_VALUE"""),0.0)</f>
        <v>0</v>
      </c>
      <c r="K241" s="11">
        <f>IFERROR(__xludf.DUMMYFUNCTION("""COMPUTED_VALUE"""),1.0)</f>
        <v>1</v>
      </c>
    </row>
    <row r="242" ht="15.75" customHeight="1">
      <c r="A242" s="8" t="str">
        <f>IFERROR(__xludf.DUMMYFUNCTION("""COMPUTED_VALUE"""),"https://awisee.com/blog/marketing-agencies-europe/")</f>
        <v>https://awisee.com/blog/marketing-agencies-europe/</v>
      </c>
      <c r="B242" s="11" t="str">
        <f>IFERROR(__xludf.DUMMYFUNCTION("""COMPUTED_VALUE"""),"The Best 5 Marketing Agencies Europe Guide (2025 Reviews)")</f>
        <v>The Best 5 Marketing Agencies Europe Guide (2025 Reviews)</v>
      </c>
      <c r="C242" s="8" t="str">
        <f>IFERROR(__xludf.DUMMYFUNCTION("""COMPUTED_VALUE"""),"awisee.com")</f>
        <v>awisee.com</v>
      </c>
      <c r="D242" s="11" t="str">
        <f>IFERROR(__xludf.DUMMYFUNCTION("""COMPUTED_VALUE"""),"LISTICLE")</f>
        <v>LISTICLE</v>
      </c>
      <c r="E242" s="11" t="str">
        <f>IFERROR(__xludf.DUMMYFUNCTION("""COMPUTED_VALUE"""),"OTHER")</f>
        <v>OTHER</v>
      </c>
      <c r="F242" s="11" t="str">
        <f>IFERROR(__xludf.DUMMYFUNCTION("""COMPUTED_VALUE"""),"Listicle")</f>
        <v>Listicle</v>
      </c>
      <c r="G242" s="11" t="b">
        <f>IFERROR(__xludf.DUMMYFUNCTION("""COMPUTED_VALUE"""),FALSE)</f>
        <v>0</v>
      </c>
      <c r="H242" s="11" t="str">
        <f>IFERROR(__xludf.DUMMYFUNCTION("""COMPUTED_VALUE"""),"KlickPiloten")</f>
        <v>KlickPiloten</v>
      </c>
      <c r="I242" s="11">
        <f>IFERROR(__xludf.DUMMYFUNCTION("""COMPUTED_VALUE"""),1.0)</f>
        <v>1</v>
      </c>
      <c r="J242" s="11">
        <f>IFERROR(__xludf.DUMMYFUNCTION("""COMPUTED_VALUE"""),0.0)</f>
        <v>0</v>
      </c>
      <c r="K242" s="11">
        <f>IFERROR(__xludf.DUMMYFUNCTION("""COMPUTED_VALUE"""),1.0)</f>
        <v>1</v>
      </c>
    </row>
    <row r="243" ht="15.75" customHeight="1">
      <c r="A243" s="8" t="str">
        <f>IFERROR(__xludf.DUMMYFUNCTION("""COMPUTED_VALUE"""),"https://awisee.com/hu/blog/digital-marketing-agencies-germany/")</f>
        <v>https://awisee.com/hu/blog/digital-marketing-agencies-germany/</v>
      </c>
      <c r="B243" s="11" t="str">
        <f>IFERROR(__xludf.DUMMYFUNCTION("""COMPUTED_VALUE"""),"Top 4 Digital Marketing Agencies Germany In 2025 (Reviews)")</f>
        <v>Top 4 Digital Marketing Agencies Germany In 2025 (Reviews)</v>
      </c>
      <c r="C243" s="8" t="str">
        <f>IFERROR(__xludf.DUMMYFUNCTION("""COMPUTED_VALUE"""),"awisee.com")</f>
        <v>awisee.com</v>
      </c>
      <c r="D243" s="11" t="str">
        <f>IFERROR(__xludf.DUMMYFUNCTION("""COMPUTED_VALUE"""),"LISTICLE")</f>
        <v>LISTICLE</v>
      </c>
      <c r="E243" s="11" t="str">
        <f>IFERROR(__xludf.DUMMYFUNCTION("""COMPUTED_VALUE"""),"OTHER")</f>
        <v>OTHER</v>
      </c>
      <c r="F243" s="11" t="str">
        <f>IFERROR(__xludf.DUMMYFUNCTION("""COMPUTED_VALUE"""),"Listicle")</f>
        <v>Listicle</v>
      </c>
      <c r="G243" s="11" t="b">
        <f>IFERROR(__xludf.DUMMYFUNCTION("""COMPUTED_VALUE"""),FALSE)</f>
        <v>0</v>
      </c>
      <c r="H243" s="11" t="str">
        <f>IFERROR(__xludf.DUMMYFUNCTION("""COMPUTED_VALUE"""),"KlickPiloten")</f>
        <v>KlickPiloten</v>
      </c>
      <c r="I243" s="11">
        <f>IFERROR(__xludf.DUMMYFUNCTION("""COMPUTED_VALUE"""),1.0)</f>
        <v>1</v>
      </c>
      <c r="J243" s="11">
        <f>IFERROR(__xludf.DUMMYFUNCTION("""COMPUTED_VALUE"""),0.0)</f>
        <v>0</v>
      </c>
      <c r="K243" s="11">
        <f>IFERROR(__xludf.DUMMYFUNCTION("""COMPUTED_VALUE"""),4.0)</f>
        <v>4</v>
      </c>
    </row>
    <row r="244" ht="15.75" customHeight="1">
      <c r="A244" s="8" t="str">
        <f>IFERROR(__xludf.DUMMYFUNCTION("""COMPUTED_VALUE"""),"https://beomniscient.com/blog/growth-marketing-agency/")</f>
        <v>https://beomniscient.com/blog/growth-marketing-agency/</v>
      </c>
      <c r="B244" s="11" t="str">
        <f>IFERROR(__xludf.DUMMYFUNCTION("""COMPUTED_VALUE"""),"The 16 Best Growth Marketing Agencies in 2026 - Omniscient Digital")</f>
        <v>The 16 Best Growth Marketing Agencies in 2026 - Omniscient Digital</v>
      </c>
      <c r="C244" s="8" t="str">
        <f>IFERROR(__xludf.DUMMYFUNCTION("""COMPUTED_VALUE"""),"beomniscient.com")</f>
        <v>beomniscient.com</v>
      </c>
      <c r="D244" s="11" t="str">
        <f>IFERROR(__xludf.DUMMYFUNCTION("""COMPUTED_VALUE"""),"LISTICLE")</f>
        <v>LISTICLE</v>
      </c>
      <c r="E244" s="11" t="str">
        <f>IFERROR(__xludf.DUMMYFUNCTION("""COMPUTED_VALUE"""),"CORPORATE")</f>
        <v>CORPORATE</v>
      </c>
      <c r="F244" s="11" t="str">
        <f>IFERROR(__xludf.DUMMYFUNCTION("""COMPUTED_VALUE"""),"Listicle")</f>
        <v>Listicle</v>
      </c>
      <c r="G244" s="11" t="b">
        <f>IFERROR(__xludf.DUMMYFUNCTION("""COMPUTED_VALUE"""),FALSE)</f>
        <v>0</v>
      </c>
      <c r="H244" s="11" t="str">
        <f>IFERROR(__xludf.DUMMYFUNCTION("""COMPUTED_VALUE"""),"Omniscient Digital, Single Grain, Disruptive Advertising, NoGood, Directive Consulting, Superside, Pilot, Momentum")</f>
        <v>Omniscient Digital, Single Grain, Disruptive Advertising, NoGood, Directive Consulting, Superside, Pilot, Momentum</v>
      </c>
      <c r="I244" s="11">
        <f>IFERROR(__xludf.DUMMYFUNCTION("""COMPUTED_VALUE"""),1.0)</f>
        <v>1</v>
      </c>
      <c r="J244" s="11">
        <f>IFERROR(__xludf.DUMMYFUNCTION("""COMPUTED_VALUE"""),0.0)</f>
        <v>0</v>
      </c>
      <c r="K244" s="11">
        <f>IFERROR(__xludf.DUMMYFUNCTION("""COMPUTED_VALUE"""),0.0)</f>
        <v>0</v>
      </c>
    </row>
    <row r="245" ht="15.75" customHeight="1">
      <c r="A245" s="8" t="str">
        <f>IFERROR(__xludf.DUMMYFUNCTION("""COMPUTED_VALUE"""),"https://beomniscient.com/blog/marketing-agencies/")</f>
        <v>https://beomniscient.com/blog/marketing-agencies/</v>
      </c>
      <c r="B245" s="11" t="str">
        <f>IFERROR(__xludf.DUMMYFUNCTION("""COMPUTED_VALUE"""),"The 6 Best Marketing Agencies in 2026 - Omniscient Digital")</f>
        <v>The 6 Best Marketing Agencies in 2026 - Omniscient Digital</v>
      </c>
      <c r="C245" s="8" t="str">
        <f>IFERROR(__xludf.DUMMYFUNCTION("""COMPUTED_VALUE"""),"beomniscient.com")</f>
        <v>beomniscient.com</v>
      </c>
      <c r="D245" s="11" t="str">
        <f>IFERROR(__xludf.DUMMYFUNCTION("""COMPUTED_VALUE"""),"LISTICLE")</f>
        <v>LISTICLE</v>
      </c>
      <c r="E245" s="11" t="str">
        <f>IFERROR(__xludf.DUMMYFUNCTION("""COMPUTED_VALUE"""),"CORPORATE")</f>
        <v>CORPORATE</v>
      </c>
      <c r="F245" s="11" t="str">
        <f>IFERROR(__xludf.DUMMYFUNCTION("""COMPUTED_VALUE"""),"Listicle")</f>
        <v>Listicle</v>
      </c>
      <c r="G245" s="11" t="b">
        <f>IFERROR(__xludf.DUMMYFUNCTION("""COMPUTED_VALUE"""),FALSE)</f>
        <v>0</v>
      </c>
      <c r="H245" s="11" t="str">
        <f>IFERROR(__xludf.DUMMYFUNCTION("""COMPUTED_VALUE"""),"Omniscient Digital, Disruptive Advertising, NoGood")</f>
        <v>Omniscient Digital, Disruptive Advertising, NoGood</v>
      </c>
      <c r="I245" s="11">
        <f>IFERROR(__xludf.DUMMYFUNCTION("""COMPUTED_VALUE"""),1.0)</f>
        <v>1</v>
      </c>
      <c r="J245" s="11">
        <f>IFERROR(__xludf.DUMMYFUNCTION("""COMPUTED_VALUE"""),0.0)</f>
        <v>0</v>
      </c>
      <c r="K245" s="11">
        <f>IFERROR(__xludf.DUMMYFUNCTION("""COMPUTED_VALUE"""),0.0)</f>
        <v>0</v>
      </c>
    </row>
    <row r="246" ht="15.75" customHeight="1">
      <c r="A246" s="8" t="str">
        <f>IFERROR(__xludf.DUMMYFUNCTION("""COMPUTED_VALUE"""),"https://blockbirds.de/blog/die-besten-marketing-agenturen-deutschlands/")</f>
        <v>https://blockbirds.de/blog/die-besten-marketing-agenturen-deutschlands/</v>
      </c>
      <c r="B246" s="11" t="str">
        <f>IFERROR(__xludf.DUMMYFUNCTION("""COMPUTED_VALUE"""),"Die besten Marketing Agenturen Deutschlands | BlockBirds")</f>
        <v>Die besten Marketing Agenturen Deutschlands | BlockBirds</v>
      </c>
      <c r="C246" s="8" t="str">
        <f>IFERROR(__xludf.DUMMYFUNCTION("""COMPUTED_VALUE"""),"blockbirds.de")</f>
        <v>blockbirds.de</v>
      </c>
      <c r="D246" s="11" t="str">
        <f>IFERROR(__xludf.DUMMYFUNCTION("""COMPUTED_VALUE"""),"LISTICLE")</f>
        <v>LISTICLE</v>
      </c>
      <c r="E246" s="11" t="str">
        <f>IFERROR(__xludf.DUMMYFUNCTION("""COMPUTED_VALUE"""),"OTHER")</f>
        <v>OTHER</v>
      </c>
      <c r="F246" s="11" t="str">
        <f>IFERROR(__xludf.DUMMYFUNCTION("""COMPUTED_VALUE"""),"Listicle")</f>
        <v>Listicle</v>
      </c>
      <c r="G246" s="11" t="b">
        <f>IFERROR(__xludf.DUMMYFUNCTION("""COMPUTED_VALUE"""),FALSE)</f>
        <v>0</v>
      </c>
      <c r="H246" s="11" t="str">
        <f>IFERROR(__xludf.DUMMYFUNCTION("""COMPUTED_VALUE"""),"Jung von Matt, Accenture Song, Scholz &amp; Friends, DEPT, Pilot")</f>
        <v>Jung von Matt, Accenture Song, Scholz &amp; Friends, DEPT, Pilot</v>
      </c>
      <c r="I246" s="11">
        <f>IFERROR(__xludf.DUMMYFUNCTION("""COMPUTED_VALUE"""),1.0)</f>
        <v>1</v>
      </c>
      <c r="J246" s="11">
        <f>IFERROR(__xludf.DUMMYFUNCTION("""COMPUTED_VALUE"""),0.0)</f>
        <v>0</v>
      </c>
      <c r="K246" s="11">
        <f>IFERROR(__xludf.DUMMYFUNCTION("""COMPUTED_VALUE"""),0.0)</f>
        <v>0</v>
      </c>
    </row>
    <row r="247" ht="15.75" customHeight="1">
      <c r="A247" s="8" t="str">
        <f>IFERROR(__xludf.DUMMYFUNCTION("""COMPUTED_VALUE"""),"https://www.blueconic.com/resources/best-cdps")</f>
        <v>https://www.blueconic.com/resources/best-cdps</v>
      </c>
      <c r="B247" s="11" t="str">
        <f>IFERROR(__xludf.DUMMYFUNCTION("""COMPUTED_VALUE"""),"The 5 Best CDPs of 2026")</f>
        <v>The 5 Best CDPs of 2026</v>
      </c>
      <c r="C247" s="8" t="str">
        <f>IFERROR(__xludf.DUMMYFUNCTION("""COMPUTED_VALUE"""),"blueconic.com")</f>
        <v>blueconic.com</v>
      </c>
      <c r="D247" s="11" t="str">
        <f>IFERROR(__xludf.DUMMYFUNCTION("""COMPUTED_VALUE"""),"LISTICLE")</f>
        <v>LISTICLE</v>
      </c>
      <c r="E247" s="11" t="str">
        <f>IFERROR(__xludf.DUMMYFUNCTION("""COMPUTED_VALUE"""),"CORPORATE")</f>
        <v>CORPORATE</v>
      </c>
      <c r="F247" s="11" t="str">
        <f>IFERROR(__xludf.DUMMYFUNCTION("""COMPUTED_VALUE"""),"Listicle")</f>
        <v>Listicle</v>
      </c>
      <c r="G247" s="11" t="b">
        <f>IFERROR(__xludf.DUMMYFUNCTION("""COMPUTED_VALUE"""),FALSE)</f>
        <v>0</v>
      </c>
      <c r="H247" s="11"/>
      <c r="I247" s="11">
        <f>IFERROR(__xludf.DUMMYFUNCTION("""COMPUTED_VALUE"""),1.0)</f>
        <v>1</v>
      </c>
      <c r="J247" s="11">
        <f>IFERROR(__xludf.DUMMYFUNCTION("""COMPUTED_VALUE"""),0.0)</f>
        <v>0</v>
      </c>
      <c r="K247" s="11">
        <f>IFERROR(__xludf.DUMMYFUNCTION("""COMPUTED_VALUE"""),0.0)</f>
        <v>0</v>
      </c>
    </row>
    <row r="248" ht="15.75" customHeight="1">
      <c r="A248" s="8" t="str">
        <f>IFERROR(__xludf.DUMMYFUNCTION("""COMPUTED_VALUE"""),"https://www.brandigochina.com/the-best-marketing-agencies-in-china--2026")</f>
        <v>https://www.brandigochina.com/the-best-marketing-agencies-in-china--2026</v>
      </c>
      <c r="B248" s="11" t="str">
        <f>IFERROR(__xludf.DUMMYFUNCTION("""COMPUTED_VALUE"""),"Best Marketing Agencies in China 2026")</f>
        <v>Best Marketing Agencies in China 2026</v>
      </c>
      <c r="C248" s="8" t="str">
        <f>IFERROR(__xludf.DUMMYFUNCTION("""COMPUTED_VALUE"""),"brandigochina.com")</f>
        <v>brandigochina.com</v>
      </c>
      <c r="D248" s="11" t="str">
        <f>IFERROR(__xludf.DUMMYFUNCTION("""COMPUTED_VALUE"""),"LISTICLE")</f>
        <v>LISTICLE</v>
      </c>
      <c r="E248" s="11" t="str">
        <f>IFERROR(__xludf.DUMMYFUNCTION("""COMPUTED_VALUE"""),"CORPORATE")</f>
        <v>CORPORATE</v>
      </c>
      <c r="F248" s="11" t="str">
        <f>IFERROR(__xludf.DUMMYFUNCTION("""COMPUTED_VALUE"""),"Listicle")</f>
        <v>Listicle</v>
      </c>
      <c r="G248" s="11" t="b">
        <f>IFERROR(__xludf.DUMMYFUNCTION("""COMPUTED_VALUE"""),FALSE)</f>
        <v>0</v>
      </c>
      <c r="H248" s="11"/>
      <c r="I248" s="11">
        <f>IFERROR(__xludf.DUMMYFUNCTION("""COMPUTED_VALUE"""),1.0)</f>
        <v>1</v>
      </c>
      <c r="J248" s="11">
        <f>IFERROR(__xludf.DUMMYFUNCTION("""COMPUTED_VALUE"""),0.0)</f>
        <v>0</v>
      </c>
      <c r="K248" s="11">
        <f>IFERROR(__xludf.DUMMYFUNCTION("""COMPUTED_VALUE"""),1.0)</f>
        <v>1</v>
      </c>
    </row>
    <row r="249" ht="15.75" customHeight="1">
      <c r="A249" s="8" t="str">
        <f>IFERROR(__xludf.DUMMYFUNCTION("""COMPUTED_VALUE"""),"https://brentonway.com/blog/ai-marketing-agencies")</f>
        <v>https://brentonway.com/blog/ai-marketing-agencies</v>
      </c>
      <c r="B249" s="11" t="str">
        <f>IFERROR(__xludf.DUMMYFUNCTION("""COMPUTED_VALUE"""),"Top AI Marketing Agencies: An AI Market Company Comparison | Brenton Way")</f>
        <v>Top AI Marketing Agencies: An AI Market Company Comparison | Brenton Way</v>
      </c>
      <c r="C249" s="8" t="str">
        <f>IFERROR(__xludf.DUMMYFUNCTION("""COMPUTED_VALUE"""),"brentonway.com")</f>
        <v>brentonway.com</v>
      </c>
      <c r="D249" s="11" t="str">
        <f>IFERROR(__xludf.DUMMYFUNCTION("""COMPUTED_VALUE"""),"LISTICLE")</f>
        <v>LISTICLE</v>
      </c>
      <c r="E249" s="11" t="str">
        <f>IFERROR(__xludf.DUMMYFUNCTION("""COMPUTED_VALUE"""),"CORPORATE")</f>
        <v>CORPORATE</v>
      </c>
      <c r="F249" s="11" t="str">
        <f>IFERROR(__xludf.DUMMYFUNCTION("""COMPUTED_VALUE"""),"Listicle")</f>
        <v>Listicle</v>
      </c>
      <c r="G249" s="11" t="b">
        <f>IFERROR(__xludf.DUMMYFUNCTION("""COMPUTED_VALUE"""),FALSE)</f>
        <v>0</v>
      </c>
      <c r="H249" s="11" t="str">
        <f>IFERROR(__xludf.DUMMYFUNCTION("""COMPUTED_VALUE"""),"Huge, Single Grain, NoGood, SmartSites")</f>
        <v>Huge, Single Grain, NoGood, SmartSites</v>
      </c>
      <c r="I249" s="11">
        <f>IFERROR(__xludf.DUMMYFUNCTION("""COMPUTED_VALUE"""),1.0)</f>
        <v>1</v>
      </c>
      <c r="J249" s="11">
        <f>IFERROR(__xludf.DUMMYFUNCTION("""COMPUTED_VALUE"""),0.0)</f>
        <v>0</v>
      </c>
      <c r="K249" s="11">
        <f>IFERROR(__xludf.DUMMYFUNCTION("""COMPUTED_VALUE"""),0.0)</f>
        <v>0</v>
      </c>
    </row>
    <row r="250" ht="15.75" customHeight="1">
      <c r="A250" s="8" t="str">
        <f>IFERROR(__xludf.DUMMYFUNCTION("""COMPUTED_VALUE"""),"https://www.bvdw.org/news-und-publikationen/internetagentur-ranking-2026-plannet-verteidigt-spitzenposition/")</f>
        <v>https://www.bvdw.org/news-und-publikationen/internetagentur-ranking-2026-plannet-verteidigt-spitzenposition/</v>
      </c>
      <c r="B250" s="11" t="str">
        <f>IFERROR(__xludf.DUMMYFUNCTION("""COMPUTED_VALUE"""),"Internetagentur-Ranking 2026: Plan.Net verteidigt Spitzenposition")</f>
        <v>Internetagentur-Ranking 2026: Plan.Net verteidigt Spitzenposition</v>
      </c>
      <c r="C250" s="8" t="str">
        <f>IFERROR(__xludf.DUMMYFUNCTION("""COMPUTED_VALUE"""),"bvdw.org")</f>
        <v>bvdw.org</v>
      </c>
      <c r="D250" s="11" t="str">
        <f>IFERROR(__xludf.DUMMYFUNCTION("""COMPUTED_VALUE"""),"LISTICLE")</f>
        <v>LISTICLE</v>
      </c>
      <c r="E250" s="11" t="str">
        <f>IFERROR(__xludf.DUMMYFUNCTION("""COMPUTED_VALUE"""),"INSTITUTIONAL")</f>
        <v>INSTITUTIONAL</v>
      </c>
      <c r="F250" s="11" t="str">
        <f>IFERROR(__xludf.DUMMYFUNCTION("""COMPUTED_VALUE"""),"Listicle")</f>
        <v>Listicle</v>
      </c>
      <c r="G250" s="11" t="b">
        <f>IFERROR(__xludf.DUMMYFUNCTION("""COMPUTED_VALUE"""),FALSE)</f>
        <v>0</v>
      </c>
      <c r="H250" s="11"/>
      <c r="I250" s="11">
        <f>IFERROR(__xludf.DUMMYFUNCTION("""COMPUTED_VALUE"""),1.0)</f>
        <v>1</v>
      </c>
      <c r="J250" s="11">
        <f>IFERROR(__xludf.DUMMYFUNCTION("""COMPUTED_VALUE"""),0.0)</f>
        <v>0</v>
      </c>
      <c r="K250" s="11">
        <f>IFERROR(__xludf.DUMMYFUNCTION("""COMPUTED_VALUE"""),0.0)</f>
        <v>0</v>
      </c>
    </row>
    <row r="251" ht="15.75" customHeight="1">
      <c r="A251" s="8" t="str">
        <f>IFERROR(__xludf.DUMMYFUNCTION("""COMPUTED_VALUE"""),"https://www.clarista.io/blog/top-ai-solution-providers-2026")</f>
        <v>https://www.clarista.io/blog/top-ai-solution-providers-2026</v>
      </c>
      <c r="B251" s="11" t="str">
        <f>IFERROR(__xludf.DUMMYFUNCTION("""COMPUTED_VALUE"""),"Top AI Solution Providers in 2026: 12 Companies Reviewed | Clarista")</f>
        <v>Top AI Solution Providers in 2026: 12 Companies Reviewed | Clarista</v>
      </c>
      <c r="C251" s="8" t="str">
        <f>IFERROR(__xludf.DUMMYFUNCTION("""COMPUTED_VALUE"""),"clarista.io")</f>
        <v>clarista.io</v>
      </c>
      <c r="D251" s="11" t="str">
        <f>IFERROR(__xludf.DUMMYFUNCTION("""COMPUTED_VALUE"""),"LISTICLE")</f>
        <v>LISTICLE</v>
      </c>
      <c r="E251" s="11" t="str">
        <f>IFERROR(__xludf.DUMMYFUNCTION("""COMPUTED_VALUE"""),"CORPORATE")</f>
        <v>CORPORATE</v>
      </c>
      <c r="F251" s="11" t="str">
        <f>IFERROR(__xludf.DUMMYFUNCTION("""COMPUTED_VALUE"""),"Listicle")</f>
        <v>Listicle</v>
      </c>
      <c r="G251" s="11" t="b">
        <f>IFERROR(__xludf.DUMMYFUNCTION("""COMPUTED_VALUE"""),FALSE)</f>
        <v>0</v>
      </c>
      <c r="H251" s="11" t="str">
        <f>IFERROR(__xludf.DUMMYFUNCTION("""COMPUTED_VALUE"""),"Measured")</f>
        <v>Measured</v>
      </c>
      <c r="I251" s="11">
        <f>IFERROR(__xludf.DUMMYFUNCTION("""COMPUTED_VALUE"""),1.0)</f>
        <v>1</v>
      </c>
      <c r="J251" s="11">
        <f>IFERROR(__xludf.DUMMYFUNCTION("""COMPUTED_VALUE"""),0.0)</f>
        <v>0</v>
      </c>
      <c r="K251" s="11">
        <f>IFERROR(__xludf.DUMMYFUNCTION("""COMPUTED_VALUE"""),1.0)</f>
        <v>1</v>
      </c>
    </row>
    <row r="252" ht="15.75" customHeight="1">
      <c r="A252" s="8" t="str">
        <f>IFERROR(__xludf.DUMMYFUNCTION("""COMPUTED_VALUE"""),"https://clicksgeek.com/best-paid-advertising-platforms-for-businesses/")</f>
        <v>https://clicksgeek.com/best-paid-advertising-platforms-for-businesses/</v>
      </c>
      <c r="B252" s="11" t="str">
        <f>IFERROR(__xludf.DUMMYFUNCTION("""COMPUTED_VALUE"""),"Best Paid Advertising Platforms For Businesses 2026")</f>
        <v>Best Paid Advertising Platforms For Businesses 2026</v>
      </c>
      <c r="C252" s="8" t="str">
        <f>IFERROR(__xludf.DUMMYFUNCTION("""COMPUTED_VALUE"""),"clicksgeek.com")</f>
        <v>clicksgeek.com</v>
      </c>
      <c r="D252" s="11" t="str">
        <f>IFERROR(__xludf.DUMMYFUNCTION("""COMPUTED_VALUE"""),"LISTICLE")</f>
        <v>LISTICLE</v>
      </c>
      <c r="E252" s="11" t="str">
        <f>IFERROR(__xludf.DUMMYFUNCTION("""COMPUTED_VALUE"""),"CORPORATE")</f>
        <v>CORPORATE</v>
      </c>
      <c r="F252" s="11" t="str">
        <f>IFERROR(__xludf.DUMMYFUNCTION("""COMPUTED_VALUE"""),"Listicle")</f>
        <v>Listicle</v>
      </c>
      <c r="G252" s="11" t="b">
        <f>IFERROR(__xludf.DUMMYFUNCTION("""COMPUTED_VALUE"""),FALSE)</f>
        <v>0</v>
      </c>
      <c r="H252" s="11"/>
      <c r="I252" s="11">
        <f>IFERROR(__xludf.DUMMYFUNCTION("""COMPUTED_VALUE"""),1.0)</f>
        <v>1</v>
      </c>
      <c r="J252" s="11">
        <f>IFERROR(__xludf.DUMMYFUNCTION("""COMPUTED_VALUE"""),0.0)</f>
        <v>0</v>
      </c>
      <c r="K252" s="11">
        <f>IFERROR(__xludf.DUMMYFUNCTION("""COMPUTED_VALUE"""),1.0)</f>
        <v>1</v>
      </c>
    </row>
    <row r="253" ht="15.75" customHeight="1">
      <c r="A253" s="8" t="str">
        <f>IFERROR(__xludf.DUMMYFUNCTION("""COMPUTED_VALUE"""),"https://clicksgeek.com/best-roi-focused-marketing-agency/")</f>
        <v>https://clicksgeek.com/best-roi-focused-marketing-agency/</v>
      </c>
      <c r="B253" s="11" t="str">
        <f>IFERROR(__xludf.DUMMYFUNCTION("""COMPUTED_VALUE"""),"Best ROI Focused Marketing Agency: 7 Proven Strategies")</f>
        <v>Best ROI Focused Marketing Agency: 7 Proven Strategies</v>
      </c>
      <c r="C253" s="8" t="str">
        <f>IFERROR(__xludf.DUMMYFUNCTION("""COMPUTED_VALUE"""),"clicksgeek.com")</f>
        <v>clicksgeek.com</v>
      </c>
      <c r="D253" s="11" t="str">
        <f>IFERROR(__xludf.DUMMYFUNCTION("""COMPUTED_VALUE"""),"LISTICLE")</f>
        <v>LISTICLE</v>
      </c>
      <c r="E253" s="11" t="str">
        <f>IFERROR(__xludf.DUMMYFUNCTION("""COMPUTED_VALUE"""),"CORPORATE")</f>
        <v>CORPORATE</v>
      </c>
      <c r="F253" s="11" t="str">
        <f>IFERROR(__xludf.DUMMYFUNCTION("""COMPUTED_VALUE"""),"Listicle")</f>
        <v>Listicle</v>
      </c>
      <c r="G253" s="11" t="b">
        <f>IFERROR(__xludf.DUMMYFUNCTION("""COMPUTED_VALUE"""),FALSE)</f>
        <v>0</v>
      </c>
      <c r="H253" s="11"/>
      <c r="I253" s="11">
        <f>IFERROR(__xludf.DUMMYFUNCTION("""COMPUTED_VALUE"""),1.0)</f>
        <v>1</v>
      </c>
      <c r="J253" s="11">
        <f>IFERROR(__xludf.DUMMYFUNCTION("""COMPUTED_VALUE"""),0.0)</f>
        <v>0</v>
      </c>
      <c r="K253" s="11">
        <f>IFERROR(__xludf.DUMMYFUNCTION("""COMPUTED_VALUE"""),0.0)</f>
        <v>0</v>
      </c>
    </row>
    <row r="254" ht="15.75" customHeight="1">
      <c r="A254" s="8" t="str">
        <f>IFERROR(__xludf.DUMMYFUNCTION("""COMPUTED_VALUE"""),"https://clicksgeek.com/best-roi-marketing-agencies/")</f>
        <v>https://clicksgeek.com/best-roi-marketing-agencies/</v>
      </c>
      <c r="B254" s="11" t="str">
        <f>IFERROR(__xludf.DUMMYFUNCTION("""COMPUTED_VALUE"""),"Best ROI Marketing Agencies: 7 Proven Strategies 2026")</f>
        <v>Best ROI Marketing Agencies: 7 Proven Strategies 2026</v>
      </c>
      <c r="C254" s="8" t="str">
        <f>IFERROR(__xludf.DUMMYFUNCTION("""COMPUTED_VALUE"""),"clicksgeek.com")</f>
        <v>clicksgeek.com</v>
      </c>
      <c r="D254" s="11" t="str">
        <f>IFERROR(__xludf.DUMMYFUNCTION("""COMPUTED_VALUE"""),"LISTICLE")</f>
        <v>LISTICLE</v>
      </c>
      <c r="E254" s="11" t="str">
        <f>IFERROR(__xludf.DUMMYFUNCTION("""COMPUTED_VALUE"""),"CORPORATE")</f>
        <v>CORPORATE</v>
      </c>
      <c r="F254" s="11" t="str">
        <f>IFERROR(__xludf.DUMMYFUNCTION("""COMPUTED_VALUE"""),"Listicle")</f>
        <v>Listicle</v>
      </c>
      <c r="G254" s="11" t="b">
        <f>IFERROR(__xludf.DUMMYFUNCTION("""COMPUTED_VALUE"""),FALSE)</f>
        <v>0</v>
      </c>
      <c r="H254" s="11" t="str">
        <f>IFERROR(__xludf.DUMMYFUNCTION("""COMPUTED_VALUE"""),"Measured")</f>
        <v>Measured</v>
      </c>
      <c r="I254" s="11">
        <f>IFERROR(__xludf.DUMMYFUNCTION("""COMPUTED_VALUE"""),1.0)</f>
        <v>1</v>
      </c>
      <c r="J254" s="11">
        <f>IFERROR(__xludf.DUMMYFUNCTION("""COMPUTED_VALUE"""),0.0)</f>
        <v>0</v>
      </c>
      <c r="K254" s="11">
        <f>IFERROR(__xludf.DUMMYFUNCTION("""COMPUTED_VALUE"""),0.0)</f>
        <v>0</v>
      </c>
    </row>
    <row r="255" ht="15.75" customHeight="1">
      <c r="A255" s="8" t="str">
        <f>IFERROR(__xludf.DUMMYFUNCTION("""COMPUTED_VALUE"""),"https://clicksgeek.com/marketing-attribution-tracking-services/")</f>
        <v>https://clicksgeek.com/marketing-attribution-tracking-services/</v>
      </c>
      <c r="B255" s="11" t="str">
        <f>IFERROR(__xludf.DUMMYFUNCTION("""COMPUTED_VALUE"""),"9 Best Marketing Attribution Tracking Services 2026")</f>
        <v>9 Best Marketing Attribution Tracking Services 2026</v>
      </c>
      <c r="C255" s="8" t="str">
        <f>IFERROR(__xludf.DUMMYFUNCTION("""COMPUTED_VALUE"""),"clicksgeek.com")</f>
        <v>clicksgeek.com</v>
      </c>
      <c r="D255" s="11" t="str">
        <f>IFERROR(__xludf.DUMMYFUNCTION("""COMPUTED_VALUE"""),"LISTICLE")</f>
        <v>LISTICLE</v>
      </c>
      <c r="E255" s="11" t="str">
        <f>IFERROR(__xludf.DUMMYFUNCTION("""COMPUTED_VALUE"""),"CORPORATE")</f>
        <v>CORPORATE</v>
      </c>
      <c r="F255" s="11" t="str">
        <f>IFERROR(__xludf.DUMMYFUNCTION("""COMPUTED_VALUE"""),"Listicle")</f>
        <v>Listicle</v>
      </c>
      <c r="G255" s="11" t="b">
        <f>IFERROR(__xludf.DUMMYFUNCTION("""COMPUTED_VALUE"""),FALSE)</f>
        <v>0</v>
      </c>
      <c r="H255" s="11" t="str">
        <f>IFERROR(__xludf.DUMMYFUNCTION("""COMPUTED_VALUE"""),"Measured, Triple Whale, Northbeam, Ruler Analytics, Rockerbox")</f>
        <v>Measured, Triple Whale, Northbeam, Ruler Analytics, Rockerbox</v>
      </c>
      <c r="I255" s="11">
        <f>IFERROR(__xludf.DUMMYFUNCTION("""COMPUTED_VALUE"""),1.0)</f>
        <v>1</v>
      </c>
      <c r="J255" s="11">
        <f>IFERROR(__xludf.DUMMYFUNCTION("""COMPUTED_VALUE"""),0.0)</f>
        <v>0</v>
      </c>
      <c r="K255" s="11">
        <f>IFERROR(__xludf.DUMMYFUNCTION("""COMPUTED_VALUE"""),0.0)</f>
        <v>0</v>
      </c>
    </row>
    <row r="256" ht="15.75" customHeight="1">
      <c r="A256" s="8" t="str">
        <f>IFERROR(__xludf.DUMMYFUNCTION("""COMPUTED_VALUE"""),"https://clutch.co/agencies/performance-marketing%3Fpage%3D0")</f>
        <v>https://clutch.co/agencies/performance-marketing%3Fpage%3D0</v>
      </c>
      <c r="B256" s="11" t="str">
        <f>IFERROR(__xludf.DUMMYFUNCTION("""COMPUTED_VALUE"""),"Top Performance Marketing Agencies - Jul 2026 Rankings \| Clutch.co")</f>
        <v>Top Performance Marketing Agencies - Jul 2026 Rankings \| Clutch.co</v>
      </c>
      <c r="C256" s="8" t="str">
        <f>IFERROR(__xludf.DUMMYFUNCTION("""COMPUTED_VALUE"""),"clutch.co")</f>
        <v>clutch.co</v>
      </c>
      <c r="D256" s="11" t="str">
        <f>IFERROR(__xludf.DUMMYFUNCTION("""COMPUTED_VALUE"""),"LISTICLE")</f>
        <v>LISTICLE</v>
      </c>
      <c r="E256" s="11" t="str">
        <f>IFERROR(__xludf.DUMMYFUNCTION("""COMPUTED_VALUE"""),"CORPORATE")</f>
        <v>CORPORATE</v>
      </c>
      <c r="F256" s="11" t="str">
        <f>IFERROR(__xludf.DUMMYFUNCTION("""COMPUTED_VALUE"""),"Listicle")</f>
        <v>Listicle</v>
      </c>
      <c r="G256" s="11" t="b">
        <f>IFERROR(__xludf.DUMMYFUNCTION("""COMPUTED_VALUE"""),FALSE)</f>
        <v>0</v>
      </c>
      <c r="H256" s="11" t="str">
        <f>IFERROR(__xludf.DUMMYFUNCTION("""COMPUTED_VALUE"""),"Disruptive Advertising, Momentum, REPLUG")</f>
        <v>Disruptive Advertising, Momentum, REPLUG</v>
      </c>
      <c r="I256" s="11">
        <f>IFERROR(__xludf.DUMMYFUNCTION("""COMPUTED_VALUE"""),1.0)</f>
        <v>1</v>
      </c>
      <c r="J256" s="11">
        <f>IFERROR(__xludf.DUMMYFUNCTION("""COMPUTED_VALUE"""),0.0)</f>
        <v>0</v>
      </c>
      <c r="K256" s="11">
        <f>IFERROR(__xludf.DUMMYFUNCTION("""COMPUTED_VALUE"""),0.0)</f>
        <v>0</v>
      </c>
    </row>
    <row r="257" ht="15.75" customHeight="1">
      <c r="A257" s="8" t="str">
        <f>IFERROR(__xludf.DUMMYFUNCTION("""COMPUTED_VALUE"""),"https://coefficient.io/marketing-analytics-tools")</f>
        <v>https://coefficient.io/marketing-analytics-tools</v>
      </c>
      <c r="B257" s="11" t="str">
        <f>IFERROR(__xludf.DUMMYFUNCTION("""COMPUTED_VALUE"""),"Top 10 Marketing Analytics Tools and Software for 2026")</f>
        <v>Top 10 Marketing Analytics Tools and Software for 2026</v>
      </c>
      <c r="C257" s="8" t="str">
        <f>IFERROR(__xludf.DUMMYFUNCTION("""COMPUTED_VALUE"""),"coefficient.io")</f>
        <v>coefficient.io</v>
      </c>
      <c r="D257" s="11" t="str">
        <f>IFERROR(__xludf.DUMMYFUNCTION("""COMPUTED_VALUE"""),"LISTICLE")</f>
        <v>LISTICLE</v>
      </c>
      <c r="E257" s="11" t="str">
        <f>IFERROR(__xludf.DUMMYFUNCTION("""COMPUTED_VALUE"""),"CORPORATE")</f>
        <v>CORPORATE</v>
      </c>
      <c r="F257" s="11" t="str">
        <f>IFERROR(__xludf.DUMMYFUNCTION("""COMPUTED_VALUE"""),"Listicle")</f>
        <v>Listicle</v>
      </c>
      <c r="G257" s="11" t="b">
        <f>IFERROR(__xludf.DUMMYFUNCTION("""COMPUTED_VALUE"""),FALSE)</f>
        <v>0</v>
      </c>
      <c r="H257" s="11" t="str">
        <f>IFERROR(__xludf.DUMMYFUNCTION("""COMPUTED_VALUE"""),"Huge")</f>
        <v>Huge</v>
      </c>
      <c r="I257" s="11">
        <f>IFERROR(__xludf.DUMMYFUNCTION("""COMPUTED_VALUE"""),1.0)</f>
        <v>1</v>
      </c>
      <c r="J257" s="11">
        <f>IFERROR(__xludf.DUMMYFUNCTION("""COMPUTED_VALUE"""),0.0)</f>
        <v>0</v>
      </c>
      <c r="K257" s="11">
        <f>IFERROR(__xludf.DUMMYFUNCTION("""COMPUTED_VALUE"""),1.0)</f>
        <v>1</v>
      </c>
    </row>
    <row r="258" ht="15.75" customHeight="1">
      <c r="A258" s="8" t="str">
        <f>IFERROR(__xludf.DUMMYFUNCTION("""COMPUTED_VALUE"""),"https://coinbound.io/top-ai-marketing-agencies/")</f>
        <v>https://coinbound.io/top-ai-marketing-agencies/</v>
      </c>
      <c r="B258" s="11" t="str">
        <f>IFERROR(__xludf.DUMMYFUNCTION("""COMPUTED_VALUE"""),"The Best AI Marketing Agencies for 2026: 5 Top Choices")</f>
        <v>The Best AI Marketing Agencies for 2026: 5 Top Choices</v>
      </c>
      <c r="C258" s="8" t="str">
        <f>IFERROR(__xludf.DUMMYFUNCTION("""COMPUTED_VALUE"""),"coinbound.io")</f>
        <v>coinbound.io</v>
      </c>
      <c r="D258" s="11" t="str">
        <f>IFERROR(__xludf.DUMMYFUNCTION("""COMPUTED_VALUE"""),"LISTICLE")</f>
        <v>LISTICLE</v>
      </c>
      <c r="E258" s="11" t="str">
        <f>IFERROR(__xludf.DUMMYFUNCTION("""COMPUTED_VALUE"""),"CORPORATE")</f>
        <v>CORPORATE</v>
      </c>
      <c r="F258" s="11" t="str">
        <f>IFERROR(__xludf.DUMMYFUNCTION("""COMPUTED_VALUE"""),"Listicle")</f>
        <v>Listicle</v>
      </c>
      <c r="G258" s="11" t="b">
        <f>IFERROR(__xludf.DUMMYFUNCTION("""COMPUTED_VALUE"""),FALSE)</f>
        <v>0</v>
      </c>
      <c r="H258" s="11" t="str">
        <f>IFERROR(__xludf.DUMMYFUNCTION("""COMPUTED_VALUE"""),"NoGood, Single Grain, Momentum")</f>
        <v>NoGood, Single Grain, Momentum</v>
      </c>
      <c r="I258" s="11">
        <f>IFERROR(__xludf.DUMMYFUNCTION("""COMPUTED_VALUE"""),1.0)</f>
        <v>1</v>
      </c>
      <c r="J258" s="11">
        <f>IFERROR(__xludf.DUMMYFUNCTION("""COMPUTED_VALUE"""),0.0)</f>
        <v>0</v>
      </c>
      <c r="K258" s="11">
        <f>IFERROR(__xludf.DUMMYFUNCTION("""COMPUTED_VALUE"""),0.0)</f>
        <v>0</v>
      </c>
    </row>
    <row r="259" ht="15.75" customHeight="1">
      <c r="A259" s="8" t="str">
        <f>IFERROR(__xludf.DUMMYFUNCTION("""COMPUTED_VALUE"""),"https://www.cometly.com/post/ad-campaign-performance-analysis-methods")</f>
        <v>https://www.cometly.com/post/ad-campaign-performance-analysis-methods</v>
      </c>
      <c r="B259" s="11" t="str">
        <f>IFERROR(__xludf.DUMMYFUNCTION("""COMPUTED_VALUE"""),"Ad Campaign Performance Analysis Methods: 7 Proven Tips")</f>
        <v>Ad Campaign Performance Analysis Methods: 7 Proven Tips</v>
      </c>
      <c r="C259" s="8" t="str">
        <f>IFERROR(__xludf.DUMMYFUNCTION("""COMPUTED_VALUE"""),"cometly.com")</f>
        <v>cometly.com</v>
      </c>
      <c r="D259" s="11" t="str">
        <f>IFERROR(__xludf.DUMMYFUNCTION("""COMPUTED_VALUE"""),"LISTICLE")</f>
        <v>LISTICLE</v>
      </c>
      <c r="E259" s="11" t="str">
        <f>IFERROR(__xludf.DUMMYFUNCTION("""COMPUTED_VALUE"""),"COMPETITOR")</f>
        <v>COMPETITOR</v>
      </c>
      <c r="F259" s="11" t="str">
        <f>IFERROR(__xludf.DUMMYFUNCTION("""COMPUTED_VALUE"""),"Listicle")</f>
        <v>Listicle</v>
      </c>
      <c r="G259" s="11" t="b">
        <f>IFERROR(__xludf.DUMMYFUNCTION("""COMPUTED_VALUE"""),FALSE)</f>
        <v>0</v>
      </c>
      <c r="H259" s="11" t="str">
        <f>IFERROR(__xludf.DUMMYFUNCTION("""COMPUTED_VALUE"""),"Cometly, Measured")</f>
        <v>Cometly, Measured</v>
      </c>
      <c r="I259" s="11">
        <f>IFERROR(__xludf.DUMMYFUNCTION("""COMPUTED_VALUE"""),1.0)</f>
        <v>1</v>
      </c>
      <c r="J259" s="11">
        <f>IFERROR(__xludf.DUMMYFUNCTION("""COMPUTED_VALUE"""),0.0)</f>
        <v>0</v>
      </c>
      <c r="K259" s="11">
        <f>IFERROR(__xludf.DUMMYFUNCTION("""COMPUTED_VALUE"""),1.0)</f>
        <v>1</v>
      </c>
    </row>
    <row r="260" ht="15.75" customHeight="1">
      <c r="A260" s="8" t="str">
        <f>IFERROR(__xludf.DUMMYFUNCTION("""COMPUTED_VALUE"""),"https://www.cometly.com/post/agency-marketing-attribution-tools")</f>
        <v>https://www.cometly.com/post/agency-marketing-attribution-tools</v>
      </c>
      <c r="B260" s="11" t="str">
        <f>IFERROR(__xludf.DUMMYFUNCTION("""COMPUTED_VALUE"""),"Top Agency Marketing Attribution Tools for 2026 Tips")</f>
        <v>Top Agency Marketing Attribution Tools for 2026 Tips</v>
      </c>
      <c r="C260" s="8" t="str">
        <f>IFERROR(__xludf.DUMMYFUNCTION("""COMPUTED_VALUE"""),"cometly.com")</f>
        <v>cometly.com</v>
      </c>
      <c r="D260" s="11" t="str">
        <f>IFERROR(__xludf.DUMMYFUNCTION("""COMPUTED_VALUE"""),"LISTICLE")</f>
        <v>LISTICLE</v>
      </c>
      <c r="E260" s="11" t="str">
        <f>IFERROR(__xludf.DUMMYFUNCTION("""COMPUTED_VALUE"""),"COMPETITOR")</f>
        <v>COMPETITOR</v>
      </c>
      <c r="F260" s="11" t="str">
        <f>IFERROR(__xludf.DUMMYFUNCTION("""COMPUTED_VALUE"""),"Listicle")</f>
        <v>Listicle</v>
      </c>
      <c r="G260" s="11" t="b">
        <f>IFERROR(__xludf.DUMMYFUNCTION("""COMPUTED_VALUE"""),FALSE)</f>
        <v>0</v>
      </c>
      <c r="H260" s="11" t="str">
        <f>IFERROR(__xludf.DUMMYFUNCTION("""COMPUTED_VALUE"""),"Cometly, Triple Whale, Northbeam, Rockerbox, Ruler Analytics, Dreamdata")</f>
        <v>Cometly, Triple Whale, Northbeam, Rockerbox, Ruler Analytics, Dreamdata</v>
      </c>
      <c r="I260" s="11">
        <f>IFERROR(__xludf.DUMMYFUNCTION("""COMPUTED_VALUE"""),1.0)</f>
        <v>1</v>
      </c>
      <c r="J260" s="11">
        <f>IFERROR(__xludf.DUMMYFUNCTION("""COMPUTED_VALUE"""),0.0)</f>
        <v>0</v>
      </c>
      <c r="K260" s="11">
        <f>IFERROR(__xludf.DUMMYFUNCTION("""COMPUTED_VALUE"""),1.0)</f>
        <v>1</v>
      </c>
    </row>
    <row r="261" ht="15.75" customHeight="1">
      <c r="A261" s="8" t="str">
        <f>IFERROR(__xludf.DUMMYFUNCTION("""COMPUTED_VALUE"""),"https://www.cometly.com/post/ai-powered-ad-optimization-platform")</f>
        <v>https://www.cometly.com/post/ai-powered-ad-optimization-platform</v>
      </c>
      <c r="B261" s="11" t="str">
        <f>IFERROR(__xludf.DUMMYFUNCTION("""COMPUTED_VALUE"""),"9 Best AI Powered Ad Optimization Platforms 2026 Guide")</f>
        <v>9 Best AI Powered Ad Optimization Platforms 2026 Guide</v>
      </c>
      <c r="C261" s="8" t="str">
        <f>IFERROR(__xludf.DUMMYFUNCTION("""COMPUTED_VALUE"""),"cometly.com")</f>
        <v>cometly.com</v>
      </c>
      <c r="D261" s="11" t="str">
        <f>IFERROR(__xludf.DUMMYFUNCTION("""COMPUTED_VALUE"""),"LISTICLE")</f>
        <v>LISTICLE</v>
      </c>
      <c r="E261" s="11" t="str">
        <f>IFERROR(__xludf.DUMMYFUNCTION("""COMPUTED_VALUE"""),"COMPETITOR")</f>
        <v>COMPETITOR</v>
      </c>
      <c r="F261" s="11" t="str">
        <f>IFERROR(__xludf.DUMMYFUNCTION("""COMPUTED_VALUE"""),"Listicle")</f>
        <v>Listicle</v>
      </c>
      <c r="G261" s="11" t="b">
        <f>IFERROR(__xludf.DUMMYFUNCTION("""COMPUTED_VALUE"""),FALSE)</f>
        <v>0</v>
      </c>
      <c r="H261" s="11" t="str">
        <f>IFERROR(__xludf.DUMMYFUNCTION("""COMPUTED_VALUE"""),"Cometly")</f>
        <v>Cometly</v>
      </c>
      <c r="I261" s="11">
        <f>IFERROR(__xludf.DUMMYFUNCTION("""COMPUTED_VALUE"""),1.0)</f>
        <v>1</v>
      </c>
      <c r="J261" s="11">
        <f>IFERROR(__xludf.DUMMYFUNCTION("""COMPUTED_VALUE"""),0.0)</f>
        <v>0</v>
      </c>
      <c r="K261" s="11">
        <f>IFERROR(__xludf.DUMMYFUNCTION("""COMPUTED_VALUE"""),0.0)</f>
        <v>0</v>
      </c>
    </row>
    <row r="262" ht="15.75" customHeight="1">
      <c r="A262" s="8" t="str">
        <f>IFERROR(__xludf.DUMMYFUNCTION("""COMPUTED_VALUE"""),"https://www.cometly.com/post/ai-powered-marketing-analytics-tools")</f>
        <v>https://www.cometly.com/post/ai-powered-marketing-analytics-tools</v>
      </c>
      <c r="B262" s="11" t="str">
        <f>IFERROR(__xludf.DUMMYFUNCTION("""COMPUTED_VALUE"""),"9 Best AI Powered Marketing Analytics Tools for 2026")</f>
        <v>9 Best AI Powered Marketing Analytics Tools for 2026</v>
      </c>
      <c r="C262" s="8" t="str">
        <f>IFERROR(__xludf.DUMMYFUNCTION("""COMPUTED_VALUE"""),"cometly.com")</f>
        <v>cometly.com</v>
      </c>
      <c r="D262" s="11" t="str">
        <f>IFERROR(__xludf.DUMMYFUNCTION("""COMPUTED_VALUE"""),"LISTICLE")</f>
        <v>LISTICLE</v>
      </c>
      <c r="E262" s="11" t="str">
        <f>IFERROR(__xludf.DUMMYFUNCTION("""COMPUTED_VALUE"""),"COMPETITOR")</f>
        <v>COMPETITOR</v>
      </c>
      <c r="F262" s="11" t="str">
        <f>IFERROR(__xludf.DUMMYFUNCTION("""COMPUTED_VALUE"""),"Listicle")</f>
        <v>Listicle</v>
      </c>
      <c r="G262" s="11" t="b">
        <f>IFERROR(__xludf.DUMMYFUNCTION("""COMPUTED_VALUE"""),FALSE)</f>
        <v>0</v>
      </c>
      <c r="H262" s="11" t="str">
        <f>IFERROR(__xludf.DUMMYFUNCTION("""COMPUTED_VALUE"""),"Cometly, Northbeam")</f>
        <v>Cometly, Northbeam</v>
      </c>
      <c r="I262" s="11">
        <f>IFERROR(__xludf.DUMMYFUNCTION("""COMPUTED_VALUE"""),1.0)</f>
        <v>1</v>
      </c>
      <c r="J262" s="11">
        <f>IFERROR(__xludf.DUMMYFUNCTION("""COMPUTED_VALUE"""),0.0)</f>
        <v>0</v>
      </c>
      <c r="K262" s="11">
        <f>IFERROR(__xludf.DUMMYFUNCTION("""COMPUTED_VALUE"""),1.0)</f>
        <v>1</v>
      </c>
    </row>
    <row r="263" ht="15.75" customHeight="1">
      <c r="A263" s="8" t="str">
        <f>IFERROR(__xludf.DUMMYFUNCTION("""COMPUTED_VALUE"""),"https://www.cometly.com/post/marketing-attribution-companies")</f>
        <v>https://www.cometly.com/post/marketing-attribution-companies</v>
      </c>
      <c r="B263" s="11" t="str">
        <f>IFERROR(__xludf.DUMMYFUNCTION("""COMPUTED_VALUE"""),"11 Best Marketing Attribution Companies to Track ROI")</f>
        <v>11 Best Marketing Attribution Companies to Track ROI</v>
      </c>
      <c r="C263" s="8" t="str">
        <f>IFERROR(__xludf.DUMMYFUNCTION("""COMPUTED_VALUE"""),"cometly.com")</f>
        <v>cometly.com</v>
      </c>
      <c r="D263" s="11" t="str">
        <f>IFERROR(__xludf.DUMMYFUNCTION("""COMPUTED_VALUE"""),"LISTICLE")</f>
        <v>LISTICLE</v>
      </c>
      <c r="E263" s="11" t="str">
        <f>IFERROR(__xludf.DUMMYFUNCTION("""COMPUTED_VALUE"""),"COMPETITOR")</f>
        <v>COMPETITOR</v>
      </c>
      <c r="F263" s="11" t="str">
        <f>IFERROR(__xludf.DUMMYFUNCTION("""COMPUTED_VALUE"""),"Listicle")</f>
        <v>Listicle</v>
      </c>
      <c r="G263" s="11" t="b">
        <f>IFERROR(__xludf.DUMMYFUNCTION("""COMPUTED_VALUE"""),FALSE)</f>
        <v>0</v>
      </c>
      <c r="H263" s="11" t="str">
        <f>IFERROR(__xludf.DUMMYFUNCTION("""COMPUTED_VALUE"""),"Cometly, Triple Whale, Northbeam, Rockerbox, Ruler Analytics, Dreamdata")</f>
        <v>Cometly, Triple Whale, Northbeam, Rockerbox, Ruler Analytics, Dreamdata</v>
      </c>
      <c r="I263" s="11">
        <f>IFERROR(__xludf.DUMMYFUNCTION("""COMPUTED_VALUE"""),1.0)</f>
        <v>1</v>
      </c>
      <c r="J263" s="11">
        <f>IFERROR(__xludf.DUMMYFUNCTION("""COMPUTED_VALUE"""),0.0)</f>
        <v>0</v>
      </c>
      <c r="K263" s="11">
        <f>IFERROR(__xludf.DUMMYFUNCTION("""COMPUTED_VALUE"""),0.0)</f>
        <v>0</v>
      </c>
    </row>
    <row r="264" ht="15.75" customHeight="1">
      <c r="A264" s="8" t="str">
        <f>IFERROR(__xludf.DUMMYFUNCTION("""COMPUTED_VALUE"""),"https://www.cometly.com/post/marketing-attribution-platform-for-agencies")</f>
        <v>https://www.cometly.com/post/marketing-attribution-platform-for-agencies</v>
      </c>
      <c r="B264" s="11" t="str">
        <f>IFERROR(__xludf.DUMMYFUNCTION("""COMPUTED_VALUE"""),"Best Marketing Attribution Platform For Agencies 2026")</f>
        <v>Best Marketing Attribution Platform For Agencies 2026</v>
      </c>
      <c r="C264" s="8" t="str">
        <f>IFERROR(__xludf.DUMMYFUNCTION("""COMPUTED_VALUE"""),"cometly.com")</f>
        <v>cometly.com</v>
      </c>
      <c r="D264" s="11" t="str">
        <f>IFERROR(__xludf.DUMMYFUNCTION("""COMPUTED_VALUE"""),"LISTICLE")</f>
        <v>LISTICLE</v>
      </c>
      <c r="E264" s="11" t="str">
        <f>IFERROR(__xludf.DUMMYFUNCTION("""COMPUTED_VALUE"""),"COMPETITOR")</f>
        <v>COMPETITOR</v>
      </c>
      <c r="F264" s="11" t="str">
        <f>IFERROR(__xludf.DUMMYFUNCTION("""COMPUTED_VALUE"""),"Listicle")</f>
        <v>Listicle</v>
      </c>
      <c r="G264" s="11" t="b">
        <f>IFERROR(__xludf.DUMMYFUNCTION("""COMPUTED_VALUE"""),FALSE)</f>
        <v>0</v>
      </c>
      <c r="H264" s="11" t="str">
        <f>IFERROR(__xludf.DUMMYFUNCTION("""COMPUTED_VALUE"""),"Cometly, Triple Whale, Rockerbox, Northbeam, Ruler Analytics")</f>
        <v>Cometly, Triple Whale, Rockerbox, Northbeam, Ruler Analytics</v>
      </c>
      <c r="I264" s="11">
        <f>IFERROR(__xludf.DUMMYFUNCTION("""COMPUTED_VALUE"""),1.0)</f>
        <v>1</v>
      </c>
      <c r="J264" s="11">
        <f>IFERROR(__xludf.DUMMYFUNCTION("""COMPUTED_VALUE"""),0.0)</f>
        <v>0</v>
      </c>
      <c r="K264" s="11">
        <f>IFERROR(__xludf.DUMMYFUNCTION("""COMPUTED_VALUE"""),1.0)</f>
        <v>1</v>
      </c>
    </row>
    <row r="265" ht="15.75" customHeight="1">
      <c r="A265" s="8" t="str">
        <f>IFERROR(__xludf.DUMMYFUNCTION("""COMPUTED_VALUE"""),"https://www.cometly.com/post/media-buying-optimization-tool")</f>
        <v>https://www.cometly.com/post/media-buying-optimization-tool</v>
      </c>
      <c r="B265" s="11" t="str">
        <f>IFERROR(__xludf.DUMMYFUNCTION("""COMPUTED_VALUE"""),"Best Media Buying Optimization Tool for Ad Teams 2026")</f>
        <v>Best Media Buying Optimization Tool for Ad Teams 2026</v>
      </c>
      <c r="C265" s="8" t="str">
        <f>IFERROR(__xludf.DUMMYFUNCTION("""COMPUTED_VALUE"""),"cometly.com")</f>
        <v>cometly.com</v>
      </c>
      <c r="D265" s="11" t="str">
        <f>IFERROR(__xludf.DUMMYFUNCTION("""COMPUTED_VALUE"""),"LISTICLE")</f>
        <v>LISTICLE</v>
      </c>
      <c r="E265" s="11" t="str">
        <f>IFERROR(__xludf.DUMMYFUNCTION("""COMPUTED_VALUE"""),"COMPETITOR")</f>
        <v>COMPETITOR</v>
      </c>
      <c r="F265" s="11" t="str">
        <f>IFERROR(__xludf.DUMMYFUNCTION("""COMPUTED_VALUE"""),"Listicle")</f>
        <v>Listicle</v>
      </c>
      <c r="G265" s="11" t="b">
        <f>IFERROR(__xludf.DUMMYFUNCTION("""COMPUTED_VALUE"""),FALSE)</f>
        <v>0</v>
      </c>
      <c r="H265" s="11" t="str">
        <f>IFERROR(__xludf.DUMMYFUNCTION("""COMPUTED_VALUE"""),"Cometly, Momentum, Northbeam")</f>
        <v>Cometly, Momentum, Northbeam</v>
      </c>
      <c r="I265" s="11">
        <f>IFERROR(__xludf.DUMMYFUNCTION("""COMPUTED_VALUE"""),1.0)</f>
        <v>1</v>
      </c>
      <c r="J265" s="11">
        <f>IFERROR(__xludf.DUMMYFUNCTION("""COMPUTED_VALUE"""),0.0)</f>
        <v>0</v>
      </c>
      <c r="K265" s="11">
        <f>IFERROR(__xludf.DUMMYFUNCTION("""COMPUTED_VALUE"""),0.0)</f>
        <v>0</v>
      </c>
    </row>
    <row r="266" ht="15.75" customHeight="1">
      <c r="A266" s="8" t="str">
        <f>IFERROR(__xludf.DUMMYFUNCTION("""COMPUTED_VALUE"""),"https://coolnerdsmarketing.com/top-creative-agencies-us/")</f>
        <v>https://coolnerdsmarketing.com/top-creative-agencies-us/</v>
      </c>
      <c r="B266" s="11" t="str">
        <f>IFERROR(__xludf.DUMMYFUNCTION("""COMPUTED_VALUE"""),"Top 15 Creative Agencies in the U.S. (2026)")</f>
        <v>Top 15 Creative Agencies in the U.S. (2026)</v>
      </c>
      <c r="C266" s="8" t="str">
        <f>IFERROR(__xludf.DUMMYFUNCTION("""COMPUTED_VALUE"""),"coolnerdsmarketing.com")</f>
        <v>coolnerdsmarketing.com</v>
      </c>
      <c r="D266" s="11" t="str">
        <f>IFERROR(__xludf.DUMMYFUNCTION("""COMPUTED_VALUE"""),"LISTICLE")</f>
        <v>LISTICLE</v>
      </c>
      <c r="E266" s="11" t="str">
        <f>IFERROR(__xludf.DUMMYFUNCTION("""COMPUTED_VALUE"""),"CORPORATE")</f>
        <v>CORPORATE</v>
      </c>
      <c r="F266" s="11" t="str">
        <f>IFERROR(__xludf.DUMMYFUNCTION("""COMPUTED_VALUE"""),"Listicle")</f>
        <v>Listicle</v>
      </c>
      <c r="G266" s="11" t="b">
        <f>IFERROR(__xludf.DUMMYFUNCTION("""COMPUTED_VALUE"""),FALSE)</f>
        <v>0</v>
      </c>
      <c r="H266" s="11" t="str">
        <f>IFERROR(__xludf.DUMMYFUNCTION("""COMPUTED_VALUE"""),"Dentsu, Momentum")</f>
        <v>Dentsu, Momentum</v>
      </c>
      <c r="I266" s="11">
        <f>IFERROR(__xludf.DUMMYFUNCTION("""COMPUTED_VALUE"""),1.0)</f>
        <v>1</v>
      </c>
      <c r="J266" s="11">
        <f>IFERROR(__xludf.DUMMYFUNCTION("""COMPUTED_VALUE"""),0.0)</f>
        <v>0</v>
      </c>
      <c r="K266" s="11">
        <f>IFERROR(__xludf.DUMMYFUNCTION("""COMPUTED_VALUE"""),0.0)</f>
        <v>0</v>
      </c>
    </row>
    <row r="267" ht="15.75" customHeight="1">
      <c r="A267" s="8" t="str">
        <f>IFERROR(__xludf.DUMMYFUNCTION("""COMPUTED_VALUE"""),"https://creatif.agency/the-best-web-design-agencies-in-berlin-in-2026/")</f>
        <v>https://creatif.agency/the-best-web-design-agencies-in-berlin-in-2026/</v>
      </c>
      <c r="B267" s="11" t="str">
        <f>IFERROR(__xludf.DUMMYFUNCTION("""COMPUTED_VALUE"""),"The best web design agencies in Berlin in 2026")</f>
        <v>The best web design agencies in Berlin in 2026</v>
      </c>
      <c r="C267" s="11" t="str">
        <f>IFERROR(__xludf.DUMMYFUNCTION("""COMPUTED_VALUE"""),"creatif.agency")</f>
        <v>creatif.agency</v>
      </c>
      <c r="D267" s="11" t="str">
        <f>IFERROR(__xludf.DUMMYFUNCTION("""COMPUTED_VALUE"""),"LISTICLE")</f>
        <v>LISTICLE</v>
      </c>
      <c r="E267" s="11" t="str">
        <f>IFERROR(__xludf.DUMMYFUNCTION("""COMPUTED_VALUE"""),"CORPORATE")</f>
        <v>CORPORATE</v>
      </c>
      <c r="F267" s="11" t="str">
        <f>IFERROR(__xludf.DUMMYFUNCTION("""COMPUTED_VALUE"""),"Listicle")</f>
        <v>Listicle</v>
      </c>
      <c r="G267" s="11" t="b">
        <f>IFERROR(__xludf.DUMMYFUNCTION("""COMPUTED_VALUE"""),FALSE)</f>
        <v>0</v>
      </c>
      <c r="H267" s="11" t="str">
        <f>IFERROR(__xludf.DUMMYFUNCTION("""COMPUTED_VALUE"""),"MetaDesign, DEPT")</f>
        <v>MetaDesign, DEPT</v>
      </c>
      <c r="I267" s="11">
        <f>IFERROR(__xludf.DUMMYFUNCTION("""COMPUTED_VALUE"""),1.0)</f>
        <v>1</v>
      </c>
      <c r="J267" s="11">
        <f>IFERROR(__xludf.DUMMYFUNCTION("""COMPUTED_VALUE"""),0.0)</f>
        <v>0</v>
      </c>
      <c r="K267" s="11">
        <f>IFERROR(__xludf.DUMMYFUNCTION("""COMPUTED_VALUE"""),3.0)</f>
        <v>3</v>
      </c>
    </row>
    <row r="268" ht="15.75" customHeight="1">
      <c r="A268" s="8" t="str">
        <f>IFERROR(__xludf.DUMMYFUNCTION("""COMPUTED_VALUE"""),"https://www.dacgroup.com/de/einblicke/blog/strategy/der-marketing-trendbericht-2026-26-massnahmen-die-performance-neu-definieren/")</f>
        <v>https://www.dacgroup.com/de/einblicke/blog/strategy/der-marketing-trendbericht-2026-26-massnahmen-die-performance-neu-definieren/</v>
      </c>
      <c r="B268" s="11" t="str">
        <f>IFERROR(__xludf.DUMMYFUNCTION("""COMPUTED_VALUE"""),"Der Marketing-Trendbericht 2026: 26 Maßnahmen, die Performance neu definieren | DAC")</f>
        <v>Der Marketing-Trendbericht 2026: 26 Maßnahmen, die Performance neu definieren | DAC</v>
      </c>
      <c r="C268" s="8" t="str">
        <f>IFERROR(__xludf.DUMMYFUNCTION("""COMPUTED_VALUE"""),"dacgroup.com")</f>
        <v>dacgroup.com</v>
      </c>
      <c r="D268" s="11" t="str">
        <f>IFERROR(__xludf.DUMMYFUNCTION("""COMPUTED_VALUE"""),"LISTICLE")</f>
        <v>LISTICLE</v>
      </c>
      <c r="E268" s="11" t="str">
        <f>IFERROR(__xludf.DUMMYFUNCTION("""COMPUTED_VALUE"""),"CORPORATE")</f>
        <v>CORPORATE</v>
      </c>
      <c r="F268" s="11" t="str">
        <f>IFERROR(__xludf.DUMMYFUNCTION("""COMPUTED_VALUE"""),"Listicle")</f>
        <v>Listicle</v>
      </c>
      <c r="G268" s="11" t="b">
        <f>IFERROR(__xludf.DUMMYFUNCTION("""COMPUTED_VALUE"""),FALSE)</f>
        <v>0</v>
      </c>
      <c r="H268" s="11"/>
      <c r="I268" s="11">
        <f>IFERROR(__xludf.DUMMYFUNCTION("""COMPUTED_VALUE"""),1.0)</f>
        <v>1</v>
      </c>
      <c r="J268" s="11">
        <f>IFERROR(__xludf.DUMMYFUNCTION("""COMPUTED_VALUE"""),0.0)</f>
        <v>0</v>
      </c>
      <c r="K268" s="11">
        <f>IFERROR(__xludf.DUMMYFUNCTION("""COMPUTED_VALUE"""),1.0)</f>
        <v>1</v>
      </c>
    </row>
    <row r="269" ht="15.75" customHeight="1">
      <c r="A269" s="8" t="str">
        <f>IFERROR(__xludf.DUMMYFUNCTION("""COMPUTED_VALUE"""),"https://www.darkroomagency.com/observatory/best-performance-marketing-agencies-in-2026")</f>
        <v>https://www.darkroomagency.com/observatory/best-performance-marketing-agencies-in-2026</v>
      </c>
      <c r="B269" s="11" t="str">
        <f>IFERROR(__xludf.DUMMYFUNCTION("""COMPUTED_VALUE"""),"Best Performance Marketing Agencies for Ecommerce in 2026")</f>
        <v>Best Performance Marketing Agencies for Ecommerce in 2026</v>
      </c>
      <c r="C269" s="8" t="str">
        <f>IFERROR(__xludf.DUMMYFUNCTION("""COMPUTED_VALUE"""),"darkroomagency.com")</f>
        <v>darkroomagency.com</v>
      </c>
      <c r="D269" s="11" t="str">
        <f>IFERROR(__xludf.DUMMYFUNCTION("""COMPUTED_VALUE"""),"LISTICLE")</f>
        <v>LISTICLE</v>
      </c>
      <c r="E269" s="11" t="str">
        <f>IFERROR(__xludf.DUMMYFUNCTION("""COMPUTED_VALUE"""),"COMPETITOR")</f>
        <v>COMPETITOR</v>
      </c>
      <c r="F269" s="11" t="str">
        <f>IFERROR(__xludf.DUMMYFUNCTION("""COMPUTED_VALUE"""),"Listicle")</f>
        <v>Listicle</v>
      </c>
      <c r="G269" s="11" t="b">
        <f>IFERROR(__xludf.DUMMYFUNCTION("""COMPUTED_VALUE"""),FALSE)</f>
        <v>0</v>
      </c>
      <c r="H269" s="11" t="str">
        <f>IFERROR(__xludf.DUMMYFUNCTION("""COMPUTED_VALUE"""),"Darkroom, Tinuiti, Wpromote, Power Digital, Common Thread Collective, Disruptive Advertising, WebFX, Measured, Pilot")</f>
        <v>Darkroom, Tinuiti, Wpromote, Power Digital, Common Thread Collective, Disruptive Advertising, WebFX, Measured, Pilot</v>
      </c>
      <c r="I269" s="11">
        <f>IFERROR(__xludf.DUMMYFUNCTION("""COMPUTED_VALUE"""),1.0)</f>
        <v>1</v>
      </c>
      <c r="J269" s="11">
        <f>IFERROR(__xludf.DUMMYFUNCTION("""COMPUTED_VALUE"""),0.0)</f>
        <v>0</v>
      </c>
      <c r="K269" s="11">
        <f>IFERROR(__xludf.DUMMYFUNCTION("""COMPUTED_VALUE"""),1.0)</f>
        <v>1</v>
      </c>
    </row>
    <row r="270" ht="15.75" customHeight="1">
      <c r="A270" s="8" t="str">
        <f>IFERROR(__xludf.DUMMYFUNCTION("""COMPUTED_VALUE"""),"https://www.dataally.ai/blog/top-paid-media-agencies")</f>
        <v>https://www.dataally.ai/blog/top-paid-media-agencies</v>
      </c>
      <c r="B270" s="11" t="str">
        <f>IFERROR(__xludf.DUMMYFUNCTION("""COMPUTED_VALUE"""),"Top 15 Paid Media Agencies in 2026")</f>
        <v>Top 15 Paid Media Agencies in 2026</v>
      </c>
      <c r="C270" s="8" t="str">
        <f>IFERROR(__xludf.DUMMYFUNCTION("""COMPUTED_VALUE"""),"dataally.ai")</f>
        <v>dataally.ai</v>
      </c>
      <c r="D270" s="11" t="str">
        <f>IFERROR(__xludf.DUMMYFUNCTION("""COMPUTED_VALUE"""),"LISTICLE")</f>
        <v>LISTICLE</v>
      </c>
      <c r="E270" s="11" t="str">
        <f>IFERROR(__xludf.DUMMYFUNCTION("""COMPUTED_VALUE"""),"CORPORATE")</f>
        <v>CORPORATE</v>
      </c>
      <c r="F270" s="11" t="str">
        <f>IFERROR(__xludf.DUMMYFUNCTION("""COMPUTED_VALUE"""),"Listicle")</f>
        <v>Listicle</v>
      </c>
      <c r="G270" s="11" t="b">
        <f>IFERROR(__xludf.DUMMYFUNCTION("""COMPUTED_VALUE"""),FALSE)</f>
        <v>0</v>
      </c>
      <c r="H270" s="11" t="str">
        <f>IFERROR(__xludf.DUMMYFUNCTION("""COMPUTED_VALUE"""),"inBeat, Darkroom, KlientBoost, Disruptive Advertising, WebFX, Pilot")</f>
        <v>inBeat, Darkroom, KlientBoost, Disruptive Advertising, WebFX, Pilot</v>
      </c>
      <c r="I270" s="11">
        <f>IFERROR(__xludf.DUMMYFUNCTION("""COMPUTED_VALUE"""),1.0)</f>
        <v>1</v>
      </c>
      <c r="J270" s="11">
        <f>IFERROR(__xludf.DUMMYFUNCTION("""COMPUTED_VALUE"""),0.0)</f>
        <v>0</v>
      </c>
      <c r="K270" s="11">
        <f>IFERROR(__xludf.DUMMYFUNCTION("""COMPUTED_VALUE"""),0.0)</f>
        <v>0</v>
      </c>
    </row>
    <row r="271" ht="15.75" customHeight="1">
      <c r="A271" s="8" t="str">
        <f>IFERROR(__xludf.DUMMYFUNCTION("""COMPUTED_VALUE"""),"https://databox.com/marketing-agency-directories")</f>
        <v>https://databox.com/marketing-agency-directories</v>
      </c>
      <c r="B271" s="11" t="str">
        <f>IFERROR(__xludf.DUMMYFUNCTION("""COMPUTED_VALUE"""),"23 Can’t-Miss Marketing Agency Directories for 2025 | Databox")</f>
        <v>23 Can’t-Miss Marketing Agency Directories for 2025 | Databox</v>
      </c>
      <c r="C271" s="8" t="str">
        <f>IFERROR(__xludf.DUMMYFUNCTION("""COMPUTED_VALUE"""),"databox.com")</f>
        <v>databox.com</v>
      </c>
      <c r="D271" s="11" t="str">
        <f>IFERROR(__xludf.DUMMYFUNCTION("""COMPUTED_VALUE"""),"LISTICLE")</f>
        <v>LISTICLE</v>
      </c>
      <c r="E271" s="11" t="str">
        <f>IFERROR(__xludf.DUMMYFUNCTION("""COMPUTED_VALUE"""),"UGC")</f>
        <v>UGC</v>
      </c>
      <c r="F271" s="11" t="str">
        <f>IFERROR(__xludf.DUMMYFUNCTION("""COMPUTED_VALUE"""),"Listicle")</f>
        <v>Listicle</v>
      </c>
      <c r="G271" s="11" t="b">
        <f>IFERROR(__xludf.DUMMYFUNCTION("""COMPUTED_VALUE"""),FALSE)</f>
        <v>0</v>
      </c>
      <c r="H271" s="11" t="str">
        <f>IFERROR(__xludf.DUMMYFUNCTION("""COMPUTED_VALUE"""),"Huge")</f>
        <v>Huge</v>
      </c>
      <c r="I271" s="11">
        <f>IFERROR(__xludf.DUMMYFUNCTION("""COMPUTED_VALUE"""),1.0)</f>
        <v>1</v>
      </c>
      <c r="J271" s="11">
        <f>IFERROR(__xludf.DUMMYFUNCTION("""COMPUTED_VALUE"""),0.0)</f>
        <v>0</v>
      </c>
      <c r="K271" s="11">
        <f>IFERROR(__xludf.DUMMYFUNCTION("""COMPUTED_VALUE"""),0.0)</f>
        <v>0</v>
      </c>
    </row>
    <row r="272" ht="15.75" customHeight="1">
      <c r="A272" s="8" t="str">
        <f>IFERROR(__xludf.DUMMYFUNCTION("""COMPUTED_VALUE"""),"https://dejanmarketing.com/best-ai-seo-agencies/")</f>
        <v>https://dejanmarketing.com/best-ai-seo-agencies/</v>
      </c>
      <c r="B272" s="11" t="str">
        <f>IFERROR(__xludf.DUMMYFUNCTION("""COMPUTED_VALUE"""),"Best AI SEO agencies to watch out for in 2026")</f>
        <v>Best AI SEO agencies to watch out for in 2026</v>
      </c>
      <c r="C272" s="8" t="str">
        <f>IFERROR(__xludf.DUMMYFUNCTION("""COMPUTED_VALUE"""),"dejanmarketing.com")</f>
        <v>dejanmarketing.com</v>
      </c>
      <c r="D272" s="11" t="str">
        <f>IFERROR(__xludf.DUMMYFUNCTION("""COMPUTED_VALUE"""),"LISTICLE")</f>
        <v>LISTICLE</v>
      </c>
      <c r="E272" s="11" t="str">
        <f>IFERROR(__xludf.DUMMYFUNCTION("""COMPUTED_VALUE"""),"CORPORATE")</f>
        <v>CORPORATE</v>
      </c>
      <c r="F272" s="11" t="str">
        <f>IFERROR(__xludf.DUMMYFUNCTION("""COMPUTED_VALUE"""),"Listicle")</f>
        <v>Listicle</v>
      </c>
      <c r="G272" s="11" t="b">
        <f>IFERROR(__xludf.DUMMYFUNCTION("""COMPUTED_VALUE"""),FALSE)</f>
        <v>0</v>
      </c>
      <c r="H272" s="11" t="str">
        <f>IFERROR(__xludf.DUMMYFUNCTION("""COMPUTED_VALUE"""),"Kosch Klink Performance, iPullRank, Huge, Aufgesang, appliedAI")</f>
        <v>Kosch Klink Performance, iPullRank, Huge, Aufgesang, appliedAI</v>
      </c>
      <c r="I272" s="11">
        <f>IFERROR(__xludf.DUMMYFUNCTION("""COMPUTED_VALUE"""),1.0)</f>
        <v>1</v>
      </c>
      <c r="J272" s="11">
        <f>IFERROR(__xludf.DUMMYFUNCTION("""COMPUTED_VALUE"""),0.0)</f>
        <v>0</v>
      </c>
      <c r="K272" s="11">
        <f>IFERROR(__xludf.DUMMYFUNCTION("""COMPUTED_VALUE"""),1.0)</f>
        <v>1</v>
      </c>
    </row>
    <row r="273" ht="15.75" customHeight="1">
      <c r="A273" s="8" t="str">
        <f>IFERROR(__xludf.DUMMYFUNCTION("""COMPUTED_VALUE"""),"https://www.designrush.com/agency/digital-marketing/performance-marketing-agencies")</f>
        <v>https://www.designrush.com/agency/digital-marketing/performance-marketing-agencies</v>
      </c>
      <c r="B273" s="11" t="str">
        <f>IFERROR(__xludf.DUMMYFUNCTION("""COMPUTED_VALUE"""),"Top Performance Marketing Agencies in 2026")</f>
        <v>Top Performance Marketing Agencies in 2026</v>
      </c>
      <c r="C273" s="8" t="str">
        <f>IFERROR(__xludf.DUMMYFUNCTION("""COMPUTED_VALUE"""),"designrush.com")</f>
        <v>designrush.com</v>
      </c>
      <c r="D273" s="11" t="str">
        <f>IFERROR(__xludf.DUMMYFUNCTION("""COMPUTED_VALUE"""),"LISTICLE")</f>
        <v>LISTICLE</v>
      </c>
      <c r="E273" s="11" t="str">
        <f>IFERROR(__xludf.DUMMYFUNCTION("""COMPUTED_VALUE"""),"CORPORATE")</f>
        <v>CORPORATE</v>
      </c>
      <c r="F273" s="11" t="str">
        <f>IFERROR(__xludf.DUMMYFUNCTION("""COMPUTED_VALUE"""),"Listicle")</f>
        <v>Listicle</v>
      </c>
      <c r="G273" s="11" t="b">
        <f>IFERROR(__xludf.DUMMYFUNCTION("""COMPUTED_VALUE"""),FALSE)</f>
        <v>0</v>
      </c>
      <c r="H273" s="11" t="str">
        <f>IFERROR(__xludf.DUMMYFUNCTION("""COMPUTED_VALUE"""),"Wpromote, NoGood, Power Digital, Huge, SmartSites, Disruptive Advertising, PwC, REPLUG, KlientBoost, DEPT")</f>
        <v>Wpromote, NoGood, Power Digital, Huge, SmartSites, Disruptive Advertising, PwC, REPLUG, KlientBoost, DEPT</v>
      </c>
      <c r="I273" s="11">
        <f>IFERROR(__xludf.DUMMYFUNCTION("""COMPUTED_VALUE"""),1.0)</f>
        <v>1</v>
      </c>
      <c r="J273" s="11">
        <f>IFERROR(__xludf.DUMMYFUNCTION("""COMPUTED_VALUE"""),0.0)</f>
        <v>0</v>
      </c>
      <c r="K273" s="11">
        <f>IFERROR(__xludf.DUMMYFUNCTION("""COMPUTED_VALUE"""),0.0)</f>
        <v>0</v>
      </c>
    </row>
    <row r="274" ht="15.75" customHeight="1">
      <c r="A274" s="8" t="str">
        <f>IFERROR(__xludf.DUMMYFUNCTION("""COMPUTED_VALUE"""),"https://digitalmarketingsupermarket.com/blog/best-ai-marketing-agencies/")</f>
        <v>https://digitalmarketingsupermarket.com/blog/best-ai-marketing-agencies/</v>
      </c>
      <c r="B274" s="11" t="str">
        <f>IFERROR(__xludf.DUMMYFUNCTION("""COMPUTED_VALUE"""),"Best AI Marketing Agencies: The Definitive 2025 Guide to Finding Your Perfect Partner - Digital Marketing Supermarket")</f>
        <v>Best AI Marketing Agencies: The Definitive 2025 Guide to Finding Your Perfect Partner - Digital Marketing Supermarket</v>
      </c>
      <c r="C274" s="8" t="str">
        <f>IFERROR(__xludf.DUMMYFUNCTION("""COMPUTED_VALUE"""),"digitalmarketingsupermarket.com")</f>
        <v>digitalmarketingsupermarket.com</v>
      </c>
      <c r="D274" s="11" t="str">
        <f>IFERROR(__xludf.DUMMYFUNCTION("""COMPUTED_VALUE"""),"LISTICLE")</f>
        <v>LISTICLE</v>
      </c>
      <c r="E274" s="11" t="str">
        <f>IFERROR(__xludf.DUMMYFUNCTION("""COMPUTED_VALUE"""),"REFERENCE")</f>
        <v>REFERENCE</v>
      </c>
      <c r="F274" s="11" t="str">
        <f>IFERROR(__xludf.DUMMYFUNCTION("""COMPUTED_VALUE"""),"Listicle")</f>
        <v>Listicle</v>
      </c>
      <c r="G274" s="11" t="b">
        <f>IFERROR(__xludf.DUMMYFUNCTION("""COMPUTED_VALUE"""),FALSE)</f>
        <v>0</v>
      </c>
      <c r="H274" s="11" t="str">
        <f>IFERROR(__xludf.DUMMYFUNCTION("""COMPUTED_VALUE"""),"SmartSites, Superside, Single Grain, DEPT, Pilot, NoGood")</f>
        <v>SmartSites, Superside, Single Grain, DEPT, Pilot, NoGood</v>
      </c>
      <c r="I274" s="11">
        <f>IFERROR(__xludf.DUMMYFUNCTION("""COMPUTED_VALUE"""),1.0)</f>
        <v>1</v>
      </c>
      <c r="J274" s="11">
        <f>IFERROR(__xludf.DUMMYFUNCTION("""COMPUTED_VALUE"""),0.0)</f>
        <v>0</v>
      </c>
      <c r="K274" s="11">
        <f>IFERROR(__xludf.DUMMYFUNCTION("""COMPUTED_VALUE"""),0.0)</f>
        <v>0</v>
      </c>
    </row>
    <row r="275" ht="15.75" customHeight="1">
      <c r="A275" s="8" t="str">
        <f>IFERROR(__xludf.DUMMYFUNCTION("""COMPUTED_VALUE"""),"https://directiveconsulting.com/blog/25-best-paid-media-agencies-that-turn-ad-spend-into-revenue/")</f>
        <v>https://directiveconsulting.com/blog/25-best-paid-media-agencies-that-turn-ad-spend-into-revenue/</v>
      </c>
      <c r="B275" s="11" t="str">
        <f>IFERROR(__xludf.DUMMYFUNCTION("""COMPUTED_VALUE"""),"25 Best Paid Media Agencies For B2B - Directive")</f>
        <v>25 Best Paid Media Agencies For B2B - Directive</v>
      </c>
      <c r="C275" s="8" t="str">
        <f>IFERROR(__xludf.DUMMYFUNCTION("""COMPUTED_VALUE"""),"directiveconsulting.com")</f>
        <v>directiveconsulting.com</v>
      </c>
      <c r="D275" s="11" t="str">
        <f>IFERROR(__xludf.DUMMYFUNCTION("""COMPUTED_VALUE"""),"LISTICLE")</f>
        <v>LISTICLE</v>
      </c>
      <c r="E275" s="11" t="str">
        <f>IFERROR(__xludf.DUMMYFUNCTION("""COMPUTED_VALUE"""),"COMPETITOR")</f>
        <v>COMPETITOR</v>
      </c>
      <c r="F275" s="11" t="str">
        <f>IFERROR(__xludf.DUMMYFUNCTION("""COMPUTED_VALUE"""),"Listicle")</f>
        <v>Listicle</v>
      </c>
      <c r="G275" s="11" t="b">
        <f>IFERROR(__xludf.DUMMYFUNCTION("""COMPUTED_VALUE"""),FALSE)</f>
        <v>0</v>
      </c>
      <c r="H275" s="11" t="str">
        <f>IFERROR(__xludf.DUMMYFUNCTION("""COMPUTED_VALUE"""),"Directive Consulting, Jellyfish, Brainlabs, DEPT, Wpromote, Merkle, WebFX, KlientBoost, Disruptive Advertising, Dentsu")</f>
        <v>Directive Consulting, Jellyfish, Brainlabs, DEPT, Wpromote, Merkle, WebFX, KlientBoost, Disruptive Advertising, Dentsu</v>
      </c>
      <c r="I275" s="11">
        <f>IFERROR(__xludf.DUMMYFUNCTION("""COMPUTED_VALUE"""),1.0)</f>
        <v>1</v>
      </c>
      <c r="J275" s="11">
        <f>IFERROR(__xludf.DUMMYFUNCTION("""COMPUTED_VALUE"""),0.0)</f>
        <v>0</v>
      </c>
      <c r="K275" s="11">
        <f>IFERROR(__xludf.DUMMYFUNCTION("""COMPUTED_VALUE"""),0.0)</f>
        <v>0</v>
      </c>
    </row>
    <row r="276" ht="15.75" customHeight="1">
      <c r="A276" s="8" t="str">
        <f>IFERROR(__xludf.DUMMYFUNCTION("""COMPUTED_VALUE"""),"https://directiveconsulting.com/blog/best-marketing-data-agency/")</f>
        <v>https://directiveconsulting.com/blog/best-marketing-data-agency/</v>
      </c>
      <c r="B276" s="11" t="str">
        <f>IFERROR(__xludf.DUMMYFUNCTION("""COMPUTED_VALUE"""),"18 Best Marketing Data Agencies for B2B - Directive")</f>
        <v>18 Best Marketing Data Agencies for B2B - Directive</v>
      </c>
      <c r="C276" s="8" t="str">
        <f>IFERROR(__xludf.DUMMYFUNCTION("""COMPUTED_VALUE"""),"directiveconsulting.com")</f>
        <v>directiveconsulting.com</v>
      </c>
      <c r="D276" s="11" t="str">
        <f>IFERROR(__xludf.DUMMYFUNCTION("""COMPUTED_VALUE"""),"LISTICLE")</f>
        <v>LISTICLE</v>
      </c>
      <c r="E276" s="11" t="str">
        <f>IFERROR(__xludf.DUMMYFUNCTION("""COMPUTED_VALUE"""),"COMPETITOR")</f>
        <v>COMPETITOR</v>
      </c>
      <c r="F276" s="11" t="str">
        <f>IFERROR(__xludf.DUMMYFUNCTION("""COMPUTED_VALUE"""),"Listicle")</f>
        <v>Listicle</v>
      </c>
      <c r="G276" s="11" t="b">
        <f>IFERROR(__xludf.DUMMYFUNCTION("""COMPUTED_VALUE"""),FALSE)</f>
        <v>0</v>
      </c>
      <c r="H276" s="11" t="str">
        <f>IFERROR(__xludf.DUMMYFUNCTION("""COMPUTED_VALUE"""),"Directive Consulting, KlientBoost, Brainlabs, Power Digital, Measured")</f>
        <v>Directive Consulting, KlientBoost, Brainlabs, Power Digital, Measured</v>
      </c>
      <c r="I276" s="11">
        <f>IFERROR(__xludf.DUMMYFUNCTION("""COMPUTED_VALUE"""),1.0)</f>
        <v>1</v>
      </c>
      <c r="J276" s="11">
        <f>IFERROR(__xludf.DUMMYFUNCTION("""COMPUTED_VALUE"""),0.0)</f>
        <v>0</v>
      </c>
      <c r="K276" s="11">
        <f>IFERROR(__xludf.DUMMYFUNCTION("""COMPUTED_VALUE"""),1.0)</f>
        <v>1</v>
      </c>
    </row>
    <row r="277" ht="15.75" customHeight="1">
      <c r="A277" s="8" t="str">
        <f>IFERROR(__xludf.DUMMYFUNCTION("""COMPUTED_VALUE"""),"https://directiveconsulting.com/uk/blog/25-best-advertising-agencies-built-for-media-momentum/")</f>
        <v>https://directiveconsulting.com/uk/blog/25-best-advertising-agencies-built-for-media-momentum/</v>
      </c>
      <c r="B277" s="11" t="str">
        <f>IFERROR(__xludf.DUMMYFUNCTION("""COMPUTED_VALUE"""),"25 Best Advertising Agencies For B2B - Directive")</f>
        <v>25 Best Advertising Agencies For B2B - Directive</v>
      </c>
      <c r="C277" s="8" t="str">
        <f>IFERROR(__xludf.DUMMYFUNCTION("""COMPUTED_VALUE"""),"directiveconsulting.com")</f>
        <v>directiveconsulting.com</v>
      </c>
      <c r="D277" s="11" t="str">
        <f>IFERROR(__xludf.DUMMYFUNCTION("""COMPUTED_VALUE"""),"LISTICLE")</f>
        <v>LISTICLE</v>
      </c>
      <c r="E277" s="11" t="str">
        <f>IFERROR(__xludf.DUMMYFUNCTION("""COMPUTED_VALUE"""),"COMPETITOR")</f>
        <v>COMPETITOR</v>
      </c>
      <c r="F277" s="11" t="str">
        <f>IFERROR(__xludf.DUMMYFUNCTION("""COMPUTED_VALUE"""),"Listicle")</f>
        <v>Listicle</v>
      </c>
      <c r="G277" s="11" t="b">
        <f>IFERROR(__xludf.DUMMYFUNCTION("""COMPUTED_VALUE"""),FALSE)</f>
        <v>0</v>
      </c>
      <c r="H277" s="11" t="str">
        <f>IFERROR(__xludf.DUMMYFUNCTION("""COMPUTED_VALUE"""),"Directive Consulting, Momentum, Refine Labs, Tinuiti, PMG, Jellyfish, Wpromote, KlientBoost, Merkle, iProspect, Croud, R/GA, Media.Monks, Monks, AKQA, Measured")</f>
        <v>Directive Consulting, Momentum, Refine Labs, Tinuiti, PMG, Jellyfish, Wpromote, KlientBoost, Merkle, iProspect, Croud, R/GA, Media.Monks, Monks, AKQA, Measured</v>
      </c>
      <c r="I277" s="11">
        <f>IFERROR(__xludf.DUMMYFUNCTION("""COMPUTED_VALUE"""),1.0)</f>
        <v>1</v>
      </c>
      <c r="J277" s="11">
        <f>IFERROR(__xludf.DUMMYFUNCTION("""COMPUTED_VALUE"""),0.0)</f>
        <v>0</v>
      </c>
      <c r="K277" s="11">
        <f>IFERROR(__xludf.DUMMYFUNCTION("""COMPUTED_VALUE"""),3.0)</f>
        <v>3</v>
      </c>
    </row>
    <row r="278" ht="15.75" customHeight="1">
      <c r="A278" s="8" t="str">
        <f>IFERROR(__xludf.DUMMYFUNCTION("""COMPUTED_VALUE"""),"https://easyinsights.ai/blog/first-party-data-activation-platforms/")</f>
        <v>https://easyinsights.ai/blog/first-party-data-activation-platforms/</v>
      </c>
      <c r="B278" s="11" t="str">
        <f>IFERROR(__xludf.DUMMYFUNCTION("""COMPUTED_VALUE"""),"First-Party Data Activation Platforms")</f>
        <v>First-Party Data Activation Platforms</v>
      </c>
      <c r="C278" s="8" t="str">
        <f>IFERROR(__xludf.DUMMYFUNCTION("""COMPUTED_VALUE"""),"easyinsights.ai")</f>
        <v>easyinsights.ai</v>
      </c>
      <c r="D278" s="11" t="str">
        <f>IFERROR(__xludf.DUMMYFUNCTION("""COMPUTED_VALUE"""),"LISTICLE")</f>
        <v>LISTICLE</v>
      </c>
      <c r="E278" s="11" t="str">
        <f>IFERROR(__xludf.DUMMYFUNCTION("""COMPUTED_VALUE"""),"CORPORATE")</f>
        <v>CORPORATE</v>
      </c>
      <c r="F278" s="11" t="str">
        <f>IFERROR(__xludf.DUMMYFUNCTION("""COMPUTED_VALUE"""),"Listicle")</f>
        <v>Listicle</v>
      </c>
      <c r="G278" s="11" t="b">
        <f>IFERROR(__xludf.DUMMYFUNCTION("""COMPUTED_VALUE"""),FALSE)</f>
        <v>0</v>
      </c>
      <c r="H278" s="11"/>
      <c r="I278" s="11">
        <f>IFERROR(__xludf.DUMMYFUNCTION("""COMPUTED_VALUE"""),1.0)</f>
        <v>1</v>
      </c>
      <c r="J278" s="11">
        <f>IFERROR(__xludf.DUMMYFUNCTION("""COMPUTED_VALUE"""),0.0)</f>
        <v>0</v>
      </c>
      <c r="K278" s="11">
        <f>IFERROR(__xludf.DUMMYFUNCTION("""COMPUTED_VALUE"""),0.0)</f>
        <v>0</v>
      </c>
    </row>
    <row r="279" ht="15.75" customHeight="1">
      <c r="A279" s="8" t="str">
        <f>IFERROR(__xludf.DUMMYFUNCTION("""COMPUTED_VALUE"""),"https://ecommercefastlane.com/best-geo-agencies-dach-region-expert-guide/")</f>
        <v>https://ecommercefastlane.com/best-geo-agencies-dach-region-expert-guide/</v>
      </c>
      <c r="B279" s="11" t="str">
        <f>IFERROR(__xludf.DUMMYFUNCTION("""COMPUTED_VALUE"""),"Best GEO Agencies In The DACH Region 2026: Expert Guide | Ecommerce Fastlane")</f>
        <v>Best GEO Agencies In The DACH Region 2026: Expert Guide | Ecommerce Fastlane</v>
      </c>
      <c r="C279" s="8" t="str">
        <f>IFERROR(__xludf.DUMMYFUNCTION("""COMPUTED_VALUE"""),"ecommercefastlane.com")</f>
        <v>ecommercefastlane.com</v>
      </c>
      <c r="D279" s="11" t="str">
        <f>IFERROR(__xludf.DUMMYFUNCTION("""COMPUTED_VALUE"""),"LISTICLE")</f>
        <v>LISTICLE</v>
      </c>
      <c r="E279" s="11" t="str">
        <f>IFERROR(__xludf.DUMMYFUNCTION("""COMPUTED_VALUE"""),"OTHER")</f>
        <v>OTHER</v>
      </c>
      <c r="F279" s="11" t="str">
        <f>IFERROR(__xludf.DUMMYFUNCTION("""COMPUTED_VALUE"""),"Listicle")</f>
        <v>Listicle</v>
      </c>
      <c r="G279" s="11" t="b">
        <f>IFERROR(__xludf.DUMMYFUNCTION("""COMPUTED_VALUE"""),FALSE)</f>
        <v>0</v>
      </c>
      <c r="H279" s="11" t="str">
        <f>IFERROR(__xludf.DUMMYFUNCTION("""COMPUTED_VALUE"""),"Claneo, Aufgesang")</f>
        <v>Claneo, Aufgesang</v>
      </c>
      <c r="I279" s="11">
        <f>IFERROR(__xludf.DUMMYFUNCTION("""COMPUTED_VALUE"""),1.0)</f>
        <v>1</v>
      </c>
      <c r="J279" s="11">
        <f>IFERROR(__xludf.DUMMYFUNCTION("""COMPUTED_VALUE"""),0.0)</f>
        <v>0</v>
      </c>
      <c r="K279" s="11">
        <f>IFERROR(__xludf.DUMMYFUNCTION("""COMPUTED_VALUE"""),3.0)</f>
        <v>3</v>
      </c>
    </row>
    <row r="280" ht="15.75" customHeight="1">
      <c r="A280" s="8" t="str">
        <f>IFERROR(__xludf.DUMMYFUNCTION("""COMPUTED_VALUE"""),"https://ecommercegermany.com/blog/top-29-german-saas-companies-in-2021/")</f>
        <v>https://ecommercegermany.com/blog/top-29-german-saas-companies-in-2021/</v>
      </c>
      <c r="B280" s="11" t="str">
        <f>IFERROR(__xludf.DUMMYFUNCTION("""COMPUTED_VALUE"""),"Top 29 German SaaS Companies in 2023 - E-commerce Germany News")</f>
        <v>Top 29 German SaaS Companies in 2023 - E-commerce Germany News</v>
      </c>
      <c r="C280" s="8" t="str">
        <f>IFERROR(__xludf.DUMMYFUNCTION("""COMPUTED_VALUE"""),"ecommercegermany.com")</f>
        <v>ecommercegermany.com</v>
      </c>
      <c r="D280" s="11" t="str">
        <f>IFERROR(__xludf.DUMMYFUNCTION("""COMPUTED_VALUE"""),"LISTICLE")</f>
        <v>LISTICLE</v>
      </c>
      <c r="E280" s="11" t="str">
        <f>IFERROR(__xludf.DUMMYFUNCTION("""COMPUTED_VALUE"""),"EDITORIAL")</f>
        <v>EDITORIAL</v>
      </c>
      <c r="F280" s="11" t="str">
        <f>IFERROR(__xludf.DUMMYFUNCTION("""COMPUTED_VALUE"""),"Listicle")</f>
        <v>Listicle</v>
      </c>
      <c r="G280" s="11" t="b">
        <f>IFERROR(__xludf.DUMMYFUNCTION("""COMPUTED_VALUE"""),FALSE)</f>
        <v>0</v>
      </c>
      <c r="H280" s="11" t="str">
        <f>IFERROR(__xludf.DUMMYFUNCTION("""COMPUTED_VALUE"""),"Huge")</f>
        <v>Huge</v>
      </c>
      <c r="I280" s="11">
        <f>IFERROR(__xludf.DUMMYFUNCTION("""COMPUTED_VALUE"""),1.0)</f>
        <v>1</v>
      </c>
      <c r="J280" s="11">
        <f>IFERROR(__xludf.DUMMYFUNCTION("""COMPUTED_VALUE"""),0.0)</f>
        <v>0</v>
      </c>
      <c r="K280" s="11">
        <f>IFERROR(__xludf.DUMMYFUNCTION("""COMPUTED_VALUE"""),1.0)</f>
        <v>1</v>
      </c>
    </row>
    <row r="281" ht="15.75" customHeight="1">
      <c r="A281" s="8" t="str">
        <f>IFERROR(__xludf.DUMMYFUNCTION("""COMPUTED_VALUE"""),"https://ecommercegermany.com/blog/top-ecommerce-startups-in-dach/")</f>
        <v>https://ecommercegermany.com/blog/top-ecommerce-startups-in-dach/</v>
      </c>
      <c r="B281" s="11" t="str">
        <f>IFERROR(__xludf.DUMMYFUNCTION("""COMPUTED_VALUE"""),"Top 30 E-Commerce Startups in the DACH Region - E-commerce Germany News")</f>
        <v>Top 30 E-Commerce Startups in the DACH Region - E-commerce Germany News</v>
      </c>
      <c r="C281" s="8" t="str">
        <f>IFERROR(__xludf.DUMMYFUNCTION("""COMPUTED_VALUE"""),"ecommercegermany.com")</f>
        <v>ecommercegermany.com</v>
      </c>
      <c r="D281" s="11" t="str">
        <f>IFERROR(__xludf.DUMMYFUNCTION("""COMPUTED_VALUE"""),"LISTICLE")</f>
        <v>LISTICLE</v>
      </c>
      <c r="E281" s="11" t="str">
        <f>IFERROR(__xludf.DUMMYFUNCTION("""COMPUTED_VALUE"""),"EDITORIAL")</f>
        <v>EDITORIAL</v>
      </c>
      <c r="F281" s="11" t="str">
        <f>IFERROR(__xludf.DUMMYFUNCTION("""COMPUTED_VALUE"""),"Listicle")</f>
        <v>Listicle</v>
      </c>
      <c r="G281" s="11" t="b">
        <f>IFERROR(__xludf.DUMMYFUNCTION("""COMPUTED_VALUE"""),FALSE)</f>
        <v>0</v>
      </c>
      <c r="H281" s="11" t="str">
        <f>IFERROR(__xludf.DUMMYFUNCTION("""COMPUTED_VALUE"""),"Huge")</f>
        <v>Huge</v>
      </c>
      <c r="I281" s="11">
        <f>IFERROR(__xludf.DUMMYFUNCTION("""COMPUTED_VALUE"""),1.0)</f>
        <v>1</v>
      </c>
      <c r="J281" s="11">
        <f>IFERROR(__xludf.DUMMYFUNCTION("""COMPUTED_VALUE"""),0.0)</f>
        <v>0</v>
      </c>
      <c r="K281" s="11">
        <f>IFERROR(__xludf.DUMMYFUNCTION("""COMPUTED_VALUE"""),1.0)</f>
        <v>1</v>
      </c>
    </row>
    <row r="282" ht="15.75" customHeight="1">
      <c r="A282" s="8" t="str">
        <f>IFERROR(__xludf.DUMMYFUNCTION("""COMPUTED_VALUE"""),"https://elementor.com/blog/best-seo-geo-agencies/#:~:text=Agencies%20like%20Majdra%2C%20which%20provide,for%20all%20future%20search%20success.")</f>
        <v>https://elementor.com/blog/best-seo-geo-agencies/#:~:text=Agencies%20like%20Majdra%2C%20which%20provide,for%20all%20future%20search%20success.</v>
      </c>
      <c r="B282" s="11" t="str">
        <f>IFERROR(__xludf.DUMMYFUNCTION("""COMPUTED_VALUE"""),"15 Best SEO &amp;amp; GEO Agencies In 2026")</f>
        <v>15 Best SEO &amp;amp; GEO Agencies In 2026</v>
      </c>
      <c r="C282" s="8" t="str">
        <f>IFERROR(__xludf.DUMMYFUNCTION("""COMPUTED_VALUE"""),"elementor.com")</f>
        <v>elementor.com</v>
      </c>
      <c r="D282" s="11" t="str">
        <f>IFERROR(__xludf.DUMMYFUNCTION("""COMPUTED_VALUE"""),"LISTICLE")</f>
        <v>LISTICLE</v>
      </c>
      <c r="E282" s="11" t="str">
        <f>IFERROR(__xludf.DUMMYFUNCTION("""COMPUTED_VALUE"""),"CORPORATE")</f>
        <v>CORPORATE</v>
      </c>
      <c r="F282" s="11" t="str">
        <f>IFERROR(__xludf.DUMMYFUNCTION("""COMPUTED_VALUE"""),"Listicle")</f>
        <v>Listicle</v>
      </c>
      <c r="G282" s="11" t="b">
        <f>IFERROR(__xludf.DUMMYFUNCTION("""COMPUTED_VALUE"""),FALSE)</f>
        <v>0</v>
      </c>
      <c r="H282" s="11" t="str">
        <f>IFERROR(__xludf.DUMMYFUNCTION("""COMPUTED_VALUE"""),"Wpromote, Tinuiti, Hawke Media, Huge, Common Thread Collective, Momentum")</f>
        <v>Wpromote, Tinuiti, Hawke Media, Huge, Common Thread Collective, Momentum</v>
      </c>
      <c r="I282" s="11">
        <f>IFERROR(__xludf.DUMMYFUNCTION("""COMPUTED_VALUE"""),1.0)</f>
        <v>1</v>
      </c>
      <c r="J282" s="11">
        <f>IFERROR(__xludf.DUMMYFUNCTION("""COMPUTED_VALUE"""),0.0)</f>
        <v>0</v>
      </c>
      <c r="K282" s="11">
        <f>IFERROR(__xludf.DUMMYFUNCTION("""COMPUTED_VALUE"""),3.0)</f>
        <v>3</v>
      </c>
    </row>
    <row r="283" ht="15.75" customHeight="1">
      <c r="A283" s="8" t="str">
        <f>IFERROR(__xludf.DUMMYFUNCTION("""COMPUTED_VALUE"""),"https://www.entrans.ai/blog/top-ai-development-companies")</f>
        <v>https://www.entrans.ai/blog/top-ai-development-companies</v>
      </c>
      <c r="B283" s="11" t="str">
        <f>IFERROR(__xludf.DUMMYFUNCTION("""COMPUTED_VALUE"""),"11 Top AI Development Companies in 2026")</f>
        <v>11 Top AI Development Companies in 2026</v>
      </c>
      <c r="C283" s="8" t="str">
        <f>IFERROR(__xludf.DUMMYFUNCTION("""COMPUTED_VALUE"""),"entrans.ai")</f>
        <v>entrans.ai</v>
      </c>
      <c r="D283" s="11" t="str">
        <f>IFERROR(__xludf.DUMMYFUNCTION("""COMPUTED_VALUE"""),"LISTICLE")</f>
        <v>LISTICLE</v>
      </c>
      <c r="E283" s="11" t="str">
        <f>IFERROR(__xludf.DUMMYFUNCTION("""COMPUTED_VALUE"""),"CORPORATE")</f>
        <v>CORPORATE</v>
      </c>
      <c r="F283" s="11" t="str">
        <f>IFERROR(__xludf.DUMMYFUNCTION("""COMPUTED_VALUE"""),"Listicle")</f>
        <v>Listicle</v>
      </c>
      <c r="G283" s="11" t="b">
        <f>IFERROR(__xludf.DUMMYFUNCTION("""COMPUTED_VALUE"""),FALSE)</f>
        <v>0</v>
      </c>
      <c r="H283" s="11" t="str">
        <f>IFERROR(__xludf.DUMMYFUNCTION("""COMPUTED_VALUE"""),"PwC, Huge")</f>
        <v>PwC, Huge</v>
      </c>
      <c r="I283" s="11">
        <f>IFERROR(__xludf.DUMMYFUNCTION("""COMPUTED_VALUE"""),1.0)</f>
        <v>1</v>
      </c>
      <c r="J283" s="11">
        <f>IFERROR(__xludf.DUMMYFUNCTION("""COMPUTED_VALUE"""),0.0)</f>
        <v>0</v>
      </c>
      <c r="K283" s="11">
        <f>IFERROR(__xludf.DUMMYFUNCTION("""COMPUTED_VALUE"""),2.0)</f>
        <v>2</v>
      </c>
    </row>
    <row r="284" ht="15.75" customHeight="1">
      <c r="A284" s="8" t="str">
        <f>IFERROR(__xludf.DUMMYFUNCTION("""COMPUTED_VALUE"""),"https://www.esparkinfo.com/cloud/top-companies")</f>
        <v>https://www.esparkinfo.com/cloud/top-companies</v>
      </c>
      <c r="B284" s="11" t="str">
        <f>IFERROR(__xludf.DUMMYFUNCTION("""COMPUTED_VALUE"""),"Top 50 Cloud Consulting Companies - 2026 Rankings")</f>
        <v>Top 50 Cloud Consulting Companies - 2026 Rankings</v>
      </c>
      <c r="C284" s="8" t="str">
        <f>IFERROR(__xludf.DUMMYFUNCTION("""COMPUTED_VALUE"""),"esparkinfo.com")</f>
        <v>esparkinfo.com</v>
      </c>
      <c r="D284" s="11" t="str">
        <f>IFERROR(__xludf.DUMMYFUNCTION("""COMPUTED_VALUE"""),"LISTICLE")</f>
        <v>LISTICLE</v>
      </c>
      <c r="E284" s="11" t="str">
        <f>IFERROR(__xludf.DUMMYFUNCTION("""COMPUTED_VALUE"""),"CORPORATE")</f>
        <v>CORPORATE</v>
      </c>
      <c r="F284" s="11" t="str">
        <f>IFERROR(__xludf.DUMMYFUNCTION("""COMPUTED_VALUE"""),"Listicle")</f>
        <v>Listicle</v>
      </c>
      <c r="G284" s="11" t="b">
        <f>IFERROR(__xludf.DUMMYFUNCTION("""COMPUTED_VALUE"""),FALSE)</f>
        <v>0</v>
      </c>
      <c r="H284" s="11" t="str">
        <f>IFERROR(__xludf.DUMMYFUNCTION("""COMPUTED_VALUE"""),"Capgemini, PwC, McKinsey &amp; Company, EY, Pilot")</f>
        <v>Capgemini, PwC, McKinsey &amp; Company, EY, Pilot</v>
      </c>
      <c r="I284" s="11">
        <f>IFERROR(__xludf.DUMMYFUNCTION("""COMPUTED_VALUE"""),1.0)</f>
        <v>1</v>
      </c>
      <c r="J284" s="11">
        <f>IFERROR(__xludf.DUMMYFUNCTION("""COMPUTED_VALUE"""),0.0)</f>
        <v>0</v>
      </c>
      <c r="K284" s="11">
        <f>IFERROR(__xludf.DUMMYFUNCTION("""COMPUTED_VALUE"""),0.0)</f>
        <v>0</v>
      </c>
    </row>
    <row r="285" ht="15.75" customHeight="1">
      <c r="A285" s="8" t="str">
        <f>IFERROR(__xludf.DUMMYFUNCTION("""COMPUTED_VALUE"""),"https://www.ewrdigital.com/blog/best-ai-seo-aeo-agencies-2026")</f>
        <v>https://www.ewrdigital.com/blog/best-ai-seo-aeo-agencies-2026</v>
      </c>
      <c r="B285" s="11" t="str">
        <f>IFERROR(__xludf.DUMMYFUNCTION("""COMPUTED_VALUE"""),"The Best AI SEO &amp;amp; AEO Agencies in 2026 | EWR Digital")</f>
        <v>The Best AI SEO &amp;amp; AEO Agencies in 2026 | EWR Digital</v>
      </c>
      <c r="C285" s="8" t="str">
        <f>IFERROR(__xludf.DUMMYFUNCTION("""COMPUTED_VALUE"""),"ewrdigital.com")</f>
        <v>ewrdigital.com</v>
      </c>
      <c r="D285" s="11" t="str">
        <f>IFERROR(__xludf.DUMMYFUNCTION("""COMPUTED_VALUE"""),"LISTICLE")</f>
        <v>LISTICLE</v>
      </c>
      <c r="E285" s="11" t="str">
        <f>IFERROR(__xludf.DUMMYFUNCTION("""COMPUTED_VALUE"""),"CORPORATE")</f>
        <v>CORPORATE</v>
      </c>
      <c r="F285" s="11" t="str">
        <f>IFERROR(__xludf.DUMMYFUNCTION("""COMPUTED_VALUE"""),"Listicle")</f>
        <v>Listicle</v>
      </c>
      <c r="G285" s="11" t="b">
        <f>IFERROR(__xludf.DUMMYFUNCTION("""COMPUTED_VALUE"""),FALSE)</f>
        <v>0</v>
      </c>
      <c r="H285" s="11" t="str">
        <f>IFERROR(__xludf.DUMMYFUNCTION("""COMPUTED_VALUE"""),"iPullRank, Single Grain, Siege Media, WebFX")</f>
        <v>iPullRank, Single Grain, Siege Media, WebFX</v>
      </c>
      <c r="I285" s="11">
        <f>IFERROR(__xludf.DUMMYFUNCTION("""COMPUTED_VALUE"""),1.0)</f>
        <v>1</v>
      </c>
      <c r="J285" s="11">
        <f>IFERROR(__xludf.DUMMYFUNCTION("""COMPUTED_VALUE"""),0.0)</f>
        <v>0</v>
      </c>
      <c r="K285" s="11">
        <f>IFERROR(__xludf.DUMMYFUNCTION("""COMPUTED_VALUE"""),0.0)</f>
        <v>0</v>
      </c>
    </row>
    <row r="286" ht="15.75" customHeight="1">
      <c r="A286" s="8" t="str">
        <f>IFERROR(__xludf.DUMMYFUNCTION("""COMPUTED_VALUE"""),"https://www.existenzgruender-jungunternehmer.de/p/gruendung/besten-geo-experten-finden.html")</f>
        <v>https://www.existenzgruender-jungunternehmer.de/p/gruendung/besten-geo-experten-finden.html</v>
      </c>
      <c r="B286" s="11" t="str">
        <f>IFERROR(__xludf.DUMMYFUNCTION("""COMPUTED_VALUE"""),"Das sind die besten GEO, GAIO, LLLMO Experten in Deutschland")</f>
        <v>Das sind die besten GEO, GAIO, LLLMO Experten in Deutschland</v>
      </c>
      <c r="C286" s="8" t="str">
        <f>IFERROR(__xludf.DUMMYFUNCTION("""COMPUTED_VALUE"""),"existenzgruender-jungunternehmer.de")</f>
        <v>existenzgruender-jungunternehmer.de</v>
      </c>
      <c r="D286" s="11" t="str">
        <f>IFERROR(__xludf.DUMMYFUNCTION("""COMPUTED_VALUE"""),"LISTICLE")</f>
        <v>LISTICLE</v>
      </c>
      <c r="E286" s="11" t="str">
        <f>IFERROR(__xludf.DUMMYFUNCTION("""COMPUTED_VALUE"""),"REFERENCE")</f>
        <v>REFERENCE</v>
      </c>
      <c r="F286" s="11" t="str">
        <f>IFERROR(__xludf.DUMMYFUNCTION("""COMPUTED_VALUE"""),"Listicle")</f>
        <v>Listicle</v>
      </c>
      <c r="G286" s="11" t="b">
        <f>IFERROR(__xludf.DUMMYFUNCTION("""COMPUTED_VALUE"""),FALSE)</f>
        <v>0</v>
      </c>
      <c r="H286" s="11" t="str">
        <f>IFERROR(__xludf.DUMMYFUNCTION("""COMPUTED_VALUE"""),"Claneo")</f>
        <v>Claneo</v>
      </c>
      <c r="I286" s="11">
        <f>IFERROR(__xludf.DUMMYFUNCTION("""COMPUTED_VALUE"""),1.0)</f>
        <v>1</v>
      </c>
      <c r="J286" s="11">
        <f>IFERROR(__xludf.DUMMYFUNCTION("""COMPUTED_VALUE"""),0.0)</f>
        <v>0</v>
      </c>
      <c r="K286" s="11">
        <f>IFERROR(__xludf.DUMMYFUNCTION("""COMPUTED_VALUE"""),1.0)</f>
        <v>1</v>
      </c>
    </row>
    <row r="287" ht="15.75" customHeight="1">
      <c r="A287" s="8" t="str">
        <f>IFERROR(__xludf.DUMMYFUNCTION("""COMPUTED_VALUE"""),"https://www.expatrio.com/about-germany/study-marketing-in-germany")</f>
        <v>https://www.expatrio.com/about-germany/study-marketing-in-germany</v>
      </c>
      <c r="B287" s="11" t="str">
        <f>IFERROR(__xludf.DUMMYFUNCTION("""COMPUTED_VALUE"""),"Study Marketing in Germany")</f>
        <v>Study Marketing in Germany</v>
      </c>
      <c r="C287" s="8" t="str">
        <f>IFERROR(__xludf.DUMMYFUNCTION("""COMPUTED_VALUE"""),"expatrio.com")</f>
        <v>expatrio.com</v>
      </c>
      <c r="D287" s="11" t="str">
        <f>IFERROR(__xludf.DUMMYFUNCTION("""COMPUTED_VALUE"""),"LISTICLE")</f>
        <v>LISTICLE</v>
      </c>
      <c r="E287" s="11" t="str">
        <f>IFERROR(__xludf.DUMMYFUNCTION("""COMPUTED_VALUE"""),"CORPORATE")</f>
        <v>CORPORATE</v>
      </c>
      <c r="F287" s="11" t="str">
        <f>IFERROR(__xludf.DUMMYFUNCTION("""COMPUTED_VALUE"""),"Listicle")</f>
        <v>Listicle</v>
      </c>
      <c r="G287" s="11" t="b">
        <f>IFERROR(__xludf.DUMMYFUNCTION("""COMPUTED_VALUE"""),FALSE)</f>
        <v>0</v>
      </c>
      <c r="H287" s="11"/>
      <c r="I287" s="11">
        <f>IFERROR(__xludf.DUMMYFUNCTION("""COMPUTED_VALUE"""),1.0)</f>
        <v>1</v>
      </c>
      <c r="J287" s="11">
        <f>IFERROR(__xludf.DUMMYFUNCTION("""COMPUTED_VALUE"""),0.0)</f>
        <v>0</v>
      </c>
      <c r="K287" s="11">
        <f>IFERROR(__xludf.DUMMYFUNCTION("""COMPUTED_VALUE"""),1.0)</f>
        <v>1</v>
      </c>
    </row>
    <row r="288" ht="15.75" customHeight="1">
      <c r="A288" s="8" t="str">
        <f>IFERROR(__xludf.DUMMYFUNCTION("""COMPUTED_VALUE"""),"https://www.fibbler.co/blog/b2b-marketing-attribution-software")</f>
        <v>https://www.fibbler.co/blog/b2b-marketing-attribution-software</v>
      </c>
      <c r="B288" s="11" t="str">
        <f>IFERROR(__xludf.DUMMYFUNCTION("""COMPUTED_VALUE"""),"15 Best B2B Marketing Attribution Software for 2026 | Fibbler | Fibbler")</f>
        <v>15 Best B2B Marketing Attribution Software for 2026 | Fibbler | Fibbler</v>
      </c>
      <c r="C288" s="8" t="str">
        <f>IFERROR(__xludf.DUMMYFUNCTION("""COMPUTED_VALUE"""),"fibbler.co")</f>
        <v>fibbler.co</v>
      </c>
      <c r="D288" s="11" t="str">
        <f>IFERROR(__xludf.DUMMYFUNCTION("""COMPUTED_VALUE"""),"LISTICLE")</f>
        <v>LISTICLE</v>
      </c>
      <c r="E288" s="11" t="str">
        <f>IFERROR(__xludf.DUMMYFUNCTION("""COMPUTED_VALUE"""),"OTHER")</f>
        <v>OTHER</v>
      </c>
      <c r="F288" s="11" t="str">
        <f>IFERROR(__xludf.DUMMYFUNCTION("""COMPUTED_VALUE"""),"Listicle")</f>
        <v>Listicle</v>
      </c>
      <c r="G288" s="11" t="b">
        <f>IFERROR(__xludf.DUMMYFUNCTION("""COMPUTED_VALUE"""),FALSE)</f>
        <v>0</v>
      </c>
      <c r="H288" s="11" t="str">
        <f>IFERROR(__xludf.DUMMYFUNCTION("""COMPUTED_VALUE"""),"Dreamdata, Ruler Analytics, SegmentStream, Cometly")</f>
        <v>Dreamdata, Ruler Analytics, SegmentStream, Cometly</v>
      </c>
      <c r="I288" s="11">
        <f>IFERROR(__xludf.DUMMYFUNCTION("""COMPUTED_VALUE"""),1.0)</f>
        <v>1</v>
      </c>
      <c r="J288" s="11">
        <f>IFERROR(__xludf.DUMMYFUNCTION("""COMPUTED_VALUE"""),0.0)</f>
        <v>0</v>
      </c>
      <c r="K288" s="11">
        <f>IFERROR(__xludf.DUMMYFUNCTION("""COMPUTED_VALUE"""),0.0)</f>
        <v>0</v>
      </c>
    </row>
    <row r="289" ht="15.75" customHeight="1">
      <c r="A289" s="8" t="str">
        <f>IFERROR(__xludf.DUMMYFUNCTION("""COMPUTED_VALUE"""),"https://www.fieldtrip.agency/post/best-creative-agencies-for-global-brands")</f>
        <v>https://www.fieldtrip.agency/post/best-creative-agencies-for-global-brands</v>
      </c>
      <c r="B289" s="11" t="str">
        <f>IFERROR(__xludf.DUMMYFUNCTION("""COMPUTED_VALUE"""),"Top 14 Creative Agencies Powering Global Branding This Year")</f>
        <v>Top 14 Creative Agencies Powering Global Branding This Year</v>
      </c>
      <c r="C289" s="11" t="str">
        <f>IFERROR(__xludf.DUMMYFUNCTION("""COMPUTED_VALUE"""),"fieldtrip.agency")</f>
        <v>fieldtrip.agency</v>
      </c>
      <c r="D289" s="11" t="str">
        <f>IFERROR(__xludf.DUMMYFUNCTION("""COMPUTED_VALUE"""),"LISTICLE")</f>
        <v>LISTICLE</v>
      </c>
      <c r="E289" s="11" t="str">
        <f>IFERROR(__xludf.DUMMYFUNCTION("""COMPUTED_VALUE"""),"CORPORATE")</f>
        <v>CORPORATE</v>
      </c>
      <c r="F289" s="11" t="str">
        <f>IFERROR(__xludf.DUMMYFUNCTION("""COMPUTED_VALUE"""),"Listicle")</f>
        <v>Listicle</v>
      </c>
      <c r="G289" s="11" t="b">
        <f>IFERROR(__xludf.DUMMYFUNCTION("""COMPUTED_VALUE"""),FALSE)</f>
        <v>0</v>
      </c>
      <c r="H289" s="11" t="str">
        <f>IFERROR(__xludf.DUMMYFUNCTION("""COMPUTED_VALUE"""),"inBeat, Dentsu, R/GA, Omnicom, Nielsen")</f>
        <v>inBeat, Dentsu, R/GA, Omnicom, Nielsen</v>
      </c>
      <c r="I289" s="11">
        <f>IFERROR(__xludf.DUMMYFUNCTION("""COMPUTED_VALUE"""),1.0)</f>
        <v>1</v>
      </c>
      <c r="J289" s="11">
        <f>IFERROR(__xludf.DUMMYFUNCTION("""COMPUTED_VALUE"""),0.0)</f>
        <v>0</v>
      </c>
      <c r="K289" s="11">
        <f>IFERROR(__xludf.DUMMYFUNCTION("""COMPUTED_VALUE"""),1.0)</f>
        <v>1</v>
      </c>
    </row>
    <row r="290" ht="15.75" customHeight="1">
      <c r="A290" s="8" t="str">
        <f>IFERROR(__xludf.DUMMYFUNCTION("""COMPUTED_VALUE"""),"https://www.fieldtrip.agency/post/best-digital-marketing-agencies-for-large-companies")</f>
        <v>https://www.fieldtrip.agency/post/best-digital-marketing-agencies-for-large-companies</v>
      </c>
      <c r="B290" s="11" t="str">
        <f>IFERROR(__xludf.DUMMYFUNCTION("""COMPUTED_VALUE"""),"The Ultimate List: 15 Elite Digital Marketing Agencies for Large Companies in 2025")</f>
        <v>The Ultimate List: 15 Elite Digital Marketing Agencies for Large Companies in 2025</v>
      </c>
      <c r="C290" s="11" t="str">
        <f>IFERROR(__xludf.DUMMYFUNCTION("""COMPUTED_VALUE"""),"fieldtrip.agency")</f>
        <v>fieldtrip.agency</v>
      </c>
      <c r="D290" s="11" t="str">
        <f>IFERROR(__xludf.DUMMYFUNCTION("""COMPUTED_VALUE"""),"LISTICLE")</f>
        <v>LISTICLE</v>
      </c>
      <c r="E290" s="11" t="str">
        <f>IFERROR(__xludf.DUMMYFUNCTION("""COMPUTED_VALUE"""),"CORPORATE")</f>
        <v>CORPORATE</v>
      </c>
      <c r="F290" s="11" t="str">
        <f>IFERROR(__xludf.DUMMYFUNCTION("""COMPUTED_VALUE"""),"Listicle")</f>
        <v>Listicle</v>
      </c>
      <c r="G290" s="11" t="b">
        <f>IFERROR(__xludf.DUMMYFUNCTION("""COMPUTED_VALUE"""),FALSE)</f>
        <v>0</v>
      </c>
      <c r="H290" s="11" t="str">
        <f>IFERROR(__xludf.DUMMYFUNCTION("""COMPUTED_VALUE"""),"Momentum, inBeat, MONSOON, Power Digital, Disruptive Advertising, Wpromote, Brainlabs")</f>
        <v>Momentum, inBeat, MONSOON, Power Digital, Disruptive Advertising, Wpromote, Brainlabs</v>
      </c>
      <c r="I290" s="11">
        <f>IFERROR(__xludf.DUMMYFUNCTION("""COMPUTED_VALUE"""),1.0)</f>
        <v>1</v>
      </c>
      <c r="J290" s="11">
        <f>IFERROR(__xludf.DUMMYFUNCTION("""COMPUTED_VALUE"""),0.0)</f>
        <v>0</v>
      </c>
      <c r="K290" s="11">
        <f>IFERROR(__xludf.DUMMYFUNCTION("""COMPUTED_VALUE"""),2.0)</f>
        <v>2</v>
      </c>
    </row>
    <row r="291" ht="15.75" customHeight="1">
      <c r="A291" s="8" t="str">
        <f>IFERROR(__xludf.DUMMYFUNCTION("""COMPUTED_VALUE"""),"https://finance-seo.de/ratgeber/beste-geo-agenturen")</f>
        <v>https://finance-seo.de/ratgeber/beste-geo-agenturen</v>
      </c>
      <c r="B291" s="11" t="str">
        <f>IFERROR(__xludf.DUMMYFUNCTION("""COMPUTED_VALUE"""),"Die 12 besten GEO-Agenturen 2026 im Überblick - Dirk Veit")</f>
        <v>Die 12 besten GEO-Agenturen 2026 im Überblick - Dirk Veit</v>
      </c>
      <c r="C291" s="8" t="str">
        <f>IFERROR(__xludf.DUMMYFUNCTION("""COMPUTED_VALUE"""),"finance-seo.de")</f>
        <v>finance-seo.de</v>
      </c>
      <c r="D291" s="11" t="str">
        <f>IFERROR(__xludf.DUMMYFUNCTION("""COMPUTED_VALUE"""),"LISTICLE")</f>
        <v>LISTICLE</v>
      </c>
      <c r="E291" s="11" t="str">
        <f>IFERROR(__xludf.DUMMYFUNCTION("""COMPUTED_VALUE"""),"CORPORATE")</f>
        <v>CORPORATE</v>
      </c>
      <c r="F291" s="11" t="str">
        <f>IFERROR(__xludf.DUMMYFUNCTION("""COMPUTED_VALUE"""),"Listicle")</f>
        <v>Listicle</v>
      </c>
      <c r="G291" s="11" t="b">
        <f>IFERROR(__xludf.DUMMYFUNCTION("""COMPUTED_VALUE"""),FALSE)</f>
        <v>0</v>
      </c>
      <c r="H291" s="11" t="str">
        <f>IFERROR(__xludf.DUMMYFUNCTION("""COMPUTED_VALUE"""),"Aufgesang, Claneo, TRYSEO, DREIKON, Löwenstark, Suchhelden")</f>
        <v>Aufgesang, Claneo, TRYSEO, DREIKON, Löwenstark, Suchhelden</v>
      </c>
      <c r="I291" s="11">
        <f>IFERROR(__xludf.DUMMYFUNCTION("""COMPUTED_VALUE"""),1.0)</f>
        <v>1</v>
      </c>
      <c r="J291" s="11">
        <f>IFERROR(__xludf.DUMMYFUNCTION("""COMPUTED_VALUE"""),0.0)</f>
        <v>0</v>
      </c>
      <c r="K291" s="11">
        <f>IFERROR(__xludf.DUMMYFUNCTION("""COMPUTED_VALUE"""),0.0)</f>
        <v>0</v>
      </c>
    </row>
    <row r="292" ht="15.75" customHeight="1">
      <c r="A292" s="8" t="str">
        <f>IFERROR(__xludf.DUMMYFUNCTION("""COMPUTED_VALUE"""),"https://www.flyingvgroup.com/ai-marketing-agency/")</f>
        <v>https://www.flyingvgroup.com/ai-marketing-agency/</v>
      </c>
      <c r="B292" s="11" t="str">
        <f>IFERROR(__xludf.DUMMYFUNCTION("""COMPUTED_VALUE"""),"Best 18 AI Marketing Agencies in 2026 | Top AI-Powered Marketing Firms Ranked")</f>
        <v>Best 18 AI Marketing Agencies in 2026 | Top AI-Powered Marketing Firms Ranked</v>
      </c>
      <c r="C292" s="8" t="str">
        <f>IFERROR(__xludf.DUMMYFUNCTION("""COMPUTED_VALUE"""),"flyingvgroup.com")</f>
        <v>flyingvgroup.com</v>
      </c>
      <c r="D292" s="11" t="str">
        <f>IFERROR(__xludf.DUMMYFUNCTION("""COMPUTED_VALUE"""),"LISTICLE")</f>
        <v>LISTICLE</v>
      </c>
      <c r="E292" s="11" t="str">
        <f>IFERROR(__xludf.DUMMYFUNCTION("""COMPUTED_VALUE"""),"CORPORATE")</f>
        <v>CORPORATE</v>
      </c>
      <c r="F292" s="11" t="str">
        <f>IFERROR(__xludf.DUMMYFUNCTION("""COMPUTED_VALUE"""),"Listicle")</f>
        <v>Listicle</v>
      </c>
      <c r="G292" s="11" t="b">
        <f>IFERROR(__xludf.DUMMYFUNCTION("""COMPUTED_VALUE"""),FALSE)</f>
        <v>0</v>
      </c>
      <c r="H292" s="11" t="str">
        <f>IFERROR(__xludf.DUMMYFUNCTION("""COMPUTED_VALUE"""),"SmartSites, NoGood, Single Grain, inBeat, Media.Monks, Monks")</f>
        <v>SmartSites, NoGood, Single Grain, inBeat, Media.Monks, Monks</v>
      </c>
      <c r="I292" s="11">
        <f>IFERROR(__xludf.DUMMYFUNCTION("""COMPUTED_VALUE"""),1.0)</f>
        <v>1</v>
      </c>
      <c r="J292" s="11">
        <f>IFERROR(__xludf.DUMMYFUNCTION("""COMPUTED_VALUE"""),0.0)</f>
        <v>0</v>
      </c>
      <c r="K292" s="11">
        <f>IFERROR(__xludf.DUMMYFUNCTION("""COMPUTED_VALUE"""),0.0)</f>
        <v>0</v>
      </c>
    </row>
    <row r="293" ht="15.75" customHeight="1">
      <c r="A293" s="8" t="str">
        <f>IFERROR(__xludf.DUMMYFUNCTION("""COMPUTED_VALUE"""),"https://www.forrester.com/blogs/picking-an-agency-to-maximize-the-value-of-your-first-party-data/")</f>
        <v>https://www.forrester.com/blogs/picking-an-agency-to-maximize-the-value-of-your-first-party-data/</v>
      </c>
      <c r="B293" s="11" t="str">
        <f>IFERROR(__xludf.DUMMYFUNCTION("""COMPUTED_VALUE"""),"Picking An Agency To Maximize The Value Of Your First-Party Data")</f>
        <v>Picking An Agency To Maximize The Value Of Your First-Party Data</v>
      </c>
      <c r="C293" s="8" t="str">
        <f>IFERROR(__xludf.DUMMYFUNCTION("""COMPUTED_VALUE"""),"forrester.com")</f>
        <v>forrester.com</v>
      </c>
      <c r="D293" s="11" t="str">
        <f>IFERROR(__xludf.DUMMYFUNCTION("""COMPUTED_VALUE"""),"LISTICLE")</f>
        <v>LISTICLE</v>
      </c>
      <c r="E293" s="11" t="str">
        <f>IFERROR(__xludf.DUMMYFUNCTION("""COMPUTED_VALUE"""),"CORPORATE")</f>
        <v>CORPORATE</v>
      </c>
      <c r="F293" s="11" t="str">
        <f>IFERROR(__xludf.DUMMYFUNCTION("""COMPUTED_VALUE"""),"Listicle")</f>
        <v>Listicle</v>
      </c>
      <c r="G293" s="11" t="b">
        <f>IFERROR(__xludf.DUMMYFUNCTION("""COMPUTED_VALUE"""),FALSE)</f>
        <v>0</v>
      </c>
      <c r="H293" s="11"/>
      <c r="I293" s="11">
        <f>IFERROR(__xludf.DUMMYFUNCTION("""COMPUTED_VALUE"""),1.0)</f>
        <v>1</v>
      </c>
      <c r="J293" s="11">
        <f>IFERROR(__xludf.DUMMYFUNCTION("""COMPUTED_VALUE"""),0.0)</f>
        <v>0</v>
      </c>
      <c r="K293" s="11">
        <f>IFERROR(__xludf.DUMMYFUNCTION("""COMPUTED_VALUE"""),0.0)</f>
        <v>0</v>
      </c>
    </row>
    <row r="294" ht="15.75" customHeight="1">
      <c r="A294" s="8" t="str">
        <f>IFERROR(__xludf.DUMMYFUNCTION("""COMPUTED_VALUE"""),"https://founderoperator.com/marketing/top-ai-marketing-agencies-germany-amazon-success")</f>
        <v>https://founderoperator.com/marketing/top-ai-marketing-agencies-germany-amazon-success</v>
      </c>
      <c r="B294" s="11"/>
      <c r="C294" s="8" t="str">
        <f>IFERROR(__xludf.DUMMYFUNCTION("""COMPUTED_VALUE"""),"founderoperator.com")</f>
        <v>founderoperator.com</v>
      </c>
      <c r="D294" s="11" t="str">
        <f>IFERROR(__xludf.DUMMYFUNCTION("""COMPUTED_VALUE"""),"LISTICLE")</f>
        <v>LISTICLE</v>
      </c>
      <c r="E294" s="11" t="str">
        <f>IFERROR(__xludf.DUMMYFUNCTION("""COMPUTED_VALUE"""),"EDITORIAL")</f>
        <v>EDITORIAL</v>
      </c>
      <c r="F294" s="11" t="str">
        <f>IFERROR(__xludf.DUMMYFUNCTION("""COMPUTED_VALUE"""),"Listicle")</f>
        <v>Listicle</v>
      </c>
      <c r="G294" s="11" t="b">
        <f>IFERROR(__xludf.DUMMYFUNCTION("""COMPUTED_VALUE"""),FALSE)</f>
        <v>0</v>
      </c>
      <c r="H294" s="11"/>
      <c r="I294" s="11">
        <f>IFERROR(__xludf.DUMMYFUNCTION("""COMPUTED_VALUE"""),1.0)</f>
        <v>1</v>
      </c>
      <c r="J294" s="11">
        <f>IFERROR(__xludf.DUMMYFUNCTION("""COMPUTED_VALUE"""),0.0)</f>
        <v>0</v>
      </c>
      <c r="K294" s="11">
        <f>IFERROR(__xludf.DUMMYFUNCTION("""COMPUTED_VALUE"""),0.0)</f>
        <v>0</v>
      </c>
    </row>
    <row r="295" ht="15.75" customHeight="1">
      <c r="A295" s="8" t="str">
        <f>IFERROR(__xludf.DUMMYFUNCTION("""COMPUTED_VALUE"""),"https://www.frac.tl/digital-pr-agencies/")</f>
        <v>https://www.frac.tl/digital-pr-agencies/</v>
      </c>
      <c r="B295" s="11" t="str">
        <f>IFERROR(__xludf.DUMMYFUNCTION("""COMPUTED_VALUE"""),"9 Top Digital PR Agencies for Earned Media &amp;amp; Links | Fractl")</f>
        <v>9 Top Digital PR Agencies for Earned Media &amp;amp; Links | Fractl</v>
      </c>
      <c r="C295" s="8" t="str">
        <f>IFERROR(__xludf.DUMMYFUNCTION("""COMPUTED_VALUE"""),"frac.tl")</f>
        <v>frac.tl</v>
      </c>
      <c r="D295" s="11" t="str">
        <f>IFERROR(__xludf.DUMMYFUNCTION("""COMPUTED_VALUE"""),"LISTICLE")</f>
        <v>LISTICLE</v>
      </c>
      <c r="E295" s="11" t="str">
        <f>IFERROR(__xludf.DUMMYFUNCTION("""COMPUTED_VALUE"""),"CORPORATE")</f>
        <v>CORPORATE</v>
      </c>
      <c r="F295" s="11" t="str">
        <f>IFERROR(__xludf.DUMMYFUNCTION("""COMPUTED_VALUE"""),"Listicle")</f>
        <v>Listicle</v>
      </c>
      <c r="G295" s="11" t="b">
        <f>IFERROR(__xludf.DUMMYFUNCTION("""COMPUTED_VALUE"""),FALSE)</f>
        <v>0</v>
      </c>
      <c r="H295" s="11" t="str">
        <f>IFERROR(__xludf.DUMMYFUNCTION("""COMPUTED_VALUE"""),"Momentum")</f>
        <v>Momentum</v>
      </c>
      <c r="I295" s="11">
        <f>IFERROR(__xludf.DUMMYFUNCTION("""COMPUTED_VALUE"""),1.0)</f>
        <v>1</v>
      </c>
      <c r="J295" s="11">
        <f>IFERROR(__xludf.DUMMYFUNCTION("""COMPUTED_VALUE"""),0.0)</f>
        <v>0</v>
      </c>
      <c r="K295" s="11">
        <f>IFERROR(__xludf.DUMMYFUNCTION("""COMPUTED_VALUE"""),0.0)</f>
        <v>0</v>
      </c>
    </row>
    <row r="296" ht="15.75" customHeight="1">
      <c r="A296" s="8" t="str">
        <f>IFERROR(__xludf.DUMMYFUNCTION("""COMPUTED_VALUE"""),"https://gemfind.com/blogs/digital-marketing/google-marketing-partner")</f>
        <v>https://gemfind.com/blogs/digital-marketing/google-marketing-partner</v>
      </c>
      <c r="B296" s="11" t="str">
        <f>IFERROR(__xludf.DUMMYFUNCTION("""COMPUTED_VALUE"""),"Your Guide to Google Marketing Partners: Finding the Right Fit")</f>
        <v>Your Guide to Google Marketing Partners: Finding the Right Fit</v>
      </c>
      <c r="C296" s="8" t="str">
        <f>IFERROR(__xludf.DUMMYFUNCTION("""COMPUTED_VALUE"""),"gemfind.com")</f>
        <v>gemfind.com</v>
      </c>
      <c r="D296" s="11" t="str">
        <f>IFERROR(__xludf.DUMMYFUNCTION("""COMPUTED_VALUE"""),"LISTICLE")</f>
        <v>LISTICLE</v>
      </c>
      <c r="E296" s="11" t="str">
        <f>IFERROR(__xludf.DUMMYFUNCTION("""COMPUTED_VALUE"""),"CORPORATE")</f>
        <v>CORPORATE</v>
      </c>
      <c r="F296" s="11" t="str">
        <f>IFERROR(__xludf.DUMMYFUNCTION("""COMPUTED_VALUE"""),"Listicle")</f>
        <v>Listicle</v>
      </c>
      <c r="G296" s="11" t="b">
        <f>IFERROR(__xludf.DUMMYFUNCTION("""COMPUTED_VALUE"""),FALSE)</f>
        <v>0</v>
      </c>
      <c r="H296" s="11" t="str">
        <f>IFERROR(__xludf.DUMMYFUNCTION("""COMPUTED_VALUE"""),"Monks, DEPT")</f>
        <v>Monks, DEPT</v>
      </c>
      <c r="I296" s="11">
        <f>IFERROR(__xludf.DUMMYFUNCTION("""COMPUTED_VALUE"""),1.0)</f>
        <v>1</v>
      </c>
      <c r="J296" s="11">
        <f>IFERROR(__xludf.DUMMYFUNCTION("""COMPUTED_VALUE"""),0.0)</f>
        <v>0</v>
      </c>
      <c r="K296" s="11">
        <f>IFERROR(__xludf.DUMMYFUNCTION("""COMPUTED_VALUE"""),0.0)</f>
        <v>0</v>
      </c>
    </row>
    <row r="297" ht="15.75" customHeight="1">
      <c r="A297" s="8" t="str">
        <f>IFERROR(__xludf.DUMMYFUNCTION("""COMPUTED_VALUE"""),"https://www.gen-optima.com/geo/top-7-generative-engine-optimization-service-providers-ranked/")</f>
        <v>https://www.gen-optima.com/geo/top-7-generative-engine-optimization-service-providers-ranked/</v>
      </c>
      <c r="B297" s="11" t="str">
        <f>IFERROR(__xludf.DUMMYFUNCTION("""COMPUTED_VALUE"""),"Top 7 Generative Engine Optimization Service Providers Ranked (Q2 2026 Update) - GenOptima")</f>
        <v>Top 7 Generative Engine Optimization Service Providers Ranked (Q2 2026 Update) - GenOptima</v>
      </c>
      <c r="C297" s="8" t="str">
        <f>IFERROR(__xludf.DUMMYFUNCTION("""COMPUTED_VALUE"""),"gen-optima.com")</f>
        <v>gen-optima.com</v>
      </c>
      <c r="D297" s="11" t="str">
        <f>IFERROR(__xludf.DUMMYFUNCTION("""COMPUTED_VALUE"""),"LISTICLE")</f>
        <v>LISTICLE</v>
      </c>
      <c r="E297" s="11" t="str">
        <f>IFERROR(__xludf.DUMMYFUNCTION("""COMPUTED_VALUE"""),"CORPORATE")</f>
        <v>CORPORATE</v>
      </c>
      <c r="F297" s="11" t="str">
        <f>IFERROR(__xludf.DUMMYFUNCTION("""COMPUTED_VALUE"""),"Listicle")</f>
        <v>Listicle</v>
      </c>
      <c r="G297" s="11" t="b">
        <f>IFERROR(__xludf.DUMMYFUNCTION("""COMPUTED_VALUE"""),FALSE)</f>
        <v>0</v>
      </c>
      <c r="H297" s="11" t="str">
        <f>IFERROR(__xludf.DUMMYFUNCTION("""COMPUTED_VALUE"""),"iPullRank, Siege Media, WebFX, Omniscient Digital, Measured")</f>
        <v>iPullRank, Siege Media, WebFX, Omniscient Digital, Measured</v>
      </c>
      <c r="I297" s="11">
        <f>IFERROR(__xludf.DUMMYFUNCTION("""COMPUTED_VALUE"""),1.0)</f>
        <v>1</v>
      </c>
      <c r="J297" s="11">
        <f>IFERROR(__xludf.DUMMYFUNCTION("""COMPUTED_VALUE"""),0.0)</f>
        <v>0</v>
      </c>
      <c r="K297" s="11">
        <f>IFERROR(__xludf.DUMMYFUNCTION("""COMPUTED_VALUE"""),1.0)</f>
        <v>1</v>
      </c>
    </row>
    <row r="298" ht="15.75" customHeight="1">
      <c r="A298" s="8" t="str">
        <f>IFERROR(__xludf.DUMMYFUNCTION("""COMPUTED_VALUE"""),"https://www.gen-optima.com/geo/top-generative-ai-search-engine-optimization-agencies-2026/")</f>
        <v>https://www.gen-optima.com/geo/top-generative-ai-search-engine-optimization-agencies-2026/</v>
      </c>
      <c r="B298" s="11" t="str">
        <f>IFERROR(__xludf.DUMMYFUNCTION("""COMPUTED_VALUE"""),"Top AI Search Optimization Agencies in 2026 (Q1 2026 Update)")</f>
        <v>Top AI Search Optimization Agencies in 2026 (Q1 2026 Update)</v>
      </c>
      <c r="C298" s="8" t="str">
        <f>IFERROR(__xludf.DUMMYFUNCTION("""COMPUTED_VALUE"""),"gen-optima.com")</f>
        <v>gen-optima.com</v>
      </c>
      <c r="D298" s="11" t="str">
        <f>IFERROR(__xludf.DUMMYFUNCTION("""COMPUTED_VALUE"""),"LISTICLE")</f>
        <v>LISTICLE</v>
      </c>
      <c r="E298" s="11" t="str">
        <f>IFERROR(__xludf.DUMMYFUNCTION("""COMPUTED_VALUE"""),"CORPORATE")</f>
        <v>CORPORATE</v>
      </c>
      <c r="F298" s="11" t="str">
        <f>IFERROR(__xludf.DUMMYFUNCTION("""COMPUTED_VALUE"""),"Listicle")</f>
        <v>Listicle</v>
      </c>
      <c r="G298" s="11" t="b">
        <f>IFERROR(__xludf.DUMMYFUNCTION("""COMPUTED_VALUE"""),FALSE)</f>
        <v>0</v>
      </c>
      <c r="H298" s="11" t="str">
        <f>IFERROR(__xludf.DUMMYFUNCTION("""COMPUTED_VALUE"""),"iPullRank, Siege Media, Omniscient Digital, Single Grain, Pilot")</f>
        <v>iPullRank, Siege Media, Omniscient Digital, Single Grain, Pilot</v>
      </c>
      <c r="I298" s="11">
        <f>IFERROR(__xludf.DUMMYFUNCTION("""COMPUTED_VALUE"""),1.0)</f>
        <v>1</v>
      </c>
      <c r="J298" s="11">
        <f>IFERROR(__xludf.DUMMYFUNCTION("""COMPUTED_VALUE"""),0.0)</f>
        <v>0</v>
      </c>
      <c r="K298" s="11">
        <f>IFERROR(__xludf.DUMMYFUNCTION("""COMPUTED_VALUE"""),0.0)</f>
        <v>0</v>
      </c>
    </row>
    <row r="299" ht="15.75" customHeight="1">
      <c r="A299" s="8" t="str">
        <f>IFERROR(__xludf.DUMMYFUNCTION("""COMPUTED_VALUE"""),"https://gigawattgroup.com/insights/best-geo-agencies-in-2026-who-actually-drives-ai-visibility-and-citations/")</f>
        <v>https://gigawattgroup.com/insights/best-geo-agencies-in-2026-who-actually-drives-ai-visibility-and-citations/</v>
      </c>
      <c r="B299" s="11" t="str">
        <f>IFERROR(__xludf.DUMMYFUNCTION("""COMPUTED_VALUE"""),"Best GEO Agencies in 2026: Who Actually Drives AI Visibility and Citations - Gigawatt Group")</f>
        <v>Best GEO Agencies in 2026: Who Actually Drives AI Visibility and Citations - Gigawatt Group</v>
      </c>
      <c r="C299" s="8" t="str">
        <f>IFERROR(__xludf.DUMMYFUNCTION("""COMPUTED_VALUE"""),"gigawattgroup.com")</f>
        <v>gigawattgroup.com</v>
      </c>
      <c r="D299" s="11" t="str">
        <f>IFERROR(__xludf.DUMMYFUNCTION("""COMPUTED_VALUE"""),"LISTICLE")</f>
        <v>LISTICLE</v>
      </c>
      <c r="E299" s="11" t="str">
        <f>IFERROR(__xludf.DUMMYFUNCTION("""COMPUTED_VALUE"""),"CORPORATE")</f>
        <v>CORPORATE</v>
      </c>
      <c r="F299" s="11" t="str">
        <f>IFERROR(__xludf.DUMMYFUNCTION("""COMPUTED_VALUE"""),"Listicle")</f>
        <v>Listicle</v>
      </c>
      <c r="G299" s="11" t="b">
        <f>IFERROR(__xludf.DUMMYFUNCTION("""COMPUTED_VALUE"""),FALSE)</f>
        <v>0</v>
      </c>
      <c r="H299" s="11"/>
      <c r="I299" s="11">
        <f>IFERROR(__xludf.DUMMYFUNCTION("""COMPUTED_VALUE"""),1.0)</f>
        <v>1</v>
      </c>
      <c r="J299" s="11">
        <f>IFERROR(__xludf.DUMMYFUNCTION("""COMPUTED_VALUE"""),0.0)</f>
        <v>0</v>
      </c>
      <c r="K299" s="11">
        <f>IFERROR(__xludf.DUMMYFUNCTION("""COMPUTED_VALUE"""),0.0)</f>
        <v>0</v>
      </c>
    </row>
    <row r="300" ht="15.75" customHeight="1">
      <c r="A300" s="8" t="str">
        <f>IFERROR(__xludf.DUMMYFUNCTION("""COMPUTED_VALUE"""),"https://www.glassix.com/article/best-seo-geo-aeo-agencies-saas")</f>
        <v>https://www.glassix.com/article/best-seo-geo-aeo-agencies-saas</v>
      </c>
      <c r="B300" s="11" t="str">
        <f>IFERROR(__xludf.DUMMYFUNCTION("""COMPUTED_VALUE"""),"18 Best SEO, GEO &amp;amp; AEO Agencies for SaaS Companies in 2026")</f>
        <v>18 Best SEO, GEO &amp;amp; AEO Agencies for SaaS Companies in 2026</v>
      </c>
      <c r="C300" s="8" t="str">
        <f>IFERROR(__xludf.DUMMYFUNCTION("""COMPUTED_VALUE"""),"glassix.com")</f>
        <v>glassix.com</v>
      </c>
      <c r="D300" s="11" t="str">
        <f>IFERROR(__xludf.DUMMYFUNCTION("""COMPUTED_VALUE"""),"LISTICLE")</f>
        <v>LISTICLE</v>
      </c>
      <c r="E300" s="11" t="str">
        <f>IFERROR(__xludf.DUMMYFUNCTION("""COMPUTED_VALUE"""),"UGC")</f>
        <v>UGC</v>
      </c>
      <c r="F300" s="11" t="str">
        <f>IFERROR(__xludf.DUMMYFUNCTION("""COMPUTED_VALUE"""),"Listicle")</f>
        <v>Listicle</v>
      </c>
      <c r="G300" s="11" t="b">
        <f>IFERROR(__xludf.DUMMYFUNCTION("""COMPUTED_VALUE"""),FALSE)</f>
        <v>0</v>
      </c>
      <c r="H300" s="11" t="str">
        <f>IFERROR(__xludf.DUMMYFUNCTION("""COMPUTED_VALUE"""),"Siege Media, Single Grain, Directive Consulting, Omniscient Digital")</f>
        <v>Siege Media, Single Grain, Directive Consulting, Omniscient Digital</v>
      </c>
      <c r="I300" s="11">
        <f>IFERROR(__xludf.DUMMYFUNCTION("""COMPUTED_VALUE"""),1.0)</f>
        <v>1</v>
      </c>
      <c r="J300" s="11">
        <f>IFERROR(__xludf.DUMMYFUNCTION("""COMPUTED_VALUE"""),0.0)</f>
        <v>0</v>
      </c>
      <c r="K300" s="11">
        <f>IFERROR(__xludf.DUMMYFUNCTION("""COMPUTED_VALUE"""),1.0)</f>
        <v>1</v>
      </c>
    </row>
    <row r="301" ht="15.75" customHeight="1">
      <c r="A301" s="8" t="str">
        <f>IFERROR(__xludf.DUMMYFUNCTION("""COMPUTED_VALUE"""),"https://gofishdigital.com/blog/generative-engine-optimization-agencies/")</f>
        <v>https://gofishdigital.com/blog/generative-engine-optimization-agencies/</v>
      </c>
      <c r="B301" s="11" t="str">
        <f>IFERROR(__xludf.DUMMYFUNCTION("""COMPUTED_VALUE"""),"8 Generative Engine Optimization (GEO) Agencies &amp;amp; Thought Leaders - Go Fish Digital")</f>
        <v>8 Generative Engine Optimization (GEO) Agencies &amp;amp; Thought Leaders - Go Fish Digital</v>
      </c>
      <c r="C301" s="8" t="str">
        <f>IFERROR(__xludf.DUMMYFUNCTION("""COMPUTED_VALUE"""),"gofishdigital.com")</f>
        <v>gofishdigital.com</v>
      </c>
      <c r="D301" s="11" t="str">
        <f>IFERROR(__xludf.DUMMYFUNCTION("""COMPUTED_VALUE"""),"LISTICLE")</f>
        <v>LISTICLE</v>
      </c>
      <c r="E301" s="11" t="str">
        <f>IFERROR(__xludf.DUMMYFUNCTION("""COMPUTED_VALUE"""),"CORPORATE")</f>
        <v>CORPORATE</v>
      </c>
      <c r="F301" s="11" t="str">
        <f>IFERROR(__xludf.DUMMYFUNCTION("""COMPUTED_VALUE"""),"Listicle")</f>
        <v>Listicle</v>
      </c>
      <c r="G301" s="11" t="b">
        <f>IFERROR(__xludf.DUMMYFUNCTION("""COMPUTED_VALUE"""),FALSE)</f>
        <v>0</v>
      </c>
      <c r="H301" s="11" t="str">
        <f>IFERROR(__xludf.DUMMYFUNCTION("""COMPUTED_VALUE"""),"iPullRank, Omniscient Digital, Single Grain, EY, Siege Media")</f>
        <v>iPullRank, Omniscient Digital, Single Grain, EY, Siege Media</v>
      </c>
      <c r="I301" s="11">
        <f>IFERROR(__xludf.DUMMYFUNCTION("""COMPUTED_VALUE"""),1.0)</f>
        <v>1</v>
      </c>
      <c r="J301" s="11">
        <f>IFERROR(__xludf.DUMMYFUNCTION("""COMPUTED_VALUE"""),0.0)</f>
        <v>0</v>
      </c>
      <c r="K301" s="11">
        <f>IFERROR(__xludf.DUMMYFUNCTION("""COMPUTED_VALUE"""),2.0)</f>
        <v>2</v>
      </c>
    </row>
    <row r="302" ht="15.75" customHeight="1">
      <c r="A302" s="8" t="str">
        <f>IFERROR(__xludf.DUMMYFUNCTION("""COMPUTED_VALUE"""),"https://growffic.com/blog/generative-engine-optimization-agencies/#:~:text=Siege%20Media%20is%20a%20well,likely%20to%20trust%20and%20reference.")</f>
        <v>https://growffic.com/blog/generative-engine-optimization-agencies/#:~:text=Siege%20Media%20is%20a%20well,likely%20to%20trust%20and%20reference.</v>
      </c>
      <c r="B302" s="11" t="str">
        <f>IFERROR(__xludf.DUMMYFUNCTION("""COMPUTED_VALUE"""),"10 Best Generative Engine Optimization (GEO) Agencies (2026)")</f>
        <v>10 Best Generative Engine Optimization (GEO) Agencies (2026)</v>
      </c>
      <c r="C302" s="8" t="str">
        <f>IFERROR(__xludf.DUMMYFUNCTION("""COMPUTED_VALUE"""),"growffic.com")</f>
        <v>growffic.com</v>
      </c>
      <c r="D302" s="11" t="str">
        <f>IFERROR(__xludf.DUMMYFUNCTION("""COMPUTED_VALUE"""),"LISTICLE")</f>
        <v>LISTICLE</v>
      </c>
      <c r="E302" s="11" t="str">
        <f>IFERROR(__xludf.DUMMYFUNCTION("""COMPUTED_VALUE"""),"CORPORATE")</f>
        <v>CORPORATE</v>
      </c>
      <c r="F302" s="11" t="str">
        <f>IFERROR(__xludf.DUMMYFUNCTION("""COMPUTED_VALUE"""),"Listicle")</f>
        <v>Listicle</v>
      </c>
      <c r="G302" s="11" t="b">
        <f>IFERROR(__xludf.DUMMYFUNCTION("""COMPUTED_VALUE"""),FALSE)</f>
        <v>0</v>
      </c>
      <c r="H302" s="11" t="str">
        <f>IFERROR(__xludf.DUMMYFUNCTION("""COMPUTED_VALUE"""),"Siege Media, Omniscient Digital")</f>
        <v>Siege Media, Omniscient Digital</v>
      </c>
      <c r="I302" s="11">
        <f>IFERROR(__xludf.DUMMYFUNCTION("""COMPUTED_VALUE"""),1.0)</f>
        <v>1</v>
      </c>
      <c r="J302" s="11">
        <f>IFERROR(__xludf.DUMMYFUNCTION("""COMPUTED_VALUE"""),0.0)</f>
        <v>0</v>
      </c>
      <c r="K302" s="11">
        <f>IFERROR(__xludf.DUMMYFUNCTION("""COMPUTED_VALUE"""),2.0)</f>
        <v>2</v>
      </c>
    </row>
    <row r="303" ht="15.75" customHeight="1">
      <c r="A303" s="8" t="str">
        <f>IFERROR(__xludf.DUMMYFUNCTION("""COMPUTED_VALUE"""),"https://www.growthspreeofficial.com/blogs/top-6-ai-powered-b2b-saas-marketing-agencies-in-the-united-states-2026")</f>
        <v>https://www.growthspreeofficial.com/blogs/top-6-ai-powered-b2b-saas-marketing-agencies-in-the-united-states-2026</v>
      </c>
      <c r="B303" s="11" t="str">
        <f>IFERROR(__xludf.DUMMYFUNCTION("""COMPUTED_VALUE"""),"Top 6 AI-Powered B2B SaaS Marketing Agencies USA 2026")</f>
        <v>Top 6 AI-Powered B2B SaaS Marketing Agencies USA 2026</v>
      </c>
      <c r="C303" s="8" t="str">
        <f>IFERROR(__xludf.DUMMYFUNCTION("""COMPUTED_VALUE"""),"growthspreeofficial.com")</f>
        <v>growthspreeofficial.com</v>
      </c>
      <c r="D303" s="11" t="str">
        <f>IFERROR(__xludf.DUMMYFUNCTION("""COMPUTED_VALUE"""),"LISTICLE")</f>
        <v>LISTICLE</v>
      </c>
      <c r="E303" s="11" t="str">
        <f>IFERROR(__xludf.DUMMYFUNCTION("""COMPUTED_VALUE"""),"CORPORATE")</f>
        <v>CORPORATE</v>
      </c>
      <c r="F303" s="11" t="str">
        <f>IFERROR(__xludf.DUMMYFUNCTION("""COMPUTED_VALUE"""),"Listicle")</f>
        <v>Listicle</v>
      </c>
      <c r="G303" s="11" t="b">
        <f>IFERROR(__xludf.DUMMYFUNCTION("""COMPUTED_VALUE"""),FALSE)</f>
        <v>0</v>
      </c>
      <c r="H303" s="11" t="str">
        <f>IFERROR(__xludf.DUMMYFUNCTION("""COMPUTED_VALUE"""),"GrowthSpree, Measured")</f>
        <v>GrowthSpree, Measured</v>
      </c>
      <c r="I303" s="11">
        <f>IFERROR(__xludf.DUMMYFUNCTION("""COMPUTED_VALUE"""),1.0)</f>
        <v>1</v>
      </c>
      <c r="J303" s="11">
        <f>IFERROR(__xludf.DUMMYFUNCTION("""COMPUTED_VALUE"""),0.0)</f>
        <v>0</v>
      </c>
      <c r="K303" s="11">
        <f>IFERROR(__xludf.DUMMYFUNCTION("""COMPUTED_VALUE"""),1.0)</f>
        <v>1</v>
      </c>
    </row>
    <row r="304" ht="15.75" customHeight="1">
      <c r="A304" s="8" t="str">
        <f>IFERROR(__xludf.DUMMYFUNCTION("""COMPUTED_VALUE"""),"https://hawkemedia.com/insights/top-performance-marketing-agencies/")</f>
        <v>https://hawkemedia.com/insights/top-performance-marketing-agencies/</v>
      </c>
      <c r="B304" s="11" t="str">
        <f>IFERROR(__xludf.DUMMYFUNCTION("""COMPUTED_VALUE"""),"Top 25 Performance Marketing Agencies In The U.S. 2026 | Hawke Media")</f>
        <v>Top 25 Performance Marketing Agencies In The U.S. 2026 | Hawke Media</v>
      </c>
      <c r="C304" s="8" t="str">
        <f>IFERROR(__xludf.DUMMYFUNCTION("""COMPUTED_VALUE"""),"hawkemedia.com")</f>
        <v>hawkemedia.com</v>
      </c>
      <c r="D304" s="11" t="str">
        <f>IFERROR(__xludf.DUMMYFUNCTION("""COMPUTED_VALUE"""),"LISTICLE")</f>
        <v>LISTICLE</v>
      </c>
      <c r="E304" s="11" t="str">
        <f>IFERROR(__xludf.DUMMYFUNCTION("""COMPUTED_VALUE"""),"COMPETITOR")</f>
        <v>COMPETITOR</v>
      </c>
      <c r="F304" s="11" t="str">
        <f>IFERROR(__xludf.DUMMYFUNCTION("""COMPUTED_VALUE"""),"Listicle")</f>
        <v>Listicle</v>
      </c>
      <c r="G304" s="11" t="b">
        <f>IFERROR(__xludf.DUMMYFUNCTION("""COMPUTED_VALUE"""),FALSE)</f>
        <v>0</v>
      </c>
      <c r="H304" s="11" t="str">
        <f>IFERROR(__xludf.DUMMYFUNCTION("""COMPUTED_VALUE"""),"Hawke Media, Tinuiti, Wpromote, Power Digital, WebFX, KlientBoost, Measured, Disruptive Advertising, New Engen, SmartSites, NoGood, R/GA, Ogilvy, Monks, Merkle, Siege Media")</f>
        <v>Hawke Media, Tinuiti, Wpromote, Power Digital, WebFX, KlientBoost, Measured, Disruptive Advertising, New Engen, SmartSites, NoGood, R/GA, Ogilvy, Monks, Merkle, Siege Media</v>
      </c>
      <c r="I304" s="11">
        <f>IFERROR(__xludf.DUMMYFUNCTION("""COMPUTED_VALUE"""),1.0)</f>
        <v>1</v>
      </c>
      <c r="J304" s="11">
        <f>IFERROR(__xludf.DUMMYFUNCTION("""COMPUTED_VALUE"""),0.0)</f>
        <v>0</v>
      </c>
      <c r="K304" s="11">
        <f>IFERROR(__xludf.DUMMYFUNCTION("""COMPUTED_VALUE"""),1.0)</f>
        <v>1</v>
      </c>
    </row>
    <row r="305" ht="15.75" customHeight="1">
      <c r="A305" s="8" t="str">
        <f>IFERROR(__xludf.DUMMYFUNCTION("""COMPUTED_VALUE"""),"https://hawksem.com/blog/performance-marketing-agency-list/")</f>
        <v>https://hawksem.com/blog/performance-marketing-agency-list/</v>
      </c>
      <c r="B305" s="11" t="str">
        <f>IFERROR(__xludf.DUMMYFUNCTION("""COMPUTED_VALUE"""),"Top 10 Performance Marketing Agencies in 2026")</f>
        <v>Top 10 Performance Marketing Agencies in 2026</v>
      </c>
      <c r="C305" s="8" t="str">
        <f>IFERROR(__xludf.DUMMYFUNCTION("""COMPUTED_VALUE"""),"hawksem.com")</f>
        <v>hawksem.com</v>
      </c>
      <c r="D305" s="11" t="str">
        <f>IFERROR(__xludf.DUMMYFUNCTION("""COMPUTED_VALUE"""),"LISTICLE")</f>
        <v>LISTICLE</v>
      </c>
      <c r="E305" s="11" t="str">
        <f>IFERROR(__xludf.DUMMYFUNCTION("""COMPUTED_VALUE"""),"CORPORATE")</f>
        <v>CORPORATE</v>
      </c>
      <c r="F305" s="11" t="str">
        <f>IFERROR(__xludf.DUMMYFUNCTION("""COMPUTED_VALUE"""),"Listicle")</f>
        <v>Listicle</v>
      </c>
      <c r="G305" s="11" t="b">
        <f>IFERROR(__xludf.DUMMYFUNCTION("""COMPUTED_VALUE"""),FALSE)</f>
        <v>0</v>
      </c>
      <c r="H305" s="11" t="str">
        <f>IFERROR(__xludf.DUMMYFUNCTION("""COMPUTED_VALUE"""),"Tinuiti, Merkle, Wpromote")</f>
        <v>Tinuiti, Merkle, Wpromote</v>
      </c>
      <c r="I305" s="11">
        <f>IFERROR(__xludf.DUMMYFUNCTION("""COMPUTED_VALUE"""),1.0)</f>
        <v>1</v>
      </c>
      <c r="J305" s="11">
        <f>IFERROR(__xludf.DUMMYFUNCTION("""COMPUTED_VALUE"""),0.0)</f>
        <v>0</v>
      </c>
      <c r="K305" s="11">
        <f>IFERROR(__xludf.DUMMYFUNCTION("""COMPUTED_VALUE"""),0.0)</f>
        <v>0</v>
      </c>
    </row>
    <row r="306" ht="15.75" customHeight="1">
      <c r="A306" s="8" t="str">
        <f>IFERROR(__xludf.DUMMYFUNCTION("""COMPUTED_VALUE"""),"https://helder.design/design-agentur/")</f>
        <v>https://helder.design/design-agentur/</v>
      </c>
      <c r="B306" s="11" t="str">
        <f>IFERROR(__xludf.DUMMYFUNCTION("""COMPUTED_VALUE"""),"Die besten Design-Agenturen in DACH für KMU | Helder")</f>
        <v>Die besten Design-Agenturen in DACH für KMU | Helder</v>
      </c>
      <c r="C306" s="11" t="str">
        <f>IFERROR(__xludf.DUMMYFUNCTION("""COMPUTED_VALUE"""),"helder.design")</f>
        <v>helder.design</v>
      </c>
      <c r="D306" s="11" t="str">
        <f>IFERROR(__xludf.DUMMYFUNCTION("""COMPUTED_VALUE"""),"LISTICLE")</f>
        <v>LISTICLE</v>
      </c>
      <c r="E306" s="11" t="str">
        <f>IFERROR(__xludf.DUMMYFUNCTION("""COMPUTED_VALUE"""),"CORPORATE")</f>
        <v>CORPORATE</v>
      </c>
      <c r="F306" s="11" t="str">
        <f>IFERROR(__xludf.DUMMYFUNCTION("""COMPUTED_VALUE"""),"Listicle")</f>
        <v>Listicle</v>
      </c>
      <c r="G306" s="11" t="b">
        <f>IFERROR(__xludf.DUMMYFUNCTION("""COMPUTED_VALUE"""),FALSE)</f>
        <v>0</v>
      </c>
      <c r="H306" s="11" t="str">
        <f>IFERROR(__xludf.DUMMYFUNCTION("""COMPUTED_VALUE"""),"MetaDesign, Serviceplan Group, Jung von Matt, Scholz &amp; Friends, WPP, Ogilvy, Omnicom")</f>
        <v>MetaDesign, Serviceplan Group, Jung von Matt, Scholz &amp; Friends, WPP, Ogilvy, Omnicom</v>
      </c>
      <c r="I306" s="11">
        <f>IFERROR(__xludf.DUMMYFUNCTION("""COMPUTED_VALUE"""),1.0)</f>
        <v>1</v>
      </c>
      <c r="J306" s="11">
        <f>IFERROR(__xludf.DUMMYFUNCTION("""COMPUTED_VALUE"""),0.0)</f>
        <v>0</v>
      </c>
      <c r="K306" s="11">
        <f>IFERROR(__xludf.DUMMYFUNCTION("""COMPUTED_VALUE"""),1.0)</f>
        <v>1</v>
      </c>
    </row>
    <row r="307" ht="15.75" customHeight="1">
      <c r="A307" s="8" t="str">
        <f>IFERROR(__xludf.DUMMYFUNCTION("""COMPUTED_VALUE"""),"https://www.heydigital.co/blog/best-saas-performance-marketing-agencies")</f>
        <v>https://www.heydigital.co/blog/best-saas-performance-marketing-agencies</v>
      </c>
      <c r="B307" s="11" t="str">
        <f>IFERROR(__xludf.DUMMYFUNCTION("""COMPUTED_VALUE"""),"13 Best SaaS Performance Marketing Agencies | Hey Digital")</f>
        <v>13 Best SaaS Performance Marketing Agencies | Hey Digital</v>
      </c>
      <c r="C307" s="8" t="str">
        <f>IFERROR(__xludf.DUMMYFUNCTION("""COMPUTED_VALUE"""),"heydigital.co")</f>
        <v>heydigital.co</v>
      </c>
      <c r="D307" s="11" t="str">
        <f>IFERROR(__xludf.DUMMYFUNCTION("""COMPUTED_VALUE"""),"LISTICLE")</f>
        <v>LISTICLE</v>
      </c>
      <c r="E307" s="11" t="str">
        <f>IFERROR(__xludf.DUMMYFUNCTION("""COMPUTED_VALUE"""),"CORPORATE")</f>
        <v>CORPORATE</v>
      </c>
      <c r="F307" s="11" t="str">
        <f>IFERROR(__xludf.DUMMYFUNCTION("""COMPUTED_VALUE"""),"Listicle")</f>
        <v>Listicle</v>
      </c>
      <c r="G307" s="11" t="b">
        <f>IFERROR(__xludf.DUMMYFUNCTION("""COMPUTED_VALUE"""),FALSE)</f>
        <v>0</v>
      </c>
      <c r="H307" s="11" t="str">
        <f>IFERROR(__xludf.DUMMYFUNCTION("""COMPUTED_VALUE"""),"Refine Labs, NoGood, Single Grain, KlientBoost, Measured")</f>
        <v>Refine Labs, NoGood, Single Grain, KlientBoost, Measured</v>
      </c>
      <c r="I307" s="11">
        <f>IFERROR(__xludf.DUMMYFUNCTION("""COMPUTED_VALUE"""),1.0)</f>
        <v>1</v>
      </c>
      <c r="J307" s="11">
        <f>IFERROR(__xludf.DUMMYFUNCTION("""COMPUTED_VALUE"""),0.0)</f>
        <v>0</v>
      </c>
      <c r="K307" s="11">
        <f>IFERROR(__xludf.DUMMYFUNCTION("""COMPUTED_VALUE"""),1.0)</f>
        <v>1</v>
      </c>
    </row>
    <row r="308" ht="15.75" customHeight="1">
      <c r="A308" s="8" t="str">
        <f>IFERROR(__xludf.DUMMYFUNCTION("""COMPUTED_VALUE"""),"https://www.heydigital.co/blog/saas-marketing-agencies")</f>
        <v>https://www.heydigital.co/blog/saas-marketing-agencies</v>
      </c>
      <c r="B308" s="11" t="str">
        <f>IFERROR(__xludf.DUMMYFUNCTION("""COMPUTED_VALUE"""),"The 16 Best SaaS Marketing Agencies in 2026 | Hey Digital")</f>
        <v>The 16 Best SaaS Marketing Agencies in 2026 | Hey Digital</v>
      </c>
      <c r="C308" s="8" t="str">
        <f>IFERROR(__xludf.DUMMYFUNCTION("""COMPUTED_VALUE"""),"heydigital.co")</f>
        <v>heydigital.co</v>
      </c>
      <c r="D308" s="11" t="str">
        <f>IFERROR(__xludf.DUMMYFUNCTION("""COMPUTED_VALUE"""),"LISTICLE")</f>
        <v>LISTICLE</v>
      </c>
      <c r="E308" s="11" t="str">
        <f>IFERROR(__xludf.DUMMYFUNCTION("""COMPUTED_VALUE"""),"CORPORATE")</f>
        <v>CORPORATE</v>
      </c>
      <c r="F308" s="11" t="str">
        <f>IFERROR(__xludf.DUMMYFUNCTION("""COMPUTED_VALUE"""),"Listicle")</f>
        <v>Listicle</v>
      </c>
      <c r="G308" s="11" t="b">
        <f>IFERROR(__xludf.DUMMYFUNCTION("""COMPUTED_VALUE"""),FALSE)</f>
        <v>0</v>
      </c>
      <c r="H308" s="11" t="str">
        <f>IFERROR(__xludf.DUMMYFUNCTION("""COMPUTED_VALUE"""),"Directive Consulting, NoGood, Single Grain, Omniscient Digital, Siege Media, Refine Labs")</f>
        <v>Directive Consulting, NoGood, Single Grain, Omniscient Digital, Siege Media, Refine Labs</v>
      </c>
      <c r="I308" s="11">
        <f>IFERROR(__xludf.DUMMYFUNCTION("""COMPUTED_VALUE"""),1.0)</f>
        <v>1</v>
      </c>
      <c r="J308" s="11">
        <f>IFERROR(__xludf.DUMMYFUNCTION("""COMPUTED_VALUE"""),0.0)</f>
        <v>0</v>
      </c>
      <c r="K308" s="11">
        <f>IFERROR(__xludf.DUMMYFUNCTION("""COMPUTED_VALUE"""),0.0)</f>
        <v>0</v>
      </c>
    </row>
    <row r="309" ht="15.75" customHeight="1">
      <c r="A309" s="8" t="str">
        <f>IFERROR(__xludf.DUMMYFUNCTION("""COMPUTED_VALUE"""),"https://higoodie.com/blog/ai-search-visibility-services/")</f>
        <v>https://higoodie.com/blog/ai-search-visibility-services/</v>
      </c>
      <c r="B309" s="11" t="str">
        <f>IFERROR(__xludf.DUMMYFUNCTION("""COMPUTED_VALUE"""),"AI Search Visibility Services &amp;amp; Top Providers | Goodie")</f>
        <v>AI Search Visibility Services &amp;amp; Top Providers | Goodie</v>
      </c>
      <c r="C309" s="8" t="str">
        <f>IFERROR(__xludf.DUMMYFUNCTION("""COMPUTED_VALUE"""),"higoodie.com")</f>
        <v>higoodie.com</v>
      </c>
      <c r="D309" s="11" t="str">
        <f>IFERROR(__xludf.DUMMYFUNCTION("""COMPUTED_VALUE"""),"LISTICLE")</f>
        <v>LISTICLE</v>
      </c>
      <c r="E309" s="11" t="str">
        <f>IFERROR(__xludf.DUMMYFUNCTION("""COMPUTED_VALUE"""),"OTHER")</f>
        <v>OTHER</v>
      </c>
      <c r="F309" s="11" t="str">
        <f>IFERROR(__xludf.DUMMYFUNCTION("""COMPUTED_VALUE"""),"Listicle")</f>
        <v>Listicle</v>
      </c>
      <c r="G309" s="11" t="b">
        <f>IFERROR(__xludf.DUMMYFUNCTION("""COMPUTED_VALUE"""),FALSE)</f>
        <v>0</v>
      </c>
      <c r="H309" s="11" t="str">
        <f>IFERROR(__xludf.DUMMYFUNCTION("""COMPUTED_VALUE"""),"Measured, NoGood")</f>
        <v>Measured, NoGood</v>
      </c>
      <c r="I309" s="11">
        <f>IFERROR(__xludf.DUMMYFUNCTION("""COMPUTED_VALUE"""),1.0)</f>
        <v>1</v>
      </c>
      <c r="J309" s="11">
        <f>IFERROR(__xludf.DUMMYFUNCTION("""COMPUTED_VALUE"""),0.0)</f>
        <v>0</v>
      </c>
      <c r="K309" s="11">
        <f>IFERROR(__xludf.DUMMYFUNCTION("""COMPUTED_VALUE"""),1.0)</f>
        <v>1</v>
      </c>
    </row>
    <row r="310" ht="15.75" customHeight="1">
      <c r="A310" s="8" t="str">
        <f>IFERROR(__xludf.DUMMYFUNCTION("""COMPUTED_VALUE"""),"https://hikemytraffic.com/ppc-agencies-in-germany/")</f>
        <v>https://hikemytraffic.com/ppc-agencies-in-germany/</v>
      </c>
      <c r="B310" s="11" t="str">
        <f>IFERROR(__xludf.DUMMYFUNCTION("""COMPUTED_VALUE"""),"10 Best PPC Agencies in Germany (2026)")</f>
        <v>10 Best PPC Agencies in Germany (2026)</v>
      </c>
      <c r="C310" s="8" t="str">
        <f>IFERROR(__xludf.DUMMYFUNCTION("""COMPUTED_VALUE"""),"hikemytraffic.com")</f>
        <v>hikemytraffic.com</v>
      </c>
      <c r="D310" s="11" t="str">
        <f>IFERROR(__xludf.DUMMYFUNCTION("""COMPUTED_VALUE"""),"LISTICLE")</f>
        <v>LISTICLE</v>
      </c>
      <c r="E310" s="11" t="str">
        <f>IFERROR(__xludf.DUMMYFUNCTION("""COMPUTED_VALUE"""),"COMPETITOR")</f>
        <v>COMPETITOR</v>
      </c>
      <c r="F310" s="11" t="str">
        <f>IFERROR(__xludf.DUMMYFUNCTION("""COMPUTED_VALUE"""),"Listicle")</f>
        <v>Listicle</v>
      </c>
      <c r="G310" s="11" t="b">
        <f>IFERROR(__xludf.DUMMYFUNCTION("""COMPUTED_VALUE"""),FALSE)</f>
        <v>0</v>
      </c>
      <c r="H310" s="11" t="str">
        <f>IFERROR(__xludf.DUMMYFUNCTION("""COMPUTED_VALUE"""),"HikeMyTraffic")</f>
        <v>HikeMyTraffic</v>
      </c>
      <c r="I310" s="11">
        <f>IFERROR(__xludf.DUMMYFUNCTION("""COMPUTED_VALUE"""),1.0)</f>
        <v>1</v>
      </c>
      <c r="J310" s="11">
        <f>IFERROR(__xludf.DUMMYFUNCTION("""COMPUTED_VALUE"""),0.0)</f>
        <v>0</v>
      </c>
      <c r="K310" s="11">
        <f>IFERROR(__xludf.DUMMYFUNCTION("""COMPUTED_VALUE"""),1.0)</f>
        <v>1</v>
      </c>
    </row>
    <row r="311" ht="15.75" customHeight="1">
      <c r="A311" s="8" t="str">
        <f>IFERROR(__xludf.DUMMYFUNCTION("""COMPUTED_VALUE"""),"https://www.hirefrontenddeveloperindia.com/best-ai-powered-frontend-development-companies-italy")</f>
        <v>https://www.hirefrontenddeveloperindia.com/best-ai-powered-frontend-development-companies-italy</v>
      </c>
      <c r="B311" s="11" t="str">
        <f>IFERROR(__xludf.DUMMYFUNCTION("""COMPUTED_VALUE"""),"Best AI-Powered FrontEnd Development Companies in Italy")</f>
        <v>Best AI-Powered FrontEnd Development Companies in Italy</v>
      </c>
      <c r="C311" s="8" t="str">
        <f>IFERROR(__xludf.DUMMYFUNCTION("""COMPUTED_VALUE"""),"hirefrontenddeveloperindia.com")</f>
        <v>hirefrontenddeveloperindia.com</v>
      </c>
      <c r="D311" s="11" t="str">
        <f>IFERROR(__xludf.DUMMYFUNCTION("""COMPUTED_VALUE"""),"LISTICLE")</f>
        <v>LISTICLE</v>
      </c>
      <c r="E311" s="11" t="str">
        <f>IFERROR(__xludf.DUMMYFUNCTION("""COMPUTED_VALUE"""),"CORPORATE")</f>
        <v>CORPORATE</v>
      </c>
      <c r="F311" s="11" t="str">
        <f>IFERROR(__xludf.DUMMYFUNCTION("""COMPUTED_VALUE"""),"Listicle")</f>
        <v>Listicle</v>
      </c>
      <c r="G311" s="11" t="b">
        <f>IFERROR(__xludf.DUMMYFUNCTION("""COMPUTED_VALUE"""),FALSE)</f>
        <v>0</v>
      </c>
      <c r="H311" s="11" t="str">
        <f>IFERROR(__xludf.DUMMYFUNCTION("""COMPUTED_VALUE"""),"Pilot")</f>
        <v>Pilot</v>
      </c>
      <c r="I311" s="11">
        <f>IFERROR(__xludf.DUMMYFUNCTION("""COMPUTED_VALUE"""),1.0)</f>
        <v>1</v>
      </c>
      <c r="J311" s="11">
        <f>IFERROR(__xludf.DUMMYFUNCTION("""COMPUTED_VALUE"""),0.0)</f>
        <v>0</v>
      </c>
      <c r="K311" s="11">
        <f>IFERROR(__xludf.DUMMYFUNCTION("""COMPUTED_VALUE"""),0.0)</f>
        <v>0</v>
      </c>
    </row>
    <row r="312" ht="15.75" customHeight="1">
      <c r="A312" s="8" t="str">
        <f>IFERROR(__xludf.DUMMYFUNCTION("""COMPUTED_VALUE"""),"https://www.horizont.net/agenturen/nachrichten/30-jahre-horizont-kreativranking-das-sind-die-kreativsten-deutschen-werbeagenturen-aller-zeiten-216796")</f>
        <v>https://www.horizont.net/agenturen/nachrichten/30-jahre-horizont-kreativranking-das-sind-die-kreativsten-deutschen-werbeagenturen-aller-zeiten-216796</v>
      </c>
      <c r="B312" s="11" t="str">
        <f>IFERROR(__xludf.DUMMYFUNCTION("""COMPUTED_VALUE"""),"30 Jahre HORIZONT-Kreativranking: Das sind die kreativsten deutschen Werbeagenturen aller Zeiten - HORIZONT")</f>
        <v>30 Jahre HORIZONT-Kreativranking: Das sind die kreativsten deutschen Werbeagenturen aller Zeiten - HORIZONT</v>
      </c>
      <c r="C312" s="8" t="str">
        <f>IFERROR(__xludf.DUMMYFUNCTION("""COMPUTED_VALUE"""),"horizont.net")</f>
        <v>horizont.net</v>
      </c>
      <c r="D312" s="11" t="str">
        <f>IFERROR(__xludf.DUMMYFUNCTION("""COMPUTED_VALUE"""),"LISTICLE")</f>
        <v>LISTICLE</v>
      </c>
      <c r="E312" s="11" t="str">
        <f>IFERROR(__xludf.DUMMYFUNCTION("""COMPUTED_VALUE"""),"EDITORIAL")</f>
        <v>EDITORIAL</v>
      </c>
      <c r="F312" s="11" t="str">
        <f>IFERROR(__xludf.DUMMYFUNCTION("""COMPUTED_VALUE"""),"Listicle")</f>
        <v>Listicle</v>
      </c>
      <c r="G312" s="11" t="b">
        <f>IFERROR(__xludf.DUMMYFUNCTION("""COMPUTED_VALUE"""),FALSE)</f>
        <v>0</v>
      </c>
      <c r="H312" s="11" t="str">
        <f>IFERROR(__xludf.DUMMYFUNCTION("""COMPUTED_VALUE"""),"Jung von Matt, Publicis Groupe")</f>
        <v>Jung von Matt, Publicis Groupe</v>
      </c>
      <c r="I312" s="11">
        <f>IFERROR(__xludf.DUMMYFUNCTION("""COMPUTED_VALUE"""),1.0)</f>
        <v>1</v>
      </c>
      <c r="J312" s="11">
        <f>IFERROR(__xludf.DUMMYFUNCTION("""COMPUTED_VALUE"""),0.0)</f>
        <v>0</v>
      </c>
      <c r="K312" s="11">
        <f>IFERROR(__xludf.DUMMYFUNCTION("""COMPUTED_VALUE"""),1.0)</f>
        <v>1</v>
      </c>
    </row>
    <row r="313" ht="15.75" customHeight="1">
      <c r="A313" s="8" t="str">
        <f>IFERROR(__xludf.DUMMYFUNCTION("""COMPUTED_VALUE"""),"https://www.horizont.net/agenturen/nachrichten/horizont-kreativranking-2025-das-sind-die-30-kreativsten-agenturen-deutschlands-232906")</f>
        <v>https://www.horizont.net/agenturen/nachrichten/horizont-kreativranking-2025-das-sind-die-30-kreativsten-agenturen-deutschlands-232906</v>
      </c>
      <c r="B313" s="11" t="str">
        <f>IFERROR(__xludf.DUMMYFUNCTION("""COMPUTED_VALUE"""),"HORIZONT Kreativranking 2025: Das sind die 30 kreativsten Agenturen Deutschlands - HORIZONT")</f>
        <v>HORIZONT Kreativranking 2025: Das sind die 30 kreativsten Agenturen Deutschlands - HORIZONT</v>
      </c>
      <c r="C313" s="8" t="str">
        <f>IFERROR(__xludf.DUMMYFUNCTION("""COMPUTED_VALUE"""),"horizont.net")</f>
        <v>horizont.net</v>
      </c>
      <c r="D313" s="11" t="str">
        <f>IFERROR(__xludf.DUMMYFUNCTION("""COMPUTED_VALUE"""),"LISTICLE")</f>
        <v>LISTICLE</v>
      </c>
      <c r="E313" s="11" t="str">
        <f>IFERROR(__xludf.DUMMYFUNCTION("""COMPUTED_VALUE"""),"EDITORIAL")</f>
        <v>EDITORIAL</v>
      </c>
      <c r="F313" s="11" t="str">
        <f>IFERROR(__xludf.DUMMYFUNCTION("""COMPUTED_VALUE"""),"Listicle")</f>
        <v>Listicle</v>
      </c>
      <c r="G313" s="11" t="b">
        <f>IFERROR(__xludf.DUMMYFUNCTION("""COMPUTED_VALUE"""),FALSE)</f>
        <v>0</v>
      </c>
      <c r="H313" s="11"/>
      <c r="I313" s="11">
        <f>IFERROR(__xludf.DUMMYFUNCTION("""COMPUTED_VALUE"""),1.0)</f>
        <v>1</v>
      </c>
      <c r="J313" s="11">
        <f>IFERROR(__xludf.DUMMYFUNCTION("""COMPUTED_VALUE"""),0.0)</f>
        <v>0</v>
      </c>
      <c r="K313" s="11">
        <f>IFERROR(__xludf.DUMMYFUNCTION("""COMPUTED_VALUE"""),1.0)</f>
        <v>1</v>
      </c>
    </row>
    <row r="314" ht="15.75" customHeight="1">
      <c r="A314" s="8" t="str">
        <f>IFERROR(__xludf.DUMMYFUNCTION("""COMPUTED_VALUE"""),"https://hourlydeveloper.io/blog/best-ai-powered-machine-learning-development-firms-in-germany")</f>
        <v>https://hourlydeveloper.io/blog/best-ai-powered-machine-learning-development-firms-in-germany</v>
      </c>
      <c r="B314" s="11" t="str">
        <f>IFERROR(__xludf.DUMMYFUNCTION("""COMPUTED_VALUE"""),"Best AI-Powered Machine Learning Development Firms in Germany")</f>
        <v>Best AI-Powered Machine Learning Development Firms in Germany</v>
      </c>
      <c r="C314" s="8" t="str">
        <f>IFERROR(__xludf.DUMMYFUNCTION("""COMPUTED_VALUE"""),"hourlydeveloper.io")</f>
        <v>hourlydeveloper.io</v>
      </c>
      <c r="D314" s="11" t="str">
        <f>IFERROR(__xludf.DUMMYFUNCTION("""COMPUTED_VALUE"""),"LISTICLE")</f>
        <v>LISTICLE</v>
      </c>
      <c r="E314" s="11" t="str">
        <f>IFERROR(__xludf.DUMMYFUNCTION("""COMPUTED_VALUE"""),"CORPORATE")</f>
        <v>CORPORATE</v>
      </c>
      <c r="F314" s="11" t="str">
        <f>IFERROR(__xludf.DUMMYFUNCTION("""COMPUTED_VALUE"""),"Listicle")</f>
        <v>Listicle</v>
      </c>
      <c r="G314" s="11" t="b">
        <f>IFERROR(__xludf.DUMMYFUNCTION("""COMPUTED_VALUE"""),FALSE)</f>
        <v>0</v>
      </c>
      <c r="H314" s="11" t="str">
        <f>IFERROR(__xludf.DUMMYFUNCTION("""COMPUTED_VALUE"""),"appliedAI, Pilot")</f>
        <v>appliedAI, Pilot</v>
      </c>
      <c r="I314" s="11">
        <f>IFERROR(__xludf.DUMMYFUNCTION("""COMPUTED_VALUE"""),1.0)</f>
        <v>1</v>
      </c>
      <c r="J314" s="11">
        <f>IFERROR(__xludf.DUMMYFUNCTION("""COMPUTED_VALUE"""),0.0)</f>
        <v>0</v>
      </c>
      <c r="K314" s="11">
        <f>IFERROR(__xludf.DUMMYFUNCTION("""COMPUTED_VALUE"""),0.0)</f>
        <v>0</v>
      </c>
    </row>
    <row r="315" ht="15.75" customHeight="1">
      <c r="A315" s="8" t="str">
        <f>IFERROR(__xludf.DUMMYFUNCTION("""COMPUTED_VALUE"""),"https://www.housesofgrowth.com/post/ai-digital-marketing-agencies")</f>
        <v>https://www.housesofgrowth.com/post/ai-digital-marketing-agencies</v>
      </c>
      <c r="B315" s="11" t="str">
        <f>IFERROR(__xludf.DUMMYFUNCTION("""COMPUTED_VALUE"""),"10 Best AI Digital Marketing Agencies (2026)")</f>
        <v>10 Best AI Digital Marketing Agencies (2026)</v>
      </c>
      <c r="C315" s="8" t="str">
        <f>IFERROR(__xludf.DUMMYFUNCTION("""COMPUTED_VALUE"""),"housesofgrowth.com")</f>
        <v>housesofgrowth.com</v>
      </c>
      <c r="D315" s="11" t="str">
        <f>IFERROR(__xludf.DUMMYFUNCTION("""COMPUTED_VALUE"""),"LISTICLE")</f>
        <v>LISTICLE</v>
      </c>
      <c r="E315" s="11" t="str">
        <f>IFERROR(__xludf.DUMMYFUNCTION("""COMPUTED_VALUE"""),"CORPORATE")</f>
        <v>CORPORATE</v>
      </c>
      <c r="F315" s="11" t="str">
        <f>IFERROR(__xludf.DUMMYFUNCTION("""COMPUTED_VALUE"""),"Listicle")</f>
        <v>Listicle</v>
      </c>
      <c r="G315" s="11" t="b">
        <f>IFERROR(__xludf.DUMMYFUNCTION("""COMPUTED_VALUE"""),FALSE)</f>
        <v>0</v>
      </c>
      <c r="H315" s="11" t="str">
        <f>IFERROR(__xludf.DUMMYFUNCTION("""COMPUTED_VALUE"""),"NoGood, Single Grain, Power Digital, Wpromote, Omniscient Digital, Superside")</f>
        <v>NoGood, Single Grain, Power Digital, Wpromote, Omniscient Digital, Superside</v>
      </c>
      <c r="I315" s="11">
        <f>IFERROR(__xludf.DUMMYFUNCTION("""COMPUTED_VALUE"""),1.0)</f>
        <v>1</v>
      </c>
      <c r="J315" s="11">
        <f>IFERROR(__xludf.DUMMYFUNCTION("""COMPUTED_VALUE"""),0.0)</f>
        <v>0</v>
      </c>
      <c r="K315" s="11">
        <f>IFERROR(__xludf.DUMMYFUNCTION("""COMPUTED_VALUE"""),1.0)</f>
        <v>1</v>
      </c>
    </row>
    <row r="316" ht="15.75" customHeight="1">
      <c r="A316" s="8" t="str">
        <f>IFERROR(__xludf.DUMMYFUNCTION("""COMPUTED_VALUE"""),"https://humanise.world/blog/first-party-data-activation")</f>
        <v>https://humanise.world/blog/first-party-data-activation</v>
      </c>
      <c r="B316" s="11" t="str">
        <f>IFERROR(__xludf.DUMMYFUNCTION("""COMPUTED_VALUE"""),"Three Truths About First-Party Data Activation | Humanise")</f>
        <v>Three Truths About First-Party Data Activation | Humanise</v>
      </c>
      <c r="C316" s="11" t="str">
        <f>IFERROR(__xludf.DUMMYFUNCTION("""COMPUTED_VALUE"""),"humanise.world")</f>
        <v>humanise.world</v>
      </c>
      <c r="D316" s="11" t="str">
        <f>IFERROR(__xludf.DUMMYFUNCTION("""COMPUTED_VALUE"""),"LISTICLE")</f>
        <v>LISTICLE</v>
      </c>
      <c r="E316" s="11" t="str">
        <f>IFERROR(__xludf.DUMMYFUNCTION("""COMPUTED_VALUE"""),"CORPORATE")</f>
        <v>CORPORATE</v>
      </c>
      <c r="F316" s="11" t="str">
        <f>IFERROR(__xludf.DUMMYFUNCTION("""COMPUTED_VALUE"""),"Listicle")</f>
        <v>Listicle</v>
      </c>
      <c r="G316" s="11" t="b">
        <f>IFERROR(__xludf.DUMMYFUNCTION("""COMPUTED_VALUE"""),FALSE)</f>
        <v>0</v>
      </c>
      <c r="H316" s="11"/>
      <c r="I316" s="11">
        <f>IFERROR(__xludf.DUMMYFUNCTION("""COMPUTED_VALUE"""),1.0)</f>
        <v>1</v>
      </c>
      <c r="J316" s="11">
        <f>IFERROR(__xludf.DUMMYFUNCTION("""COMPUTED_VALUE"""),0.0)</f>
        <v>0</v>
      </c>
      <c r="K316" s="11">
        <f>IFERROR(__xludf.DUMMYFUNCTION("""COMPUTED_VALUE"""),0.0)</f>
        <v>0</v>
      </c>
    </row>
    <row r="317" ht="15.75" customHeight="1">
      <c r="A317" s="8" t="str">
        <f>IFERROR(__xludf.DUMMYFUNCTION("""COMPUTED_VALUE"""),"https://www.hustlermarketing.com/best-email-marketing-agencies-2026-comparison-guide/")</f>
        <v>https://www.hustlermarketing.com/best-email-marketing-agencies-2026-comparison-guide/</v>
      </c>
      <c r="B317" s="11" t="str">
        <f>IFERROR(__xludf.DUMMYFUNCTION("""COMPUTED_VALUE"""),"Best Email Marketing Agencies in 2026 (Reviewed &amp;amp; Ranked)")</f>
        <v>Best Email Marketing Agencies in 2026 (Reviewed &amp;amp; Ranked)</v>
      </c>
      <c r="C317" s="8" t="str">
        <f>IFERROR(__xludf.DUMMYFUNCTION("""COMPUTED_VALUE"""),"hustlermarketing.com")</f>
        <v>hustlermarketing.com</v>
      </c>
      <c r="D317" s="11" t="str">
        <f>IFERROR(__xludf.DUMMYFUNCTION("""COMPUTED_VALUE"""),"LISTICLE")</f>
        <v>LISTICLE</v>
      </c>
      <c r="E317" s="11" t="str">
        <f>IFERROR(__xludf.DUMMYFUNCTION("""COMPUTED_VALUE"""),"CORPORATE")</f>
        <v>CORPORATE</v>
      </c>
      <c r="F317" s="11" t="str">
        <f>IFERROR(__xludf.DUMMYFUNCTION("""COMPUTED_VALUE"""),"Listicle")</f>
        <v>Listicle</v>
      </c>
      <c r="G317" s="11" t="b">
        <f>IFERROR(__xludf.DUMMYFUNCTION("""COMPUTED_VALUE"""),FALSE)</f>
        <v>0</v>
      </c>
      <c r="H317" s="11"/>
      <c r="I317" s="11">
        <f>IFERROR(__xludf.DUMMYFUNCTION("""COMPUTED_VALUE"""),1.0)</f>
        <v>1</v>
      </c>
      <c r="J317" s="11">
        <f>IFERROR(__xludf.DUMMYFUNCTION("""COMPUTED_VALUE"""),0.0)</f>
        <v>0</v>
      </c>
      <c r="K317" s="11">
        <f>IFERROR(__xludf.DUMMYFUNCTION("""COMPUTED_VALUE"""),0.0)</f>
        <v>0</v>
      </c>
    </row>
    <row r="318" ht="15.75" customHeight="1">
      <c r="A318" s="8" t="str">
        <f>IFERROR(__xludf.DUMMYFUNCTION("""COMPUTED_VALUE"""),"https://www.ibusiness.de/performance-ranking/performance_2020.html")</f>
        <v>https://www.ibusiness.de/performance-ranking/performance_2020.html</v>
      </c>
      <c r="B318" s="11" t="str">
        <f>IFERROR(__xludf.DUMMYFUNCTION("""COMPUTED_VALUE"""),"Das Ranking der gr��ten deutschen Performance-Marketing-Agenturen")</f>
        <v>Das Ranking der gr��ten deutschen Performance-Marketing-Agenturen</v>
      </c>
      <c r="C318" s="8" t="str">
        <f>IFERROR(__xludf.DUMMYFUNCTION("""COMPUTED_VALUE"""),"ibusiness.de")</f>
        <v>ibusiness.de</v>
      </c>
      <c r="D318" s="11" t="str">
        <f>IFERROR(__xludf.DUMMYFUNCTION("""COMPUTED_VALUE"""),"LISTICLE")</f>
        <v>LISTICLE</v>
      </c>
      <c r="E318" s="11" t="str">
        <f>IFERROR(__xludf.DUMMYFUNCTION("""COMPUTED_VALUE"""),"EDITORIAL")</f>
        <v>EDITORIAL</v>
      </c>
      <c r="F318" s="11" t="str">
        <f>IFERROR(__xludf.DUMMYFUNCTION("""COMPUTED_VALUE"""),"Listicle")</f>
        <v>Listicle</v>
      </c>
      <c r="G318" s="11" t="b">
        <f>IFERROR(__xludf.DUMMYFUNCTION("""COMPUTED_VALUE"""),FALSE)</f>
        <v>0</v>
      </c>
      <c r="H318" s="11" t="str">
        <f>IFERROR(__xludf.DUMMYFUNCTION("""COMPUTED_VALUE"""),"iProspect, Artefact, Omnicom, Omnicom Media Group, e-dialog, morefire, Aufgesang, Think11")</f>
        <v>iProspect, Artefact, Omnicom, Omnicom Media Group, e-dialog, morefire, Aufgesang, Think11</v>
      </c>
      <c r="I318" s="11">
        <f>IFERROR(__xludf.DUMMYFUNCTION("""COMPUTED_VALUE"""),1.0)</f>
        <v>1</v>
      </c>
      <c r="J318" s="11">
        <f>IFERROR(__xludf.DUMMYFUNCTION("""COMPUTED_VALUE"""),0.0)</f>
        <v>0</v>
      </c>
      <c r="K318" s="11">
        <f>IFERROR(__xludf.DUMMYFUNCTION("""COMPUTED_VALUE"""),0.0)</f>
        <v>0</v>
      </c>
    </row>
    <row r="319" ht="15.75" customHeight="1">
      <c r="A319" s="8" t="str">
        <f>IFERROR(__xludf.DUMMYFUNCTION("""COMPUTED_VALUE"""),"https://www.ibusiness.de/performance-ranking/performance_2024")</f>
        <v>https://www.ibusiness.de/performance-ranking/performance_2024</v>
      </c>
      <c r="B319" s="11" t="str">
        <f>IFERROR(__xludf.DUMMYFUNCTION("""COMPUTED_VALUE"""),"Das Ranking der gr��ten deutschen Performance-Marketing-Agenturen")</f>
        <v>Das Ranking der gr��ten deutschen Performance-Marketing-Agenturen</v>
      </c>
      <c r="C319" s="8" t="str">
        <f>IFERROR(__xludf.DUMMYFUNCTION("""COMPUTED_VALUE"""),"ibusiness.de")</f>
        <v>ibusiness.de</v>
      </c>
      <c r="D319" s="11" t="str">
        <f>IFERROR(__xludf.DUMMYFUNCTION("""COMPUTED_VALUE"""),"LISTICLE")</f>
        <v>LISTICLE</v>
      </c>
      <c r="E319" s="11" t="str">
        <f>IFERROR(__xludf.DUMMYFUNCTION("""COMPUTED_VALUE"""),"EDITORIAL")</f>
        <v>EDITORIAL</v>
      </c>
      <c r="F319" s="11" t="str">
        <f>IFERROR(__xludf.DUMMYFUNCTION("""COMPUTED_VALUE"""),"Listicle")</f>
        <v>Listicle</v>
      </c>
      <c r="G319" s="11" t="b">
        <f>IFERROR(__xludf.DUMMYFUNCTION("""COMPUTED_VALUE"""),FALSE)</f>
        <v>0</v>
      </c>
      <c r="H319" s="11" t="str">
        <f>IFERROR(__xludf.DUMMYFUNCTION("""COMPUTED_VALUE"""),"iProspect, Smarketer, Peak Ace, e-dialog, morefire, The Boutique Agency, 42DIGITAL, Aufgesang, eMinded GmbH")</f>
        <v>iProspect, Smarketer, Peak Ace, e-dialog, morefire, The Boutique Agency, 42DIGITAL, Aufgesang, eMinded GmbH</v>
      </c>
      <c r="I319" s="11">
        <f>IFERROR(__xludf.DUMMYFUNCTION("""COMPUTED_VALUE"""),1.0)</f>
        <v>1</v>
      </c>
      <c r="J319" s="11">
        <f>IFERROR(__xludf.DUMMYFUNCTION("""COMPUTED_VALUE"""),0.0)</f>
        <v>0</v>
      </c>
      <c r="K319" s="11">
        <f>IFERROR(__xludf.DUMMYFUNCTION("""COMPUTED_VALUE"""),0.0)</f>
        <v>0</v>
      </c>
    </row>
    <row r="320" ht="15.75" customHeight="1">
      <c r="A320" s="8" t="str">
        <f>IFERROR(__xludf.DUMMYFUNCTION("""COMPUTED_VALUE"""),"https://icoda.io/de/ai/best-ai-digital-marketing-agencies/")</f>
        <v>https://icoda.io/de/ai/best-ai-digital-marketing-agencies/</v>
      </c>
      <c r="B320" s="11" t="str">
        <f>IFERROR(__xludf.DUMMYFUNCTION("""COMPUTED_VALUE"""),"Top 10 KI-Agenturen für digitales Marketing [2026]")</f>
        <v>Top 10 KI-Agenturen für digitales Marketing [2026]</v>
      </c>
      <c r="C320" s="8" t="str">
        <f>IFERROR(__xludf.DUMMYFUNCTION("""COMPUTED_VALUE"""),"icoda.io")</f>
        <v>icoda.io</v>
      </c>
      <c r="D320" s="11" t="str">
        <f>IFERROR(__xludf.DUMMYFUNCTION("""COMPUTED_VALUE"""),"LISTICLE")</f>
        <v>LISTICLE</v>
      </c>
      <c r="E320" s="11" t="str">
        <f>IFERROR(__xludf.DUMMYFUNCTION("""COMPUTED_VALUE"""),"CORPORATE")</f>
        <v>CORPORATE</v>
      </c>
      <c r="F320" s="11" t="str">
        <f>IFERROR(__xludf.DUMMYFUNCTION("""COMPUTED_VALUE"""),"Listicle")</f>
        <v>Listicle</v>
      </c>
      <c r="G320" s="11" t="b">
        <f>IFERROR(__xludf.DUMMYFUNCTION("""COMPUTED_VALUE"""),FALSE)</f>
        <v>0</v>
      </c>
      <c r="H320" s="11" t="str">
        <f>IFERROR(__xludf.DUMMYFUNCTION("""COMPUTED_VALUE"""),"Wpromote, Brainlabs, Tinuiti, Directive Consulting, Jellyfish, Single Grain")</f>
        <v>Wpromote, Brainlabs, Tinuiti, Directive Consulting, Jellyfish, Single Grain</v>
      </c>
      <c r="I320" s="11">
        <f>IFERROR(__xludf.DUMMYFUNCTION("""COMPUTED_VALUE"""),1.0)</f>
        <v>1</v>
      </c>
      <c r="J320" s="11">
        <f>IFERROR(__xludf.DUMMYFUNCTION("""COMPUTED_VALUE"""),0.0)</f>
        <v>0</v>
      </c>
      <c r="K320" s="11">
        <f>IFERROR(__xludf.DUMMYFUNCTION("""COMPUTED_VALUE"""),0.0)</f>
        <v>0</v>
      </c>
    </row>
    <row r="321" ht="15.75" customHeight="1">
      <c r="A321" s="8" t="str">
        <f>IFERROR(__xludf.DUMMYFUNCTION("""COMPUTED_VALUE"""),"https://icoda.io/de/ai/best-ai-marketing-agencies/")</f>
        <v>https://icoda.io/de/ai/best-ai-marketing-agencies/</v>
      </c>
      <c r="B321" s="11" t="str">
        <f>IFERROR(__xludf.DUMMYFUNCTION("""COMPUTED_VALUE"""),"Die 14 besten KI-Marketing-Agenturen für ROI-Wachstum")</f>
        <v>Die 14 besten KI-Marketing-Agenturen für ROI-Wachstum</v>
      </c>
      <c r="C321" s="8" t="str">
        <f>IFERROR(__xludf.DUMMYFUNCTION("""COMPUTED_VALUE"""),"icoda.io")</f>
        <v>icoda.io</v>
      </c>
      <c r="D321" s="11" t="str">
        <f>IFERROR(__xludf.DUMMYFUNCTION("""COMPUTED_VALUE"""),"LISTICLE")</f>
        <v>LISTICLE</v>
      </c>
      <c r="E321" s="11" t="str">
        <f>IFERROR(__xludf.DUMMYFUNCTION("""COMPUTED_VALUE"""),"CORPORATE")</f>
        <v>CORPORATE</v>
      </c>
      <c r="F321" s="11" t="str">
        <f>IFERROR(__xludf.DUMMYFUNCTION("""COMPUTED_VALUE"""),"Listicle")</f>
        <v>Listicle</v>
      </c>
      <c r="G321" s="11" t="b">
        <f>IFERROR(__xludf.DUMMYFUNCTION("""COMPUTED_VALUE"""),FALSE)</f>
        <v>0</v>
      </c>
      <c r="H321" s="11"/>
      <c r="I321" s="11">
        <f>IFERROR(__xludf.DUMMYFUNCTION("""COMPUTED_VALUE"""),1.0)</f>
        <v>1</v>
      </c>
      <c r="J321" s="11">
        <f>IFERROR(__xludf.DUMMYFUNCTION("""COMPUTED_VALUE"""),0.0)</f>
        <v>0</v>
      </c>
      <c r="K321" s="11">
        <f>IFERROR(__xludf.DUMMYFUNCTION("""COMPUTED_VALUE"""),0.0)</f>
        <v>0</v>
      </c>
    </row>
    <row r="322" ht="15.75" customHeight="1">
      <c r="A322" s="8" t="str">
        <f>IFERROR(__xludf.DUMMYFUNCTION("""COMPUTED_VALUE"""),"https://www.icreativez.com/global-leaders/15-performance-ad-agencies-scalable-growth-2026.html")</f>
        <v>https://www.icreativez.com/global-leaders/15-performance-ad-agencies-scalable-growth-2026.html</v>
      </c>
      <c r="B322" s="11" t="str">
        <f>IFERROR(__xludf.DUMMYFUNCTION("""COMPUTED_VALUE"""),"15 Elite Performance-Driven Ad Agencies | Scalable Growth 2026")</f>
        <v>15 Elite Performance-Driven Ad Agencies | Scalable Growth 2026</v>
      </c>
      <c r="C322" s="8" t="str">
        <f>IFERROR(__xludf.DUMMYFUNCTION("""COMPUTED_VALUE"""),"icreativez.com")</f>
        <v>icreativez.com</v>
      </c>
      <c r="D322" s="11" t="str">
        <f>IFERROR(__xludf.DUMMYFUNCTION("""COMPUTED_VALUE"""),"LISTICLE")</f>
        <v>LISTICLE</v>
      </c>
      <c r="E322" s="11" t="str">
        <f>IFERROR(__xludf.DUMMYFUNCTION("""COMPUTED_VALUE"""),"OTHER")</f>
        <v>OTHER</v>
      </c>
      <c r="F322" s="11" t="str">
        <f>IFERROR(__xludf.DUMMYFUNCTION("""COMPUTED_VALUE"""),"Listicle")</f>
        <v>Listicle</v>
      </c>
      <c r="G322" s="11" t="b">
        <f>IFERROR(__xludf.DUMMYFUNCTION("""COMPUTED_VALUE"""),FALSE)</f>
        <v>0</v>
      </c>
      <c r="H322" s="11"/>
      <c r="I322" s="11">
        <f>IFERROR(__xludf.DUMMYFUNCTION("""COMPUTED_VALUE"""),1.0)</f>
        <v>1</v>
      </c>
      <c r="J322" s="11">
        <f>IFERROR(__xludf.DUMMYFUNCTION("""COMPUTED_VALUE"""),0.0)</f>
        <v>0</v>
      </c>
      <c r="K322" s="11">
        <f>IFERROR(__xludf.DUMMYFUNCTION("""COMPUTED_VALUE"""),0.0)</f>
        <v>0</v>
      </c>
    </row>
    <row r="323" ht="15.75" customHeight="1">
      <c r="A323" s="8" t="str">
        <f>IFERROR(__xludf.DUMMYFUNCTION("""COMPUTED_VALUE"""),"https://inbeat.agency/blog/top-performance-creative-agencies")</f>
        <v>https://inbeat.agency/blog/top-performance-creative-agencies</v>
      </c>
      <c r="B323" s="11" t="str">
        <f>IFERROR(__xludf.DUMMYFUNCTION("""COMPUTED_VALUE"""),"Performance Creative Agencies: 15 Worth a First Call (2026) - inBeat Agency")</f>
        <v>Performance Creative Agencies: 15 Worth a First Call (2026) - inBeat Agency</v>
      </c>
      <c r="C323" s="11" t="str">
        <f>IFERROR(__xludf.DUMMYFUNCTION("""COMPUTED_VALUE"""),"inbeat.agency")</f>
        <v>inbeat.agency</v>
      </c>
      <c r="D323" s="11" t="str">
        <f>IFERROR(__xludf.DUMMYFUNCTION("""COMPUTED_VALUE"""),"LISTICLE")</f>
        <v>LISTICLE</v>
      </c>
      <c r="E323" s="11" t="str">
        <f>IFERROR(__xludf.DUMMYFUNCTION("""COMPUTED_VALUE"""),"COMPETITOR")</f>
        <v>COMPETITOR</v>
      </c>
      <c r="F323" s="11" t="str">
        <f>IFERROR(__xludf.DUMMYFUNCTION("""COMPUTED_VALUE"""),"Listicle")</f>
        <v>Listicle</v>
      </c>
      <c r="G323" s="11" t="b">
        <f>IFERROR(__xludf.DUMMYFUNCTION("""COMPUTED_VALUE"""),FALSE)</f>
        <v>0</v>
      </c>
      <c r="H323" s="11" t="str">
        <f>IFERROR(__xludf.DUMMYFUNCTION("""COMPUTED_VALUE"""),"inBeat, Nielsen, Tinuiti, Darkroom, Bark London")</f>
        <v>inBeat, Nielsen, Tinuiti, Darkroom, Bark London</v>
      </c>
      <c r="I323" s="11">
        <f>IFERROR(__xludf.DUMMYFUNCTION("""COMPUTED_VALUE"""),1.0)</f>
        <v>1</v>
      </c>
      <c r="J323" s="11">
        <f>IFERROR(__xludf.DUMMYFUNCTION("""COMPUTED_VALUE"""),0.0)</f>
        <v>0</v>
      </c>
      <c r="K323" s="11">
        <f>IFERROR(__xludf.DUMMYFUNCTION("""COMPUTED_VALUE"""),0.0)</f>
        <v>0</v>
      </c>
    </row>
    <row r="324" ht="15.75" customHeight="1">
      <c r="A324" s="8" t="str">
        <f>IFERROR(__xludf.DUMMYFUNCTION("""COMPUTED_VALUE"""),"https://www.inbeat.co/articles/top-performance-marketing-agencies/")</f>
        <v>https://www.inbeat.co/articles/top-performance-marketing-agencies/</v>
      </c>
      <c r="B324" s="11" t="str">
        <f>IFERROR(__xludf.DUMMYFUNCTION("""COMPUTED_VALUE"""),"Top 30 Performance Marketing Agencies for 2026 and Beyond")</f>
        <v>Top 30 Performance Marketing Agencies for 2026 and Beyond</v>
      </c>
      <c r="C324" s="8" t="str">
        <f>IFERROR(__xludf.DUMMYFUNCTION("""COMPUTED_VALUE"""),"inbeat.co")</f>
        <v>inbeat.co</v>
      </c>
      <c r="D324" s="11" t="str">
        <f>IFERROR(__xludf.DUMMYFUNCTION("""COMPUTED_VALUE"""),"LISTICLE")</f>
        <v>LISTICLE</v>
      </c>
      <c r="E324" s="11" t="str">
        <f>IFERROR(__xludf.DUMMYFUNCTION("""COMPUTED_VALUE"""),"CORPORATE")</f>
        <v>CORPORATE</v>
      </c>
      <c r="F324" s="11" t="str">
        <f>IFERROR(__xludf.DUMMYFUNCTION("""COMPUTED_VALUE"""),"Listicle")</f>
        <v>Listicle</v>
      </c>
      <c r="G324" s="11" t="b">
        <f>IFERROR(__xludf.DUMMYFUNCTION("""COMPUTED_VALUE"""),FALSE)</f>
        <v>0</v>
      </c>
      <c r="H324" s="11" t="str">
        <f>IFERROR(__xludf.DUMMYFUNCTION("""COMPUTED_VALUE"""),"inBeat, Momentum, Tinuiti, Bark London, Single Grain, Mediacharge")</f>
        <v>inBeat, Momentum, Tinuiti, Bark London, Single Grain, Mediacharge</v>
      </c>
      <c r="I324" s="11">
        <f>IFERROR(__xludf.DUMMYFUNCTION("""COMPUTED_VALUE"""),1.0)</f>
        <v>1</v>
      </c>
      <c r="J324" s="11">
        <f>IFERROR(__xludf.DUMMYFUNCTION("""COMPUTED_VALUE"""),0.0)</f>
        <v>0</v>
      </c>
      <c r="K324" s="11">
        <f>IFERROR(__xludf.DUMMYFUNCTION("""COMPUTED_VALUE"""),0.0)</f>
        <v>0</v>
      </c>
    </row>
    <row r="325" ht="15.75" customHeight="1">
      <c r="A325" s="8" t="str">
        <f>IFERROR(__xludf.DUMMYFUNCTION("""COMPUTED_VALUE"""),"https://www.influencer-hero.com/de/blogs/top-digital-marketing-agencies-in-germany")</f>
        <v>https://www.influencer-hero.com/de/blogs/top-digital-marketing-agencies-in-germany</v>
      </c>
      <c r="B325" s="11" t="str">
        <f>IFERROR(__xludf.DUMMYFUNCTION("""COMPUTED_VALUE"""),"Top 10 Digital-Marketing-Agenturen in Deutschland")</f>
        <v>Top 10 Digital-Marketing-Agenturen in Deutschland</v>
      </c>
      <c r="C325" s="8" t="str">
        <f>IFERROR(__xludf.DUMMYFUNCTION("""COMPUTED_VALUE"""),"influencer-hero.com")</f>
        <v>influencer-hero.com</v>
      </c>
      <c r="D325" s="11" t="str">
        <f>IFERROR(__xludf.DUMMYFUNCTION("""COMPUTED_VALUE"""),"LISTICLE")</f>
        <v>LISTICLE</v>
      </c>
      <c r="E325" s="11" t="str">
        <f>IFERROR(__xludf.DUMMYFUNCTION("""COMPUTED_VALUE"""),"CORPORATE")</f>
        <v>CORPORATE</v>
      </c>
      <c r="F325" s="11" t="str">
        <f>IFERROR(__xludf.DUMMYFUNCTION("""COMPUTED_VALUE"""),"Listicle")</f>
        <v>Listicle</v>
      </c>
      <c r="G325" s="11" t="b">
        <f>IFERROR(__xludf.DUMMYFUNCTION("""COMPUTED_VALUE"""),FALSE)</f>
        <v>0</v>
      </c>
      <c r="H325" s="11" t="str">
        <f>IFERROR(__xludf.DUMMYFUNCTION("""COMPUTED_VALUE"""),"Serviceplan Group, Mawave, Globalist, Haus, Brandtech, McKinsey &amp; Company, Medialabel")</f>
        <v>Serviceplan Group, Mawave, Globalist, Haus, Brandtech, McKinsey &amp; Company, Medialabel</v>
      </c>
      <c r="I325" s="11">
        <f>IFERROR(__xludf.DUMMYFUNCTION("""COMPUTED_VALUE"""),1.0)</f>
        <v>1</v>
      </c>
      <c r="J325" s="11">
        <f>IFERROR(__xludf.DUMMYFUNCTION("""COMPUTED_VALUE"""),0.0)</f>
        <v>0</v>
      </c>
      <c r="K325" s="11">
        <f>IFERROR(__xludf.DUMMYFUNCTION("""COMPUTED_VALUE"""),2.0)</f>
        <v>2</v>
      </c>
    </row>
    <row r="326" ht="15.75" customHeight="1">
      <c r="A326" s="8" t="str">
        <f>IFERROR(__xludf.DUMMYFUNCTION("""COMPUTED_VALUE"""),"https://www.influencer-hero.com/fr/blogs/top-advertising-agencies-in-germany")</f>
        <v>https://www.influencer-hero.com/fr/blogs/top-advertising-agencies-in-germany</v>
      </c>
      <c r="B326" s="11" t="str">
        <f>IFERROR(__xludf.DUMMYFUNCTION("""COMPUTED_VALUE"""),"Top 10 Agences Publicitaires en Allemagne")</f>
        <v>Top 10 Agences Publicitaires en Allemagne</v>
      </c>
      <c r="C326" s="8" t="str">
        <f>IFERROR(__xludf.DUMMYFUNCTION("""COMPUTED_VALUE"""),"influencer-hero.com")</f>
        <v>influencer-hero.com</v>
      </c>
      <c r="D326" s="11" t="str">
        <f>IFERROR(__xludf.DUMMYFUNCTION("""COMPUTED_VALUE"""),"LISTICLE")</f>
        <v>LISTICLE</v>
      </c>
      <c r="E326" s="11" t="str">
        <f>IFERROR(__xludf.DUMMYFUNCTION("""COMPUTED_VALUE"""),"CORPORATE")</f>
        <v>CORPORATE</v>
      </c>
      <c r="F326" s="11" t="str">
        <f>IFERROR(__xludf.DUMMYFUNCTION("""COMPUTED_VALUE"""),"Listicle")</f>
        <v>Listicle</v>
      </c>
      <c r="G326" s="11" t="b">
        <f>IFERROR(__xludf.DUMMYFUNCTION("""COMPUTED_VALUE"""),FALSE)</f>
        <v>0</v>
      </c>
      <c r="H326" s="11" t="str">
        <f>IFERROR(__xludf.DUMMYFUNCTION("""COMPUTED_VALUE"""),"Pilot, Mawave, MONSOON, Globalist, Social Media Pirates, Medialabel")</f>
        <v>Pilot, Mawave, MONSOON, Globalist, Social Media Pirates, Medialabel</v>
      </c>
      <c r="I326" s="11">
        <f>IFERROR(__xludf.DUMMYFUNCTION("""COMPUTED_VALUE"""),1.0)</f>
        <v>1</v>
      </c>
      <c r="J326" s="11">
        <f>IFERROR(__xludf.DUMMYFUNCTION("""COMPUTED_VALUE"""),0.0)</f>
        <v>0</v>
      </c>
      <c r="K326" s="11">
        <f>IFERROR(__xludf.DUMMYFUNCTION("""COMPUTED_VALUE"""),1.0)</f>
        <v>1</v>
      </c>
    </row>
    <row r="327" ht="15.75" customHeight="1">
      <c r="A327" s="8" t="str">
        <f>IFERROR(__xludf.DUMMYFUNCTION("""COMPUTED_VALUE"""),"https://influencermarketinghub.com/de/google-ads-agenturen/")</f>
        <v>https://influencermarketinghub.com/de/google-ads-agenturen/</v>
      </c>
      <c r="B327" s="11" t="str">
        <f>IFERROR(__xludf.DUMMYFUNCTION("""COMPUTED_VALUE"""),"23 der besten Google-Ads-Agenturen für 2025")</f>
        <v>23 der besten Google-Ads-Agenturen für 2025</v>
      </c>
      <c r="C327" s="8" t="str">
        <f>IFERROR(__xludf.DUMMYFUNCTION("""COMPUTED_VALUE"""),"influencermarketinghub.com")</f>
        <v>influencermarketinghub.com</v>
      </c>
      <c r="D327" s="11" t="str">
        <f>IFERROR(__xludf.DUMMYFUNCTION("""COMPUTED_VALUE"""),"LISTICLE")</f>
        <v>LISTICLE</v>
      </c>
      <c r="E327" s="11" t="str">
        <f>IFERROR(__xludf.DUMMYFUNCTION("""COMPUTED_VALUE"""),"REFERENCE")</f>
        <v>REFERENCE</v>
      </c>
      <c r="F327" s="11" t="str">
        <f>IFERROR(__xludf.DUMMYFUNCTION("""COMPUTED_VALUE"""),"Listicle")</f>
        <v>Listicle</v>
      </c>
      <c r="G327" s="11" t="b">
        <f>IFERROR(__xludf.DUMMYFUNCTION("""COMPUTED_VALUE"""),FALSE)</f>
        <v>0</v>
      </c>
      <c r="H327" s="11" t="str">
        <f>IFERROR(__xludf.DUMMYFUNCTION("""COMPUTED_VALUE"""),"Single Grain, SmartSites, KlientBoost, WebFX")</f>
        <v>Single Grain, SmartSites, KlientBoost, WebFX</v>
      </c>
      <c r="I327" s="11">
        <f>IFERROR(__xludf.DUMMYFUNCTION("""COMPUTED_VALUE"""),1.0)</f>
        <v>1</v>
      </c>
      <c r="J327" s="11">
        <f>IFERROR(__xludf.DUMMYFUNCTION("""COMPUTED_VALUE"""),0.0)</f>
        <v>0</v>
      </c>
      <c r="K327" s="11">
        <f>IFERROR(__xludf.DUMMYFUNCTION("""COMPUTED_VALUE"""),0.0)</f>
        <v>0</v>
      </c>
    </row>
    <row r="328" ht="15.75" customHeight="1">
      <c r="A328" s="8" t="str">
        <f>IFERROR(__xludf.DUMMYFUNCTION("""COMPUTED_VALUE"""),"https://influencermarketinghub.com/de/ki-marketing-agenturen/")</f>
        <v>https://influencermarketinghub.com/de/ki-marketing-agenturen/</v>
      </c>
      <c r="B328" s="11" t="str">
        <f>IFERROR(__xludf.DUMMYFUNCTION("""COMPUTED_VALUE"""),"Die 9 besten KI-Marketing-Agenturen für 2025")</f>
        <v>Die 9 besten KI-Marketing-Agenturen für 2025</v>
      </c>
      <c r="C328" s="8" t="str">
        <f>IFERROR(__xludf.DUMMYFUNCTION("""COMPUTED_VALUE"""),"influencermarketinghub.com")</f>
        <v>influencermarketinghub.com</v>
      </c>
      <c r="D328" s="11" t="str">
        <f>IFERROR(__xludf.DUMMYFUNCTION("""COMPUTED_VALUE"""),"LISTICLE")</f>
        <v>LISTICLE</v>
      </c>
      <c r="E328" s="11" t="str">
        <f>IFERROR(__xludf.DUMMYFUNCTION("""COMPUTED_VALUE"""),"REFERENCE")</f>
        <v>REFERENCE</v>
      </c>
      <c r="F328" s="11" t="str">
        <f>IFERROR(__xludf.DUMMYFUNCTION("""COMPUTED_VALUE"""),"Listicle")</f>
        <v>Listicle</v>
      </c>
      <c r="G328" s="11" t="b">
        <f>IFERROR(__xludf.DUMMYFUNCTION("""COMPUTED_VALUE"""),FALSE)</f>
        <v>0</v>
      </c>
      <c r="H328" s="11" t="str">
        <f>IFERROR(__xludf.DUMMYFUNCTION("""COMPUTED_VALUE"""),"SmartSites")</f>
        <v>SmartSites</v>
      </c>
      <c r="I328" s="11">
        <f>IFERROR(__xludf.DUMMYFUNCTION("""COMPUTED_VALUE"""),1.0)</f>
        <v>1</v>
      </c>
      <c r="J328" s="11">
        <f>IFERROR(__xludf.DUMMYFUNCTION("""COMPUTED_VALUE"""),0.0)</f>
        <v>0</v>
      </c>
      <c r="K328" s="11">
        <f>IFERROR(__xludf.DUMMYFUNCTION("""COMPUTED_VALUE"""),0.0)</f>
        <v>0</v>
      </c>
    </row>
    <row r="329" ht="15.75" customHeight="1">
      <c r="A329" s="8" t="str">
        <f>IFERROR(__xludf.DUMMYFUNCTION("""COMPUTED_VALUE"""),"https://influencermarketinghub.com/de/social-media-marketing-agenturen/")</f>
        <v>https://influencermarketinghub.com/de/social-media-marketing-agenturen/</v>
      </c>
      <c r="B329" s="11" t="str">
        <f>IFERROR(__xludf.DUMMYFUNCTION("""COMPUTED_VALUE"""),"Top 48 Social Media Marketing Agenturen (Aktualisiert)")</f>
        <v>Top 48 Social Media Marketing Agenturen (Aktualisiert)</v>
      </c>
      <c r="C329" s="8" t="str">
        <f>IFERROR(__xludf.DUMMYFUNCTION("""COMPUTED_VALUE"""),"influencermarketinghub.com")</f>
        <v>influencermarketinghub.com</v>
      </c>
      <c r="D329" s="11" t="str">
        <f>IFERROR(__xludf.DUMMYFUNCTION("""COMPUTED_VALUE"""),"LISTICLE")</f>
        <v>LISTICLE</v>
      </c>
      <c r="E329" s="11" t="str">
        <f>IFERROR(__xludf.DUMMYFUNCTION("""COMPUTED_VALUE"""),"REFERENCE")</f>
        <v>REFERENCE</v>
      </c>
      <c r="F329" s="11" t="str">
        <f>IFERROR(__xludf.DUMMYFUNCTION("""COMPUTED_VALUE"""),"Listicle")</f>
        <v>Listicle</v>
      </c>
      <c r="G329" s="11" t="b">
        <f>IFERROR(__xludf.DUMMYFUNCTION("""COMPUTED_VALUE"""),FALSE)</f>
        <v>0</v>
      </c>
      <c r="H329" s="11" t="str">
        <f>IFERROR(__xludf.DUMMYFUNCTION("""COMPUTED_VALUE"""),"KlientBoost, WebFX, Tinuiti, Convertiv")</f>
        <v>KlientBoost, WebFX, Tinuiti, Convertiv</v>
      </c>
      <c r="I329" s="11">
        <f>IFERROR(__xludf.DUMMYFUNCTION("""COMPUTED_VALUE"""),1.0)</f>
        <v>1</v>
      </c>
      <c r="J329" s="11">
        <f>IFERROR(__xludf.DUMMYFUNCTION("""COMPUTED_VALUE"""),0.0)</f>
        <v>0</v>
      </c>
      <c r="K329" s="11">
        <f>IFERROR(__xludf.DUMMYFUNCTION("""COMPUTED_VALUE"""),1.0)</f>
        <v>1</v>
      </c>
    </row>
    <row r="330" ht="15.75" customHeight="1">
      <c r="A330" s="8" t="str">
        <f>IFERROR(__xludf.DUMMYFUNCTION("""COMPUTED_VALUE"""),"https://www.intellectyx.com/ai-agent-development-companies-in-usa/")</f>
        <v>https://www.intellectyx.com/ai-agent-development-companies-in-usa/</v>
      </c>
      <c r="B330" s="11" t="str">
        <f>IFERROR(__xludf.DUMMYFUNCTION("""COMPUTED_VALUE"""),"Top AI Agent Development Companies in USA (2026)")</f>
        <v>Top AI Agent Development Companies in USA (2026)</v>
      </c>
      <c r="C330" s="8" t="str">
        <f>IFERROR(__xludf.DUMMYFUNCTION("""COMPUTED_VALUE"""),"intellectyx.com")</f>
        <v>intellectyx.com</v>
      </c>
      <c r="D330" s="11" t="str">
        <f>IFERROR(__xludf.DUMMYFUNCTION("""COMPUTED_VALUE"""),"LISTICLE")</f>
        <v>LISTICLE</v>
      </c>
      <c r="E330" s="11" t="str">
        <f>IFERROR(__xludf.DUMMYFUNCTION("""COMPUTED_VALUE"""),"UGC")</f>
        <v>UGC</v>
      </c>
      <c r="F330" s="11" t="str">
        <f>IFERROR(__xludf.DUMMYFUNCTION("""COMPUTED_VALUE"""),"Listicle")</f>
        <v>Listicle</v>
      </c>
      <c r="G330" s="11" t="b">
        <f>IFERROR(__xludf.DUMMYFUNCTION("""COMPUTED_VALUE"""),FALSE)</f>
        <v>0</v>
      </c>
      <c r="H330" s="11" t="str">
        <f>IFERROR(__xludf.DUMMYFUNCTION("""COMPUTED_VALUE"""),"Pilot")</f>
        <v>Pilot</v>
      </c>
      <c r="I330" s="11">
        <f>IFERROR(__xludf.DUMMYFUNCTION("""COMPUTED_VALUE"""),1.0)</f>
        <v>1</v>
      </c>
      <c r="J330" s="11">
        <f>IFERROR(__xludf.DUMMYFUNCTION("""COMPUTED_VALUE"""),0.0)</f>
        <v>0</v>
      </c>
      <c r="K330" s="11">
        <f>IFERROR(__xludf.DUMMYFUNCTION("""COMPUTED_VALUE"""),0.0)</f>
        <v>0</v>
      </c>
    </row>
    <row r="331" ht="15.75" customHeight="1">
      <c r="A331" s="8" t="str">
        <f>IFERROR(__xludf.DUMMYFUNCTION("""COMPUTED_VALUE"""),"https://www.intellectyx.com/list-of-20-leading-ai-consulting-firms-providing-comprehensive-services/")</f>
        <v>https://www.intellectyx.com/list-of-20-leading-ai-consulting-firms-providing-comprehensive-services/</v>
      </c>
      <c r="B331" s="11" t="str">
        <f>IFERROR(__xludf.DUMMYFUNCTION("""COMPUTED_VALUE"""),"List of 20 Leading AI Consulting Firms")</f>
        <v>List of 20 Leading AI Consulting Firms</v>
      </c>
      <c r="C331" s="8" t="str">
        <f>IFERROR(__xludf.DUMMYFUNCTION("""COMPUTED_VALUE"""),"intellectyx.com")</f>
        <v>intellectyx.com</v>
      </c>
      <c r="D331" s="11" t="str">
        <f>IFERROR(__xludf.DUMMYFUNCTION("""COMPUTED_VALUE"""),"LISTICLE")</f>
        <v>LISTICLE</v>
      </c>
      <c r="E331" s="11" t="str">
        <f>IFERROR(__xludf.DUMMYFUNCTION("""COMPUTED_VALUE"""),"UGC")</f>
        <v>UGC</v>
      </c>
      <c r="F331" s="11" t="str">
        <f>IFERROR(__xludf.DUMMYFUNCTION("""COMPUTED_VALUE"""),"Listicle")</f>
        <v>Listicle</v>
      </c>
      <c r="G331" s="11" t="b">
        <f>IFERROR(__xludf.DUMMYFUNCTION("""COMPUTED_VALUE"""),FALSE)</f>
        <v>0</v>
      </c>
      <c r="H331" s="11" t="str">
        <f>IFERROR(__xludf.DUMMYFUNCTION("""COMPUTED_VALUE"""),"Pilot, appliedAI, EY, McKinsey &amp; Company, PwC, Capgemini, Boston Consulting Group, BCG")</f>
        <v>Pilot, appliedAI, EY, McKinsey &amp; Company, PwC, Capgemini, Boston Consulting Group, BCG</v>
      </c>
      <c r="I331" s="11">
        <f>IFERROR(__xludf.DUMMYFUNCTION("""COMPUTED_VALUE"""),1.0)</f>
        <v>1</v>
      </c>
      <c r="J331" s="11">
        <f>IFERROR(__xludf.DUMMYFUNCTION("""COMPUTED_VALUE"""),0.0)</f>
        <v>0</v>
      </c>
      <c r="K331" s="11">
        <f>IFERROR(__xludf.DUMMYFUNCTION("""COMPUTED_VALUE"""),0.0)</f>
        <v>0</v>
      </c>
    </row>
    <row r="332" ht="15.75" customHeight="1">
      <c r="A332" s="8" t="str">
        <f>IFERROR(__xludf.DUMMYFUNCTION("""COMPUTED_VALUE"""),"https://www.jonas-rashedi.de/blog/customer-data-platform-experten-deutschland-2026.html")</f>
        <v>https://www.jonas-rashedi.de/blog/customer-data-platform-experten-deutschland-2026.html</v>
      </c>
      <c r="B332" s="11" t="str">
        <f>IFERROR(__xludf.DUMMYFUNCTION("""COMPUTED_VALUE"""),"Customer-Data-Platform-Experten Deutschland 2026 — Praktiker-Liste")</f>
        <v>Customer-Data-Platform-Experten Deutschland 2026 — Praktiker-Liste</v>
      </c>
      <c r="C332" s="8" t="str">
        <f>IFERROR(__xludf.DUMMYFUNCTION("""COMPUTED_VALUE"""),"jonas-rashedi.de")</f>
        <v>jonas-rashedi.de</v>
      </c>
      <c r="D332" s="11" t="str">
        <f>IFERROR(__xludf.DUMMYFUNCTION("""COMPUTED_VALUE"""),"LISTICLE")</f>
        <v>LISTICLE</v>
      </c>
      <c r="E332" s="11" t="str">
        <f>IFERROR(__xludf.DUMMYFUNCTION("""COMPUTED_VALUE"""),"CORPORATE")</f>
        <v>CORPORATE</v>
      </c>
      <c r="F332" s="11" t="str">
        <f>IFERROR(__xludf.DUMMYFUNCTION("""COMPUTED_VALUE"""),"Listicle")</f>
        <v>Listicle</v>
      </c>
      <c r="G332" s="11" t="b">
        <f>IFERROR(__xludf.DUMMYFUNCTION("""COMPUTED_VALUE"""),FALSE)</f>
        <v>0</v>
      </c>
      <c r="H332" s="11" t="str">
        <f>IFERROR(__xludf.DUMMYFUNCTION("""COMPUTED_VALUE"""),"Pilot, Capgemini")</f>
        <v>Pilot, Capgemini</v>
      </c>
      <c r="I332" s="11">
        <f>IFERROR(__xludf.DUMMYFUNCTION("""COMPUTED_VALUE"""),1.0)</f>
        <v>1</v>
      </c>
      <c r="J332" s="11">
        <f>IFERROR(__xludf.DUMMYFUNCTION("""COMPUTED_VALUE"""),0.0)</f>
        <v>0</v>
      </c>
      <c r="K332" s="11">
        <f>IFERROR(__xludf.DUMMYFUNCTION("""COMPUTED_VALUE"""),0.0)</f>
        <v>0</v>
      </c>
    </row>
    <row r="333" ht="15.75" customHeight="1">
      <c r="A333" s="8" t="str">
        <f>IFERROR(__xludf.DUMMYFUNCTION("""COMPUTED_VALUE"""),"https://www.kentucky.com/news/business/article316219281.html")</f>
        <v>https://www.kentucky.com/news/business/article316219281.html</v>
      </c>
      <c r="B333" s="11" t="str">
        <f>IFERROR(__xludf.DUMMYFUNCTION("""COMPUTED_VALUE"""),"How to choose a GEO agency: Red flags, questions and considerations \| Lexington Herald Leader")</f>
        <v>How to choose a GEO agency: Red flags, questions and considerations \| Lexington Herald Leader</v>
      </c>
      <c r="C333" s="8" t="str">
        <f>IFERROR(__xludf.DUMMYFUNCTION("""COMPUTED_VALUE"""),"kentucky.com")</f>
        <v>kentucky.com</v>
      </c>
      <c r="D333" s="11" t="str">
        <f>IFERROR(__xludf.DUMMYFUNCTION("""COMPUTED_VALUE"""),"LISTICLE")</f>
        <v>LISTICLE</v>
      </c>
      <c r="E333" s="11" t="str">
        <f>IFERROR(__xludf.DUMMYFUNCTION("""COMPUTED_VALUE"""),"EDITORIAL")</f>
        <v>EDITORIAL</v>
      </c>
      <c r="F333" s="11" t="str">
        <f>IFERROR(__xludf.DUMMYFUNCTION("""COMPUTED_VALUE"""),"Listicle")</f>
        <v>Listicle</v>
      </c>
      <c r="G333" s="11" t="b">
        <f>IFERROR(__xludf.DUMMYFUNCTION("""COMPUTED_VALUE"""),FALSE)</f>
        <v>0</v>
      </c>
      <c r="H333" s="11" t="str">
        <f>IFERROR(__xludf.DUMMYFUNCTION("""COMPUTED_VALUE"""),"WebFX, Measured")</f>
        <v>WebFX, Measured</v>
      </c>
      <c r="I333" s="11">
        <f>IFERROR(__xludf.DUMMYFUNCTION("""COMPUTED_VALUE"""),1.0)</f>
        <v>1</v>
      </c>
      <c r="J333" s="11">
        <f>IFERROR(__xludf.DUMMYFUNCTION("""COMPUTED_VALUE"""),0.0)</f>
        <v>0</v>
      </c>
      <c r="K333" s="11">
        <f>IFERROR(__xludf.DUMMYFUNCTION("""COMPUTED_VALUE"""),1.0)</f>
        <v>1</v>
      </c>
    </row>
    <row r="334" ht="15.75" customHeight="1">
      <c r="A334" s="8" t="str">
        <f>IFERROR(__xludf.DUMMYFUNCTION("""COMPUTED_VALUE"""),"https://www.keyweo.com/de/seo/faq/beste-agenturen-deutschland/")</f>
        <v>https://www.keyweo.com/de/seo/faq/beste-agenturen-deutschland/</v>
      </c>
      <c r="B334" s="11" t="str">
        <f>IFERROR(__xludf.DUMMYFUNCTION("""COMPUTED_VALUE"""),"Die 10 besten SEO-Agenturen in Deutschland (2026) - Keyweo")</f>
        <v>Die 10 besten SEO-Agenturen in Deutschland (2026) - Keyweo</v>
      </c>
      <c r="C334" s="8" t="str">
        <f>IFERROR(__xludf.DUMMYFUNCTION("""COMPUTED_VALUE"""),"keyweo.com")</f>
        <v>keyweo.com</v>
      </c>
      <c r="D334" s="11" t="str">
        <f>IFERROR(__xludf.DUMMYFUNCTION("""COMPUTED_VALUE"""),"LISTICLE")</f>
        <v>LISTICLE</v>
      </c>
      <c r="E334" s="11" t="str">
        <f>IFERROR(__xludf.DUMMYFUNCTION("""COMPUTED_VALUE"""),"OTHER")</f>
        <v>OTHER</v>
      </c>
      <c r="F334" s="11" t="str">
        <f>IFERROR(__xludf.DUMMYFUNCTION("""COMPUTED_VALUE"""),"Listicle")</f>
        <v>Listicle</v>
      </c>
      <c r="G334" s="11" t="b">
        <f>IFERROR(__xludf.DUMMYFUNCTION("""COMPUTED_VALUE"""),FALSE)</f>
        <v>0</v>
      </c>
      <c r="H334" s="11" t="str">
        <f>IFERROR(__xludf.DUMMYFUNCTION("""COMPUTED_VALUE"""),"Aufgesang, Claneo, Peak Ace, morefire, DREIKON")</f>
        <v>Aufgesang, Claneo, Peak Ace, morefire, DREIKON</v>
      </c>
      <c r="I334" s="11">
        <f>IFERROR(__xludf.DUMMYFUNCTION("""COMPUTED_VALUE"""),1.0)</f>
        <v>1</v>
      </c>
      <c r="J334" s="11">
        <f>IFERROR(__xludf.DUMMYFUNCTION("""COMPUTED_VALUE"""),0.0)</f>
        <v>0</v>
      </c>
      <c r="K334" s="11">
        <f>IFERROR(__xludf.DUMMYFUNCTION("""COMPUTED_VALUE"""),1.0)</f>
        <v>1</v>
      </c>
    </row>
    <row r="335" ht="15.75" customHeight="1">
      <c r="A335" s="8" t="str">
        <f>IFERROR(__xludf.DUMMYFUNCTION("""COMPUTED_VALUE"""),"https://www.kingfluencers.com/en/blog/top-50-social-media-agenturen-in-europa-in-2025")</f>
        <v>https://www.kingfluencers.com/en/blog/top-50-social-media-agenturen-in-europa-in-2025</v>
      </c>
      <c r="B335" s="11" t="str">
        <f>IFERROR(__xludf.DUMMYFUNCTION("""COMPUTED_VALUE"""),"The Top 50+ Social Media Agencies in Europe in 2025 | Kingfluencers")</f>
        <v>The Top 50+ Social Media Agencies in Europe in 2025 | Kingfluencers</v>
      </c>
      <c r="C335" s="8" t="str">
        <f>IFERROR(__xludf.DUMMYFUNCTION("""COMPUTED_VALUE"""),"kingfluencers.com")</f>
        <v>kingfluencers.com</v>
      </c>
      <c r="D335" s="11" t="str">
        <f>IFERROR(__xludf.DUMMYFUNCTION("""COMPUTED_VALUE"""),"LISTICLE")</f>
        <v>LISTICLE</v>
      </c>
      <c r="E335" s="11" t="str">
        <f>IFERROR(__xludf.DUMMYFUNCTION("""COMPUTED_VALUE"""),"CORPORATE")</f>
        <v>CORPORATE</v>
      </c>
      <c r="F335" s="11" t="str">
        <f>IFERROR(__xludf.DUMMYFUNCTION("""COMPUTED_VALUE"""),"Listicle")</f>
        <v>Listicle</v>
      </c>
      <c r="G335" s="11" t="b">
        <f>IFERROR(__xludf.DUMMYFUNCTION("""COMPUTED_VALUE"""),FALSE)</f>
        <v>0</v>
      </c>
      <c r="H335" s="11" t="str">
        <f>IFERROR(__xludf.DUMMYFUNCTION("""COMPUTED_VALUE"""),"MONSOON, Admiral Media, KlickPiloten, Digitalyze")</f>
        <v>MONSOON, Admiral Media, KlickPiloten, Digitalyze</v>
      </c>
      <c r="I335" s="11">
        <f>IFERROR(__xludf.DUMMYFUNCTION("""COMPUTED_VALUE"""),1.0)</f>
        <v>1</v>
      </c>
      <c r="J335" s="11">
        <f>IFERROR(__xludf.DUMMYFUNCTION("""COMPUTED_VALUE"""),0.0)</f>
        <v>0</v>
      </c>
      <c r="K335" s="11">
        <f>IFERROR(__xludf.DUMMYFUNCTION("""COMPUTED_VALUE"""),1.0)</f>
        <v>1</v>
      </c>
    </row>
    <row r="336" ht="15.75" customHeight="1">
      <c r="A336" s="8" t="str">
        <f>IFERROR(__xludf.DUMMYFUNCTION("""COMPUTED_VALUE"""),"https://www.leewayhertz.com/top-enterprise-ai-development-companies/")</f>
        <v>https://www.leewayhertz.com/top-enterprise-ai-development-companies/</v>
      </c>
      <c r="B336" s="11" t="str">
        <f>IFERROR(__xludf.DUMMYFUNCTION("""COMPUTED_VALUE"""),"Top Enterprise AI Development Companies 2026")</f>
        <v>Top Enterprise AI Development Companies 2026</v>
      </c>
      <c r="C336" s="8" t="str">
        <f>IFERROR(__xludf.DUMMYFUNCTION("""COMPUTED_VALUE"""),"leewayhertz.com")</f>
        <v>leewayhertz.com</v>
      </c>
      <c r="D336" s="11" t="str">
        <f>IFERROR(__xludf.DUMMYFUNCTION("""COMPUTED_VALUE"""),"LISTICLE")</f>
        <v>LISTICLE</v>
      </c>
      <c r="E336" s="11" t="str">
        <f>IFERROR(__xludf.DUMMYFUNCTION("""COMPUTED_VALUE"""),"CORPORATE")</f>
        <v>CORPORATE</v>
      </c>
      <c r="F336" s="11" t="str">
        <f>IFERROR(__xludf.DUMMYFUNCTION("""COMPUTED_VALUE"""),"Listicle")</f>
        <v>Listicle</v>
      </c>
      <c r="G336" s="11" t="b">
        <f>IFERROR(__xludf.DUMMYFUNCTION("""COMPUTED_VALUE"""),FALSE)</f>
        <v>0</v>
      </c>
      <c r="H336" s="11"/>
      <c r="I336" s="11">
        <f>IFERROR(__xludf.DUMMYFUNCTION("""COMPUTED_VALUE"""),1.0)</f>
        <v>1</v>
      </c>
      <c r="J336" s="11">
        <f>IFERROR(__xludf.DUMMYFUNCTION("""COMPUTED_VALUE"""),0.0)</f>
        <v>0</v>
      </c>
      <c r="K336" s="11">
        <f>IFERROR(__xludf.DUMMYFUNCTION("""COMPUTED_VALUE"""),3.0)</f>
        <v>3</v>
      </c>
    </row>
    <row r="337" ht="15.75" customHeight="1">
      <c r="A337" s="8" t="str">
        <f>IFERROR(__xludf.DUMMYFUNCTION("""COMPUTED_VALUE"""),"https://lengreo.com/de/top-google-ads-agencies-in-germany/")</f>
        <v>https://lengreo.com/de/top-google-ads-agencies-in-germany/</v>
      </c>
      <c r="B337" s="11" t="str">
        <f>IFERROR(__xludf.DUMMYFUNCTION("""COMPUTED_VALUE"""),"Die 10 besten Google Ads-Experten, die Unternehmen in Deutschland zum Erfolg verhelfen (2026)")</f>
        <v>Die 10 besten Google Ads-Experten, die Unternehmen in Deutschland zum Erfolg verhelfen (2026)</v>
      </c>
      <c r="C337" s="8" t="str">
        <f>IFERROR(__xludf.DUMMYFUNCTION("""COMPUTED_VALUE"""),"lengreo.com")</f>
        <v>lengreo.com</v>
      </c>
      <c r="D337" s="11" t="str">
        <f>IFERROR(__xludf.DUMMYFUNCTION("""COMPUTED_VALUE"""),"LISTICLE")</f>
        <v>LISTICLE</v>
      </c>
      <c r="E337" s="11" t="str">
        <f>IFERROR(__xludf.DUMMYFUNCTION("""COMPUTED_VALUE"""),"CORPORATE")</f>
        <v>CORPORATE</v>
      </c>
      <c r="F337" s="11" t="str">
        <f>IFERROR(__xludf.DUMMYFUNCTION("""COMPUTED_VALUE"""),"Listicle")</f>
        <v>Listicle</v>
      </c>
      <c r="G337" s="11" t="b">
        <f>IFERROR(__xludf.DUMMYFUNCTION("""COMPUTED_VALUE"""),FALSE)</f>
        <v>0</v>
      </c>
      <c r="H337" s="11" t="str">
        <f>IFERROR(__xludf.DUMMYFUNCTION("""COMPUTED_VALUE"""),"SmartSites, Smarketer, morefire")</f>
        <v>SmartSites, Smarketer, morefire</v>
      </c>
      <c r="I337" s="11">
        <f>IFERROR(__xludf.DUMMYFUNCTION("""COMPUTED_VALUE"""),1.0)</f>
        <v>1</v>
      </c>
      <c r="J337" s="11">
        <f>IFERROR(__xludf.DUMMYFUNCTION("""COMPUTED_VALUE"""),0.0)</f>
        <v>0</v>
      </c>
      <c r="K337" s="11">
        <f>IFERROR(__xludf.DUMMYFUNCTION("""COMPUTED_VALUE"""),1.0)</f>
        <v>1</v>
      </c>
    </row>
    <row r="338" ht="15.75" customHeight="1">
      <c r="A338" s="8" t="str">
        <f>IFERROR(__xludf.DUMMYFUNCTION("""COMPUTED_VALUE"""),"https://lengreo.com/germany-leipzig-aeo-geo-llmo-companies/")</f>
        <v>https://lengreo.com/germany-leipzig-aeo-geo-llmo-companies/</v>
      </c>
      <c r="B338" s="11" t="str">
        <f>IFERROR(__xludf.DUMMYFUNCTION("""COMPUTED_VALUE"""),"Top AEO, GEO &amp;amp; LLMO Firms in Leipzig, Germany")</f>
        <v>Top AEO, GEO &amp;amp; LLMO Firms in Leipzig, Germany</v>
      </c>
      <c r="C338" s="8" t="str">
        <f>IFERROR(__xludf.DUMMYFUNCTION("""COMPUTED_VALUE"""),"lengreo.com")</f>
        <v>lengreo.com</v>
      </c>
      <c r="D338" s="11" t="str">
        <f>IFERROR(__xludf.DUMMYFUNCTION("""COMPUTED_VALUE"""),"LISTICLE")</f>
        <v>LISTICLE</v>
      </c>
      <c r="E338" s="11" t="str">
        <f>IFERROR(__xludf.DUMMYFUNCTION("""COMPUTED_VALUE"""),"CORPORATE")</f>
        <v>CORPORATE</v>
      </c>
      <c r="F338" s="11" t="str">
        <f>IFERROR(__xludf.DUMMYFUNCTION("""COMPUTED_VALUE"""),"Listicle")</f>
        <v>Listicle</v>
      </c>
      <c r="G338" s="11" t="b">
        <f>IFERROR(__xludf.DUMMYFUNCTION("""COMPUTED_VALUE"""),FALSE)</f>
        <v>0</v>
      </c>
      <c r="H338" s="11" t="str">
        <f>IFERROR(__xludf.DUMMYFUNCTION("""COMPUTED_VALUE"""),"Löwenstark, Suchhelden")</f>
        <v>Löwenstark, Suchhelden</v>
      </c>
      <c r="I338" s="11">
        <f>IFERROR(__xludf.DUMMYFUNCTION("""COMPUTED_VALUE"""),1.0)</f>
        <v>1</v>
      </c>
      <c r="J338" s="11">
        <f>IFERROR(__xludf.DUMMYFUNCTION("""COMPUTED_VALUE"""),0.0)</f>
        <v>0</v>
      </c>
      <c r="K338" s="11">
        <f>IFERROR(__xludf.DUMMYFUNCTION("""COMPUTED_VALUE"""),1.0)</f>
        <v>1</v>
      </c>
    </row>
    <row r="339" ht="15.75" customHeight="1">
      <c r="A339" s="8" t="str">
        <f>IFERROR(__xludf.DUMMYFUNCTION("""COMPUTED_VALUE"""),"https://lifesight.io/blog/marketing-mix-modeling-software/")</f>
        <v>https://lifesight.io/blog/marketing-mix-modeling-software/</v>
      </c>
      <c r="B339" s="11" t="str">
        <f>IFERROR(__xludf.DUMMYFUNCTION("""COMPUTED_VALUE"""),"Best Marketing Mix Modeling Software Tools in 2026 [UPDATED]")</f>
        <v>Best Marketing Mix Modeling Software Tools in 2026 [UPDATED]</v>
      </c>
      <c r="C339" s="8" t="str">
        <f>IFERROR(__xludf.DUMMYFUNCTION("""COMPUTED_VALUE"""),"lifesight.io")</f>
        <v>lifesight.io</v>
      </c>
      <c r="D339" s="11" t="str">
        <f>IFERROR(__xludf.DUMMYFUNCTION("""COMPUTED_VALUE"""),"LISTICLE")</f>
        <v>LISTICLE</v>
      </c>
      <c r="E339" s="11" t="str">
        <f>IFERROR(__xludf.DUMMYFUNCTION("""COMPUTED_VALUE"""),"COMPETITOR")</f>
        <v>COMPETITOR</v>
      </c>
      <c r="F339" s="11" t="str">
        <f>IFERROR(__xludf.DUMMYFUNCTION("""COMPUTED_VALUE"""),"Listicle")</f>
        <v>Listicle</v>
      </c>
      <c r="G339" s="11" t="b">
        <f>IFERROR(__xludf.DUMMYFUNCTION("""COMPUTED_VALUE"""),FALSE)</f>
        <v>0</v>
      </c>
      <c r="H339" s="11" t="str">
        <f>IFERROR(__xludf.DUMMYFUNCTION("""COMPUTED_VALUE"""),"LifeSight, Measured, Sellforte, Recast, Rockerbox, Northbeam, Haus")</f>
        <v>LifeSight, Measured, Sellforte, Recast, Rockerbox, Northbeam, Haus</v>
      </c>
      <c r="I339" s="11">
        <f>IFERROR(__xludf.DUMMYFUNCTION("""COMPUTED_VALUE"""),1.0)</f>
        <v>1</v>
      </c>
      <c r="J339" s="11">
        <f>IFERROR(__xludf.DUMMYFUNCTION("""COMPUTED_VALUE"""),0.0)</f>
        <v>0</v>
      </c>
      <c r="K339" s="11">
        <f>IFERROR(__xludf.DUMMYFUNCTION("""COMPUTED_VALUE"""),1.0)</f>
        <v>1</v>
      </c>
    </row>
    <row r="340" ht="15.75" customHeight="1">
      <c r="A340" s="8" t="str">
        <f>IFERROR(__xludf.DUMMYFUNCTION("""COMPUTED_VALUE"""),"https://www.linkedin.com/pulse/google-ads-marketing-companies-farhan-ali-tbtwf")</f>
        <v>https://www.linkedin.com/pulse/google-ads-marketing-companies-farhan-ali-tbtwf</v>
      </c>
      <c r="B340" s="11" t="str">
        <f>IFERROR(__xludf.DUMMYFUNCTION("""COMPUTED_VALUE"""),"Top 10 Google Ads Marketing Companies in the World in 2025")</f>
        <v>Top 10 Google Ads Marketing Companies in the World in 2025</v>
      </c>
      <c r="C340" s="8" t="str">
        <f>IFERROR(__xludf.DUMMYFUNCTION("""COMPUTED_VALUE"""),"linkedin.com")</f>
        <v>linkedin.com</v>
      </c>
      <c r="D340" s="11" t="str">
        <f>IFERROR(__xludf.DUMMYFUNCTION("""COMPUTED_VALUE"""),"LISTICLE")</f>
        <v>LISTICLE</v>
      </c>
      <c r="E340" s="11" t="str">
        <f>IFERROR(__xludf.DUMMYFUNCTION("""COMPUTED_VALUE"""),"UGC")</f>
        <v>UGC</v>
      </c>
      <c r="F340" s="11" t="str">
        <f>IFERROR(__xludf.DUMMYFUNCTION("""COMPUTED_VALUE"""),"Listicle")</f>
        <v>Listicle</v>
      </c>
      <c r="G340" s="11" t="b">
        <f>IFERROR(__xludf.DUMMYFUNCTION("""COMPUTED_VALUE"""),FALSE)</f>
        <v>0</v>
      </c>
      <c r="H340" s="11" t="str">
        <f>IFERROR(__xludf.DUMMYFUNCTION("""COMPUTED_VALUE"""),"SmartSites, Disruptive Advertising, WebFX")</f>
        <v>SmartSites, Disruptive Advertising, WebFX</v>
      </c>
      <c r="I340" s="11">
        <f>IFERROR(__xludf.DUMMYFUNCTION("""COMPUTED_VALUE"""),1.0)</f>
        <v>1</v>
      </c>
      <c r="J340" s="11">
        <f>IFERROR(__xludf.DUMMYFUNCTION("""COMPUTED_VALUE"""),0.0)</f>
        <v>0</v>
      </c>
      <c r="K340" s="11">
        <f>IFERROR(__xludf.DUMMYFUNCTION("""COMPUTED_VALUE"""),1.0)</f>
        <v>1</v>
      </c>
    </row>
    <row r="341" ht="15.75" customHeight="1">
      <c r="A341" s="8" t="str">
        <f>IFERROR(__xludf.DUMMYFUNCTION("""COMPUTED_VALUE"""),"https://www.linkedin.com/pulse/top-15-performance-marketing-companies-clutch-global-spring-kbaae")</f>
        <v>https://www.linkedin.com/pulse/top-15-performance-marketing-companies-clutch-global-spring-kbaae</v>
      </c>
      <c r="B341" s="11" t="str">
        <f>IFERROR(__xludf.DUMMYFUNCTION("""COMPUTED_VALUE"""),"Top 15 Performance Marketing Companies: Clutch Global Spring 2026")</f>
        <v>Top 15 Performance Marketing Companies: Clutch Global Spring 2026</v>
      </c>
      <c r="C341" s="8" t="str">
        <f>IFERROR(__xludf.DUMMYFUNCTION("""COMPUTED_VALUE"""),"linkedin.com")</f>
        <v>linkedin.com</v>
      </c>
      <c r="D341" s="11" t="str">
        <f>IFERROR(__xludf.DUMMYFUNCTION("""COMPUTED_VALUE"""),"LISTICLE")</f>
        <v>LISTICLE</v>
      </c>
      <c r="E341" s="11" t="str">
        <f>IFERROR(__xludf.DUMMYFUNCTION("""COMPUTED_VALUE"""),"UGC")</f>
        <v>UGC</v>
      </c>
      <c r="F341" s="11" t="str">
        <f>IFERROR(__xludf.DUMMYFUNCTION("""COMPUTED_VALUE"""),"Listicle")</f>
        <v>Listicle</v>
      </c>
      <c r="G341" s="11" t="b">
        <f>IFERROR(__xludf.DUMMYFUNCTION("""COMPUTED_VALUE"""),FALSE)</f>
        <v>0</v>
      </c>
      <c r="H341" s="11" t="str">
        <f>IFERROR(__xludf.DUMMYFUNCTION("""COMPUTED_VALUE"""),"REPLUG")</f>
        <v>REPLUG</v>
      </c>
      <c r="I341" s="11">
        <f>IFERROR(__xludf.DUMMYFUNCTION("""COMPUTED_VALUE"""),1.0)</f>
        <v>1</v>
      </c>
      <c r="J341" s="11">
        <f>IFERROR(__xludf.DUMMYFUNCTION("""COMPUTED_VALUE"""),0.0)</f>
        <v>0</v>
      </c>
      <c r="K341" s="11">
        <f>IFERROR(__xludf.DUMMYFUNCTION("""COMPUTED_VALUE"""),0.0)</f>
        <v>0</v>
      </c>
    </row>
    <row r="342" ht="15.75" customHeight="1">
      <c r="A342" s="8" t="str">
        <f>IFERROR(__xludf.DUMMYFUNCTION("""COMPUTED_VALUE"""),"https://lunarailab.com/blog/2026/03/04/top-5-ai-agent-adoption-agencies-in-2026/")</f>
        <v>https://lunarailab.com/blog/2026/03/04/top-5-ai-agent-adoption-agencies-in-2026/</v>
      </c>
      <c r="B342" s="11" t="str">
        <f>IFERROR(__xludf.DUMMYFUNCTION("""COMPUTED_VALUE"""),"Top 5 AI Agent Adoption Agencies in 2026 - Lunar AI Lab")</f>
        <v>Top 5 AI Agent Adoption Agencies in 2026 - Lunar AI Lab</v>
      </c>
      <c r="C342" s="8" t="str">
        <f>IFERROR(__xludf.DUMMYFUNCTION("""COMPUTED_VALUE"""),"lunarailab.com")</f>
        <v>lunarailab.com</v>
      </c>
      <c r="D342" s="11" t="str">
        <f>IFERROR(__xludf.DUMMYFUNCTION("""COMPUTED_VALUE"""),"LISTICLE")</f>
        <v>LISTICLE</v>
      </c>
      <c r="E342" s="11" t="str">
        <f>IFERROR(__xludf.DUMMYFUNCTION("""COMPUTED_VALUE"""),"CORPORATE")</f>
        <v>CORPORATE</v>
      </c>
      <c r="F342" s="11" t="str">
        <f>IFERROR(__xludf.DUMMYFUNCTION("""COMPUTED_VALUE"""),"Listicle")</f>
        <v>Listicle</v>
      </c>
      <c r="G342" s="11" t="b">
        <f>IFERROR(__xludf.DUMMYFUNCTION("""COMPUTED_VALUE"""),FALSE)</f>
        <v>0</v>
      </c>
      <c r="H342" s="11" t="str">
        <f>IFERROR(__xludf.DUMMYFUNCTION("""COMPUTED_VALUE"""),"Measured")</f>
        <v>Measured</v>
      </c>
      <c r="I342" s="11">
        <f>IFERROR(__xludf.DUMMYFUNCTION("""COMPUTED_VALUE"""),1.0)</f>
        <v>1</v>
      </c>
      <c r="J342" s="11">
        <f>IFERROR(__xludf.DUMMYFUNCTION("""COMPUTED_VALUE"""),0.0)</f>
        <v>0</v>
      </c>
      <c r="K342" s="11">
        <f>IFERROR(__xludf.DUMMYFUNCTION("""COMPUTED_VALUE"""),2.0)</f>
        <v>2</v>
      </c>
    </row>
    <row r="343" ht="15.75" customHeight="1">
      <c r="A343" s="8" t="str">
        <f>IFERROR(__xludf.DUMMYFUNCTION("""COMPUTED_VALUE"""),"https://www.lyfemarketing.com/blog/top-performance-marketing-agencies-us/")</f>
        <v>https://www.lyfemarketing.com/blog/top-performance-marketing-agencies-us/</v>
      </c>
      <c r="B343" s="11" t="str">
        <f>IFERROR(__xludf.DUMMYFUNCTION("""COMPUTED_VALUE"""),"Top 36 Performance Marketing Agencies In The US 2026")</f>
        <v>Top 36 Performance Marketing Agencies In The US 2026</v>
      </c>
      <c r="C343" s="8" t="str">
        <f>IFERROR(__xludf.DUMMYFUNCTION("""COMPUTED_VALUE"""),"lyfemarketing.com")</f>
        <v>lyfemarketing.com</v>
      </c>
      <c r="D343" s="11" t="str">
        <f>IFERROR(__xludf.DUMMYFUNCTION("""COMPUTED_VALUE"""),"LISTICLE")</f>
        <v>LISTICLE</v>
      </c>
      <c r="E343" s="11" t="str">
        <f>IFERROR(__xludf.DUMMYFUNCTION("""COMPUTED_VALUE"""),"CORPORATE")</f>
        <v>CORPORATE</v>
      </c>
      <c r="F343" s="11" t="str">
        <f>IFERROR(__xludf.DUMMYFUNCTION("""COMPUTED_VALUE"""),"Listicle")</f>
        <v>Listicle</v>
      </c>
      <c r="G343" s="11" t="b">
        <f>IFERROR(__xludf.DUMMYFUNCTION("""COMPUTED_VALUE"""),FALSE)</f>
        <v>0</v>
      </c>
      <c r="H343" s="11" t="str">
        <f>IFERROR(__xludf.DUMMYFUNCTION("""COMPUTED_VALUE"""),"Tinuiti, Power Digital, Wpromote, Disruptive Advertising, Brainlabs, WPP, Omnicom, Publicis Groupe")</f>
        <v>Tinuiti, Power Digital, Wpromote, Disruptive Advertising, Brainlabs, WPP, Omnicom, Publicis Groupe</v>
      </c>
      <c r="I343" s="11">
        <f>IFERROR(__xludf.DUMMYFUNCTION("""COMPUTED_VALUE"""),1.0)</f>
        <v>1</v>
      </c>
      <c r="J343" s="11">
        <f>IFERROR(__xludf.DUMMYFUNCTION("""COMPUTED_VALUE"""),0.0)</f>
        <v>0</v>
      </c>
      <c r="K343" s="11">
        <f>IFERROR(__xludf.DUMMYFUNCTION("""COMPUTED_VALUE"""),0.0)</f>
        <v>0</v>
      </c>
    </row>
    <row r="344" ht="15.75" customHeight="1">
      <c r="A344" s="8" t="str">
        <f>IFERROR(__xludf.DUMMYFUNCTION("""COMPUTED_VALUE"""),"https://www.magier.com/blog/best-creative-agency#:~:text=The%2015%20best%20creative%20agencies%20(2026),for%20a%20fixed%20monthly%20fee.")</f>
        <v>https://www.magier.com/blog/best-creative-agency#:~:text=The%2015%20best%20creative%20agencies%20(2026),for%20a%20fixed%20monthly%20fee.</v>
      </c>
      <c r="B344" s="11" t="str">
        <f>IFERROR(__xludf.DUMMYFUNCTION("""COMPUTED_VALUE"""),"15 Best Creative Agencies for Branding, Ads, and UX (2026)")</f>
        <v>15 Best Creative Agencies for Branding, Ads, and UX (2026)</v>
      </c>
      <c r="C344" s="8" t="str">
        <f>IFERROR(__xludf.DUMMYFUNCTION("""COMPUTED_VALUE"""),"magier.com")</f>
        <v>magier.com</v>
      </c>
      <c r="D344" s="11" t="str">
        <f>IFERROR(__xludf.DUMMYFUNCTION("""COMPUTED_VALUE"""),"LISTICLE")</f>
        <v>LISTICLE</v>
      </c>
      <c r="E344" s="11" t="str">
        <f>IFERROR(__xludf.DUMMYFUNCTION("""COMPUTED_VALUE"""),"OTHER")</f>
        <v>OTHER</v>
      </c>
      <c r="F344" s="11" t="str">
        <f>IFERROR(__xludf.DUMMYFUNCTION("""COMPUTED_VALUE"""),"Listicle")</f>
        <v>Listicle</v>
      </c>
      <c r="G344" s="11" t="b">
        <f>IFERROR(__xludf.DUMMYFUNCTION("""COMPUTED_VALUE"""),FALSE)</f>
        <v>0</v>
      </c>
      <c r="H344" s="11" t="str">
        <f>IFERROR(__xludf.DUMMYFUNCTION("""COMPUTED_VALUE"""),"R/GA, AKQA, Ogilvy, WPP, Omnicom, Accenture Song, Momentum, Huge, Superside")</f>
        <v>R/GA, AKQA, Ogilvy, WPP, Omnicom, Accenture Song, Momentum, Huge, Superside</v>
      </c>
      <c r="I344" s="11">
        <f>IFERROR(__xludf.DUMMYFUNCTION("""COMPUTED_VALUE"""),1.0)</f>
        <v>1</v>
      </c>
      <c r="J344" s="11">
        <f>IFERROR(__xludf.DUMMYFUNCTION("""COMPUTED_VALUE"""),0.0)</f>
        <v>0</v>
      </c>
      <c r="K344" s="11">
        <f>IFERROR(__xludf.DUMMYFUNCTION("""COMPUTED_VALUE"""),1.0)</f>
        <v>1</v>
      </c>
    </row>
    <row r="345" ht="15.75" customHeight="1">
      <c r="A345" s="8" t="str">
        <f>IFERROR(__xludf.DUMMYFUNCTION("""COMPUTED_VALUE"""),"https://www.manyreach.com/agency/top-10-cold-email-lead-generation-agencies")</f>
        <v>https://www.manyreach.com/agency/top-10-cold-email-lead-generation-agencies</v>
      </c>
      <c r="B345" s="11" t="str">
        <f>IFERROR(__xludf.DUMMYFUNCTION("""COMPUTED_VALUE"""),"Manyreach New Copy")</f>
        <v>Manyreach New Copy</v>
      </c>
      <c r="C345" s="8" t="str">
        <f>IFERROR(__xludf.DUMMYFUNCTION("""COMPUTED_VALUE"""),"manyreach.com")</f>
        <v>manyreach.com</v>
      </c>
      <c r="D345" s="11" t="str">
        <f>IFERROR(__xludf.DUMMYFUNCTION("""COMPUTED_VALUE"""),"LISTICLE")</f>
        <v>LISTICLE</v>
      </c>
      <c r="E345" s="11" t="str">
        <f>IFERROR(__xludf.DUMMYFUNCTION("""COMPUTED_VALUE"""),"CORPORATE")</f>
        <v>CORPORATE</v>
      </c>
      <c r="F345" s="11" t="str">
        <f>IFERROR(__xludf.DUMMYFUNCTION("""COMPUTED_VALUE"""),"Listicle")</f>
        <v>Listicle</v>
      </c>
      <c r="G345" s="11" t="b">
        <f>IFERROR(__xludf.DUMMYFUNCTION("""COMPUTED_VALUE"""),FALSE)</f>
        <v>0</v>
      </c>
      <c r="H345" s="11" t="str">
        <f>IFERROR(__xludf.DUMMYFUNCTION("""COMPUTED_VALUE"""),"Pilot")</f>
        <v>Pilot</v>
      </c>
      <c r="I345" s="11">
        <f>IFERROR(__xludf.DUMMYFUNCTION("""COMPUTED_VALUE"""),1.0)</f>
        <v>1</v>
      </c>
      <c r="J345" s="11">
        <f>IFERROR(__xludf.DUMMYFUNCTION("""COMPUTED_VALUE"""),0.0)</f>
        <v>0</v>
      </c>
      <c r="K345" s="11">
        <f>IFERROR(__xludf.DUMMYFUNCTION("""COMPUTED_VALUE"""),1.0)</f>
        <v>1</v>
      </c>
    </row>
    <row r="346" ht="15.75" customHeight="1">
      <c r="A346" s="8" t="str">
        <f>IFERROR(__xludf.DUMMYFUNCTION("""COMPUTED_VALUE"""),"https://marketerhire.com/blog/ai-content-marketing-tools")</f>
        <v>https://marketerhire.com/blog/ai-content-marketing-tools</v>
      </c>
      <c r="B346" s="11" t="str">
        <f>IFERROR(__xludf.DUMMYFUNCTION("""COMPUTED_VALUE"""),"Top AI Content Marketing Tools in 2025")</f>
        <v>Top AI Content Marketing Tools in 2025</v>
      </c>
      <c r="C346" s="8" t="str">
        <f>IFERROR(__xludf.DUMMYFUNCTION("""COMPUTED_VALUE"""),"marketerhire.com")</f>
        <v>marketerhire.com</v>
      </c>
      <c r="D346" s="11" t="str">
        <f>IFERROR(__xludf.DUMMYFUNCTION("""COMPUTED_VALUE"""),"LISTICLE")</f>
        <v>LISTICLE</v>
      </c>
      <c r="E346" s="11" t="str">
        <f>IFERROR(__xludf.DUMMYFUNCTION("""COMPUTED_VALUE"""),"CORPORATE")</f>
        <v>CORPORATE</v>
      </c>
      <c r="F346" s="11" t="str">
        <f>IFERROR(__xludf.DUMMYFUNCTION("""COMPUTED_VALUE"""),"Listicle")</f>
        <v>Listicle</v>
      </c>
      <c r="G346" s="11" t="b">
        <f>IFERROR(__xludf.DUMMYFUNCTION("""COMPUTED_VALUE"""),FALSE)</f>
        <v>0</v>
      </c>
      <c r="H346" s="11"/>
      <c r="I346" s="11">
        <f>IFERROR(__xludf.DUMMYFUNCTION("""COMPUTED_VALUE"""),1.0)</f>
        <v>1</v>
      </c>
      <c r="J346" s="11">
        <f>IFERROR(__xludf.DUMMYFUNCTION("""COMPUTED_VALUE"""),0.0)</f>
        <v>0</v>
      </c>
      <c r="K346" s="11">
        <f>IFERROR(__xludf.DUMMYFUNCTION("""COMPUTED_VALUE"""),1.0)</f>
        <v>1</v>
      </c>
    </row>
    <row r="347" ht="15.75" customHeight="1">
      <c r="A347" s="8" t="str">
        <f>IFERROR(__xludf.DUMMYFUNCTION("""COMPUTED_VALUE"""),"https://www.marketing-boerse.de/news/details/2611-bvdw-kreativranking-2025-serviceplan-bleibt-spitzenreiter/204252")</f>
        <v>https://www.marketing-boerse.de/news/details/2611-bvdw-kreativranking-2025-serviceplan-bleibt-spitzenreiter/204252</v>
      </c>
      <c r="B347" s="11" t="str">
        <f>IFERROR(__xludf.DUMMYFUNCTION("""COMPUTED_VALUE"""),"BVDW Kreativranking 2025: Serviceplan bleibt Spitzenreiter")</f>
        <v>BVDW Kreativranking 2025: Serviceplan bleibt Spitzenreiter</v>
      </c>
      <c r="C347" s="8" t="str">
        <f>IFERROR(__xludf.DUMMYFUNCTION("""COMPUTED_VALUE"""),"marketing-boerse.de")</f>
        <v>marketing-boerse.de</v>
      </c>
      <c r="D347" s="11" t="str">
        <f>IFERROR(__xludf.DUMMYFUNCTION("""COMPUTED_VALUE"""),"LISTICLE")</f>
        <v>LISTICLE</v>
      </c>
      <c r="E347" s="11" t="str">
        <f>IFERROR(__xludf.DUMMYFUNCTION("""COMPUTED_VALUE"""),"REFERENCE")</f>
        <v>REFERENCE</v>
      </c>
      <c r="F347" s="11" t="str">
        <f>IFERROR(__xludf.DUMMYFUNCTION("""COMPUTED_VALUE"""),"Listicle")</f>
        <v>Listicle</v>
      </c>
      <c r="G347" s="11" t="b">
        <f>IFERROR(__xludf.DUMMYFUNCTION("""COMPUTED_VALUE"""),FALSE)</f>
        <v>0</v>
      </c>
      <c r="H347" s="11" t="str">
        <f>IFERROR(__xludf.DUMMYFUNCTION("""COMPUTED_VALUE"""),"Ogilvy, Scholz &amp; Friends, Dentsu, Jung von Matt")</f>
        <v>Ogilvy, Scholz &amp; Friends, Dentsu, Jung von Matt</v>
      </c>
      <c r="I347" s="11">
        <f>IFERROR(__xludf.DUMMYFUNCTION("""COMPUTED_VALUE"""),1.0)</f>
        <v>1</v>
      </c>
      <c r="J347" s="11">
        <f>IFERROR(__xludf.DUMMYFUNCTION("""COMPUTED_VALUE"""),0.0)</f>
        <v>0</v>
      </c>
      <c r="K347" s="11">
        <f>IFERROR(__xludf.DUMMYFUNCTION("""COMPUTED_VALUE"""),0.0)</f>
        <v>0</v>
      </c>
    </row>
    <row r="348" ht="15.75" customHeight="1">
      <c r="A348" s="8" t="str">
        <f>IFERROR(__xludf.DUMMYFUNCTION("""COMPUTED_VALUE"""),"https://www.markt-kom.com/en/dexat/adc-kreativranking-das-sind-deutschlands-top-agenturen/")</f>
        <v>https://www.markt-kom.com/en/dexat/adc-kreativranking-das-sind-deutschlands-top-agenturen/</v>
      </c>
      <c r="B348" s="11" t="str">
        <f>IFERROR(__xludf.DUMMYFUNCTION("""COMPUTED_VALUE"""),"ADC Kreativranking: Das sind Deutschlands Top-Agenturen - m&amp;amp;k")</f>
        <v>ADC Kreativranking: Das sind Deutschlands Top-Agenturen - m&amp;amp;k</v>
      </c>
      <c r="C348" s="8" t="str">
        <f>IFERROR(__xludf.DUMMYFUNCTION("""COMPUTED_VALUE"""),"markt-kom.com")</f>
        <v>markt-kom.com</v>
      </c>
      <c r="D348" s="11" t="str">
        <f>IFERROR(__xludf.DUMMYFUNCTION("""COMPUTED_VALUE"""),"LISTICLE")</f>
        <v>LISTICLE</v>
      </c>
      <c r="E348" s="11" t="str">
        <f>IFERROR(__xludf.DUMMYFUNCTION("""COMPUTED_VALUE"""),"OTHER")</f>
        <v>OTHER</v>
      </c>
      <c r="F348" s="11" t="str">
        <f>IFERROR(__xludf.DUMMYFUNCTION("""COMPUTED_VALUE"""),"Listicle")</f>
        <v>Listicle</v>
      </c>
      <c r="G348" s="11" t="b">
        <f>IFERROR(__xludf.DUMMYFUNCTION("""COMPUTED_VALUE"""),FALSE)</f>
        <v>0</v>
      </c>
      <c r="H348" s="11" t="str">
        <f>IFERROR(__xludf.DUMMYFUNCTION("""COMPUTED_VALUE"""),"Jung von Matt, Accenture Song, Ogilvy, Scholz &amp; Friends, Publicis Media, Publicis Groupe")</f>
        <v>Jung von Matt, Accenture Song, Ogilvy, Scholz &amp; Friends, Publicis Media, Publicis Groupe</v>
      </c>
      <c r="I348" s="11">
        <f>IFERROR(__xludf.DUMMYFUNCTION("""COMPUTED_VALUE"""),1.0)</f>
        <v>1</v>
      </c>
      <c r="J348" s="11">
        <f>IFERROR(__xludf.DUMMYFUNCTION("""COMPUTED_VALUE"""),0.0)</f>
        <v>0</v>
      </c>
      <c r="K348" s="11">
        <f>IFERROR(__xludf.DUMMYFUNCTION("""COMPUTED_VALUE"""),0.0)</f>
        <v>0</v>
      </c>
    </row>
    <row r="349" ht="15.75" customHeight="1">
      <c r="A349" s="8" t="str">
        <f>IFERROR(__xludf.DUMMYFUNCTION("""COMPUTED_VALUE"""),"https://www.measured.com/faq/top-11-best-media-mix-modeling-companies-software-for-2026/")</f>
        <v>https://www.measured.com/faq/top-11-best-media-mix-modeling-companies-software-for-2026/</v>
      </c>
      <c r="B349" s="11" t="str">
        <f>IFERROR(__xludf.DUMMYFUNCTION("""COMPUTED_VALUE"""),"Top 11 Best Media Mix Modeling Companies &amp;amp; Software for 2026 | Measured®")</f>
        <v>Top 11 Best Media Mix Modeling Companies &amp;amp; Software for 2026 | Measured®</v>
      </c>
      <c r="C349" s="8" t="str">
        <f>IFERROR(__xludf.DUMMYFUNCTION("""COMPUTED_VALUE"""),"measured.com")</f>
        <v>measured.com</v>
      </c>
      <c r="D349" s="11" t="str">
        <f>IFERROR(__xludf.DUMMYFUNCTION("""COMPUTED_VALUE"""),"LISTICLE")</f>
        <v>LISTICLE</v>
      </c>
      <c r="E349" s="11" t="str">
        <f>IFERROR(__xludf.DUMMYFUNCTION("""COMPUTED_VALUE"""),"COMPETITOR")</f>
        <v>COMPETITOR</v>
      </c>
      <c r="F349" s="11" t="str">
        <f>IFERROR(__xludf.DUMMYFUNCTION("""COMPUTED_VALUE"""),"Listicle")</f>
        <v>Listicle</v>
      </c>
      <c r="G349" s="11" t="b">
        <f>IFERROR(__xludf.DUMMYFUNCTION("""COMPUTED_VALUE"""),FALSE)</f>
        <v>0</v>
      </c>
      <c r="H349" s="11" t="str">
        <f>IFERROR(__xludf.DUMMYFUNCTION("""COMPUTED_VALUE"""),"Measured, Nielsen, Analytic Partners, Kantar, Neustar, WPP, Recast, Haus, Rockerbox")</f>
        <v>Measured, Nielsen, Analytic Partners, Kantar, Neustar, WPP, Recast, Haus, Rockerbox</v>
      </c>
      <c r="I349" s="11">
        <f>IFERROR(__xludf.DUMMYFUNCTION("""COMPUTED_VALUE"""),1.0)</f>
        <v>1</v>
      </c>
      <c r="J349" s="11">
        <f>IFERROR(__xludf.DUMMYFUNCTION("""COMPUTED_VALUE"""),0.0)</f>
        <v>0</v>
      </c>
      <c r="K349" s="11">
        <f>IFERROR(__xludf.DUMMYFUNCTION("""COMPUTED_VALUE"""),1.0)</f>
        <v>1</v>
      </c>
    </row>
    <row r="350" ht="15.75" customHeight="1">
      <c r="A350" s="8" t="str">
        <f>IFERROR(__xludf.DUMMYFUNCTION("""COMPUTED_VALUE"""),"https://www.medianug.com/blog/10-paid-media-agencies-to-elevate-your-marketing-strategy-in-2026")</f>
        <v>https://www.medianug.com/blog/10-paid-media-agencies-to-elevate-your-marketing-strategy-in-2026</v>
      </c>
      <c r="B350" s="11" t="str">
        <f>IFERROR(__xludf.DUMMYFUNCTION("""COMPUTED_VALUE"""),"10 Paid Media Agencies to Elevate Your Marketing Strategy in 2026")</f>
        <v>10 Paid Media Agencies to Elevate Your Marketing Strategy in 2026</v>
      </c>
      <c r="C350" s="8" t="str">
        <f>IFERROR(__xludf.DUMMYFUNCTION("""COMPUTED_VALUE"""),"medianug.com")</f>
        <v>medianug.com</v>
      </c>
      <c r="D350" s="11" t="str">
        <f>IFERROR(__xludf.DUMMYFUNCTION("""COMPUTED_VALUE"""),"LISTICLE")</f>
        <v>LISTICLE</v>
      </c>
      <c r="E350" s="11" t="str">
        <f>IFERROR(__xludf.DUMMYFUNCTION("""COMPUTED_VALUE"""),"OTHER")</f>
        <v>OTHER</v>
      </c>
      <c r="F350" s="11" t="str">
        <f>IFERROR(__xludf.DUMMYFUNCTION("""COMPUTED_VALUE"""),"Listicle")</f>
        <v>Listicle</v>
      </c>
      <c r="G350" s="11" t="b">
        <f>IFERROR(__xludf.DUMMYFUNCTION("""COMPUTED_VALUE"""),FALSE)</f>
        <v>0</v>
      </c>
      <c r="H350" s="11" t="str">
        <f>IFERROR(__xludf.DUMMYFUNCTION("""COMPUTED_VALUE"""),"Directive Consulting, Power Digital, Wpromote, Tinuiti, KlientBoost, Disruptive Advertising, WebFX")</f>
        <v>Directive Consulting, Power Digital, Wpromote, Tinuiti, KlientBoost, Disruptive Advertising, WebFX</v>
      </c>
      <c r="I350" s="11">
        <f>IFERROR(__xludf.DUMMYFUNCTION("""COMPUTED_VALUE"""),1.0)</f>
        <v>1</v>
      </c>
      <c r="J350" s="11">
        <f>IFERROR(__xludf.DUMMYFUNCTION("""COMPUTED_VALUE"""),0.0)</f>
        <v>0</v>
      </c>
      <c r="K350" s="11">
        <f>IFERROR(__xludf.DUMMYFUNCTION("""COMPUTED_VALUE"""),0.0)</f>
        <v>0</v>
      </c>
    </row>
    <row r="351" ht="15.75" customHeight="1">
      <c r="A351" s="8" t="str">
        <f>IFERROR(__xludf.DUMMYFUNCTION("""COMPUTED_VALUE"""),"https://metehan.ai/articles/best-aeo-geo-agencies/")</f>
        <v>https://metehan.ai/articles/best-aeo-geo-agencies/</v>
      </c>
      <c r="B351" s="11" t="str">
        <f>IFERROR(__xludf.DUMMYFUNCTION("""COMPUTED_VALUE"""),"Best AEO &amp;amp; GEO Agencies in 2026: 30 Agencies Compared | metehan.ai")</f>
        <v>Best AEO &amp;amp; GEO Agencies in 2026: 30 Agencies Compared | metehan.ai</v>
      </c>
      <c r="C351" s="8" t="str">
        <f>IFERROR(__xludf.DUMMYFUNCTION("""COMPUTED_VALUE"""),"metehan.ai")</f>
        <v>metehan.ai</v>
      </c>
      <c r="D351" s="11" t="str">
        <f>IFERROR(__xludf.DUMMYFUNCTION("""COMPUTED_VALUE"""),"LISTICLE")</f>
        <v>LISTICLE</v>
      </c>
      <c r="E351" s="11" t="str">
        <f>IFERROR(__xludf.DUMMYFUNCTION("""COMPUTED_VALUE"""),"EDITORIAL")</f>
        <v>EDITORIAL</v>
      </c>
      <c r="F351" s="11" t="str">
        <f>IFERROR(__xludf.DUMMYFUNCTION("""COMPUTED_VALUE"""),"Listicle")</f>
        <v>Listicle</v>
      </c>
      <c r="G351" s="11" t="b">
        <f>IFERROR(__xludf.DUMMYFUNCTION("""COMPUTED_VALUE"""),FALSE)</f>
        <v>0</v>
      </c>
      <c r="H351" s="11" t="str">
        <f>IFERROR(__xludf.DUMMYFUNCTION("""COMPUTED_VALUE"""),"iPullRank, Radyant, DEPT, Monks, Peak Ace")</f>
        <v>iPullRank, Radyant, DEPT, Monks, Peak Ace</v>
      </c>
      <c r="I351" s="11">
        <f>IFERROR(__xludf.DUMMYFUNCTION("""COMPUTED_VALUE"""),1.0)</f>
        <v>1</v>
      </c>
      <c r="J351" s="11">
        <f>IFERROR(__xludf.DUMMYFUNCTION("""COMPUTED_VALUE"""),0.0)</f>
        <v>0</v>
      </c>
      <c r="K351" s="11">
        <f>IFERROR(__xludf.DUMMYFUNCTION("""COMPUTED_VALUE"""),1.0)</f>
        <v>1</v>
      </c>
    </row>
    <row r="352" ht="15.75" customHeight="1">
      <c r="A352" s="8" t="str">
        <f>IFERROR(__xludf.DUMMYFUNCTION("""COMPUTED_VALUE"""),"https://mingma.io/journal/best-ai-automation-agencies-mid-market/")</f>
        <v>https://mingma.io/journal/best-ai-automation-agencies-mid-market/</v>
      </c>
      <c r="B352" s="11" t="str">
        <f>IFERROR(__xludf.DUMMYFUNCTION("""COMPUTED_VALUE"""),"Best AI Automation Agencies for Mid-Market Companies 2026 | Honest Comparison")</f>
        <v>Best AI Automation Agencies for Mid-Market Companies 2026 | Honest Comparison</v>
      </c>
      <c r="C352" s="8" t="str">
        <f>IFERROR(__xludf.DUMMYFUNCTION("""COMPUTED_VALUE"""),"mingma.io")</f>
        <v>mingma.io</v>
      </c>
      <c r="D352" s="11" t="str">
        <f>IFERROR(__xludf.DUMMYFUNCTION("""COMPUTED_VALUE"""),"LISTICLE")</f>
        <v>LISTICLE</v>
      </c>
      <c r="E352" s="11" t="str">
        <f>IFERROR(__xludf.DUMMYFUNCTION("""COMPUTED_VALUE"""),"CORPORATE")</f>
        <v>CORPORATE</v>
      </c>
      <c r="F352" s="11" t="str">
        <f>IFERROR(__xludf.DUMMYFUNCTION("""COMPUTED_VALUE"""),"Listicle")</f>
        <v>Listicle</v>
      </c>
      <c r="G352" s="11" t="b">
        <f>IFERROR(__xludf.DUMMYFUNCTION("""COMPUTED_VALUE"""),FALSE)</f>
        <v>0</v>
      </c>
      <c r="H352" s="11" t="str">
        <f>IFERROR(__xludf.DUMMYFUNCTION("""COMPUTED_VALUE"""),"Measured, Pilot")</f>
        <v>Measured, Pilot</v>
      </c>
      <c r="I352" s="11">
        <f>IFERROR(__xludf.DUMMYFUNCTION("""COMPUTED_VALUE"""),1.0)</f>
        <v>1</v>
      </c>
      <c r="J352" s="11">
        <f>IFERROR(__xludf.DUMMYFUNCTION("""COMPUTED_VALUE"""),0.0)</f>
        <v>0</v>
      </c>
      <c r="K352" s="11">
        <f>IFERROR(__xludf.DUMMYFUNCTION("""COMPUTED_VALUE"""),3.0)</f>
        <v>3</v>
      </c>
    </row>
    <row r="353" ht="15.75" customHeight="1">
      <c r="A353" s="8" t="str">
        <f>IFERROR(__xludf.DUMMYFUNCTION("""COMPUTED_VALUE"""),"https://www.mintcopywritingstudios.com/blog/ai-search-optimization-geo-agencies")</f>
        <v>https://www.mintcopywritingstudios.com/blog/ai-search-optimization-geo-agencies</v>
      </c>
      <c r="B353" s="11" t="str">
        <f>IFERROR(__xludf.DUMMYFUNCTION("""COMPUTED_VALUE"""),"Top Generative Engine Optimization (GEO) Agencies in 2026: 10+ AI Search Specialists Compared | Mint Studios")</f>
        <v>Top Generative Engine Optimization (GEO) Agencies in 2026: 10+ AI Search Specialists Compared | Mint Studios</v>
      </c>
      <c r="C353" s="8" t="str">
        <f>IFERROR(__xludf.DUMMYFUNCTION("""COMPUTED_VALUE"""),"mintcopywritingstudios.com")</f>
        <v>mintcopywritingstudios.com</v>
      </c>
      <c r="D353" s="11" t="str">
        <f>IFERROR(__xludf.DUMMYFUNCTION("""COMPUTED_VALUE"""),"LISTICLE")</f>
        <v>LISTICLE</v>
      </c>
      <c r="E353" s="11" t="str">
        <f>IFERROR(__xludf.DUMMYFUNCTION("""COMPUTED_VALUE"""),"CORPORATE")</f>
        <v>CORPORATE</v>
      </c>
      <c r="F353" s="11" t="str">
        <f>IFERROR(__xludf.DUMMYFUNCTION("""COMPUTED_VALUE"""),"Listicle")</f>
        <v>Listicle</v>
      </c>
      <c r="G353" s="11" t="b">
        <f>IFERROR(__xludf.DUMMYFUNCTION("""COMPUTED_VALUE"""),FALSE)</f>
        <v>0</v>
      </c>
      <c r="H353" s="11" t="str">
        <f>IFERROR(__xludf.DUMMYFUNCTION("""COMPUTED_VALUE"""),"NoGood, WebFX, Siege Media, Omniscient Digital, Single Grain, Huge, Pilot, Measured")</f>
        <v>NoGood, WebFX, Siege Media, Omniscient Digital, Single Grain, Huge, Pilot, Measured</v>
      </c>
      <c r="I353" s="11">
        <f>IFERROR(__xludf.DUMMYFUNCTION("""COMPUTED_VALUE"""),1.0)</f>
        <v>1</v>
      </c>
      <c r="J353" s="11">
        <f>IFERROR(__xludf.DUMMYFUNCTION("""COMPUTED_VALUE"""),0.0)</f>
        <v>0</v>
      </c>
      <c r="K353" s="11">
        <f>IFERROR(__xludf.DUMMYFUNCTION("""COMPUTED_VALUE"""),1.0)</f>
        <v>1</v>
      </c>
    </row>
    <row r="354" ht="15.75" customHeight="1">
      <c r="A354" s="8" t="str">
        <f>IFERROR(__xludf.DUMMYFUNCTION("""COMPUTED_VALUE"""),"https://minuttia.com/best-aeo-agencies/")</f>
        <v>https://minuttia.com/best-aeo-agencies/</v>
      </c>
      <c r="B354" s="11" t="str">
        <f>IFERROR(__xludf.DUMMYFUNCTION("""COMPUTED_VALUE"""),"10 Best Answer Engine Optimization (AEO) Agencies in July, 2026")</f>
        <v>10 Best Answer Engine Optimization (AEO) Agencies in July, 2026</v>
      </c>
      <c r="C354" s="8" t="str">
        <f>IFERROR(__xludf.DUMMYFUNCTION("""COMPUTED_VALUE"""),"minuttia.com")</f>
        <v>minuttia.com</v>
      </c>
      <c r="D354" s="11" t="str">
        <f>IFERROR(__xludf.DUMMYFUNCTION("""COMPUTED_VALUE"""),"LISTICLE")</f>
        <v>LISTICLE</v>
      </c>
      <c r="E354" s="11" t="str">
        <f>IFERROR(__xludf.DUMMYFUNCTION("""COMPUTED_VALUE"""),"CORPORATE")</f>
        <v>CORPORATE</v>
      </c>
      <c r="F354" s="11" t="str">
        <f>IFERROR(__xludf.DUMMYFUNCTION("""COMPUTED_VALUE"""),"Listicle")</f>
        <v>Listicle</v>
      </c>
      <c r="G354" s="11" t="b">
        <f>IFERROR(__xludf.DUMMYFUNCTION("""COMPUTED_VALUE"""),FALSE)</f>
        <v>0</v>
      </c>
      <c r="H354" s="11" t="str">
        <f>IFERROR(__xludf.DUMMYFUNCTION("""COMPUTED_VALUE"""),"Single Grain, Siege Media, iPullRank, NoGood")</f>
        <v>Single Grain, Siege Media, iPullRank, NoGood</v>
      </c>
      <c r="I354" s="11">
        <f>IFERROR(__xludf.DUMMYFUNCTION("""COMPUTED_VALUE"""),1.0)</f>
        <v>1</v>
      </c>
      <c r="J354" s="11">
        <f>IFERROR(__xludf.DUMMYFUNCTION("""COMPUTED_VALUE"""),0.0)</f>
        <v>0</v>
      </c>
      <c r="K354" s="11">
        <f>IFERROR(__xludf.DUMMYFUNCTION("""COMPUTED_VALUE"""),1.0)</f>
        <v>1</v>
      </c>
    </row>
    <row r="355" ht="15.75" customHeight="1">
      <c r="A355" s="8" t="str">
        <f>IFERROR(__xludf.DUMMYFUNCTION("""COMPUTED_VALUE"""),"https://minuttia.com/best-llmo-agencies/")</f>
        <v>https://minuttia.com/best-llmo-agencies/</v>
      </c>
      <c r="B355" s="11" t="str">
        <f>IFERROR(__xludf.DUMMYFUNCTION("""COMPUTED_VALUE"""),"10 Large Language Model Optimization (LLMO) Agencies in 2026")</f>
        <v>10 Large Language Model Optimization (LLMO) Agencies in 2026</v>
      </c>
      <c r="C355" s="8" t="str">
        <f>IFERROR(__xludf.DUMMYFUNCTION("""COMPUTED_VALUE"""),"minuttia.com")</f>
        <v>minuttia.com</v>
      </c>
      <c r="D355" s="11" t="str">
        <f>IFERROR(__xludf.DUMMYFUNCTION("""COMPUTED_VALUE"""),"LISTICLE")</f>
        <v>LISTICLE</v>
      </c>
      <c r="E355" s="11" t="str">
        <f>IFERROR(__xludf.DUMMYFUNCTION("""COMPUTED_VALUE"""),"CORPORATE")</f>
        <v>CORPORATE</v>
      </c>
      <c r="F355" s="11" t="str">
        <f>IFERROR(__xludf.DUMMYFUNCTION("""COMPUTED_VALUE"""),"Listicle")</f>
        <v>Listicle</v>
      </c>
      <c r="G355" s="11" t="b">
        <f>IFERROR(__xludf.DUMMYFUNCTION("""COMPUTED_VALUE"""),FALSE)</f>
        <v>0</v>
      </c>
      <c r="H355" s="11" t="str">
        <f>IFERROR(__xludf.DUMMYFUNCTION("""COMPUTED_VALUE"""),"TRYSEO")</f>
        <v>TRYSEO</v>
      </c>
      <c r="I355" s="11">
        <f>IFERROR(__xludf.DUMMYFUNCTION("""COMPUTED_VALUE"""),1.0)</f>
        <v>1</v>
      </c>
      <c r="J355" s="11">
        <f>IFERROR(__xludf.DUMMYFUNCTION("""COMPUTED_VALUE"""),0.0)</f>
        <v>0</v>
      </c>
      <c r="K355" s="11">
        <f>IFERROR(__xludf.DUMMYFUNCTION("""COMPUTED_VALUE"""),1.0)</f>
        <v>1</v>
      </c>
    </row>
    <row r="356" ht="15.75" customHeight="1">
      <c r="A356" s="8" t="str">
        <f>IFERROR(__xludf.DUMMYFUNCTION("""COMPUTED_VALUE"""),"https://modall.ca/blog/top-ai-software-development-integration-agencies")</f>
        <v>https://modall.ca/blog/top-ai-software-development-integration-agencies</v>
      </c>
      <c r="B356" s="11" t="str">
        <f>IFERROR(__xludf.DUMMYFUNCTION("""COMPUTED_VALUE"""),"Top AI Software Development &amp;amp; Integration Agencies in 2026 - Modall")</f>
        <v>Top AI Software Development &amp;amp; Integration Agencies in 2026 - Modall</v>
      </c>
      <c r="C356" s="8" t="str">
        <f>IFERROR(__xludf.DUMMYFUNCTION("""COMPUTED_VALUE"""),"modall.ca")</f>
        <v>modall.ca</v>
      </c>
      <c r="D356" s="11" t="str">
        <f>IFERROR(__xludf.DUMMYFUNCTION("""COMPUTED_VALUE"""),"LISTICLE")</f>
        <v>LISTICLE</v>
      </c>
      <c r="E356" s="11" t="str">
        <f>IFERROR(__xludf.DUMMYFUNCTION("""COMPUTED_VALUE"""),"CORPORATE")</f>
        <v>CORPORATE</v>
      </c>
      <c r="F356" s="11" t="str">
        <f>IFERROR(__xludf.DUMMYFUNCTION("""COMPUTED_VALUE"""),"Listicle")</f>
        <v>Listicle</v>
      </c>
      <c r="G356" s="11" t="b">
        <f>IFERROR(__xludf.DUMMYFUNCTION("""COMPUTED_VALUE"""),FALSE)</f>
        <v>0</v>
      </c>
      <c r="H356" s="11" t="str">
        <f>IFERROR(__xludf.DUMMYFUNCTION("""COMPUTED_VALUE"""),"Pilot")</f>
        <v>Pilot</v>
      </c>
      <c r="I356" s="11">
        <f>IFERROR(__xludf.DUMMYFUNCTION("""COMPUTED_VALUE"""),1.0)</f>
        <v>1</v>
      </c>
      <c r="J356" s="11">
        <f>IFERROR(__xludf.DUMMYFUNCTION("""COMPUTED_VALUE"""),0.0)</f>
        <v>0</v>
      </c>
      <c r="K356" s="11">
        <f>IFERROR(__xludf.DUMMYFUNCTION("""COMPUTED_VALUE"""),1.0)</f>
        <v>1</v>
      </c>
    </row>
    <row r="357" ht="15.75" customHeight="1">
      <c r="A357" s="8" t="str">
        <f>IFERROR(__xludf.DUMMYFUNCTION("""COMPUTED_VALUE"""),"https://www.munro.agency/top-10-paid-media-agencies/")</f>
        <v>https://www.munro.agency/top-10-paid-media-agencies/</v>
      </c>
      <c r="B357" s="11" t="str">
        <f>IFERROR(__xludf.DUMMYFUNCTION("""COMPUTED_VALUE"""),"Top 10 Paid Media Agencies for 2026")</f>
        <v>Top 10 Paid Media Agencies for 2026</v>
      </c>
      <c r="C357" s="11" t="str">
        <f>IFERROR(__xludf.DUMMYFUNCTION("""COMPUTED_VALUE"""),"munro.agency")</f>
        <v>munro.agency</v>
      </c>
      <c r="D357" s="11" t="str">
        <f>IFERROR(__xludf.DUMMYFUNCTION("""COMPUTED_VALUE"""),"LISTICLE")</f>
        <v>LISTICLE</v>
      </c>
      <c r="E357" s="11" t="str">
        <f>IFERROR(__xludf.DUMMYFUNCTION("""COMPUTED_VALUE"""),"CORPORATE")</f>
        <v>CORPORATE</v>
      </c>
      <c r="F357" s="11" t="str">
        <f>IFERROR(__xludf.DUMMYFUNCTION("""COMPUTED_VALUE"""),"Listicle")</f>
        <v>Listicle</v>
      </c>
      <c r="G357" s="11" t="b">
        <f>IFERROR(__xludf.DUMMYFUNCTION("""COMPUTED_VALUE"""),FALSE)</f>
        <v>0</v>
      </c>
      <c r="H357" s="11" t="str">
        <f>IFERROR(__xludf.DUMMYFUNCTION("""COMPUTED_VALUE"""),"inBeat, Power Digital")</f>
        <v>inBeat, Power Digital</v>
      </c>
      <c r="I357" s="11">
        <f>IFERROR(__xludf.DUMMYFUNCTION("""COMPUTED_VALUE"""),1.0)</f>
        <v>1</v>
      </c>
      <c r="J357" s="11">
        <f>IFERROR(__xludf.DUMMYFUNCTION("""COMPUTED_VALUE"""),0.0)</f>
        <v>0</v>
      </c>
      <c r="K357" s="11">
        <f>IFERROR(__xludf.DUMMYFUNCTION("""COMPUTED_VALUE"""),0.0)</f>
        <v>0</v>
      </c>
    </row>
    <row r="358" ht="15.75" customHeight="1">
      <c r="A358" s="8" t="str">
        <f>IFERROR(__xludf.DUMMYFUNCTION("""COMPUTED_VALUE"""),"https://www.munro.agency/top-marketing-data-science-agencies/")</f>
        <v>https://www.munro.agency/top-marketing-data-science-agencies/</v>
      </c>
      <c r="B358" s="11" t="str">
        <f>IFERROR(__xludf.DUMMYFUNCTION("""COMPUTED_VALUE"""),"Top 17 Marketing Data Science Agencies")</f>
        <v>Top 17 Marketing Data Science Agencies</v>
      </c>
      <c r="C358" s="11" t="str">
        <f>IFERROR(__xludf.DUMMYFUNCTION("""COMPUTED_VALUE"""),"munro.agency")</f>
        <v>munro.agency</v>
      </c>
      <c r="D358" s="11" t="str">
        <f>IFERROR(__xludf.DUMMYFUNCTION("""COMPUTED_VALUE"""),"LISTICLE")</f>
        <v>LISTICLE</v>
      </c>
      <c r="E358" s="11" t="str">
        <f>IFERROR(__xludf.DUMMYFUNCTION("""COMPUTED_VALUE"""),"CORPORATE")</f>
        <v>CORPORATE</v>
      </c>
      <c r="F358" s="11" t="str">
        <f>IFERROR(__xludf.DUMMYFUNCTION("""COMPUTED_VALUE"""),"Listicle")</f>
        <v>Listicle</v>
      </c>
      <c r="G358" s="11" t="b">
        <f>IFERROR(__xludf.DUMMYFUNCTION("""COMPUTED_VALUE"""),FALSE)</f>
        <v>0</v>
      </c>
      <c r="H358" s="11" t="str">
        <f>IFERROR(__xludf.DUMMYFUNCTION("""COMPUTED_VALUE"""),"Measured, Artefact, BCG, Boston Consulting Group, PwC, Capgemini, Merkle, Analytic Partners")</f>
        <v>Measured, Artefact, BCG, Boston Consulting Group, PwC, Capgemini, Merkle, Analytic Partners</v>
      </c>
      <c r="I358" s="11">
        <f>IFERROR(__xludf.DUMMYFUNCTION("""COMPUTED_VALUE"""),1.0)</f>
        <v>1</v>
      </c>
      <c r="J358" s="11">
        <f>IFERROR(__xludf.DUMMYFUNCTION("""COMPUTED_VALUE"""),0.0)</f>
        <v>0</v>
      </c>
      <c r="K358" s="11">
        <f>IFERROR(__xludf.DUMMYFUNCTION("""COMPUTED_VALUE"""),1.0)</f>
        <v>1</v>
      </c>
    </row>
    <row r="359" ht="15.75" customHeight="1">
      <c r="A359" s="8" t="str">
        <f>IFERROR(__xludf.DUMMYFUNCTION("""COMPUTED_VALUE"""),"https://nativz.io/best-ai-seo-tools-2025-top-10-platforms-for-aeo-chatgpt-llm-visibility/")</f>
        <v>https://nativz.io/best-ai-seo-tools-2025-top-10-platforms-for-aeo-chatgpt-llm-visibility/</v>
      </c>
      <c r="B359" s="11" t="str">
        <f>IFERROR(__xludf.DUMMYFUNCTION("""COMPUTED_VALUE"""),"Best AI SEO Tools 2025 – Top 10 Platforms for AEO, ChatGPT &amp;amp; LLM")</f>
        <v>Best AI SEO Tools 2025 – Top 10 Platforms for AEO, ChatGPT &amp;amp; LLM</v>
      </c>
      <c r="C359" s="8" t="str">
        <f>IFERROR(__xludf.DUMMYFUNCTION("""COMPUTED_VALUE"""),"nativz.io")</f>
        <v>nativz.io</v>
      </c>
      <c r="D359" s="11" t="str">
        <f>IFERROR(__xludf.DUMMYFUNCTION("""COMPUTED_VALUE"""),"LISTICLE")</f>
        <v>LISTICLE</v>
      </c>
      <c r="E359" s="11" t="str">
        <f>IFERROR(__xludf.DUMMYFUNCTION("""COMPUTED_VALUE"""),"CORPORATE")</f>
        <v>CORPORATE</v>
      </c>
      <c r="F359" s="11" t="str">
        <f>IFERROR(__xludf.DUMMYFUNCTION("""COMPUTED_VALUE"""),"Listicle")</f>
        <v>Listicle</v>
      </c>
      <c r="G359" s="11" t="b">
        <f>IFERROR(__xludf.DUMMYFUNCTION("""COMPUTED_VALUE"""),FALSE)</f>
        <v>0</v>
      </c>
      <c r="H359" s="11"/>
      <c r="I359" s="11">
        <f>IFERROR(__xludf.DUMMYFUNCTION("""COMPUTED_VALUE"""),1.0)</f>
        <v>1</v>
      </c>
      <c r="J359" s="11">
        <f>IFERROR(__xludf.DUMMYFUNCTION("""COMPUTED_VALUE"""),0.0)</f>
        <v>0</v>
      </c>
      <c r="K359" s="11">
        <f>IFERROR(__xludf.DUMMYFUNCTION("""COMPUTED_VALUE"""),1.0)</f>
        <v>1</v>
      </c>
    </row>
    <row r="360" ht="15.75" customHeight="1">
      <c r="A360" s="8" t="str">
        <f>IFERROR(__xludf.DUMMYFUNCTION("""COMPUTED_VALUE"""),"https://nealschaffer.com/ai-marketing-agency/")</f>
        <v>https://nealschaffer.com/ai-marketing-agency/</v>
      </c>
      <c r="B360" s="11" t="str">
        <f>IFERROR(__xludf.DUMMYFUNCTION("""COMPUTED_VALUE"""),"15 Best AI Marketing Agencies Helping Brands Grow in 2026")</f>
        <v>15 Best AI Marketing Agencies Helping Brands Grow in 2026</v>
      </c>
      <c r="C360" s="8" t="str">
        <f>IFERROR(__xludf.DUMMYFUNCTION("""COMPUTED_VALUE"""),"nealschaffer.com")</f>
        <v>nealschaffer.com</v>
      </c>
      <c r="D360" s="11" t="str">
        <f>IFERROR(__xludf.DUMMYFUNCTION("""COMPUTED_VALUE"""),"LISTICLE")</f>
        <v>LISTICLE</v>
      </c>
      <c r="E360" s="11" t="str">
        <f>IFERROR(__xludf.DUMMYFUNCTION("""COMPUTED_VALUE"""),"CORPORATE")</f>
        <v>CORPORATE</v>
      </c>
      <c r="F360" s="11" t="str">
        <f>IFERROR(__xludf.DUMMYFUNCTION("""COMPUTED_VALUE"""),"Listicle")</f>
        <v>Listicle</v>
      </c>
      <c r="G360" s="11" t="b">
        <f>IFERROR(__xludf.DUMMYFUNCTION("""COMPUTED_VALUE"""),FALSE)</f>
        <v>0</v>
      </c>
      <c r="H360" s="11" t="str">
        <f>IFERROR(__xludf.DUMMYFUNCTION("""COMPUTED_VALUE"""),"Pilot, Measured, appliedAI")</f>
        <v>Pilot, Measured, appliedAI</v>
      </c>
      <c r="I360" s="11">
        <f>IFERROR(__xludf.DUMMYFUNCTION("""COMPUTED_VALUE"""),1.0)</f>
        <v>1</v>
      </c>
      <c r="J360" s="11">
        <f>IFERROR(__xludf.DUMMYFUNCTION("""COMPUTED_VALUE"""),0.0)</f>
        <v>0</v>
      </c>
      <c r="K360" s="11">
        <f>IFERROR(__xludf.DUMMYFUNCTION("""COMPUTED_VALUE"""),0.0)</f>
        <v>0</v>
      </c>
    </row>
    <row r="361" ht="15.75" customHeight="1">
      <c r="A361" s="8" t="str">
        <f>IFERROR(__xludf.DUMMYFUNCTION("""COMPUTED_VALUE"""),"https://nealschaffer.com/digital-marketing-agencies/")</f>
        <v>https://nealschaffer.com/digital-marketing-agencies/</v>
      </c>
      <c r="B361" s="11" t="str">
        <f>IFERROR(__xludf.DUMMYFUNCTION("""COMPUTED_VALUE"""),"15 Best Digital Marketing Agencies That Deliver Results in 2026")</f>
        <v>15 Best Digital Marketing Agencies That Deliver Results in 2026</v>
      </c>
      <c r="C361" s="8" t="str">
        <f>IFERROR(__xludf.DUMMYFUNCTION("""COMPUTED_VALUE"""),"nealschaffer.com")</f>
        <v>nealschaffer.com</v>
      </c>
      <c r="D361" s="11" t="str">
        <f>IFERROR(__xludf.DUMMYFUNCTION("""COMPUTED_VALUE"""),"LISTICLE")</f>
        <v>LISTICLE</v>
      </c>
      <c r="E361" s="11" t="str">
        <f>IFERROR(__xludf.DUMMYFUNCTION("""COMPUTED_VALUE"""),"CORPORATE")</f>
        <v>CORPORATE</v>
      </c>
      <c r="F361" s="11" t="str">
        <f>IFERROR(__xludf.DUMMYFUNCTION("""COMPUTED_VALUE"""),"Listicle")</f>
        <v>Listicle</v>
      </c>
      <c r="G361" s="11" t="b">
        <f>IFERROR(__xludf.DUMMYFUNCTION("""COMPUTED_VALUE"""),FALSE)</f>
        <v>0</v>
      </c>
      <c r="H361" s="11" t="str">
        <f>IFERROR(__xludf.DUMMYFUNCTION("""COMPUTED_VALUE"""),"WebFX, SmartSites, Power Digital")</f>
        <v>WebFX, SmartSites, Power Digital</v>
      </c>
      <c r="I361" s="11">
        <f>IFERROR(__xludf.DUMMYFUNCTION("""COMPUTED_VALUE"""),1.0)</f>
        <v>1</v>
      </c>
      <c r="J361" s="11">
        <f>IFERROR(__xludf.DUMMYFUNCTION("""COMPUTED_VALUE"""),0.0)</f>
        <v>0</v>
      </c>
      <c r="K361" s="11">
        <f>IFERROR(__xludf.DUMMYFUNCTION("""COMPUTED_VALUE"""),1.0)</f>
        <v>1</v>
      </c>
    </row>
    <row r="362" ht="15.75" customHeight="1">
      <c r="A362" s="8" t="str">
        <f>IFERROR(__xludf.DUMMYFUNCTION("""COMPUTED_VALUE"""),"https://www.neuhandeln.de/internetagentur-ranking/ranking_2025.html")</f>
        <v>https://www.neuhandeln.de/internetagentur-ranking/ranking_2025.html</v>
      </c>
      <c r="B362" s="11" t="str">
        <f>IFERROR(__xludf.DUMMYFUNCTION("""COMPUTED_VALUE"""),"Das Ranking gr��ten deutschen Internetagenturen")</f>
        <v>Das Ranking gr��ten deutschen Internetagenturen</v>
      </c>
      <c r="C362" s="8" t="str">
        <f>IFERROR(__xludf.DUMMYFUNCTION("""COMPUTED_VALUE"""),"neuhandeln.de")</f>
        <v>neuhandeln.de</v>
      </c>
      <c r="D362" s="11" t="str">
        <f>IFERROR(__xludf.DUMMYFUNCTION("""COMPUTED_VALUE"""),"LISTICLE")</f>
        <v>LISTICLE</v>
      </c>
      <c r="E362" s="11" t="str">
        <f>IFERROR(__xludf.DUMMYFUNCTION("""COMPUTED_VALUE"""),"EDITORIAL")</f>
        <v>EDITORIAL</v>
      </c>
      <c r="F362" s="11" t="str">
        <f>IFERROR(__xludf.DUMMYFUNCTION("""COMPUTED_VALUE"""),"Listicle")</f>
        <v>Listicle</v>
      </c>
      <c r="G362" s="11" t="b">
        <f>IFERROR(__xludf.DUMMYFUNCTION("""COMPUTED_VALUE"""),FALSE)</f>
        <v>0</v>
      </c>
      <c r="H362" s="11" t="str">
        <f>IFERROR(__xludf.DUMMYFUNCTION("""COMPUTED_VALUE"""),"Pilot, Merkle, KlickPiloten, Digital Masters GmbH, DREIKON, PANORAMA3000")</f>
        <v>Pilot, Merkle, KlickPiloten, Digital Masters GmbH, DREIKON, PANORAMA3000</v>
      </c>
      <c r="I362" s="11">
        <f>IFERROR(__xludf.DUMMYFUNCTION("""COMPUTED_VALUE"""),1.0)</f>
        <v>1</v>
      </c>
      <c r="J362" s="11">
        <f>IFERROR(__xludf.DUMMYFUNCTION("""COMPUTED_VALUE"""),0.0)</f>
        <v>0</v>
      </c>
      <c r="K362" s="11">
        <f>IFERROR(__xludf.DUMMYFUNCTION("""COMPUTED_VALUE"""),1.0)</f>
        <v>1</v>
      </c>
    </row>
    <row r="363" ht="15.75" customHeight="1">
      <c r="A363" s="8" t="str">
        <f>IFERROR(__xludf.DUMMYFUNCTION("""COMPUTED_VALUE"""),"https://www.neuhandeln.de/performance-ranking/performance_2021")</f>
        <v>https://www.neuhandeln.de/performance-ranking/performance_2021</v>
      </c>
      <c r="B363" s="11" t="str">
        <f>IFERROR(__xludf.DUMMYFUNCTION("""COMPUTED_VALUE"""),"Das Ranking der gr��ten deutschsprachigen Performance-Marketing-Agenturen")</f>
        <v>Das Ranking der gr��ten deutschsprachigen Performance-Marketing-Agenturen</v>
      </c>
      <c r="C363" s="8" t="str">
        <f>IFERROR(__xludf.DUMMYFUNCTION("""COMPUTED_VALUE"""),"neuhandeln.de")</f>
        <v>neuhandeln.de</v>
      </c>
      <c r="D363" s="11" t="str">
        <f>IFERROR(__xludf.DUMMYFUNCTION("""COMPUTED_VALUE"""),"LISTICLE")</f>
        <v>LISTICLE</v>
      </c>
      <c r="E363" s="11" t="str">
        <f>IFERROR(__xludf.DUMMYFUNCTION("""COMPUTED_VALUE"""),"EDITORIAL")</f>
        <v>EDITORIAL</v>
      </c>
      <c r="F363" s="11" t="str">
        <f>IFERROR(__xludf.DUMMYFUNCTION("""COMPUTED_VALUE"""),"Listicle")</f>
        <v>Listicle</v>
      </c>
      <c r="G363" s="11" t="b">
        <f>IFERROR(__xludf.DUMMYFUNCTION("""COMPUTED_VALUE"""),FALSE)</f>
        <v>0</v>
      </c>
      <c r="H363" s="11" t="str">
        <f>IFERROR(__xludf.DUMMYFUNCTION("""COMPUTED_VALUE"""),"Smarketer, iProspect, morefire, e-dialog, 42DIGITAL, Aufgesang, PANORAMA3000")</f>
        <v>Smarketer, iProspect, morefire, e-dialog, 42DIGITAL, Aufgesang, PANORAMA3000</v>
      </c>
      <c r="I363" s="11">
        <f>IFERROR(__xludf.DUMMYFUNCTION("""COMPUTED_VALUE"""),1.0)</f>
        <v>1</v>
      </c>
      <c r="J363" s="11">
        <f>IFERROR(__xludf.DUMMYFUNCTION("""COMPUTED_VALUE"""),0.0)</f>
        <v>0</v>
      </c>
      <c r="K363" s="11">
        <f>IFERROR(__xludf.DUMMYFUNCTION("""COMPUTED_VALUE"""),0.0)</f>
        <v>0</v>
      </c>
    </row>
    <row r="364" ht="15.75" customHeight="1">
      <c r="A364" s="8" t="str">
        <f>IFERROR(__xludf.DUMMYFUNCTION("""COMPUTED_VALUE"""),"https://www.nikaconsulting.co.nz/advertising-agencies-auckland/")</f>
        <v>https://www.nikaconsulting.co.nz/advertising-agencies-auckland/</v>
      </c>
      <c r="B364" s="11" t="str">
        <f>IFERROR(__xludf.DUMMYFUNCTION("""COMPUTED_VALUE"""),"7 Best Advertising Agencies Auckland Offers in 2025 » Award-Winning Creative Digital Marketing Agency NZ")</f>
        <v>7 Best Advertising Agencies Auckland Offers in 2025 » Award-Winning Creative Digital Marketing Agency NZ</v>
      </c>
      <c r="C364" s="8" t="str">
        <f>IFERROR(__xludf.DUMMYFUNCTION("""COMPUTED_VALUE"""),"nikaconsulting.co.nz")</f>
        <v>nikaconsulting.co.nz</v>
      </c>
      <c r="D364" s="11" t="str">
        <f>IFERROR(__xludf.DUMMYFUNCTION("""COMPUTED_VALUE"""),"LISTICLE")</f>
        <v>LISTICLE</v>
      </c>
      <c r="E364" s="11" t="str">
        <f>IFERROR(__xludf.DUMMYFUNCTION("""COMPUTED_VALUE"""),"CORPORATE")</f>
        <v>CORPORATE</v>
      </c>
      <c r="F364" s="11" t="str">
        <f>IFERROR(__xludf.DUMMYFUNCTION("""COMPUTED_VALUE"""),"Listicle")</f>
        <v>Listicle</v>
      </c>
      <c r="G364" s="11" t="b">
        <f>IFERROR(__xludf.DUMMYFUNCTION("""COMPUTED_VALUE"""),FALSE)</f>
        <v>0</v>
      </c>
      <c r="H364" s="11"/>
      <c r="I364" s="11">
        <f>IFERROR(__xludf.DUMMYFUNCTION("""COMPUTED_VALUE"""),1.0)</f>
        <v>1</v>
      </c>
      <c r="J364" s="11">
        <f>IFERROR(__xludf.DUMMYFUNCTION("""COMPUTED_VALUE"""),0.0)</f>
        <v>0</v>
      </c>
      <c r="K364" s="11">
        <f>IFERROR(__xludf.DUMMYFUNCTION("""COMPUTED_VALUE"""),1.0)</f>
        <v>1</v>
      </c>
    </row>
    <row r="365" ht="15.75" customHeight="1">
      <c r="A365" s="8" t="str">
        <f>IFERROR(__xludf.DUMMYFUNCTION("""COMPUTED_VALUE"""),"https://ninjapromo.io/best-ai-marketing-agencies")</f>
        <v>https://ninjapromo.io/best-ai-marketing-agencies</v>
      </c>
      <c r="B365" s="11" t="str">
        <f>IFERROR(__xludf.DUMMYFUNCTION("""COMPUTED_VALUE"""),"Top 8 AI Marketing Agencies for AI-Driven Digital Campaigns in 2026")</f>
        <v>Top 8 AI Marketing Agencies for AI-Driven Digital Campaigns in 2026</v>
      </c>
      <c r="C365" s="8" t="str">
        <f>IFERROR(__xludf.DUMMYFUNCTION("""COMPUTED_VALUE"""),"ninjapromo.io")</f>
        <v>ninjapromo.io</v>
      </c>
      <c r="D365" s="11" t="str">
        <f>IFERROR(__xludf.DUMMYFUNCTION("""COMPUTED_VALUE"""),"LISTICLE")</f>
        <v>LISTICLE</v>
      </c>
      <c r="E365" s="11" t="str">
        <f>IFERROR(__xludf.DUMMYFUNCTION("""COMPUTED_VALUE"""),"CORPORATE")</f>
        <v>CORPORATE</v>
      </c>
      <c r="F365" s="11" t="str">
        <f>IFERROR(__xludf.DUMMYFUNCTION("""COMPUTED_VALUE"""),"Listicle")</f>
        <v>Listicle</v>
      </c>
      <c r="G365" s="11" t="b">
        <f>IFERROR(__xludf.DUMMYFUNCTION("""COMPUTED_VALUE"""),FALSE)</f>
        <v>0</v>
      </c>
      <c r="H365" s="11" t="str">
        <f>IFERROR(__xludf.DUMMYFUNCTION("""COMPUTED_VALUE"""),"Pilot")</f>
        <v>Pilot</v>
      </c>
      <c r="I365" s="11">
        <f>IFERROR(__xludf.DUMMYFUNCTION("""COMPUTED_VALUE"""),1.0)</f>
        <v>1</v>
      </c>
      <c r="J365" s="11">
        <f>IFERROR(__xludf.DUMMYFUNCTION("""COMPUTED_VALUE"""),0.0)</f>
        <v>0</v>
      </c>
      <c r="K365" s="11">
        <f>IFERROR(__xludf.DUMMYFUNCTION("""COMPUTED_VALUE"""),0.0)</f>
        <v>0</v>
      </c>
    </row>
    <row r="366" ht="15.75" customHeight="1">
      <c r="A366" s="8" t="str">
        <f>IFERROR(__xludf.DUMMYFUNCTION("""COMPUTED_VALUE"""),"https://nogood.io/blog/performance-marketing-agencies/")</f>
        <v>https://nogood.io/blog/performance-marketing-agencies/</v>
      </c>
      <c r="B366" s="11" t="str">
        <f>IFERROR(__xludf.DUMMYFUNCTION("""COMPUTED_VALUE"""),"Top Performance Marketing Agencies in 2026 | NoGood")</f>
        <v>Top Performance Marketing Agencies in 2026 | NoGood</v>
      </c>
      <c r="C366" s="8" t="str">
        <f>IFERROR(__xludf.DUMMYFUNCTION("""COMPUTED_VALUE"""),"nogood.io")</f>
        <v>nogood.io</v>
      </c>
      <c r="D366" s="11" t="str">
        <f>IFERROR(__xludf.DUMMYFUNCTION("""COMPUTED_VALUE"""),"LISTICLE")</f>
        <v>LISTICLE</v>
      </c>
      <c r="E366" s="11" t="str">
        <f>IFERROR(__xludf.DUMMYFUNCTION("""COMPUTED_VALUE"""),"CORPORATE")</f>
        <v>CORPORATE</v>
      </c>
      <c r="F366" s="11" t="str">
        <f>IFERROR(__xludf.DUMMYFUNCTION("""COMPUTED_VALUE"""),"Listicle")</f>
        <v>Listicle</v>
      </c>
      <c r="G366" s="11" t="b">
        <f>IFERROR(__xludf.DUMMYFUNCTION("""COMPUTED_VALUE"""),FALSE)</f>
        <v>0</v>
      </c>
      <c r="H366" s="11" t="str">
        <f>IFERROR(__xludf.DUMMYFUNCTION("""COMPUTED_VALUE"""),"NoGood, inBeat, Disruptive Advertising, Wpromote, Power Digital, Monks, Media.Monks, Measured, Directive Consulting, Huge")</f>
        <v>NoGood, inBeat, Disruptive Advertising, Wpromote, Power Digital, Monks, Media.Monks, Measured, Directive Consulting, Huge</v>
      </c>
      <c r="I366" s="11">
        <f>IFERROR(__xludf.DUMMYFUNCTION("""COMPUTED_VALUE"""),1.0)</f>
        <v>1</v>
      </c>
      <c r="J366" s="11">
        <f>IFERROR(__xludf.DUMMYFUNCTION("""COMPUTED_VALUE"""),0.0)</f>
        <v>0</v>
      </c>
      <c r="K366" s="11">
        <f>IFERROR(__xludf.DUMMYFUNCTION("""COMPUTED_VALUE"""),0.0)</f>
        <v>0</v>
      </c>
    </row>
    <row r="367" ht="15.75" customHeight="1">
      <c r="A367" s="8" t="str">
        <f>IFERROR(__xludf.DUMMYFUNCTION("""COMPUTED_VALUE"""),"https://www.novusvistatech.com/blog/digital-transformation-companies.html")</f>
        <v>https://www.novusvistatech.com/blog/digital-transformation-companies.html</v>
      </c>
      <c r="B367" s="11" t="str">
        <f>IFERROR(__xludf.DUMMYFUNCTION("""COMPUTED_VALUE"""),"Top 10 Digital Transformation Companies in the World in 2026")</f>
        <v>Top 10 Digital Transformation Companies in the World in 2026</v>
      </c>
      <c r="C367" s="8" t="str">
        <f>IFERROR(__xludf.DUMMYFUNCTION("""COMPUTED_VALUE"""),"novusvistatech.com")</f>
        <v>novusvistatech.com</v>
      </c>
      <c r="D367" s="11" t="str">
        <f>IFERROR(__xludf.DUMMYFUNCTION("""COMPUTED_VALUE"""),"LISTICLE")</f>
        <v>LISTICLE</v>
      </c>
      <c r="E367" s="11" t="str">
        <f>IFERROR(__xludf.DUMMYFUNCTION("""COMPUTED_VALUE"""),"CORPORATE")</f>
        <v>CORPORATE</v>
      </c>
      <c r="F367" s="11" t="str">
        <f>IFERROR(__xludf.DUMMYFUNCTION("""COMPUTED_VALUE"""),"Listicle")</f>
        <v>Listicle</v>
      </c>
      <c r="G367" s="11" t="b">
        <f>IFERROR(__xludf.DUMMYFUNCTION("""COMPUTED_VALUE"""),FALSE)</f>
        <v>0</v>
      </c>
      <c r="H367" s="11"/>
      <c r="I367" s="11">
        <f>IFERROR(__xludf.DUMMYFUNCTION("""COMPUTED_VALUE"""),1.0)</f>
        <v>1</v>
      </c>
      <c r="J367" s="11">
        <f>IFERROR(__xludf.DUMMYFUNCTION("""COMPUTED_VALUE"""),0.0)</f>
        <v>0</v>
      </c>
      <c r="K367" s="11">
        <f>IFERROR(__xludf.DUMMYFUNCTION("""COMPUTED_VALUE"""),2.0)</f>
        <v>2</v>
      </c>
    </row>
    <row r="368" ht="15.75" customHeight="1">
      <c r="A368" s="8" t="str">
        <f>IFERROR(__xludf.DUMMYFUNCTION("""COMPUTED_VALUE"""),"https://www.nutshell.com/blog/top-geo-agencies")</f>
        <v>https://www.nutshell.com/blog/top-geo-agencies</v>
      </c>
      <c r="B368" s="11" t="str">
        <f>IFERROR(__xludf.DUMMYFUNCTION("""COMPUTED_VALUE"""),"The 10 Top GEO Agencies of 2026 (Reviewed)")</f>
        <v>The 10 Top GEO Agencies of 2026 (Reviewed)</v>
      </c>
      <c r="C368" s="8" t="str">
        <f>IFERROR(__xludf.DUMMYFUNCTION("""COMPUTED_VALUE"""),"nutshell.com")</f>
        <v>nutshell.com</v>
      </c>
      <c r="D368" s="11" t="str">
        <f>IFERROR(__xludf.DUMMYFUNCTION("""COMPUTED_VALUE"""),"LISTICLE")</f>
        <v>LISTICLE</v>
      </c>
      <c r="E368" s="11" t="str">
        <f>IFERROR(__xludf.DUMMYFUNCTION("""COMPUTED_VALUE"""),"CORPORATE")</f>
        <v>CORPORATE</v>
      </c>
      <c r="F368" s="11" t="str">
        <f>IFERROR(__xludf.DUMMYFUNCTION("""COMPUTED_VALUE"""),"Listicle")</f>
        <v>Listicle</v>
      </c>
      <c r="G368" s="11" t="b">
        <f>IFERROR(__xludf.DUMMYFUNCTION("""COMPUTED_VALUE"""),FALSE)</f>
        <v>0</v>
      </c>
      <c r="H368" s="11" t="str">
        <f>IFERROR(__xludf.DUMMYFUNCTION("""COMPUTED_VALUE"""),"WebFX, Siege Media")</f>
        <v>WebFX, Siege Media</v>
      </c>
      <c r="I368" s="11">
        <f>IFERROR(__xludf.DUMMYFUNCTION("""COMPUTED_VALUE"""),1.0)</f>
        <v>1</v>
      </c>
      <c r="J368" s="11">
        <f>IFERROR(__xludf.DUMMYFUNCTION("""COMPUTED_VALUE"""),0.0)</f>
        <v>0</v>
      </c>
      <c r="K368" s="11">
        <f>IFERROR(__xludf.DUMMYFUNCTION("""COMPUTED_VALUE"""),0.0)</f>
        <v>0</v>
      </c>
    </row>
    <row r="369" ht="15.75" customHeight="1">
      <c r="A369" s="8" t="str">
        <f>IFERROR(__xludf.DUMMYFUNCTION("""COMPUTED_VALUE"""),"https://oakpool.xyz/drift/top-10-geo-aeo-ai-search-agencies/")</f>
        <v>https://oakpool.xyz/drift/top-10-geo-aeo-ai-search-agencies/</v>
      </c>
      <c r="B369" s="11" t="str">
        <f>IFERROR(__xludf.DUMMYFUNCTION("""COMPUTED_VALUE"""),"Top 10 GEO Agencies for AI Search in 2026")</f>
        <v>Top 10 GEO Agencies for AI Search in 2026</v>
      </c>
      <c r="C369" s="8" t="str">
        <f>IFERROR(__xludf.DUMMYFUNCTION("""COMPUTED_VALUE"""),"oakpool.xyz")</f>
        <v>oakpool.xyz</v>
      </c>
      <c r="D369" s="11" t="str">
        <f>IFERROR(__xludf.DUMMYFUNCTION("""COMPUTED_VALUE"""),"LISTICLE")</f>
        <v>LISTICLE</v>
      </c>
      <c r="E369" s="11" t="str">
        <f>IFERROR(__xludf.DUMMYFUNCTION("""COMPUTED_VALUE"""),"CORPORATE")</f>
        <v>CORPORATE</v>
      </c>
      <c r="F369" s="11" t="str">
        <f>IFERROR(__xludf.DUMMYFUNCTION("""COMPUTED_VALUE"""),"Listicle")</f>
        <v>Listicle</v>
      </c>
      <c r="G369" s="11" t="b">
        <f>IFERROR(__xludf.DUMMYFUNCTION("""COMPUTED_VALUE"""),FALSE)</f>
        <v>0</v>
      </c>
      <c r="H369" s="11" t="str">
        <f>IFERROR(__xludf.DUMMYFUNCTION("""COMPUTED_VALUE"""),"iPullRank, NoGood, Omnius")</f>
        <v>iPullRank, NoGood, Omnius</v>
      </c>
      <c r="I369" s="11">
        <f>IFERROR(__xludf.DUMMYFUNCTION("""COMPUTED_VALUE"""),1.0)</f>
        <v>1</v>
      </c>
      <c r="J369" s="11">
        <f>IFERROR(__xludf.DUMMYFUNCTION("""COMPUTED_VALUE"""),0.0)</f>
        <v>0</v>
      </c>
      <c r="K369" s="11">
        <f>IFERROR(__xludf.DUMMYFUNCTION("""COMPUTED_VALUE"""),0.0)</f>
        <v>0</v>
      </c>
    </row>
    <row r="370" ht="15.75" customHeight="1">
      <c r="A370" s="8" t="str">
        <f>IFERROR(__xludf.DUMMYFUNCTION("""COMPUTED_VALUE"""),"https://www.omnibound.ai/blog/first-party-data-statistics")</f>
        <v>https://www.omnibound.ai/blog/first-party-data-statistics</v>
      </c>
      <c r="B370" s="11" t="str">
        <f>IFERROR(__xludf.DUMMYFUNCTION("""COMPUTED_VALUE"""),"First-Party Data Statistics (2026): 52+ Data Points on Adoption, ROI, Privacy Drivers, and the CDP Transition")</f>
        <v>First-Party Data Statistics (2026): 52+ Data Points on Adoption, ROI, Privacy Drivers, and the CDP Transition</v>
      </c>
      <c r="C370" s="8" t="str">
        <f>IFERROR(__xludf.DUMMYFUNCTION("""COMPUTED_VALUE"""),"omnibound.ai")</f>
        <v>omnibound.ai</v>
      </c>
      <c r="D370" s="11" t="str">
        <f>IFERROR(__xludf.DUMMYFUNCTION("""COMPUTED_VALUE"""),"LISTICLE")</f>
        <v>LISTICLE</v>
      </c>
      <c r="E370" s="11" t="str">
        <f>IFERROR(__xludf.DUMMYFUNCTION("""COMPUTED_VALUE"""),"CORPORATE")</f>
        <v>CORPORATE</v>
      </c>
      <c r="F370" s="11" t="str">
        <f>IFERROR(__xludf.DUMMYFUNCTION("""COMPUTED_VALUE"""),"Listicle")</f>
        <v>Listicle</v>
      </c>
      <c r="G370" s="11" t="b">
        <f>IFERROR(__xludf.DUMMYFUNCTION("""COMPUTED_VALUE"""),FALSE)</f>
        <v>0</v>
      </c>
      <c r="H370" s="11" t="str">
        <f>IFERROR(__xludf.DUMMYFUNCTION("""COMPUTED_VALUE"""),"BCG, Measured, Deloitte Digital")</f>
        <v>BCG, Measured, Deloitte Digital</v>
      </c>
      <c r="I370" s="11">
        <f>IFERROR(__xludf.DUMMYFUNCTION("""COMPUTED_VALUE"""),1.0)</f>
        <v>1</v>
      </c>
      <c r="J370" s="11">
        <f>IFERROR(__xludf.DUMMYFUNCTION("""COMPUTED_VALUE"""),0.0)</f>
        <v>0</v>
      </c>
      <c r="K370" s="11">
        <f>IFERROR(__xludf.DUMMYFUNCTION("""COMPUTED_VALUE"""),1.0)</f>
        <v>1</v>
      </c>
    </row>
    <row r="371" ht="15.75" customHeight="1">
      <c r="A371" s="8" t="str">
        <f>IFERROR(__xludf.DUMMYFUNCTION("""COMPUTED_VALUE"""),"https://www.oneclub.org/press/-adce2024-rankings")</f>
        <v>https://www.oneclub.org/press/-adce2024-rankings</v>
      </c>
      <c r="B371" s="11" t="str">
        <f>IFERROR(__xludf.DUMMYFUNCTION("""COMPUTED_VALUE"""),"Art Directors Club of Europe Announces 2024 ADCE Creative Rankings | The One Club")</f>
        <v>Art Directors Club of Europe Announces 2024 ADCE Creative Rankings | The One Club</v>
      </c>
      <c r="C371" s="8" t="str">
        <f>IFERROR(__xludf.DUMMYFUNCTION("""COMPUTED_VALUE"""),"oneclub.org")</f>
        <v>oneclub.org</v>
      </c>
      <c r="D371" s="11" t="str">
        <f>IFERROR(__xludf.DUMMYFUNCTION("""COMPUTED_VALUE"""),"LISTICLE")</f>
        <v>LISTICLE</v>
      </c>
      <c r="E371" s="11" t="str">
        <f>IFERROR(__xludf.DUMMYFUNCTION("""COMPUTED_VALUE"""),"INSTITUTIONAL")</f>
        <v>INSTITUTIONAL</v>
      </c>
      <c r="F371" s="11" t="str">
        <f>IFERROR(__xludf.DUMMYFUNCTION("""COMPUTED_VALUE"""),"Listicle")</f>
        <v>Listicle</v>
      </c>
      <c r="G371" s="11" t="b">
        <f>IFERROR(__xludf.DUMMYFUNCTION("""COMPUTED_VALUE"""),FALSE)</f>
        <v>0</v>
      </c>
      <c r="H371" s="11" t="str">
        <f>IFERROR(__xludf.DUMMYFUNCTION("""COMPUTED_VALUE"""),"Scholz &amp; Friends, Jung von Matt, Mediaplus Group, WPP, Serviceplan Group")</f>
        <v>Scholz &amp; Friends, Jung von Matt, Mediaplus Group, WPP, Serviceplan Group</v>
      </c>
      <c r="I371" s="11">
        <f>IFERROR(__xludf.DUMMYFUNCTION("""COMPUTED_VALUE"""),1.0)</f>
        <v>1</v>
      </c>
      <c r="J371" s="11">
        <f>IFERROR(__xludf.DUMMYFUNCTION("""COMPUTED_VALUE"""),0.0)</f>
        <v>0</v>
      </c>
      <c r="K371" s="11">
        <f>IFERROR(__xludf.DUMMYFUNCTION("""COMPUTED_VALUE"""),1.0)</f>
        <v>1</v>
      </c>
    </row>
    <row r="372" ht="15.75" customHeight="1">
      <c r="A372" s="8" t="str">
        <f>IFERROR(__xludf.DUMMYFUNCTION("""COMPUTED_VALUE"""),"https://www.onely.com/blog/best-b2b-seo-agencies/")</f>
        <v>https://www.onely.com/blog/best-b2b-seo-agencies/</v>
      </c>
      <c r="B372" s="11" t="str">
        <f>IFERROR(__xludf.DUMMYFUNCTION("""COMPUTED_VALUE"""),"Top 10 Best B2B SEO Agencies in 2026 - Onely")</f>
        <v>Top 10 Best B2B SEO Agencies in 2026 - Onely</v>
      </c>
      <c r="C372" s="8" t="str">
        <f>IFERROR(__xludf.DUMMYFUNCTION("""COMPUTED_VALUE"""),"onely.com")</f>
        <v>onely.com</v>
      </c>
      <c r="D372" s="11" t="str">
        <f>IFERROR(__xludf.DUMMYFUNCTION("""COMPUTED_VALUE"""),"LISTICLE")</f>
        <v>LISTICLE</v>
      </c>
      <c r="E372" s="11" t="str">
        <f>IFERROR(__xludf.DUMMYFUNCTION("""COMPUTED_VALUE"""),"CORPORATE")</f>
        <v>CORPORATE</v>
      </c>
      <c r="F372" s="11" t="str">
        <f>IFERROR(__xludf.DUMMYFUNCTION("""COMPUTED_VALUE"""),"Listicle")</f>
        <v>Listicle</v>
      </c>
      <c r="G372" s="11" t="b">
        <f>IFERROR(__xludf.DUMMYFUNCTION("""COMPUTED_VALUE"""),FALSE)</f>
        <v>0</v>
      </c>
      <c r="H372" s="11" t="str">
        <f>IFERROR(__xludf.DUMMYFUNCTION("""COMPUTED_VALUE"""),"Directive Consulting, Siege Media, Omniscient Digital")</f>
        <v>Directive Consulting, Siege Media, Omniscient Digital</v>
      </c>
      <c r="I372" s="11">
        <f>IFERROR(__xludf.DUMMYFUNCTION("""COMPUTED_VALUE"""),1.0)</f>
        <v>1</v>
      </c>
      <c r="J372" s="11">
        <f>IFERROR(__xludf.DUMMYFUNCTION("""COMPUTED_VALUE"""),0.0)</f>
        <v>0</v>
      </c>
      <c r="K372" s="11">
        <f>IFERROR(__xludf.DUMMYFUNCTION("""COMPUTED_VALUE"""),1.0)</f>
        <v>1</v>
      </c>
    </row>
    <row r="373" ht="15.75" customHeight="1">
      <c r="A373" s="8" t="str">
        <f>IFERROR(__xludf.DUMMYFUNCTION("""COMPUTED_VALUE"""),"https://www.onely.com/blog/best-digital-marketing-agencies/")</f>
        <v>https://www.onely.com/blog/best-digital-marketing-agencies/</v>
      </c>
      <c r="B373" s="11"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373" s="8" t="str">
        <f>IFERROR(__xludf.DUMMYFUNCTION("""COMPUTED_VALUE"""),"onely.com")</f>
        <v>onely.com</v>
      </c>
      <c r="D373" s="11" t="str">
        <f>IFERROR(__xludf.DUMMYFUNCTION("""COMPUTED_VALUE"""),"LISTICLE")</f>
        <v>LISTICLE</v>
      </c>
      <c r="E373" s="11" t="str">
        <f>IFERROR(__xludf.DUMMYFUNCTION("""COMPUTED_VALUE"""),"CORPORATE")</f>
        <v>CORPORATE</v>
      </c>
      <c r="F373" s="11" t="str">
        <f>IFERROR(__xludf.DUMMYFUNCTION("""COMPUTED_VALUE"""),"Listicle")</f>
        <v>Listicle</v>
      </c>
      <c r="G373" s="11" t="b">
        <f>IFERROR(__xludf.DUMMYFUNCTION("""COMPUTED_VALUE"""),FALSE)</f>
        <v>0</v>
      </c>
      <c r="H373" s="11" t="str">
        <f>IFERROR(__xludf.DUMMYFUNCTION("""COMPUTED_VALUE"""),"Directive Consulting, Siege Media, Power Digital, Disruptive Advertising, Single Grain, WebFX, SmartSites, KlientBoost")</f>
        <v>Directive Consulting, Siege Media, Power Digital, Disruptive Advertising, Single Grain, WebFX, SmartSites, KlientBoost</v>
      </c>
      <c r="I373" s="11">
        <f>IFERROR(__xludf.DUMMYFUNCTION("""COMPUTED_VALUE"""),1.0)</f>
        <v>1</v>
      </c>
      <c r="J373" s="11">
        <f>IFERROR(__xludf.DUMMYFUNCTION("""COMPUTED_VALUE"""),0.0)</f>
        <v>0</v>
      </c>
      <c r="K373" s="11">
        <f>IFERROR(__xludf.DUMMYFUNCTION("""COMPUTED_VALUE"""),0.0)</f>
        <v>0</v>
      </c>
    </row>
    <row r="374" ht="15.75" customHeight="1">
      <c r="A374" s="8" t="str">
        <f>IFERROR(__xludf.DUMMYFUNCTION("""COMPUTED_VALUE"""),"https://www.onetoone.de/performance-ranking/performance_2023")</f>
        <v>https://www.onetoone.de/performance-ranking/performance_2023</v>
      </c>
      <c r="B374" s="11" t="str">
        <f>IFERROR(__xludf.DUMMYFUNCTION("""COMPUTED_VALUE"""),"Performance-Agentur-Ranking")</f>
        <v>Performance-Agentur-Ranking</v>
      </c>
      <c r="C374" s="8" t="str">
        <f>IFERROR(__xludf.DUMMYFUNCTION("""COMPUTED_VALUE"""),"onetoone.de")</f>
        <v>onetoone.de</v>
      </c>
      <c r="D374" s="11" t="str">
        <f>IFERROR(__xludf.DUMMYFUNCTION("""COMPUTED_VALUE"""),"LISTICLE")</f>
        <v>LISTICLE</v>
      </c>
      <c r="E374" s="11" t="str">
        <f>IFERROR(__xludf.DUMMYFUNCTION("""COMPUTED_VALUE"""),"OTHER")</f>
        <v>OTHER</v>
      </c>
      <c r="F374" s="11" t="str">
        <f>IFERROR(__xludf.DUMMYFUNCTION("""COMPUTED_VALUE"""),"Listicle")</f>
        <v>Listicle</v>
      </c>
      <c r="G374" s="11" t="b">
        <f>IFERROR(__xludf.DUMMYFUNCTION("""COMPUTED_VALUE"""),FALSE)</f>
        <v>0</v>
      </c>
      <c r="H374" s="11" t="str">
        <f>IFERROR(__xludf.DUMMYFUNCTION("""COMPUTED_VALUE"""),"Serviceplan Group, Smarketer, iProspect, e-dialog, morefire, The Boutique Agency, 42DIGITAL, Aufgesang, Pilot")</f>
        <v>Serviceplan Group, Smarketer, iProspect, e-dialog, morefire, The Boutique Agency, 42DIGITAL, Aufgesang, Pilot</v>
      </c>
      <c r="I374" s="11">
        <f>IFERROR(__xludf.DUMMYFUNCTION("""COMPUTED_VALUE"""),1.0)</f>
        <v>1</v>
      </c>
      <c r="J374" s="11">
        <f>IFERROR(__xludf.DUMMYFUNCTION("""COMPUTED_VALUE"""),0.0)</f>
        <v>0</v>
      </c>
      <c r="K374" s="11">
        <f>IFERROR(__xludf.DUMMYFUNCTION("""COMPUTED_VALUE"""),0.0)</f>
        <v>0</v>
      </c>
    </row>
    <row r="375" ht="15.75" customHeight="1">
      <c r="A375" s="8" t="str">
        <f>IFERROR(__xludf.DUMMYFUNCTION("""COMPUTED_VALUE"""),"https://www.openassistantgpt.io/blogs/aeo-geo-llm-ranking-tool-enterprise")</f>
        <v>https://www.openassistantgpt.io/blogs/aeo-geo-llm-ranking-tool-enterprise</v>
      </c>
      <c r="B375" s="11" t="str">
        <f>IFERROR(__xludf.DUMMYFUNCTION("""COMPUTED_VALUE"""),"Top 10 AEO, GEO and LLM Ranking tool for your enterprise")</f>
        <v>Top 10 AEO, GEO and LLM Ranking tool for your enterprise</v>
      </c>
      <c r="C375" s="8" t="str">
        <f>IFERROR(__xludf.DUMMYFUNCTION("""COMPUTED_VALUE"""),"openassistantgpt.io")</f>
        <v>openassistantgpt.io</v>
      </c>
      <c r="D375" s="11" t="str">
        <f>IFERROR(__xludf.DUMMYFUNCTION("""COMPUTED_VALUE"""),"LISTICLE")</f>
        <v>LISTICLE</v>
      </c>
      <c r="E375" s="11" t="str">
        <f>IFERROR(__xludf.DUMMYFUNCTION("""COMPUTED_VALUE"""),"OTHER")</f>
        <v>OTHER</v>
      </c>
      <c r="F375" s="11" t="str">
        <f>IFERROR(__xludf.DUMMYFUNCTION("""COMPUTED_VALUE"""),"Listicle")</f>
        <v>Listicle</v>
      </c>
      <c r="G375" s="11" t="b">
        <f>IFERROR(__xludf.DUMMYFUNCTION("""COMPUTED_VALUE"""),FALSE)</f>
        <v>0</v>
      </c>
      <c r="H375" s="11" t="str">
        <f>IFERROR(__xludf.DUMMYFUNCTION("""COMPUTED_VALUE"""),"weDiscover")</f>
        <v>weDiscover</v>
      </c>
      <c r="I375" s="11">
        <f>IFERROR(__xludf.DUMMYFUNCTION("""COMPUTED_VALUE"""),1.0)</f>
        <v>1</v>
      </c>
      <c r="J375" s="11">
        <f>IFERROR(__xludf.DUMMYFUNCTION("""COMPUTED_VALUE"""),0.0)</f>
        <v>0</v>
      </c>
      <c r="K375" s="11">
        <f>IFERROR(__xludf.DUMMYFUNCTION("""COMPUTED_VALUE"""),1.0)</f>
        <v>1</v>
      </c>
    </row>
    <row r="376" ht="15.75" customHeight="1">
      <c r="A376" s="8" t="str">
        <f>IFERROR(__xludf.DUMMYFUNCTION("""COMPUTED_VALUE"""),"https://origami.chat/blog/best-ai-marketing-analytics-tools")</f>
        <v>https://origami.chat/blog/best-ai-marketing-analytics-tools</v>
      </c>
      <c r="B376" s="11" t="str">
        <f>IFERROR(__xludf.DUMMYFUNCTION("""COMPUTED_VALUE"""),"Best AI Marketing Analytics Tools in 2026: 12 Platforms Reviewed")</f>
        <v>Best AI Marketing Analytics Tools in 2026: 12 Platforms Reviewed</v>
      </c>
      <c r="C376" s="11" t="str">
        <f>IFERROR(__xludf.DUMMYFUNCTION("""COMPUTED_VALUE"""),"origami.chat")</f>
        <v>origami.chat</v>
      </c>
      <c r="D376" s="11" t="str">
        <f>IFERROR(__xludf.DUMMYFUNCTION("""COMPUTED_VALUE"""),"LISTICLE")</f>
        <v>LISTICLE</v>
      </c>
      <c r="E376" s="11" t="str">
        <f>IFERROR(__xludf.DUMMYFUNCTION("""COMPUTED_VALUE"""),"CORPORATE")</f>
        <v>CORPORATE</v>
      </c>
      <c r="F376" s="11" t="str">
        <f>IFERROR(__xludf.DUMMYFUNCTION("""COMPUTED_VALUE"""),"Listicle")</f>
        <v>Listicle</v>
      </c>
      <c r="G376" s="11" t="b">
        <f>IFERROR(__xludf.DUMMYFUNCTION("""COMPUTED_VALUE"""),FALSE)</f>
        <v>0</v>
      </c>
      <c r="H376" s="11" t="str">
        <f>IFERROR(__xludf.DUMMYFUNCTION("""COMPUTED_VALUE"""),"Cometly, Northbeam")</f>
        <v>Cometly, Northbeam</v>
      </c>
      <c r="I376" s="11">
        <f>IFERROR(__xludf.DUMMYFUNCTION("""COMPUTED_VALUE"""),1.0)</f>
        <v>1</v>
      </c>
      <c r="J376" s="11">
        <f>IFERROR(__xludf.DUMMYFUNCTION("""COMPUTED_VALUE"""),0.0)</f>
        <v>0</v>
      </c>
      <c r="K376" s="11">
        <f>IFERROR(__xludf.DUMMYFUNCTION("""COMPUTED_VALUE"""),1.0)</f>
        <v>1</v>
      </c>
    </row>
    <row r="377" ht="15.75" customHeight="1">
      <c r="A377" s="8" t="str">
        <f>IFERROR(__xludf.DUMMYFUNCTION("""COMPUTED_VALUE"""),"https://oski.site/blog/analytics-strategy-consulting-companies-germany/#:~:text=Get%20Expert%20Consultation,more%20structured%20data%2Ddriven%20operations.")</f>
        <v>https://oski.site/blog/analytics-strategy-consulting-companies-germany/#:~:text=Get%20Expert%20Consultation,more%20structured%20data%2Ddriven%20operations.</v>
      </c>
      <c r="B377" s="11" t="str">
        <f>IFERROR(__xludf.DUMMYFUNCTION("""COMPUTED_VALUE"""),"Best 14 Analytics Strategy Consulting Firms in Germany")</f>
        <v>Best 14 Analytics Strategy Consulting Firms in Germany</v>
      </c>
      <c r="C377" s="11" t="str">
        <f>IFERROR(__xludf.DUMMYFUNCTION("""COMPUTED_VALUE"""),"oski.site")</f>
        <v>oski.site</v>
      </c>
      <c r="D377" s="11" t="str">
        <f>IFERROR(__xludf.DUMMYFUNCTION("""COMPUTED_VALUE"""),"LISTICLE")</f>
        <v>LISTICLE</v>
      </c>
      <c r="E377" s="11" t="str">
        <f>IFERROR(__xludf.DUMMYFUNCTION("""COMPUTED_VALUE"""),"OTHER")</f>
        <v>OTHER</v>
      </c>
      <c r="F377" s="11" t="str">
        <f>IFERROR(__xludf.DUMMYFUNCTION("""COMPUTED_VALUE"""),"Listicle")</f>
        <v>Listicle</v>
      </c>
      <c r="G377" s="11" t="b">
        <f>IFERROR(__xludf.DUMMYFUNCTION("""COMPUTED_VALUE"""),FALSE)</f>
        <v>0</v>
      </c>
      <c r="H377" s="11"/>
      <c r="I377" s="11">
        <f>IFERROR(__xludf.DUMMYFUNCTION("""COMPUTED_VALUE"""),1.0)</f>
        <v>1</v>
      </c>
      <c r="J377" s="11">
        <f>IFERROR(__xludf.DUMMYFUNCTION("""COMPUTED_VALUE"""),0.0)</f>
        <v>0</v>
      </c>
      <c r="K377" s="11">
        <f>IFERROR(__xludf.DUMMYFUNCTION("""COMPUTED_VALUE"""),1.0)</f>
        <v>1</v>
      </c>
    </row>
    <row r="378" ht="15.75" customHeight="1">
      <c r="A378" s="8" t="str">
        <f>IFERROR(__xludf.DUMMYFUNCTION("""COMPUTED_VALUE"""),"https://outreachz.com/blog/best-ai-marketing-agencies-2026/")</f>
        <v>https://outreachz.com/blog/best-ai-marketing-agencies-2026/</v>
      </c>
      <c r="B378" s="11" t="str">
        <f>IFERROR(__xludf.DUMMYFUNCTION("""COMPUTED_VALUE"""),"Best AI Marketing Agencies (2026): 10 Top Picks for Brands That Want Smarter Growth")</f>
        <v>Best AI Marketing Agencies (2026): 10 Top Picks for Brands That Want Smarter Growth</v>
      </c>
      <c r="C378" s="8" t="str">
        <f>IFERROR(__xludf.DUMMYFUNCTION("""COMPUTED_VALUE"""),"outreachz.com")</f>
        <v>outreachz.com</v>
      </c>
      <c r="D378" s="11" t="str">
        <f>IFERROR(__xludf.DUMMYFUNCTION("""COMPUTED_VALUE"""),"LISTICLE")</f>
        <v>LISTICLE</v>
      </c>
      <c r="E378" s="11" t="str">
        <f>IFERROR(__xludf.DUMMYFUNCTION("""COMPUTED_VALUE"""),"CORPORATE")</f>
        <v>CORPORATE</v>
      </c>
      <c r="F378" s="11" t="str">
        <f>IFERROR(__xludf.DUMMYFUNCTION("""COMPUTED_VALUE"""),"Listicle")</f>
        <v>Listicle</v>
      </c>
      <c r="G378" s="11" t="b">
        <f>IFERROR(__xludf.DUMMYFUNCTION("""COMPUTED_VALUE"""),FALSE)</f>
        <v>0</v>
      </c>
      <c r="H378" s="11" t="str">
        <f>IFERROR(__xludf.DUMMYFUNCTION("""COMPUTED_VALUE"""),"NoGood, Single Grain, Hawke Media, Huge")</f>
        <v>NoGood, Single Grain, Hawke Media, Huge</v>
      </c>
      <c r="I378" s="11">
        <f>IFERROR(__xludf.DUMMYFUNCTION("""COMPUTED_VALUE"""),1.0)</f>
        <v>1</v>
      </c>
      <c r="J378" s="11">
        <f>IFERROR(__xludf.DUMMYFUNCTION("""COMPUTED_VALUE"""),0.0)</f>
        <v>0</v>
      </c>
      <c r="K378" s="11">
        <f>IFERROR(__xludf.DUMMYFUNCTION("""COMPUTED_VALUE"""),1.0)</f>
        <v>1</v>
      </c>
    </row>
    <row r="379" ht="15.75" customHeight="1">
      <c r="A379" s="8" t="str">
        <f>IFERROR(__xludf.DUMMYFUNCTION("""COMPUTED_VALUE"""),"https://www.outrightcrm.com/blog/roi-focused-digital-marketing-agencies/")</f>
        <v>https://www.outrightcrm.com/blog/roi-focused-digital-marketing-agencies/</v>
      </c>
      <c r="B379" s="11" t="str">
        <f>IFERROR(__xludf.DUMMYFUNCTION("""COMPUTED_VALUE"""),"15 Best ROI-Focused Digital Marketing Firms in 2026 | OutrightCRM")</f>
        <v>15 Best ROI-Focused Digital Marketing Firms in 2026 | OutrightCRM</v>
      </c>
      <c r="C379" s="8" t="str">
        <f>IFERROR(__xludf.DUMMYFUNCTION("""COMPUTED_VALUE"""),"outrightcrm.com")</f>
        <v>outrightcrm.com</v>
      </c>
      <c r="D379" s="11" t="str">
        <f>IFERROR(__xludf.DUMMYFUNCTION("""COMPUTED_VALUE"""),"LISTICLE")</f>
        <v>LISTICLE</v>
      </c>
      <c r="E379" s="11" t="str">
        <f>IFERROR(__xludf.DUMMYFUNCTION("""COMPUTED_VALUE"""),"CORPORATE")</f>
        <v>CORPORATE</v>
      </c>
      <c r="F379" s="11" t="str">
        <f>IFERROR(__xludf.DUMMYFUNCTION("""COMPUTED_VALUE"""),"Listicle")</f>
        <v>Listicle</v>
      </c>
      <c r="G379" s="11" t="b">
        <f>IFERROR(__xludf.DUMMYFUNCTION("""COMPUTED_VALUE"""),FALSE)</f>
        <v>0</v>
      </c>
      <c r="H379" s="11" t="str">
        <f>IFERROR(__xludf.DUMMYFUNCTION("""COMPUTED_VALUE"""),"Disruptive Advertising, KlientBoost, SmartSites, Power Digital, Wpromote, Directive Consulting, Jellyfish, Merkle, Huge, Pilot")</f>
        <v>Disruptive Advertising, KlientBoost, SmartSites, Power Digital, Wpromote, Directive Consulting, Jellyfish, Merkle, Huge, Pilot</v>
      </c>
      <c r="I379" s="11">
        <f>IFERROR(__xludf.DUMMYFUNCTION("""COMPUTED_VALUE"""),1.0)</f>
        <v>1</v>
      </c>
      <c r="J379" s="11">
        <f>IFERROR(__xludf.DUMMYFUNCTION("""COMPUTED_VALUE"""),0.0)</f>
        <v>0</v>
      </c>
      <c r="K379" s="11">
        <f>IFERROR(__xludf.DUMMYFUNCTION("""COMPUTED_VALUE"""),0.0)</f>
        <v>0</v>
      </c>
    </row>
    <row r="380" ht="15.75" customHeight="1">
      <c r="A380" s="8" t="str">
        <f>IFERROR(__xludf.DUMMYFUNCTION("""COMPUTED_VALUE"""),"https://p3adaptive.com/the-10-best-ai-consulting-companies-for-enterprise-in-2026/")</f>
        <v>https://p3adaptive.com/the-10-best-ai-consulting-companies-for-enterprise-in-2026/</v>
      </c>
      <c r="B380" s="11" t="str">
        <f>IFERROR(__xludf.DUMMYFUNCTION("""COMPUTED_VALUE"""),"10 Best AI Consulting Companies for Enterprise in 2026'")</f>
        <v>10 Best AI Consulting Companies for Enterprise in 2026'</v>
      </c>
      <c r="C380" s="8" t="str">
        <f>IFERROR(__xludf.DUMMYFUNCTION("""COMPUTED_VALUE"""),"p3adaptive.com")</f>
        <v>p3adaptive.com</v>
      </c>
      <c r="D380" s="11" t="str">
        <f>IFERROR(__xludf.DUMMYFUNCTION("""COMPUTED_VALUE"""),"LISTICLE")</f>
        <v>LISTICLE</v>
      </c>
      <c r="E380" s="11" t="str">
        <f>IFERROR(__xludf.DUMMYFUNCTION("""COMPUTED_VALUE"""),"CORPORATE")</f>
        <v>CORPORATE</v>
      </c>
      <c r="F380" s="11" t="str">
        <f>IFERROR(__xludf.DUMMYFUNCTION("""COMPUTED_VALUE"""),"Listicle")</f>
        <v>Listicle</v>
      </c>
      <c r="G380" s="11" t="b">
        <f>IFERROR(__xludf.DUMMYFUNCTION("""COMPUTED_VALUE"""),FALSE)</f>
        <v>0</v>
      </c>
      <c r="H380" s="11" t="str">
        <f>IFERROR(__xludf.DUMMYFUNCTION("""COMPUTED_VALUE"""),"McKinsey &amp; Company, EY, BCG")</f>
        <v>McKinsey &amp; Company, EY, BCG</v>
      </c>
      <c r="I380" s="11">
        <f>IFERROR(__xludf.DUMMYFUNCTION("""COMPUTED_VALUE"""),1.0)</f>
        <v>1</v>
      </c>
      <c r="J380" s="11">
        <f>IFERROR(__xludf.DUMMYFUNCTION("""COMPUTED_VALUE"""),0.0)</f>
        <v>0</v>
      </c>
      <c r="K380" s="11">
        <f>IFERROR(__xludf.DUMMYFUNCTION("""COMPUTED_VALUE"""),0.0)</f>
        <v>0</v>
      </c>
    </row>
    <row r="381" ht="15.75" customHeight="1">
      <c r="A381" s="8" t="str">
        <f>IFERROR(__xludf.DUMMYFUNCTION("""COMPUTED_VALUE"""),"https://pikaseo.com/articles/best-ai-seo-agencies")</f>
        <v>https://pikaseo.com/articles/best-ai-seo-agencies</v>
      </c>
      <c r="B381" s="11" t="str">
        <f>IFERROR(__xludf.DUMMYFUNCTION("""COMPUTED_VALUE"""),"10 Best AI SEO Agencies (GEO &amp;amp; AEO) in 2026 | PikaSEO")</f>
        <v>10 Best AI SEO Agencies (GEO &amp;amp; AEO) in 2026 | PikaSEO</v>
      </c>
      <c r="C381" s="8" t="str">
        <f>IFERROR(__xludf.DUMMYFUNCTION("""COMPUTED_VALUE"""),"pikaseo.com")</f>
        <v>pikaseo.com</v>
      </c>
      <c r="D381" s="11" t="str">
        <f>IFERROR(__xludf.DUMMYFUNCTION("""COMPUTED_VALUE"""),"LISTICLE")</f>
        <v>LISTICLE</v>
      </c>
      <c r="E381" s="11" t="str">
        <f>IFERROR(__xludf.DUMMYFUNCTION("""COMPUTED_VALUE"""),"CORPORATE")</f>
        <v>CORPORATE</v>
      </c>
      <c r="F381" s="11" t="str">
        <f>IFERROR(__xludf.DUMMYFUNCTION("""COMPUTED_VALUE"""),"Listicle")</f>
        <v>Listicle</v>
      </c>
      <c r="G381" s="11" t="b">
        <f>IFERROR(__xludf.DUMMYFUNCTION("""COMPUTED_VALUE"""),FALSE)</f>
        <v>0</v>
      </c>
      <c r="H381" s="11" t="str">
        <f>IFERROR(__xludf.DUMMYFUNCTION("""COMPUTED_VALUE"""),"iPullRank, Single Grain, NoGood, Omniscient Digital, Siege Media, WebFX, Directive Consulting, Measured, Pilot")</f>
        <v>iPullRank, Single Grain, NoGood, Omniscient Digital, Siege Media, WebFX, Directive Consulting, Measured, Pilot</v>
      </c>
      <c r="I381" s="11">
        <f>IFERROR(__xludf.DUMMYFUNCTION("""COMPUTED_VALUE"""),1.0)</f>
        <v>1</v>
      </c>
      <c r="J381" s="11">
        <f>IFERROR(__xludf.DUMMYFUNCTION("""COMPUTED_VALUE"""),0.0)</f>
        <v>0</v>
      </c>
      <c r="K381" s="11">
        <f>IFERROR(__xludf.DUMMYFUNCTION("""COMPUTED_VALUE"""),0.0)</f>
        <v>0</v>
      </c>
    </row>
    <row r="382" ht="15.75" customHeight="1">
      <c r="A382" s="8" t="str">
        <f>IFERROR(__xludf.DUMMYFUNCTION("""COMPUTED_VALUE"""),"https://pipeline.zoominfo.com/sales/intent-data-platform")</f>
        <v>https://pipeline.zoominfo.com/sales/intent-data-platform</v>
      </c>
      <c r="B382" s="11" t="str">
        <f>IFERROR(__xludf.DUMMYFUNCTION("""COMPUTED_VALUE"""),"Best Intent Data Platforms in 2026: Identify In-Market B2B Accounts Fast")</f>
        <v>Best Intent Data Platforms in 2026: Identify In-Market B2B Accounts Fast</v>
      </c>
      <c r="C382" s="8" t="str">
        <f>IFERROR(__xludf.DUMMYFUNCTION("""COMPUTED_VALUE"""),"zoominfo.com")</f>
        <v>zoominfo.com</v>
      </c>
      <c r="D382" s="11" t="str">
        <f>IFERROR(__xludf.DUMMYFUNCTION("""COMPUTED_VALUE"""),"LISTICLE")</f>
        <v>LISTICLE</v>
      </c>
      <c r="E382" s="11" t="str">
        <f>IFERROR(__xludf.DUMMYFUNCTION("""COMPUTED_VALUE"""),"CORPORATE")</f>
        <v>CORPORATE</v>
      </c>
      <c r="F382" s="11" t="str">
        <f>IFERROR(__xludf.DUMMYFUNCTION("""COMPUTED_VALUE"""),"Listicle")</f>
        <v>Listicle</v>
      </c>
      <c r="G382" s="11" t="b">
        <f>IFERROR(__xludf.DUMMYFUNCTION("""COMPUTED_VALUE"""),FALSE)</f>
        <v>0</v>
      </c>
      <c r="H382" s="11"/>
      <c r="I382" s="11">
        <f>IFERROR(__xludf.DUMMYFUNCTION("""COMPUTED_VALUE"""),1.0)</f>
        <v>1</v>
      </c>
      <c r="J382" s="11">
        <f>IFERROR(__xludf.DUMMYFUNCTION("""COMPUTED_VALUE"""),0.0)</f>
        <v>0</v>
      </c>
      <c r="K382" s="11">
        <f>IFERROR(__xludf.DUMMYFUNCTION("""COMPUTED_VALUE"""),0.0)</f>
        <v>0</v>
      </c>
    </row>
    <row r="383" ht="15.75" customHeight="1">
      <c r="A383" s="8" t="str">
        <f>IFERROR(__xludf.DUMMYFUNCTION("""COMPUTED_VALUE"""),"https://www.pixelmojo.io/best-ai-visibility-agencies#:~:text=Why%20Pixelmojo%20is%20different,systems%20(Vector%2C%20Hive).")</f>
        <v>https://www.pixelmojo.io/best-ai-visibility-agencies#:~:text=Why%20Pixelmojo%20is%20different,systems%20(Vector%2C%20Hive).</v>
      </c>
      <c r="B383" s="11" t="str">
        <f>IFERROR(__xludf.DUMMYFUNCTION("""COMPUTED_VALUE"""),"Best AI Visibility Agencies in 2026 | GEO and AEO Agencies Compared")</f>
        <v>Best AI Visibility Agencies in 2026 | GEO and AEO Agencies Compared</v>
      </c>
      <c r="C383" s="8" t="str">
        <f>IFERROR(__xludf.DUMMYFUNCTION("""COMPUTED_VALUE"""),"pixelmojo.io")</f>
        <v>pixelmojo.io</v>
      </c>
      <c r="D383" s="11" t="str">
        <f>IFERROR(__xludf.DUMMYFUNCTION("""COMPUTED_VALUE"""),"LISTICLE")</f>
        <v>LISTICLE</v>
      </c>
      <c r="E383" s="11" t="str">
        <f>IFERROR(__xludf.DUMMYFUNCTION("""COMPUTED_VALUE"""),"CORPORATE")</f>
        <v>CORPORATE</v>
      </c>
      <c r="F383" s="11" t="str">
        <f>IFERROR(__xludf.DUMMYFUNCTION("""COMPUTED_VALUE"""),"Listicle")</f>
        <v>Listicle</v>
      </c>
      <c r="G383" s="11" t="b">
        <f>IFERROR(__xludf.DUMMYFUNCTION("""COMPUTED_VALUE"""),FALSE)</f>
        <v>0</v>
      </c>
      <c r="H383" s="11" t="str">
        <f>IFERROR(__xludf.DUMMYFUNCTION("""COMPUTED_VALUE"""),"WebFX, iPullRank, NoGood, Siege Media, Directive Consulting, Measured")</f>
        <v>WebFX, iPullRank, NoGood, Siege Media, Directive Consulting, Measured</v>
      </c>
      <c r="I383" s="11">
        <f>IFERROR(__xludf.DUMMYFUNCTION("""COMPUTED_VALUE"""),1.0)</f>
        <v>1</v>
      </c>
      <c r="J383" s="11">
        <f>IFERROR(__xludf.DUMMYFUNCTION("""COMPUTED_VALUE"""),0.0)</f>
        <v>0</v>
      </c>
      <c r="K383" s="11">
        <f>IFERROR(__xludf.DUMMYFUNCTION("""COMPUTED_VALUE"""),2.0)</f>
        <v>2</v>
      </c>
    </row>
    <row r="384" ht="15.75" customHeight="1">
      <c r="A384" s="8" t="str">
        <f>IFERROR(__xludf.DUMMYFUNCTION("""COMPUTED_VALUE"""),"https://platypusseo.com/blog/best-european-seo-agencies/")</f>
        <v>https://platypusseo.com/blog/best-european-seo-agencies/</v>
      </c>
      <c r="B384" s="11" t="str">
        <f>IFERROR(__xludf.DUMMYFUNCTION("""COMPUTED_VALUE"""),"10 Best European SEO Agencies in 2026")</f>
        <v>10 Best European SEO Agencies in 2026</v>
      </c>
      <c r="C384" s="8" t="str">
        <f>IFERROR(__xludf.DUMMYFUNCTION("""COMPUTED_VALUE"""),"platypusseo.com")</f>
        <v>platypusseo.com</v>
      </c>
      <c r="D384" s="11" t="str">
        <f>IFERROR(__xludf.DUMMYFUNCTION("""COMPUTED_VALUE"""),"LISTICLE")</f>
        <v>LISTICLE</v>
      </c>
      <c r="E384" s="11" t="str">
        <f>IFERROR(__xludf.DUMMYFUNCTION("""COMPUTED_VALUE"""),"CORPORATE")</f>
        <v>CORPORATE</v>
      </c>
      <c r="F384" s="11" t="str">
        <f>IFERROR(__xludf.DUMMYFUNCTION("""COMPUTED_VALUE"""),"Listicle")</f>
        <v>Listicle</v>
      </c>
      <c r="G384" s="11" t="b">
        <f>IFERROR(__xludf.DUMMYFUNCTION("""COMPUTED_VALUE"""),FALSE)</f>
        <v>0</v>
      </c>
      <c r="H384" s="11" t="str">
        <f>IFERROR(__xludf.DUMMYFUNCTION("""COMPUTED_VALUE"""),"Peak Ace, Huge")</f>
        <v>Peak Ace, Huge</v>
      </c>
      <c r="I384" s="11">
        <f>IFERROR(__xludf.DUMMYFUNCTION("""COMPUTED_VALUE"""),1.0)</f>
        <v>1</v>
      </c>
      <c r="J384" s="11">
        <f>IFERROR(__xludf.DUMMYFUNCTION("""COMPUTED_VALUE"""),0.0)</f>
        <v>0</v>
      </c>
      <c r="K384" s="11">
        <f>IFERROR(__xludf.DUMMYFUNCTION("""COMPUTED_VALUE"""),1.0)</f>
        <v>1</v>
      </c>
    </row>
    <row r="385" ht="15.75" customHeight="1">
      <c r="A385" s="8" t="str">
        <f>IFERROR(__xludf.DUMMYFUNCTION("""COMPUTED_VALUE"""),"https://www.pr-journal.de/nachrichten/agenturen/33037-agenturen-zeigen-breites-leistungsspektrum-ihrer-pr-arbeiten.html")</f>
        <v>https://www.pr-journal.de/nachrichten/agenturen/33037-agenturen-zeigen-breites-leistungsspektrum-ihrer-pr-arbeiten.html</v>
      </c>
      <c r="B385" s="11" t="str">
        <f>IFERROR(__xludf.DUMMYFUNCTION("""COMPUTED_VALUE"""),"PR-Journal – Ranking zeigt breites PR-Leistungsspektrum")</f>
        <v>PR-Journal – Ranking zeigt breites PR-Leistungsspektrum</v>
      </c>
      <c r="C385" s="8" t="str">
        <f>IFERROR(__xludf.DUMMYFUNCTION("""COMPUTED_VALUE"""),"pr-journal.de")</f>
        <v>pr-journal.de</v>
      </c>
      <c r="D385" s="11" t="str">
        <f>IFERROR(__xludf.DUMMYFUNCTION("""COMPUTED_VALUE"""),"LISTICLE")</f>
        <v>LISTICLE</v>
      </c>
      <c r="E385" s="11" t="str">
        <f>IFERROR(__xludf.DUMMYFUNCTION("""COMPUTED_VALUE"""),"EDITORIAL")</f>
        <v>EDITORIAL</v>
      </c>
      <c r="F385" s="11" t="str">
        <f>IFERROR(__xludf.DUMMYFUNCTION("""COMPUTED_VALUE"""),"Listicle")</f>
        <v>Listicle</v>
      </c>
      <c r="G385" s="11" t="b">
        <f>IFERROR(__xludf.DUMMYFUNCTION("""COMPUTED_VALUE"""),FALSE)</f>
        <v>0</v>
      </c>
      <c r="H385" s="11" t="str">
        <f>IFERROR(__xludf.DUMMYFUNCTION("""COMPUTED_VALUE"""),"Pilot, Jung von Matt, Scholz &amp; Friends, Serviceplan Group")</f>
        <v>Pilot, Jung von Matt, Scholz &amp; Friends, Serviceplan Group</v>
      </c>
      <c r="I385" s="11">
        <f>IFERROR(__xludf.DUMMYFUNCTION("""COMPUTED_VALUE"""),1.0)</f>
        <v>1</v>
      </c>
      <c r="J385" s="11">
        <f>IFERROR(__xludf.DUMMYFUNCTION("""COMPUTED_VALUE"""),0.0)</f>
        <v>0</v>
      </c>
      <c r="K385" s="11">
        <f>IFERROR(__xludf.DUMMYFUNCTION("""COMPUTED_VALUE"""),0.0)</f>
        <v>0</v>
      </c>
    </row>
    <row r="386" ht="15.75" customHeight="1">
      <c r="A386" s="8" t="str">
        <f>IFERROR(__xludf.DUMMYFUNCTION("""COMPUTED_VALUE"""),"https://www.promodo.com/blog/best-geo-agencies")</f>
        <v>https://www.promodo.com/blog/best-geo-agencies</v>
      </c>
      <c r="B386" s="11" t="str">
        <f>IFERROR(__xludf.DUMMYFUNCTION("""COMPUTED_VALUE"""),"Top GEO Agencies in 2026: Get Your Brand Cited by AI Search")</f>
        <v>Top GEO Agencies in 2026: Get Your Brand Cited by AI Search</v>
      </c>
      <c r="C386" s="8" t="str">
        <f>IFERROR(__xludf.DUMMYFUNCTION("""COMPUTED_VALUE"""),"promodo.com")</f>
        <v>promodo.com</v>
      </c>
      <c r="D386" s="11" t="str">
        <f>IFERROR(__xludf.DUMMYFUNCTION("""COMPUTED_VALUE"""),"LISTICLE")</f>
        <v>LISTICLE</v>
      </c>
      <c r="E386" s="11" t="str">
        <f>IFERROR(__xludf.DUMMYFUNCTION("""COMPUTED_VALUE"""),"CORPORATE")</f>
        <v>CORPORATE</v>
      </c>
      <c r="F386" s="11" t="str">
        <f>IFERROR(__xludf.DUMMYFUNCTION("""COMPUTED_VALUE"""),"Listicle")</f>
        <v>Listicle</v>
      </c>
      <c r="G386" s="11" t="b">
        <f>IFERROR(__xludf.DUMMYFUNCTION("""COMPUTED_VALUE"""),FALSE)</f>
        <v>0</v>
      </c>
      <c r="H386" s="11" t="str">
        <f>IFERROR(__xludf.DUMMYFUNCTION("""COMPUTED_VALUE"""),"Directive Consulting, Siege Media, Measured")</f>
        <v>Directive Consulting, Siege Media, Measured</v>
      </c>
      <c r="I386" s="11">
        <f>IFERROR(__xludf.DUMMYFUNCTION("""COMPUTED_VALUE"""),1.0)</f>
        <v>1</v>
      </c>
      <c r="J386" s="11">
        <f>IFERROR(__xludf.DUMMYFUNCTION("""COMPUTED_VALUE"""),0.0)</f>
        <v>0</v>
      </c>
      <c r="K386" s="11">
        <f>IFERROR(__xludf.DUMMYFUNCTION("""COMPUTED_VALUE"""),0.0)</f>
        <v>0</v>
      </c>
    </row>
    <row r="387" ht="15.75" customHeight="1">
      <c r="A387" s="8" t="str">
        <f>IFERROR(__xludf.DUMMYFUNCTION("""COMPUTED_VALUE"""),"https://qoulomb.com/best-answer-engine-optimization-agencies/")</f>
        <v>https://qoulomb.com/best-answer-engine-optimization-agencies/</v>
      </c>
      <c r="B387" s="11" t="str">
        <f>IFERROR(__xludf.DUMMYFUNCTION("""COMPUTED_VALUE"""),"Best Answer Engine Optimization \[AEO\] Agencies")</f>
        <v>Best Answer Engine Optimization \[AEO\] Agencies</v>
      </c>
      <c r="C387" s="8" t="str">
        <f>IFERROR(__xludf.DUMMYFUNCTION("""COMPUTED_VALUE"""),"qoulomb.com")</f>
        <v>qoulomb.com</v>
      </c>
      <c r="D387" s="11" t="str">
        <f>IFERROR(__xludf.DUMMYFUNCTION("""COMPUTED_VALUE"""),"LISTICLE")</f>
        <v>LISTICLE</v>
      </c>
      <c r="E387" s="11" t="str">
        <f>IFERROR(__xludf.DUMMYFUNCTION("""COMPUTED_VALUE"""),"CORPORATE")</f>
        <v>CORPORATE</v>
      </c>
      <c r="F387" s="11" t="str">
        <f>IFERROR(__xludf.DUMMYFUNCTION("""COMPUTED_VALUE"""),"Listicle")</f>
        <v>Listicle</v>
      </c>
      <c r="G387" s="11" t="b">
        <f>IFERROR(__xludf.DUMMYFUNCTION("""COMPUTED_VALUE"""),FALSE)</f>
        <v>0</v>
      </c>
      <c r="H387" s="11" t="str">
        <f>IFERROR(__xludf.DUMMYFUNCTION("""COMPUTED_VALUE"""),"Siege Media")</f>
        <v>Siege Media</v>
      </c>
      <c r="I387" s="11">
        <f>IFERROR(__xludf.DUMMYFUNCTION("""COMPUTED_VALUE"""),1.0)</f>
        <v>1</v>
      </c>
      <c r="J387" s="11">
        <f>IFERROR(__xludf.DUMMYFUNCTION("""COMPUTED_VALUE"""),0.0)</f>
        <v>0</v>
      </c>
      <c r="K387" s="11">
        <f>IFERROR(__xludf.DUMMYFUNCTION("""COMPUTED_VALUE"""),1.0)</f>
        <v>1</v>
      </c>
    </row>
    <row r="388" ht="15.75" customHeight="1">
      <c r="A388" s="8" t="str">
        <f>IFERROR(__xludf.DUMMYFUNCTION("""COMPUTED_VALUE"""),"https://www.quoleady.com/growth-marketing-agencies/")</f>
        <v>https://www.quoleady.com/growth-marketing-agencies/</v>
      </c>
      <c r="B388" s="11" t="str">
        <f>IFERROR(__xludf.DUMMYFUNCTION("""COMPUTED_VALUE"""),"Top 12 Growth Marketing Agencies in 2026 - Quoleady")</f>
        <v>Top 12 Growth Marketing Agencies in 2026 - Quoleady</v>
      </c>
      <c r="C388" s="8" t="str">
        <f>IFERROR(__xludf.DUMMYFUNCTION("""COMPUTED_VALUE"""),"quoleady.com")</f>
        <v>quoleady.com</v>
      </c>
      <c r="D388" s="11" t="str">
        <f>IFERROR(__xludf.DUMMYFUNCTION("""COMPUTED_VALUE"""),"LISTICLE")</f>
        <v>LISTICLE</v>
      </c>
      <c r="E388" s="11" t="str">
        <f>IFERROR(__xludf.DUMMYFUNCTION("""COMPUTED_VALUE"""),"CORPORATE")</f>
        <v>CORPORATE</v>
      </c>
      <c r="F388" s="11" t="str">
        <f>IFERROR(__xludf.DUMMYFUNCTION("""COMPUTED_VALUE"""),"Listicle")</f>
        <v>Listicle</v>
      </c>
      <c r="G388" s="11" t="b">
        <f>IFERROR(__xludf.DUMMYFUNCTION("""COMPUTED_VALUE"""),FALSE)</f>
        <v>0</v>
      </c>
      <c r="H388" s="11" t="str">
        <f>IFERROR(__xludf.DUMMYFUNCTION("""COMPUTED_VALUE"""),"Darkroom, NoGood, Disruptive Advertising, SmartSites, Momentum")</f>
        <v>Darkroom, NoGood, Disruptive Advertising, SmartSites, Momentum</v>
      </c>
      <c r="I388" s="11">
        <f>IFERROR(__xludf.DUMMYFUNCTION("""COMPUTED_VALUE"""),1.0)</f>
        <v>1</v>
      </c>
      <c r="J388" s="11">
        <f>IFERROR(__xludf.DUMMYFUNCTION("""COMPUTED_VALUE"""),0.0)</f>
        <v>0</v>
      </c>
      <c r="K388" s="11">
        <f>IFERROR(__xludf.DUMMYFUNCTION("""COMPUTED_VALUE"""),0.0)</f>
        <v>0</v>
      </c>
    </row>
    <row r="389" ht="15.75" customHeight="1">
      <c r="A389" s="8" t="str">
        <f>IFERROR(__xludf.DUMMYFUNCTION("""COMPUTED_VALUE"""),"https://www.radyant.io/comparison/the-6-best-ai-seo-agencies-for-b2b-startups")</f>
        <v>https://www.radyant.io/comparison/the-6-best-ai-seo-agencies-for-b2b-startups</v>
      </c>
      <c r="B389" s="11" t="str">
        <f>IFERROR(__xludf.DUMMYFUNCTION("""COMPUTED_VALUE"""),"The 6 best AI SEO agencies for B2B startups · Radyant")</f>
        <v>The 6 best AI SEO agencies for B2B startups · Radyant</v>
      </c>
      <c r="C389" s="8" t="str">
        <f>IFERROR(__xludf.DUMMYFUNCTION("""COMPUTED_VALUE"""),"radyant.io")</f>
        <v>radyant.io</v>
      </c>
      <c r="D389" s="11" t="str">
        <f>IFERROR(__xludf.DUMMYFUNCTION("""COMPUTED_VALUE"""),"LISTICLE")</f>
        <v>LISTICLE</v>
      </c>
      <c r="E389" s="11" t="str">
        <f>IFERROR(__xludf.DUMMYFUNCTION("""COMPUTED_VALUE"""),"COMPETITOR")</f>
        <v>COMPETITOR</v>
      </c>
      <c r="F389" s="11" t="str">
        <f>IFERROR(__xludf.DUMMYFUNCTION("""COMPUTED_VALUE"""),"Listicle")</f>
        <v>Listicle</v>
      </c>
      <c r="G389" s="11" t="b">
        <f>IFERROR(__xludf.DUMMYFUNCTION("""COMPUTED_VALUE"""),FALSE)</f>
        <v>0</v>
      </c>
      <c r="H389" s="11" t="str">
        <f>IFERROR(__xludf.DUMMYFUNCTION("""COMPUTED_VALUE"""),"Radyant, Claneo, Omniscient Digital")</f>
        <v>Radyant, Claneo, Omniscient Digital</v>
      </c>
      <c r="I389" s="11">
        <f>IFERROR(__xludf.DUMMYFUNCTION("""COMPUTED_VALUE"""),1.0)</f>
        <v>1</v>
      </c>
      <c r="J389" s="11">
        <f>IFERROR(__xludf.DUMMYFUNCTION("""COMPUTED_VALUE"""),0.0)</f>
        <v>0</v>
      </c>
      <c r="K389" s="11">
        <f>IFERROR(__xludf.DUMMYFUNCTION("""COMPUTED_VALUE"""),1.0)</f>
        <v>1</v>
      </c>
    </row>
    <row r="390" ht="15.75" customHeight="1">
      <c r="A390" s="8" t="str">
        <f>IFERROR(__xludf.DUMMYFUNCTION("""COMPUTED_VALUE"""),"https://revenuezen.com/top-answer-engine-optimization-aeo-agencies/")</f>
        <v>https://revenuezen.com/top-answer-engine-optimization-aeo-agencies/</v>
      </c>
      <c r="B390" s="11" t="str">
        <f>IFERROR(__xludf.DUMMYFUNCTION("""COMPUTED_VALUE"""),"Top Answer Engine Optimization Agencies in 2026 | RevenueZen")</f>
        <v>Top Answer Engine Optimization Agencies in 2026 | RevenueZen</v>
      </c>
      <c r="C390" s="8" t="str">
        <f>IFERROR(__xludf.DUMMYFUNCTION("""COMPUTED_VALUE"""),"revenuezen.com")</f>
        <v>revenuezen.com</v>
      </c>
      <c r="D390" s="11" t="str">
        <f>IFERROR(__xludf.DUMMYFUNCTION("""COMPUTED_VALUE"""),"LISTICLE")</f>
        <v>LISTICLE</v>
      </c>
      <c r="E390" s="11" t="str">
        <f>IFERROR(__xludf.DUMMYFUNCTION("""COMPUTED_VALUE"""),"CORPORATE")</f>
        <v>CORPORATE</v>
      </c>
      <c r="F390" s="11" t="str">
        <f>IFERROR(__xludf.DUMMYFUNCTION("""COMPUTED_VALUE"""),"Listicle")</f>
        <v>Listicle</v>
      </c>
      <c r="G390" s="11" t="b">
        <f>IFERROR(__xludf.DUMMYFUNCTION("""COMPUTED_VALUE"""),FALSE)</f>
        <v>0</v>
      </c>
      <c r="H390" s="11" t="str">
        <f>IFERROR(__xludf.DUMMYFUNCTION("""COMPUTED_VALUE"""),"Omniscient Digital, iPullRank, WebFX, Huge")</f>
        <v>Omniscient Digital, iPullRank, WebFX, Huge</v>
      </c>
      <c r="I390" s="11">
        <f>IFERROR(__xludf.DUMMYFUNCTION("""COMPUTED_VALUE"""),1.0)</f>
        <v>1</v>
      </c>
      <c r="J390" s="11">
        <f>IFERROR(__xludf.DUMMYFUNCTION("""COMPUTED_VALUE"""),0.0)</f>
        <v>0</v>
      </c>
      <c r="K390" s="11">
        <f>IFERROR(__xludf.DUMMYFUNCTION("""COMPUTED_VALUE"""),0.0)</f>
        <v>0</v>
      </c>
    </row>
    <row r="391" ht="15.75" customHeight="1">
      <c r="A391" s="8" t="str">
        <f>IFERROR(__xludf.DUMMYFUNCTION("""COMPUTED_VALUE"""),"https://rubixe.com/blog/ai-trends-in-consulting-whats-next-for-businesses")</f>
        <v>https://rubixe.com/blog/ai-trends-in-consulting-whats-next-for-businesses</v>
      </c>
      <c r="B391" s="11" t="str">
        <f>IFERROR(__xludf.DUMMYFUNCTION("""COMPUTED_VALUE"""),"AI Trends in Consulting: What’s Next for Businesses - Rubixe")</f>
        <v>AI Trends in Consulting: What’s Next for Businesses - Rubixe</v>
      </c>
      <c r="C391" s="8" t="str">
        <f>IFERROR(__xludf.DUMMYFUNCTION("""COMPUTED_VALUE"""),"rubixe.com")</f>
        <v>rubixe.com</v>
      </c>
      <c r="D391" s="11" t="str">
        <f>IFERROR(__xludf.DUMMYFUNCTION("""COMPUTED_VALUE"""),"LISTICLE")</f>
        <v>LISTICLE</v>
      </c>
      <c r="E391" s="11" t="str">
        <f>IFERROR(__xludf.DUMMYFUNCTION("""COMPUTED_VALUE"""),"CORPORATE")</f>
        <v>CORPORATE</v>
      </c>
      <c r="F391" s="11" t="str">
        <f>IFERROR(__xludf.DUMMYFUNCTION("""COMPUTED_VALUE"""),"Listicle")</f>
        <v>Listicle</v>
      </c>
      <c r="G391" s="11" t="b">
        <f>IFERROR(__xludf.DUMMYFUNCTION("""COMPUTED_VALUE"""),FALSE)</f>
        <v>0</v>
      </c>
      <c r="H391" s="11"/>
      <c r="I391" s="11">
        <f>IFERROR(__xludf.DUMMYFUNCTION("""COMPUTED_VALUE"""),1.0)</f>
        <v>1</v>
      </c>
      <c r="J391" s="11">
        <f>IFERROR(__xludf.DUMMYFUNCTION("""COMPUTED_VALUE"""),0.0)</f>
        <v>0</v>
      </c>
      <c r="K391" s="11">
        <f>IFERROR(__xludf.DUMMYFUNCTION("""COMPUTED_VALUE"""),0.0)</f>
        <v>0</v>
      </c>
    </row>
    <row r="392" ht="15.75" customHeight="1">
      <c r="A392" s="8" t="str">
        <f>IFERROR(__xludf.DUMMYFUNCTION("""COMPUTED_VALUE"""),"https://s-pro.io/generative-ai-development-companies")</f>
        <v>https://s-pro.io/generative-ai-development-companies</v>
      </c>
      <c r="B392" s="11" t="str">
        <f>IFERROR(__xludf.DUMMYFUNCTION("""COMPUTED_VALUE"""),"Top Generative AI Development Companies | 21 Best Generative AI Integration Companies")</f>
        <v>Top Generative AI Development Companies | 21 Best Generative AI Integration Companies</v>
      </c>
      <c r="C392" s="8" t="str">
        <f>IFERROR(__xludf.DUMMYFUNCTION("""COMPUTED_VALUE"""),"s-pro.io")</f>
        <v>s-pro.io</v>
      </c>
      <c r="D392" s="11" t="str">
        <f>IFERROR(__xludf.DUMMYFUNCTION("""COMPUTED_VALUE"""),"LISTICLE")</f>
        <v>LISTICLE</v>
      </c>
      <c r="E392" s="11" t="str">
        <f>IFERROR(__xludf.DUMMYFUNCTION("""COMPUTED_VALUE"""),"CORPORATE")</f>
        <v>CORPORATE</v>
      </c>
      <c r="F392" s="11" t="str">
        <f>IFERROR(__xludf.DUMMYFUNCTION("""COMPUTED_VALUE"""),"Listicle")</f>
        <v>Listicle</v>
      </c>
      <c r="G392" s="11" t="b">
        <f>IFERROR(__xludf.DUMMYFUNCTION("""COMPUTED_VALUE"""),FALSE)</f>
        <v>0</v>
      </c>
      <c r="H392" s="11" t="str">
        <f>IFERROR(__xludf.DUMMYFUNCTION("""COMPUTED_VALUE"""),"PwC, Croud, Momentum")</f>
        <v>PwC, Croud, Momentum</v>
      </c>
      <c r="I392" s="11">
        <f>IFERROR(__xludf.DUMMYFUNCTION("""COMPUTED_VALUE"""),1.0)</f>
        <v>1</v>
      </c>
      <c r="J392" s="11">
        <f>IFERROR(__xludf.DUMMYFUNCTION("""COMPUTED_VALUE"""),0.0)</f>
        <v>0</v>
      </c>
      <c r="K392" s="11">
        <f>IFERROR(__xludf.DUMMYFUNCTION("""COMPUTED_VALUE"""),1.0)</f>
        <v>1</v>
      </c>
    </row>
    <row r="393" ht="15.75" customHeight="1">
      <c r="A393" s="8" t="str">
        <f>IFERROR(__xludf.DUMMYFUNCTION("""COMPUTED_VALUE"""),"https://sageitinc.com/reference-center/best-ai-consulting-companies")</f>
        <v>https://sageitinc.com/reference-center/best-ai-consulting-companies</v>
      </c>
      <c r="B393" s="11" t="str">
        <f>IFERROR(__xludf.DUMMYFUNCTION("""COMPUTED_VALUE"""),"10 Best AI Consulting Companies to De-Risk Your AI Adoption")</f>
        <v>10 Best AI Consulting Companies to De-Risk Your AI Adoption</v>
      </c>
      <c r="C393" s="8" t="str">
        <f>IFERROR(__xludf.DUMMYFUNCTION("""COMPUTED_VALUE"""),"sageitinc.com")</f>
        <v>sageitinc.com</v>
      </c>
      <c r="D393" s="11" t="str">
        <f>IFERROR(__xludf.DUMMYFUNCTION("""COMPUTED_VALUE"""),"LISTICLE")</f>
        <v>LISTICLE</v>
      </c>
      <c r="E393" s="11" t="str">
        <f>IFERROR(__xludf.DUMMYFUNCTION("""COMPUTED_VALUE"""),"CORPORATE")</f>
        <v>CORPORATE</v>
      </c>
      <c r="F393" s="11" t="str">
        <f>IFERROR(__xludf.DUMMYFUNCTION("""COMPUTED_VALUE"""),"Listicle")</f>
        <v>Listicle</v>
      </c>
      <c r="G393" s="11" t="b">
        <f>IFERROR(__xludf.DUMMYFUNCTION("""COMPUTED_VALUE"""),FALSE)</f>
        <v>0</v>
      </c>
      <c r="H393" s="11" t="str">
        <f>IFERROR(__xludf.DUMMYFUNCTION("""COMPUTED_VALUE"""),"Pilot")</f>
        <v>Pilot</v>
      </c>
      <c r="I393" s="11">
        <f>IFERROR(__xludf.DUMMYFUNCTION("""COMPUTED_VALUE"""),1.0)</f>
        <v>1</v>
      </c>
      <c r="J393" s="11">
        <f>IFERROR(__xludf.DUMMYFUNCTION("""COMPUTED_VALUE"""),0.0)</f>
        <v>0</v>
      </c>
      <c r="K393" s="11">
        <f>IFERROR(__xludf.DUMMYFUNCTION("""COMPUTED_VALUE"""),0.0)</f>
        <v>0</v>
      </c>
    </row>
    <row r="394" ht="15.75" customHeight="1">
      <c r="A394" s="8" t="str">
        <f>IFERROR(__xludf.DUMMYFUNCTION("""COMPUTED_VALUE"""),"https://www.sanmiguel.io/en/the-best-b2b-brand-agencies-for-smes/")</f>
        <v>https://www.sanmiguel.io/en/the-best-b2b-brand-agencies-for-smes/</v>
      </c>
      <c r="B394" s="11" t="str">
        <f>IFERROR(__xludf.DUMMYFUNCTION("""COMPUTED_VALUE"""),"The best B2B brand agencies in Germany &amp;amp; the DACH region")</f>
        <v>The best B2B brand agencies in Germany &amp;amp; the DACH region</v>
      </c>
      <c r="C394" s="8" t="str">
        <f>IFERROR(__xludf.DUMMYFUNCTION("""COMPUTED_VALUE"""),"sanmiguel.io")</f>
        <v>sanmiguel.io</v>
      </c>
      <c r="D394" s="11" t="str">
        <f>IFERROR(__xludf.DUMMYFUNCTION("""COMPUTED_VALUE"""),"LISTICLE")</f>
        <v>LISTICLE</v>
      </c>
      <c r="E394" s="11" t="str">
        <f>IFERROR(__xludf.DUMMYFUNCTION("""COMPUTED_VALUE"""),"CORPORATE")</f>
        <v>CORPORATE</v>
      </c>
      <c r="F394" s="11" t="str">
        <f>IFERROR(__xludf.DUMMYFUNCTION("""COMPUTED_VALUE"""),"Listicle")</f>
        <v>Listicle</v>
      </c>
      <c r="G394" s="11" t="b">
        <f>IFERROR(__xludf.DUMMYFUNCTION("""COMPUTED_VALUE"""),FALSE)</f>
        <v>0</v>
      </c>
      <c r="H394" s="11" t="str">
        <f>IFERROR(__xludf.DUMMYFUNCTION("""COMPUTED_VALUE"""),"MetaDesign, Publicis Groupe, Jung von Matt, Omnicom")</f>
        <v>MetaDesign, Publicis Groupe, Jung von Matt, Omnicom</v>
      </c>
      <c r="I394" s="11">
        <f>IFERROR(__xludf.DUMMYFUNCTION("""COMPUTED_VALUE"""),1.0)</f>
        <v>1</v>
      </c>
      <c r="J394" s="11">
        <f>IFERROR(__xludf.DUMMYFUNCTION("""COMPUTED_VALUE"""),0.0)</f>
        <v>0</v>
      </c>
      <c r="K394" s="11">
        <f>IFERROR(__xludf.DUMMYFUNCTION("""COMPUTED_VALUE"""),1.0)</f>
        <v>1</v>
      </c>
    </row>
    <row r="395" ht="15.75" customHeight="1">
      <c r="A395" s="8" t="str">
        <f>IFERROR(__xludf.DUMMYFUNCTION("""COMPUTED_VALUE"""),"https://scandiweb.com/blog/top-ai-agencies/")</f>
        <v>https://scandiweb.com/blog/top-ai-agencies/</v>
      </c>
      <c r="B395" s="11" t="str">
        <f>IFERROR(__xludf.DUMMYFUNCTION("""COMPUTED_VALUE"""),"Top AI Agencies in 2026 for GenAI Optimization - scandiweb")</f>
        <v>Top AI Agencies in 2026 for GenAI Optimization - scandiweb</v>
      </c>
      <c r="C395" s="8" t="str">
        <f>IFERROR(__xludf.DUMMYFUNCTION("""COMPUTED_VALUE"""),"scandiweb.com")</f>
        <v>scandiweb.com</v>
      </c>
      <c r="D395" s="11" t="str">
        <f>IFERROR(__xludf.DUMMYFUNCTION("""COMPUTED_VALUE"""),"LISTICLE")</f>
        <v>LISTICLE</v>
      </c>
      <c r="E395" s="11" t="str">
        <f>IFERROR(__xludf.DUMMYFUNCTION("""COMPUTED_VALUE"""),"CORPORATE")</f>
        <v>CORPORATE</v>
      </c>
      <c r="F395" s="11" t="str">
        <f>IFERROR(__xludf.DUMMYFUNCTION("""COMPUTED_VALUE"""),"Listicle")</f>
        <v>Listicle</v>
      </c>
      <c r="G395" s="11" t="b">
        <f>IFERROR(__xludf.DUMMYFUNCTION("""COMPUTED_VALUE"""),FALSE)</f>
        <v>0</v>
      </c>
      <c r="H395" s="11" t="str">
        <f>IFERROR(__xludf.DUMMYFUNCTION("""COMPUTED_VALUE"""),"appliedAI")</f>
        <v>appliedAI</v>
      </c>
      <c r="I395" s="11">
        <f>IFERROR(__xludf.DUMMYFUNCTION("""COMPUTED_VALUE"""),1.0)</f>
        <v>1</v>
      </c>
      <c r="J395" s="11">
        <f>IFERROR(__xludf.DUMMYFUNCTION("""COMPUTED_VALUE"""),0.0)</f>
        <v>0</v>
      </c>
      <c r="K395" s="11">
        <f>IFERROR(__xludf.DUMMYFUNCTION("""COMPUTED_VALUE"""),1.0)</f>
        <v>1</v>
      </c>
    </row>
    <row r="396" ht="15.75" customHeight="1">
      <c r="A396" s="8" t="str">
        <f>IFERROR(__xludf.DUMMYFUNCTION("""COMPUTED_VALUE"""),"https://scopicstudios.com/blog/top-performance-marketing-agencies/")</f>
        <v>https://scopicstudios.com/blog/top-performance-marketing-agencies/</v>
      </c>
      <c r="B396" s="11" t="str">
        <f>IFERROR(__xludf.DUMMYFUNCTION("""COMPUTED_VALUE"""),"Top 10 Performance Marketing Agencies for ROI in 2025")</f>
        <v>Top 10 Performance Marketing Agencies for ROI in 2025</v>
      </c>
      <c r="C396" s="8" t="str">
        <f>IFERROR(__xludf.DUMMYFUNCTION("""COMPUTED_VALUE"""),"scopicstudios.com")</f>
        <v>scopicstudios.com</v>
      </c>
      <c r="D396" s="11" t="str">
        <f>IFERROR(__xludf.DUMMYFUNCTION("""COMPUTED_VALUE"""),"LISTICLE")</f>
        <v>LISTICLE</v>
      </c>
      <c r="E396" s="11" t="str">
        <f>IFERROR(__xludf.DUMMYFUNCTION("""COMPUTED_VALUE"""),"CORPORATE")</f>
        <v>CORPORATE</v>
      </c>
      <c r="F396" s="11" t="str">
        <f>IFERROR(__xludf.DUMMYFUNCTION("""COMPUTED_VALUE"""),"Listicle")</f>
        <v>Listicle</v>
      </c>
      <c r="G396" s="11" t="b">
        <f>IFERROR(__xludf.DUMMYFUNCTION("""COMPUTED_VALUE"""),FALSE)</f>
        <v>0</v>
      </c>
      <c r="H396" s="11" t="str">
        <f>IFERROR(__xludf.DUMMYFUNCTION("""COMPUTED_VALUE"""),"Measured")</f>
        <v>Measured</v>
      </c>
      <c r="I396" s="11">
        <f>IFERROR(__xludf.DUMMYFUNCTION("""COMPUTED_VALUE"""),1.0)</f>
        <v>1</v>
      </c>
      <c r="J396" s="11">
        <f>IFERROR(__xludf.DUMMYFUNCTION("""COMPUTED_VALUE"""),0.0)</f>
        <v>0</v>
      </c>
      <c r="K396" s="11">
        <f>IFERROR(__xludf.DUMMYFUNCTION("""COMPUTED_VALUE"""),0.0)</f>
        <v>0</v>
      </c>
    </row>
    <row r="397" ht="15.75" customHeight="1">
      <c r="A397" s="8" t="str">
        <f>IFERROR(__xludf.DUMMYFUNCTION("""COMPUTED_VALUE"""),"https://www.searchbloom.com/strategy/best-ai-seo-agency-companies-services-usa/")</f>
        <v>https://www.searchbloom.com/strategy/best-ai-seo-agency-companies-services-usa/</v>
      </c>
      <c r="B397" s="11" t="str">
        <f>IFERROR(__xludf.DUMMYFUNCTION("""COMPUTED_VALUE"""),"Best AI SEO Companies + Services in the US 2026 (AEO/GEO) - Best AEO Agencies in USA")</f>
        <v>Best AI SEO Companies + Services in the US 2026 (AEO/GEO) - Best AEO Agencies in USA</v>
      </c>
      <c r="C397" s="8" t="str">
        <f>IFERROR(__xludf.DUMMYFUNCTION("""COMPUTED_VALUE"""),"searchbloom.com")</f>
        <v>searchbloom.com</v>
      </c>
      <c r="D397" s="11" t="str">
        <f>IFERROR(__xludf.DUMMYFUNCTION("""COMPUTED_VALUE"""),"LISTICLE")</f>
        <v>LISTICLE</v>
      </c>
      <c r="E397" s="11" t="str">
        <f>IFERROR(__xludf.DUMMYFUNCTION("""COMPUTED_VALUE"""),"CORPORATE")</f>
        <v>CORPORATE</v>
      </c>
      <c r="F397" s="11" t="str">
        <f>IFERROR(__xludf.DUMMYFUNCTION("""COMPUTED_VALUE"""),"Listicle")</f>
        <v>Listicle</v>
      </c>
      <c r="G397" s="11" t="b">
        <f>IFERROR(__xludf.DUMMYFUNCTION("""COMPUTED_VALUE"""),FALSE)</f>
        <v>0</v>
      </c>
      <c r="H397" s="11" t="str">
        <f>IFERROR(__xludf.DUMMYFUNCTION("""COMPUTED_VALUE"""),"Tinuiti, Omniscient Digital, iPullRank, Single Grain, Siege Media")</f>
        <v>Tinuiti, Omniscient Digital, iPullRank, Single Grain, Siege Media</v>
      </c>
      <c r="I397" s="11">
        <f>IFERROR(__xludf.DUMMYFUNCTION("""COMPUTED_VALUE"""),1.0)</f>
        <v>1</v>
      </c>
      <c r="J397" s="11">
        <f>IFERROR(__xludf.DUMMYFUNCTION("""COMPUTED_VALUE"""),0.0)</f>
        <v>0</v>
      </c>
      <c r="K397" s="11">
        <f>IFERROR(__xludf.DUMMYFUNCTION("""COMPUTED_VALUE"""),4.0)</f>
        <v>4</v>
      </c>
    </row>
    <row r="398" ht="15.75" customHeight="1">
      <c r="A398" s="8" t="str">
        <f>IFERROR(__xludf.DUMMYFUNCTION("""COMPUTED_VALUE"""),"https://www.secureleap.tech/blog/best-penetration-testing-companies-europe-startups")</f>
        <v>https://www.secureleap.tech/blog/best-penetration-testing-companies-europe-startups</v>
      </c>
      <c r="B398" s="11" t="str">
        <f>IFERROR(__xludf.DUMMYFUNCTION("""COMPUTED_VALUE"""),"Best Penetration Testing Companies in Europe for Startups (2026)")</f>
        <v>Best Penetration Testing Companies in Europe for Startups (2026)</v>
      </c>
      <c r="C398" s="11" t="str">
        <f>IFERROR(__xludf.DUMMYFUNCTION("""COMPUTED_VALUE"""),"secureleap.tech")</f>
        <v>secureleap.tech</v>
      </c>
      <c r="D398" s="11" t="str">
        <f>IFERROR(__xludf.DUMMYFUNCTION("""COMPUTED_VALUE"""),"LISTICLE")</f>
        <v>LISTICLE</v>
      </c>
      <c r="E398" s="11" t="str">
        <f>IFERROR(__xludf.DUMMYFUNCTION("""COMPUTED_VALUE"""),"CORPORATE")</f>
        <v>CORPORATE</v>
      </c>
      <c r="F398" s="11" t="str">
        <f>IFERROR(__xludf.DUMMYFUNCTION("""COMPUTED_VALUE"""),"Listicle")</f>
        <v>Listicle</v>
      </c>
      <c r="G398" s="11" t="b">
        <f>IFERROR(__xludf.DUMMYFUNCTION("""COMPUTED_VALUE"""),FALSE)</f>
        <v>0</v>
      </c>
      <c r="H398" s="11"/>
      <c r="I398" s="11">
        <f>IFERROR(__xludf.DUMMYFUNCTION("""COMPUTED_VALUE"""),1.0)</f>
        <v>1</v>
      </c>
      <c r="J398" s="11">
        <f>IFERROR(__xludf.DUMMYFUNCTION("""COMPUTED_VALUE"""),0.0)</f>
        <v>0</v>
      </c>
      <c r="K398" s="11">
        <f>IFERROR(__xludf.DUMMYFUNCTION("""COMPUTED_VALUE"""),1.0)</f>
        <v>1</v>
      </c>
    </row>
    <row r="399" ht="15.75" customHeight="1">
      <c r="A399" s="8" t="str">
        <f>IFERROR(__xludf.DUMMYFUNCTION("""COMPUTED_VALUE"""),"https://seeders.com/blog/10-best-link-building-agencies-in-germany-2026-ranked/")</f>
        <v>https://seeders.com/blog/10-best-link-building-agencies-in-germany-2026-ranked/</v>
      </c>
      <c r="B399" s="11" t="str">
        <f>IFERROR(__xludf.DUMMYFUNCTION("""COMPUTED_VALUE"""),"10 best link building agencies in Germany [2026 ranked] | Seeders")</f>
        <v>10 best link building agencies in Germany [2026 ranked] | Seeders</v>
      </c>
      <c r="C399" s="8" t="str">
        <f>IFERROR(__xludf.DUMMYFUNCTION("""COMPUTED_VALUE"""),"seeders.com")</f>
        <v>seeders.com</v>
      </c>
      <c r="D399" s="11" t="str">
        <f>IFERROR(__xludf.DUMMYFUNCTION("""COMPUTED_VALUE"""),"LISTICLE")</f>
        <v>LISTICLE</v>
      </c>
      <c r="E399" s="11" t="str">
        <f>IFERROR(__xludf.DUMMYFUNCTION("""COMPUTED_VALUE"""),"COMPETITOR")</f>
        <v>COMPETITOR</v>
      </c>
      <c r="F399" s="11" t="str">
        <f>IFERROR(__xludf.DUMMYFUNCTION("""COMPUTED_VALUE"""),"Listicle")</f>
        <v>Listicle</v>
      </c>
      <c r="G399" s="11" t="b">
        <f>IFERROR(__xludf.DUMMYFUNCTION("""COMPUTED_VALUE"""),FALSE)</f>
        <v>0</v>
      </c>
      <c r="H399" s="11" t="str">
        <f>IFERROR(__xludf.DUMMYFUNCTION("""COMPUTED_VALUE"""),"Seeders, Peak Ace, Claneo, Löwenstark, Suchhelden")</f>
        <v>Seeders, Peak Ace, Claneo, Löwenstark, Suchhelden</v>
      </c>
      <c r="I399" s="11">
        <f>IFERROR(__xludf.DUMMYFUNCTION("""COMPUTED_VALUE"""),1.0)</f>
        <v>1</v>
      </c>
      <c r="J399" s="11">
        <f>IFERROR(__xludf.DUMMYFUNCTION("""COMPUTED_VALUE"""),0.0)</f>
        <v>0</v>
      </c>
      <c r="K399" s="11">
        <f>IFERROR(__xludf.DUMMYFUNCTION("""COMPUTED_VALUE"""),1.0)</f>
        <v>1</v>
      </c>
    </row>
    <row r="400" ht="15.75" customHeight="1">
      <c r="A400" s="8" t="str">
        <f>IFERROR(__xludf.DUMMYFUNCTION("""COMPUTED_VALUE"""),"https://sellforte.com/blog/7-incrementality-measurement-tools-to-try-in-2025/")</f>
        <v>https://sellforte.com/blog/7-incrementality-measurement-tools-to-try-in-2025/</v>
      </c>
      <c r="B400" s="11" t="str">
        <f>IFERROR(__xludf.DUMMYFUNCTION("""COMPUTED_VALUE"""),"7 Incrementality Measurement Tools to Try in 2025")</f>
        <v>7 Incrementality Measurement Tools to Try in 2025</v>
      </c>
      <c r="C400" s="8" t="str">
        <f>IFERROR(__xludf.DUMMYFUNCTION("""COMPUTED_VALUE"""),"sellforte.com")</f>
        <v>sellforte.com</v>
      </c>
      <c r="D400" s="11" t="str">
        <f>IFERROR(__xludf.DUMMYFUNCTION("""COMPUTED_VALUE"""),"LISTICLE")</f>
        <v>LISTICLE</v>
      </c>
      <c r="E400" s="11" t="str">
        <f>IFERROR(__xludf.DUMMYFUNCTION("""COMPUTED_VALUE"""),"COMPETITOR")</f>
        <v>COMPETITOR</v>
      </c>
      <c r="F400" s="11" t="str">
        <f>IFERROR(__xludf.DUMMYFUNCTION("""COMPUTED_VALUE"""),"Listicle")</f>
        <v>Listicle</v>
      </c>
      <c r="G400" s="11" t="b">
        <f>IFERROR(__xludf.DUMMYFUNCTION("""COMPUTED_VALUE"""),FALSE)</f>
        <v>0</v>
      </c>
      <c r="H400" s="11" t="str">
        <f>IFERROR(__xludf.DUMMYFUNCTION("""COMPUTED_VALUE"""),"Sellforte, Measured, Haus, Boston Consulting Group")</f>
        <v>Sellforte, Measured, Haus, Boston Consulting Group</v>
      </c>
      <c r="I400" s="11">
        <f>IFERROR(__xludf.DUMMYFUNCTION("""COMPUTED_VALUE"""),1.0)</f>
        <v>1</v>
      </c>
      <c r="J400" s="11">
        <f>IFERROR(__xludf.DUMMYFUNCTION("""COMPUTED_VALUE"""),0.0)</f>
        <v>0</v>
      </c>
      <c r="K400" s="11">
        <f>IFERROR(__xludf.DUMMYFUNCTION("""COMPUTED_VALUE"""),1.0)</f>
        <v>1</v>
      </c>
    </row>
    <row r="401" ht="15.75" customHeight="1">
      <c r="A401" s="8" t="str">
        <f>IFERROR(__xludf.DUMMYFUNCTION("""COMPUTED_VALUE"""),"https://sellforte.com/blog/real-time-mmm-tools-ecommerce")</f>
        <v>https://sellforte.com/blog/real-time-mmm-tools-ecommerce</v>
      </c>
      <c r="B401" s="11" t="str">
        <f>IFERROR(__xludf.DUMMYFUNCTION("""COMPUTED_VALUE"""),"Best Real-Time MMM Tools for Ecommerce Brands: Software That Delivers Instant Marketing Insights")</f>
        <v>Best Real-Time MMM Tools for Ecommerce Brands: Software That Delivers Instant Marketing Insights</v>
      </c>
      <c r="C401" s="8" t="str">
        <f>IFERROR(__xludf.DUMMYFUNCTION("""COMPUTED_VALUE"""),"sellforte.com")</f>
        <v>sellforte.com</v>
      </c>
      <c r="D401" s="11" t="str">
        <f>IFERROR(__xludf.DUMMYFUNCTION("""COMPUTED_VALUE"""),"LISTICLE")</f>
        <v>LISTICLE</v>
      </c>
      <c r="E401" s="11" t="str">
        <f>IFERROR(__xludf.DUMMYFUNCTION("""COMPUTED_VALUE"""),"COMPETITOR")</f>
        <v>COMPETITOR</v>
      </c>
      <c r="F401" s="11" t="str">
        <f>IFERROR(__xludf.DUMMYFUNCTION("""COMPUTED_VALUE"""),"Listicle")</f>
        <v>Listicle</v>
      </c>
      <c r="G401" s="11" t="b">
        <f>IFERROR(__xludf.DUMMYFUNCTION("""COMPUTED_VALUE"""),FALSE)</f>
        <v>0</v>
      </c>
      <c r="H401" s="11" t="str">
        <f>IFERROR(__xludf.DUMMYFUNCTION("""COMPUTED_VALUE"""),"Sellforte, Triple Whale, Measured, Recast, Northbeam, Pilot, Boston Consulting Group")</f>
        <v>Sellforte, Triple Whale, Measured, Recast, Northbeam, Pilot, Boston Consulting Group</v>
      </c>
      <c r="I401" s="11">
        <f>IFERROR(__xludf.DUMMYFUNCTION("""COMPUTED_VALUE"""),1.0)</f>
        <v>1</v>
      </c>
      <c r="J401" s="11">
        <f>IFERROR(__xludf.DUMMYFUNCTION("""COMPUTED_VALUE"""),0.0)</f>
        <v>0</v>
      </c>
      <c r="K401" s="11">
        <f>IFERROR(__xludf.DUMMYFUNCTION("""COMPUTED_VALUE"""),2.0)</f>
        <v>2</v>
      </c>
    </row>
    <row r="402" ht="15.75" customHeight="1">
      <c r="A402" s="8" t="str">
        <f>IFERROR(__xludf.DUMMYFUNCTION("""COMPUTED_VALUE"""),"https://semnexus.com/the-top-10-aeo-agencies-in-2026-dominating-ai-search")</f>
        <v>https://semnexus.com/the-top-10-aeo-agencies-in-2026-dominating-ai-search</v>
      </c>
      <c r="B402" s="11" t="str">
        <f>IFERROR(__xludf.DUMMYFUNCTION("""COMPUTED_VALUE"""),"The Top 10 AEO Agencies in 2026: Dominating AI Search | SEM Nexus")</f>
        <v>The Top 10 AEO Agencies in 2026: Dominating AI Search | SEM Nexus</v>
      </c>
      <c r="C402" s="8" t="str">
        <f>IFERROR(__xludf.DUMMYFUNCTION("""COMPUTED_VALUE"""),"semnexus.com")</f>
        <v>semnexus.com</v>
      </c>
      <c r="D402" s="11" t="str">
        <f>IFERROR(__xludf.DUMMYFUNCTION("""COMPUTED_VALUE"""),"LISTICLE")</f>
        <v>LISTICLE</v>
      </c>
      <c r="E402" s="11" t="str">
        <f>IFERROR(__xludf.DUMMYFUNCTION("""COMPUTED_VALUE"""),"OTHER")</f>
        <v>OTHER</v>
      </c>
      <c r="F402" s="11" t="str">
        <f>IFERROR(__xludf.DUMMYFUNCTION("""COMPUTED_VALUE"""),"Listicle")</f>
        <v>Listicle</v>
      </c>
      <c r="G402" s="11" t="b">
        <f>IFERROR(__xludf.DUMMYFUNCTION("""COMPUTED_VALUE"""),FALSE)</f>
        <v>0</v>
      </c>
      <c r="H402" s="11" t="str">
        <f>IFERROR(__xludf.DUMMYFUNCTION("""COMPUTED_VALUE"""),"WebFX, Directive Consulting, Brainlabs, Siege Media")</f>
        <v>WebFX, Directive Consulting, Brainlabs, Siege Media</v>
      </c>
      <c r="I402" s="11">
        <f>IFERROR(__xludf.DUMMYFUNCTION("""COMPUTED_VALUE"""),1.0)</f>
        <v>1</v>
      </c>
      <c r="J402" s="11">
        <f>IFERROR(__xludf.DUMMYFUNCTION("""COMPUTED_VALUE"""),0.0)</f>
        <v>0</v>
      </c>
      <c r="K402" s="11">
        <f>IFERROR(__xludf.DUMMYFUNCTION("""COMPUTED_VALUE"""),0.0)</f>
        <v>0</v>
      </c>
    </row>
    <row r="403" ht="15.75" customHeight="1">
      <c r="A403" s="8" t="str">
        <f>IFERROR(__xludf.DUMMYFUNCTION("""COMPUTED_VALUE"""),"https://www.seoworks.com/lists/the-20-best-geo-agencies/")</f>
        <v>https://www.seoworks.com/lists/the-20-best-geo-agencies/</v>
      </c>
      <c r="B403" s="11" t="str">
        <f>IFERROR(__xludf.DUMMYFUNCTION("""COMPUTED_VALUE"""),"20 Best GEO Agencies (2026) | The SEO Works")</f>
        <v>20 Best GEO Agencies (2026) | The SEO Works</v>
      </c>
      <c r="C403" s="8" t="str">
        <f>IFERROR(__xludf.DUMMYFUNCTION("""COMPUTED_VALUE"""),"seoworks.com")</f>
        <v>seoworks.com</v>
      </c>
      <c r="D403" s="11" t="str">
        <f>IFERROR(__xludf.DUMMYFUNCTION("""COMPUTED_VALUE"""),"LISTICLE")</f>
        <v>LISTICLE</v>
      </c>
      <c r="E403" s="11" t="str">
        <f>IFERROR(__xludf.DUMMYFUNCTION("""COMPUTED_VALUE"""),"CORPORATE")</f>
        <v>CORPORATE</v>
      </c>
      <c r="F403" s="11" t="str">
        <f>IFERROR(__xludf.DUMMYFUNCTION("""COMPUTED_VALUE"""),"Listicle")</f>
        <v>Listicle</v>
      </c>
      <c r="G403" s="11" t="b">
        <f>IFERROR(__xludf.DUMMYFUNCTION("""COMPUTED_VALUE"""),FALSE)</f>
        <v>0</v>
      </c>
      <c r="H403" s="11" t="str">
        <f>IFERROR(__xludf.DUMMYFUNCTION("""COMPUTED_VALUE"""),"Omniscient Digital, Pilot")</f>
        <v>Omniscient Digital, Pilot</v>
      </c>
      <c r="I403" s="11">
        <f>IFERROR(__xludf.DUMMYFUNCTION("""COMPUTED_VALUE"""),1.0)</f>
        <v>1</v>
      </c>
      <c r="J403" s="11">
        <f>IFERROR(__xludf.DUMMYFUNCTION("""COMPUTED_VALUE"""),0.0)</f>
        <v>0</v>
      </c>
      <c r="K403" s="11">
        <f>IFERROR(__xludf.DUMMYFUNCTION("""COMPUTED_VALUE"""),0.0)</f>
        <v>0</v>
      </c>
    </row>
    <row r="404" ht="15.75" customHeight="1">
      <c r="A404" s="8" t="str">
        <f>IFERROR(__xludf.DUMMYFUNCTION("""COMPUTED_VALUE"""),"https://seranking.com/de/blog/beste-ki-seo-agenturen/")</f>
        <v>https://seranking.com/de/blog/beste-ki-seo-agenturen/</v>
      </c>
      <c r="B404" s="11" t="str">
        <f>IFERROR(__xludf.DUMMYFUNCTION("""COMPUTED_VALUE"""),"Die besten KI SEO-Agenturen 2026")</f>
        <v>Die besten KI SEO-Agenturen 2026</v>
      </c>
      <c r="C404" s="8" t="str">
        <f>IFERROR(__xludf.DUMMYFUNCTION("""COMPUTED_VALUE"""),"seranking.com")</f>
        <v>seranking.com</v>
      </c>
      <c r="D404" s="11" t="str">
        <f>IFERROR(__xludf.DUMMYFUNCTION("""COMPUTED_VALUE"""),"LISTICLE")</f>
        <v>LISTICLE</v>
      </c>
      <c r="E404" s="11" t="str">
        <f>IFERROR(__xludf.DUMMYFUNCTION("""COMPUTED_VALUE"""),"CORPORATE")</f>
        <v>CORPORATE</v>
      </c>
      <c r="F404" s="11" t="str">
        <f>IFERROR(__xludf.DUMMYFUNCTION("""COMPUTED_VALUE"""),"Listicle")</f>
        <v>Listicle</v>
      </c>
      <c r="G404" s="11" t="b">
        <f>IFERROR(__xludf.DUMMYFUNCTION("""COMPUTED_VALUE"""),FALSE)</f>
        <v>0</v>
      </c>
      <c r="H404" s="11"/>
      <c r="I404" s="11">
        <f>IFERROR(__xludf.DUMMYFUNCTION("""COMPUTED_VALUE"""),1.0)</f>
        <v>1</v>
      </c>
      <c r="J404" s="11">
        <f>IFERROR(__xludf.DUMMYFUNCTION("""COMPUTED_VALUE"""),0.0)</f>
        <v>0</v>
      </c>
      <c r="K404" s="11">
        <f>IFERROR(__xludf.DUMMYFUNCTION("""COMPUTED_VALUE"""),0.0)</f>
        <v>0</v>
      </c>
    </row>
    <row r="405" ht="15.75" customHeight="1">
      <c r="A405" s="8" t="str">
        <f>IFERROR(__xludf.DUMMYFUNCTION("""COMPUTED_VALUE"""),"https://www.siegemedia.com/strategy/best-content-marketing-agencies")</f>
        <v>https://www.siegemedia.com/strategy/best-content-marketing-agencies</v>
      </c>
      <c r="B405" s="11" t="str">
        <f>IFERROR(__xludf.DUMMYFUNCTION("""COMPUTED_VALUE"""),"The 13 Best Content Marketing Agencies in 2026")</f>
        <v>The 13 Best Content Marketing Agencies in 2026</v>
      </c>
      <c r="C405" s="8" t="str">
        <f>IFERROR(__xludf.DUMMYFUNCTION("""COMPUTED_VALUE"""),"siegemedia.com")</f>
        <v>siegemedia.com</v>
      </c>
      <c r="D405" s="11" t="str">
        <f>IFERROR(__xludf.DUMMYFUNCTION("""COMPUTED_VALUE"""),"LISTICLE")</f>
        <v>LISTICLE</v>
      </c>
      <c r="E405" s="11" t="str">
        <f>IFERROR(__xludf.DUMMYFUNCTION("""COMPUTED_VALUE"""),"COMPETITOR")</f>
        <v>COMPETITOR</v>
      </c>
      <c r="F405" s="11" t="str">
        <f>IFERROR(__xludf.DUMMYFUNCTION("""COMPUTED_VALUE"""),"Listicle")</f>
        <v>Listicle</v>
      </c>
      <c r="G405" s="11" t="b">
        <f>IFERROR(__xludf.DUMMYFUNCTION("""COMPUTED_VALUE"""),FALSE)</f>
        <v>0</v>
      </c>
      <c r="H405" s="11" t="str">
        <f>IFERROR(__xludf.DUMMYFUNCTION("""COMPUTED_VALUE"""),"Siege Media, Power Digital, Single Grain, McKinsey &amp; Company")</f>
        <v>Siege Media, Power Digital, Single Grain, McKinsey &amp; Company</v>
      </c>
      <c r="I405" s="11">
        <f>IFERROR(__xludf.DUMMYFUNCTION("""COMPUTED_VALUE"""),1.0)</f>
        <v>1</v>
      </c>
      <c r="J405" s="11">
        <f>IFERROR(__xludf.DUMMYFUNCTION("""COMPUTED_VALUE"""),0.0)</f>
        <v>0</v>
      </c>
      <c r="K405" s="11">
        <f>IFERROR(__xludf.DUMMYFUNCTION("""COMPUTED_VALUE"""),0.0)</f>
        <v>0</v>
      </c>
    </row>
    <row r="406" ht="15.75" customHeight="1">
      <c r="A406" s="8" t="str">
        <f>IFERROR(__xludf.DUMMYFUNCTION("""COMPUTED_VALUE"""),"https://www.singlegrain.com/artificial-intelligence/top-14-ai-marketing-agencies-in-2025/")</f>
        <v>https://www.singlegrain.com/artificial-intelligence/top-14-ai-marketing-agencies-in-2025/</v>
      </c>
      <c r="B406" s="11" t="str">
        <f>IFERROR(__xludf.DUMMYFUNCTION("""COMPUTED_VALUE"""),"Top 14 AI Marketing Agencies in 2025: Expert Analysis &amp;amp; Rankings")</f>
        <v>Top 14 AI Marketing Agencies in 2025: Expert Analysis &amp;amp; Rankings</v>
      </c>
      <c r="C406" s="8" t="str">
        <f>IFERROR(__xludf.DUMMYFUNCTION("""COMPUTED_VALUE"""),"singlegrain.com")</f>
        <v>singlegrain.com</v>
      </c>
      <c r="D406" s="11" t="str">
        <f>IFERROR(__xludf.DUMMYFUNCTION("""COMPUTED_VALUE"""),"LISTICLE")</f>
        <v>LISTICLE</v>
      </c>
      <c r="E406" s="11" t="str">
        <f>IFERROR(__xludf.DUMMYFUNCTION("""COMPUTED_VALUE"""),"COMPETITOR")</f>
        <v>COMPETITOR</v>
      </c>
      <c r="F406" s="11" t="str">
        <f>IFERROR(__xludf.DUMMYFUNCTION("""COMPUTED_VALUE"""),"Listicle")</f>
        <v>Listicle</v>
      </c>
      <c r="G406" s="11" t="b">
        <f>IFERROR(__xludf.DUMMYFUNCTION("""COMPUTED_VALUE"""),FALSE)</f>
        <v>0</v>
      </c>
      <c r="H406" s="11" t="str">
        <f>IFERROR(__xludf.DUMMYFUNCTION("""COMPUTED_VALUE"""),"Single Grain, Superside, Pilot")</f>
        <v>Single Grain, Superside, Pilot</v>
      </c>
      <c r="I406" s="11">
        <f>IFERROR(__xludf.DUMMYFUNCTION("""COMPUTED_VALUE"""),1.0)</f>
        <v>1</v>
      </c>
      <c r="J406" s="11">
        <f>IFERROR(__xludf.DUMMYFUNCTION("""COMPUTED_VALUE"""),0.0)</f>
        <v>0</v>
      </c>
      <c r="K406" s="11">
        <f>IFERROR(__xludf.DUMMYFUNCTION("""COMPUTED_VALUE"""),0.0)</f>
        <v>0</v>
      </c>
    </row>
    <row r="407" ht="15.75" customHeight="1">
      <c r="A407" s="8" t="str">
        <f>IFERROR(__xludf.DUMMYFUNCTION("""COMPUTED_VALUE"""),"https://www.sixpathsconsulting.com/top-ai-consulting-companies/")</f>
        <v>https://www.sixpathsconsulting.com/top-ai-consulting-companies/</v>
      </c>
      <c r="B407" s="11" t="str">
        <f>IFERROR(__xludf.DUMMYFUNCTION("""COMPUTED_VALUE"""),"Top 7 AI Consulting Companies to Watch in 2026 - Six Paths Consulting")</f>
        <v>Top 7 AI Consulting Companies to Watch in 2026 - Six Paths Consulting</v>
      </c>
      <c r="C407" s="8" t="str">
        <f>IFERROR(__xludf.DUMMYFUNCTION("""COMPUTED_VALUE"""),"sixpathsconsulting.com")</f>
        <v>sixpathsconsulting.com</v>
      </c>
      <c r="D407" s="11" t="str">
        <f>IFERROR(__xludf.DUMMYFUNCTION("""COMPUTED_VALUE"""),"LISTICLE")</f>
        <v>LISTICLE</v>
      </c>
      <c r="E407" s="11" t="str">
        <f>IFERROR(__xludf.DUMMYFUNCTION("""COMPUTED_VALUE"""),"CORPORATE")</f>
        <v>CORPORATE</v>
      </c>
      <c r="F407" s="11" t="str">
        <f>IFERROR(__xludf.DUMMYFUNCTION("""COMPUTED_VALUE"""),"Listicle")</f>
        <v>Listicle</v>
      </c>
      <c r="G407" s="11" t="b">
        <f>IFERROR(__xludf.DUMMYFUNCTION("""COMPUTED_VALUE"""),FALSE)</f>
        <v>0</v>
      </c>
      <c r="H407" s="11" t="str">
        <f>IFERROR(__xludf.DUMMYFUNCTION("""COMPUTED_VALUE"""),"Pilot")</f>
        <v>Pilot</v>
      </c>
      <c r="I407" s="11">
        <f>IFERROR(__xludf.DUMMYFUNCTION("""COMPUTED_VALUE"""),1.0)</f>
        <v>1</v>
      </c>
      <c r="J407" s="11">
        <f>IFERROR(__xludf.DUMMYFUNCTION("""COMPUTED_VALUE"""),0.0)</f>
        <v>0</v>
      </c>
      <c r="K407" s="11">
        <f>IFERROR(__xludf.DUMMYFUNCTION("""COMPUTED_VALUE"""),0.0)</f>
        <v>0</v>
      </c>
    </row>
    <row r="408" ht="15.75" customHeight="1">
      <c r="A408" s="8" t="str">
        <f>IFERROR(__xludf.DUMMYFUNCTION("""COMPUTED_VALUE"""),"https://socialsamurai.de/blog/top-marketing-branding-agenturen-deutschlands/")</f>
        <v>https://socialsamurai.de/blog/top-marketing-branding-agenturen-deutschlands/</v>
      </c>
      <c r="B408" s="11" t="str">
        <f>IFERROR(__xludf.DUMMYFUNCTION("""COMPUTED_VALUE"""),"Top Marketing &amp;amp; Branding Agenturen Deutschlands | socialsamurai")</f>
        <v>Top Marketing &amp;amp; Branding Agenturen Deutschlands | socialsamurai</v>
      </c>
      <c r="C408" s="8" t="str">
        <f>IFERROR(__xludf.DUMMYFUNCTION("""COMPUTED_VALUE"""),"socialsamurai.de")</f>
        <v>socialsamurai.de</v>
      </c>
      <c r="D408" s="11" t="str">
        <f>IFERROR(__xludf.DUMMYFUNCTION("""COMPUTED_VALUE"""),"LISTICLE")</f>
        <v>LISTICLE</v>
      </c>
      <c r="E408" s="11" t="str">
        <f>IFERROR(__xludf.DUMMYFUNCTION("""COMPUTED_VALUE"""),"CORPORATE")</f>
        <v>CORPORATE</v>
      </c>
      <c r="F408" s="11" t="str">
        <f>IFERROR(__xludf.DUMMYFUNCTION("""COMPUTED_VALUE"""),"Listicle")</f>
        <v>Listicle</v>
      </c>
      <c r="G408" s="11" t="b">
        <f>IFERROR(__xludf.DUMMYFUNCTION("""COMPUTED_VALUE"""),FALSE)</f>
        <v>0</v>
      </c>
      <c r="H408" s="11" t="str">
        <f>IFERROR(__xludf.DUMMYFUNCTION("""COMPUTED_VALUE"""),"Serviceplan Group, Jung von Matt, Scholz &amp; Friends, Ogilvy, DDB Germany, Accenture Song, DEPT")</f>
        <v>Serviceplan Group, Jung von Matt, Scholz &amp; Friends, Ogilvy, DDB Germany, Accenture Song, DEPT</v>
      </c>
      <c r="I408" s="11">
        <f>IFERROR(__xludf.DUMMYFUNCTION("""COMPUTED_VALUE"""),1.0)</f>
        <v>1</v>
      </c>
      <c r="J408" s="11">
        <f>IFERROR(__xludf.DUMMYFUNCTION("""COMPUTED_VALUE"""),0.0)</f>
        <v>0</v>
      </c>
      <c r="K408" s="11">
        <f>IFERROR(__xludf.DUMMYFUNCTION("""COMPUTED_VALUE"""),0.0)</f>
        <v>0</v>
      </c>
    </row>
    <row r="409" ht="15.75" customHeight="1">
      <c r="A409" s="8" t="str">
        <f>IFERROR(__xludf.DUMMYFUNCTION("""COMPUTED_VALUE"""),"https://www.soenkesproll.de/blog/die-besten-social-media-agenturen")</f>
        <v>https://www.soenkesproll.de/blog/die-besten-social-media-agenturen</v>
      </c>
      <c r="B409" s="11" t="str">
        <f>IFERROR(__xludf.DUMMYFUNCTION("""COMPUTED_VALUE"""),"Top 5 Social Media Agenturen in Deutschland 2026 | Sönke Sproll")</f>
        <v>Top 5 Social Media Agenturen in Deutschland 2026 | Sönke Sproll</v>
      </c>
      <c r="C409" s="8" t="str">
        <f>IFERROR(__xludf.DUMMYFUNCTION("""COMPUTED_VALUE"""),"soenkesproll.de")</f>
        <v>soenkesproll.de</v>
      </c>
      <c r="D409" s="11" t="str">
        <f>IFERROR(__xludf.DUMMYFUNCTION("""COMPUTED_VALUE"""),"LISTICLE")</f>
        <v>LISTICLE</v>
      </c>
      <c r="E409" s="11" t="str">
        <f>IFERROR(__xludf.DUMMYFUNCTION("""COMPUTED_VALUE"""),"CORPORATE")</f>
        <v>CORPORATE</v>
      </c>
      <c r="F409" s="11" t="str">
        <f>IFERROR(__xludf.DUMMYFUNCTION("""COMPUTED_VALUE"""),"Listicle")</f>
        <v>Listicle</v>
      </c>
      <c r="G409" s="11" t="b">
        <f>IFERROR(__xludf.DUMMYFUNCTION("""COMPUTED_VALUE"""),FALSE)</f>
        <v>0</v>
      </c>
      <c r="H409" s="11" t="str">
        <f>IFERROR(__xludf.DUMMYFUNCTION("""COMPUTED_VALUE"""),"Mawave")</f>
        <v>Mawave</v>
      </c>
      <c r="I409" s="11">
        <f>IFERROR(__xludf.DUMMYFUNCTION("""COMPUTED_VALUE"""),1.0)</f>
        <v>1</v>
      </c>
      <c r="J409" s="11">
        <f>IFERROR(__xludf.DUMMYFUNCTION("""COMPUTED_VALUE"""),0.0)</f>
        <v>0</v>
      </c>
      <c r="K409" s="11">
        <f>IFERROR(__xludf.DUMMYFUNCTION("""COMPUTED_VALUE"""),0.0)</f>
        <v>0</v>
      </c>
    </row>
    <row r="410" ht="15.75" customHeight="1">
      <c r="A410" s="8" t="str">
        <f>IFERROR(__xludf.DUMMYFUNCTION("""COMPUTED_VALUE"""),"https://sourceforge.net/software/incrementality-testing/europe/")</f>
        <v>https://sourceforge.net/software/incrementality-testing/europe/</v>
      </c>
      <c r="B410" s="11" t="str">
        <f>IFERROR(__xludf.DUMMYFUNCTION("""COMPUTED_VALUE"""),"Best Incrementality Testing Tools in Europe of 2026 - Reviews &amp;amp; Comparison")</f>
        <v>Best Incrementality Testing Tools in Europe of 2026 - Reviews &amp;amp; Comparison</v>
      </c>
      <c r="C410" s="8" t="str">
        <f>IFERROR(__xludf.DUMMYFUNCTION("""COMPUTED_VALUE"""),"sourceforge.net")</f>
        <v>sourceforge.net</v>
      </c>
      <c r="D410" s="11" t="str">
        <f>IFERROR(__xludf.DUMMYFUNCTION("""COMPUTED_VALUE"""),"LISTICLE")</f>
        <v>LISTICLE</v>
      </c>
      <c r="E410" s="11" t="str">
        <f>IFERROR(__xludf.DUMMYFUNCTION("""COMPUTED_VALUE"""),"OTHER")</f>
        <v>OTHER</v>
      </c>
      <c r="F410" s="11" t="str">
        <f>IFERROR(__xludf.DUMMYFUNCTION("""COMPUTED_VALUE"""),"Listicle")</f>
        <v>Listicle</v>
      </c>
      <c r="G410" s="11" t="b">
        <f>IFERROR(__xludf.DUMMYFUNCTION("""COMPUTED_VALUE"""),FALSE)</f>
        <v>0</v>
      </c>
      <c r="H410" s="11" t="str">
        <f>IFERROR(__xludf.DUMMYFUNCTION("""COMPUTED_VALUE"""),"Measured, LifeSight, Sellforte, Rockerbox, Recast, Haus, Analytic Partners")</f>
        <v>Measured, LifeSight, Sellforte, Rockerbox, Recast, Haus, Analytic Partners</v>
      </c>
      <c r="I410" s="11">
        <f>IFERROR(__xludf.DUMMYFUNCTION("""COMPUTED_VALUE"""),1.0)</f>
        <v>1</v>
      </c>
      <c r="J410" s="11">
        <f>IFERROR(__xludf.DUMMYFUNCTION("""COMPUTED_VALUE"""),0.0)</f>
        <v>0</v>
      </c>
      <c r="K410" s="11">
        <f>IFERROR(__xludf.DUMMYFUNCTION("""COMPUTED_VALUE"""),0.0)</f>
        <v>0</v>
      </c>
    </row>
    <row r="411" ht="15.75" customHeight="1">
      <c r="A411" s="8" t="str">
        <f>IFERROR(__xludf.DUMMYFUNCTION("""COMPUTED_VALUE"""),"https://strativera.com/insights/best-seo-aeo-geo-marketing-agencies/")</f>
        <v>https://strativera.com/insights/best-seo-aeo-geo-marketing-agencies/</v>
      </c>
      <c r="B411" s="11" t="str">
        <f>IFERROR(__xludf.DUMMYFUNCTION("""COMPUTED_VALUE"""),"Best SEO AEO GEO Marketing Agencies: Top Firms (2026)")</f>
        <v>Best SEO AEO GEO Marketing Agencies: Top Firms (2026)</v>
      </c>
      <c r="C411" s="8" t="str">
        <f>IFERROR(__xludf.DUMMYFUNCTION("""COMPUTED_VALUE"""),"strativera.com")</f>
        <v>strativera.com</v>
      </c>
      <c r="D411" s="11" t="str">
        <f>IFERROR(__xludf.DUMMYFUNCTION("""COMPUTED_VALUE"""),"LISTICLE")</f>
        <v>LISTICLE</v>
      </c>
      <c r="E411" s="11" t="str">
        <f>IFERROR(__xludf.DUMMYFUNCTION("""COMPUTED_VALUE"""),"CORPORATE")</f>
        <v>CORPORATE</v>
      </c>
      <c r="F411" s="11" t="str">
        <f>IFERROR(__xludf.DUMMYFUNCTION("""COMPUTED_VALUE"""),"Listicle")</f>
        <v>Listicle</v>
      </c>
      <c r="G411" s="11" t="b">
        <f>IFERROR(__xludf.DUMMYFUNCTION("""COMPUTED_VALUE"""),FALSE)</f>
        <v>0</v>
      </c>
      <c r="H411" s="11" t="str">
        <f>IFERROR(__xludf.DUMMYFUNCTION("""COMPUTED_VALUE"""),"WebFX")</f>
        <v>WebFX</v>
      </c>
      <c r="I411" s="11">
        <f>IFERROR(__xludf.DUMMYFUNCTION("""COMPUTED_VALUE"""),1.0)</f>
        <v>1</v>
      </c>
      <c r="J411" s="11">
        <f>IFERROR(__xludf.DUMMYFUNCTION("""COMPUTED_VALUE"""),0.0)</f>
        <v>0</v>
      </c>
      <c r="K411" s="11">
        <f>IFERROR(__xludf.DUMMYFUNCTION("""COMPUTED_VALUE"""),2.0)</f>
        <v>2</v>
      </c>
    </row>
    <row r="412" ht="15.75" customHeight="1">
      <c r="A412" s="8" t="str">
        <f>IFERROR(__xludf.DUMMYFUNCTION("""COMPUTED_VALUE"""),"https://www.suchhelden.de/beste-geo-agenturen-deutschlands.php")</f>
        <v>https://www.suchhelden.de/beste-geo-agenturen-deutschlands.php</v>
      </c>
      <c r="B412" s="11" t="str">
        <f>IFERROR(__xludf.DUMMYFUNCTION("""COMPUTED_VALUE"""),"Beste GEO-Agenturen 2026: Top-Liste für KI-Sichtbarkeit")</f>
        <v>Beste GEO-Agenturen 2026: Top-Liste für KI-Sichtbarkeit</v>
      </c>
      <c r="C412" s="8" t="str">
        <f>IFERROR(__xludf.DUMMYFUNCTION("""COMPUTED_VALUE"""),"suchhelden.de")</f>
        <v>suchhelden.de</v>
      </c>
      <c r="D412" s="11" t="str">
        <f>IFERROR(__xludf.DUMMYFUNCTION("""COMPUTED_VALUE"""),"LISTICLE")</f>
        <v>LISTICLE</v>
      </c>
      <c r="E412" s="11" t="str">
        <f>IFERROR(__xludf.DUMMYFUNCTION("""COMPUTED_VALUE"""),"COMPETITOR")</f>
        <v>COMPETITOR</v>
      </c>
      <c r="F412" s="11" t="str">
        <f>IFERROR(__xludf.DUMMYFUNCTION("""COMPUTED_VALUE"""),"Listicle")</f>
        <v>Listicle</v>
      </c>
      <c r="G412" s="11" t="b">
        <f>IFERROR(__xludf.DUMMYFUNCTION("""COMPUTED_VALUE"""),FALSE)</f>
        <v>0</v>
      </c>
      <c r="H412" s="11" t="str">
        <f>IFERROR(__xludf.DUMMYFUNCTION("""COMPUTED_VALUE"""),"Suchhelden, Aufgesang, Claneo, iPullRank, WebFX, Omnius")</f>
        <v>Suchhelden, Aufgesang, Claneo, iPullRank, WebFX, Omnius</v>
      </c>
      <c r="I412" s="11">
        <f>IFERROR(__xludf.DUMMYFUNCTION("""COMPUTED_VALUE"""),1.0)</f>
        <v>1</v>
      </c>
      <c r="J412" s="11">
        <f>IFERROR(__xludf.DUMMYFUNCTION("""COMPUTED_VALUE"""),0.0)</f>
        <v>0</v>
      </c>
      <c r="K412" s="11">
        <f>IFERROR(__xludf.DUMMYFUNCTION("""COMPUTED_VALUE"""),2.0)</f>
        <v>2</v>
      </c>
    </row>
    <row r="413" ht="15.75" customHeight="1">
      <c r="A413" s="8" t="str">
        <f>IFERROR(__xludf.DUMMYFUNCTION("""COMPUTED_VALUE"""),"https://superbcompanies.com/categories/advertising-agencies-in-germany/")</f>
        <v>https://superbcompanies.com/categories/advertising-agencies-in-germany/</v>
      </c>
      <c r="B413" s="11" t="str">
        <f>IFERROR(__xludf.DUMMYFUNCTION("""COMPUTED_VALUE"""),"Top 20 Advertising Agencies in Germany - Jul 2026 | Ranking | SuperbCompanies")</f>
        <v>Top 20 Advertising Agencies in Germany - Jul 2026 | Ranking | SuperbCompanies</v>
      </c>
      <c r="C413" s="8" t="str">
        <f>IFERROR(__xludf.DUMMYFUNCTION("""COMPUTED_VALUE"""),"superbcompanies.com")</f>
        <v>superbcompanies.com</v>
      </c>
      <c r="D413" s="11" t="str">
        <f>IFERROR(__xludf.DUMMYFUNCTION("""COMPUTED_VALUE"""),"LISTICLE")</f>
        <v>LISTICLE</v>
      </c>
      <c r="E413" s="11" t="str">
        <f>IFERROR(__xludf.DUMMYFUNCTION("""COMPUTED_VALUE"""),"REFERENCE")</f>
        <v>REFERENCE</v>
      </c>
      <c r="F413" s="11" t="str">
        <f>IFERROR(__xludf.DUMMYFUNCTION("""COMPUTED_VALUE"""),"Listicle")</f>
        <v>Listicle</v>
      </c>
      <c r="G413" s="11" t="b">
        <f>IFERROR(__xludf.DUMMYFUNCTION("""COMPUTED_VALUE"""),FALSE)</f>
        <v>0</v>
      </c>
      <c r="H413" s="11" t="str">
        <f>IFERROR(__xludf.DUMMYFUNCTION("""COMPUTED_VALUE"""),"KlickPiloten, Mediacharge")</f>
        <v>KlickPiloten, Mediacharge</v>
      </c>
      <c r="I413" s="11">
        <f>IFERROR(__xludf.DUMMYFUNCTION("""COMPUTED_VALUE"""),1.0)</f>
        <v>1</v>
      </c>
      <c r="J413" s="11">
        <f>IFERROR(__xludf.DUMMYFUNCTION("""COMPUTED_VALUE"""),0.0)</f>
        <v>0</v>
      </c>
      <c r="K413" s="11">
        <f>IFERROR(__xludf.DUMMYFUNCTION("""COMPUTED_VALUE"""),1.0)</f>
        <v>1</v>
      </c>
    </row>
    <row r="414" ht="15.75" customHeight="1">
      <c r="A414" s="8" t="str">
        <f>IFERROR(__xludf.DUMMYFUNCTION("""COMPUTED_VALUE"""),"https://www.superside.com/blog/ad-creative-agencies")</f>
        <v>https://www.superside.com/blog/ad-creative-agencies</v>
      </c>
      <c r="B414" s="11" t="str">
        <f>IFERROR(__xludf.DUMMYFUNCTION("""COMPUTED_VALUE"""),"12 Top Ad Creative Agencies for Enterprises &amp;amp; Brands (2026)")</f>
        <v>12 Top Ad Creative Agencies for Enterprises &amp;amp; Brands (2026)</v>
      </c>
      <c r="C414" s="8" t="str">
        <f>IFERROR(__xludf.DUMMYFUNCTION("""COMPUTED_VALUE"""),"superside.com")</f>
        <v>superside.com</v>
      </c>
      <c r="D414" s="11" t="str">
        <f>IFERROR(__xludf.DUMMYFUNCTION("""COMPUTED_VALUE"""),"LISTICLE")</f>
        <v>LISTICLE</v>
      </c>
      <c r="E414" s="11" t="str">
        <f>IFERROR(__xludf.DUMMYFUNCTION("""COMPUTED_VALUE"""),"COMPETITOR")</f>
        <v>COMPETITOR</v>
      </c>
      <c r="F414" s="11" t="str">
        <f>IFERROR(__xludf.DUMMYFUNCTION("""COMPUTED_VALUE"""),"Listicle")</f>
        <v>Listicle</v>
      </c>
      <c r="G414" s="11" t="b">
        <f>IFERROR(__xludf.DUMMYFUNCTION("""COMPUTED_VALUE"""),FALSE)</f>
        <v>0</v>
      </c>
      <c r="H414" s="11" t="str">
        <f>IFERROR(__xludf.DUMMYFUNCTION("""COMPUTED_VALUE"""),"Superside, Ogilvy, Accenture Song")</f>
        <v>Superside, Ogilvy, Accenture Song</v>
      </c>
      <c r="I414" s="11">
        <f>IFERROR(__xludf.DUMMYFUNCTION("""COMPUTED_VALUE"""),1.0)</f>
        <v>1</v>
      </c>
      <c r="J414" s="11">
        <f>IFERROR(__xludf.DUMMYFUNCTION("""COMPUTED_VALUE"""),0.0)</f>
        <v>0</v>
      </c>
      <c r="K414" s="11">
        <f>IFERROR(__xludf.DUMMYFUNCTION("""COMPUTED_VALUE"""),1.0)</f>
        <v>1</v>
      </c>
    </row>
    <row r="415" ht="15.75" customHeight="1">
      <c r="A415" s="8" t="str">
        <f>IFERROR(__xludf.DUMMYFUNCTION("""COMPUTED_VALUE"""),"https://www.superside.com/blog/ai-powered-agencies")</f>
        <v>https://www.superside.com/blog/ai-powered-agencies</v>
      </c>
      <c r="B415" s="11" t="str">
        <f>IFERROR(__xludf.DUMMYFUNCTION("""COMPUTED_VALUE"""),"10 AI-Powered Agencies Blending Automation and Creativity in 2026")</f>
        <v>10 AI-Powered Agencies Blending Automation and Creativity in 2026</v>
      </c>
      <c r="C415" s="8" t="str">
        <f>IFERROR(__xludf.DUMMYFUNCTION("""COMPUTED_VALUE"""),"superside.com")</f>
        <v>superside.com</v>
      </c>
      <c r="D415" s="11" t="str">
        <f>IFERROR(__xludf.DUMMYFUNCTION("""COMPUTED_VALUE"""),"LISTICLE")</f>
        <v>LISTICLE</v>
      </c>
      <c r="E415" s="11" t="str">
        <f>IFERROR(__xludf.DUMMYFUNCTION("""COMPUTED_VALUE"""),"COMPETITOR")</f>
        <v>COMPETITOR</v>
      </c>
      <c r="F415" s="11" t="str">
        <f>IFERROR(__xludf.DUMMYFUNCTION("""COMPUTED_VALUE"""),"Listicle")</f>
        <v>Listicle</v>
      </c>
      <c r="G415" s="11" t="b">
        <f>IFERROR(__xludf.DUMMYFUNCTION("""COMPUTED_VALUE"""),FALSE)</f>
        <v>0</v>
      </c>
      <c r="H415" s="11" t="str">
        <f>IFERROR(__xludf.DUMMYFUNCTION("""COMPUTED_VALUE"""),"Superside, PwC, Jellyfish, Brandtech, NoGood")</f>
        <v>Superside, PwC, Jellyfish, Brandtech, NoGood</v>
      </c>
      <c r="I415" s="11">
        <f>IFERROR(__xludf.DUMMYFUNCTION("""COMPUTED_VALUE"""),1.0)</f>
        <v>1</v>
      </c>
      <c r="J415" s="11">
        <f>IFERROR(__xludf.DUMMYFUNCTION("""COMPUTED_VALUE"""),0.0)</f>
        <v>0</v>
      </c>
      <c r="K415" s="11">
        <f>IFERROR(__xludf.DUMMYFUNCTION("""COMPUTED_VALUE"""),0.0)</f>
        <v>0</v>
      </c>
    </row>
    <row r="416" ht="15.75" customHeight="1">
      <c r="A416" s="8" t="str">
        <f>IFERROR(__xludf.DUMMYFUNCTION("""COMPUTED_VALUE"""),"https://www.superside.com/blog/creative-strategy-agencies-examples")</f>
        <v>https://www.superside.com/blog/creative-strategy-agencies-examples</v>
      </c>
      <c r="B416" s="11" t="str">
        <f>IFERROR(__xludf.DUMMYFUNCTION("""COMPUTED_VALUE"""),"5 Best Creative Strategy Agencies (5+ Top Campaign Examples)")</f>
        <v>5 Best Creative Strategy Agencies (5+ Top Campaign Examples)</v>
      </c>
      <c r="C416" s="8" t="str">
        <f>IFERROR(__xludf.DUMMYFUNCTION("""COMPUTED_VALUE"""),"superside.com")</f>
        <v>superside.com</v>
      </c>
      <c r="D416" s="11" t="str">
        <f>IFERROR(__xludf.DUMMYFUNCTION("""COMPUTED_VALUE"""),"LISTICLE")</f>
        <v>LISTICLE</v>
      </c>
      <c r="E416" s="11" t="str">
        <f>IFERROR(__xludf.DUMMYFUNCTION("""COMPUTED_VALUE"""),"COMPETITOR")</f>
        <v>COMPETITOR</v>
      </c>
      <c r="F416" s="11" t="str">
        <f>IFERROR(__xludf.DUMMYFUNCTION("""COMPUTED_VALUE"""),"Listicle")</f>
        <v>Listicle</v>
      </c>
      <c r="G416" s="11" t="b">
        <f>IFERROR(__xludf.DUMMYFUNCTION("""COMPUTED_VALUE"""),FALSE)</f>
        <v>0</v>
      </c>
      <c r="H416" s="11" t="str">
        <f>IFERROR(__xludf.DUMMYFUNCTION("""COMPUTED_VALUE"""),"Superside, Momentum, Pilot")</f>
        <v>Superside, Momentum, Pilot</v>
      </c>
      <c r="I416" s="11">
        <f>IFERROR(__xludf.DUMMYFUNCTION("""COMPUTED_VALUE"""),1.0)</f>
        <v>1</v>
      </c>
      <c r="J416" s="11">
        <f>IFERROR(__xludf.DUMMYFUNCTION("""COMPUTED_VALUE"""),0.0)</f>
        <v>0</v>
      </c>
      <c r="K416" s="11">
        <f>IFERROR(__xludf.DUMMYFUNCTION("""COMPUTED_VALUE"""),1.0)</f>
        <v>1</v>
      </c>
    </row>
    <row r="417" ht="15.75" customHeight="1">
      <c r="A417" s="8" t="str">
        <f>IFERROR(__xludf.DUMMYFUNCTION("""COMPUTED_VALUE"""),"https://syncgtm.com/blog/best-gtm-agencies-in-germany")</f>
        <v>https://syncgtm.com/blog/best-gtm-agencies-in-germany</v>
      </c>
      <c r="B417" s="11" t="str">
        <f>IFERROR(__xludf.DUMMYFUNCTION("""COMPUTED_VALUE"""),"6 Best GTM Agencies in Germany for Enterprise B2B (2026) | SyncGTM | SyncGTM")</f>
        <v>6 Best GTM Agencies in Germany for Enterprise B2B (2026) | SyncGTM | SyncGTM</v>
      </c>
      <c r="C417" s="8" t="str">
        <f>IFERROR(__xludf.DUMMYFUNCTION("""COMPUTED_VALUE"""),"syncgtm.com")</f>
        <v>syncgtm.com</v>
      </c>
      <c r="D417" s="11" t="str">
        <f>IFERROR(__xludf.DUMMYFUNCTION("""COMPUTED_VALUE"""),"LISTICLE")</f>
        <v>LISTICLE</v>
      </c>
      <c r="E417" s="11" t="str">
        <f>IFERROR(__xludf.DUMMYFUNCTION("""COMPUTED_VALUE"""),"CORPORATE")</f>
        <v>CORPORATE</v>
      </c>
      <c r="F417" s="11" t="str">
        <f>IFERROR(__xludf.DUMMYFUNCTION("""COMPUTED_VALUE"""),"Listicle")</f>
        <v>Listicle</v>
      </c>
      <c r="G417" s="11" t="b">
        <f>IFERROR(__xludf.DUMMYFUNCTION("""COMPUTED_VALUE"""),FALSE)</f>
        <v>0</v>
      </c>
      <c r="H417" s="11" t="str">
        <f>IFERROR(__xludf.DUMMYFUNCTION("""COMPUTED_VALUE"""),"Mediacharge")</f>
        <v>Mediacharge</v>
      </c>
      <c r="I417" s="11">
        <f>IFERROR(__xludf.DUMMYFUNCTION("""COMPUTED_VALUE"""),1.0)</f>
        <v>1</v>
      </c>
      <c r="J417" s="11">
        <f>IFERROR(__xludf.DUMMYFUNCTION("""COMPUTED_VALUE"""),0.0)</f>
        <v>0</v>
      </c>
      <c r="K417" s="11">
        <f>IFERROR(__xludf.DUMMYFUNCTION("""COMPUTED_VALUE"""),0.0)</f>
        <v>0</v>
      </c>
    </row>
    <row r="418" ht="15.75" customHeight="1">
      <c r="A418" s="8" t="str">
        <f>IFERROR(__xludf.DUMMYFUNCTION("""COMPUTED_VALUE"""),"https://teamai.com/blog/generative-ai-and-business/top-geo-agencies-for-ai-visibility/")</f>
        <v>https://teamai.com/blog/generative-ai-and-business/top-geo-agencies-for-ai-visibility/</v>
      </c>
      <c r="B418" s="11" t="str">
        <f>IFERROR(__xludf.DUMMYFUNCTION("""COMPUTED_VALUE"""),"The Best GEO Agencies to Explore in 2026")</f>
        <v>The Best GEO Agencies to Explore in 2026</v>
      </c>
      <c r="C418" s="8" t="str">
        <f>IFERROR(__xludf.DUMMYFUNCTION("""COMPUTED_VALUE"""),"teamai.com")</f>
        <v>teamai.com</v>
      </c>
      <c r="D418" s="11" t="str">
        <f>IFERROR(__xludf.DUMMYFUNCTION("""COMPUTED_VALUE"""),"LISTICLE")</f>
        <v>LISTICLE</v>
      </c>
      <c r="E418" s="11" t="str">
        <f>IFERROR(__xludf.DUMMYFUNCTION("""COMPUTED_VALUE"""),"CORPORATE")</f>
        <v>CORPORATE</v>
      </c>
      <c r="F418" s="11" t="str">
        <f>IFERROR(__xludf.DUMMYFUNCTION("""COMPUTED_VALUE"""),"Listicle")</f>
        <v>Listicle</v>
      </c>
      <c r="G418" s="11" t="b">
        <f>IFERROR(__xludf.DUMMYFUNCTION("""COMPUTED_VALUE"""),FALSE)</f>
        <v>0</v>
      </c>
      <c r="H418" s="11" t="str">
        <f>IFERROR(__xludf.DUMMYFUNCTION("""COMPUTED_VALUE"""),"WebFX, Siege Media")</f>
        <v>WebFX, Siege Media</v>
      </c>
      <c r="I418" s="11">
        <f>IFERROR(__xludf.DUMMYFUNCTION("""COMPUTED_VALUE"""),1.0)</f>
        <v>1</v>
      </c>
      <c r="J418" s="11">
        <f>IFERROR(__xludf.DUMMYFUNCTION("""COMPUTED_VALUE"""),0.0)</f>
        <v>0</v>
      </c>
      <c r="K418" s="11">
        <f>IFERROR(__xludf.DUMMYFUNCTION("""COMPUTED_VALUE"""),0.0)</f>
        <v>0</v>
      </c>
    </row>
    <row r="419" ht="15.75" customHeight="1">
      <c r="A419" s="8" t="str">
        <f>IFERROR(__xludf.DUMMYFUNCTION("""COMPUTED_VALUE"""),"https://tech-now.io/en/blogs/top-10-app-development-companies-in-germany/")</f>
        <v>https://tech-now.io/en/blogs/top-10-app-development-companies-in-germany/</v>
      </c>
      <c r="B419" s="11" t="str">
        <f>IFERROR(__xludf.DUMMYFUNCTION("""COMPUTED_VALUE"""),"Top 10 App Development Companies in Germany - TechNow")</f>
        <v>Top 10 App Development Companies in Germany - TechNow</v>
      </c>
      <c r="C419" s="8" t="str">
        <f>IFERROR(__xludf.DUMMYFUNCTION("""COMPUTED_VALUE"""),"tech-now.io")</f>
        <v>tech-now.io</v>
      </c>
      <c r="D419" s="11" t="str">
        <f>IFERROR(__xludf.DUMMYFUNCTION("""COMPUTED_VALUE"""),"LISTICLE")</f>
        <v>LISTICLE</v>
      </c>
      <c r="E419" s="11" t="str">
        <f>IFERROR(__xludf.DUMMYFUNCTION("""COMPUTED_VALUE"""),"EDITORIAL")</f>
        <v>EDITORIAL</v>
      </c>
      <c r="F419" s="11" t="str">
        <f>IFERROR(__xludf.DUMMYFUNCTION("""COMPUTED_VALUE"""),"Listicle")</f>
        <v>Listicle</v>
      </c>
      <c r="G419" s="11" t="b">
        <f>IFERROR(__xludf.DUMMYFUNCTION("""COMPUTED_VALUE"""),FALSE)</f>
        <v>0</v>
      </c>
      <c r="H419" s="11"/>
      <c r="I419" s="11">
        <f>IFERROR(__xludf.DUMMYFUNCTION("""COMPUTED_VALUE"""),1.0)</f>
        <v>1</v>
      </c>
      <c r="J419" s="11">
        <f>IFERROR(__xludf.DUMMYFUNCTION("""COMPUTED_VALUE"""),0.0)</f>
        <v>0</v>
      </c>
      <c r="K419" s="11">
        <f>IFERROR(__xludf.DUMMYFUNCTION("""COMPUTED_VALUE"""),0.0)</f>
        <v>0</v>
      </c>
    </row>
    <row r="420" ht="15.75" customHeight="1">
      <c r="A420" s="8" t="str">
        <f>IFERROR(__xludf.DUMMYFUNCTION("""COMPUTED_VALUE"""),"https://tech-now.io/en/blogs/top-10-best-it-companies-in-dusseldorf/")</f>
        <v>https://tech-now.io/en/blogs/top-10-best-it-companies-in-dusseldorf/</v>
      </c>
      <c r="B420" s="11" t="str">
        <f>IFERROR(__xludf.DUMMYFUNCTION("""COMPUTED_VALUE"""),"Top 10 Best IT Companies in Düsseldorf (2026) - TechNow")</f>
        <v>Top 10 Best IT Companies in Düsseldorf (2026) - TechNow</v>
      </c>
      <c r="C420" s="8" t="str">
        <f>IFERROR(__xludf.DUMMYFUNCTION("""COMPUTED_VALUE"""),"tech-now.io")</f>
        <v>tech-now.io</v>
      </c>
      <c r="D420" s="11" t="str">
        <f>IFERROR(__xludf.DUMMYFUNCTION("""COMPUTED_VALUE"""),"LISTICLE")</f>
        <v>LISTICLE</v>
      </c>
      <c r="E420" s="11" t="str">
        <f>IFERROR(__xludf.DUMMYFUNCTION("""COMPUTED_VALUE"""),"EDITORIAL")</f>
        <v>EDITORIAL</v>
      </c>
      <c r="F420" s="11" t="str">
        <f>IFERROR(__xludf.DUMMYFUNCTION("""COMPUTED_VALUE"""),"Listicle")</f>
        <v>Listicle</v>
      </c>
      <c r="G420" s="11" t="b">
        <f>IFERROR(__xludf.DUMMYFUNCTION("""COMPUTED_VALUE"""),FALSE)</f>
        <v>0</v>
      </c>
      <c r="H420" s="11" t="str">
        <f>IFERROR(__xludf.DUMMYFUNCTION("""COMPUTED_VALUE"""),"Capgemini")</f>
        <v>Capgemini</v>
      </c>
      <c r="I420" s="11">
        <f>IFERROR(__xludf.DUMMYFUNCTION("""COMPUTED_VALUE"""),1.0)</f>
        <v>1</v>
      </c>
      <c r="J420" s="11">
        <f>IFERROR(__xludf.DUMMYFUNCTION("""COMPUTED_VALUE"""),0.0)</f>
        <v>0</v>
      </c>
      <c r="K420" s="11">
        <f>IFERROR(__xludf.DUMMYFUNCTION("""COMPUTED_VALUE"""),0.0)</f>
        <v>0</v>
      </c>
    </row>
    <row r="421" ht="15.75" customHeight="1">
      <c r="A421" s="8" t="str">
        <f>IFERROR(__xludf.DUMMYFUNCTION("""COMPUTED_VALUE"""),"https://tech.us/blog/top-ai-agent-development-companies-usa")</f>
        <v>https://tech.us/blog/top-ai-agent-development-companies-usa</v>
      </c>
      <c r="B421" s="11" t="str">
        <f>IFERROR(__xludf.DUMMYFUNCTION("""COMPUTED_VALUE"""),"Top 10 Trusted AI Agent Development Companies in USA 2026")</f>
        <v>Top 10 Trusted AI Agent Development Companies in USA 2026</v>
      </c>
      <c r="C421" s="8" t="str">
        <f>IFERROR(__xludf.DUMMYFUNCTION("""COMPUTED_VALUE"""),"tech.us")</f>
        <v>tech.us</v>
      </c>
      <c r="D421" s="11" t="str">
        <f>IFERROR(__xludf.DUMMYFUNCTION("""COMPUTED_VALUE"""),"LISTICLE")</f>
        <v>LISTICLE</v>
      </c>
      <c r="E421" s="11" t="str">
        <f>IFERROR(__xludf.DUMMYFUNCTION("""COMPUTED_VALUE"""),"CORPORATE")</f>
        <v>CORPORATE</v>
      </c>
      <c r="F421" s="11" t="str">
        <f>IFERROR(__xludf.DUMMYFUNCTION("""COMPUTED_VALUE"""),"Listicle")</f>
        <v>Listicle</v>
      </c>
      <c r="G421" s="11" t="b">
        <f>IFERROR(__xludf.DUMMYFUNCTION("""COMPUTED_VALUE"""),FALSE)</f>
        <v>0</v>
      </c>
      <c r="H421" s="11"/>
      <c r="I421" s="11">
        <f>IFERROR(__xludf.DUMMYFUNCTION("""COMPUTED_VALUE"""),1.0)</f>
        <v>1</v>
      </c>
      <c r="J421" s="11">
        <f>IFERROR(__xludf.DUMMYFUNCTION("""COMPUTED_VALUE"""),0.0)</f>
        <v>0</v>
      </c>
      <c r="K421" s="11">
        <f>IFERROR(__xludf.DUMMYFUNCTION("""COMPUTED_VALUE"""),1.0)</f>
        <v>1</v>
      </c>
    </row>
    <row r="422" ht="15.75" customHeight="1">
      <c r="A422" s="8" t="str">
        <f>IFERROR(__xludf.DUMMYFUNCTION("""COMPUTED_VALUE"""),"https://terratern.com/blog/civil-engineering-companies-in-germany/")</f>
        <v>https://terratern.com/blog/civil-engineering-companies-in-germany/</v>
      </c>
      <c r="B422" s="11" t="str">
        <f>IFERROR(__xludf.DUMMYFUNCTION("""COMPUTED_VALUE"""),"Top Civil Engineering Companies in Germany: Latest List 2025")</f>
        <v>Top Civil Engineering Companies in Germany: Latest List 2025</v>
      </c>
      <c r="C422" s="8" t="str">
        <f>IFERROR(__xludf.DUMMYFUNCTION("""COMPUTED_VALUE"""),"terratern.com")</f>
        <v>terratern.com</v>
      </c>
      <c r="D422" s="11" t="str">
        <f>IFERROR(__xludf.DUMMYFUNCTION("""COMPUTED_VALUE"""),"LISTICLE")</f>
        <v>LISTICLE</v>
      </c>
      <c r="E422" s="11" t="str">
        <f>IFERROR(__xludf.DUMMYFUNCTION("""COMPUTED_VALUE"""),"CORPORATE")</f>
        <v>CORPORATE</v>
      </c>
      <c r="F422" s="11" t="str">
        <f>IFERROR(__xludf.DUMMYFUNCTION("""COMPUTED_VALUE"""),"Listicle")</f>
        <v>Listicle</v>
      </c>
      <c r="G422" s="11" t="b">
        <f>IFERROR(__xludf.DUMMYFUNCTION("""COMPUTED_VALUE"""),FALSE)</f>
        <v>0</v>
      </c>
      <c r="H422" s="11"/>
      <c r="I422" s="11">
        <f>IFERROR(__xludf.DUMMYFUNCTION("""COMPUTED_VALUE"""),1.0)</f>
        <v>1</v>
      </c>
      <c r="J422" s="11">
        <f>IFERROR(__xludf.DUMMYFUNCTION("""COMPUTED_VALUE"""),0.0)</f>
        <v>0</v>
      </c>
      <c r="K422" s="11">
        <f>IFERROR(__xludf.DUMMYFUNCTION("""COMPUTED_VALUE"""),1.0)</f>
        <v>1</v>
      </c>
    </row>
    <row r="423" ht="15.75" customHeight="1">
      <c r="A423" s="8" t="str">
        <f>IFERROR(__xludf.DUMMYFUNCTION("""COMPUTED_VALUE"""),"https://www.thebusinessrover.com/blog/media-buying-agencies")</f>
        <v>https://www.thebusinessrover.com/blog/media-buying-agencies</v>
      </c>
      <c r="B423" s="11" t="str">
        <f>IFERROR(__xludf.DUMMYFUNCTION("""COMPUTED_VALUE"""),"13 Best Media Buying Agencies in 2026 | The Business Rover")</f>
        <v>13 Best Media Buying Agencies in 2026 | The Business Rover</v>
      </c>
      <c r="C423" s="8" t="str">
        <f>IFERROR(__xludf.DUMMYFUNCTION("""COMPUTED_VALUE"""),"thebusinessrover.com")</f>
        <v>thebusinessrover.com</v>
      </c>
      <c r="D423" s="11" t="str">
        <f>IFERROR(__xludf.DUMMYFUNCTION("""COMPUTED_VALUE"""),"LISTICLE")</f>
        <v>LISTICLE</v>
      </c>
      <c r="E423" s="11" t="str">
        <f>IFERROR(__xludf.DUMMYFUNCTION("""COMPUTED_VALUE"""),"CORPORATE")</f>
        <v>CORPORATE</v>
      </c>
      <c r="F423" s="11" t="str">
        <f>IFERROR(__xludf.DUMMYFUNCTION("""COMPUTED_VALUE"""),"Listicle")</f>
        <v>Listicle</v>
      </c>
      <c r="G423" s="11" t="b">
        <f>IFERROR(__xludf.DUMMYFUNCTION("""COMPUTED_VALUE"""),FALSE)</f>
        <v>0</v>
      </c>
      <c r="H423" s="11" t="str">
        <f>IFERROR(__xludf.DUMMYFUNCTION("""COMPUTED_VALUE"""),"Measured, Tinuiti, Darkroom, Common Thread Collective, Disruptive Advertising, Power Digital, Hawke Media, New Engen, PMG, Wpromote, Brainlabs, Directive Consulting")</f>
        <v>Measured, Tinuiti, Darkroom, Common Thread Collective, Disruptive Advertising, Power Digital, Hawke Media, New Engen, PMG, Wpromote, Brainlabs, Directive Consulting</v>
      </c>
      <c r="I423" s="11">
        <f>IFERROR(__xludf.DUMMYFUNCTION("""COMPUTED_VALUE"""),1.0)</f>
        <v>1</v>
      </c>
      <c r="J423" s="11">
        <f>IFERROR(__xludf.DUMMYFUNCTION("""COMPUTED_VALUE"""),0.0)</f>
        <v>0</v>
      </c>
      <c r="K423" s="11">
        <f>IFERROR(__xludf.DUMMYFUNCTION("""COMPUTED_VALUE"""),0.0)</f>
        <v>0</v>
      </c>
    </row>
    <row r="424" ht="15.75" customHeight="1">
      <c r="A424" s="8" t="str">
        <f>IFERROR(__xludf.DUMMYFUNCTION("""COMPUTED_VALUE"""),"https://www.thebusinessrover.com/de/blog/growth-marketing-agencies")</f>
        <v>https://www.thebusinessrover.com/de/blog/growth-marketing-agencies</v>
      </c>
      <c r="B424" s="11" t="str">
        <f>IFERROR(__xludf.DUMMYFUNCTION("""COMPUTED_VALUE"""),"15 Best Growth Marketing Agencies in | Der Business Rover")</f>
        <v>15 Best Growth Marketing Agencies in | Der Business Rover</v>
      </c>
      <c r="C424" s="8" t="str">
        <f>IFERROR(__xludf.DUMMYFUNCTION("""COMPUTED_VALUE"""),"thebusinessrover.com")</f>
        <v>thebusinessrover.com</v>
      </c>
      <c r="D424" s="11" t="str">
        <f>IFERROR(__xludf.DUMMYFUNCTION("""COMPUTED_VALUE"""),"LISTICLE")</f>
        <v>LISTICLE</v>
      </c>
      <c r="E424" s="11" t="str">
        <f>IFERROR(__xludf.DUMMYFUNCTION("""COMPUTED_VALUE"""),"CORPORATE")</f>
        <v>CORPORATE</v>
      </c>
      <c r="F424" s="11" t="str">
        <f>IFERROR(__xludf.DUMMYFUNCTION("""COMPUTED_VALUE"""),"Listicle")</f>
        <v>Listicle</v>
      </c>
      <c r="G424" s="11" t="b">
        <f>IFERROR(__xludf.DUMMYFUNCTION("""COMPUTED_VALUE"""),FALSE)</f>
        <v>0</v>
      </c>
      <c r="H424" s="11" t="str">
        <f>IFERROR(__xludf.DUMMYFUNCTION("""COMPUTED_VALUE"""),"NoGood, Wpromote, Omniscient Digital, Single Grain, Refine Labs")</f>
        <v>NoGood, Wpromote, Omniscient Digital, Single Grain, Refine Labs</v>
      </c>
      <c r="I424" s="11">
        <f>IFERROR(__xludf.DUMMYFUNCTION("""COMPUTED_VALUE"""),1.0)</f>
        <v>1</v>
      </c>
      <c r="J424" s="11">
        <f>IFERROR(__xludf.DUMMYFUNCTION("""COMPUTED_VALUE"""),0.0)</f>
        <v>0</v>
      </c>
      <c r="K424" s="11">
        <f>IFERROR(__xludf.DUMMYFUNCTION("""COMPUTED_VALUE"""),1.0)</f>
        <v>1</v>
      </c>
    </row>
    <row r="425" ht="15.75" customHeight="1">
      <c r="A425" s="8" t="str">
        <f>IFERROR(__xludf.DUMMYFUNCTION("""COMPUTED_VALUE"""),"https://www.thedrum.com/news/world-creative-rankings-2023-adland-s-top-independent-agencies-revealed")</f>
        <v>https://www.thedrum.com/news/world-creative-rankings-2023-adland-s-top-independent-agencies-revealed</v>
      </c>
      <c r="B425" s="11" t="str">
        <f>IFERROR(__xludf.DUMMYFUNCTION("""COMPUTED_VALUE"""),"World Creative Rankings 2023: adland’s top independent agencies revealed | The Drum")</f>
        <v>World Creative Rankings 2023: adland’s top independent agencies revealed | The Drum</v>
      </c>
      <c r="C425" s="8" t="str">
        <f>IFERROR(__xludf.DUMMYFUNCTION("""COMPUTED_VALUE"""),"thedrum.com")</f>
        <v>thedrum.com</v>
      </c>
      <c r="D425" s="11" t="str">
        <f>IFERROR(__xludf.DUMMYFUNCTION("""COMPUTED_VALUE"""),"LISTICLE")</f>
        <v>LISTICLE</v>
      </c>
      <c r="E425" s="11" t="str">
        <f>IFERROR(__xludf.DUMMYFUNCTION("""COMPUTED_VALUE"""),"EDITORIAL")</f>
        <v>EDITORIAL</v>
      </c>
      <c r="F425" s="11" t="str">
        <f>IFERROR(__xludf.DUMMYFUNCTION("""COMPUTED_VALUE"""),"Listicle")</f>
        <v>Listicle</v>
      </c>
      <c r="G425" s="11" t="b">
        <f>IFERROR(__xludf.DUMMYFUNCTION("""COMPUTED_VALUE"""),FALSE)</f>
        <v>0</v>
      </c>
      <c r="H425" s="11" t="str">
        <f>IFERROR(__xludf.DUMMYFUNCTION("""COMPUTED_VALUE"""),"Ogilvy")</f>
        <v>Ogilvy</v>
      </c>
      <c r="I425" s="11">
        <f>IFERROR(__xludf.DUMMYFUNCTION("""COMPUTED_VALUE"""),1.0)</f>
        <v>1</v>
      </c>
      <c r="J425" s="11">
        <f>IFERROR(__xludf.DUMMYFUNCTION("""COMPUTED_VALUE"""),0.0)</f>
        <v>0</v>
      </c>
      <c r="K425" s="11">
        <f>IFERROR(__xludf.DUMMYFUNCTION("""COMPUTED_VALUE"""),1.0)</f>
        <v>1</v>
      </c>
    </row>
    <row r="426" ht="15.75" customHeight="1">
      <c r="A426" s="8" t="str">
        <f>IFERROR(__xludf.DUMMYFUNCTION("""COMPUTED_VALUE"""),"https://www.thekeenfolks.com/blog-article/best-performance-marketing-agencies")</f>
        <v>https://www.thekeenfolks.com/blog-article/best-performance-marketing-agencies</v>
      </c>
      <c r="B426" s="11" t="str">
        <f>IFERROR(__xludf.DUMMYFUNCTION("""COMPUTED_VALUE"""),"The Best Performance Marketing Agencies for Enterprise Growth")</f>
        <v>The Best Performance Marketing Agencies for Enterprise Growth</v>
      </c>
      <c r="C426" s="8" t="str">
        <f>IFERROR(__xludf.DUMMYFUNCTION("""COMPUTED_VALUE"""),"thekeenfolks.com")</f>
        <v>thekeenfolks.com</v>
      </c>
      <c r="D426" s="11" t="str">
        <f>IFERROR(__xludf.DUMMYFUNCTION("""COMPUTED_VALUE"""),"LISTICLE")</f>
        <v>LISTICLE</v>
      </c>
      <c r="E426" s="11" t="str">
        <f>IFERROR(__xludf.DUMMYFUNCTION("""COMPUTED_VALUE"""),"EDITORIAL")</f>
        <v>EDITORIAL</v>
      </c>
      <c r="F426" s="11" t="str">
        <f>IFERROR(__xludf.DUMMYFUNCTION("""COMPUTED_VALUE"""),"Listicle")</f>
        <v>Listicle</v>
      </c>
      <c r="G426" s="11" t="b">
        <f>IFERROR(__xludf.DUMMYFUNCTION("""COMPUTED_VALUE"""),FALSE)</f>
        <v>0</v>
      </c>
      <c r="H426" s="11" t="str">
        <f>IFERROR(__xludf.DUMMYFUNCTION("""COMPUTED_VALUE"""),"Tinuiti, DEPT, Croud, Disruptive Advertising, WebFX")</f>
        <v>Tinuiti, DEPT, Croud, Disruptive Advertising, WebFX</v>
      </c>
      <c r="I426" s="11">
        <f>IFERROR(__xludf.DUMMYFUNCTION("""COMPUTED_VALUE"""),1.0)</f>
        <v>1</v>
      </c>
      <c r="J426" s="11">
        <f>IFERROR(__xludf.DUMMYFUNCTION("""COMPUTED_VALUE"""),0.0)</f>
        <v>0</v>
      </c>
      <c r="K426" s="11">
        <f>IFERROR(__xludf.DUMMYFUNCTION("""COMPUTED_VALUE"""),0.0)</f>
        <v>0</v>
      </c>
    </row>
    <row r="427" ht="15.75" customHeight="1">
      <c r="A427" s="8" t="str">
        <f>IFERROR(__xludf.DUMMYFUNCTION("""COMPUTED_VALUE"""),"https://www.themacgroups.com/who-are-the-big-5-advertising-agencies/")</f>
        <v>https://www.themacgroups.com/who-are-the-big-5-advertising-agencies/</v>
      </c>
      <c r="B427" s="11" t="str">
        <f>IFERROR(__xludf.DUMMYFUNCTION("""COMPUTED_VALUE"""),"Who are the big 5 advertising agencies? | The Mac Groups")</f>
        <v>Who are the big 5 advertising agencies? | The Mac Groups</v>
      </c>
      <c r="C427" s="8" t="str">
        <f>IFERROR(__xludf.DUMMYFUNCTION("""COMPUTED_VALUE"""),"themacgroups.com")</f>
        <v>themacgroups.com</v>
      </c>
      <c r="D427" s="11" t="str">
        <f>IFERROR(__xludf.DUMMYFUNCTION("""COMPUTED_VALUE"""),"LISTICLE")</f>
        <v>LISTICLE</v>
      </c>
      <c r="E427" s="11" t="str">
        <f>IFERROR(__xludf.DUMMYFUNCTION("""COMPUTED_VALUE"""),"CORPORATE")</f>
        <v>CORPORATE</v>
      </c>
      <c r="F427" s="11" t="str">
        <f>IFERROR(__xludf.DUMMYFUNCTION("""COMPUTED_VALUE"""),"Listicle")</f>
        <v>Listicle</v>
      </c>
      <c r="G427" s="11" t="b">
        <f>IFERROR(__xludf.DUMMYFUNCTION("""COMPUTED_VALUE"""),FALSE)</f>
        <v>0</v>
      </c>
      <c r="H427" s="11" t="str">
        <f>IFERROR(__xludf.DUMMYFUNCTION("""COMPUTED_VALUE"""),"WPP, Omnicom, Publicis Groupe, Dentsu")</f>
        <v>WPP, Omnicom, Publicis Groupe, Dentsu</v>
      </c>
      <c r="I427" s="11">
        <f>IFERROR(__xludf.DUMMYFUNCTION("""COMPUTED_VALUE"""),1.0)</f>
        <v>1</v>
      </c>
      <c r="J427" s="11">
        <f>IFERROR(__xludf.DUMMYFUNCTION("""COMPUTED_VALUE"""),0.0)</f>
        <v>0</v>
      </c>
      <c r="K427" s="11">
        <f>IFERROR(__xludf.DUMMYFUNCTION("""COMPUTED_VALUE"""),2.0)</f>
        <v>2</v>
      </c>
    </row>
    <row r="428" ht="15.75" customHeight="1">
      <c r="A428" s="8" t="str">
        <f>IFERROR(__xludf.DUMMYFUNCTION("""COMPUTED_VALUE"""),"https://themanifest.com/de/social-media/tiktok/agencies")</f>
        <v>https://themanifest.com/de/social-media/tiktok/agencies</v>
      </c>
      <c r="B428" s="11" t="str">
        <f>IFERROR(__xludf.DUMMYFUNCTION("""COMPUTED_VALUE"""),"The Best TikTok Advertising Companies in Germany - Jul 2026 | The Manifest")</f>
        <v>The Best TikTok Advertising Companies in Germany - Jul 2026 | The Manifest</v>
      </c>
      <c r="C428" s="8" t="str">
        <f>IFERROR(__xludf.DUMMYFUNCTION("""COMPUTED_VALUE"""),"themanifest.com")</f>
        <v>themanifest.com</v>
      </c>
      <c r="D428" s="11" t="str">
        <f>IFERROR(__xludf.DUMMYFUNCTION("""COMPUTED_VALUE"""),"LISTICLE")</f>
        <v>LISTICLE</v>
      </c>
      <c r="E428" s="11" t="str">
        <f>IFERROR(__xludf.DUMMYFUNCTION("""COMPUTED_VALUE"""),"REFERENCE")</f>
        <v>REFERENCE</v>
      </c>
      <c r="F428" s="11" t="str">
        <f>IFERROR(__xludf.DUMMYFUNCTION("""COMPUTED_VALUE"""),"Listicle")</f>
        <v>Listicle</v>
      </c>
      <c r="G428" s="11" t="b">
        <f>IFERROR(__xludf.DUMMYFUNCTION("""COMPUTED_VALUE"""),FALSE)</f>
        <v>0</v>
      </c>
      <c r="H428" s="11" t="str">
        <f>IFERROR(__xludf.DUMMYFUNCTION("""COMPUTED_VALUE"""),"MONSOON, HY.AM STUDIOS, Pulse Advertising, Medialabel")</f>
        <v>MONSOON, HY.AM STUDIOS, Pulse Advertising, Medialabel</v>
      </c>
      <c r="I428" s="11">
        <f>IFERROR(__xludf.DUMMYFUNCTION("""COMPUTED_VALUE"""),1.0)</f>
        <v>1</v>
      </c>
      <c r="J428" s="11">
        <f>IFERROR(__xludf.DUMMYFUNCTION("""COMPUTED_VALUE"""),0.0)</f>
        <v>0</v>
      </c>
      <c r="K428" s="11">
        <f>IFERROR(__xludf.DUMMYFUNCTION("""COMPUTED_VALUE"""),0.0)</f>
        <v>0</v>
      </c>
    </row>
    <row r="429" ht="15.75" customHeight="1">
      <c r="A429" s="8" t="str">
        <f>IFERROR(__xludf.DUMMYFUNCTION("""COMPUTED_VALUE"""),"https://www.therankmasters.com/insights/vendors/best-aeo-agencies")</f>
        <v>https://www.therankmasters.com/insights/vendors/best-aeo-agencies</v>
      </c>
      <c r="B429" s="11" t="str">
        <f>IFERROR(__xludf.DUMMYFUNCTION("""COMPUTED_VALUE"""),"Best AEO Agencies for AI Search in 2026")</f>
        <v>Best AEO Agencies for AI Search in 2026</v>
      </c>
      <c r="C429" s="8" t="str">
        <f>IFERROR(__xludf.DUMMYFUNCTION("""COMPUTED_VALUE"""),"therankmasters.com")</f>
        <v>therankmasters.com</v>
      </c>
      <c r="D429" s="11" t="str">
        <f>IFERROR(__xludf.DUMMYFUNCTION("""COMPUTED_VALUE"""),"LISTICLE")</f>
        <v>LISTICLE</v>
      </c>
      <c r="E429" s="11" t="str">
        <f>IFERROR(__xludf.DUMMYFUNCTION("""COMPUTED_VALUE"""),"CORPORATE")</f>
        <v>CORPORATE</v>
      </c>
      <c r="F429" s="11" t="str">
        <f>IFERROR(__xludf.DUMMYFUNCTION("""COMPUTED_VALUE"""),"Listicle")</f>
        <v>Listicle</v>
      </c>
      <c r="G429" s="11" t="b">
        <f>IFERROR(__xludf.DUMMYFUNCTION("""COMPUTED_VALUE"""),FALSE)</f>
        <v>0</v>
      </c>
      <c r="H429" s="11" t="str">
        <f>IFERROR(__xludf.DUMMYFUNCTION("""COMPUTED_VALUE"""),"NoGood, iPullRank, Omniscient Digital")</f>
        <v>NoGood, iPullRank, Omniscient Digital</v>
      </c>
      <c r="I429" s="11">
        <f>IFERROR(__xludf.DUMMYFUNCTION("""COMPUTED_VALUE"""),1.0)</f>
        <v>1</v>
      </c>
      <c r="J429" s="11">
        <f>IFERROR(__xludf.DUMMYFUNCTION("""COMPUTED_VALUE"""),0.0)</f>
        <v>0</v>
      </c>
      <c r="K429" s="11">
        <f>IFERROR(__xludf.DUMMYFUNCTION("""COMPUTED_VALUE"""),0.0)</f>
        <v>0</v>
      </c>
    </row>
    <row r="430" ht="15.75" customHeight="1">
      <c r="A430" s="8" t="str">
        <f>IFERROR(__xludf.DUMMYFUNCTION("""COMPUTED_VALUE"""),"https://thesocialshepherd.com/blog/top-creative-agencies-us")</f>
        <v>https://thesocialshepherd.com/blog/top-creative-agencies-us</v>
      </c>
      <c r="B430" s="11" t="str">
        <f>IFERROR(__xludf.DUMMYFUNCTION("""COMPUTED_VALUE"""),"The Social Shepherd | Top 17 Creative Agencies in the U.S. (2026)")</f>
        <v>The Social Shepherd | Top 17 Creative Agencies in the U.S. (2026)</v>
      </c>
      <c r="C430" s="8" t="str">
        <f>IFERROR(__xludf.DUMMYFUNCTION("""COMPUTED_VALUE"""),"thesocialshepherd.com")</f>
        <v>thesocialshepherd.com</v>
      </c>
      <c r="D430" s="11" t="str">
        <f>IFERROR(__xludf.DUMMYFUNCTION("""COMPUTED_VALUE"""),"LISTICLE")</f>
        <v>LISTICLE</v>
      </c>
      <c r="E430" s="11" t="str">
        <f>IFERROR(__xludf.DUMMYFUNCTION("""COMPUTED_VALUE"""),"CORPORATE")</f>
        <v>CORPORATE</v>
      </c>
      <c r="F430" s="11" t="str">
        <f>IFERROR(__xludf.DUMMYFUNCTION("""COMPUTED_VALUE"""),"Listicle")</f>
        <v>Listicle</v>
      </c>
      <c r="G430" s="11" t="b">
        <f>IFERROR(__xludf.DUMMYFUNCTION("""COMPUTED_VALUE"""),FALSE)</f>
        <v>0</v>
      </c>
      <c r="H430" s="11" t="str">
        <f>IFERROR(__xludf.DUMMYFUNCTION("""COMPUTED_VALUE"""),"inBeat, Dentsu")</f>
        <v>inBeat, Dentsu</v>
      </c>
      <c r="I430" s="11">
        <f>IFERROR(__xludf.DUMMYFUNCTION("""COMPUTED_VALUE"""),1.0)</f>
        <v>1</v>
      </c>
      <c r="J430" s="11">
        <f>IFERROR(__xludf.DUMMYFUNCTION("""COMPUTED_VALUE"""),0.0)</f>
        <v>0</v>
      </c>
      <c r="K430" s="11">
        <f>IFERROR(__xludf.DUMMYFUNCTION("""COMPUTED_VALUE"""),2.0)</f>
        <v>2</v>
      </c>
    </row>
    <row r="431" ht="15.75" customHeight="1">
      <c r="A431" s="8" t="str">
        <f>IFERROR(__xludf.DUMMYFUNCTION("""COMPUTED_VALUE"""),"https://thetechfounders.co.uk/guides/10-best-ai-readiness-assessment-platforms-available-in-2026/")</f>
        <v>https://thetechfounders.co.uk/guides/10-best-ai-readiness-assessment-platforms-available-in-2026/</v>
      </c>
      <c r="B431" s="11" t="str">
        <f>IFERROR(__xludf.DUMMYFUNCTION("""COMPUTED_VALUE"""),"10 Best AI Readiness Assessment Platforms Available in 2026 | The Tech Founders")</f>
        <v>10 Best AI Readiness Assessment Platforms Available in 2026 | The Tech Founders</v>
      </c>
      <c r="C431" s="8" t="str">
        <f>IFERROR(__xludf.DUMMYFUNCTION("""COMPUTED_VALUE"""),"thetechfounders.co.uk")</f>
        <v>thetechfounders.co.uk</v>
      </c>
      <c r="D431" s="11" t="str">
        <f>IFERROR(__xludf.DUMMYFUNCTION("""COMPUTED_VALUE"""),"LISTICLE")</f>
        <v>LISTICLE</v>
      </c>
      <c r="E431" s="11" t="str">
        <f>IFERROR(__xludf.DUMMYFUNCTION("""COMPUTED_VALUE"""),"UGC")</f>
        <v>UGC</v>
      </c>
      <c r="F431" s="11" t="str">
        <f>IFERROR(__xludf.DUMMYFUNCTION("""COMPUTED_VALUE"""),"Listicle")</f>
        <v>Listicle</v>
      </c>
      <c r="G431" s="11" t="b">
        <f>IFERROR(__xludf.DUMMYFUNCTION("""COMPUTED_VALUE"""),FALSE)</f>
        <v>0</v>
      </c>
      <c r="H431" s="11"/>
      <c r="I431" s="11">
        <f>IFERROR(__xludf.DUMMYFUNCTION("""COMPUTED_VALUE"""),1.0)</f>
        <v>1</v>
      </c>
      <c r="J431" s="11">
        <f>IFERROR(__xludf.DUMMYFUNCTION("""COMPUTED_VALUE"""),0.0)</f>
        <v>0</v>
      </c>
      <c r="K431" s="11">
        <f>IFERROR(__xludf.DUMMYFUNCTION("""COMPUTED_VALUE"""),1.0)</f>
        <v>1</v>
      </c>
    </row>
    <row r="432" ht="15.75" customHeight="1">
      <c r="A432" s="8" t="str">
        <f>IFERROR(__xludf.DUMMYFUNCTION("""COMPUTED_VALUE"""),"https://thinkwithalec.com/2025/03/02/best-marketing-platforms-for-tracking-first-party-data/")</f>
        <v>https://thinkwithalec.com/2025/03/02/best-marketing-platforms-for-tracking-first-party-data/</v>
      </c>
      <c r="B432" s="11" t="str">
        <f>IFERROR(__xludf.DUMMYFUNCTION("""COMPUTED_VALUE"""),"Best Marketing Platforms for Tracking First-Party Data – THINK WITH ALEC")</f>
        <v>Best Marketing Platforms for Tracking First-Party Data – THINK WITH ALEC</v>
      </c>
      <c r="C432" s="8" t="str">
        <f>IFERROR(__xludf.DUMMYFUNCTION("""COMPUTED_VALUE"""),"thinkwithalec.com")</f>
        <v>thinkwithalec.com</v>
      </c>
      <c r="D432" s="11" t="str">
        <f>IFERROR(__xludf.DUMMYFUNCTION("""COMPUTED_VALUE"""),"LISTICLE")</f>
        <v>LISTICLE</v>
      </c>
      <c r="E432" s="11" t="str">
        <f>IFERROR(__xludf.DUMMYFUNCTION("""COMPUTED_VALUE"""),"EDITORIAL")</f>
        <v>EDITORIAL</v>
      </c>
      <c r="F432" s="11" t="str">
        <f>IFERROR(__xludf.DUMMYFUNCTION("""COMPUTED_VALUE"""),"Listicle")</f>
        <v>Listicle</v>
      </c>
      <c r="G432" s="11" t="b">
        <f>IFERROR(__xludf.DUMMYFUNCTION("""COMPUTED_VALUE"""),FALSE)</f>
        <v>0</v>
      </c>
      <c r="H432" s="11"/>
      <c r="I432" s="11">
        <f>IFERROR(__xludf.DUMMYFUNCTION("""COMPUTED_VALUE"""),1.0)</f>
        <v>1</v>
      </c>
      <c r="J432" s="11">
        <f>IFERROR(__xludf.DUMMYFUNCTION("""COMPUTED_VALUE"""),0.0)</f>
        <v>0</v>
      </c>
      <c r="K432" s="11">
        <f>IFERROR(__xludf.DUMMYFUNCTION("""COMPUTED_VALUE"""),0.0)</f>
        <v>0</v>
      </c>
    </row>
    <row r="433" ht="15.75" customHeight="1">
      <c r="A433" s="8" t="str">
        <f>IFERROR(__xludf.DUMMYFUNCTION("""COMPUTED_VALUE"""),"https://tms-outsource.com/blog/posts/tech-companies-in-germany/")</f>
        <v>https://tms-outsource.com/blog/posts/tech-companies-in-germany/</v>
      </c>
      <c r="B433" s="11" t="str">
        <f>IFERROR(__xludf.DUMMYFUNCTION("""COMPUTED_VALUE"""),"Tech Companies in Germany You&amp;#039;d Like on Your Resume")</f>
        <v>Tech Companies in Germany You&amp;#039;d Like on Your Resume</v>
      </c>
      <c r="C433" s="8" t="str">
        <f>IFERROR(__xludf.DUMMYFUNCTION("""COMPUTED_VALUE"""),"tms-outsource.com")</f>
        <v>tms-outsource.com</v>
      </c>
      <c r="D433" s="11" t="str">
        <f>IFERROR(__xludf.DUMMYFUNCTION("""COMPUTED_VALUE"""),"LISTICLE")</f>
        <v>LISTICLE</v>
      </c>
      <c r="E433" s="11" t="str">
        <f>IFERROR(__xludf.DUMMYFUNCTION("""COMPUTED_VALUE"""),"CORPORATE")</f>
        <v>CORPORATE</v>
      </c>
      <c r="F433" s="11" t="str">
        <f>IFERROR(__xludf.DUMMYFUNCTION("""COMPUTED_VALUE"""),"Listicle")</f>
        <v>Listicle</v>
      </c>
      <c r="G433" s="11" t="b">
        <f>IFERROR(__xludf.DUMMYFUNCTION("""COMPUTED_VALUE"""),FALSE)</f>
        <v>0</v>
      </c>
      <c r="H433" s="11"/>
      <c r="I433" s="11">
        <f>IFERROR(__xludf.DUMMYFUNCTION("""COMPUTED_VALUE"""),1.0)</f>
        <v>1</v>
      </c>
      <c r="J433" s="11">
        <f>IFERROR(__xludf.DUMMYFUNCTION("""COMPUTED_VALUE"""),0.0)</f>
        <v>0</v>
      </c>
      <c r="K433" s="11">
        <f>IFERROR(__xludf.DUMMYFUNCTION("""COMPUTED_VALUE"""),1.0)</f>
        <v>1</v>
      </c>
    </row>
    <row r="434" ht="15.75" customHeight="1">
      <c r="A434" s="8" t="str">
        <f>IFERROR(__xludf.DUMMYFUNCTION("""COMPUTED_VALUE"""),"https://www.todaymade.com/blog/top-creative-agencies")</f>
        <v>https://www.todaymade.com/blog/top-creative-agencies</v>
      </c>
      <c r="B434" s="11" t="str">
        <f>IFERROR(__xludf.DUMMYFUNCTION("""COMPUTED_VALUE"""),"Top Creative Agencies in 2025. Ranked &amp;amp; Matched to Your Goals")</f>
        <v>Top Creative Agencies in 2025. Ranked &amp;amp; Matched to Your Goals</v>
      </c>
      <c r="C434" s="8" t="str">
        <f>IFERROR(__xludf.DUMMYFUNCTION("""COMPUTED_VALUE"""),"todaymade.com")</f>
        <v>todaymade.com</v>
      </c>
      <c r="D434" s="11" t="str">
        <f>IFERROR(__xludf.DUMMYFUNCTION("""COMPUTED_VALUE"""),"LISTICLE")</f>
        <v>LISTICLE</v>
      </c>
      <c r="E434" s="11" t="str">
        <f>IFERROR(__xludf.DUMMYFUNCTION("""COMPUTED_VALUE"""),"CORPORATE")</f>
        <v>CORPORATE</v>
      </c>
      <c r="F434" s="11" t="str">
        <f>IFERROR(__xludf.DUMMYFUNCTION("""COMPUTED_VALUE"""),"Listicle")</f>
        <v>Listicle</v>
      </c>
      <c r="G434" s="11" t="b">
        <f>IFERROR(__xludf.DUMMYFUNCTION("""COMPUTED_VALUE"""),FALSE)</f>
        <v>0</v>
      </c>
      <c r="H434" s="11" t="str">
        <f>IFERROR(__xludf.DUMMYFUNCTION("""COMPUTED_VALUE"""),"Ogilvy, WPP, Omnicom, Huge, Superside, R/GA, AKQA, Accenture Song, Publicis Groupe, Dentsu, Jung von Matt, Scholz &amp; Friends, Media.Monks, Monks, Momentum")</f>
        <v>Ogilvy, WPP, Omnicom, Huge, Superside, R/GA, AKQA, Accenture Song, Publicis Groupe, Dentsu, Jung von Matt, Scholz &amp; Friends, Media.Monks, Monks, Momentum</v>
      </c>
      <c r="I434" s="11">
        <f>IFERROR(__xludf.DUMMYFUNCTION("""COMPUTED_VALUE"""),1.0)</f>
        <v>1</v>
      </c>
      <c r="J434" s="11">
        <f>IFERROR(__xludf.DUMMYFUNCTION("""COMPUTED_VALUE"""),0.0)</f>
        <v>0</v>
      </c>
      <c r="K434" s="11">
        <f>IFERROR(__xludf.DUMMYFUNCTION("""COMPUTED_VALUE"""),1.0)</f>
        <v>1</v>
      </c>
    </row>
    <row r="435" ht="15.75" customHeight="1">
      <c r="A435" s="8" t="str">
        <f>IFERROR(__xludf.DUMMYFUNCTION("""COMPUTED_VALUE"""),"https://toolradar.com/best/attribution")</f>
        <v>https://toolradar.com/best/attribution</v>
      </c>
      <c r="B435" s="11" t="str">
        <f>IFERROR(__xludf.DUMMYFUNCTION("""COMPUTED_VALUE"""),"Best Attribution Tools in 2026 | Toolradar")</f>
        <v>Best Attribution Tools in 2026 | Toolradar</v>
      </c>
      <c r="C435" s="8" t="str">
        <f>IFERROR(__xludf.DUMMYFUNCTION("""COMPUTED_VALUE"""),"toolradar.com")</f>
        <v>toolradar.com</v>
      </c>
      <c r="D435" s="11" t="str">
        <f>IFERROR(__xludf.DUMMYFUNCTION("""COMPUTED_VALUE"""),"LISTICLE")</f>
        <v>LISTICLE</v>
      </c>
      <c r="E435" s="11" t="str">
        <f>IFERROR(__xludf.DUMMYFUNCTION("""COMPUTED_VALUE"""),"CORPORATE")</f>
        <v>CORPORATE</v>
      </c>
      <c r="F435" s="11" t="str">
        <f>IFERROR(__xludf.DUMMYFUNCTION("""COMPUTED_VALUE"""),"Listicle")</f>
        <v>Listicle</v>
      </c>
      <c r="G435" s="11" t="b">
        <f>IFERROR(__xludf.DUMMYFUNCTION("""COMPUTED_VALUE"""),FALSE)</f>
        <v>0</v>
      </c>
      <c r="H435" s="11" t="str">
        <f>IFERROR(__xludf.DUMMYFUNCTION("""COMPUTED_VALUE"""),"Triple Whale, Northbeam, Rockerbox, Dreamdata, Cometly")</f>
        <v>Triple Whale, Northbeam, Rockerbox, Dreamdata, Cometly</v>
      </c>
      <c r="I435" s="11">
        <f>IFERROR(__xludf.DUMMYFUNCTION("""COMPUTED_VALUE"""),1.0)</f>
        <v>1</v>
      </c>
      <c r="J435" s="11">
        <f>IFERROR(__xludf.DUMMYFUNCTION("""COMPUTED_VALUE"""),0.0)</f>
        <v>0</v>
      </c>
      <c r="K435" s="11">
        <f>IFERROR(__xludf.DUMMYFUNCTION("""COMPUTED_VALUE"""),0.0)</f>
        <v>0</v>
      </c>
    </row>
    <row r="436" ht="15.75" customHeight="1">
      <c r="A436" s="8" t="str">
        <f>IFERROR(__xludf.DUMMYFUNCTION("""COMPUTED_VALUE"""),"https://touchstoneresearch.com/top-10-global-market-research-companies/")</f>
        <v>https://touchstoneresearch.com/top-10-global-market-research-companies/</v>
      </c>
      <c r="B436" s="11" t="str">
        <f>IFERROR(__xludf.DUMMYFUNCTION("""COMPUTED_VALUE"""),"Top 10 Global Market Research Companies in 2026")</f>
        <v>Top 10 Global Market Research Companies in 2026</v>
      </c>
      <c r="C436" s="8" t="str">
        <f>IFERROR(__xludf.DUMMYFUNCTION("""COMPUTED_VALUE"""),"touchstoneresearch.com")</f>
        <v>touchstoneresearch.com</v>
      </c>
      <c r="D436" s="11" t="str">
        <f>IFERROR(__xludf.DUMMYFUNCTION("""COMPUTED_VALUE"""),"LISTICLE")</f>
        <v>LISTICLE</v>
      </c>
      <c r="E436" s="11" t="str">
        <f>IFERROR(__xludf.DUMMYFUNCTION("""COMPUTED_VALUE"""),"CORPORATE")</f>
        <v>CORPORATE</v>
      </c>
      <c r="F436" s="11" t="str">
        <f>IFERROR(__xludf.DUMMYFUNCTION("""COMPUTED_VALUE"""),"Listicle")</f>
        <v>Listicle</v>
      </c>
      <c r="G436" s="11" t="b">
        <f>IFERROR(__xludf.DUMMYFUNCTION("""COMPUTED_VALUE"""),FALSE)</f>
        <v>0</v>
      </c>
      <c r="H436" s="11" t="str">
        <f>IFERROR(__xludf.DUMMYFUNCTION("""COMPUTED_VALUE"""),"Kantar")</f>
        <v>Kantar</v>
      </c>
      <c r="I436" s="11">
        <f>IFERROR(__xludf.DUMMYFUNCTION("""COMPUTED_VALUE"""),1.0)</f>
        <v>1</v>
      </c>
      <c r="J436" s="11">
        <f>IFERROR(__xludf.DUMMYFUNCTION("""COMPUTED_VALUE"""),0.0)</f>
        <v>0</v>
      </c>
      <c r="K436" s="11">
        <f>IFERROR(__xludf.DUMMYFUNCTION("""COMPUTED_VALUE"""),1.0)</f>
        <v>1</v>
      </c>
    </row>
    <row r="437" ht="15.75" customHeight="1">
      <c r="A437" s="8" t="str">
        <f>IFERROR(__xludf.DUMMYFUNCTION("""COMPUTED_VALUE"""),"https://www.tripledart.com/ai-seo/best-aeo-agencies")</f>
        <v>https://www.tripledart.com/ai-seo/best-aeo-agencies</v>
      </c>
      <c r="B437" s="11" t="str">
        <f>IFERROR(__xludf.DUMMYFUNCTION("""COMPUTED_VALUE"""),"14 Best AEO Agencies in 2026 (Vetted &amp;amp; Ranked)")</f>
        <v>14 Best AEO Agencies in 2026 (Vetted &amp;amp; Ranked)</v>
      </c>
      <c r="C437" s="8" t="str">
        <f>IFERROR(__xludf.DUMMYFUNCTION("""COMPUTED_VALUE"""),"tripledart.com")</f>
        <v>tripledart.com</v>
      </c>
      <c r="D437" s="11" t="str">
        <f>IFERROR(__xludf.DUMMYFUNCTION("""COMPUTED_VALUE"""),"LISTICLE")</f>
        <v>LISTICLE</v>
      </c>
      <c r="E437" s="11" t="str">
        <f>IFERROR(__xludf.DUMMYFUNCTION("""COMPUTED_VALUE"""),"OTHER")</f>
        <v>OTHER</v>
      </c>
      <c r="F437" s="11" t="str">
        <f>IFERROR(__xludf.DUMMYFUNCTION("""COMPUTED_VALUE"""),"Listicle")</f>
        <v>Listicle</v>
      </c>
      <c r="G437" s="11" t="b">
        <f>IFERROR(__xludf.DUMMYFUNCTION("""COMPUTED_VALUE"""),FALSE)</f>
        <v>0</v>
      </c>
      <c r="H437" s="11"/>
      <c r="I437" s="11">
        <f>IFERROR(__xludf.DUMMYFUNCTION("""COMPUTED_VALUE"""),1.0)</f>
        <v>1</v>
      </c>
      <c r="J437" s="11">
        <f>IFERROR(__xludf.DUMMYFUNCTION("""COMPUTED_VALUE"""),0.0)</f>
        <v>0</v>
      </c>
      <c r="K437" s="11">
        <f>IFERROR(__xludf.DUMMYFUNCTION("""COMPUTED_VALUE"""),0.0)</f>
        <v>0</v>
      </c>
    </row>
    <row r="438" ht="15.75" customHeight="1">
      <c r="A438" s="8" t="str">
        <f>IFERROR(__xludf.DUMMYFUNCTION("""COMPUTED_VALUE"""),"https://www.tripledart.com/ai-seo/best-generative-engine-optimization-agencies")</f>
        <v>https://www.tripledart.com/ai-seo/best-generative-engine-optimization-agencies</v>
      </c>
      <c r="B438" s="11" t="str">
        <f>IFERROR(__xludf.DUMMYFUNCTION("""COMPUTED_VALUE"""),"17 Best GEO Agencies in 2026")</f>
        <v>17 Best GEO Agencies in 2026</v>
      </c>
      <c r="C438" s="8" t="str">
        <f>IFERROR(__xludf.DUMMYFUNCTION("""COMPUTED_VALUE"""),"tripledart.com")</f>
        <v>tripledart.com</v>
      </c>
      <c r="D438" s="11" t="str">
        <f>IFERROR(__xludf.DUMMYFUNCTION("""COMPUTED_VALUE"""),"LISTICLE")</f>
        <v>LISTICLE</v>
      </c>
      <c r="E438" s="11" t="str">
        <f>IFERROR(__xludf.DUMMYFUNCTION("""COMPUTED_VALUE"""),"OTHER")</f>
        <v>OTHER</v>
      </c>
      <c r="F438" s="11" t="str">
        <f>IFERROR(__xludf.DUMMYFUNCTION("""COMPUTED_VALUE"""),"Listicle")</f>
        <v>Listicle</v>
      </c>
      <c r="G438" s="11" t="b">
        <f>IFERROR(__xludf.DUMMYFUNCTION("""COMPUTED_VALUE"""),FALSE)</f>
        <v>0</v>
      </c>
      <c r="H438" s="11" t="str">
        <f>IFERROR(__xludf.DUMMYFUNCTION("""COMPUTED_VALUE"""),"Omnius, iPullRank, WebFX, NoGood, Siege Media")</f>
        <v>Omnius, iPullRank, WebFX, NoGood, Siege Media</v>
      </c>
      <c r="I438" s="11">
        <f>IFERROR(__xludf.DUMMYFUNCTION("""COMPUTED_VALUE"""),1.0)</f>
        <v>1</v>
      </c>
      <c r="J438" s="11">
        <f>IFERROR(__xludf.DUMMYFUNCTION("""COMPUTED_VALUE"""),0.0)</f>
        <v>0</v>
      </c>
      <c r="K438" s="11">
        <f>IFERROR(__xludf.DUMMYFUNCTION("""COMPUTED_VALUE"""),1.0)</f>
        <v>1</v>
      </c>
    </row>
    <row r="439" ht="15.75" customHeight="1">
      <c r="A439" s="8" t="str">
        <f>IFERROR(__xludf.DUMMYFUNCTION("""COMPUTED_VALUE"""),"https://www.tryseo.de/en/online-marketing-en/best-b2b-seo-agencies-germany/")</f>
        <v>https://www.tryseo.de/en/online-marketing-en/best-b2b-seo-agencies-germany/</v>
      </c>
      <c r="B439" s="11" t="str">
        <f>IFERROR(__xludf.DUMMYFUNCTION("""COMPUTED_VALUE"""),"Best B2B SEO Agency in Germany: 10 Agencies Compared")</f>
        <v>Best B2B SEO Agency in Germany: 10 Agencies Compared</v>
      </c>
      <c r="C439" s="8" t="str">
        <f>IFERROR(__xludf.DUMMYFUNCTION("""COMPUTED_VALUE"""),"tryseo.de")</f>
        <v>tryseo.de</v>
      </c>
      <c r="D439" s="11" t="str">
        <f>IFERROR(__xludf.DUMMYFUNCTION("""COMPUTED_VALUE"""),"LISTICLE")</f>
        <v>LISTICLE</v>
      </c>
      <c r="E439" s="11" t="str">
        <f>IFERROR(__xludf.DUMMYFUNCTION("""COMPUTED_VALUE"""),"COMPETITOR")</f>
        <v>COMPETITOR</v>
      </c>
      <c r="F439" s="11" t="str">
        <f>IFERROR(__xludf.DUMMYFUNCTION("""COMPUTED_VALUE"""),"Listicle")</f>
        <v>Listicle</v>
      </c>
      <c r="G439" s="11" t="b">
        <f>IFERROR(__xludf.DUMMYFUNCTION("""COMPUTED_VALUE"""),FALSE)</f>
        <v>0</v>
      </c>
      <c r="H439" s="11" t="str">
        <f>IFERROR(__xludf.DUMMYFUNCTION("""COMPUTED_VALUE"""),"TRYSEO, DREIKON, performanceLiebe, McKinsey &amp; Company")</f>
        <v>TRYSEO, DREIKON, performanceLiebe, McKinsey &amp; Company</v>
      </c>
      <c r="I439" s="11">
        <f>IFERROR(__xludf.DUMMYFUNCTION("""COMPUTED_VALUE"""),1.0)</f>
        <v>1</v>
      </c>
      <c r="J439" s="11">
        <f>IFERROR(__xludf.DUMMYFUNCTION("""COMPUTED_VALUE"""),0.0)</f>
        <v>0</v>
      </c>
      <c r="K439" s="11">
        <f>IFERROR(__xludf.DUMMYFUNCTION("""COMPUTED_VALUE"""),1.0)</f>
        <v>1</v>
      </c>
    </row>
    <row r="440" ht="15.75" customHeight="1">
      <c r="A440" s="8" t="str">
        <f>IFERROR(__xludf.DUMMYFUNCTION("""COMPUTED_VALUE"""),"https://www.tsa-bildung.de/en/blog/the-ai-job-market-in-germany-skills-in-demand-for-2026-and-beyond")</f>
        <v>https://www.tsa-bildung.de/en/blog/the-ai-job-market-in-germany-skills-in-demand-for-2026-and-beyond</v>
      </c>
      <c r="B440" s="11" t="str">
        <f>IFERROR(__xludf.DUMMYFUNCTION("""COMPUTED_VALUE"""),"The AI Job Market in Germany: Skills in Demand for 2026 and Beyond")</f>
        <v>The AI Job Market in Germany: Skills in Demand for 2026 and Beyond</v>
      </c>
      <c r="C440" s="8" t="str">
        <f>IFERROR(__xludf.DUMMYFUNCTION("""COMPUTED_VALUE"""),"tsa-bildung.de")</f>
        <v>tsa-bildung.de</v>
      </c>
      <c r="D440" s="11" t="str">
        <f>IFERROR(__xludf.DUMMYFUNCTION("""COMPUTED_VALUE"""),"LISTICLE")</f>
        <v>LISTICLE</v>
      </c>
      <c r="E440" s="11" t="str">
        <f>IFERROR(__xludf.DUMMYFUNCTION("""COMPUTED_VALUE"""),"CORPORATE")</f>
        <v>CORPORATE</v>
      </c>
      <c r="F440" s="11" t="str">
        <f>IFERROR(__xludf.DUMMYFUNCTION("""COMPUTED_VALUE"""),"Listicle")</f>
        <v>Listicle</v>
      </c>
      <c r="G440" s="11" t="b">
        <f>IFERROR(__xludf.DUMMYFUNCTION("""COMPUTED_VALUE"""),FALSE)</f>
        <v>0</v>
      </c>
      <c r="H440" s="11"/>
      <c r="I440" s="11">
        <f>IFERROR(__xludf.DUMMYFUNCTION("""COMPUTED_VALUE"""),1.0)</f>
        <v>1</v>
      </c>
      <c r="J440" s="11">
        <f>IFERROR(__xludf.DUMMYFUNCTION("""COMPUTED_VALUE"""),0.0)</f>
        <v>0</v>
      </c>
      <c r="K440" s="11">
        <f>IFERROR(__xludf.DUMMYFUNCTION("""COMPUTED_VALUE"""),1.0)</f>
        <v>1</v>
      </c>
    </row>
    <row r="441" ht="15.75" customHeight="1">
      <c r="A441" s="8" t="str">
        <f>IFERROR(__xludf.DUMMYFUNCTION("""COMPUTED_VALUE"""),"https://www.unfoldmart.com/blogs/top-branding-agencies-germany-2026")</f>
        <v>https://www.unfoldmart.com/blogs/top-branding-agencies-germany-2026</v>
      </c>
      <c r="B441" s="11" t="str">
        <f>IFERROR(__xludf.DUMMYFUNCTION("""COMPUTED_VALUE"""),"Top Branding Agencies in Germany 2026: Complete Guide")</f>
        <v>Top Branding Agencies in Germany 2026: Complete Guide</v>
      </c>
      <c r="C441" s="8" t="str">
        <f>IFERROR(__xludf.DUMMYFUNCTION("""COMPUTED_VALUE"""),"unfoldmart.com")</f>
        <v>unfoldmart.com</v>
      </c>
      <c r="D441" s="11" t="str">
        <f>IFERROR(__xludf.DUMMYFUNCTION("""COMPUTED_VALUE"""),"LISTICLE")</f>
        <v>LISTICLE</v>
      </c>
      <c r="E441" s="11" t="str">
        <f>IFERROR(__xludf.DUMMYFUNCTION("""COMPUTED_VALUE"""),"CORPORATE")</f>
        <v>CORPORATE</v>
      </c>
      <c r="F441" s="11" t="str">
        <f>IFERROR(__xludf.DUMMYFUNCTION("""COMPUTED_VALUE"""),"Listicle")</f>
        <v>Listicle</v>
      </c>
      <c r="G441" s="11" t="b">
        <f>IFERROR(__xludf.DUMMYFUNCTION("""COMPUTED_VALUE"""),FALSE)</f>
        <v>0</v>
      </c>
      <c r="H441" s="11" t="str">
        <f>IFERROR(__xludf.DUMMYFUNCTION("""COMPUTED_VALUE"""),"Scholz &amp; Friends, MetaDesign")</f>
        <v>Scholz &amp; Friends, MetaDesign</v>
      </c>
      <c r="I441" s="11">
        <f>IFERROR(__xludf.DUMMYFUNCTION("""COMPUTED_VALUE"""),1.0)</f>
        <v>1</v>
      </c>
      <c r="J441" s="11">
        <f>IFERROR(__xludf.DUMMYFUNCTION("""COMPUTED_VALUE"""),0.0)</f>
        <v>0</v>
      </c>
      <c r="K441" s="11">
        <f>IFERROR(__xludf.DUMMYFUNCTION("""COMPUTED_VALUE"""),3.0)</f>
        <v>3</v>
      </c>
    </row>
    <row r="442" ht="15.75" customHeight="1">
      <c r="A442" s="8" t="str">
        <f>IFERROR(__xludf.DUMMYFUNCTION("""COMPUTED_VALUE"""),"https://www.uptech.team/blog/ai-development-companies")</f>
        <v>https://www.uptech.team/blog/ai-development-companies</v>
      </c>
      <c r="B442" s="11" t="str">
        <f>IFERROR(__xludf.DUMMYFUNCTION("""COMPUTED_VALUE"""),"13 Best AI Development Companies in 2026 | Uptech")</f>
        <v>13 Best AI Development Companies in 2026 | Uptech</v>
      </c>
      <c r="C442" s="11" t="str">
        <f>IFERROR(__xludf.DUMMYFUNCTION("""COMPUTED_VALUE"""),"uptech.team")</f>
        <v>uptech.team</v>
      </c>
      <c r="D442" s="11" t="str">
        <f>IFERROR(__xludf.DUMMYFUNCTION("""COMPUTED_VALUE"""),"LISTICLE")</f>
        <v>LISTICLE</v>
      </c>
      <c r="E442" s="11" t="str">
        <f>IFERROR(__xludf.DUMMYFUNCTION("""COMPUTED_VALUE"""),"CORPORATE")</f>
        <v>CORPORATE</v>
      </c>
      <c r="F442" s="11" t="str">
        <f>IFERROR(__xludf.DUMMYFUNCTION("""COMPUTED_VALUE"""),"Listicle")</f>
        <v>Listicle</v>
      </c>
      <c r="G442" s="11" t="b">
        <f>IFERROR(__xludf.DUMMYFUNCTION("""COMPUTED_VALUE"""),FALSE)</f>
        <v>0</v>
      </c>
      <c r="H442" s="11"/>
      <c r="I442" s="11">
        <f>IFERROR(__xludf.DUMMYFUNCTION("""COMPUTED_VALUE"""),1.0)</f>
        <v>1</v>
      </c>
      <c r="J442" s="11">
        <f>IFERROR(__xludf.DUMMYFUNCTION("""COMPUTED_VALUE"""),0.0)</f>
        <v>0</v>
      </c>
      <c r="K442" s="11">
        <f>IFERROR(__xludf.DUMMYFUNCTION("""COMPUTED_VALUE"""),1.0)</f>
        <v>1</v>
      </c>
    </row>
    <row r="443" ht="15.75" customHeight="1">
      <c r="A443" s="8" t="str">
        <f>IFERROR(__xludf.DUMMYFUNCTION("""COMPUTED_VALUE"""),"https://www.upwork.com/resources/generative-ai-applications")</f>
        <v>https://www.upwork.com/resources/generative-ai-applications</v>
      </c>
      <c r="B443" s="11" t="str">
        <f>IFERROR(__xludf.DUMMYFUNCTION("""COMPUTED_VALUE"""),"The Top 18 Generative AI Applications for Businesses - Upwork")</f>
        <v>The Top 18 Generative AI Applications for Businesses - Upwork</v>
      </c>
      <c r="C443" s="8" t="str">
        <f>IFERROR(__xludf.DUMMYFUNCTION("""COMPUTED_VALUE"""),"upwork.com")</f>
        <v>upwork.com</v>
      </c>
      <c r="D443" s="11" t="str">
        <f>IFERROR(__xludf.DUMMYFUNCTION("""COMPUTED_VALUE"""),"LISTICLE")</f>
        <v>LISTICLE</v>
      </c>
      <c r="E443" s="11" t="str">
        <f>IFERROR(__xludf.DUMMYFUNCTION("""COMPUTED_VALUE"""),"CORPORATE")</f>
        <v>CORPORATE</v>
      </c>
      <c r="F443" s="11" t="str">
        <f>IFERROR(__xludf.DUMMYFUNCTION("""COMPUTED_VALUE"""),"Listicle")</f>
        <v>Listicle</v>
      </c>
      <c r="G443" s="11" t="b">
        <f>IFERROR(__xludf.DUMMYFUNCTION("""COMPUTED_VALUE"""),FALSE)</f>
        <v>0</v>
      </c>
      <c r="H443" s="11"/>
      <c r="I443" s="11">
        <f>IFERROR(__xludf.DUMMYFUNCTION("""COMPUTED_VALUE"""),1.0)</f>
        <v>1</v>
      </c>
      <c r="J443" s="11">
        <f>IFERROR(__xludf.DUMMYFUNCTION("""COMPUTED_VALUE"""),0.0)</f>
        <v>0</v>
      </c>
      <c r="K443" s="11">
        <f>IFERROR(__xludf.DUMMYFUNCTION("""COMPUTED_VALUE"""),1.0)</f>
        <v>1</v>
      </c>
    </row>
    <row r="444" ht="15.75" customHeight="1">
      <c r="A444" s="8" t="str">
        <f>IFERROR(__xludf.DUMMYFUNCTION("""COMPUTED_VALUE"""),"https://varify.io/en/blog/cro-agencies/")</f>
        <v>https://varify.io/en/blog/cro-agencies/</v>
      </c>
      <c r="B444" s="11" t="str">
        <f>IFERROR(__xludf.DUMMYFUNCTION("""COMPUTED_VALUE"""),"Top CRO agencies 2026: Conversion optimization in Germany")</f>
        <v>Top CRO agencies 2026: Conversion optimization in Germany</v>
      </c>
      <c r="C444" s="8" t="str">
        <f>IFERROR(__xludf.DUMMYFUNCTION("""COMPUTED_VALUE"""),"varify.io")</f>
        <v>varify.io</v>
      </c>
      <c r="D444" s="11" t="str">
        <f>IFERROR(__xludf.DUMMYFUNCTION("""COMPUTED_VALUE"""),"LISTICLE")</f>
        <v>LISTICLE</v>
      </c>
      <c r="E444" s="11" t="str">
        <f>IFERROR(__xludf.DUMMYFUNCTION("""COMPUTED_VALUE"""),"CORPORATE")</f>
        <v>CORPORATE</v>
      </c>
      <c r="F444" s="11" t="str">
        <f>IFERROR(__xludf.DUMMYFUNCTION("""COMPUTED_VALUE"""),"Listicle")</f>
        <v>Listicle</v>
      </c>
      <c r="G444" s="11" t="b">
        <f>IFERROR(__xludf.DUMMYFUNCTION("""COMPUTED_VALUE"""),FALSE)</f>
        <v>0</v>
      </c>
      <c r="H444" s="11" t="str">
        <f>IFERROR(__xludf.DUMMYFUNCTION("""COMPUTED_VALUE"""),"Smarketer")</f>
        <v>Smarketer</v>
      </c>
      <c r="I444" s="11">
        <f>IFERROR(__xludf.DUMMYFUNCTION("""COMPUTED_VALUE"""),1.0)</f>
        <v>1</v>
      </c>
      <c r="J444" s="11">
        <f>IFERROR(__xludf.DUMMYFUNCTION("""COMPUTED_VALUE"""),0.0)</f>
        <v>0</v>
      </c>
      <c r="K444" s="11">
        <f>IFERROR(__xludf.DUMMYFUNCTION("""COMPUTED_VALUE"""),0.0)</f>
        <v>0</v>
      </c>
    </row>
    <row r="445" ht="15.75" customHeight="1">
      <c r="A445" s="8" t="str">
        <f>IFERROR(__xludf.DUMMYFUNCTION("""COMPUTED_VALUE"""),"https://venngage.com/blog/ai-marketing-tools/")</f>
        <v>https://venngage.com/blog/ai-marketing-tools/</v>
      </c>
      <c r="B445" s="11" t="str">
        <f>IFERROR(__xludf.DUMMYFUNCTION("""COMPUTED_VALUE"""),"Top 30+ AI Marketing Tools for Growth in 2026")</f>
        <v>Top 30+ AI Marketing Tools for Growth in 2026</v>
      </c>
      <c r="C445" s="8" t="str">
        <f>IFERROR(__xludf.DUMMYFUNCTION("""COMPUTED_VALUE"""),"venngage.com")</f>
        <v>venngage.com</v>
      </c>
      <c r="D445" s="11" t="str">
        <f>IFERROR(__xludf.DUMMYFUNCTION("""COMPUTED_VALUE"""),"LISTICLE")</f>
        <v>LISTICLE</v>
      </c>
      <c r="E445" s="11" t="str">
        <f>IFERROR(__xludf.DUMMYFUNCTION("""COMPUTED_VALUE"""),"CORPORATE")</f>
        <v>CORPORATE</v>
      </c>
      <c r="F445" s="11" t="str">
        <f>IFERROR(__xludf.DUMMYFUNCTION("""COMPUTED_VALUE"""),"Listicle")</f>
        <v>Listicle</v>
      </c>
      <c r="G445" s="11" t="b">
        <f>IFERROR(__xludf.DUMMYFUNCTION("""COMPUTED_VALUE"""),FALSE)</f>
        <v>0</v>
      </c>
      <c r="H445" s="11" t="str">
        <f>IFERROR(__xludf.DUMMYFUNCTION("""COMPUTED_VALUE"""),"Huge")</f>
        <v>Huge</v>
      </c>
      <c r="I445" s="11">
        <f>IFERROR(__xludf.DUMMYFUNCTION("""COMPUTED_VALUE"""),1.0)</f>
        <v>1</v>
      </c>
      <c r="J445" s="11">
        <f>IFERROR(__xludf.DUMMYFUNCTION("""COMPUTED_VALUE"""),0.0)</f>
        <v>0</v>
      </c>
      <c r="K445" s="11">
        <f>IFERROR(__xludf.DUMMYFUNCTION("""COMPUTED_VALUE"""),1.0)</f>
        <v>1</v>
      </c>
    </row>
    <row r="446" ht="15.75" customHeight="1">
      <c r="A446" s="8" t="str">
        <f>IFERROR(__xludf.DUMMYFUNCTION("""COMPUTED_VALUE"""),"https://vibebranding.com/blog/best-performance-marketing-agencies/")</f>
        <v>https://vibebranding.com/blog/best-performance-marketing-agencies/</v>
      </c>
      <c r="B446" s="11" t="str">
        <f>IFERROR(__xludf.DUMMYFUNCTION("""COMPUTED_VALUE"""),"Best Performance Marketing Agencies for ROI Growth 2025")</f>
        <v>Best Performance Marketing Agencies for ROI Growth 2025</v>
      </c>
      <c r="C446" s="8" t="str">
        <f>IFERROR(__xludf.DUMMYFUNCTION("""COMPUTED_VALUE"""),"vibebranding.com")</f>
        <v>vibebranding.com</v>
      </c>
      <c r="D446" s="11" t="str">
        <f>IFERROR(__xludf.DUMMYFUNCTION("""COMPUTED_VALUE"""),"LISTICLE")</f>
        <v>LISTICLE</v>
      </c>
      <c r="E446" s="11" t="str">
        <f>IFERROR(__xludf.DUMMYFUNCTION("""COMPUTED_VALUE"""),"CORPORATE")</f>
        <v>CORPORATE</v>
      </c>
      <c r="F446" s="11" t="str">
        <f>IFERROR(__xludf.DUMMYFUNCTION("""COMPUTED_VALUE"""),"Listicle")</f>
        <v>Listicle</v>
      </c>
      <c r="G446" s="11" t="b">
        <f>IFERROR(__xludf.DUMMYFUNCTION("""COMPUTED_VALUE"""),FALSE)</f>
        <v>0</v>
      </c>
      <c r="H446" s="11" t="str">
        <f>IFERROR(__xludf.DUMMYFUNCTION("""COMPUTED_VALUE"""),"Momentum")</f>
        <v>Momentum</v>
      </c>
      <c r="I446" s="11">
        <f>IFERROR(__xludf.DUMMYFUNCTION("""COMPUTED_VALUE"""),1.0)</f>
        <v>1</v>
      </c>
      <c r="J446" s="11">
        <f>IFERROR(__xludf.DUMMYFUNCTION("""COMPUTED_VALUE"""),0.0)</f>
        <v>0</v>
      </c>
      <c r="K446" s="11">
        <f>IFERROR(__xludf.DUMMYFUNCTION("""COMPUTED_VALUE"""),0.0)</f>
        <v>0</v>
      </c>
    </row>
    <row r="447" ht="15.75" customHeight="1">
      <c r="A447" s="8" t="str">
        <f>IFERROR(__xludf.DUMMYFUNCTION("""COMPUTED_VALUE"""),"https://viston.tech/top-10-ai-integration-consulting-firms-in-germany-for-2026/")</f>
        <v>https://viston.tech/top-10-ai-integration-consulting-firms-in-germany-for-2026/</v>
      </c>
      <c r="B447" s="11" t="str">
        <f>IFERROR(__xludf.DUMMYFUNCTION("""COMPUTED_VALUE"""),"Top 10 AI Integration Consulting Firms in Germany for 2026")</f>
        <v>Top 10 AI Integration Consulting Firms in Germany for 2026</v>
      </c>
      <c r="C447" s="11" t="str">
        <f>IFERROR(__xludf.DUMMYFUNCTION("""COMPUTED_VALUE"""),"viston.tech")</f>
        <v>viston.tech</v>
      </c>
      <c r="D447" s="11" t="str">
        <f>IFERROR(__xludf.DUMMYFUNCTION("""COMPUTED_VALUE"""),"LISTICLE")</f>
        <v>LISTICLE</v>
      </c>
      <c r="E447" s="11" t="str">
        <f>IFERROR(__xludf.DUMMYFUNCTION("""COMPUTED_VALUE"""),"CORPORATE")</f>
        <v>CORPORATE</v>
      </c>
      <c r="F447" s="11" t="str">
        <f>IFERROR(__xludf.DUMMYFUNCTION("""COMPUTED_VALUE"""),"Listicle")</f>
        <v>Listicle</v>
      </c>
      <c r="G447" s="11" t="b">
        <f>IFERROR(__xludf.DUMMYFUNCTION("""COMPUTED_VALUE"""),FALSE)</f>
        <v>0</v>
      </c>
      <c r="H447" s="11" t="str">
        <f>IFERROR(__xludf.DUMMYFUNCTION("""COMPUTED_VALUE"""),"PwC, Capgemini")</f>
        <v>PwC, Capgemini</v>
      </c>
      <c r="I447" s="11">
        <f>IFERROR(__xludf.DUMMYFUNCTION("""COMPUTED_VALUE"""),1.0)</f>
        <v>1</v>
      </c>
      <c r="J447" s="11">
        <f>IFERROR(__xludf.DUMMYFUNCTION("""COMPUTED_VALUE"""),0.0)</f>
        <v>0</v>
      </c>
      <c r="K447" s="11">
        <f>IFERROR(__xludf.DUMMYFUNCTION("""COMPUTED_VALUE"""),1.0)</f>
        <v>1</v>
      </c>
    </row>
    <row r="448" ht="15.75" customHeight="1">
      <c r="A448" s="8" t="str">
        <f>IFERROR(__xludf.DUMMYFUNCTION("""COMPUTED_VALUE"""),"https://vitasoft.co/de/best/geo-agentur-deutschland/")</f>
        <v>https://vitasoft.co/de/best/geo-agentur-deutschland/</v>
      </c>
      <c r="B448" s="11" t="str">
        <f>IFERROR(__xludf.DUMMYFUNCTION("""COMPUTED_VALUE"""),"Vitasoft Index — the best software &amp;amp; AI vendors, scored for AI search")</f>
        <v>Vitasoft Index — the best software &amp;amp; AI vendors, scored for AI search</v>
      </c>
      <c r="C448" s="8" t="str">
        <f>IFERROR(__xludf.DUMMYFUNCTION("""COMPUTED_VALUE"""),"vitasoft.co")</f>
        <v>vitasoft.co</v>
      </c>
      <c r="D448" s="11" t="str">
        <f>IFERROR(__xludf.DUMMYFUNCTION("""COMPUTED_VALUE"""),"LISTICLE")</f>
        <v>LISTICLE</v>
      </c>
      <c r="E448" s="11" t="str">
        <f>IFERROR(__xludf.DUMMYFUNCTION("""COMPUTED_VALUE"""),"REFERENCE")</f>
        <v>REFERENCE</v>
      </c>
      <c r="F448" s="11" t="str">
        <f>IFERROR(__xludf.DUMMYFUNCTION("""COMPUTED_VALUE"""),"Listicle")</f>
        <v>Listicle</v>
      </c>
      <c r="G448" s="11" t="b">
        <f>IFERROR(__xludf.DUMMYFUNCTION("""COMPUTED_VALUE"""),FALSE)</f>
        <v>0</v>
      </c>
      <c r="H448" s="11" t="str">
        <f>IFERROR(__xludf.DUMMYFUNCTION("""COMPUTED_VALUE"""),"Power Digital, WebFX, Peak Ace")</f>
        <v>Power Digital, WebFX, Peak Ace</v>
      </c>
      <c r="I448" s="11">
        <f>IFERROR(__xludf.DUMMYFUNCTION("""COMPUTED_VALUE"""),1.0)</f>
        <v>1</v>
      </c>
      <c r="J448" s="11">
        <f>IFERROR(__xludf.DUMMYFUNCTION("""COMPUTED_VALUE"""),0.0)</f>
        <v>0</v>
      </c>
      <c r="K448" s="11">
        <f>IFERROR(__xludf.DUMMYFUNCTION("""COMPUTED_VALUE"""),4.0)</f>
        <v>4</v>
      </c>
    </row>
    <row r="449" ht="15.75" customHeight="1">
      <c r="A449" s="8" t="str">
        <f>IFERROR(__xludf.DUMMYFUNCTION("""COMPUTED_VALUE"""),"https://www.weareqry.com/blog/best-paid-media-agencies")</f>
        <v>https://www.weareqry.com/blog/best-paid-media-agencies</v>
      </c>
      <c r="B449" s="11" t="str">
        <f>IFERROR(__xludf.DUMMYFUNCTION("""COMPUTED_VALUE"""),"Best Paid Media Agencies for 2026 | QRY")</f>
        <v>Best Paid Media Agencies for 2026 | QRY</v>
      </c>
      <c r="C449" s="8" t="str">
        <f>IFERROR(__xludf.DUMMYFUNCTION("""COMPUTED_VALUE"""),"weareqry.com")</f>
        <v>weareqry.com</v>
      </c>
      <c r="D449" s="11" t="str">
        <f>IFERROR(__xludf.DUMMYFUNCTION("""COMPUTED_VALUE"""),"LISTICLE")</f>
        <v>LISTICLE</v>
      </c>
      <c r="E449" s="11" t="str">
        <f>IFERROR(__xludf.DUMMYFUNCTION("""COMPUTED_VALUE"""),"CORPORATE")</f>
        <v>CORPORATE</v>
      </c>
      <c r="F449" s="11" t="str">
        <f>IFERROR(__xludf.DUMMYFUNCTION("""COMPUTED_VALUE"""),"Listicle")</f>
        <v>Listicle</v>
      </c>
      <c r="G449" s="11" t="b">
        <f>IFERROR(__xludf.DUMMYFUNCTION("""COMPUTED_VALUE"""),FALSE)</f>
        <v>0</v>
      </c>
      <c r="H449" s="11" t="str">
        <f>IFERROR(__xludf.DUMMYFUNCTION("""COMPUTED_VALUE"""),"Wpromote, Power Digital, WebFX, Single Grain, Omnicom, Tinuiti")</f>
        <v>Wpromote, Power Digital, WebFX, Single Grain, Omnicom, Tinuiti</v>
      </c>
      <c r="I449" s="11">
        <f>IFERROR(__xludf.DUMMYFUNCTION("""COMPUTED_VALUE"""),1.0)</f>
        <v>1</v>
      </c>
      <c r="J449" s="11">
        <f>IFERROR(__xludf.DUMMYFUNCTION("""COMPUTED_VALUE"""),0.0)</f>
        <v>0</v>
      </c>
      <c r="K449" s="11">
        <f>IFERROR(__xludf.DUMMYFUNCTION("""COMPUTED_VALUE"""),4.0)</f>
        <v>4</v>
      </c>
    </row>
    <row r="450" ht="15.75" customHeight="1">
      <c r="A450" s="8" t="str">
        <f>IFERROR(__xludf.DUMMYFUNCTION("""COMPUTED_VALUE"""),"https://www.weareqry.com/blog/best-performance-marketing-agencies")</f>
        <v>https://www.weareqry.com/blog/best-performance-marketing-agencies</v>
      </c>
      <c r="B450" s="11" t="str">
        <f>IFERROR(__xludf.DUMMYFUNCTION("""COMPUTED_VALUE"""),"Best Performance Marketing Agencies for 2026 | QRY")</f>
        <v>Best Performance Marketing Agencies for 2026 | QRY</v>
      </c>
      <c r="C450" s="8" t="str">
        <f>IFERROR(__xludf.DUMMYFUNCTION("""COMPUTED_VALUE"""),"weareqry.com")</f>
        <v>weareqry.com</v>
      </c>
      <c r="D450" s="11" t="str">
        <f>IFERROR(__xludf.DUMMYFUNCTION("""COMPUTED_VALUE"""),"LISTICLE")</f>
        <v>LISTICLE</v>
      </c>
      <c r="E450" s="11" t="str">
        <f>IFERROR(__xludf.DUMMYFUNCTION("""COMPUTED_VALUE"""),"CORPORATE")</f>
        <v>CORPORATE</v>
      </c>
      <c r="F450" s="11" t="str">
        <f>IFERROR(__xludf.DUMMYFUNCTION("""COMPUTED_VALUE"""),"Listicle")</f>
        <v>Listicle</v>
      </c>
      <c r="G450" s="11" t="b">
        <f>IFERROR(__xludf.DUMMYFUNCTION("""COMPUTED_VALUE"""),FALSE)</f>
        <v>0</v>
      </c>
      <c r="H450" s="11" t="str">
        <f>IFERROR(__xludf.DUMMYFUNCTION("""COMPUTED_VALUE"""),"Measured, Tinuiti, Power Digital, NoGood, Hawke Media")</f>
        <v>Measured, Tinuiti, Power Digital, NoGood, Hawke Media</v>
      </c>
      <c r="I450" s="11">
        <f>IFERROR(__xludf.DUMMYFUNCTION("""COMPUTED_VALUE"""),1.0)</f>
        <v>1</v>
      </c>
      <c r="J450" s="11">
        <f>IFERROR(__xludf.DUMMYFUNCTION("""COMPUTED_VALUE"""),0.0)</f>
        <v>0</v>
      </c>
      <c r="K450" s="11">
        <f>IFERROR(__xludf.DUMMYFUNCTION("""COMPUTED_VALUE"""),0.0)</f>
        <v>0</v>
      </c>
    </row>
    <row r="451" ht="15.75" customHeight="1">
      <c r="A451" s="8" t="str">
        <f>IFERROR(__xludf.DUMMYFUNCTION("""COMPUTED_VALUE"""),"https://www.wearetenet.com/blog/best-ai-seo-agencies")</f>
        <v>https://www.wearetenet.com/blog/best-ai-seo-agencies</v>
      </c>
      <c r="B451" s="11" t="str">
        <f>IFERROR(__xludf.DUMMYFUNCTION("""COMPUTED_VALUE"""),"10 Best AI SEO Agencies to Win in AI Overviews and LLMs")</f>
        <v>10 Best AI SEO Agencies to Win in AI Overviews and LLMs</v>
      </c>
      <c r="C451" s="8" t="str">
        <f>IFERROR(__xludf.DUMMYFUNCTION("""COMPUTED_VALUE"""),"wearetenet.com")</f>
        <v>wearetenet.com</v>
      </c>
      <c r="D451" s="11" t="str">
        <f>IFERROR(__xludf.DUMMYFUNCTION("""COMPUTED_VALUE"""),"LISTICLE")</f>
        <v>LISTICLE</v>
      </c>
      <c r="E451" s="11" t="str">
        <f>IFERROR(__xludf.DUMMYFUNCTION("""COMPUTED_VALUE"""),"CORPORATE")</f>
        <v>CORPORATE</v>
      </c>
      <c r="F451" s="11" t="str">
        <f>IFERROR(__xludf.DUMMYFUNCTION("""COMPUTED_VALUE"""),"Listicle")</f>
        <v>Listicle</v>
      </c>
      <c r="G451" s="11" t="b">
        <f>IFERROR(__xludf.DUMMYFUNCTION("""COMPUTED_VALUE"""),FALSE)</f>
        <v>0</v>
      </c>
      <c r="H451" s="11"/>
      <c r="I451" s="11">
        <f>IFERROR(__xludf.DUMMYFUNCTION("""COMPUTED_VALUE"""),1.0)</f>
        <v>1</v>
      </c>
      <c r="J451" s="11">
        <f>IFERROR(__xludf.DUMMYFUNCTION("""COMPUTED_VALUE"""),0.0)</f>
        <v>0</v>
      </c>
      <c r="K451" s="11">
        <f>IFERROR(__xludf.DUMMYFUNCTION("""COMPUTED_VALUE"""),1.0)</f>
        <v>1</v>
      </c>
    </row>
    <row r="452" ht="15.75" customHeight="1">
      <c r="A452" s="8" t="str">
        <f>IFERROR(__xludf.DUMMYFUNCTION("""COMPUTED_VALUE"""),"https://www.webfx.com/digital-marketing/learn/top-martech-companies/")</f>
        <v>https://www.webfx.com/digital-marketing/learn/top-martech-companies/</v>
      </c>
      <c r="B452" s="11" t="str">
        <f>IFERROR(__xludf.DUMMYFUNCTION("""COMPUTED_VALUE"""),"9 Top Martech Companies of 2026 in the World")</f>
        <v>9 Top Martech Companies of 2026 in the World</v>
      </c>
      <c r="C452" s="8" t="str">
        <f>IFERROR(__xludf.DUMMYFUNCTION("""COMPUTED_VALUE"""),"webfx.com")</f>
        <v>webfx.com</v>
      </c>
      <c r="D452" s="11" t="str">
        <f>IFERROR(__xludf.DUMMYFUNCTION("""COMPUTED_VALUE"""),"LISTICLE")</f>
        <v>LISTICLE</v>
      </c>
      <c r="E452" s="11" t="str">
        <f>IFERROR(__xludf.DUMMYFUNCTION("""COMPUTED_VALUE"""),"COMPETITOR")</f>
        <v>COMPETITOR</v>
      </c>
      <c r="F452" s="11" t="str">
        <f>IFERROR(__xludf.DUMMYFUNCTION("""COMPUTED_VALUE"""),"Listicle")</f>
        <v>Listicle</v>
      </c>
      <c r="G452" s="11" t="b">
        <f>IFERROR(__xludf.DUMMYFUNCTION("""COMPUTED_VALUE"""),FALSE)</f>
        <v>0</v>
      </c>
      <c r="H452" s="11" t="str">
        <f>IFERROR(__xludf.DUMMYFUNCTION("""COMPUTED_VALUE"""),"WebFX")</f>
        <v>WebFX</v>
      </c>
      <c r="I452" s="11">
        <f>IFERROR(__xludf.DUMMYFUNCTION("""COMPUTED_VALUE"""),1.0)</f>
        <v>1</v>
      </c>
      <c r="J452" s="11">
        <f>IFERROR(__xludf.DUMMYFUNCTION("""COMPUTED_VALUE"""),0.0)</f>
        <v>0</v>
      </c>
      <c r="K452" s="11">
        <f>IFERROR(__xludf.DUMMYFUNCTION("""COMPUTED_VALUE"""),1.0)</f>
        <v>1</v>
      </c>
    </row>
    <row r="453" ht="15.75" customHeight="1">
      <c r="A453" s="8" t="str">
        <f>IFERROR(__xludf.DUMMYFUNCTION("""COMPUTED_VALUE"""),"https://webguruz.in/blog/best-google-ads-agencies-india")</f>
        <v>https://webguruz.in/blog/best-google-ads-agencies-india</v>
      </c>
      <c r="B453" s="11" t="str">
        <f>IFERROR(__xludf.DUMMYFUNCTION("""COMPUTED_VALUE"""),"Top 5 Google Ads Agencies in India for Lead Generation")</f>
        <v>Top 5 Google Ads Agencies in India for Lead Generation</v>
      </c>
      <c r="C453" s="8" t="str">
        <f>IFERROR(__xludf.DUMMYFUNCTION("""COMPUTED_VALUE"""),"webguruz.in")</f>
        <v>webguruz.in</v>
      </c>
      <c r="D453" s="11" t="str">
        <f>IFERROR(__xludf.DUMMYFUNCTION("""COMPUTED_VALUE"""),"LISTICLE")</f>
        <v>LISTICLE</v>
      </c>
      <c r="E453" s="11" t="str">
        <f>IFERROR(__xludf.DUMMYFUNCTION("""COMPUTED_VALUE"""),"CORPORATE")</f>
        <v>CORPORATE</v>
      </c>
      <c r="F453" s="11" t="str">
        <f>IFERROR(__xludf.DUMMYFUNCTION("""COMPUTED_VALUE"""),"Listicle")</f>
        <v>Listicle</v>
      </c>
      <c r="G453" s="11" t="b">
        <f>IFERROR(__xludf.DUMMYFUNCTION("""COMPUTED_VALUE"""),FALSE)</f>
        <v>0</v>
      </c>
      <c r="H453" s="11" t="str">
        <f>IFERROR(__xludf.DUMMYFUNCTION("""COMPUTED_VALUE"""),"Publicis Groupe, Measured")</f>
        <v>Publicis Groupe, Measured</v>
      </c>
      <c r="I453" s="11">
        <f>IFERROR(__xludf.DUMMYFUNCTION("""COMPUTED_VALUE"""),1.0)</f>
        <v>1</v>
      </c>
      <c r="J453" s="11">
        <f>IFERROR(__xludf.DUMMYFUNCTION("""COMPUTED_VALUE"""),0.0)</f>
        <v>0</v>
      </c>
      <c r="K453" s="11">
        <f>IFERROR(__xludf.DUMMYFUNCTION("""COMPUTED_VALUE"""),0.0)</f>
        <v>0</v>
      </c>
    </row>
    <row r="454" ht="15.75" customHeight="1">
      <c r="A454" s="8" t="str">
        <f>IFERROR(__xludf.DUMMYFUNCTION("""COMPUTED_VALUE"""),"https://www.webtonic.io/blog/best-performance-marketing-agencies-2026")</f>
        <v>https://www.webtonic.io/blog/best-performance-marketing-agencies-2026</v>
      </c>
      <c r="B454" s="11" t="str">
        <f>IFERROR(__xludf.DUMMYFUNCTION("""COMPUTED_VALUE"""),"28 Best Performance Marketing Agencies for 2026")</f>
        <v>28 Best Performance Marketing Agencies for 2026</v>
      </c>
      <c r="C454" s="8" t="str">
        <f>IFERROR(__xludf.DUMMYFUNCTION("""COMPUTED_VALUE"""),"webtonic.io")</f>
        <v>webtonic.io</v>
      </c>
      <c r="D454" s="11" t="str">
        <f>IFERROR(__xludf.DUMMYFUNCTION("""COMPUTED_VALUE"""),"LISTICLE")</f>
        <v>LISTICLE</v>
      </c>
      <c r="E454" s="11" t="str">
        <f>IFERROR(__xludf.DUMMYFUNCTION("""COMPUTED_VALUE"""),"CORPORATE")</f>
        <v>CORPORATE</v>
      </c>
      <c r="F454" s="11" t="str">
        <f>IFERROR(__xludf.DUMMYFUNCTION("""COMPUTED_VALUE"""),"Listicle")</f>
        <v>Listicle</v>
      </c>
      <c r="G454" s="11" t="b">
        <f>IFERROR(__xludf.DUMMYFUNCTION("""COMPUTED_VALUE"""),FALSE)</f>
        <v>0</v>
      </c>
      <c r="H454" s="11" t="str">
        <f>IFERROR(__xludf.DUMMYFUNCTION("""COMPUTED_VALUE"""),"Wpromote, Tinuiti, Brainlabs, Jellyfish, Croud, KlientBoost, Disruptive Advertising, NoGood, Power Digital, Directive Consulting, Hawke Media, Single Grain")</f>
        <v>Wpromote, Tinuiti, Brainlabs, Jellyfish, Croud, KlientBoost, Disruptive Advertising, NoGood, Power Digital, Directive Consulting, Hawke Media, Single Grain</v>
      </c>
      <c r="I454" s="11">
        <f>IFERROR(__xludf.DUMMYFUNCTION("""COMPUTED_VALUE"""),1.0)</f>
        <v>1</v>
      </c>
      <c r="J454" s="11">
        <f>IFERROR(__xludf.DUMMYFUNCTION("""COMPUTED_VALUE"""),0.0)</f>
        <v>0</v>
      </c>
      <c r="K454" s="11">
        <f>IFERROR(__xludf.DUMMYFUNCTION("""COMPUTED_VALUE"""),0.0)</f>
        <v>0</v>
      </c>
    </row>
    <row r="455" ht="15.75" customHeight="1">
      <c r="A455" s="8" t="str">
        <f>IFERROR(__xludf.DUMMYFUNCTION("""COMPUTED_VALUE"""),"https://weframetech.com/blog/top-ai-seo-agencies-in-berlin-7-firms-leading-in-2026")</f>
        <v>https://weframetech.com/blog/top-ai-seo-agencies-in-berlin-7-firms-leading-in-2026</v>
      </c>
      <c r="B455" s="11" t="str">
        <f>IFERROR(__xludf.DUMMYFUNCTION("""COMPUTED_VALUE"""),"Top 7 AI SEO Agencies in Berlin 2026 Proof? I got you, bruh")</f>
        <v>Top 7 AI SEO Agencies in Berlin 2026 Proof? I got you, bruh</v>
      </c>
      <c r="C455" s="8" t="str">
        <f>IFERROR(__xludf.DUMMYFUNCTION("""COMPUTED_VALUE"""),"weframetech.com")</f>
        <v>weframetech.com</v>
      </c>
      <c r="D455" s="11" t="str">
        <f>IFERROR(__xludf.DUMMYFUNCTION("""COMPUTED_VALUE"""),"LISTICLE")</f>
        <v>LISTICLE</v>
      </c>
      <c r="E455" s="11" t="str">
        <f>IFERROR(__xludf.DUMMYFUNCTION("""COMPUTED_VALUE"""),"CORPORATE")</f>
        <v>CORPORATE</v>
      </c>
      <c r="F455" s="11" t="str">
        <f>IFERROR(__xludf.DUMMYFUNCTION("""COMPUTED_VALUE"""),"Listicle")</f>
        <v>Listicle</v>
      </c>
      <c r="G455" s="11" t="b">
        <f>IFERROR(__xludf.DUMMYFUNCTION("""COMPUTED_VALUE"""),FALSE)</f>
        <v>0</v>
      </c>
      <c r="H455" s="11" t="str">
        <f>IFERROR(__xludf.DUMMYFUNCTION("""COMPUTED_VALUE"""),"Claneo")</f>
        <v>Claneo</v>
      </c>
      <c r="I455" s="11">
        <f>IFERROR(__xludf.DUMMYFUNCTION("""COMPUTED_VALUE"""),1.0)</f>
        <v>1</v>
      </c>
      <c r="J455" s="11">
        <f>IFERROR(__xludf.DUMMYFUNCTION("""COMPUTED_VALUE"""),0.0)</f>
        <v>0</v>
      </c>
      <c r="K455" s="11">
        <f>IFERROR(__xludf.DUMMYFUNCTION("""COMPUTED_VALUE"""),0.0)</f>
        <v>0</v>
      </c>
    </row>
    <row r="456" ht="15.75" customHeight="1">
      <c r="A456" s="8" t="str">
        <f>IFERROR(__xludf.DUMMYFUNCTION("""COMPUTED_VALUE"""),"https://wellows.com/blog/top-ai-seo-agencies/")</f>
        <v>https://wellows.com/blog/top-ai-seo-agencies/</v>
      </c>
      <c r="B456" s="11" t="str">
        <f>IFERROR(__xludf.DUMMYFUNCTION("""COMPUTED_VALUE"""),"17 Top AI SEO agencies in 2026")</f>
        <v>17 Top AI SEO agencies in 2026</v>
      </c>
      <c r="C456" s="8" t="str">
        <f>IFERROR(__xludf.DUMMYFUNCTION("""COMPUTED_VALUE"""),"wellows.com")</f>
        <v>wellows.com</v>
      </c>
      <c r="D456" s="11" t="str">
        <f>IFERROR(__xludf.DUMMYFUNCTION("""COMPUTED_VALUE"""),"LISTICLE")</f>
        <v>LISTICLE</v>
      </c>
      <c r="E456" s="11" t="str">
        <f>IFERROR(__xludf.DUMMYFUNCTION("""COMPUTED_VALUE"""),"CORPORATE")</f>
        <v>CORPORATE</v>
      </c>
      <c r="F456" s="11" t="str">
        <f>IFERROR(__xludf.DUMMYFUNCTION("""COMPUTED_VALUE"""),"Listicle")</f>
        <v>Listicle</v>
      </c>
      <c r="G456" s="11" t="b">
        <f>IFERROR(__xludf.DUMMYFUNCTION("""COMPUTED_VALUE"""),FALSE)</f>
        <v>0</v>
      </c>
      <c r="H456" s="11" t="str">
        <f>IFERROR(__xludf.DUMMYFUNCTION("""COMPUTED_VALUE"""),"iPullRank, Omnius, WebFX, NoGood, Measured")</f>
        <v>iPullRank, Omnius, WebFX, NoGood, Measured</v>
      </c>
      <c r="I456" s="11">
        <f>IFERROR(__xludf.DUMMYFUNCTION("""COMPUTED_VALUE"""),1.0)</f>
        <v>1</v>
      </c>
      <c r="J456" s="11">
        <f>IFERROR(__xludf.DUMMYFUNCTION("""COMPUTED_VALUE"""),0.0)</f>
        <v>0</v>
      </c>
      <c r="K456" s="11">
        <f>IFERROR(__xludf.DUMMYFUNCTION("""COMPUTED_VALUE"""),1.0)</f>
        <v>1</v>
      </c>
    </row>
    <row r="457" ht="15.75" customHeight="1">
      <c r="A457" s="8" t="str">
        <f>IFERROR(__xludf.DUMMYFUNCTION("""COMPUTED_VALUE"""),"https://www.werbeagentur.de/de/scoring/digital-online-agentur")</f>
        <v>https://www.werbeagentur.de/de/scoring/digital-online-agentur</v>
      </c>
      <c r="B457" s="11" t="str">
        <f>IFERROR(__xludf.DUMMYFUNCTION("""COMPUTED_VALUE"""),"1068 Top Digital / Online Agenturen. Hier vergleichen")</f>
        <v>1068 Top Digital / Online Agenturen. Hier vergleichen</v>
      </c>
      <c r="C457" s="8" t="str">
        <f>IFERROR(__xludf.DUMMYFUNCTION("""COMPUTED_VALUE"""),"werbeagentur.de")</f>
        <v>werbeagentur.de</v>
      </c>
      <c r="D457" s="11" t="str">
        <f>IFERROR(__xludf.DUMMYFUNCTION("""COMPUTED_VALUE"""),"LISTICLE")</f>
        <v>LISTICLE</v>
      </c>
      <c r="E457" s="11" t="str">
        <f>IFERROR(__xludf.DUMMYFUNCTION("""COMPUTED_VALUE"""),"REFERENCE")</f>
        <v>REFERENCE</v>
      </c>
      <c r="F457" s="11" t="str">
        <f>IFERROR(__xludf.DUMMYFUNCTION("""COMPUTED_VALUE"""),"Listicle")</f>
        <v>Listicle</v>
      </c>
      <c r="G457" s="11" t="b">
        <f>IFERROR(__xludf.DUMMYFUNCTION("""COMPUTED_VALUE"""),FALSE)</f>
        <v>0</v>
      </c>
      <c r="H457" s="11" t="str">
        <f>IFERROR(__xludf.DUMMYFUNCTION("""COMPUTED_VALUE"""),"Artefact, Smarketer, Seiten-Werk, ZweiDigital GmbH, Digital Masters GmbH, Löwenstark, Baseplus DIGITAL MEDIA GmbH, eMinded GmbH, morefire, Loyamo, Aufgesang, PANORAMA3000")</f>
        <v>Artefact, Smarketer, Seiten-Werk, ZweiDigital GmbH, Digital Masters GmbH, Löwenstark, Baseplus DIGITAL MEDIA GmbH, eMinded GmbH, morefire, Loyamo, Aufgesang, PANORAMA3000</v>
      </c>
      <c r="I457" s="11">
        <f>IFERROR(__xludf.DUMMYFUNCTION("""COMPUTED_VALUE"""),1.0)</f>
        <v>1</v>
      </c>
      <c r="J457" s="11">
        <f>IFERROR(__xludf.DUMMYFUNCTION("""COMPUTED_VALUE"""),0.0)</f>
        <v>0</v>
      </c>
      <c r="K457" s="11">
        <f>IFERROR(__xludf.DUMMYFUNCTION("""COMPUTED_VALUE"""),1.0)</f>
        <v>1</v>
      </c>
    </row>
    <row r="458" ht="15.75" customHeight="1">
      <c r="A458" s="8" t="str">
        <f>IFERROR(__xludf.DUMMYFUNCTION("""COMPUTED_VALUE"""),"https://westoperators.com/blog/top-7-aeo-agencies")</f>
        <v>https://westoperators.com/blog/top-7-aeo-agencies</v>
      </c>
      <c r="B458" s="11" t="str">
        <f>IFERROR(__xludf.DUMMYFUNCTION("""COMPUTED_VALUE"""),"Top AI search optimization agencies (AEO) in 2025-2026 | West Operators")</f>
        <v>Top AI search optimization agencies (AEO) in 2025-2026 | West Operators</v>
      </c>
      <c r="C458" s="8" t="str">
        <f>IFERROR(__xludf.DUMMYFUNCTION("""COMPUTED_VALUE"""),"westoperators.com")</f>
        <v>westoperators.com</v>
      </c>
      <c r="D458" s="11" t="str">
        <f>IFERROR(__xludf.DUMMYFUNCTION("""COMPUTED_VALUE"""),"LISTICLE")</f>
        <v>LISTICLE</v>
      </c>
      <c r="E458" s="11" t="str">
        <f>IFERROR(__xludf.DUMMYFUNCTION("""COMPUTED_VALUE"""),"CORPORATE")</f>
        <v>CORPORATE</v>
      </c>
      <c r="F458" s="11" t="str">
        <f>IFERROR(__xludf.DUMMYFUNCTION("""COMPUTED_VALUE"""),"Listicle")</f>
        <v>Listicle</v>
      </c>
      <c r="G458" s="11" t="b">
        <f>IFERROR(__xludf.DUMMYFUNCTION("""COMPUTED_VALUE"""),FALSE)</f>
        <v>0</v>
      </c>
      <c r="H458" s="11" t="str">
        <f>IFERROR(__xludf.DUMMYFUNCTION("""COMPUTED_VALUE"""),"Omniscient Digital, iPullRank, Siege Media, Single Grain")</f>
        <v>Omniscient Digital, iPullRank, Siege Media, Single Grain</v>
      </c>
      <c r="I458" s="11">
        <f>IFERROR(__xludf.DUMMYFUNCTION("""COMPUTED_VALUE"""),1.0)</f>
        <v>1</v>
      </c>
      <c r="J458" s="11">
        <f>IFERROR(__xludf.DUMMYFUNCTION("""COMPUTED_VALUE"""),0.0)</f>
        <v>0</v>
      </c>
      <c r="K458" s="11">
        <f>IFERROR(__xludf.DUMMYFUNCTION("""COMPUTED_VALUE"""),0.0)</f>
        <v>0</v>
      </c>
    </row>
    <row r="459" ht="15.75" customHeight="1">
      <c r="A459" s="8" t="str">
        <f>IFERROR(__xludf.DUMMYFUNCTION("""COMPUTED_VALUE"""),"https://www.wetracked.io/de/post/marketing-attribution-tools")</f>
        <v>https://www.wetracked.io/de/post/marketing-attribution-tools</v>
      </c>
      <c r="B459" s="11" t="str">
        <f>IFERROR(__xludf.DUMMYFUNCTION("""COMPUTED_VALUE"""),"Die 13 besten Marketing-Attributions-Tools für umsetzbare Erkenntnisse (2026) | wetracked.io")</f>
        <v>Die 13 besten Marketing-Attributions-Tools für umsetzbare Erkenntnisse (2026) | wetracked.io</v>
      </c>
      <c r="C459" s="8" t="str">
        <f>IFERROR(__xludf.DUMMYFUNCTION("""COMPUTED_VALUE"""),"wetracked.io")</f>
        <v>wetracked.io</v>
      </c>
      <c r="D459" s="11" t="str">
        <f>IFERROR(__xludf.DUMMYFUNCTION("""COMPUTED_VALUE"""),"LISTICLE")</f>
        <v>LISTICLE</v>
      </c>
      <c r="E459" s="11" t="str">
        <f>IFERROR(__xludf.DUMMYFUNCTION("""COMPUTED_VALUE"""),"CORPORATE")</f>
        <v>CORPORATE</v>
      </c>
      <c r="F459" s="11" t="str">
        <f>IFERROR(__xludf.DUMMYFUNCTION("""COMPUTED_VALUE"""),"Listicle")</f>
        <v>Listicle</v>
      </c>
      <c r="G459" s="11" t="b">
        <f>IFERROR(__xludf.DUMMYFUNCTION("""COMPUTED_VALUE"""),FALSE)</f>
        <v>0</v>
      </c>
      <c r="H459" s="11" t="str">
        <f>IFERROR(__xludf.DUMMYFUNCTION("""COMPUTED_VALUE"""),"Cometly, Triple Whale, Ruler Analytics")</f>
        <v>Cometly, Triple Whale, Ruler Analytics</v>
      </c>
      <c r="I459" s="11">
        <f>IFERROR(__xludf.DUMMYFUNCTION("""COMPUTED_VALUE"""),1.0)</f>
        <v>1</v>
      </c>
      <c r="J459" s="11">
        <f>IFERROR(__xludf.DUMMYFUNCTION("""COMPUTED_VALUE"""),0.0)</f>
        <v>0</v>
      </c>
      <c r="K459" s="11">
        <f>IFERROR(__xludf.DUMMYFUNCTION("""COMPUTED_VALUE"""),0.0)</f>
        <v>0</v>
      </c>
    </row>
    <row r="460" ht="15.75" customHeight="1">
      <c r="A460" s="8" t="str">
        <f>IFERROR(__xludf.DUMMYFUNCTION("""COMPUTED_VALUE"""),"https://wifitalents.com/service/ai-adoption/")</f>
        <v>https://wifitalents.com/service/ai-adoption/</v>
      </c>
      <c r="B460" s="11" t="str">
        <f>IFERROR(__xludf.DUMMYFUNCTION("""COMPUTED_VALUE"""),"Top AI Adoption Services (2026)")</f>
        <v>Top AI Adoption Services (2026)</v>
      </c>
      <c r="C460" s="8" t="str">
        <f>IFERROR(__xludf.DUMMYFUNCTION("""COMPUTED_VALUE"""),"wifitalents.com")</f>
        <v>wifitalents.com</v>
      </c>
      <c r="D460" s="11" t="str">
        <f>IFERROR(__xludf.DUMMYFUNCTION("""COMPUTED_VALUE"""),"LISTICLE")</f>
        <v>LISTICLE</v>
      </c>
      <c r="E460" s="11" t="str">
        <f>IFERROR(__xludf.DUMMYFUNCTION("""COMPUTED_VALUE"""),"REFERENCE")</f>
        <v>REFERENCE</v>
      </c>
      <c r="F460" s="11" t="str">
        <f>IFERROR(__xludf.DUMMYFUNCTION("""COMPUTED_VALUE"""),"Listicle")</f>
        <v>Listicle</v>
      </c>
      <c r="G460" s="11" t="b">
        <f>IFERROR(__xludf.DUMMYFUNCTION("""COMPUTED_VALUE"""),FALSE)</f>
        <v>0</v>
      </c>
      <c r="H460" s="11" t="str">
        <f>IFERROR(__xludf.DUMMYFUNCTION("""COMPUTED_VALUE"""),"PwC, Capgemini, Pilot, appliedAI, Momentum")</f>
        <v>PwC, Capgemini, Pilot, appliedAI, Momentum</v>
      </c>
      <c r="I460" s="11">
        <f>IFERROR(__xludf.DUMMYFUNCTION("""COMPUTED_VALUE"""),1.0)</f>
        <v>1</v>
      </c>
      <c r="J460" s="11">
        <f>IFERROR(__xludf.DUMMYFUNCTION("""COMPUTED_VALUE"""),0.0)</f>
        <v>0</v>
      </c>
      <c r="K460" s="11">
        <f>IFERROR(__xludf.DUMMYFUNCTION("""COMPUTED_VALUE"""),2.0)</f>
        <v>2</v>
      </c>
    </row>
    <row r="461" ht="15.75" customHeight="1">
      <c r="A461" s="8" t="str">
        <f>IFERROR(__xludf.DUMMYFUNCTION("""COMPUTED_VALUE"""),"https://worldmetrics.org/service/ai-adoption/")</f>
        <v>https://worldmetrics.org/service/ai-adoption/</v>
      </c>
      <c r="B461" s="11" t="str">
        <f>IFERROR(__xludf.DUMMYFUNCTION("""COMPUTED_VALUE"""),"Top 10 Best AI Adoption Services | 2026 Expert Picks")</f>
        <v>Top 10 Best AI Adoption Services | 2026 Expert Picks</v>
      </c>
      <c r="C461" s="8" t="str">
        <f>IFERROR(__xludf.DUMMYFUNCTION("""COMPUTED_VALUE"""),"worldmetrics.org")</f>
        <v>worldmetrics.org</v>
      </c>
      <c r="D461" s="11" t="str">
        <f>IFERROR(__xludf.DUMMYFUNCTION("""COMPUTED_VALUE"""),"LISTICLE")</f>
        <v>LISTICLE</v>
      </c>
      <c r="E461" s="11" t="str">
        <f>IFERROR(__xludf.DUMMYFUNCTION("""COMPUTED_VALUE"""),"REFERENCE")</f>
        <v>REFERENCE</v>
      </c>
      <c r="F461" s="11" t="str">
        <f>IFERROR(__xludf.DUMMYFUNCTION("""COMPUTED_VALUE"""),"Listicle")</f>
        <v>Listicle</v>
      </c>
      <c r="G461" s="11" t="b">
        <f>IFERROR(__xludf.DUMMYFUNCTION("""COMPUTED_VALUE"""),FALSE)</f>
        <v>0</v>
      </c>
      <c r="H461" s="11" t="str">
        <f>IFERROR(__xludf.DUMMYFUNCTION("""COMPUTED_VALUE"""),"PwC, EY, Capgemini, appliedAI, Pilot, Momentum")</f>
        <v>PwC, EY, Capgemini, appliedAI, Pilot, Momentum</v>
      </c>
      <c r="I461" s="11">
        <f>IFERROR(__xludf.DUMMYFUNCTION("""COMPUTED_VALUE"""),1.0)</f>
        <v>1</v>
      </c>
      <c r="J461" s="11">
        <f>IFERROR(__xludf.DUMMYFUNCTION("""COMPUTED_VALUE"""),0.0)</f>
        <v>0</v>
      </c>
      <c r="K461" s="11">
        <f>IFERROR(__xludf.DUMMYFUNCTION("""COMPUTED_VALUE"""),0.0)</f>
        <v>0</v>
      </c>
    </row>
    <row r="462" ht="15.75" customHeight="1">
      <c r="A462" s="8" t="str">
        <f>IFERROR(__xludf.DUMMYFUNCTION("""COMPUTED_VALUE"""),"https://worldmetrics.org/service/data-marketing/")</f>
        <v>https://worldmetrics.org/service/data-marketing/</v>
      </c>
      <c r="B462" s="11" t="str">
        <f>IFERROR(__xludf.DUMMYFUNCTION("""COMPUTED_VALUE"""),"Best Data Marketing Services (2026)")</f>
        <v>Best Data Marketing Services (2026)</v>
      </c>
      <c r="C462" s="8" t="str">
        <f>IFERROR(__xludf.DUMMYFUNCTION("""COMPUTED_VALUE"""),"worldmetrics.org")</f>
        <v>worldmetrics.org</v>
      </c>
      <c r="D462" s="11" t="str">
        <f>IFERROR(__xludf.DUMMYFUNCTION("""COMPUTED_VALUE"""),"LISTICLE")</f>
        <v>LISTICLE</v>
      </c>
      <c r="E462" s="11" t="str">
        <f>IFERROR(__xludf.DUMMYFUNCTION("""COMPUTED_VALUE"""),"REFERENCE")</f>
        <v>REFERENCE</v>
      </c>
      <c r="F462" s="11" t="str">
        <f>IFERROR(__xludf.DUMMYFUNCTION("""COMPUTED_VALUE"""),"Listicle")</f>
        <v>Listicle</v>
      </c>
      <c r="G462" s="11" t="b">
        <f>IFERROR(__xludf.DUMMYFUNCTION("""COMPUTED_VALUE"""),FALSE)</f>
        <v>0</v>
      </c>
      <c r="H462" s="11" t="str">
        <f>IFERROR(__xludf.DUMMYFUNCTION("""COMPUTED_VALUE"""),"Merkle, Dentsu, Publicis Groupe, WPP, EY, Kantar, iProspect")</f>
        <v>Merkle, Dentsu, Publicis Groupe, WPP, EY, Kantar, iProspect</v>
      </c>
      <c r="I462" s="11">
        <f>IFERROR(__xludf.DUMMYFUNCTION("""COMPUTED_VALUE"""),1.0)</f>
        <v>1</v>
      </c>
      <c r="J462" s="11">
        <f>IFERROR(__xludf.DUMMYFUNCTION("""COMPUTED_VALUE"""),0.0)</f>
        <v>0</v>
      </c>
      <c r="K462" s="11">
        <f>IFERROR(__xludf.DUMMYFUNCTION("""COMPUTED_VALUE"""),0.0)</f>
        <v>0</v>
      </c>
    </row>
    <row r="463" ht="15.75" customHeight="1">
      <c r="A463" s="8" t="str">
        <f>IFERROR(__xludf.DUMMYFUNCTION("""COMPUTED_VALUE"""),"https://www.wuv.de/Themen/Agentur/BIG-50-Das-sind-Deutschlands-groesste-Independents")</f>
        <v>https://www.wuv.de/Themen/Agentur/BIG-50-Das-sind-Deutschlands-groesste-Independents</v>
      </c>
      <c r="B463" s="11" t="str">
        <f>IFERROR(__xludf.DUMMYFUNCTION("""COMPUTED_VALUE"""),"Umsatzranking BIG 50: Das sind Deutschlands größte Independents | W&amp;amp;V")</f>
        <v>Umsatzranking BIG 50: Das sind Deutschlands größte Independents | W&amp;amp;V</v>
      </c>
      <c r="C463" s="8" t="str">
        <f>IFERROR(__xludf.DUMMYFUNCTION("""COMPUTED_VALUE"""),"wuv.de")</f>
        <v>wuv.de</v>
      </c>
      <c r="D463" s="11" t="str">
        <f>IFERROR(__xludf.DUMMYFUNCTION("""COMPUTED_VALUE"""),"LISTICLE")</f>
        <v>LISTICLE</v>
      </c>
      <c r="E463" s="11" t="str">
        <f>IFERROR(__xludf.DUMMYFUNCTION("""COMPUTED_VALUE"""),"EDITORIAL")</f>
        <v>EDITORIAL</v>
      </c>
      <c r="F463" s="11" t="str">
        <f>IFERROR(__xludf.DUMMYFUNCTION("""COMPUTED_VALUE"""),"Listicle")</f>
        <v>Listicle</v>
      </c>
      <c r="G463" s="11" t="b">
        <f>IFERROR(__xludf.DUMMYFUNCTION("""COMPUTED_VALUE"""),FALSE)</f>
        <v>0</v>
      </c>
      <c r="H463" s="11" t="str">
        <f>IFERROR(__xludf.DUMMYFUNCTION("""COMPUTED_VALUE"""),"Ogilvy")</f>
        <v>Ogilvy</v>
      </c>
      <c r="I463" s="11">
        <f>IFERROR(__xludf.DUMMYFUNCTION("""COMPUTED_VALUE"""),1.0)</f>
        <v>1</v>
      </c>
      <c r="J463" s="11">
        <f>IFERROR(__xludf.DUMMYFUNCTION("""COMPUTED_VALUE"""),0.0)</f>
        <v>0</v>
      </c>
      <c r="K463" s="11">
        <f>IFERROR(__xludf.DUMMYFUNCTION("""COMPUTED_VALUE"""),1.0)</f>
        <v>1</v>
      </c>
    </row>
    <row r="464" ht="15.75" customHeight="1">
      <c r="A464" s="8" t="str">
        <f>IFERROR(__xludf.DUMMYFUNCTION("""COMPUTED_VALUE"""),"https://www.wuv.de/Themen/Agentur/Das-sind-Deutschlands-meistausgezeichnete-Agenturen2")</f>
        <v>https://www.wuv.de/Themen/Agentur/Das-sind-Deutschlands-meistausgezeichnete-Agenturen2</v>
      </c>
      <c r="B464" s="11" t="str">
        <f>IFERROR(__xludf.DUMMYFUNCTION("""COMPUTED_VALUE"""),"Das sind Deutschlands meistausgezeichnete Agenturen | W&amp;amp;V")</f>
        <v>Das sind Deutschlands meistausgezeichnete Agenturen | W&amp;amp;V</v>
      </c>
      <c r="C464" s="8" t="str">
        <f>IFERROR(__xludf.DUMMYFUNCTION("""COMPUTED_VALUE"""),"wuv.de")</f>
        <v>wuv.de</v>
      </c>
      <c r="D464" s="11" t="str">
        <f>IFERROR(__xludf.DUMMYFUNCTION("""COMPUTED_VALUE"""),"LISTICLE")</f>
        <v>LISTICLE</v>
      </c>
      <c r="E464" s="11" t="str">
        <f>IFERROR(__xludf.DUMMYFUNCTION("""COMPUTED_VALUE"""),"EDITORIAL")</f>
        <v>EDITORIAL</v>
      </c>
      <c r="F464" s="11" t="str">
        <f>IFERROR(__xludf.DUMMYFUNCTION("""COMPUTED_VALUE"""),"Listicle")</f>
        <v>Listicle</v>
      </c>
      <c r="G464" s="11" t="b">
        <f>IFERROR(__xludf.DUMMYFUNCTION("""COMPUTED_VALUE"""),FALSE)</f>
        <v>0</v>
      </c>
      <c r="H464" s="11" t="str">
        <f>IFERROR(__xludf.DUMMYFUNCTION("""COMPUTED_VALUE"""),"Serviceplan Group, Scholz &amp; Friends")</f>
        <v>Serviceplan Group, Scholz &amp; Friends</v>
      </c>
      <c r="I464" s="11">
        <f>IFERROR(__xludf.DUMMYFUNCTION("""COMPUTED_VALUE"""),1.0)</f>
        <v>1</v>
      </c>
      <c r="J464" s="11">
        <f>IFERROR(__xludf.DUMMYFUNCTION("""COMPUTED_VALUE"""),0.0)</f>
        <v>0</v>
      </c>
      <c r="K464" s="11">
        <f>IFERROR(__xludf.DUMMYFUNCTION("""COMPUTED_VALUE"""),1.0)</f>
        <v>1</v>
      </c>
    </row>
    <row r="465" ht="15.75" customHeight="1">
      <c r="A465" s="8" t="str">
        <f>IFERROR(__xludf.DUMMYFUNCTION("""COMPUTED_VALUE"""),"https://www.wuv.dewww.wuv.de/Themen/Agentur/Das-sind-Deutschlands-meistausgezeichnete-Agenturen")</f>
        <v>https://www.wuv.dewww.wuv.de/Themen/Agentur/Das-sind-Deutschlands-meistausgezeichnete-Agenturen</v>
      </c>
      <c r="B465" s="11" t="str">
        <f>IFERROR(__xludf.DUMMYFUNCTION("""COMPUTED_VALUE"""),"Kreativranking 2024: Deutschlands meistausgezeichnete Agenturen \| W&amp;V")</f>
        <v>Kreativranking 2024: Deutschlands meistausgezeichnete Agenturen \| W&amp;V</v>
      </c>
      <c r="C465" s="8" t="str">
        <f>IFERROR(__xludf.DUMMYFUNCTION("""COMPUTED_VALUE"""),"wuv.de")</f>
        <v>wuv.de</v>
      </c>
      <c r="D465" s="11" t="str">
        <f>IFERROR(__xludf.DUMMYFUNCTION("""COMPUTED_VALUE"""),"LISTICLE")</f>
        <v>LISTICLE</v>
      </c>
      <c r="E465" s="11" t="str">
        <f>IFERROR(__xludf.DUMMYFUNCTION("""COMPUTED_VALUE"""),"EDITORIAL")</f>
        <v>EDITORIAL</v>
      </c>
      <c r="F465" s="11" t="str">
        <f>IFERROR(__xludf.DUMMYFUNCTION("""COMPUTED_VALUE"""),"Listicle")</f>
        <v>Listicle</v>
      </c>
      <c r="G465" s="11" t="b">
        <f>IFERROR(__xludf.DUMMYFUNCTION("""COMPUTED_VALUE"""),FALSE)</f>
        <v>0</v>
      </c>
      <c r="H465" s="11" t="str">
        <f>IFERROR(__xludf.DUMMYFUNCTION("""COMPUTED_VALUE"""),"Jung von Matt, Serviceplan Group")</f>
        <v>Jung von Matt, Serviceplan Group</v>
      </c>
      <c r="I465" s="11">
        <f>IFERROR(__xludf.DUMMYFUNCTION("""COMPUTED_VALUE"""),1.0)</f>
        <v>1</v>
      </c>
      <c r="J465" s="11">
        <f>IFERROR(__xludf.DUMMYFUNCTION("""COMPUTED_VALUE"""),0.0)</f>
        <v>0</v>
      </c>
      <c r="K465" s="11">
        <f>IFERROR(__xludf.DUMMYFUNCTION("""COMPUTED_VALUE"""),0.0)</f>
        <v>0</v>
      </c>
    </row>
    <row r="466" ht="15.75" customHeight="1">
      <c r="A466" s="8" t="str">
        <f>IFERROR(__xludf.DUMMYFUNCTION("""COMPUTED_VALUE"""),"https://www1.varify.io/en/blog/cro-agencies/")</f>
        <v>https://www1.varify.io/en/blog/cro-agencies/</v>
      </c>
      <c r="B466" s="11" t="str">
        <f>IFERROR(__xludf.DUMMYFUNCTION("""COMPUTED_VALUE"""),"Top CRO agencies 2026: Conversion optimization in Germany")</f>
        <v>Top CRO agencies 2026: Conversion optimization in Germany</v>
      </c>
      <c r="C466" s="8" t="str">
        <f>IFERROR(__xludf.DUMMYFUNCTION("""COMPUTED_VALUE"""),"varify.io")</f>
        <v>varify.io</v>
      </c>
      <c r="D466" s="11" t="str">
        <f>IFERROR(__xludf.DUMMYFUNCTION("""COMPUTED_VALUE"""),"LISTICLE")</f>
        <v>LISTICLE</v>
      </c>
      <c r="E466" s="11" t="str">
        <f>IFERROR(__xludf.DUMMYFUNCTION("""COMPUTED_VALUE"""),"CORPORATE")</f>
        <v>CORPORATE</v>
      </c>
      <c r="F466" s="11" t="str">
        <f>IFERROR(__xludf.DUMMYFUNCTION("""COMPUTED_VALUE"""),"Listicle")</f>
        <v>Listicle</v>
      </c>
      <c r="G466" s="11" t="b">
        <f>IFERROR(__xludf.DUMMYFUNCTION("""COMPUTED_VALUE"""),FALSE)</f>
        <v>0</v>
      </c>
      <c r="H466" s="11" t="str">
        <f>IFERROR(__xludf.DUMMYFUNCTION("""COMPUTED_VALUE"""),"Smarketer")</f>
        <v>Smarketer</v>
      </c>
      <c r="I466" s="11">
        <f>IFERROR(__xludf.DUMMYFUNCTION("""COMPUTED_VALUE"""),1.0)</f>
        <v>1</v>
      </c>
      <c r="J466" s="11">
        <f>IFERROR(__xludf.DUMMYFUNCTION("""COMPUTED_VALUE"""),0.0)</f>
        <v>0</v>
      </c>
      <c r="K466" s="11">
        <f>IFERROR(__xludf.DUMMYFUNCTION("""COMPUTED_VALUE"""),0.0)</f>
        <v>0</v>
      </c>
    </row>
    <row r="467" ht="15.75" customHeight="1">
      <c r="A467" s="8" t="str">
        <f>IFERROR(__xludf.DUMMYFUNCTION("""COMPUTED_VALUE"""),"https://xcelacore.com/ai-consultants-for-mid-sized-companies/")</f>
        <v>https://xcelacore.com/ai-consultants-for-mid-sized-companies/</v>
      </c>
      <c r="B467" s="11" t="str">
        <f>IFERROR(__xludf.DUMMYFUNCTION("""COMPUTED_VALUE"""),"Top AI Consultants for Mid-Sized Companies (2026)")</f>
        <v>Top AI Consultants for Mid-Sized Companies (2026)</v>
      </c>
      <c r="C467" s="8" t="str">
        <f>IFERROR(__xludf.DUMMYFUNCTION("""COMPUTED_VALUE"""),"xcelacore.com")</f>
        <v>xcelacore.com</v>
      </c>
      <c r="D467" s="11" t="str">
        <f>IFERROR(__xludf.DUMMYFUNCTION("""COMPUTED_VALUE"""),"LISTICLE")</f>
        <v>LISTICLE</v>
      </c>
      <c r="E467" s="11" t="str">
        <f>IFERROR(__xludf.DUMMYFUNCTION("""COMPUTED_VALUE"""),"CORPORATE")</f>
        <v>CORPORATE</v>
      </c>
      <c r="F467" s="11" t="str">
        <f>IFERROR(__xludf.DUMMYFUNCTION("""COMPUTED_VALUE"""),"Listicle")</f>
        <v>Listicle</v>
      </c>
      <c r="G467" s="11" t="b">
        <f>IFERROR(__xludf.DUMMYFUNCTION("""COMPUTED_VALUE"""),FALSE)</f>
        <v>0</v>
      </c>
      <c r="H467" s="11" t="str">
        <f>IFERROR(__xludf.DUMMYFUNCTION("""COMPUTED_VALUE"""),"BCG, Pilot, Opinosis Analytics, PwC, EY")</f>
        <v>BCG, Pilot, Opinosis Analytics, PwC, EY</v>
      </c>
      <c r="I467" s="11">
        <f>IFERROR(__xludf.DUMMYFUNCTION("""COMPUTED_VALUE"""),1.0)</f>
        <v>1</v>
      </c>
      <c r="J467" s="11">
        <f>IFERROR(__xludf.DUMMYFUNCTION("""COMPUTED_VALUE"""),0.0)</f>
        <v>0</v>
      </c>
      <c r="K467" s="11">
        <f>IFERROR(__xludf.DUMMYFUNCTION("""COMPUTED_VALUE"""),2.0)</f>
        <v>2</v>
      </c>
    </row>
    <row r="468" ht="15.75" customHeight="1">
      <c r="A468" s="8" t="str">
        <f>IFERROR(__xludf.DUMMYFUNCTION("""COMPUTED_VALUE"""),"https://www.xmethod.de/en/blog/best-flutter-app-development-companies")</f>
        <v>https://www.xmethod.de/en/blog/best-flutter-app-development-companies</v>
      </c>
      <c r="B468" s="11" t="str">
        <f>IFERROR(__xludf.DUMMYFUNCTION("""COMPUTED_VALUE"""),"10 Best Flutter App Development Companies Reviewed (2026)")</f>
        <v>10 Best Flutter App Development Companies Reviewed (2026)</v>
      </c>
      <c r="C468" s="8" t="str">
        <f>IFERROR(__xludf.DUMMYFUNCTION("""COMPUTED_VALUE"""),"xmethod.de")</f>
        <v>xmethod.de</v>
      </c>
      <c r="D468" s="11" t="str">
        <f>IFERROR(__xludf.DUMMYFUNCTION("""COMPUTED_VALUE"""),"LISTICLE")</f>
        <v>LISTICLE</v>
      </c>
      <c r="E468" s="11" t="str">
        <f>IFERROR(__xludf.DUMMYFUNCTION("""COMPUTED_VALUE"""),"COMPETITOR")</f>
        <v>COMPETITOR</v>
      </c>
      <c r="F468" s="11" t="str">
        <f>IFERROR(__xludf.DUMMYFUNCTION("""COMPUTED_VALUE"""),"Listicle")</f>
        <v>Listicle</v>
      </c>
      <c r="G468" s="11" t="b">
        <f>IFERROR(__xludf.DUMMYFUNCTION("""COMPUTED_VALUE"""),FALSE)</f>
        <v>0</v>
      </c>
      <c r="H468" s="11" t="str">
        <f>IFERROR(__xludf.DUMMYFUNCTION("""COMPUTED_VALUE"""),"Xmethod, Pilot")</f>
        <v>Xmethod, Pilot</v>
      </c>
      <c r="I468" s="11">
        <f>IFERROR(__xludf.DUMMYFUNCTION("""COMPUTED_VALUE"""),1.0)</f>
        <v>1</v>
      </c>
      <c r="J468" s="11">
        <f>IFERROR(__xludf.DUMMYFUNCTION("""COMPUTED_VALUE"""),0.0)</f>
        <v>0</v>
      </c>
      <c r="K468" s="11">
        <f>IFERROR(__xludf.DUMMYFUNCTION("""COMPUTED_VALUE"""),2.0)</f>
        <v>2</v>
      </c>
    </row>
    <row r="469" ht="15.75" customHeight="1">
      <c r="A469" s="8" t="str">
        <f>IFERROR(__xludf.DUMMYFUNCTION("""COMPUTED_VALUE"""),"https://www.xmethod.de/en/blog/top-10-app-development-companies")</f>
        <v>https://www.xmethod.de/en/blog/top-10-app-development-companies</v>
      </c>
      <c r="B469" s="11" t="str">
        <f>IFERROR(__xludf.DUMMYFUNCTION("""COMPUTED_VALUE"""),"Top 10 Mobile App Development Companies in Germany 2026")</f>
        <v>Top 10 Mobile App Development Companies in Germany 2026</v>
      </c>
      <c r="C469" s="8" t="str">
        <f>IFERROR(__xludf.DUMMYFUNCTION("""COMPUTED_VALUE"""),"xmethod.de")</f>
        <v>xmethod.de</v>
      </c>
      <c r="D469" s="11" t="str">
        <f>IFERROR(__xludf.DUMMYFUNCTION("""COMPUTED_VALUE"""),"LISTICLE")</f>
        <v>LISTICLE</v>
      </c>
      <c r="E469" s="11" t="str">
        <f>IFERROR(__xludf.DUMMYFUNCTION("""COMPUTED_VALUE"""),"COMPETITOR")</f>
        <v>COMPETITOR</v>
      </c>
      <c r="F469" s="11" t="str">
        <f>IFERROR(__xludf.DUMMYFUNCTION("""COMPUTED_VALUE"""),"Listicle")</f>
        <v>Listicle</v>
      </c>
      <c r="G469" s="11" t="b">
        <f>IFERROR(__xludf.DUMMYFUNCTION("""COMPUTED_VALUE"""),FALSE)</f>
        <v>0</v>
      </c>
      <c r="H469" s="11" t="str">
        <f>IFERROR(__xludf.DUMMYFUNCTION("""COMPUTED_VALUE"""),"Xmethod")</f>
        <v>Xmethod</v>
      </c>
      <c r="I469" s="11">
        <f>IFERROR(__xludf.DUMMYFUNCTION("""COMPUTED_VALUE"""),1.0)</f>
        <v>1</v>
      </c>
      <c r="J469" s="11">
        <f>IFERROR(__xludf.DUMMYFUNCTION("""COMPUTED_VALUE"""),0.0)</f>
        <v>0</v>
      </c>
      <c r="K469" s="11">
        <f>IFERROR(__xludf.DUMMYFUNCTION("""COMPUTED_VALUE"""),2.0)</f>
        <v>2</v>
      </c>
    </row>
    <row r="470" ht="15.75" customHeight="1">
      <c r="A470" s="8" t="str">
        <f>IFERROR(__xludf.DUMMYFUNCTION("""COMPUTED_VALUE"""),"https://www.yesoptimist.com/best-geo-agencies/")</f>
        <v>https://www.yesoptimist.com/best-geo-agencies/</v>
      </c>
      <c r="B470" s="11" t="str">
        <f>IFERROR(__xludf.DUMMYFUNCTION("""COMPUTED_VALUE"""),"The 7 Best GEO Agencies Driving Real Revenue from AI in 2026 | Optimist")</f>
        <v>The 7 Best GEO Agencies Driving Real Revenue from AI in 2026 | Optimist</v>
      </c>
      <c r="C470" s="8" t="str">
        <f>IFERROR(__xludf.DUMMYFUNCTION("""COMPUTED_VALUE"""),"yesoptimist.com")</f>
        <v>yesoptimist.com</v>
      </c>
      <c r="D470" s="11" t="str">
        <f>IFERROR(__xludf.DUMMYFUNCTION("""COMPUTED_VALUE"""),"LISTICLE")</f>
        <v>LISTICLE</v>
      </c>
      <c r="E470" s="11" t="str">
        <f>IFERROR(__xludf.DUMMYFUNCTION("""COMPUTED_VALUE"""),"EDITORIAL")</f>
        <v>EDITORIAL</v>
      </c>
      <c r="F470" s="11" t="str">
        <f>IFERROR(__xludf.DUMMYFUNCTION("""COMPUTED_VALUE"""),"Listicle")</f>
        <v>Listicle</v>
      </c>
      <c r="G470" s="11" t="b">
        <f>IFERROR(__xludf.DUMMYFUNCTION("""COMPUTED_VALUE"""),FALSE)</f>
        <v>0</v>
      </c>
      <c r="H470" s="11" t="str">
        <f>IFERROR(__xludf.DUMMYFUNCTION("""COMPUTED_VALUE"""),"Measured, iPullRank, Siege Media, Omniscient Digital")</f>
        <v>Measured, iPullRank, Siege Media, Omniscient Digital</v>
      </c>
      <c r="I470" s="11">
        <f>IFERROR(__xludf.DUMMYFUNCTION("""COMPUTED_VALUE"""),1.0)</f>
        <v>1</v>
      </c>
      <c r="J470" s="11">
        <f>IFERROR(__xludf.DUMMYFUNCTION("""COMPUTED_VALUE"""),0.0)</f>
        <v>0</v>
      </c>
      <c r="K470" s="11">
        <f>IFERROR(__xludf.DUMMYFUNCTION("""COMPUTED_VALUE"""),1.0)</f>
        <v>1</v>
      </c>
    </row>
    <row r="471" ht="15.75" customHeight="1">
      <c r="A471" s="8" t="str">
        <f>IFERROR(__xludf.DUMMYFUNCTION("""COMPUTED_VALUE"""),"https://www.youfinddigital.com/blog/best-geo-agency-for-ai-search.html")</f>
        <v>https://www.youfinddigital.com/blog/best-geo-agency-for-ai-search.html</v>
      </c>
      <c r="B471" s="11" t="str">
        <f>IFERROR(__xludf.DUMMYFUNCTION("""COMPUTED_VALUE"""),"15 Best GEO Agencies in 2026 | Top Generative Engine Optimization Firms")</f>
        <v>15 Best GEO Agencies in 2026 | Top Generative Engine Optimization Firms</v>
      </c>
      <c r="C471" s="8" t="str">
        <f>IFERROR(__xludf.DUMMYFUNCTION("""COMPUTED_VALUE"""),"youfinddigital.com")</f>
        <v>youfinddigital.com</v>
      </c>
      <c r="D471" s="11" t="str">
        <f>IFERROR(__xludf.DUMMYFUNCTION("""COMPUTED_VALUE"""),"LISTICLE")</f>
        <v>LISTICLE</v>
      </c>
      <c r="E471" s="11" t="str">
        <f>IFERROR(__xludf.DUMMYFUNCTION("""COMPUTED_VALUE"""),"CORPORATE")</f>
        <v>CORPORATE</v>
      </c>
      <c r="F471" s="11" t="str">
        <f>IFERROR(__xludf.DUMMYFUNCTION("""COMPUTED_VALUE"""),"Listicle")</f>
        <v>Listicle</v>
      </c>
      <c r="G471" s="11" t="b">
        <f>IFERROR(__xludf.DUMMYFUNCTION("""COMPUTED_VALUE"""),FALSE)</f>
        <v>0</v>
      </c>
      <c r="H471" s="11" t="str">
        <f>IFERROR(__xludf.DUMMYFUNCTION("""COMPUTED_VALUE"""),"Omnius, Siege Media, iPullRank, Omniscient Digital, WebFX")</f>
        <v>Omnius, Siege Media, iPullRank, Omniscient Digital, WebFX</v>
      </c>
      <c r="I471" s="11">
        <f>IFERROR(__xludf.DUMMYFUNCTION("""COMPUTED_VALUE"""),1.0)</f>
        <v>1</v>
      </c>
      <c r="J471" s="11">
        <f>IFERROR(__xludf.DUMMYFUNCTION("""COMPUTED_VALUE"""),0.0)</f>
        <v>0</v>
      </c>
      <c r="K471" s="11">
        <f>IFERROR(__xludf.DUMMYFUNCTION("""COMPUTED_VALUE"""),0.0)</f>
        <v>0</v>
      </c>
    </row>
    <row r="472" ht="15.75" customHeight="1">
      <c r="A472" s="8" t="str">
        <f>IFERROR(__xludf.DUMMYFUNCTION("""COMPUTED_VALUE"""),"https://www.youtube.com/watch?v=CS31tb_2rCc&amp;t=389")</f>
        <v>https://www.youtube.com/watch?v=CS31tb_2rCc&amp;t=389</v>
      </c>
      <c r="B472" s="11" t="str">
        <f>IFERROR(__xludf.DUMMYFUNCTION("""COMPUTED_VALUE"""),"Die BESTEN AI Tools für deutsche Agenturen")</f>
        <v>Die BESTEN AI Tools für deutsche Agenturen</v>
      </c>
      <c r="C472" s="8" t="str">
        <f>IFERROR(__xludf.DUMMYFUNCTION("""COMPUTED_VALUE"""),"youtube.com")</f>
        <v>youtube.com</v>
      </c>
      <c r="D472" s="11" t="str">
        <f>IFERROR(__xludf.DUMMYFUNCTION("""COMPUTED_VALUE"""),"LISTICLE")</f>
        <v>LISTICLE</v>
      </c>
      <c r="E472" s="11" t="str">
        <f>IFERROR(__xludf.DUMMYFUNCTION("""COMPUTED_VALUE"""),"UGC")</f>
        <v>UGC</v>
      </c>
      <c r="F472" s="11" t="str">
        <f>IFERROR(__xludf.DUMMYFUNCTION("""COMPUTED_VALUE"""),"Listicle")</f>
        <v>Listicle</v>
      </c>
      <c r="G472" s="11" t="b">
        <f>IFERROR(__xludf.DUMMYFUNCTION("""COMPUTED_VALUE"""),FALSE)</f>
        <v>0</v>
      </c>
      <c r="H472" s="11" t="str">
        <f>IFERROR(__xludf.DUMMYFUNCTION("""COMPUTED_VALUE"""),"EY")</f>
        <v>EY</v>
      </c>
      <c r="I472" s="11">
        <f>IFERROR(__xludf.DUMMYFUNCTION("""COMPUTED_VALUE"""),1.0)</f>
        <v>1</v>
      </c>
      <c r="J472" s="11">
        <f>IFERROR(__xludf.DUMMYFUNCTION("""COMPUTED_VALUE"""),0.0)</f>
        <v>0</v>
      </c>
      <c r="K472" s="11">
        <f>IFERROR(__xludf.DUMMYFUNCTION("""COMPUTED_VALUE"""),1.0)</f>
        <v>1</v>
      </c>
    </row>
    <row r="473" ht="15.75" customHeight="1">
      <c r="A473" s="8" t="str">
        <f>IFERROR(__xludf.DUMMYFUNCTION("""COMPUTED_VALUE"""),"https://www.youtube.com/watch?v=GCuRtQenQ80&amp;t=153")</f>
        <v>https://www.youtube.com/watch?v=GCuRtQenQ80&amp;t=153</v>
      </c>
      <c r="B473" s="11" t="str">
        <f>IFERROR(__xludf.DUMMYFUNCTION("""COMPUTED_VALUE"""),"The 10 best AI tools for your business")</f>
        <v>The 10 best AI tools for your business</v>
      </c>
      <c r="C473" s="8" t="str">
        <f>IFERROR(__xludf.DUMMYFUNCTION("""COMPUTED_VALUE"""),"youtube.com")</f>
        <v>youtube.com</v>
      </c>
      <c r="D473" s="11" t="str">
        <f>IFERROR(__xludf.DUMMYFUNCTION("""COMPUTED_VALUE"""),"LISTICLE")</f>
        <v>LISTICLE</v>
      </c>
      <c r="E473" s="11" t="str">
        <f>IFERROR(__xludf.DUMMYFUNCTION("""COMPUTED_VALUE"""),"UGC")</f>
        <v>UGC</v>
      </c>
      <c r="F473" s="11" t="str">
        <f>IFERROR(__xludf.DUMMYFUNCTION("""COMPUTED_VALUE"""),"Listicle")</f>
        <v>Listicle</v>
      </c>
      <c r="G473" s="11" t="b">
        <f>IFERROR(__xludf.DUMMYFUNCTION("""COMPUTED_VALUE"""),FALSE)</f>
        <v>0</v>
      </c>
      <c r="H473" s="11"/>
      <c r="I473" s="11">
        <f>IFERROR(__xludf.DUMMYFUNCTION("""COMPUTED_VALUE"""),1.0)</f>
        <v>1</v>
      </c>
      <c r="J473" s="11">
        <f>IFERROR(__xludf.DUMMYFUNCTION("""COMPUTED_VALUE"""),0.0)</f>
        <v>0</v>
      </c>
      <c r="K473" s="11">
        <f>IFERROR(__xludf.DUMMYFUNCTION("""COMPUTED_VALUE"""),1.0)</f>
        <v>1</v>
      </c>
    </row>
    <row r="474" ht="15.75" customHeight="1">
      <c r="A474" s="8" t="str">
        <f>IFERROR(__xludf.DUMMYFUNCTION("""COMPUTED_VALUE"""),"https://www.youtube.com/watch?v=NXkXQbQ9-kk&amp;vl=de-DE")</f>
        <v>https://www.youtube.com/watch?v=NXkXQbQ9-kk&amp;vl=de-DE</v>
      </c>
      <c r="B474" s="11" t="str">
        <f>IFERROR(__xludf.DUMMYFUNCTION("""COMPUTED_VALUE"""),"Best AI Tools for Generative Engine Optimization (GEO)")</f>
        <v>Best AI Tools for Generative Engine Optimization (GEO)</v>
      </c>
      <c r="C474" s="8" t="str">
        <f>IFERROR(__xludf.DUMMYFUNCTION("""COMPUTED_VALUE"""),"youtube.com")</f>
        <v>youtube.com</v>
      </c>
      <c r="D474" s="11" t="str">
        <f>IFERROR(__xludf.DUMMYFUNCTION("""COMPUTED_VALUE"""),"LISTICLE")</f>
        <v>LISTICLE</v>
      </c>
      <c r="E474" s="11" t="str">
        <f>IFERROR(__xludf.DUMMYFUNCTION("""COMPUTED_VALUE"""),"UGC")</f>
        <v>UGC</v>
      </c>
      <c r="F474" s="11" t="str">
        <f>IFERROR(__xludf.DUMMYFUNCTION("""COMPUTED_VALUE"""),"Listicle")</f>
        <v>Listicle</v>
      </c>
      <c r="G474" s="11" t="b">
        <f>IFERROR(__xludf.DUMMYFUNCTION("""COMPUTED_VALUE"""),FALSE)</f>
        <v>0</v>
      </c>
      <c r="H474" s="11"/>
      <c r="I474" s="11">
        <f>IFERROR(__xludf.DUMMYFUNCTION("""COMPUTED_VALUE"""),1.0)</f>
        <v>1</v>
      </c>
      <c r="J474" s="11">
        <f>IFERROR(__xludf.DUMMYFUNCTION("""COMPUTED_VALUE"""),0.0)</f>
        <v>0</v>
      </c>
      <c r="K474" s="11">
        <f>IFERROR(__xludf.DUMMYFUNCTION("""COMPUTED_VALUE"""),1.0)</f>
        <v>1</v>
      </c>
    </row>
    <row r="475" ht="15.75" customHeight="1">
      <c r="A475" s="8" t="str">
        <f>IFERROR(__xludf.DUMMYFUNCTION("""COMPUTED_VALUE"""),"https://www.zendikt.com/top-10-ab-testing-software/germany/")</f>
        <v>https://www.zendikt.com/top-10-ab-testing-software/germany/</v>
      </c>
      <c r="B475" s="11" t="str">
        <f>IFERROR(__xludf.DUMMYFUNCTION("""COMPUTED_VALUE"""),"Top 10 A/B Testing and Experimentation Software in Germany for 2026")</f>
        <v>Top 10 A/B Testing and Experimentation Software in Germany for 2026</v>
      </c>
      <c r="C475" s="8" t="str">
        <f>IFERROR(__xludf.DUMMYFUNCTION("""COMPUTED_VALUE"""),"zendikt.com")</f>
        <v>zendikt.com</v>
      </c>
      <c r="D475" s="11" t="str">
        <f>IFERROR(__xludf.DUMMYFUNCTION("""COMPUTED_VALUE"""),"LISTICLE")</f>
        <v>LISTICLE</v>
      </c>
      <c r="E475" s="11" t="str">
        <f>IFERROR(__xludf.DUMMYFUNCTION("""COMPUTED_VALUE"""),"CORPORATE")</f>
        <v>CORPORATE</v>
      </c>
      <c r="F475" s="11" t="str">
        <f>IFERROR(__xludf.DUMMYFUNCTION("""COMPUTED_VALUE"""),"Listicle")</f>
        <v>Listicle</v>
      </c>
      <c r="G475" s="11" t="b">
        <f>IFERROR(__xludf.DUMMYFUNCTION("""COMPUTED_VALUE"""),FALSE)</f>
        <v>0</v>
      </c>
      <c r="H475" s="11" t="str">
        <f>IFERROR(__xludf.DUMMYFUNCTION("""COMPUTED_VALUE"""),"Deloitte Digital, PwC, Mindshare")</f>
        <v>Deloitte Digital, PwC, Mindshare</v>
      </c>
      <c r="I475" s="11">
        <f>IFERROR(__xludf.DUMMYFUNCTION("""COMPUTED_VALUE"""),1.0)</f>
        <v>1</v>
      </c>
      <c r="J475" s="11">
        <f>IFERROR(__xludf.DUMMYFUNCTION("""COMPUTED_VALUE"""),0.0)</f>
        <v>0</v>
      </c>
      <c r="K475" s="11">
        <f>IFERROR(__xludf.DUMMYFUNCTION("""COMPUTED_VALUE"""),0.0)</f>
        <v>0</v>
      </c>
    </row>
    <row r="476" ht="15.75" customHeight="1">
      <c r="A476" s="8" t="str">
        <f>IFERROR(__xludf.DUMMYFUNCTION("""COMPUTED_VALUE"""),"https://zipdo.co/service/customer-data-platform/")</f>
        <v>https://zipdo.co/service/customer-data-platform/</v>
      </c>
      <c r="B476" s="11" t="str">
        <f>IFERROR(__xludf.DUMMYFUNCTION("""COMPUTED_VALUE"""),"Best Customer Data Platform Services (2026)")</f>
        <v>Best Customer Data Platform Services (2026)</v>
      </c>
      <c r="C476" s="8" t="str">
        <f>IFERROR(__xludf.DUMMYFUNCTION("""COMPUTED_VALUE"""),"zipdo.co")</f>
        <v>zipdo.co</v>
      </c>
      <c r="D476" s="11" t="str">
        <f>IFERROR(__xludf.DUMMYFUNCTION("""COMPUTED_VALUE"""),"LISTICLE")</f>
        <v>LISTICLE</v>
      </c>
      <c r="E476" s="11" t="str">
        <f>IFERROR(__xludf.DUMMYFUNCTION("""COMPUTED_VALUE"""),"REFERENCE")</f>
        <v>REFERENCE</v>
      </c>
      <c r="F476" s="11" t="str">
        <f>IFERROR(__xludf.DUMMYFUNCTION("""COMPUTED_VALUE"""),"Listicle")</f>
        <v>Listicle</v>
      </c>
      <c r="G476" s="11" t="b">
        <f>IFERROR(__xludf.DUMMYFUNCTION("""COMPUTED_VALUE"""),FALSE)</f>
        <v>0</v>
      </c>
      <c r="H476" s="11" t="str">
        <f>IFERROR(__xludf.DUMMYFUNCTION("""COMPUTED_VALUE"""),"PwC, Capgemini, WPP, Publicis Groupe")</f>
        <v>PwC, Capgemini, WPP, Publicis Groupe</v>
      </c>
      <c r="I476" s="11">
        <f>IFERROR(__xludf.DUMMYFUNCTION("""COMPUTED_VALUE"""),1.0)</f>
        <v>1</v>
      </c>
      <c r="J476" s="11">
        <f>IFERROR(__xludf.DUMMYFUNCTION("""COMPUTED_VALUE"""),0.0)</f>
        <v>0</v>
      </c>
      <c r="K476" s="11">
        <f>IFERROR(__xludf.DUMMYFUNCTION("""COMPUTED_VALUE"""),2.0)</f>
        <v>2</v>
      </c>
    </row>
    <row r="477" ht="15.75" customHeight="1">
      <c r="A477" s="8" t="str">
        <f>IFERROR(__xludf.DUMMYFUNCTION("""COMPUTED_VALUE"""),"https://zipdo.co/service/first-party-data/")</f>
        <v>https://zipdo.co/service/first-party-data/</v>
      </c>
      <c r="B477" s="11" t="str">
        <f>IFERROR(__xludf.DUMMYFUNCTION("""COMPUTED_VALUE"""),"First Party Data Services: Best Picks (2026)")</f>
        <v>First Party Data Services: Best Picks (2026)</v>
      </c>
      <c r="C477" s="8" t="str">
        <f>IFERROR(__xludf.DUMMYFUNCTION("""COMPUTED_VALUE"""),"zipdo.co")</f>
        <v>zipdo.co</v>
      </c>
      <c r="D477" s="11" t="str">
        <f>IFERROR(__xludf.DUMMYFUNCTION("""COMPUTED_VALUE"""),"LISTICLE")</f>
        <v>LISTICLE</v>
      </c>
      <c r="E477" s="11" t="str">
        <f>IFERROR(__xludf.DUMMYFUNCTION("""COMPUTED_VALUE"""),"REFERENCE")</f>
        <v>REFERENCE</v>
      </c>
      <c r="F477" s="11" t="str">
        <f>IFERROR(__xludf.DUMMYFUNCTION("""COMPUTED_VALUE"""),"Listicle")</f>
        <v>Listicle</v>
      </c>
      <c r="G477" s="11" t="b">
        <f>IFERROR(__xludf.DUMMYFUNCTION("""COMPUTED_VALUE"""),FALSE)</f>
        <v>0</v>
      </c>
      <c r="H477" s="11" t="str">
        <f>IFERROR(__xludf.DUMMYFUNCTION("""COMPUTED_VALUE"""),"Merkle, Dentsu, Publicis Groupe, PwC, EY, Capgemini, Publicis Media, Pilot")</f>
        <v>Merkle, Dentsu, Publicis Groupe, PwC, EY, Capgemini, Publicis Media, Pilot</v>
      </c>
      <c r="I477" s="11">
        <f>IFERROR(__xludf.DUMMYFUNCTION("""COMPUTED_VALUE"""),1.0)</f>
        <v>1</v>
      </c>
      <c r="J477" s="11">
        <f>IFERROR(__xludf.DUMMYFUNCTION("""COMPUTED_VALUE"""),0.0)</f>
        <v>0</v>
      </c>
      <c r="K477" s="11">
        <f>IFERROR(__xludf.DUMMYFUNCTION("""COMPUTED_VALUE"""),3.0)</f>
        <v>3</v>
      </c>
    </row>
    <row r="478" ht="15.75" customHeight="1">
      <c r="A478" s="8" t="str">
        <f>IFERROR(__xludf.DUMMYFUNCTION("""COMPUTED_VALUE"""),"https://zipdo.co/service/marketing-data-analytics/")</f>
        <v>https://zipdo.co/service/marketing-data-analytics/</v>
      </c>
      <c r="B478" s="11" t="str">
        <f>IFERROR(__xludf.DUMMYFUNCTION("""COMPUTED_VALUE"""),"Best Marketing Data Analytics Services (2026)")</f>
        <v>Best Marketing Data Analytics Services (2026)</v>
      </c>
      <c r="C478" s="8" t="str">
        <f>IFERROR(__xludf.DUMMYFUNCTION("""COMPUTED_VALUE"""),"zipdo.co")</f>
        <v>zipdo.co</v>
      </c>
      <c r="D478" s="11" t="str">
        <f>IFERROR(__xludf.DUMMYFUNCTION("""COMPUTED_VALUE"""),"LISTICLE")</f>
        <v>LISTICLE</v>
      </c>
      <c r="E478" s="11" t="str">
        <f>IFERROR(__xludf.DUMMYFUNCTION("""COMPUTED_VALUE"""),"REFERENCE")</f>
        <v>REFERENCE</v>
      </c>
      <c r="F478" s="11" t="str">
        <f>IFERROR(__xludf.DUMMYFUNCTION("""COMPUTED_VALUE"""),"Listicle")</f>
        <v>Listicle</v>
      </c>
      <c r="G478" s="11" t="b">
        <f>IFERROR(__xludf.DUMMYFUNCTION("""COMPUTED_VALUE"""),FALSE)</f>
        <v>0</v>
      </c>
      <c r="H478" s="11" t="str">
        <f>IFERROR(__xludf.DUMMYFUNCTION("""COMPUTED_VALUE"""),"Merkle, Dentsu, Publicis Groupe, PwC")</f>
        <v>Merkle, Dentsu, Publicis Groupe, PwC</v>
      </c>
      <c r="I478" s="11">
        <f>IFERROR(__xludf.DUMMYFUNCTION("""COMPUTED_VALUE"""),1.0)</f>
        <v>1</v>
      </c>
      <c r="J478" s="11">
        <f>IFERROR(__xludf.DUMMYFUNCTION("""COMPUTED_VALUE"""),0.0)</f>
        <v>0</v>
      </c>
      <c r="K478" s="11">
        <f>IFERROR(__xludf.DUMMYFUNCTION("""COMPUTED_VALUE"""),0.0)</f>
        <v>0</v>
      </c>
    </row>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location=":~:text=The%20agency%20has%20been%20recognised,KG%20(M%C3%BCnster)" ref="A10"/>
    <hyperlink r:id="rId17" ref="C10"/>
    <hyperlink r:id="rId18" ref="A11"/>
    <hyperlink r:id="rId19" ref="C11"/>
    <hyperlink r:id="rId20" location=":~:text=Another%20standout%20agency%20based%20in,Deutsche%20Post%20reinvent%20their%20identities." ref="A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 r:id="rId86"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A54"/>
    <hyperlink r:id="rId102" ref="C54"/>
    <hyperlink r:id="rId103" ref="A55"/>
    <hyperlink r:id="rId104" ref="C55"/>
    <hyperlink r:id="rId105" ref="A56"/>
    <hyperlink r:id="rId106" ref="C56"/>
    <hyperlink r:id="rId107" ref="A57"/>
    <hyperlink r:id="rId108" ref="C57"/>
    <hyperlink r:id="rId109" ref="A58"/>
    <hyperlink r:id="rId110" ref="C58"/>
    <hyperlink r:id="rId111" ref="A59"/>
    <hyperlink r:id="rId112" ref="C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C102"/>
    <hyperlink r:id="rId198" ref="A103"/>
    <hyperlink r:id="rId199" ref="C103"/>
    <hyperlink r:id="rId200" ref="A104"/>
    <hyperlink r:id="rId201" ref="C104"/>
    <hyperlink r:id="rId202" ref="A105"/>
    <hyperlink r:id="rId203" ref="C105"/>
    <hyperlink r:id="rId204" ref="A106"/>
    <hyperlink r:id="rId205" ref="C106"/>
    <hyperlink r:id="rId206" ref="A107"/>
    <hyperlink r:id="rId207" ref="C107"/>
    <hyperlink r:id="rId208" ref="A108"/>
    <hyperlink r:id="rId209" ref="C108"/>
    <hyperlink r:id="rId210" ref="A109"/>
    <hyperlink r:id="rId211" ref="C109"/>
    <hyperlink r:id="rId212" ref="A110"/>
    <hyperlink r:id="rId213" ref="C110"/>
    <hyperlink r:id="rId214" ref="A111"/>
    <hyperlink r:id="rId215" ref="C111"/>
    <hyperlink r:id="rId216" ref="A112"/>
    <hyperlink r:id="rId217" ref="C112"/>
    <hyperlink r:id="rId218" ref="A113"/>
    <hyperlink r:id="rId219" ref="C113"/>
    <hyperlink r:id="rId220" ref="A114"/>
    <hyperlink r:id="rId221" ref="C114"/>
    <hyperlink r:id="rId222" ref="A115"/>
    <hyperlink r:id="rId223" ref="C115"/>
    <hyperlink r:id="rId224" ref="A116"/>
    <hyperlink r:id="rId225" ref="C116"/>
    <hyperlink r:id="rId226" ref="A117"/>
    <hyperlink r:id="rId227" ref="C117"/>
    <hyperlink r:id="rId228" ref="A118"/>
    <hyperlink r:id="rId229" ref="A119"/>
    <hyperlink r:id="rId230" ref="C119"/>
    <hyperlink r:id="rId231" ref="A120"/>
    <hyperlink r:id="rId232" ref="C120"/>
    <hyperlink r:id="rId233" ref="A121"/>
    <hyperlink r:id="rId234" ref="C121"/>
    <hyperlink r:id="rId235" ref="A122"/>
    <hyperlink r:id="rId236" ref="C122"/>
    <hyperlink r:id="rId237" ref="A123"/>
    <hyperlink r:id="rId238" ref="C123"/>
    <hyperlink r:id="rId239" ref="A124"/>
    <hyperlink r:id="rId240" ref="C124"/>
    <hyperlink r:id="rId241" ref="A125"/>
    <hyperlink r:id="rId242" ref="C125"/>
    <hyperlink r:id="rId243" ref="A126"/>
    <hyperlink r:id="rId244" ref="C126"/>
    <hyperlink r:id="rId245" ref="A127"/>
    <hyperlink r:id="rId246" ref="C127"/>
    <hyperlink r:id="rId247" ref="A128"/>
    <hyperlink r:id="rId248" ref="C128"/>
    <hyperlink r:id="rId249" ref="A129"/>
    <hyperlink r:id="rId250" ref="C129"/>
    <hyperlink r:id="rId251" ref="A130"/>
    <hyperlink r:id="rId252" ref="C130"/>
    <hyperlink r:id="rId253" ref="A131"/>
    <hyperlink r:id="rId254" ref="C131"/>
    <hyperlink r:id="rId255" ref="A132"/>
    <hyperlink r:id="rId256" ref="C132"/>
    <hyperlink r:id="rId257" ref="A133"/>
    <hyperlink r:id="rId258" ref="C133"/>
    <hyperlink r:id="rId259" ref="A134"/>
    <hyperlink r:id="rId260" ref="A135"/>
    <hyperlink r:id="rId261" ref="C135"/>
    <hyperlink r:id="rId262" ref="A136"/>
    <hyperlink r:id="rId263" ref="C136"/>
    <hyperlink r:id="rId264" ref="A137"/>
    <hyperlink r:id="rId265" ref="C137"/>
    <hyperlink r:id="rId266" ref="A138"/>
    <hyperlink r:id="rId267" ref="C138"/>
    <hyperlink r:id="rId268" ref="A139"/>
    <hyperlink r:id="rId269" ref="C139"/>
    <hyperlink r:id="rId270" ref="A140"/>
    <hyperlink r:id="rId271" ref="C140"/>
    <hyperlink r:id="rId272" ref="A141"/>
    <hyperlink r:id="rId273" ref="C141"/>
    <hyperlink r:id="rId274" ref="A142"/>
    <hyperlink r:id="rId275" ref="C142"/>
    <hyperlink r:id="rId276" ref="A143"/>
    <hyperlink r:id="rId277" ref="C143"/>
    <hyperlink r:id="rId278" ref="A144"/>
    <hyperlink r:id="rId279" ref="C144"/>
    <hyperlink r:id="rId280" ref="A145"/>
    <hyperlink r:id="rId281" ref="C145"/>
    <hyperlink r:id="rId282" ref="A146"/>
    <hyperlink r:id="rId283" ref="C146"/>
    <hyperlink r:id="rId284" ref="A147"/>
    <hyperlink r:id="rId285" ref="C147"/>
    <hyperlink r:id="rId286" ref="A148"/>
    <hyperlink r:id="rId287" ref="C148"/>
    <hyperlink r:id="rId288" ref="A149"/>
    <hyperlink r:id="rId289" ref="C149"/>
    <hyperlink r:id="rId290" ref="A150"/>
    <hyperlink r:id="rId291" ref="C150"/>
    <hyperlink r:id="rId292" ref="A151"/>
    <hyperlink r:id="rId293" ref="C151"/>
    <hyperlink r:id="rId294" ref="A152"/>
    <hyperlink r:id="rId295" ref="C152"/>
    <hyperlink r:id="rId296" ref="A153"/>
    <hyperlink r:id="rId297" ref="C153"/>
    <hyperlink r:id="rId298" ref="A154"/>
    <hyperlink r:id="rId299" ref="C154"/>
    <hyperlink r:id="rId300" ref="A155"/>
    <hyperlink r:id="rId301" ref="C155"/>
    <hyperlink r:id="rId302" ref="A156"/>
    <hyperlink r:id="rId303" ref="C156"/>
    <hyperlink r:id="rId304" location=":~:text=MONSOON%20is%20a%20performance%2Ddriven,KPIs%20and%20transparent%20reporting%20systems." ref="A157"/>
    <hyperlink r:id="rId305" ref="C157"/>
    <hyperlink r:id="rId306" ref="A158"/>
    <hyperlink r:id="rId307" ref="C158"/>
    <hyperlink r:id="rId308" ref="A159"/>
    <hyperlink r:id="rId309" ref="C159"/>
    <hyperlink r:id="rId310" ref="A160"/>
    <hyperlink r:id="rId311" ref="C160"/>
    <hyperlink r:id="rId312" ref="A161"/>
    <hyperlink r:id="rId313" ref="C161"/>
    <hyperlink r:id="rId314" ref="A162"/>
    <hyperlink r:id="rId315" ref="C162"/>
    <hyperlink r:id="rId316" ref="A163"/>
    <hyperlink r:id="rId317" ref="C163"/>
    <hyperlink r:id="rId318" ref="A164"/>
    <hyperlink r:id="rId319" ref="C164"/>
    <hyperlink r:id="rId320" ref="A165"/>
    <hyperlink r:id="rId321" ref="C165"/>
    <hyperlink r:id="rId322" ref="A166"/>
    <hyperlink r:id="rId323" ref="C166"/>
    <hyperlink r:id="rId324" ref="A167"/>
    <hyperlink r:id="rId325" ref="C167"/>
    <hyperlink r:id="rId326" ref="A168"/>
    <hyperlink r:id="rId327" ref="C168"/>
    <hyperlink r:id="rId328" ref="A169"/>
    <hyperlink r:id="rId329" ref="C169"/>
    <hyperlink r:id="rId330" ref="A170"/>
    <hyperlink r:id="rId331" ref="C170"/>
    <hyperlink r:id="rId332" location=":~:text=2020,local%20supermarket%20chain%20%C2%ABteGut%C2%BB." ref="A171"/>
    <hyperlink r:id="rId333" ref="C171"/>
    <hyperlink r:id="rId334" ref="A172"/>
    <hyperlink r:id="rId335" ref="C172"/>
    <hyperlink r:id="rId336" ref="A173"/>
    <hyperlink r:id="rId337" ref="C173"/>
    <hyperlink r:id="rId338" ref="A174"/>
    <hyperlink r:id="rId339" ref="C174"/>
    <hyperlink r:id="rId340" ref="A175"/>
    <hyperlink r:id="rId341" ref="C175"/>
    <hyperlink r:id="rId342" ref="A176"/>
    <hyperlink r:id="rId343" ref="C176"/>
    <hyperlink r:id="rId344" ref="A177"/>
    <hyperlink r:id="rId345" ref="C177"/>
    <hyperlink r:id="rId346" ref="A178"/>
    <hyperlink r:id="rId347" ref="C178"/>
    <hyperlink r:id="rId348" ref="A179"/>
    <hyperlink r:id="rId349" ref="C179"/>
    <hyperlink r:id="rId350" ref="A180"/>
    <hyperlink r:id="rId351" ref="C180"/>
    <hyperlink r:id="rId352" ref="A181"/>
    <hyperlink r:id="rId353" ref="C181"/>
    <hyperlink r:id="rId354" ref="A182"/>
    <hyperlink r:id="rId355" ref="C182"/>
    <hyperlink r:id="rId356" ref="A183"/>
    <hyperlink r:id="rId357" ref="C183"/>
    <hyperlink r:id="rId358" ref="A184"/>
    <hyperlink r:id="rId359" ref="C184"/>
    <hyperlink r:id="rId360" ref="A185"/>
    <hyperlink r:id="rId361" ref="C185"/>
    <hyperlink r:id="rId362" ref="A186"/>
    <hyperlink r:id="rId363" ref="C186"/>
    <hyperlink r:id="rId364" ref="A187"/>
    <hyperlink r:id="rId365" ref="C187"/>
    <hyperlink r:id="rId366" ref="A188"/>
    <hyperlink r:id="rId367" ref="C188"/>
    <hyperlink r:id="rId368" ref="A189"/>
    <hyperlink r:id="rId369" ref="C189"/>
    <hyperlink r:id="rId370" ref="A190"/>
    <hyperlink r:id="rId371" ref="C190"/>
    <hyperlink r:id="rId372" ref="A191"/>
    <hyperlink r:id="rId373" ref="A192"/>
    <hyperlink r:id="rId374" ref="C192"/>
    <hyperlink r:id="rId375" ref="A193"/>
    <hyperlink r:id="rId376" ref="C193"/>
    <hyperlink r:id="rId377" location=":~:text=Artefact%3A%20Artefact%20blends%20AI%20and,streams%20into%20a%20unified%20dashboard." ref="A194"/>
    <hyperlink r:id="rId378" ref="A195"/>
    <hyperlink r:id="rId379" ref="A196"/>
    <hyperlink r:id="rId380" ref="C196"/>
    <hyperlink r:id="rId381" ref="A197"/>
    <hyperlink r:id="rId382" ref="C197"/>
    <hyperlink r:id="rId383" location=":~:text=Specialisation%3A%20Integrated%20brand%20strategy%2C%20creative,communications%20for%20German%20market%20leaders." ref="A198"/>
    <hyperlink r:id="rId384" ref="C198"/>
    <hyperlink r:id="rId385" ref="A199"/>
    <hyperlink r:id="rId386" ref="C199"/>
    <hyperlink r:id="rId387" ref="A200"/>
    <hyperlink r:id="rId388" ref="C200"/>
    <hyperlink r:id="rId389" ref="A201"/>
    <hyperlink r:id="rId390" ref="C201"/>
    <hyperlink r:id="rId391" ref="A202"/>
    <hyperlink r:id="rId392" ref="A203"/>
    <hyperlink r:id="rId393" ref="C203"/>
    <hyperlink r:id="rId394" ref="A204"/>
    <hyperlink r:id="rId395" ref="C204"/>
    <hyperlink r:id="rId396" ref="A205"/>
    <hyperlink r:id="rId397" ref="C205"/>
    <hyperlink r:id="rId398" ref="A206"/>
    <hyperlink r:id="rId399" ref="C206"/>
    <hyperlink r:id="rId400" ref="A207"/>
    <hyperlink r:id="rId401" ref="C207"/>
    <hyperlink r:id="rId402" ref="A208"/>
    <hyperlink r:id="rId403" ref="A209"/>
    <hyperlink r:id="rId404" ref="A210"/>
    <hyperlink r:id="rId405" ref="C210"/>
    <hyperlink r:id="rId406" ref="A211"/>
    <hyperlink r:id="rId407" ref="C211"/>
    <hyperlink r:id="rId408" ref="A212"/>
    <hyperlink r:id="rId409" ref="C212"/>
    <hyperlink r:id="rId410" location=":~:text=revenue%20growth%22%20claims.-,The%2015%20Best%20Performance%20Marketing%20Agencies%20for%202026,performance%20marketing%20for%20a%20reason." ref="A213"/>
    <hyperlink r:id="rId411" ref="C213"/>
    <hyperlink r:id="rId412" ref="A214"/>
    <hyperlink r:id="rId413" ref="C214"/>
    <hyperlink r:id="rId414" ref="A215"/>
    <hyperlink r:id="rId415" ref="C215"/>
    <hyperlink r:id="rId416" ref="A216"/>
    <hyperlink r:id="rId417" ref="C216"/>
    <hyperlink r:id="rId418" ref="A217"/>
    <hyperlink r:id="rId419" ref="C217"/>
    <hyperlink r:id="rId420" ref="A218"/>
    <hyperlink r:id="rId421" ref="C218"/>
    <hyperlink r:id="rId422" ref="A219"/>
    <hyperlink r:id="rId423" ref="C219"/>
    <hyperlink r:id="rId424" ref="A220"/>
    <hyperlink r:id="rId425" ref="C220"/>
    <hyperlink r:id="rId426" ref="A221"/>
    <hyperlink r:id="rId427" ref="C221"/>
    <hyperlink r:id="rId428" ref="A222"/>
    <hyperlink r:id="rId429" ref="C222"/>
    <hyperlink r:id="rId430" ref="A223"/>
    <hyperlink r:id="rId431" ref="C223"/>
    <hyperlink r:id="rId432" location=":~:text=Superside%20is%20known%20for%20its,wide%20range%20of%20creative%20assets." ref="A224"/>
    <hyperlink r:id="rId433" ref="C224"/>
    <hyperlink r:id="rId434" ref="A225"/>
    <hyperlink r:id="rId435" ref="C225"/>
    <hyperlink r:id="rId436" location=":~:text=About%3A%20Hawke%20Media%20pioneered%20the,email%20marketing%2C%20and%20conversion%20optimization." ref="A226"/>
    <hyperlink r:id="rId437" ref="C226"/>
    <hyperlink r:id="rId438" ref="A227"/>
    <hyperlink r:id="rId439" ref="C227"/>
    <hyperlink r:id="rId440" ref="A228"/>
    <hyperlink r:id="rId441" ref="C228"/>
    <hyperlink r:id="rId442" ref="A229"/>
    <hyperlink r:id="rId443" ref="C229"/>
    <hyperlink r:id="rId444" ref="A230"/>
    <hyperlink r:id="rId445" ref="C230"/>
    <hyperlink r:id="rId446" ref="A231"/>
    <hyperlink r:id="rId447" ref="C231"/>
    <hyperlink r:id="rId448" ref="A232"/>
    <hyperlink r:id="rId449" ref="C232"/>
    <hyperlink r:id="rId450" ref="A233"/>
    <hyperlink r:id="rId451" ref="C233"/>
    <hyperlink r:id="rId452" ref="A234"/>
    <hyperlink r:id="rId453" ref="C234"/>
    <hyperlink r:id="rId454" ref="A235"/>
    <hyperlink r:id="rId455" ref="C235"/>
    <hyperlink r:id="rId456" ref="A236"/>
    <hyperlink r:id="rId457" ref="C236"/>
    <hyperlink r:id="rId458" ref="A237"/>
    <hyperlink r:id="rId459" ref="C237"/>
    <hyperlink r:id="rId460" ref="A238"/>
    <hyperlink r:id="rId461" ref="C238"/>
    <hyperlink r:id="rId462" ref="A239"/>
    <hyperlink r:id="rId463" ref="C239"/>
    <hyperlink r:id="rId464" ref="A240"/>
    <hyperlink r:id="rId465" ref="C240"/>
    <hyperlink r:id="rId466" ref="A241"/>
    <hyperlink r:id="rId467" ref="C241"/>
    <hyperlink r:id="rId468" ref="A242"/>
    <hyperlink r:id="rId469" ref="C242"/>
    <hyperlink r:id="rId470" ref="A243"/>
    <hyperlink r:id="rId471" ref="C243"/>
    <hyperlink r:id="rId472" ref="A244"/>
    <hyperlink r:id="rId473" ref="C244"/>
    <hyperlink r:id="rId474" ref="A245"/>
    <hyperlink r:id="rId475" ref="C245"/>
    <hyperlink r:id="rId476" ref="A246"/>
    <hyperlink r:id="rId477" ref="C246"/>
    <hyperlink r:id="rId478" ref="A247"/>
    <hyperlink r:id="rId479" ref="C247"/>
    <hyperlink r:id="rId480" ref="A248"/>
    <hyperlink r:id="rId481" ref="C248"/>
    <hyperlink r:id="rId482" ref="A249"/>
    <hyperlink r:id="rId483" ref="C249"/>
    <hyperlink r:id="rId484" ref="A250"/>
    <hyperlink r:id="rId485" ref="C250"/>
    <hyperlink r:id="rId486" ref="A251"/>
    <hyperlink r:id="rId487" ref="C251"/>
    <hyperlink r:id="rId488" ref="A252"/>
    <hyperlink r:id="rId489" ref="C252"/>
    <hyperlink r:id="rId490" ref="A253"/>
    <hyperlink r:id="rId491" ref="C253"/>
    <hyperlink r:id="rId492" ref="A254"/>
    <hyperlink r:id="rId493" ref="C254"/>
    <hyperlink r:id="rId494" ref="A255"/>
    <hyperlink r:id="rId495" ref="C255"/>
    <hyperlink r:id="rId496" ref="A256"/>
    <hyperlink r:id="rId497" ref="C256"/>
    <hyperlink r:id="rId498" ref="A257"/>
    <hyperlink r:id="rId499" ref="C257"/>
    <hyperlink r:id="rId500" ref="A258"/>
    <hyperlink r:id="rId501" ref="C258"/>
    <hyperlink r:id="rId502" ref="A259"/>
    <hyperlink r:id="rId503" ref="C259"/>
    <hyperlink r:id="rId504" ref="A260"/>
    <hyperlink r:id="rId505" ref="C260"/>
    <hyperlink r:id="rId506" ref="A261"/>
    <hyperlink r:id="rId507" ref="C261"/>
    <hyperlink r:id="rId508" ref="A262"/>
    <hyperlink r:id="rId509" ref="C262"/>
    <hyperlink r:id="rId510" ref="A263"/>
    <hyperlink r:id="rId511" ref="C263"/>
    <hyperlink r:id="rId512" ref="A264"/>
    <hyperlink r:id="rId513" ref="C264"/>
    <hyperlink r:id="rId514" ref="A265"/>
    <hyperlink r:id="rId515" ref="C265"/>
    <hyperlink r:id="rId516" ref="A266"/>
    <hyperlink r:id="rId517" ref="C266"/>
    <hyperlink r:id="rId518" ref="A267"/>
    <hyperlink r:id="rId519" ref="A268"/>
    <hyperlink r:id="rId520" ref="C268"/>
    <hyperlink r:id="rId521" ref="A269"/>
    <hyperlink r:id="rId522" ref="C269"/>
    <hyperlink r:id="rId523" ref="A270"/>
    <hyperlink r:id="rId524" ref="C270"/>
    <hyperlink r:id="rId525" ref="A271"/>
    <hyperlink r:id="rId526" ref="C271"/>
    <hyperlink r:id="rId527" ref="A272"/>
    <hyperlink r:id="rId528" ref="C272"/>
    <hyperlink r:id="rId529" ref="A273"/>
    <hyperlink r:id="rId530" ref="C273"/>
    <hyperlink r:id="rId531" ref="A274"/>
    <hyperlink r:id="rId532" ref="C274"/>
    <hyperlink r:id="rId533" ref="A275"/>
    <hyperlink r:id="rId534" ref="C275"/>
    <hyperlink r:id="rId535" ref="A276"/>
    <hyperlink r:id="rId536" ref="C276"/>
    <hyperlink r:id="rId537" ref="A277"/>
    <hyperlink r:id="rId538" ref="C277"/>
    <hyperlink r:id="rId539" ref="A278"/>
    <hyperlink r:id="rId540" ref="C278"/>
    <hyperlink r:id="rId541" ref="A279"/>
    <hyperlink r:id="rId542" ref="C279"/>
    <hyperlink r:id="rId543" ref="A280"/>
    <hyperlink r:id="rId544" ref="C280"/>
    <hyperlink r:id="rId545" ref="A281"/>
    <hyperlink r:id="rId546" ref="C281"/>
    <hyperlink r:id="rId547" location=":~:text=Agencies%20like%20Majdra%2C%20which%20provide,for%20all%20future%20search%20success." ref="A282"/>
    <hyperlink r:id="rId548" ref="C282"/>
    <hyperlink r:id="rId549" ref="A283"/>
    <hyperlink r:id="rId550" ref="C283"/>
    <hyperlink r:id="rId551" ref="A284"/>
    <hyperlink r:id="rId552" ref="C284"/>
    <hyperlink r:id="rId553" ref="A285"/>
    <hyperlink r:id="rId554" ref="C285"/>
    <hyperlink r:id="rId555" ref="A286"/>
    <hyperlink r:id="rId556" ref="C286"/>
    <hyperlink r:id="rId557" ref="A287"/>
    <hyperlink r:id="rId558" ref="C287"/>
    <hyperlink r:id="rId559" ref="A288"/>
    <hyperlink r:id="rId560" ref="C288"/>
    <hyperlink r:id="rId561" ref="A289"/>
    <hyperlink r:id="rId562" ref="A290"/>
    <hyperlink r:id="rId563" ref="A291"/>
    <hyperlink r:id="rId564" ref="C291"/>
    <hyperlink r:id="rId565" ref="A292"/>
    <hyperlink r:id="rId566" ref="C292"/>
    <hyperlink r:id="rId567" ref="A293"/>
    <hyperlink r:id="rId568" ref="C293"/>
    <hyperlink r:id="rId569" ref="A294"/>
    <hyperlink r:id="rId570" ref="C294"/>
    <hyperlink r:id="rId571" ref="A295"/>
    <hyperlink r:id="rId572" ref="C295"/>
    <hyperlink r:id="rId573" ref="A296"/>
    <hyperlink r:id="rId574" ref="C296"/>
    <hyperlink r:id="rId575" ref="A297"/>
    <hyperlink r:id="rId576" ref="C297"/>
    <hyperlink r:id="rId577" ref="A298"/>
    <hyperlink r:id="rId578" ref="C298"/>
    <hyperlink r:id="rId579" ref="A299"/>
    <hyperlink r:id="rId580" ref="C299"/>
    <hyperlink r:id="rId581" ref="A300"/>
    <hyperlink r:id="rId582" ref="C300"/>
    <hyperlink r:id="rId583" ref="A301"/>
    <hyperlink r:id="rId584" ref="C301"/>
    <hyperlink r:id="rId585" location=":~:text=Siege%20Media%20is%20a%20well,likely%20to%20trust%20and%20reference." ref="A302"/>
    <hyperlink r:id="rId586" ref="C302"/>
    <hyperlink r:id="rId587" ref="A303"/>
    <hyperlink r:id="rId588" ref="C303"/>
    <hyperlink r:id="rId589" ref="A304"/>
    <hyperlink r:id="rId590" ref="C304"/>
    <hyperlink r:id="rId591" ref="A305"/>
    <hyperlink r:id="rId592" ref="C305"/>
    <hyperlink r:id="rId593" ref="A306"/>
    <hyperlink r:id="rId594" ref="A307"/>
    <hyperlink r:id="rId595" ref="C307"/>
    <hyperlink r:id="rId596" ref="A308"/>
    <hyperlink r:id="rId597" ref="C308"/>
    <hyperlink r:id="rId598" ref="A309"/>
    <hyperlink r:id="rId599" ref="C309"/>
    <hyperlink r:id="rId600" ref="A310"/>
    <hyperlink r:id="rId601" ref="C310"/>
    <hyperlink r:id="rId602" ref="A311"/>
    <hyperlink r:id="rId603" ref="C311"/>
    <hyperlink r:id="rId604" ref="A312"/>
    <hyperlink r:id="rId605" ref="C312"/>
    <hyperlink r:id="rId606" ref="A313"/>
    <hyperlink r:id="rId607" ref="C313"/>
    <hyperlink r:id="rId608" ref="A314"/>
    <hyperlink r:id="rId609" ref="C314"/>
    <hyperlink r:id="rId610" ref="A315"/>
    <hyperlink r:id="rId611" ref="C315"/>
    <hyperlink r:id="rId612" ref="A316"/>
    <hyperlink r:id="rId613" ref="A317"/>
    <hyperlink r:id="rId614" ref="C317"/>
    <hyperlink r:id="rId615" ref="A318"/>
    <hyperlink r:id="rId616" ref="C318"/>
    <hyperlink r:id="rId617" ref="A319"/>
    <hyperlink r:id="rId618" ref="C319"/>
    <hyperlink r:id="rId619" ref="A320"/>
    <hyperlink r:id="rId620" ref="C320"/>
    <hyperlink r:id="rId621" ref="A321"/>
    <hyperlink r:id="rId622" ref="C321"/>
    <hyperlink r:id="rId623" ref="A322"/>
    <hyperlink r:id="rId624" ref="C322"/>
    <hyperlink r:id="rId625" ref="A323"/>
    <hyperlink r:id="rId626" ref="A324"/>
    <hyperlink r:id="rId627" ref="C324"/>
    <hyperlink r:id="rId628" ref="A325"/>
    <hyperlink r:id="rId629" ref="C325"/>
    <hyperlink r:id="rId630" ref="A326"/>
    <hyperlink r:id="rId631" ref="C326"/>
    <hyperlink r:id="rId632" ref="A327"/>
    <hyperlink r:id="rId633" ref="C327"/>
    <hyperlink r:id="rId634" ref="A328"/>
    <hyperlink r:id="rId635" ref="C328"/>
    <hyperlink r:id="rId636" ref="A329"/>
    <hyperlink r:id="rId637" ref="C329"/>
    <hyperlink r:id="rId638" ref="A330"/>
    <hyperlink r:id="rId639" ref="C330"/>
    <hyperlink r:id="rId640" ref="A331"/>
    <hyperlink r:id="rId641" ref="C331"/>
    <hyperlink r:id="rId642" ref="A332"/>
    <hyperlink r:id="rId643" ref="C332"/>
    <hyperlink r:id="rId644" ref="A333"/>
    <hyperlink r:id="rId645" ref="C333"/>
    <hyperlink r:id="rId646" ref="A334"/>
    <hyperlink r:id="rId647" ref="C334"/>
    <hyperlink r:id="rId648" ref="A335"/>
    <hyperlink r:id="rId649" ref="C335"/>
    <hyperlink r:id="rId650" ref="A336"/>
    <hyperlink r:id="rId651" ref="C336"/>
    <hyperlink r:id="rId652" ref="A337"/>
    <hyperlink r:id="rId653" ref="C337"/>
    <hyperlink r:id="rId654" ref="A338"/>
    <hyperlink r:id="rId655" ref="C338"/>
    <hyperlink r:id="rId656" ref="A339"/>
    <hyperlink r:id="rId657" ref="C339"/>
    <hyperlink r:id="rId658" ref="A340"/>
    <hyperlink r:id="rId659" ref="C340"/>
    <hyperlink r:id="rId660" ref="A341"/>
    <hyperlink r:id="rId661" ref="C341"/>
    <hyperlink r:id="rId662" ref="A342"/>
    <hyperlink r:id="rId663" ref="C342"/>
    <hyperlink r:id="rId664" ref="A343"/>
    <hyperlink r:id="rId665" ref="C343"/>
    <hyperlink r:id="rId666" location=":~:text=The%2015%20best%20creative%20agencies%20(2026),for%20a%20fixed%20monthly%20fee." ref="A344"/>
    <hyperlink r:id="rId667" ref="C344"/>
    <hyperlink r:id="rId668" ref="A345"/>
    <hyperlink r:id="rId669" ref="C345"/>
    <hyperlink r:id="rId670" ref="A346"/>
    <hyperlink r:id="rId671" ref="C346"/>
    <hyperlink r:id="rId672" ref="A347"/>
    <hyperlink r:id="rId673" ref="C347"/>
    <hyperlink r:id="rId674" ref="A348"/>
    <hyperlink r:id="rId675" ref="C348"/>
    <hyperlink r:id="rId676" ref="A349"/>
    <hyperlink r:id="rId677" ref="C349"/>
    <hyperlink r:id="rId678" ref="A350"/>
    <hyperlink r:id="rId679" ref="C350"/>
    <hyperlink r:id="rId680" ref="A351"/>
    <hyperlink r:id="rId681" ref="C351"/>
    <hyperlink r:id="rId682" ref="A352"/>
    <hyperlink r:id="rId683" ref="C352"/>
    <hyperlink r:id="rId684" ref="A353"/>
    <hyperlink r:id="rId685" ref="C353"/>
    <hyperlink r:id="rId686" ref="A354"/>
    <hyperlink r:id="rId687" ref="C354"/>
    <hyperlink r:id="rId688" ref="A355"/>
    <hyperlink r:id="rId689" ref="C355"/>
    <hyperlink r:id="rId690" ref="A356"/>
    <hyperlink r:id="rId691" ref="C356"/>
    <hyperlink r:id="rId692" ref="A357"/>
    <hyperlink r:id="rId693" ref="A358"/>
    <hyperlink r:id="rId694" ref="A359"/>
    <hyperlink r:id="rId695" ref="C359"/>
    <hyperlink r:id="rId696" ref="A360"/>
    <hyperlink r:id="rId697" ref="C360"/>
    <hyperlink r:id="rId698" ref="A361"/>
    <hyperlink r:id="rId699" ref="C361"/>
    <hyperlink r:id="rId700" ref="A362"/>
    <hyperlink r:id="rId701" ref="C362"/>
    <hyperlink r:id="rId702" ref="A363"/>
    <hyperlink r:id="rId703" ref="C363"/>
    <hyperlink r:id="rId704" ref="A364"/>
    <hyperlink r:id="rId705" ref="C364"/>
    <hyperlink r:id="rId706" ref="A365"/>
    <hyperlink r:id="rId707" ref="C365"/>
    <hyperlink r:id="rId708" ref="A366"/>
    <hyperlink r:id="rId709" ref="C366"/>
    <hyperlink r:id="rId710" ref="A367"/>
    <hyperlink r:id="rId711" ref="C367"/>
    <hyperlink r:id="rId712" ref="A368"/>
    <hyperlink r:id="rId713" ref="C368"/>
    <hyperlink r:id="rId714" ref="A369"/>
    <hyperlink r:id="rId715" ref="C369"/>
    <hyperlink r:id="rId716" ref="A370"/>
    <hyperlink r:id="rId717" ref="C370"/>
    <hyperlink r:id="rId718" ref="A371"/>
    <hyperlink r:id="rId719" ref="C371"/>
    <hyperlink r:id="rId720" ref="A372"/>
    <hyperlink r:id="rId721" ref="C372"/>
    <hyperlink r:id="rId722" ref="A373"/>
    <hyperlink r:id="rId723" ref="C373"/>
    <hyperlink r:id="rId724" ref="A374"/>
    <hyperlink r:id="rId725" ref="C374"/>
    <hyperlink r:id="rId726" ref="A375"/>
    <hyperlink r:id="rId727" ref="C375"/>
    <hyperlink r:id="rId728" ref="A376"/>
    <hyperlink r:id="rId729" location=":~:text=Get%20Expert%20Consultation,more%20structured%20data%2Ddriven%20operations." ref="A377"/>
    <hyperlink r:id="rId730" ref="A378"/>
    <hyperlink r:id="rId731" ref="C378"/>
    <hyperlink r:id="rId732" ref="A379"/>
    <hyperlink r:id="rId733" ref="C379"/>
    <hyperlink r:id="rId734" ref="A380"/>
    <hyperlink r:id="rId735" ref="C380"/>
    <hyperlink r:id="rId736" ref="A381"/>
    <hyperlink r:id="rId737" ref="C381"/>
    <hyperlink r:id="rId738" ref="A382"/>
    <hyperlink r:id="rId739" ref="C382"/>
    <hyperlink r:id="rId740" location=":~:text=Why%20Pixelmojo%20is%20different,systems%20(Vector%2C%20Hive)." ref="A383"/>
    <hyperlink r:id="rId741" ref="C383"/>
    <hyperlink r:id="rId742" ref="A384"/>
    <hyperlink r:id="rId743" ref="C384"/>
    <hyperlink r:id="rId744" ref="A385"/>
    <hyperlink r:id="rId745" ref="C385"/>
    <hyperlink r:id="rId746" ref="A386"/>
    <hyperlink r:id="rId747" ref="C386"/>
    <hyperlink r:id="rId748" ref="A387"/>
    <hyperlink r:id="rId749" ref="C387"/>
    <hyperlink r:id="rId750" ref="A388"/>
    <hyperlink r:id="rId751" ref="C388"/>
    <hyperlink r:id="rId752" ref="A389"/>
    <hyperlink r:id="rId753" ref="C389"/>
    <hyperlink r:id="rId754" ref="A390"/>
    <hyperlink r:id="rId755" ref="C390"/>
    <hyperlink r:id="rId756" ref="A391"/>
    <hyperlink r:id="rId757" ref="C391"/>
    <hyperlink r:id="rId758" ref="A392"/>
    <hyperlink r:id="rId759" ref="C392"/>
    <hyperlink r:id="rId760" ref="A393"/>
    <hyperlink r:id="rId761" ref="C393"/>
    <hyperlink r:id="rId762" ref="A394"/>
    <hyperlink r:id="rId763" ref="C394"/>
    <hyperlink r:id="rId764" ref="A395"/>
    <hyperlink r:id="rId765" ref="C395"/>
    <hyperlink r:id="rId766" ref="A396"/>
    <hyperlink r:id="rId767" ref="C396"/>
    <hyperlink r:id="rId768" ref="A397"/>
    <hyperlink r:id="rId769" ref="C397"/>
    <hyperlink r:id="rId770" ref="A398"/>
    <hyperlink r:id="rId771" ref="A399"/>
    <hyperlink r:id="rId772" ref="C399"/>
    <hyperlink r:id="rId773" ref="A400"/>
    <hyperlink r:id="rId774" ref="C400"/>
    <hyperlink r:id="rId775" ref="A401"/>
    <hyperlink r:id="rId776" ref="C401"/>
    <hyperlink r:id="rId777" ref="A402"/>
    <hyperlink r:id="rId778" ref="C402"/>
    <hyperlink r:id="rId779" ref="A403"/>
    <hyperlink r:id="rId780" ref="C403"/>
    <hyperlink r:id="rId781" ref="A404"/>
    <hyperlink r:id="rId782" ref="C404"/>
    <hyperlink r:id="rId783" ref="A405"/>
    <hyperlink r:id="rId784" ref="C405"/>
    <hyperlink r:id="rId785" ref="A406"/>
    <hyperlink r:id="rId786" ref="C406"/>
    <hyperlink r:id="rId787" ref="A407"/>
    <hyperlink r:id="rId788" ref="C407"/>
    <hyperlink r:id="rId789" ref="A408"/>
    <hyperlink r:id="rId790" ref="C408"/>
    <hyperlink r:id="rId791" ref="A409"/>
    <hyperlink r:id="rId792" ref="C409"/>
    <hyperlink r:id="rId793" ref="A410"/>
    <hyperlink r:id="rId794" ref="C410"/>
    <hyperlink r:id="rId795" ref="A411"/>
    <hyperlink r:id="rId796" ref="C411"/>
    <hyperlink r:id="rId797" ref="A412"/>
    <hyperlink r:id="rId798" ref="C412"/>
    <hyperlink r:id="rId799" ref="A413"/>
    <hyperlink r:id="rId800" ref="C413"/>
    <hyperlink r:id="rId801" ref="A414"/>
    <hyperlink r:id="rId802" ref="C414"/>
    <hyperlink r:id="rId803" ref="A415"/>
    <hyperlink r:id="rId804" ref="C415"/>
    <hyperlink r:id="rId805" ref="A416"/>
    <hyperlink r:id="rId806" ref="C416"/>
    <hyperlink r:id="rId807" ref="A417"/>
    <hyperlink r:id="rId808" ref="C417"/>
    <hyperlink r:id="rId809" ref="A418"/>
    <hyperlink r:id="rId810" ref="C418"/>
    <hyperlink r:id="rId811" ref="A419"/>
    <hyperlink r:id="rId812" ref="C419"/>
    <hyperlink r:id="rId813" ref="A420"/>
    <hyperlink r:id="rId814" ref="C420"/>
    <hyperlink r:id="rId815" ref="A421"/>
    <hyperlink r:id="rId816" ref="C421"/>
    <hyperlink r:id="rId817" ref="A422"/>
    <hyperlink r:id="rId818" ref="C422"/>
    <hyperlink r:id="rId819" ref="A423"/>
    <hyperlink r:id="rId820" ref="C423"/>
    <hyperlink r:id="rId821" ref="A424"/>
    <hyperlink r:id="rId822" ref="C424"/>
    <hyperlink r:id="rId823" ref="A425"/>
    <hyperlink r:id="rId824" ref="C425"/>
    <hyperlink r:id="rId825" ref="A426"/>
    <hyperlink r:id="rId826" ref="C426"/>
    <hyperlink r:id="rId827" ref="A427"/>
    <hyperlink r:id="rId828" ref="C427"/>
    <hyperlink r:id="rId829" ref="A428"/>
    <hyperlink r:id="rId830" ref="C428"/>
    <hyperlink r:id="rId831" ref="A429"/>
    <hyperlink r:id="rId832" ref="C429"/>
    <hyperlink r:id="rId833" ref="A430"/>
    <hyperlink r:id="rId834" ref="C430"/>
    <hyperlink r:id="rId835" ref="A431"/>
    <hyperlink r:id="rId836" ref="C431"/>
    <hyperlink r:id="rId837" ref="A432"/>
    <hyperlink r:id="rId838" ref="C432"/>
    <hyperlink r:id="rId839" ref="A433"/>
    <hyperlink r:id="rId840" ref="C433"/>
    <hyperlink r:id="rId841" ref="A434"/>
    <hyperlink r:id="rId842" ref="C434"/>
    <hyperlink r:id="rId843" ref="A435"/>
    <hyperlink r:id="rId844" ref="C435"/>
    <hyperlink r:id="rId845" ref="A436"/>
    <hyperlink r:id="rId846" ref="C436"/>
    <hyperlink r:id="rId847" ref="A437"/>
    <hyperlink r:id="rId848" ref="C437"/>
    <hyperlink r:id="rId849" ref="A438"/>
    <hyperlink r:id="rId850" ref="C438"/>
    <hyperlink r:id="rId851" ref="A439"/>
    <hyperlink r:id="rId852" ref="C439"/>
    <hyperlink r:id="rId853" ref="A440"/>
    <hyperlink r:id="rId854" ref="C440"/>
    <hyperlink r:id="rId855" ref="A441"/>
    <hyperlink r:id="rId856" ref="C441"/>
    <hyperlink r:id="rId857" ref="A442"/>
    <hyperlink r:id="rId858" ref="A443"/>
    <hyperlink r:id="rId859" ref="C443"/>
    <hyperlink r:id="rId860" ref="A444"/>
    <hyperlink r:id="rId861" ref="C444"/>
    <hyperlink r:id="rId862" ref="A445"/>
    <hyperlink r:id="rId863" ref="C445"/>
    <hyperlink r:id="rId864" ref="A446"/>
    <hyperlink r:id="rId865" ref="C446"/>
    <hyperlink r:id="rId866" ref="A447"/>
    <hyperlink r:id="rId867" ref="A448"/>
    <hyperlink r:id="rId868" ref="C448"/>
    <hyperlink r:id="rId869" ref="A449"/>
    <hyperlink r:id="rId870" ref="C449"/>
    <hyperlink r:id="rId871" ref="A450"/>
    <hyperlink r:id="rId872" ref="C450"/>
    <hyperlink r:id="rId873" ref="A451"/>
    <hyperlink r:id="rId874" ref="C451"/>
    <hyperlink r:id="rId875" ref="A452"/>
    <hyperlink r:id="rId876" ref="C452"/>
    <hyperlink r:id="rId877" ref="A453"/>
    <hyperlink r:id="rId878" ref="C453"/>
    <hyperlink r:id="rId879" ref="A454"/>
    <hyperlink r:id="rId880" ref="C454"/>
    <hyperlink r:id="rId881" ref="A455"/>
    <hyperlink r:id="rId882" ref="C455"/>
    <hyperlink r:id="rId883" ref="A456"/>
    <hyperlink r:id="rId884" ref="C456"/>
    <hyperlink r:id="rId885" ref="A457"/>
    <hyperlink r:id="rId886" ref="C457"/>
    <hyperlink r:id="rId887" ref="A458"/>
    <hyperlink r:id="rId888" ref="C458"/>
    <hyperlink r:id="rId889" ref="A459"/>
    <hyperlink r:id="rId890" ref="C459"/>
    <hyperlink r:id="rId891" ref="A460"/>
    <hyperlink r:id="rId892" ref="C460"/>
    <hyperlink r:id="rId893" ref="A461"/>
    <hyperlink r:id="rId894" ref="C461"/>
    <hyperlink r:id="rId895" ref="A462"/>
    <hyperlink r:id="rId896" ref="C462"/>
    <hyperlink r:id="rId897" ref="A463"/>
    <hyperlink r:id="rId898" ref="C463"/>
    <hyperlink r:id="rId899" ref="A464"/>
    <hyperlink r:id="rId900" ref="C464"/>
    <hyperlink r:id="rId901" ref="A465"/>
    <hyperlink r:id="rId902" ref="C465"/>
    <hyperlink r:id="rId903" ref="A466"/>
    <hyperlink r:id="rId904" ref="C466"/>
    <hyperlink r:id="rId905" ref="A467"/>
    <hyperlink r:id="rId906" ref="C467"/>
    <hyperlink r:id="rId907" ref="A468"/>
    <hyperlink r:id="rId908" ref="C468"/>
    <hyperlink r:id="rId909" ref="A469"/>
    <hyperlink r:id="rId910" ref="C469"/>
    <hyperlink r:id="rId911" ref="A470"/>
    <hyperlink r:id="rId912" ref="C470"/>
    <hyperlink r:id="rId913" ref="A471"/>
    <hyperlink r:id="rId914" ref="C471"/>
    <hyperlink r:id="rId915" ref="A472"/>
    <hyperlink r:id="rId916" ref="C472"/>
    <hyperlink r:id="rId917" ref="A473"/>
    <hyperlink r:id="rId918" ref="C473"/>
    <hyperlink r:id="rId919" ref="A474"/>
    <hyperlink r:id="rId920" ref="C474"/>
    <hyperlink r:id="rId921" ref="A475"/>
    <hyperlink r:id="rId922" ref="C475"/>
    <hyperlink r:id="rId923" ref="A476"/>
    <hyperlink r:id="rId924" ref="C476"/>
    <hyperlink r:id="rId925" ref="A477"/>
    <hyperlink r:id="rId926" ref="C477"/>
    <hyperlink r:id="rId927" ref="A478"/>
    <hyperlink r:id="rId928" ref="C478"/>
  </hyperlinks>
  <drawing r:id="rId9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All'!D2:D1000)))=""other""
  ),
  """"
)"),"https://agencies.semrush.com/list/display-advertising/germany/small-business/")</f>
        <v>https://agencies.semrush.com/list/display-advertising/germany/small-business/</v>
      </c>
      <c r="B2" s="11" t="str">
        <f>IFERROR(__xludf.DUMMYFUNCTION("""COMPUTED_VALUE"""),"Best Display Ads Agencies for Small Business in Germany 2026 | Semrush")</f>
        <v>Best Display Ads Agencies for Small Business in Germany 2026 | Semrush</v>
      </c>
      <c r="C2" s="8" t="str">
        <f>IFERROR(__xludf.DUMMYFUNCTION("""COMPUTED_VALUE"""),"semrush.com")</f>
        <v>semrush.com</v>
      </c>
      <c r="D2" s="11" t="str">
        <f>IFERROR(__xludf.DUMMYFUNCTION("""COMPUTED_VALUE"""),"OTHER")</f>
        <v>OTHER</v>
      </c>
      <c r="E2" s="11" t="str">
        <f>IFERROR(__xludf.DUMMYFUNCTION("""COMPUTED_VALUE"""),"CORPORATE")</f>
        <v>CORPORATE</v>
      </c>
      <c r="F2" s="11" t="str">
        <f>IFERROR(__xludf.DUMMYFUNCTION("""COMPUTED_VALUE"""),"Other")</f>
        <v>Other</v>
      </c>
      <c r="G2" s="11" t="b">
        <f>IFERROR(__xludf.DUMMYFUNCTION("""COMPUTED_VALUE"""),FALSE)</f>
        <v>0</v>
      </c>
      <c r="H2" s="11" t="str">
        <f>IFERROR(__xludf.DUMMYFUNCTION("""COMPUTED_VALUE"""),"Baseplus DIGITAL MEDIA GmbH, Mediaplus Performance, MONSOON, KlickPiloten")</f>
        <v>Baseplus DIGITAL MEDIA GmbH, Mediaplus Performance, MONSOON, KlickPiloten</v>
      </c>
      <c r="I2" s="11">
        <f>IFERROR(__xludf.DUMMYFUNCTION("""COMPUTED_VALUE"""),22.0)</f>
        <v>22</v>
      </c>
      <c r="J2" s="11">
        <f>IFERROR(__xludf.DUMMYFUNCTION("""COMPUTED_VALUE"""),0.02)</f>
        <v>0.02</v>
      </c>
      <c r="K2" s="11">
        <f>IFERROR(__xludf.DUMMYFUNCTION("""COMPUTED_VALUE"""),0.41)</f>
        <v>0.41</v>
      </c>
    </row>
    <row r="3" ht="15.75" customHeight="1">
      <c r="A3" s="8" t="str">
        <f>IFERROR(__xludf.DUMMYFUNCTION("""COMPUTED_VALUE"""),"https://clutch.co/de/agencies/ppc/display")</f>
        <v>https://clutch.co/de/agencies/ppc/display</v>
      </c>
      <c r="B3" s="11" t="str">
        <f>IFERROR(__xludf.DUMMYFUNCTION("""COMPUTED_VALUE"""),"Top Display Advertising Services in Germany - Jul 2026 Rankings \| Clutch.co")</f>
        <v>Top Display Advertising Services in Germany - Jul 2026 Rankings \| Clutch.co</v>
      </c>
      <c r="C3" s="8" t="str">
        <f>IFERROR(__xludf.DUMMYFUNCTION("""COMPUTED_VALUE"""),"clutch.co")</f>
        <v>clutch.co</v>
      </c>
      <c r="D3" s="11" t="str">
        <f>IFERROR(__xludf.DUMMYFUNCTION("""COMPUTED_VALUE"""),"OTHER")</f>
        <v>OTHER</v>
      </c>
      <c r="E3" s="11" t="str">
        <f>IFERROR(__xludf.DUMMYFUNCTION("""COMPUTED_VALUE"""),"CORPORATE")</f>
        <v>CORPORATE</v>
      </c>
      <c r="F3" s="11" t="str">
        <f>IFERROR(__xludf.DUMMYFUNCTION("""COMPUTED_VALUE"""),"Other")</f>
        <v>Other</v>
      </c>
      <c r="G3" s="11" t="b">
        <f>IFERROR(__xludf.DUMMYFUNCTION("""COMPUTED_VALUE"""),FALSE)</f>
        <v>0</v>
      </c>
      <c r="H3" s="11" t="str">
        <f>IFERROR(__xludf.DUMMYFUNCTION("""COMPUTED_VALUE"""),"Seeders, GroupM, Aufgesang")</f>
        <v>Seeders, GroupM, Aufgesang</v>
      </c>
      <c r="I3" s="11">
        <f>IFERROR(__xludf.DUMMYFUNCTION("""COMPUTED_VALUE"""),18.0)</f>
        <v>18</v>
      </c>
      <c r="J3" s="11">
        <f>IFERROR(__xludf.DUMMYFUNCTION("""COMPUTED_VALUE"""),0.02)</f>
        <v>0.02</v>
      </c>
      <c r="K3" s="11">
        <f>IFERROR(__xludf.DUMMYFUNCTION("""COMPUTED_VALUE"""),0.67)</f>
        <v>0.67</v>
      </c>
    </row>
    <row r="4" ht="15.75" customHeight="1">
      <c r="A4" s="8" t="str">
        <f>IFERROR(__xludf.DUMMYFUNCTION("""COMPUTED_VALUE"""),"https://support.google.com/analytics/answer/7237700?hl=en")</f>
        <v>https://support.google.com/analytics/answer/7237700?hl=en</v>
      </c>
      <c r="B4" s="11" t="str">
        <f>IFERROR(__xludf.DUMMYFUNCTION("""COMPUTED_VALUE"""),"Google Marketing Platform Partners - Analytics Help")</f>
        <v>Google Marketing Platform Partners - Analytics Help</v>
      </c>
      <c r="C4" s="8" t="str">
        <f>IFERROR(__xludf.DUMMYFUNCTION("""COMPUTED_VALUE"""),"google.com")</f>
        <v>google.com</v>
      </c>
      <c r="D4" s="11" t="str">
        <f>IFERROR(__xludf.DUMMYFUNCTION("""COMPUTED_VALUE"""),"OTHER")</f>
        <v>OTHER</v>
      </c>
      <c r="E4" s="11" t="str">
        <f>IFERROR(__xludf.DUMMYFUNCTION("""COMPUTED_VALUE"""),"OTHER")</f>
        <v>OTHER</v>
      </c>
      <c r="F4" s="11" t="str">
        <f>IFERROR(__xludf.DUMMYFUNCTION("""COMPUTED_VALUE"""),"Other")</f>
        <v>Other</v>
      </c>
      <c r="G4" s="11" t="b">
        <f>IFERROR(__xludf.DUMMYFUNCTION("""COMPUTED_VALUE"""),FALSE)</f>
        <v>0</v>
      </c>
      <c r="H4" s="11"/>
      <c r="I4" s="11">
        <f>IFERROR(__xludf.DUMMYFUNCTION("""COMPUTED_VALUE"""),17.0)</f>
        <v>17</v>
      </c>
      <c r="J4" s="11">
        <f>IFERROR(__xludf.DUMMYFUNCTION("""COMPUTED_VALUE"""),0.02)</f>
        <v>0.02</v>
      </c>
      <c r="K4" s="11">
        <f>IFERROR(__xludf.DUMMYFUNCTION("""COMPUTED_VALUE"""),1.65)</f>
        <v>1.65</v>
      </c>
    </row>
    <row r="5" ht="15.75" customHeight="1">
      <c r="A5" s="8" t="str">
        <f>IFERROR(__xludf.DUMMYFUNCTION("""COMPUTED_VALUE"""),"https://feedbax.ai/digital-marketing/germany#:~:text=from%20on...-,Read%20More,100%25%20relevance%20%E2%9C%93%20Inform%20now")</f>
        <v>https://feedbax.ai/digital-marketing/germany#:~:text=from%20on...-,Read%20More,100%25%20relevance%20%E2%9C%93%20Inform%20now</v>
      </c>
      <c r="B5" s="11" t="str">
        <f>IFERROR(__xludf.DUMMYFUNCTION("""COMPUTED_VALUE"""),"Top 20 Digital Marketing Agencies in Germany - 2026 Reviews")</f>
        <v>Top 20 Digital Marketing Agencies in Germany - 2026 Reviews</v>
      </c>
      <c r="C5" s="8" t="str">
        <f>IFERROR(__xludf.DUMMYFUNCTION("""COMPUTED_VALUE"""),"feedbax.ai")</f>
        <v>feedbax.ai</v>
      </c>
      <c r="D5" s="11" t="str">
        <f>IFERROR(__xludf.DUMMYFUNCTION("""COMPUTED_VALUE"""),"OTHER")</f>
        <v>OTHER</v>
      </c>
      <c r="E5" s="11" t="str">
        <f>IFERROR(__xludf.DUMMYFUNCTION("""COMPUTED_VALUE"""),"UGC")</f>
        <v>UGC</v>
      </c>
      <c r="F5" s="11" t="str">
        <f>IFERROR(__xludf.DUMMYFUNCTION("""COMPUTED_VALUE"""),"Other")</f>
        <v>Other</v>
      </c>
      <c r="G5" s="11" t="b">
        <f>IFERROR(__xludf.DUMMYFUNCTION("""COMPUTED_VALUE"""),FALSE)</f>
        <v>0</v>
      </c>
      <c r="H5" s="11" t="str">
        <f>IFERROR(__xludf.DUMMYFUNCTION("""COMPUTED_VALUE"""),"PANORAMA3000, KlickPiloten, Mediacharge, Smarketer, DREIKON, Suchhelden")</f>
        <v>PANORAMA3000, KlickPiloten, Mediacharge, Smarketer, DREIKON, Suchhelden</v>
      </c>
      <c r="I5" s="11">
        <f>IFERROR(__xludf.DUMMYFUNCTION("""COMPUTED_VALUE"""),16.0)</f>
        <v>16</v>
      </c>
      <c r="J5" s="11">
        <f>IFERROR(__xludf.DUMMYFUNCTION("""COMPUTED_VALUE"""),0.02)</f>
        <v>0.02</v>
      </c>
      <c r="K5" s="11">
        <f>IFERROR(__xludf.DUMMYFUNCTION("""COMPUTED_VALUE"""),0.88)</f>
        <v>0.88</v>
      </c>
    </row>
    <row r="6" ht="15.75" customHeight="1">
      <c r="A6" s="8" t="str">
        <f>IFERROR(__xludf.DUMMYFUNCTION("""COMPUTED_VALUE"""),"https://agencies.semrush.com/list/display-advertising/germany/")</f>
        <v>https://agencies.semrush.com/list/display-advertising/germany/</v>
      </c>
      <c r="B6" s="11" t="str">
        <f>IFERROR(__xludf.DUMMYFUNCTION("""COMPUTED_VALUE"""),"Best Display Ads Agencies in Germany 2026 | Semrush")</f>
        <v>Best Display Ads Agencies in Germany 2026 | Semrush</v>
      </c>
      <c r="C6" s="8" t="str">
        <f>IFERROR(__xludf.DUMMYFUNCTION("""COMPUTED_VALUE"""),"semrush.com")</f>
        <v>semrush.com</v>
      </c>
      <c r="D6" s="11" t="str">
        <f>IFERROR(__xludf.DUMMYFUNCTION("""COMPUTED_VALUE"""),"OTHER")</f>
        <v>OTHER</v>
      </c>
      <c r="E6" s="11" t="str">
        <f>IFERROR(__xludf.DUMMYFUNCTION("""COMPUTED_VALUE"""),"CORPORATE")</f>
        <v>CORPORATE</v>
      </c>
      <c r="F6" s="11" t="str">
        <f>IFERROR(__xludf.DUMMYFUNCTION("""COMPUTED_VALUE"""),"Other")</f>
        <v>Other</v>
      </c>
      <c r="G6" s="11" t="b">
        <f>IFERROR(__xludf.DUMMYFUNCTION("""COMPUTED_VALUE"""),FALSE)</f>
        <v>0</v>
      </c>
      <c r="H6" s="11" t="str">
        <f>IFERROR(__xludf.DUMMYFUNCTION("""COMPUTED_VALUE"""),"Baseplus DIGITAL MEDIA GmbH, morefire, Mediaplus Performance, MONSOON, KlickPiloten")</f>
        <v>Baseplus DIGITAL MEDIA GmbH, morefire, Mediaplus Performance, MONSOON, KlickPiloten</v>
      </c>
      <c r="I6" s="11">
        <f>IFERROR(__xludf.DUMMYFUNCTION("""COMPUTED_VALUE"""),14.0)</f>
        <v>14</v>
      </c>
      <c r="J6" s="11">
        <f>IFERROR(__xludf.DUMMYFUNCTION("""COMPUTED_VALUE"""),0.01)</f>
        <v>0.01</v>
      </c>
      <c r="K6" s="11">
        <f>IFERROR(__xludf.DUMMYFUNCTION("""COMPUTED_VALUE"""),0.14)</f>
        <v>0.14</v>
      </c>
    </row>
    <row r="7" ht="15.75" customHeight="1">
      <c r="A7" s="8" t="str">
        <f>IFERROR(__xludf.DUMMYFUNCTION("""COMPUTED_VALUE"""),"https://agencies.semrush.com/list/display-advertising/ecommerce/germany/small-business/")</f>
        <v>https://agencies.semrush.com/list/display-advertising/ecommerce/germany/small-business/</v>
      </c>
      <c r="B7" s="11" t="str">
        <f>IFERROR(__xludf.DUMMYFUNCTION("""COMPUTED_VALUE"""),"Best Ecommerce Display Ads Agencies for Small Business in Germany 2026 | Semrush")</f>
        <v>Best Ecommerce Display Ads Agencies for Small Business in Germany 2026 | Semrush</v>
      </c>
      <c r="C7" s="8" t="str">
        <f>IFERROR(__xludf.DUMMYFUNCTION("""COMPUTED_VALUE"""),"semrush.com")</f>
        <v>semrush.com</v>
      </c>
      <c r="D7" s="11" t="str">
        <f>IFERROR(__xludf.DUMMYFUNCTION("""COMPUTED_VALUE"""),"OTHER")</f>
        <v>OTHER</v>
      </c>
      <c r="E7" s="11" t="str">
        <f>IFERROR(__xludf.DUMMYFUNCTION("""COMPUTED_VALUE"""),"CORPORATE")</f>
        <v>CORPORATE</v>
      </c>
      <c r="F7" s="11" t="str">
        <f>IFERROR(__xludf.DUMMYFUNCTION("""COMPUTED_VALUE"""),"Other")</f>
        <v>Other</v>
      </c>
      <c r="G7" s="11" t="b">
        <f>IFERROR(__xludf.DUMMYFUNCTION("""COMPUTED_VALUE"""),FALSE)</f>
        <v>0</v>
      </c>
      <c r="H7" s="11" t="str">
        <f>IFERROR(__xludf.DUMMYFUNCTION("""COMPUTED_VALUE"""),"Baseplus DIGITAL MEDIA GmbH, Mediaplus Performance, MONSOON")</f>
        <v>Baseplus DIGITAL MEDIA GmbH, Mediaplus Performance, MONSOON</v>
      </c>
      <c r="I7" s="11">
        <f>IFERROR(__xludf.DUMMYFUNCTION("""COMPUTED_VALUE"""),13.0)</f>
        <v>13</v>
      </c>
      <c r="J7" s="11">
        <f>IFERROR(__xludf.DUMMYFUNCTION("""COMPUTED_VALUE"""),0.01)</f>
        <v>0.01</v>
      </c>
      <c r="K7" s="11">
        <f>IFERROR(__xludf.DUMMYFUNCTION("""COMPUTED_VALUE"""),0.08)</f>
        <v>0.08</v>
      </c>
    </row>
    <row r="8" ht="15.75" customHeight="1">
      <c r="A8" s="8" t="str">
        <f>IFERROR(__xludf.DUMMYFUNCTION("""COMPUTED_VALUE"""),"https://www.scaled2c.com/services/germany/measurement-attribution-berlin")</f>
        <v>https://www.scaled2c.com/services/germany/measurement-attribution-berlin</v>
      </c>
      <c r="B8" s="11"/>
      <c r="C8" s="8" t="str">
        <f>IFERROR(__xludf.DUMMYFUNCTION("""COMPUTED_VALUE"""),"scaled2c.com")</f>
        <v>scaled2c.com</v>
      </c>
      <c r="D8" s="11" t="str">
        <f>IFERROR(__xludf.DUMMYFUNCTION("""COMPUTED_VALUE"""),"OTHER")</f>
        <v>OTHER</v>
      </c>
      <c r="E8" s="11" t="str">
        <f>IFERROR(__xludf.DUMMYFUNCTION("""COMPUTED_VALUE"""),"CORPORATE")</f>
        <v>CORPORATE</v>
      </c>
      <c r="F8" s="11" t="str">
        <f>IFERROR(__xludf.DUMMYFUNCTION("""COMPUTED_VALUE"""),"Other")</f>
        <v>Other</v>
      </c>
      <c r="G8" s="11"/>
      <c r="H8" s="11" t="str">
        <f>IFERROR(__xludf.DUMMYFUNCTION("""COMPUTED_VALUE"""),"Unknown")</f>
        <v>Unknown</v>
      </c>
      <c r="I8" s="11">
        <f>IFERROR(__xludf.DUMMYFUNCTION("""COMPUTED_VALUE"""),13.0)</f>
        <v>13</v>
      </c>
      <c r="J8" s="11">
        <f>IFERROR(__xludf.DUMMYFUNCTION("""COMPUTED_VALUE"""),0.01)</f>
        <v>0.01</v>
      </c>
      <c r="K8" s="11">
        <f>IFERROR(__xludf.DUMMYFUNCTION("""COMPUTED_VALUE"""),1.0)</f>
        <v>1</v>
      </c>
    </row>
    <row r="9" ht="15.75" customHeight="1">
      <c r="A9" s="8" t="str">
        <f>IFERROR(__xludf.DUMMYFUNCTION("""COMPUTED_VALUE"""),"https://agencies.semrush.com/de/list/display-advertising/germany/")</f>
        <v>https://agencies.semrush.com/de/list/display-advertising/germany/</v>
      </c>
      <c r="B9" s="11" t="str">
        <f>IFERROR(__xludf.DUMMYFUNCTION("""COMPUTED_VALUE"""),"Beste Display-Werbung-Agenturen für , Germany 2026 | Semrush")</f>
        <v>Beste Display-Werbung-Agenturen für , Germany 2026 | Semrush</v>
      </c>
      <c r="C9" s="8" t="str">
        <f>IFERROR(__xludf.DUMMYFUNCTION("""COMPUTED_VALUE"""),"semrush.com")</f>
        <v>semrush.com</v>
      </c>
      <c r="D9" s="11" t="str">
        <f>IFERROR(__xludf.DUMMYFUNCTION("""COMPUTED_VALUE"""),"OTHER")</f>
        <v>OTHER</v>
      </c>
      <c r="E9" s="11" t="str">
        <f>IFERROR(__xludf.DUMMYFUNCTION("""COMPUTED_VALUE"""),"CORPORATE")</f>
        <v>CORPORATE</v>
      </c>
      <c r="F9" s="11" t="str">
        <f>IFERROR(__xludf.DUMMYFUNCTION("""COMPUTED_VALUE"""),"Other")</f>
        <v>Other</v>
      </c>
      <c r="G9" s="11" t="b">
        <f>IFERROR(__xludf.DUMMYFUNCTION("""COMPUTED_VALUE"""),FALSE)</f>
        <v>0</v>
      </c>
      <c r="H9" s="11" t="str">
        <f>IFERROR(__xludf.DUMMYFUNCTION("""COMPUTED_VALUE"""),"Baseplus DIGITAL MEDIA GmbH, morefire, Mediaplus Performance, MONSOON, KlickPiloten")</f>
        <v>Baseplus DIGITAL MEDIA GmbH, morefire, Mediaplus Performance, MONSOON, KlickPiloten</v>
      </c>
      <c r="I9" s="11">
        <f>IFERROR(__xludf.DUMMYFUNCTION("""COMPUTED_VALUE"""),10.0)</f>
        <v>10</v>
      </c>
      <c r="J9" s="11">
        <f>IFERROR(__xludf.DUMMYFUNCTION("""COMPUTED_VALUE"""),0.01)</f>
        <v>0.01</v>
      </c>
      <c r="K9" s="11">
        <f>IFERROR(__xludf.DUMMYFUNCTION("""COMPUTED_VALUE"""),0.2)</f>
        <v>0.2</v>
      </c>
    </row>
    <row r="10" ht="15.75" customHeight="1">
      <c r="A10" s="8" t="str">
        <f>IFERROR(__xludf.DUMMYFUNCTION("""COMPUTED_VALUE"""),"https://www.ibusiness.de/performance-ranking/performance_2024.html?sub=2")</f>
        <v>https://www.ibusiness.de/performance-ranking/performance_2024.html?sub=2</v>
      </c>
      <c r="B10" s="11" t="str">
        <f>IFERROR(__xludf.DUMMYFUNCTION("""COMPUTED_VALUE"""),"Das Ranking der gr��ten deutschen Performance-Marketing-Agenturen")</f>
        <v>Das Ranking der gr��ten deutschen Performance-Marketing-Agenturen</v>
      </c>
      <c r="C10" s="8" t="str">
        <f>IFERROR(__xludf.DUMMYFUNCTION("""COMPUTED_VALUE"""),"ibusiness.de")</f>
        <v>ibusiness.de</v>
      </c>
      <c r="D10" s="11" t="str">
        <f>IFERROR(__xludf.DUMMYFUNCTION("""COMPUTED_VALUE"""),"OTHER")</f>
        <v>OTHER</v>
      </c>
      <c r="E10" s="11" t="str">
        <f>IFERROR(__xludf.DUMMYFUNCTION("""COMPUTED_VALUE"""),"EDITORIAL")</f>
        <v>EDITORIAL</v>
      </c>
      <c r="F10" s="11" t="str">
        <f>IFERROR(__xludf.DUMMYFUNCTION("""COMPUTED_VALUE"""),"Other")</f>
        <v>Other</v>
      </c>
      <c r="G10" s="11" t="b">
        <f>IFERROR(__xludf.DUMMYFUNCTION("""COMPUTED_VALUE"""),FALSE)</f>
        <v>0</v>
      </c>
      <c r="H10" s="11" t="str">
        <f>IFERROR(__xludf.DUMMYFUNCTION("""COMPUTED_VALUE"""),"iProspect, e-dialog, 42DIGITAL, Aufgesang")</f>
        <v>iProspect, e-dialog, 42DIGITAL, Aufgesang</v>
      </c>
      <c r="I10" s="11">
        <f>IFERROR(__xludf.DUMMYFUNCTION("""COMPUTED_VALUE"""),10.0)</f>
        <v>10</v>
      </c>
      <c r="J10" s="11">
        <f>IFERROR(__xludf.DUMMYFUNCTION("""COMPUTED_VALUE"""),0.01)</f>
        <v>0.01</v>
      </c>
      <c r="K10" s="11">
        <f>IFERROR(__xludf.DUMMYFUNCTION("""COMPUTED_VALUE"""),0.0)</f>
        <v>0</v>
      </c>
    </row>
    <row r="11" ht="15.75" customHeight="1">
      <c r="A11" s="8" t="str">
        <f>IFERROR(__xludf.DUMMYFUNCTION("""COMPUTED_VALUE"""),"https://www.ibusiness.de/performance-ranking/performance_2025.html?sub=11")</f>
        <v>https://www.ibusiness.de/performance-ranking/performance_2025.html?sub=11</v>
      </c>
      <c r="B11" s="11" t="str">
        <f>IFERROR(__xludf.DUMMYFUNCTION("""COMPUTED_VALUE"""),"Das Ranking der gr��ten deutschen Performance-Marketing-Agenturen")</f>
        <v>Das Ranking der gr��ten deutschen Performance-Marketing-Agenturen</v>
      </c>
      <c r="C11" s="8" t="str">
        <f>IFERROR(__xludf.DUMMYFUNCTION("""COMPUTED_VALUE"""),"ibusiness.de")</f>
        <v>ibusiness.de</v>
      </c>
      <c r="D11" s="11" t="str">
        <f>IFERROR(__xludf.DUMMYFUNCTION("""COMPUTED_VALUE"""),"OTHER")</f>
        <v>OTHER</v>
      </c>
      <c r="E11" s="11" t="str">
        <f>IFERROR(__xludf.DUMMYFUNCTION("""COMPUTED_VALUE"""),"EDITORIAL")</f>
        <v>EDITORIAL</v>
      </c>
      <c r="F11" s="11" t="str">
        <f>IFERROR(__xludf.DUMMYFUNCTION("""COMPUTED_VALUE"""),"Other")</f>
        <v>Other</v>
      </c>
      <c r="G11" s="11" t="b">
        <f>IFERROR(__xludf.DUMMYFUNCTION("""COMPUTED_VALUE"""),FALSE)</f>
        <v>0</v>
      </c>
      <c r="H11" s="11" t="str">
        <f>IFERROR(__xludf.DUMMYFUNCTION("""COMPUTED_VALUE"""),"morefire, 42DIGITAL, Aufgesang")</f>
        <v>morefire, 42DIGITAL, Aufgesang</v>
      </c>
      <c r="I11" s="11">
        <f>IFERROR(__xludf.DUMMYFUNCTION("""COMPUTED_VALUE"""),10.0)</f>
        <v>10</v>
      </c>
      <c r="J11" s="11">
        <f>IFERROR(__xludf.DUMMYFUNCTION("""COMPUTED_VALUE"""),0.01)</f>
        <v>0.01</v>
      </c>
      <c r="K11" s="11">
        <f>IFERROR(__xludf.DUMMYFUNCTION("""COMPUTED_VALUE"""),0.8)</f>
        <v>0.8</v>
      </c>
    </row>
    <row r="12" ht="15.75" customHeight="1">
      <c r="A12" s="8" t="str">
        <f>IFERROR(__xludf.DUMMYFUNCTION("""COMPUTED_VALUE"""),"https://aeo-copilot.com/partners/agencies/germany")</f>
        <v>https://aeo-copilot.com/partners/agencies/germany</v>
      </c>
      <c r="B12" s="11" t="str">
        <f>IFERROR(__xludf.DUMMYFUNCTION("""COMPUTED_VALUE"""),"Best AEO Agencies in Germany — AI Visibility Experts | AEO Copilot")</f>
        <v>Best AEO Agencies in Germany — AI Visibility Experts | AEO Copilot</v>
      </c>
      <c r="C12" s="8" t="str">
        <f>IFERROR(__xludf.DUMMYFUNCTION("""COMPUTED_VALUE"""),"aeo-copilot.com")</f>
        <v>aeo-copilot.com</v>
      </c>
      <c r="D12" s="11" t="str">
        <f>IFERROR(__xludf.DUMMYFUNCTION("""COMPUTED_VALUE"""),"OTHER")</f>
        <v>OTHER</v>
      </c>
      <c r="E12" s="11" t="str">
        <f>IFERROR(__xludf.DUMMYFUNCTION("""COMPUTED_VALUE"""),"CORPORATE")</f>
        <v>CORPORATE</v>
      </c>
      <c r="F12" s="11" t="str">
        <f>IFERROR(__xludf.DUMMYFUNCTION("""COMPUTED_VALUE"""),"Other")</f>
        <v>Other</v>
      </c>
      <c r="G12" s="11" t="b">
        <f>IFERROR(__xludf.DUMMYFUNCTION("""COMPUTED_VALUE"""),FALSE)</f>
        <v>0</v>
      </c>
      <c r="H12" s="11"/>
      <c r="I12" s="11">
        <f>IFERROR(__xludf.DUMMYFUNCTION("""COMPUTED_VALUE"""),9.0)</f>
        <v>9</v>
      </c>
      <c r="J12" s="11">
        <f>IFERROR(__xludf.DUMMYFUNCTION("""COMPUTED_VALUE"""),0.01)</f>
        <v>0.01</v>
      </c>
      <c r="K12" s="11">
        <f>IFERROR(__xludf.DUMMYFUNCTION("""COMPUTED_VALUE"""),0.44)</f>
        <v>0.44</v>
      </c>
    </row>
    <row r="13" ht="15.75" customHeight="1">
      <c r="A13" s="8" t="str">
        <f>IFERROR(__xludf.DUMMYFUNCTION("""COMPUTED_VALUE"""),"https://www.ibusiness.de/performance-ranking/performance_2025.html?sub=30")</f>
        <v>https://www.ibusiness.de/performance-ranking/performance_2025.html?sub=30</v>
      </c>
      <c r="B13" s="11" t="str">
        <f>IFERROR(__xludf.DUMMYFUNCTION("""COMPUTED_VALUE"""),"Das Ranking der gr��ten deutschen Performance-Marketing-Agenturen")</f>
        <v>Das Ranking der gr��ten deutschen Performance-Marketing-Agenturen</v>
      </c>
      <c r="C13" s="8" t="str">
        <f>IFERROR(__xludf.DUMMYFUNCTION("""COMPUTED_VALUE"""),"ibusiness.de")</f>
        <v>ibusiness.de</v>
      </c>
      <c r="D13" s="11" t="str">
        <f>IFERROR(__xludf.DUMMYFUNCTION("""COMPUTED_VALUE"""),"OTHER")</f>
        <v>OTHER</v>
      </c>
      <c r="E13" s="11" t="str">
        <f>IFERROR(__xludf.DUMMYFUNCTION("""COMPUTED_VALUE"""),"EDITORIAL")</f>
        <v>EDITORIAL</v>
      </c>
      <c r="F13" s="11" t="str">
        <f>IFERROR(__xludf.DUMMYFUNCTION("""COMPUTED_VALUE"""),"Other")</f>
        <v>Other</v>
      </c>
      <c r="G13" s="11" t="b">
        <f>IFERROR(__xludf.DUMMYFUNCTION("""COMPUTED_VALUE"""),FALSE)</f>
        <v>0</v>
      </c>
      <c r="H13" s="11" t="str">
        <f>IFERROR(__xludf.DUMMYFUNCTION("""COMPUTED_VALUE"""),"Smarketer, iProspect, DREIKON, Artefact")</f>
        <v>Smarketer, iProspect, DREIKON, Artefact</v>
      </c>
      <c r="I13" s="11">
        <f>IFERROR(__xludf.DUMMYFUNCTION("""COMPUTED_VALUE"""),9.0)</f>
        <v>9</v>
      </c>
      <c r="J13" s="11">
        <f>IFERROR(__xludf.DUMMYFUNCTION("""COMPUTED_VALUE"""),0.01)</f>
        <v>0.01</v>
      </c>
      <c r="K13" s="11">
        <f>IFERROR(__xludf.DUMMYFUNCTION("""COMPUTED_VALUE"""),0.22)</f>
        <v>0.22</v>
      </c>
    </row>
    <row r="14" ht="15.75" customHeight="1">
      <c r="A14" s="8" t="str">
        <f>IFERROR(__xludf.DUMMYFUNCTION("""COMPUTED_VALUE"""),"https://www.onetoone.de/performance-ranking/performance_2025.html?sub=11")</f>
        <v>https://www.onetoone.de/performance-ranking/performance_2025.html?sub=11</v>
      </c>
      <c r="B14" s="11" t="str">
        <f>IFERROR(__xludf.DUMMYFUNCTION("""COMPUTED_VALUE"""),"Performance-Agentur-Ranking")</f>
        <v>Performance-Agentur-Ranking</v>
      </c>
      <c r="C14" s="8" t="str">
        <f>IFERROR(__xludf.DUMMYFUNCTION("""COMPUTED_VALUE"""),"onetoone.de")</f>
        <v>onetoone.de</v>
      </c>
      <c r="D14" s="11" t="str">
        <f>IFERROR(__xludf.DUMMYFUNCTION("""COMPUTED_VALUE"""),"OTHER")</f>
        <v>OTHER</v>
      </c>
      <c r="E14" s="11" t="str">
        <f>IFERROR(__xludf.DUMMYFUNCTION("""COMPUTED_VALUE"""),"OTHER")</f>
        <v>OTHER</v>
      </c>
      <c r="F14" s="11" t="str">
        <f>IFERROR(__xludf.DUMMYFUNCTION("""COMPUTED_VALUE"""),"Other")</f>
        <v>Other</v>
      </c>
      <c r="G14" s="11" t="b">
        <f>IFERROR(__xludf.DUMMYFUNCTION("""COMPUTED_VALUE"""),FALSE)</f>
        <v>0</v>
      </c>
      <c r="H14" s="11" t="str">
        <f>IFERROR(__xludf.DUMMYFUNCTION("""COMPUTED_VALUE"""),"morefire, 42DIGITAL, Aufgesang")</f>
        <v>morefire, 42DIGITAL, Aufgesang</v>
      </c>
      <c r="I14" s="11">
        <f>IFERROR(__xludf.DUMMYFUNCTION("""COMPUTED_VALUE"""),9.0)</f>
        <v>9</v>
      </c>
      <c r="J14" s="11">
        <f>IFERROR(__xludf.DUMMYFUNCTION("""COMPUTED_VALUE"""),0.01)</f>
        <v>0.01</v>
      </c>
      <c r="K14" s="11">
        <f>IFERROR(__xludf.DUMMYFUNCTION("""COMPUTED_VALUE"""),0.0)</f>
        <v>0</v>
      </c>
    </row>
    <row r="15" ht="15.75" customHeight="1">
      <c r="A15" s="8" t="str">
        <f>IFERROR(__xludf.DUMMYFUNCTION("""COMPUTED_VALUE"""),"https://www.hmz.technology/germany/ai-consulting")</f>
        <v>https://www.hmz.technology/germany/ai-consulting</v>
      </c>
      <c r="B15" s="11"/>
      <c r="C15" s="11" t="str">
        <f>IFERROR(__xludf.DUMMYFUNCTION("""COMPUTED_VALUE"""),"hmz.technology")</f>
        <v>hmz.technology</v>
      </c>
      <c r="D15" s="11" t="str">
        <f>IFERROR(__xludf.DUMMYFUNCTION("""COMPUTED_VALUE"""),"OTHER")</f>
        <v>OTHER</v>
      </c>
      <c r="E15" s="11" t="str">
        <f>IFERROR(__xludf.DUMMYFUNCTION("""COMPUTED_VALUE"""),"CORPORATE")</f>
        <v>CORPORATE</v>
      </c>
      <c r="F15" s="11" t="str">
        <f>IFERROR(__xludf.DUMMYFUNCTION("""COMPUTED_VALUE"""),"Other")</f>
        <v>Other</v>
      </c>
      <c r="G15" s="11"/>
      <c r="H15" s="11" t="str">
        <f>IFERROR(__xludf.DUMMYFUNCTION("""COMPUTED_VALUE"""),"Unknown")</f>
        <v>Unknown</v>
      </c>
      <c r="I15" s="11">
        <f>IFERROR(__xludf.DUMMYFUNCTION("""COMPUTED_VALUE"""),8.0)</f>
        <v>8</v>
      </c>
      <c r="J15" s="11">
        <f>IFERROR(__xludf.DUMMYFUNCTION("""COMPUTED_VALUE"""),0.01)</f>
        <v>0.01</v>
      </c>
      <c r="K15" s="11">
        <f>IFERROR(__xludf.DUMMYFUNCTION("""COMPUTED_VALUE"""),0.25)</f>
        <v>0.25</v>
      </c>
    </row>
    <row r="16" ht="15.75" customHeight="1">
      <c r="A16" s="8" t="str">
        <f>IFERROR(__xludf.DUMMYFUNCTION("""COMPUTED_VALUE"""),"https://www.onetoone.de/performance-ranking/performance_2024.html?sub=2")</f>
        <v>https://www.onetoone.de/performance-ranking/performance_2024.html?sub=2</v>
      </c>
      <c r="B16" s="11" t="str">
        <f>IFERROR(__xludf.DUMMYFUNCTION("""COMPUTED_VALUE"""),"Performance-Agentur-Ranking")</f>
        <v>Performance-Agentur-Ranking</v>
      </c>
      <c r="C16" s="8" t="str">
        <f>IFERROR(__xludf.DUMMYFUNCTION("""COMPUTED_VALUE"""),"onetoone.de")</f>
        <v>onetoone.de</v>
      </c>
      <c r="D16" s="11" t="str">
        <f>IFERROR(__xludf.DUMMYFUNCTION("""COMPUTED_VALUE"""),"OTHER")</f>
        <v>OTHER</v>
      </c>
      <c r="E16" s="11" t="str">
        <f>IFERROR(__xludf.DUMMYFUNCTION("""COMPUTED_VALUE"""),"OTHER")</f>
        <v>OTHER</v>
      </c>
      <c r="F16" s="11" t="str">
        <f>IFERROR(__xludf.DUMMYFUNCTION("""COMPUTED_VALUE"""),"Other")</f>
        <v>Other</v>
      </c>
      <c r="G16" s="11" t="b">
        <f>IFERROR(__xludf.DUMMYFUNCTION("""COMPUTED_VALUE"""),FALSE)</f>
        <v>0</v>
      </c>
      <c r="H16" s="11" t="str">
        <f>IFERROR(__xludf.DUMMYFUNCTION("""COMPUTED_VALUE"""),"iProspect, e-dialog, 42DIGITAL, Aufgesang")</f>
        <v>iProspect, e-dialog, 42DIGITAL, Aufgesang</v>
      </c>
      <c r="I16" s="11">
        <f>IFERROR(__xludf.DUMMYFUNCTION("""COMPUTED_VALUE"""),8.0)</f>
        <v>8</v>
      </c>
      <c r="J16" s="11">
        <f>IFERROR(__xludf.DUMMYFUNCTION("""COMPUTED_VALUE"""),0.01)</f>
        <v>0.01</v>
      </c>
      <c r="K16" s="11">
        <f>IFERROR(__xludf.DUMMYFUNCTION("""COMPUTED_VALUE"""),0.0)</f>
        <v>0</v>
      </c>
    </row>
    <row r="17" ht="15.75" customHeight="1">
      <c r="A17" s="8" t="str">
        <f>IFERROR(__xludf.DUMMYFUNCTION("""COMPUTED_VALUE"""),"https://www.onetoone.de/performance-ranking/performance_2024.html?sub=5")</f>
        <v>https://www.onetoone.de/performance-ranking/performance_2024.html?sub=5</v>
      </c>
      <c r="B17" s="11" t="str">
        <f>IFERROR(__xludf.DUMMYFUNCTION("""COMPUTED_VALUE"""),"Performance-Agentur-Ranking")</f>
        <v>Performance-Agentur-Ranking</v>
      </c>
      <c r="C17" s="8" t="str">
        <f>IFERROR(__xludf.DUMMYFUNCTION("""COMPUTED_VALUE"""),"onetoone.de")</f>
        <v>onetoone.de</v>
      </c>
      <c r="D17" s="11" t="str">
        <f>IFERROR(__xludf.DUMMYFUNCTION("""COMPUTED_VALUE"""),"OTHER")</f>
        <v>OTHER</v>
      </c>
      <c r="E17" s="11" t="str">
        <f>IFERROR(__xludf.DUMMYFUNCTION("""COMPUTED_VALUE"""),"OTHER")</f>
        <v>OTHER</v>
      </c>
      <c r="F17" s="11" t="str">
        <f>IFERROR(__xludf.DUMMYFUNCTION("""COMPUTED_VALUE"""),"Other")</f>
        <v>Other</v>
      </c>
      <c r="G17" s="11" t="b">
        <f>IFERROR(__xludf.DUMMYFUNCTION("""COMPUTED_VALUE"""),FALSE)</f>
        <v>0</v>
      </c>
      <c r="H17" s="11" t="str">
        <f>IFERROR(__xludf.DUMMYFUNCTION("""COMPUTED_VALUE"""),"morefire, 42DIGITAL, Aufgesang")</f>
        <v>morefire, 42DIGITAL, Aufgesang</v>
      </c>
      <c r="I17" s="11">
        <f>IFERROR(__xludf.DUMMYFUNCTION("""COMPUTED_VALUE"""),8.0)</f>
        <v>8</v>
      </c>
      <c r="J17" s="11">
        <f>IFERROR(__xludf.DUMMYFUNCTION("""COMPUTED_VALUE"""),0.01)</f>
        <v>0.01</v>
      </c>
      <c r="K17" s="11">
        <f>IFERROR(__xludf.DUMMYFUNCTION("""COMPUTED_VALUE"""),0.0)</f>
        <v>0</v>
      </c>
    </row>
    <row r="18" ht="15.75" customHeight="1">
      <c r="A18" s="8" t="str">
        <f>IFERROR(__xludf.DUMMYFUNCTION("""COMPUTED_VALUE"""),"https://support.google.com/analytics/answer/7237700?hl=de")</f>
        <v>https://support.google.com/analytics/answer/7237700?hl=de</v>
      </c>
      <c r="B18" s="11"/>
      <c r="C18" s="8" t="str">
        <f>IFERROR(__xludf.DUMMYFUNCTION("""COMPUTED_VALUE"""),"google.com")</f>
        <v>google.com</v>
      </c>
      <c r="D18" s="11" t="str">
        <f>IFERROR(__xludf.DUMMYFUNCTION("""COMPUTED_VALUE"""),"OTHER")</f>
        <v>OTHER</v>
      </c>
      <c r="E18" s="11" t="str">
        <f>IFERROR(__xludf.DUMMYFUNCTION("""COMPUTED_VALUE"""),"OTHER")</f>
        <v>OTHER</v>
      </c>
      <c r="F18" s="11" t="str">
        <f>IFERROR(__xludf.DUMMYFUNCTION("""COMPUTED_VALUE"""),"Other")</f>
        <v>Other</v>
      </c>
      <c r="G18" s="11"/>
      <c r="H18" s="11" t="str">
        <f>IFERROR(__xludf.DUMMYFUNCTION("""COMPUTED_VALUE"""),"Unknown")</f>
        <v>Unknown</v>
      </c>
      <c r="I18" s="11">
        <f>IFERROR(__xludf.DUMMYFUNCTION("""COMPUTED_VALUE"""),8.0)</f>
        <v>8</v>
      </c>
      <c r="J18" s="11">
        <f>IFERROR(__xludf.DUMMYFUNCTION("""COMPUTED_VALUE"""),0.01)</f>
        <v>0.01</v>
      </c>
      <c r="K18" s="11">
        <f>IFERROR(__xludf.DUMMYFUNCTION("""COMPUTED_VALUE"""),1.5)</f>
        <v>1.5</v>
      </c>
    </row>
    <row r="19" ht="15.75" customHeight="1">
      <c r="A19" s="8" t="str">
        <f>IFERROR(__xludf.DUMMYFUNCTION("""COMPUTED_VALUE"""),"https://aeo-copilot.com/partners/agencies/germany/frankfurt")</f>
        <v>https://aeo-copilot.com/partners/agencies/germany/frankfurt</v>
      </c>
      <c r="B19" s="11" t="str">
        <f>IFERROR(__xludf.DUMMYFUNCTION("""COMPUTED_VALUE"""),"Best AEO Agencies in Frankfurt, Germany — AI Visibility Experts | AEO Copilot")</f>
        <v>Best AEO Agencies in Frankfurt, Germany — AI Visibility Experts | AEO Copilot</v>
      </c>
      <c r="C19" s="8" t="str">
        <f>IFERROR(__xludf.DUMMYFUNCTION("""COMPUTED_VALUE"""),"aeo-copilot.com")</f>
        <v>aeo-copilot.com</v>
      </c>
      <c r="D19" s="11" t="str">
        <f>IFERROR(__xludf.DUMMYFUNCTION("""COMPUTED_VALUE"""),"OTHER")</f>
        <v>OTHER</v>
      </c>
      <c r="E19" s="11" t="str">
        <f>IFERROR(__xludf.DUMMYFUNCTION("""COMPUTED_VALUE"""),"CORPORATE")</f>
        <v>CORPORATE</v>
      </c>
      <c r="F19" s="11" t="str">
        <f>IFERROR(__xludf.DUMMYFUNCTION("""COMPUTED_VALUE"""),"Other")</f>
        <v>Other</v>
      </c>
      <c r="G19" s="11" t="b">
        <f>IFERROR(__xludf.DUMMYFUNCTION("""COMPUTED_VALUE"""),FALSE)</f>
        <v>0</v>
      </c>
      <c r="H19" s="11"/>
      <c r="I19" s="11">
        <f>IFERROR(__xludf.DUMMYFUNCTION("""COMPUTED_VALUE"""),7.0)</f>
        <v>7</v>
      </c>
      <c r="J19" s="11">
        <f>IFERROR(__xludf.DUMMYFUNCTION("""COMPUTED_VALUE"""),0.01)</f>
        <v>0.01</v>
      </c>
      <c r="K19" s="11">
        <f>IFERROR(__xludf.DUMMYFUNCTION("""COMPUTED_VALUE"""),0.0)</f>
        <v>0</v>
      </c>
    </row>
    <row r="20" ht="15.75" customHeight="1">
      <c r="A20" s="8" t="str">
        <f>IFERROR(__xludf.DUMMYFUNCTION("""COMPUTED_VALUE"""),"https://agencies.semrush.com/list/display-advertising/germany/mid-business/")</f>
        <v>https://agencies.semrush.com/list/display-advertising/germany/mid-business/</v>
      </c>
      <c r="B20" s="11" t="str">
        <f>IFERROR(__xludf.DUMMYFUNCTION("""COMPUTED_VALUE"""),"Best Display Ads Agencies for Mid Business in Germany 2026 | Semrush")</f>
        <v>Best Display Ads Agencies for Mid Business in Germany 2026 | Semrush</v>
      </c>
      <c r="C20" s="8" t="str">
        <f>IFERROR(__xludf.DUMMYFUNCTION("""COMPUTED_VALUE"""),"semrush.com")</f>
        <v>semrush.com</v>
      </c>
      <c r="D20" s="11" t="str">
        <f>IFERROR(__xludf.DUMMYFUNCTION("""COMPUTED_VALUE"""),"OTHER")</f>
        <v>OTHER</v>
      </c>
      <c r="E20" s="11" t="str">
        <f>IFERROR(__xludf.DUMMYFUNCTION("""COMPUTED_VALUE"""),"CORPORATE")</f>
        <v>CORPORATE</v>
      </c>
      <c r="F20" s="11" t="str">
        <f>IFERROR(__xludf.DUMMYFUNCTION("""COMPUTED_VALUE"""),"Other")</f>
        <v>Other</v>
      </c>
      <c r="G20" s="11" t="b">
        <f>IFERROR(__xludf.DUMMYFUNCTION("""COMPUTED_VALUE"""),FALSE)</f>
        <v>0</v>
      </c>
      <c r="H20" s="11" t="str">
        <f>IFERROR(__xludf.DUMMYFUNCTION("""COMPUTED_VALUE"""),"Baseplus DIGITAL MEDIA GmbH, morefire, Mediaplus Performance, MONSOON, KlickPiloten")</f>
        <v>Baseplus DIGITAL MEDIA GmbH, morefire, Mediaplus Performance, MONSOON, KlickPiloten</v>
      </c>
      <c r="I20" s="11">
        <f>IFERROR(__xludf.DUMMYFUNCTION("""COMPUTED_VALUE"""),7.0)</f>
        <v>7</v>
      </c>
      <c r="J20" s="11">
        <f>IFERROR(__xludf.DUMMYFUNCTION("""COMPUTED_VALUE"""),0.01)</f>
        <v>0.01</v>
      </c>
      <c r="K20" s="11">
        <f>IFERROR(__xludf.DUMMYFUNCTION("""COMPUTED_VALUE"""),1.71)</f>
        <v>1.71</v>
      </c>
    </row>
    <row r="21" ht="15.75" customHeight="1">
      <c r="A21" s="8" t="str">
        <f>IFERROR(__xludf.DUMMYFUNCTION("""COMPUTED_VALUE"""),"https://www.convios.com/en/services/ai-strategy-readiness")</f>
        <v>https://www.convios.com/en/services/ai-strategy-readiness</v>
      </c>
      <c r="B21" s="11"/>
      <c r="C21" s="8" t="str">
        <f>IFERROR(__xludf.DUMMYFUNCTION("""COMPUTED_VALUE"""),"convios.com")</f>
        <v>convios.com</v>
      </c>
      <c r="D21" s="11" t="str">
        <f>IFERROR(__xludf.DUMMYFUNCTION("""COMPUTED_VALUE"""),"OTHER")</f>
        <v>OTHER</v>
      </c>
      <c r="E21" s="11" t="str">
        <f>IFERROR(__xludf.DUMMYFUNCTION("""COMPUTED_VALUE"""),"CORPORATE")</f>
        <v>CORPORATE</v>
      </c>
      <c r="F21" s="11" t="str">
        <f>IFERROR(__xludf.DUMMYFUNCTION("""COMPUTED_VALUE"""),"Other")</f>
        <v>Other</v>
      </c>
      <c r="G21" s="11"/>
      <c r="H21" s="11" t="str">
        <f>IFERROR(__xludf.DUMMYFUNCTION("""COMPUTED_VALUE"""),"Unknown")</f>
        <v>Unknown</v>
      </c>
      <c r="I21" s="11">
        <f>IFERROR(__xludf.DUMMYFUNCTION("""COMPUTED_VALUE"""),7.0)</f>
        <v>7</v>
      </c>
      <c r="J21" s="11">
        <f>IFERROR(__xludf.DUMMYFUNCTION("""COMPUTED_VALUE"""),0.01)</f>
        <v>0.01</v>
      </c>
      <c r="K21" s="11">
        <f>IFERROR(__xludf.DUMMYFUNCTION("""COMPUTED_VALUE"""),1.29)</f>
        <v>1.29</v>
      </c>
    </row>
    <row r="22" ht="15.75" customHeight="1">
      <c r="A22" s="8" t="str">
        <f>IFERROR(__xludf.DUMMYFUNCTION("""COMPUTED_VALUE"""),"https://www.ibusiness.de/performance-ranking/performance_2023.html?sub=5")</f>
        <v>https://www.ibusiness.de/performance-ranking/performance_2023.html?sub=5</v>
      </c>
      <c r="B22" s="11" t="str">
        <f>IFERROR(__xludf.DUMMYFUNCTION("""COMPUTED_VALUE"""),"Das Ranking der gr��ten deutschen Performance-Marketing-Agenturen")</f>
        <v>Das Ranking der gr��ten deutschen Performance-Marketing-Agenturen</v>
      </c>
      <c r="C22" s="8" t="str">
        <f>IFERROR(__xludf.DUMMYFUNCTION("""COMPUTED_VALUE"""),"ibusiness.de")</f>
        <v>ibusiness.de</v>
      </c>
      <c r="D22" s="11" t="str">
        <f>IFERROR(__xludf.DUMMYFUNCTION("""COMPUTED_VALUE"""),"OTHER")</f>
        <v>OTHER</v>
      </c>
      <c r="E22" s="11" t="str">
        <f>IFERROR(__xludf.DUMMYFUNCTION("""COMPUTED_VALUE"""),"EDITORIAL")</f>
        <v>EDITORIAL</v>
      </c>
      <c r="F22" s="11" t="str">
        <f>IFERROR(__xludf.DUMMYFUNCTION("""COMPUTED_VALUE"""),"Other")</f>
        <v>Other</v>
      </c>
      <c r="G22" s="11" t="b">
        <f>IFERROR(__xludf.DUMMYFUNCTION("""COMPUTED_VALUE"""),FALSE)</f>
        <v>0</v>
      </c>
      <c r="H22" s="11" t="str">
        <f>IFERROR(__xludf.DUMMYFUNCTION("""COMPUTED_VALUE"""),"Serviceplan Group, morefire, 42DIGITAL, Aufgesang")</f>
        <v>Serviceplan Group, morefire, 42DIGITAL, Aufgesang</v>
      </c>
      <c r="I22" s="11">
        <f>IFERROR(__xludf.DUMMYFUNCTION("""COMPUTED_VALUE"""),7.0)</f>
        <v>7</v>
      </c>
      <c r="J22" s="11">
        <f>IFERROR(__xludf.DUMMYFUNCTION("""COMPUTED_VALUE"""),0.01)</f>
        <v>0.01</v>
      </c>
      <c r="K22" s="11">
        <f>IFERROR(__xludf.DUMMYFUNCTION("""COMPUTED_VALUE"""),0.0)</f>
        <v>0</v>
      </c>
    </row>
    <row r="23" ht="15.75" customHeight="1">
      <c r="A23" s="8" t="str">
        <f>IFERROR(__xludf.DUMMYFUNCTION("""COMPUTED_VALUE"""),"https://partnersdirectory.withgoogle.com/intl/en-GB/")</f>
        <v>https://partnersdirectory.withgoogle.com/intl/en-GB/</v>
      </c>
      <c r="B23" s="11" t="str">
        <f>IFERROR(__xludf.DUMMYFUNCTION("""COMPUTED_VALUE"""),"Google Partners directory – Find a Partner for business growth")</f>
        <v>Google Partners directory – Find a Partner for business growth</v>
      </c>
      <c r="C23" s="8" t="str">
        <f>IFERROR(__xludf.DUMMYFUNCTION("""COMPUTED_VALUE"""),"withgoogle.com")</f>
        <v>withgoogle.com</v>
      </c>
      <c r="D23" s="11" t="str">
        <f>IFERROR(__xludf.DUMMYFUNCTION("""COMPUTED_VALUE"""),"OTHER")</f>
        <v>OTHER</v>
      </c>
      <c r="E23" s="11" t="str">
        <f>IFERROR(__xludf.DUMMYFUNCTION("""COMPUTED_VALUE"""),"CORPORATE")</f>
        <v>CORPORATE</v>
      </c>
      <c r="F23" s="11" t="str">
        <f>IFERROR(__xludf.DUMMYFUNCTION("""COMPUTED_VALUE"""),"Other")</f>
        <v>Other</v>
      </c>
      <c r="G23" s="11" t="b">
        <f>IFERROR(__xludf.DUMMYFUNCTION("""COMPUTED_VALUE"""),FALSE)</f>
        <v>0</v>
      </c>
      <c r="H23" s="11" t="str">
        <f>IFERROR(__xludf.DUMMYFUNCTION("""COMPUTED_VALUE"""),"Acadia")</f>
        <v>Acadia</v>
      </c>
      <c r="I23" s="11">
        <f>IFERROR(__xludf.DUMMYFUNCTION("""COMPUTED_VALUE"""),7.0)</f>
        <v>7</v>
      </c>
      <c r="J23" s="11">
        <f>IFERROR(__xludf.DUMMYFUNCTION("""COMPUTED_VALUE"""),0.01)</f>
        <v>0.01</v>
      </c>
      <c r="K23" s="11">
        <f>IFERROR(__xludf.DUMMYFUNCTION("""COMPUTED_VALUE"""),0.0)</f>
        <v>0</v>
      </c>
    </row>
    <row r="24" ht="15.75" customHeight="1">
      <c r="A24" s="8" t="str">
        <f>IFERROR(__xludf.DUMMYFUNCTION("""COMPUTED_VALUE"""),"https://e-dialog.group/en/google-sales-partner/google-marketing-platform/#:~:text=Licenses%20for%20the%20Google%20Marketing,Start")</f>
        <v>https://e-dialog.group/en/google-sales-partner/google-marketing-platform/#:~:text=Licenses%20for%20the%20Google%20Marketing,Start</v>
      </c>
      <c r="B24" s="11" t="str">
        <f>IFERROR(__xludf.DUMMYFUNCTION("""COMPUTED_VALUE"""),"Google Marketing Platform Licenses \| e-dialog")</f>
        <v>Google Marketing Platform Licenses \| e-dialog</v>
      </c>
      <c r="C24" s="11" t="str">
        <f>IFERROR(__xludf.DUMMYFUNCTION("""COMPUTED_VALUE"""),"e-dialog.group")</f>
        <v>e-dialog.group</v>
      </c>
      <c r="D24" s="11" t="str">
        <f>IFERROR(__xludf.DUMMYFUNCTION("""COMPUTED_VALUE"""),"OTHER")</f>
        <v>OTHER</v>
      </c>
      <c r="E24" s="11" t="str">
        <f>IFERROR(__xludf.DUMMYFUNCTION("""COMPUTED_VALUE"""),"CORPORATE")</f>
        <v>CORPORATE</v>
      </c>
      <c r="F24" s="11" t="str">
        <f>IFERROR(__xludf.DUMMYFUNCTION("""COMPUTED_VALUE"""),"Other")</f>
        <v>Other</v>
      </c>
      <c r="G24" s="11" t="b">
        <f>IFERROR(__xludf.DUMMYFUNCTION("""COMPUTED_VALUE"""),FALSE)</f>
        <v>0</v>
      </c>
      <c r="H24" s="11" t="str">
        <f>IFERROR(__xludf.DUMMYFUNCTION("""COMPUTED_VALUE"""),"e-dialog")</f>
        <v>e-dialog</v>
      </c>
      <c r="I24" s="11">
        <f>IFERROR(__xludf.DUMMYFUNCTION("""COMPUTED_VALUE"""),6.0)</f>
        <v>6</v>
      </c>
      <c r="J24" s="11">
        <f>IFERROR(__xludf.DUMMYFUNCTION("""COMPUTED_VALUE"""),0.01)</f>
        <v>0.01</v>
      </c>
      <c r="K24" s="11">
        <f>IFERROR(__xludf.DUMMYFUNCTION("""COMPUTED_VALUE"""),1.33)</f>
        <v>1.33</v>
      </c>
    </row>
    <row r="25" ht="15.75" customHeight="1">
      <c r="A25" s="8" t="str">
        <f>IFERROR(__xludf.DUMMYFUNCTION("""COMPUTED_VALUE"""),"https://ensun.io/search/market-intelligence/germany#:~:text=Market%20Logic's%20Insights%20Engagement%20platform,Core%20business")</f>
        <v>https://ensun.io/search/market-intelligence/germany#:~:text=Market%20Logic's%20Insights%20Engagement%20platform,Core%20business</v>
      </c>
      <c r="B25" s="11" t="str">
        <f>IFERROR(__xludf.DUMMYFUNCTION("""COMPUTED_VALUE"""),"Top 100 Market Intelligence Companies in Germany (2026) \| ensun")</f>
        <v>Top 100 Market Intelligence Companies in Germany (2026) \| ensun</v>
      </c>
      <c r="C25" s="8" t="str">
        <f>IFERROR(__xludf.DUMMYFUNCTION("""COMPUTED_VALUE"""),"ensun.io")</f>
        <v>ensun.io</v>
      </c>
      <c r="D25" s="11" t="str">
        <f>IFERROR(__xludf.DUMMYFUNCTION("""COMPUTED_VALUE"""),"OTHER")</f>
        <v>OTHER</v>
      </c>
      <c r="E25" s="11" t="str">
        <f>IFERROR(__xludf.DUMMYFUNCTION("""COMPUTED_VALUE"""),"OTHER")</f>
        <v>OTHER</v>
      </c>
      <c r="F25" s="11" t="str">
        <f>IFERROR(__xludf.DUMMYFUNCTION("""COMPUTED_VALUE"""),"Other")</f>
        <v>Other</v>
      </c>
      <c r="G25" s="11" t="b">
        <f>IFERROR(__xludf.DUMMYFUNCTION("""COMPUTED_VALUE"""),FALSE)</f>
        <v>0</v>
      </c>
      <c r="H25" s="11" t="str">
        <f>IFERROR(__xludf.DUMMYFUNCTION("""COMPUTED_VALUE"""),"Kantar")</f>
        <v>Kantar</v>
      </c>
      <c r="I25" s="11">
        <f>IFERROR(__xludf.DUMMYFUNCTION("""COMPUTED_VALUE"""),6.0)</f>
        <v>6</v>
      </c>
      <c r="J25" s="11">
        <f>IFERROR(__xludf.DUMMYFUNCTION("""COMPUTED_VALUE"""),0.01)</f>
        <v>0.01</v>
      </c>
      <c r="K25" s="11">
        <f>IFERROR(__xludf.DUMMYFUNCTION("""COMPUTED_VALUE"""),2.5)</f>
        <v>2.5</v>
      </c>
    </row>
    <row r="26" ht="15.75" customHeight="1">
      <c r="A26" s="8" t="str">
        <f>IFERROR(__xludf.DUMMYFUNCTION("""COMPUTED_VALUE"""),"https://support.google.com/tagmanager/answer/7237700?hl=de")</f>
        <v>https://support.google.com/tagmanager/answer/7237700?hl=de</v>
      </c>
      <c r="B26" s="11"/>
      <c r="C26" s="8" t="str">
        <f>IFERROR(__xludf.DUMMYFUNCTION("""COMPUTED_VALUE"""),"google.com")</f>
        <v>google.com</v>
      </c>
      <c r="D26" s="11" t="str">
        <f>IFERROR(__xludf.DUMMYFUNCTION("""COMPUTED_VALUE"""),"OTHER")</f>
        <v>OTHER</v>
      </c>
      <c r="E26" s="11" t="str">
        <f>IFERROR(__xludf.DUMMYFUNCTION("""COMPUTED_VALUE"""),"OTHER")</f>
        <v>OTHER</v>
      </c>
      <c r="F26" s="11" t="str">
        <f>IFERROR(__xludf.DUMMYFUNCTION("""COMPUTED_VALUE"""),"Other")</f>
        <v>Other</v>
      </c>
      <c r="G26" s="11"/>
      <c r="H26" s="11" t="str">
        <f>IFERROR(__xludf.DUMMYFUNCTION("""COMPUTED_VALUE"""),"Unknown")</f>
        <v>Unknown</v>
      </c>
      <c r="I26" s="11">
        <f>IFERROR(__xludf.DUMMYFUNCTION("""COMPUTED_VALUE"""),6.0)</f>
        <v>6</v>
      </c>
      <c r="J26" s="11">
        <f>IFERROR(__xludf.DUMMYFUNCTION("""COMPUTED_VALUE"""),0.01)</f>
        <v>0.01</v>
      </c>
      <c r="K26" s="11">
        <f>IFERROR(__xludf.DUMMYFUNCTION("""COMPUTED_VALUE"""),0.5)</f>
        <v>0.5</v>
      </c>
    </row>
    <row r="27" ht="15.75" customHeight="1">
      <c r="A27" s="8" t="str">
        <f>IFERROR(__xludf.DUMMYFUNCTION("""COMPUTED_VALUE"""),"https://themanifest.com/de/advertising/agencies#:~:text=They%20offer%20Advertising%2C%20Branding%2C%20Event,is%20based%20in%20K%C3%B6ln%2C%20Germany.")</f>
        <v>https://themanifest.com/de/advertising/agencies#:~:text=They%20offer%20Advertising%2C%20Branding%2C%20Event,is%20based%20in%20K%C3%B6ln%2C%20Germany.</v>
      </c>
      <c r="B27" s="11" t="str">
        <f>IFERROR(__xludf.DUMMYFUNCTION("""COMPUTED_VALUE"""),"The Best Advertising Companies in Germany - Jul 2026 | The Manifest")</f>
        <v>The Best Advertising Companies in Germany - Jul 2026 | The Manifest</v>
      </c>
      <c r="C27" s="8" t="str">
        <f>IFERROR(__xludf.DUMMYFUNCTION("""COMPUTED_VALUE"""),"themanifest.com")</f>
        <v>themanifest.com</v>
      </c>
      <c r="D27" s="11" t="str">
        <f>IFERROR(__xludf.DUMMYFUNCTION("""COMPUTED_VALUE"""),"OTHER")</f>
        <v>OTHER</v>
      </c>
      <c r="E27" s="11" t="str">
        <f>IFERROR(__xludf.DUMMYFUNCTION("""COMPUTED_VALUE"""),"REFERENCE")</f>
        <v>REFERENCE</v>
      </c>
      <c r="F27" s="11" t="str">
        <f>IFERROR(__xludf.DUMMYFUNCTION("""COMPUTED_VALUE"""),"Other")</f>
        <v>Other</v>
      </c>
      <c r="G27" s="11" t="b">
        <f>IFERROR(__xludf.DUMMYFUNCTION("""COMPUTED_VALUE"""),FALSE)</f>
        <v>0</v>
      </c>
      <c r="H27" s="11" t="str">
        <f>IFERROR(__xludf.DUMMYFUNCTION("""COMPUTED_VALUE"""),"MONSOON, Phiture, PANORAMA3000, morefire, Digitalyze, Scholz &amp; Friends")</f>
        <v>MONSOON, Phiture, PANORAMA3000, morefire, Digitalyze, Scholz &amp; Friends</v>
      </c>
      <c r="I27" s="11">
        <f>IFERROR(__xludf.DUMMYFUNCTION("""COMPUTED_VALUE"""),6.0)</f>
        <v>6</v>
      </c>
      <c r="J27" s="11">
        <f>IFERROR(__xludf.DUMMYFUNCTION("""COMPUTED_VALUE"""),0.01)</f>
        <v>0.01</v>
      </c>
      <c r="K27" s="11">
        <f>IFERROR(__xludf.DUMMYFUNCTION("""COMPUTED_VALUE"""),1.0)</f>
        <v>1</v>
      </c>
    </row>
    <row r="28" ht="15.75" customHeight="1">
      <c r="A28" s="8" t="str">
        <f>IFERROR(__xludf.DUMMYFUNCTION("""COMPUTED_VALUE"""),"https://acid21.com/en/AI-Agency-Berlin/#:~:text=AI%20Agency%20Berlin%20%7C%20ACID21,from%20the%20idea%20to%20implementation.")</f>
        <v>https://acid21.com/en/AI-Agency-Berlin/#:~:text=AI%20Agency%20Berlin%20%7C%20ACID21,from%20the%20idea%20to%20implementation.</v>
      </c>
      <c r="B28" s="11" t="str">
        <f>IFERROR(__xludf.DUMMYFUNCTION("""COMPUTED_VALUE"""),"AI Agency Berlin | ACID21")</f>
        <v>AI Agency Berlin | ACID21</v>
      </c>
      <c r="C28" s="8" t="str">
        <f>IFERROR(__xludf.DUMMYFUNCTION("""COMPUTED_VALUE"""),"acid21.com")</f>
        <v>acid21.com</v>
      </c>
      <c r="D28" s="11" t="str">
        <f>IFERROR(__xludf.DUMMYFUNCTION("""COMPUTED_VALUE"""),"OTHER")</f>
        <v>OTHER</v>
      </c>
      <c r="E28" s="11" t="str">
        <f>IFERROR(__xludf.DUMMYFUNCTION("""COMPUTED_VALUE"""),"CORPORATE")</f>
        <v>CORPORATE</v>
      </c>
      <c r="F28" s="11" t="str">
        <f>IFERROR(__xludf.DUMMYFUNCTION("""COMPUTED_VALUE"""),"Other")</f>
        <v>Other</v>
      </c>
      <c r="G28" s="11" t="b">
        <f>IFERROR(__xludf.DUMMYFUNCTION("""COMPUTED_VALUE"""),FALSE)</f>
        <v>0</v>
      </c>
      <c r="H28" s="11"/>
      <c r="I28" s="11">
        <f>IFERROR(__xludf.DUMMYFUNCTION("""COMPUTED_VALUE"""),5.0)</f>
        <v>5</v>
      </c>
      <c r="J28" s="11">
        <f>IFERROR(__xludf.DUMMYFUNCTION("""COMPUTED_VALUE"""),0.01)</f>
        <v>0.01</v>
      </c>
      <c r="K28" s="11">
        <f>IFERROR(__xludf.DUMMYFUNCTION("""COMPUTED_VALUE"""),1.4)</f>
        <v>1.4</v>
      </c>
    </row>
    <row r="29" ht="15.75" customHeight="1">
      <c r="A29" s="8" t="str">
        <f>IFERROR(__xludf.DUMMYFUNCTION("""COMPUTED_VALUE"""),"https://clutch.co/de/consulting/ai/maturation")</f>
        <v>https://clutch.co/de/consulting/ai/maturation</v>
      </c>
      <c r="B29" s="11" t="str">
        <f>IFERROR(__xludf.DUMMYFUNCTION("""COMPUTED_VALUE"""),"Top AI Maturation Services in Germany - Jul 2026 Rankings | Clutch.co")</f>
        <v>Top AI Maturation Services in Germany - Jul 2026 Rankings | Clutch.co</v>
      </c>
      <c r="C29" s="8" t="str">
        <f>IFERROR(__xludf.DUMMYFUNCTION("""COMPUTED_VALUE"""),"clutch.co")</f>
        <v>clutch.co</v>
      </c>
      <c r="D29" s="11" t="str">
        <f>IFERROR(__xludf.DUMMYFUNCTION("""COMPUTED_VALUE"""),"OTHER")</f>
        <v>OTHER</v>
      </c>
      <c r="E29" s="11" t="str">
        <f>IFERROR(__xludf.DUMMYFUNCTION("""COMPUTED_VALUE"""),"CORPORATE")</f>
        <v>CORPORATE</v>
      </c>
      <c r="F29" s="11" t="str">
        <f>IFERROR(__xludf.DUMMYFUNCTION("""COMPUTED_VALUE"""),"Other")</f>
        <v>Other</v>
      </c>
      <c r="G29" s="11" t="b">
        <f>IFERROR(__xludf.DUMMYFUNCTION("""COMPUTED_VALUE"""),FALSE)</f>
        <v>0</v>
      </c>
      <c r="H29" s="11"/>
      <c r="I29" s="11">
        <f>IFERROR(__xludf.DUMMYFUNCTION("""COMPUTED_VALUE"""),5.0)</f>
        <v>5</v>
      </c>
      <c r="J29" s="11">
        <f>IFERROR(__xludf.DUMMYFUNCTION("""COMPUTED_VALUE"""),0.01)</f>
        <v>0.01</v>
      </c>
      <c r="K29" s="11">
        <f>IFERROR(__xludf.DUMMYFUNCTION("""COMPUTED_VALUE"""),0.4)</f>
        <v>0.4</v>
      </c>
    </row>
    <row r="30" ht="15.75" customHeight="1">
      <c r="A30" s="8" t="str">
        <f>IFERROR(__xludf.DUMMYFUNCTION("""COMPUTED_VALUE"""),"https://www.comcepta.de/ki-reifegrad")</f>
        <v>https://www.comcepta.de/ki-reifegrad</v>
      </c>
      <c r="B30" s="11"/>
      <c r="C30" s="8" t="str">
        <f>IFERROR(__xludf.DUMMYFUNCTION("""COMPUTED_VALUE"""),"comcepta.de")</f>
        <v>comcepta.de</v>
      </c>
      <c r="D30" s="11" t="str">
        <f>IFERROR(__xludf.DUMMYFUNCTION("""COMPUTED_VALUE"""),"OTHER")</f>
        <v>OTHER</v>
      </c>
      <c r="E30" s="11" t="str">
        <f>IFERROR(__xludf.DUMMYFUNCTION("""COMPUTED_VALUE"""),"CORPORATE")</f>
        <v>CORPORATE</v>
      </c>
      <c r="F30" s="11" t="str">
        <f>IFERROR(__xludf.DUMMYFUNCTION("""COMPUTED_VALUE"""),"Other")</f>
        <v>Other</v>
      </c>
      <c r="G30" s="11"/>
      <c r="H30" s="11" t="str">
        <f>IFERROR(__xludf.DUMMYFUNCTION("""COMPUTED_VALUE"""),"Unknown")</f>
        <v>Unknown</v>
      </c>
      <c r="I30" s="11">
        <f>IFERROR(__xludf.DUMMYFUNCTION("""COMPUTED_VALUE"""),5.0)</f>
        <v>5</v>
      </c>
      <c r="J30" s="11">
        <f>IFERROR(__xludf.DUMMYFUNCTION("""COMPUTED_VALUE"""),0.01)</f>
        <v>0.01</v>
      </c>
      <c r="K30" s="11">
        <f>IFERROR(__xludf.DUMMYFUNCTION("""COMPUTED_VALUE"""),2.4)</f>
        <v>2.4</v>
      </c>
    </row>
    <row r="31" ht="15.75" customHeight="1">
      <c r="A31" s="8" t="str">
        <f>IFERROR(__xludf.DUMMYFUNCTION("""COMPUTED_VALUE"""),"https://www.google.com/partners/")</f>
        <v>https://www.google.com/partners/</v>
      </c>
      <c r="B31" s="11"/>
      <c r="C31" s="8" t="str">
        <f>IFERROR(__xludf.DUMMYFUNCTION("""COMPUTED_VALUE"""),"google.com")</f>
        <v>google.com</v>
      </c>
      <c r="D31" s="11" t="str">
        <f>IFERROR(__xludf.DUMMYFUNCTION("""COMPUTED_VALUE"""),"OTHER")</f>
        <v>OTHER</v>
      </c>
      <c r="E31" s="11" t="str">
        <f>IFERROR(__xludf.DUMMYFUNCTION("""COMPUTED_VALUE"""),"OTHER")</f>
        <v>OTHER</v>
      </c>
      <c r="F31" s="11" t="str">
        <f>IFERROR(__xludf.DUMMYFUNCTION("""COMPUTED_VALUE"""),"Other")</f>
        <v>Other</v>
      </c>
      <c r="G31" s="11"/>
      <c r="H31" s="11" t="str">
        <f>IFERROR(__xludf.DUMMYFUNCTION("""COMPUTED_VALUE"""),"Unknown")</f>
        <v>Unknown</v>
      </c>
      <c r="I31" s="11">
        <f>IFERROR(__xludf.DUMMYFUNCTION("""COMPUTED_VALUE"""),5.0)</f>
        <v>5</v>
      </c>
      <c r="J31" s="11">
        <f>IFERROR(__xludf.DUMMYFUNCTION("""COMPUTED_VALUE"""),0.01)</f>
        <v>0.01</v>
      </c>
      <c r="K31" s="11">
        <f>IFERROR(__xludf.DUMMYFUNCTION("""COMPUTED_VALUE"""),0.2)</f>
        <v>0.2</v>
      </c>
    </row>
    <row r="32" ht="15.75" customHeight="1">
      <c r="A32" s="8" t="str">
        <f>IFERROR(__xludf.DUMMYFUNCTION("""COMPUTED_VALUE"""),"https://marketingplatform.google.com/about/partners/find-a-partner?category=206&amp;geo=Deutschland&amp;q=&amp;region=EU")</f>
        <v>https://marketingplatform.google.com/about/partners/find-a-partner?category=206&amp;geo=Deutschland&amp;q=&amp;region=EU</v>
      </c>
      <c r="B32" s="11"/>
      <c r="C32" s="8" t="str">
        <f>IFERROR(__xludf.DUMMYFUNCTION("""COMPUTED_VALUE"""),"google.com")</f>
        <v>google.com</v>
      </c>
      <c r="D32" s="11" t="str">
        <f>IFERROR(__xludf.DUMMYFUNCTION("""COMPUTED_VALUE"""),"OTHER")</f>
        <v>OTHER</v>
      </c>
      <c r="E32" s="11" t="str">
        <f>IFERROR(__xludf.DUMMYFUNCTION("""COMPUTED_VALUE"""),"OTHER")</f>
        <v>OTHER</v>
      </c>
      <c r="F32" s="11" t="str">
        <f>IFERROR(__xludf.DUMMYFUNCTION("""COMPUTED_VALUE"""),"Other")</f>
        <v>Other</v>
      </c>
      <c r="G32" s="11"/>
      <c r="H32" s="11" t="str">
        <f>IFERROR(__xludf.DUMMYFUNCTION("""COMPUTED_VALUE"""),"Unknown")</f>
        <v>Unknown</v>
      </c>
      <c r="I32" s="11">
        <f>IFERROR(__xludf.DUMMYFUNCTION("""COMPUTED_VALUE"""),5.0)</f>
        <v>5</v>
      </c>
      <c r="J32" s="11">
        <f>IFERROR(__xludf.DUMMYFUNCTION("""COMPUTED_VALUE"""),0.01)</f>
        <v>0.01</v>
      </c>
      <c r="K32" s="11">
        <f>IFERROR(__xludf.DUMMYFUNCTION("""COMPUTED_VALUE"""),2.4)</f>
        <v>2.4</v>
      </c>
    </row>
    <row r="33" ht="15.75" customHeight="1">
      <c r="A33" s="8" t="str">
        <f>IFERROR(__xludf.DUMMYFUNCTION("""COMPUTED_VALUE"""),"https://agencies.semrush.com/list/analytics-data-science/germany/small-business/")</f>
        <v>https://agencies.semrush.com/list/analytics-data-science/germany/small-business/</v>
      </c>
      <c r="B33" s="11" t="str">
        <f>IFERROR(__xludf.DUMMYFUNCTION("""COMPUTED_VALUE"""),"Best Data Analytics Services for Small Business in Germany 2026 | Semrush")</f>
        <v>Best Data Analytics Services for Small Business in Germany 2026 | Semrush</v>
      </c>
      <c r="C33" s="8" t="str">
        <f>IFERROR(__xludf.DUMMYFUNCTION("""COMPUTED_VALUE"""),"semrush.com")</f>
        <v>semrush.com</v>
      </c>
      <c r="D33" s="11" t="str">
        <f>IFERROR(__xludf.DUMMYFUNCTION("""COMPUTED_VALUE"""),"OTHER")</f>
        <v>OTHER</v>
      </c>
      <c r="E33" s="11" t="str">
        <f>IFERROR(__xludf.DUMMYFUNCTION("""COMPUTED_VALUE"""),"CORPORATE")</f>
        <v>CORPORATE</v>
      </c>
      <c r="F33" s="11" t="str">
        <f>IFERROR(__xludf.DUMMYFUNCTION("""COMPUTED_VALUE"""),"Other")</f>
        <v>Other</v>
      </c>
      <c r="G33" s="11" t="b">
        <f>IFERROR(__xludf.DUMMYFUNCTION("""COMPUTED_VALUE"""),FALSE)</f>
        <v>0</v>
      </c>
      <c r="H33" s="11" t="str">
        <f>IFERROR(__xludf.DUMMYFUNCTION("""COMPUTED_VALUE"""),"HECHT INS GEFECHT, Baseplus DIGITAL MEDIA GmbH, Mediaplus Performance, KlickPiloten")</f>
        <v>HECHT INS GEFECHT, Baseplus DIGITAL MEDIA GmbH, Mediaplus Performance, KlickPiloten</v>
      </c>
      <c r="I33" s="11">
        <f>IFERROR(__xludf.DUMMYFUNCTION("""COMPUTED_VALUE"""),4.0)</f>
        <v>4</v>
      </c>
      <c r="J33" s="11">
        <f>IFERROR(__xludf.DUMMYFUNCTION("""COMPUTED_VALUE"""),0.0)</f>
        <v>0</v>
      </c>
      <c r="K33" s="11">
        <f>IFERROR(__xludf.DUMMYFUNCTION("""COMPUTED_VALUE"""),0.0)</f>
        <v>0</v>
      </c>
    </row>
    <row r="34" ht="15.75" customHeight="1">
      <c r="A34" s="8" t="str">
        <f>IFERROR(__xludf.DUMMYFUNCTION("""COMPUTED_VALUE"""),"https://daviesmeyer.com/glossary/incrementality-testing")</f>
        <v>https://daviesmeyer.com/glossary/incrementality-testing</v>
      </c>
      <c r="B34" s="11"/>
      <c r="C34" s="8" t="str">
        <f>IFERROR(__xludf.DUMMYFUNCTION("""COMPUTED_VALUE"""),"daviesmeyer.com")</f>
        <v>daviesmeyer.com</v>
      </c>
      <c r="D34" s="11" t="str">
        <f>IFERROR(__xludf.DUMMYFUNCTION("""COMPUTED_VALUE"""),"OTHER")</f>
        <v>OTHER</v>
      </c>
      <c r="E34" s="11" t="str">
        <f>IFERROR(__xludf.DUMMYFUNCTION("""COMPUTED_VALUE"""),"CORPORATE")</f>
        <v>CORPORATE</v>
      </c>
      <c r="F34" s="11" t="str">
        <f>IFERROR(__xludf.DUMMYFUNCTION("""COMPUTED_VALUE"""),"Other")</f>
        <v>Other</v>
      </c>
      <c r="G34" s="11"/>
      <c r="H34" s="11" t="str">
        <f>IFERROR(__xludf.DUMMYFUNCTION("""COMPUTED_VALUE"""),"Unknown")</f>
        <v>Unknown</v>
      </c>
      <c r="I34" s="11">
        <f>IFERROR(__xludf.DUMMYFUNCTION("""COMPUTED_VALUE"""),4.0)</f>
        <v>4</v>
      </c>
      <c r="J34" s="11">
        <f>IFERROR(__xludf.DUMMYFUNCTION("""COMPUTED_VALUE"""),0.0)</f>
        <v>0</v>
      </c>
      <c r="K34" s="11">
        <f>IFERROR(__xludf.DUMMYFUNCTION("""COMPUTED_VALUE"""),1.75)</f>
        <v>1.75</v>
      </c>
    </row>
    <row r="35" ht="15.75" customHeight="1">
      <c r="A35" s="8" t="str">
        <f>IFERROR(__xludf.DUMMYFUNCTION("""COMPUTED_VALUE"""),"https://www.deptagency.com/de-dach/loesungen/ai-transformation/future-of-work-beratung/")</f>
        <v>https://www.deptagency.com/de-dach/loesungen/ai-transformation/future-of-work-beratung/</v>
      </c>
      <c r="B35" s="11" t="str">
        <f>IFERROR(__xludf.DUMMYFUNCTION("""COMPUTED_VALUE"""),"Enterprise AI Readiness Beratung - DEPT®")</f>
        <v>Enterprise AI Readiness Beratung - DEPT®</v>
      </c>
      <c r="C35" s="8" t="str">
        <f>IFERROR(__xludf.DUMMYFUNCTION("""COMPUTED_VALUE"""),"deptagency.com")</f>
        <v>deptagency.com</v>
      </c>
      <c r="D35" s="11" t="str">
        <f>IFERROR(__xludf.DUMMYFUNCTION("""COMPUTED_VALUE"""),"OTHER")</f>
        <v>OTHER</v>
      </c>
      <c r="E35" s="11" t="str">
        <f>IFERROR(__xludf.DUMMYFUNCTION("""COMPUTED_VALUE"""),"COMPETITOR")</f>
        <v>COMPETITOR</v>
      </c>
      <c r="F35" s="11" t="str">
        <f>IFERROR(__xludf.DUMMYFUNCTION("""COMPUTED_VALUE"""),"Other")</f>
        <v>Other</v>
      </c>
      <c r="G35" s="11" t="b">
        <f>IFERROR(__xludf.DUMMYFUNCTION("""COMPUTED_VALUE"""),FALSE)</f>
        <v>0</v>
      </c>
      <c r="H35" s="11" t="str">
        <f>IFERROR(__xludf.DUMMYFUNCTION("""COMPUTED_VALUE"""),"DEPT")</f>
        <v>DEPT</v>
      </c>
      <c r="I35" s="11">
        <f>IFERROR(__xludf.DUMMYFUNCTION("""COMPUTED_VALUE"""),4.0)</f>
        <v>4</v>
      </c>
      <c r="J35" s="11">
        <f>IFERROR(__xludf.DUMMYFUNCTION("""COMPUTED_VALUE"""),0.0)</f>
        <v>0</v>
      </c>
      <c r="K35" s="11">
        <f>IFERROR(__xludf.DUMMYFUNCTION("""COMPUTED_VALUE"""),1.5)</f>
        <v>1.5</v>
      </c>
    </row>
    <row r="36" ht="15.75" customHeight="1">
      <c r="A36" s="8" t="str">
        <f>IFERROR(__xludf.DUMMYFUNCTION("""COMPUTED_VALUE"""),"https://ecosystem.hubspot.com/marketplace/solutions/paid-advertising/germany?eco_language=en&amp;eco_agency_tier=diamond")</f>
        <v>https://ecosystem.hubspot.com/marketplace/solutions/paid-advertising/germany?eco_language=en&amp;eco_agency_tier=diamond</v>
      </c>
      <c r="B36" s="11"/>
      <c r="C36" s="8" t="str">
        <f>IFERROR(__xludf.DUMMYFUNCTION("""COMPUTED_VALUE"""),"hubspot.com")</f>
        <v>hubspot.com</v>
      </c>
      <c r="D36" s="11" t="str">
        <f>IFERROR(__xludf.DUMMYFUNCTION("""COMPUTED_VALUE"""),"OTHER")</f>
        <v>OTHER</v>
      </c>
      <c r="E36" s="11" t="str">
        <f>IFERROR(__xludf.DUMMYFUNCTION("""COMPUTED_VALUE"""),"CORPORATE")</f>
        <v>CORPORATE</v>
      </c>
      <c r="F36" s="11" t="str">
        <f>IFERROR(__xludf.DUMMYFUNCTION("""COMPUTED_VALUE"""),"Other")</f>
        <v>Other</v>
      </c>
      <c r="G36" s="11"/>
      <c r="H36" s="11" t="str">
        <f>IFERROR(__xludf.DUMMYFUNCTION("""COMPUTED_VALUE"""),"Unknown")</f>
        <v>Unknown</v>
      </c>
      <c r="I36" s="11">
        <f>IFERROR(__xludf.DUMMYFUNCTION("""COMPUTED_VALUE"""),4.0)</f>
        <v>4</v>
      </c>
      <c r="J36" s="11">
        <f>IFERROR(__xludf.DUMMYFUNCTION("""COMPUTED_VALUE"""),0.0)</f>
        <v>0</v>
      </c>
      <c r="K36" s="11">
        <f>IFERROR(__xludf.DUMMYFUNCTION("""COMPUTED_VALUE"""),0.0)</f>
        <v>0</v>
      </c>
    </row>
    <row r="37" ht="15.75" customHeight="1">
      <c r="A37" s="8" t="str">
        <f>IFERROR(__xludf.DUMMYFUNCTION("""COMPUTED_VALUE"""),"https://ecosystem.hubspot.com/marketplace/solutions/paid-advertising/media-publishing/germany?limit=15")</f>
        <v>https://ecosystem.hubspot.com/marketplace/solutions/paid-advertising/media-publishing/germany?limit=15</v>
      </c>
      <c r="B37" s="11"/>
      <c r="C37" s="8" t="str">
        <f>IFERROR(__xludf.DUMMYFUNCTION("""COMPUTED_VALUE"""),"hubspot.com")</f>
        <v>hubspot.com</v>
      </c>
      <c r="D37" s="11" t="str">
        <f>IFERROR(__xludf.DUMMYFUNCTION("""COMPUTED_VALUE"""),"OTHER")</f>
        <v>OTHER</v>
      </c>
      <c r="E37" s="11" t="str">
        <f>IFERROR(__xludf.DUMMYFUNCTION("""COMPUTED_VALUE"""),"CORPORATE")</f>
        <v>CORPORATE</v>
      </c>
      <c r="F37" s="11" t="str">
        <f>IFERROR(__xludf.DUMMYFUNCTION("""COMPUTED_VALUE"""),"Other")</f>
        <v>Other</v>
      </c>
      <c r="G37" s="11"/>
      <c r="H37" s="11" t="str">
        <f>IFERROR(__xludf.DUMMYFUNCTION("""COMPUTED_VALUE"""),"Unknown")</f>
        <v>Unknown</v>
      </c>
      <c r="I37" s="11">
        <f>IFERROR(__xludf.DUMMYFUNCTION("""COMPUTED_VALUE"""),4.0)</f>
        <v>4</v>
      </c>
      <c r="J37" s="11">
        <f>IFERROR(__xludf.DUMMYFUNCTION("""COMPUTED_VALUE"""),0.0)</f>
        <v>0</v>
      </c>
      <c r="K37" s="11">
        <f>IFERROR(__xludf.DUMMYFUNCTION("""COMPUTED_VALUE"""),0.25)</f>
        <v>0.25</v>
      </c>
    </row>
    <row r="38" ht="15.75" customHeight="1">
      <c r="A38" s="8" t="str">
        <f>IFERROR(__xludf.DUMMYFUNCTION("""COMPUTED_VALUE"""),"https://www.marketing-companies-in-germany.com/data-driven-marketing")</f>
        <v>https://www.marketing-companies-in-germany.com/data-driven-marketing</v>
      </c>
      <c r="B38" s="11"/>
      <c r="C38" s="8" t="str">
        <f>IFERROR(__xludf.DUMMYFUNCTION("""COMPUTED_VALUE"""),"marketing-companies-in-germany.com")</f>
        <v>marketing-companies-in-germany.com</v>
      </c>
      <c r="D38" s="11" t="str">
        <f>IFERROR(__xludf.DUMMYFUNCTION("""COMPUTED_VALUE"""),"OTHER")</f>
        <v>OTHER</v>
      </c>
      <c r="E38" s="11" t="str">
        <f>IFERROR(__xludf.DUMMYFUNCTION("""COMPUTED_VALUE"""),"CORPORATE")</f>
        <v>CORPORATE</v>
      </c>
      <c r="F38" s="11" t="str">
        <f>IFERROR(__xludf.DUMMYFUNCTION("""COMPUTED_VALUE"""),"Other")</f>
        <v>Other</v>
      </c>
      <c r="G38" s="11" t="b">
        <f>IFERROR(__xludf.DUMMYFUNCTION("""COMPUTED_VALUE"""),FALSE)</f>
        <v>0</v>
      </c>
      <c r="H38" s="11" t="str">
        <f>IFERROR(__xludf.DUMMYFUNCTION("""COMPUTED_VALUE"""),"Digital Masters GmbH, lehof, MONSOON, Labelium, Loyamo")</f>
        <v>Digital Masters GmbH, lehof, MONSOON, Labelium, Loyamo</v>
      </c>
      <c r="I38" s="11">
        <f>IFERROR(__xludf.DUMMYFUNCTION("""COMPUTED_VALUE"""),4.0)</f>
        <v>4</v>
      </c>
      <c r="J38" s="11">
        <f>IFERROR(__xludf.DUMMYFUNCTION("""COMPUTED_VALUE"""),0.0)</f>
        <v>0</v>
      </c>
      <c r="K38" s="11">
        <f>IFERROR(__xludf.DUMMYFUNCTION("""COMPUTED_VALUE"""),0.0)</f>
        <v>0</v>
      </c>
    </row>
    <row r="39" ht="15.75" customHeight="1">
      <c r="A39" s="8" t="str">
        <f>IFERROR(__xludf.DUMMYFUNCTION("""COMPUTED_VALUE"""),"https://performance-marketing-agency-berlin.com/attribution-marketing/berlin")</f>
        <v>https://performance-marketing-agency-berlin.com/attribution-marketing/berlin</v>
      </c>
      <c r="B39" s="11" t="str">
        <f>IFERROR(__xludf.DUMMYFUNCTION("""COMPUTED_VALUE"""),"The best Attribution Marketing Agencies in Berlin")</f>
        <v>The best Attribution Marketing Agencies in Berlin</v>
      </c>
      <c r="C39" s="8" t="str">
        <f>IFERROR(__xludf.DUMMYFUNCTION("""COMPUTED_VALUE"""),"performance-marketing-agency-berlin.com")</f>
        <v>performance-marketing-agency-berlin.com</v>
      </c>
      <c r="D39" s="11" t="str">
        <f>IFERROR(__xludf.DUMMYFUNCTION("""COMPUTED_VALUE"""),"OTHER")</f>
        <v>OTHER</v>
      </c>
      <c r="E39" s="11" t="str">
        <f>IFERROR(__xludf.DUMMYFUNCTION("""COMPUTED_VALUE"""),"CORPORATE")</f>
        <v>CORPORATE</v>
      </c>
      <c r="F39" s="11" t="str">
        <f>IFERROR(__xludf.DUMMYFUNCTION("""COMPUTED_VALUE"""),"Other")</f>
        <v>Other</v>
      </c>
      <c r="G39" s="11" t="b">
        <f>IFERROR(__xludf.DUMMYFUNCTION("""COMPUTED_VALUE"""),FALSE)</f>
        <v>0</v>
      </c>
      <c r="H39" s="11" t="str">
        <f>IFERROR(__xludf.DUMMYFUNCTION("""COMPUTED_VALUE"""),"Customlytics")</f>
        <v>Customlytics</v>
      </c>
      <c r="I39" s="11">
        <f>IFERROR(__xludf.DUMMYFUNCTION("""COMPUTED_VALUE"""),4.0)</f>
        <v>4</v>
      </c>
      <c r="J39" s="11">
        <f>IFERROR(__xludf.DUMMYFUNCTION("""COMPUTED_VALUE"""),0.0)</f>
        <v>0</v>
      </c>
      <c r="K39" s="11">
        <f>IFERROR(__xludf.DUMMYFUNCTION("""COMPUTED_VALUE"""),0.0)</f>
        <v>0</v>
      </c>
    </row>
    <row r="40" ht="15.75" customHeight="1">
      <c r="A40" s="8" t="str">
        <f>IFERROR(__xludf.DUMMYFUNCTION("""COMPUTED_VALUE"""),"https://support.google.com/tagmanager/answer/7237700?hl=en-GB")</f>
        <v>https://support.google.com/tagmanager/answer/7237700?hl=en-GB</v>
      </c>
      <c r="B40" s="11" t="str">
        <f>IFERROR(__xludf.DUMMYFUNCTION("""COMPUTED_VALUE"""),"Google Marketing Platform Partners - Tag Manager Help")</f>
        <v>Google Marketing Platform Partners - Tag Manager Help</v>
      </c>
      <c r="C40" s="8" t="str">
        <f>IFERROR(__xludf.DUMMYFUNCTION("""COMPUTED_VALUE"""),"google.com")</f>
        <v>google.com</v>
      </c>
      <c r="D40" s="11" t="str">
        <f>IFERROR(__xludf.DUMMYFUNCTION("""COMPUTED_VALUE"""),"OTHER")</f>
        <v>OTHER</v>
      </c>
      <c r="E40" s="11" t="str">
        <f>IFERROR(__xludf.DUMMYFUNCTION("""COMPUTED_VALUE"""),"OTHER")</f>
        <v>OTHER</v>
      </c>
      <c r="F40" s="11" t="str">
        <f>IFERROR(__xludf.DUMMYFUNCTION("""COMPUTED_VALUE"""),"Other")</f>
        <v>Other</v>
      </c>
      <c r="G40" s="11" t="b">
        <f>IFERROR(__xludf.DUMMYFUNCTION("""COMPUTED_VALUE"""),FALSE)</f>
        <v>0</v>
      </c>
      <c r="H40" s="11"/>
      <c r="I40" s="11">
        <f>IFERROR(__xludf.DUMMYFUNCTION("""COMPUTED_VALUE"""),4.0)</f>
        <v>4</v>
      </c>
      <c r="J40" s="11">
        <f>IFERROR(__xludf.DUMMYFUNCTION("""COMPUTED_VALUE"""),0.0)</f>
        <v>0</v>
      </c>
      <c r="K40" s="11">
        <f>IFERROR(__xludf.DUMMYFUNCTION("""COMPUTED_VALUE"""),0.0)</f>
        <v>0</v>
      </c>
    </row>
    <row r="41" ht="15.75" customHeight="1">
      <c r="A41" s="8" t="str">
        <f>IFERROR(__xludf.DUMMYFUNCTION("""COMPUTED_VALUE"""),"https://www.the-boutique-agency.de/en/search-ads-360#:~:text=Search%20Ads%20360%20agency%20in%20Munich%2C%20Germany%20%E2%80%A2%20The%20Boutique%20Agency")</f>
        <v>https://www.the-boutique-agency.de/en/search-ads-360#:~:text=Search%20Ads%20360%20agency%20in%20Munich%2C%20Germany%20%E2%80%A2%20The%20Boutique%20Agency</v>
      </c>
      <c r="B41" s="11" t="str">
        <f>IFERROR(__xludf.DUMMYFUNCTION("""COMPUTED_VALUE"""),"Search Ads 360 agency in Munich, Germany • The Boutique Agency")</f>
        <v>Search Ads 360 agency in Munich, Germany • The Boutique Agency</v>
      </c>
      <c r="C41" s="8" t="str">
        <f>IFERROR(__xludf.DUMMYFUNCTION("""COMPUTED_VALUE"""),"the-boutique-agency.de")</f>
        <v>the-boutique-agency.de</v>
      </c>
      <c r="D41" s="11" t="str">
        <f>IFERROR(__xludf.DUMMYFUNCTION("""COMPUTED_VALUE"""),"OTHER")</f>
        <v>OTHER</v>
      </c>
      <c r="E41" s="11" t="str">
        <f>IFERROR(__xludf.DUMMYFUNCTION("""COMPUTED_VALUE"""),"COMPETITOR")</f>
        <v>COMPETITOR</v>
      </c>
      <c r="F41" s="11" t="str">
        <f>IFERROR(__xludf.DUMMYFUNCTION("""COMPUTED_VALUE"""),"Other")</f>
        <v>Other</v>
      </c>
      <c r="G41" s="11" t="b">
        <f>IFERROR(__xludf.DUMMYFUNCTION("""COMPUTED_VALUE"""),FALSE)</f>
        <v>0</v>
      </c>
      <c r="H41" s="11" t="str">
        <f>IFERROR(__xludf.DUMMYFUNCTION("""COMPUTED_VALUE"""),"The Boutique Agency")</f>
        <v>The Boutique Agency</v>
      </c>
      <c r="I41" s="11">
        <f>IFERROR(__xludf.DUMMYFUNCTION("""COMPUTED_VALUE"""),4.0)</f>
        <v>4</v>
      </c>
      <c r="J41" s="11">
        <f>IFERROR(__xludf.DUMMYFUNCTION("""COMPUTED_VALUE"""),0.0)</f>
        <v>0</v>
      </c>
      <c r="K41" s="11">
        <f>IFERROR(__xludf.DUMMYFUNCTION("""COMPUTED_VALUE"""),0.75)</f>
        <v>0.75</v>
      </c>
    </row>
    <row r="42" ht="15.75" customHeight="1">
      <c r="A42" s="8" t="str">
        <f>IFERROR(__xludf.DUMMYFUNCTION("""COMPUTED_VALUE"""),"https://agencies.semrush.com/de/list/display-advertising/ecommerce/germany/")</f>
        <v>https://agencies.semrush.com/de/list/display-advertising/ecommerce/germany/</v>
      </c>
      <c r="B42" s="11" t="str">
        <f>IFERROR(__xludf.DUMMYFUNCTION("""COMPUTED_VALUE"""),"Beste Display-Werbung-Agenturen für E-Commerce , Germany 2026 | Semrush")</f>
        <v>Beste Display-Werbung-Agenturen für E-Commerce , Germany 2026 | Semrush</v>
      </c>
      <c r="C42" s="8" t="str">
        <f>IFERROR(__xludf.DUMMYFUNCTION("""COMPUTED_VALUE"""),"semrush.com")</f>
        <v>semrush.com</v>
      </c>
      <c r="D42" s="11" t="str">
        <f>IFERROR(__xludf.DUMMYFUNCTION("""COMPUTED_VALUE"""),"OTHER")</f>
        <v>OTHER</v>
      </c>
      <c r="E42" s="11" t="str">
        <f>IFERROR(__xludf.DUMMYFUNCTION("""COMPUTED_VALUE"""),"CORPORATE")</f>
        <v>CORPORATE</v>
      </c>
      <c r="F42" s="11" t="str">
        <f>IFERROR(__xludf.DUMMYFUNCTION("""COMPUTED_VALUE"""),"Other")</f>
        <v>Other</v>
      </c>
      <c r="G42" s="11" t="b">
        <f>IFERROR(__xludf.DUMMYFUNCTION("""COMPUTED_VALUE"""),FALSE)</f>
        <v>0</v>
      </c>
      <c r="H42" s="11" t="str">
        <f>IFERROR(__xludf.DUMMYFUNCTION("""COMPUTED_VALUE"""),"Baseplus DIGITAL MEDIA GmbH, morefire, Mediaplus Performance, MONSOON")</f>
        <v>Baseplus DIGITAL MEDIA GmbH, morefire, Mediaplus Performance, MONSOON</v>
      </c>
      <c r="I42" s="11">
        <f>IFERROR(__xludf.DUMMYFUNCTION("""COMPUTED_VALUE"""),3.0)</f>
        <v>3</v>
      </c>
      <c r="J42" s="11">
        <f>IFERROR(__xludf.DUMMYFUNCTION("""COMPUTED_VALUE"""),0.0)</f>
        <v>0</v>
      </c>
      <c r="K42" s="11">
        <f>IFERROR(__xludf.DUMMYFUNCTION("""COMPUTED_VALUE"""),0.0)</f>
        <v>0</v>
      </c>
    </row>
    <row r="43" ht="15.75" customHeight="1">
      <c r="A43" s="8" t="str">
        <f>IFERROR(__xludf.DUMMYFUNCTION("""COMPUTED_VALUE"""),"https://agencies.semrush.com/list/display-advertising/ecommerce/germany/mid-business/")</f>
        <v>https://agencies.semrush.com/list/display-advertising/ecommerce/germany/mid-business/</v>
      </c>
      <c r="B43" s="11" t="str">
        <f>IFERROR(__xludf.DUMMYFUNCTION("""COMPUTED_VALUE"""),"Best Ecommerce Display Ads Agencies for Mid Business in Germany 2026 | Semrush")</f>
        <v>Best Ecommerce Display Ads Agencies for Mid Business in Germany 2026 | Semrush</v>
      </c>
      <c r="C43" s="8" t="str">
        <f>IFERROR(__xludf.DUMMYFUNCTION("""COMPUTED_VALUE"""),"semrush.com")</f>
        <v>semrush.com</v>
      </c>
      <c r="D43" s="11" t="str">
        <f>IFERROR(__xludf.DUMMYFUNCTION("""COMPUTED_VALUE"""),"OTHER")</f>
        <v>OTHER</v>
      </c>
      <c r="E43" s="11" t="str">
        <f>IFERROR(__xludf.DUMMYFUNCTION("""COMPUTED_VALUE"""),"CORPORATE")</f>
        <v>CORPORATE</v>
      </c>
      <c r="F43" s="11" t="str">
        <f>IFERROR(__xludf.DUMMYFUNCTION("""COMPUTED_VALUE"""),"Other")</f>
        <v>Other</v>
      </c>
      <c r="G43" s="11" t="b">
        <f>IFERROR(__xludf.DUMMYFUNCTION("""COMPUTED_VALUE"""),FALSE)</f>
        <v>0</v>
      </c>
      <c r="H43" s="11" t="str">
        <f>IFERROR(__xludf.DUMMYFUNCTION("""COMPUTED_VALUE"""),"Baseplus DIGITAL MEDIA GmbH, morefire, Mediaplus Performance, MONSOON")</f>
        <v>Baseplus DIGITAL MEDIA GmbH, morefire, Mediaplus Performance, MONSOON</v>
      </c>
      <c r="I43" s="11">
        <f>IFERROR(__xludf.DUMMYFUNCTION("""COMPUTED_VALUE"""),3.0)</f>
        <v>3</v>
      </c>
      <c r="J43" s="11">
        <f>IFERROR(__xludf.DUMMYFUNCTION("""COMPUTED_VALUE"""),0.0)</f>
        <v>0</v>
      </c>
      <c r="K43" s="11">
        <f>IFERROR(__xludf.DUMMYFUNCTION("""COMPUTED_VALUE"""),1.0)</f>
        <v>1</v>
      </c>
    </row>
    <row r="44" ht="15.75" customHeight="1">
      <c r="A44" s="8" t="str">
        <f>IFERROR(__xludf.DUMMYFUNCTION("""COMPUTED_VALUE"""),"https://agencies.semrush.com/list/display-advertising/germany/enterprise-business/")</f>
        <v>https://agencies.semrush.com/list/display-advertising/germany/enterprise-business/</v>
      </c>
      <c r="B44" s="11" t="str">
        <f>IFERROR(__xludf.DUMMYFUNCTION("""COMPUTED_VALUE"""),"Best Display Ads Agencies for Enterprise Business in Germany 2026 | Semrush")</f>
        <v>Best Display Ads Agencies for Enterprise Business in Germany 2026 | Semrush</v>
      </c>
      <c r="C44" s="8" t="str">
        <f>IFERROR(__xludf.DUMMYFUNCTION("""COMPUTED_VALUE"""),"semrush.com")</f>
        <v>semrush.com</v>
      </c>
      <c r="D44" s="11" t="str">
        <f>IFERROR(__xludf.DUMMYFUNCTION("""COMPUTED_VALUE"""),"OTHER")</f>
        <v>OTHER</v>
      </c>
      <c r="E44" s="11" t="str">
        <f>IFERROR(__xludf.DUMMYFUNCTION("""COMPUTED_VALUE"""),"CORPORATE")</f>
        <v>CORPORATE</v>
      </c>
      <c r="F44" s="11" t="str">
        <f>IFERROR(__xludf.DUMMYFUNCTION("""COMPUTED_VALUE"""),"Other")</f>
        <v>Other</v>
      </c>
      <c r="G44" s="11" t="b">
        <f>IFERROR(__xludf.DUMMYFUNCTION("""COMPUTED_VALUE"""),FALSE)</f>
        <v>0</v>
      </c>
      <c r="H44" s="11" t="str">
        <f>IFERROR(__xludf.DUMMYFUNCTION("""COMPUTED_VALUE"""),"Baseplus DIGITAL MEDIA GmbH, morefire, Mediaplus Performance, MONSOON, KlickPiloten")</f>
        <v>Baseplus DIGITAL MEDIA GmbH, morefire, Mediaplus Performance, MONSOON, KlickPiloten</v>
      </c>
      <c r="I44" s="11">
        <f>IFERROR(__xludf.DUMMYFUNCTION("""COMPUTED_VALUE"""),3.0)</f>
        <v>3</v>
      </c>
      <c r="J44" s="11">
        <f>IFERROR(__xludf.DUMMYFUNCTION("""COMPUTED_VALUE"""),0.0)</f>
        <v>0</v>
      </c>
      <c r="K44" s="11">
        <f>IFERROR(__xludf.DUMMYFUNCTION("""COMPUTED_VALUE"""),0.0)</f>
        <v>0</v>
      </c>
    </row>
    <row r="45" ht="15.75" customHeight="1">
      <c r="A45" s="8" t="str">
        <f>IFERROR(__xludf.DUMMYFUNCTION("""COMPUTED_VALUE"""),"https://appfillip.com/advanced-paid-marketing/in/germany")</f>
        <v>https://appfillip.com/advanced-paid-marketing/in/germany</v>
      </c>
      <c r="B45" s="11"/>
      <c r="C45" s="8" t="str">
        <f>IFERROR(__xludf.DUMMYFUNCTION("""COMPUTED_VALUE"""),"appfillip.com")</f>
        <v>appfillip.com</v>
      </c>
      <c r="D45" s="11" t="str">
        <f>IFERROR(__xludf.DUMMYFUNCTION("""COMPUTED_VALUE"""),"OTHER")</f>
        <v>OTHER</v>
      </c>
      <c r="E45" s="11" t="str">
        <f>IFERROR(__xludf.DUMMYFUNCTION("""COMPUTED_VALUE"""),"CORPORATE")</f>
        <v>CORPORATE</v>
      </c>
      <c r="F45" s="11" t="str">
        <f>IFERROR(__xludf.DUMMYFUNCTION("""COMPUTED_VALUE"""),"Other")</f>
        <v>Other</v>
      </c>
      <c r="G45" s="11"/>
      <c r="H45" s="11" t="str">
        <f>IFERROR(__xludf.DUMMYFUNCTION("""COMPUTED_VALUE"""),"Unknown")</f>
        <v>Unknown</v>
      </c>
      <c r="I45" s="11">
        <f>IFERROR(__xludf.DUMMYFUNCTION("""COMPUTED_VALUE"""),3.0)</f>
        <v>3</v>
      </c>
      <c r="J45" s="11">
        <f>IFERROR(__xludf.DUMMYFUNCTION("""COMPUTED_VALUE"""),0.0)</f>
        <v>0</v>
      </c>
      <c r="K45" s="11">
        <f>IFERROR(__xludf.DUMMYFUNCTION("""COMPUTED_VALUE"""),0.67)</f>
        <v>0.67</v>
      </c>
    </row>
    <row r="46" ht="15.75" customHeight="1">
      <c r="A46" s="8" t="str">
        <f>IFERROR(__xludf.DUMMYFUNCTION("""COMPUTED_VALUE"""),"https://www.artefact.com/offers/marketing-data-driven/gmp-certified-reseller/#:~:text=Our%20comprehensive%20GMP%20Playbook%20is,experts%20are%20all%20GMP%20certified.")</f>
        <v>https://www.artefact.com/offers/marketing-data-driven/gmp-certified-reseller/#:~:text=Our%20comprehensive%20GMP%20Playbook%20is,experts%20are%20all%20GMP%20certified.</v>
      </c>
      <c r="B46" s="11" t="str">
        <f>IFERROR(__xludf.DUMMYFUNCTION("""COMPUTED_VALUE"""),"We are a GMP Certified Reseller - Artefact")</f>
        <v>We are a GMP Certified Reseller - Artefact</v>
      </c>
      <c r="C46" s="8" t="str">
        <f>IFERROR(__xludf.DUMMYFUNCTION("""COMPUTED_VALUE"""),"artefact.com")</f>
        <v>artefact.com</v>
      </c>
      <c r="D46" s="11" t="str">
        <f>IFERROR(__xludf.DUMMYFUNCTION("""COMPUTED_VALUE"""),"OTHER")</f>
        <v>OTHER</v>
      </c>
      <c r="E46" s="11" t="str">
        <f>IFERROR(__xludf.DUMMYFUNCTION("""COMPUTED_VALUE"""),"CORPORATE")</f>
        <v>CORPORATE</v>
      </c>
      <c r="F46" s="11" t="str">
        <f>IFERROR(__xludf.DUMMYFUNCTION("""COMPUTED_VALUE"""),"Other")</f>
        <v>Other</v>
      </c>
      <c r="G46" s="11" t="b">
        <f>IFERROR(__xludf.DUMMYFUNCTION("""COMPUTED_VALUE"""),FALSE)</f>
        <v>0</v>
      </c>
      <c r="H46" s="11" t="str">
        <f>IFERROR(__xludf.DUMMYFUNCTION("""COMPUTED_VALUE"""),"Artefact")</f>
        <v>Artefact</v>
      </c>
      <c r="I46" s="11">
        <f>IFERROR(__xludf.DUMMYFUNCTION("""COMPUTED_VALUE"""),3.0)</f>
        <v>3</v>
      </c>
      <c r="J46" s="11">
        <f>IFERROR(__xludf.DUMMYFUNCTION("""COMPUTED_VALUE"""),0.0)</f>
        <v>0</v>
      </c>
      <c r="K46" s="11">
        <f>IFERROR(__xludf.DUMMYFUNCTION("""COMPUTED_VALUE"""),1.33)</f>
        <v>1.33</v>
      </c>
    </row>
    <row r="47" ht="15.75" customHeight="1">
      <c r="A47" s="8" t="str">
        <f>IFERROR(__xludf.DUMMYFUNCTION("""COMPUTED_VALUE"""),"https://datenbanken.pr-journal.de/pr-agenturrankings/kreativ-ranking/kreativranking-2025")</f>
        <v>https://datenbanken.pr-journal.de/pr-agenturrankings/kreativ-ranking/kreativranking-2025</v>
      </c>
      <c r="B47" s="11" t="str">
        <f>IFERROR(__xludf.DUMMYFUNCTION("""COMPUTED_VALUE"""),"Kreativranking 2025")</f>
        <v>Kreativranking 2025</v>
      </c>
      <c r="C47" s="8" t="str">
        <f>IFERROR(__xludf.DUMMYFUNCTION("""COMPUTED_VALUE"""),"pr-journal.de")</f>
        <v>pr-journal.de</v>
      </c>
      <c r="D47" s="11" t="str">
        <f>IFERROR(__xludf.DUMMYFUNCTION("""COMPUTED_VALUE"""),"OTHER")</f>
        <v>OTHER</v>
      </c>
      <c r="E47" s="11" t="str">
        <f>IFERROR(__xludf.DUMMYFUNCTION("""COMPUTED_VALUE"""),"EDITORIAL")</f>
        <v>EDITORIAL</v>
      </c>
      <c r="F47" s="11" t="str">
        <f>IFERROR(__xludf.DUMMYFUNCTION("""COMPUTED_VALUE"""),"Other")</f>
        <v>Other</v>
      </c>
      <c r="G47" s="11" t="b">
        <f>IFERROR(__xludf.DUMMYFUNCTION("""COMPUTED_VALUE"""),FALSE)</f>
        <v>0</v>
      </c>
      <c r="H47" s="11" t="str">
        <f>IFERROR(__xludf.DUMMYFUNCTION("""COMPUTED_VALUE"""),"Jung von Matt, Scholz &amp; Friends, MetaDesign, OMD, WPP, Havas Media, Mindshare, Ogilvy, GroupM, Loyamo")</f>
        <v>Jung von Matt, Scholz &amp; Friends, MetaDesign, OMD, WPP, Havas Media, Mindshare, Ogilvy, GroupM, Loyamo</v>
      </c>
      <c r="I47" s="11">
        <f>IFERROR(__xludf.DUMMYFUNCTION("""COMPUTED_VALUE"""),3.0)</f>
        <v>3</v>
      </c>
      <c r="J47" s="11">
        <f>IFERROR(__xludf.DUMMYFUNCTION("""COMPUTED_VALUE"""),0.0)</f>
        <v>0</v>
      </c>
      <c r="K47" s="11">
        <f>IFERROR(__xludf.DUMMYFUNCTION("""COMPUTED_VALUE"""),0.0)</f>
        <v>0</v>
      </c>
    </row>
    <row r="48" ht="15.75" customHeight="1">
      <c r="A48" s="8" t="str">
        <f>IFERROR(__xludf.DUMMYFUNCTION("""COMPUTED_VALUE"""),"https://www.deptagency.com/de-dach/partner/google-marketing-platform/")</f>
        <v>https://www.deptagency.com/de-dach/partner/google-marketing-platform/</v>
      </c>
      <c r="B48" s="11" t="str">
        <f>IFERROR(__xludf.DUMMYFUNCTION("""COMPUTED_VALUE"""),"GMP Agentur Partner - Google Premier Partner - DEPT®")</f>
        <v>GMP Agentur Partner - Google Premier Partner - DEPT®</v>
      </c>
      <c r="C48" s="8" t="str">
        <f>IFERROR(__xludf.DUMMYFUNCTION("""COMPUTED_VALUE"""),"deptagency.com")</f>
        <v>deptagency.com</v>
      </c>
      <c r="D48" s="11" t="str">
        <f>IFERROR(__xludf.DUMMYFUNCTION("""COMPUTED_VALUE"""),"OTHER")</f>
        <v>OTHER</v>
      </c>
      <c r="E48" s="11" t="str">
        <f>IFERROR(__xludf.DUMMYFUNCTION("""COMPUTED_VALUE"""),"COMPETITOR")</f>
        <v>COMPETITOR</v>
      </c>
      <c r="F48" s="11" t="str">
        <f>IFERROR(__xludf.DUMMYFUNCTION("""COMPUTED_VALUE"""),"Other")</f>
        <v>Other</v>
      </c>
      <c r="G48" s="11" t="b">
        <f>IFERROR(__xludf.DUMMYFUNCTION("""COMPUTED_VALUE"""),FALSE)</f>
        <v>0</v>
      </c>
      <c r="H48" s="11" t="str">
        <f>IFERROR(__xludf.DUMMYFUNCTION("""COMPUTED_VALUE"""),"DEPT")</f>
        <v>DEPT</v>
      </c>
      <c r="I48" s="11">
        <f>IFERROR(__xludf.DUMMYFUNCTION("""COMPUTED_VALUE"""),3.0)</f>
        <v>3</v>
      </c>
      <c r="J48" s="11">
        <f>IFERROR(__xludf.DUMMYFUNCTION("""COMPUTED_VALUE"""),0.0)</f>
        <v>0</v>
      </c>
      <c r="K48" s="11">
        <f>IFERROR(__xludf.DUMMYFUNCTION("""COMPUTED_VALUE"""),2.0)</f>
        <v>2</v>
      </c>
    </row>
    <row r="49" ht="15.75" customHeight="1">
      <c r="A49" s="8" t="str">
        <f>IFERROR(__xludf.DUMMYFUNCTION("""COMPUTED_VALUE"""),"https://dtile-marketing.de/performance-marketing/")</f>
        <v>https://dtile-marketing.de/performance-marketing/</v>
      </c>
      <c r="B49" s="11" t="str">
        <f>IFERROR(__xludf.DUMMYFUNCTION("""COMPUTED_VALUE"""),"Performance Marketing 2026: Erklärt + Top-10 DE &amp;amp; Top-20 DACH")</f>
        <v>Performance Marketing 2026: Erklärt + Top-10 DE &amp;amp; Top-20 DACH</v>
      </c>
      <c r="C49" s="8" t="str">
        <f>IFERROR(__xludf.DUMMYFUNCTION("""COMPUTED_VALUE"""),"dtile-marketing.de")</f>
        <v>dtile-marketing.de</v>
      </c>
      <c r="D49" s="11" t="str">
        <f>IFERROR(__xludf.DUMMYFUNCTION("""COMPUTED_VALUE"""),"OTHER")</f>
        <v>OTHER</v>
      </c>
      <c r="E49" s="11" t="str">
        <f>IFERROR(__xludf.DUMMYFUNCTION("""COMPUTED_VALUE"""),"CORPORATE")</f>
        <v>CORPORATE</v>
      </c>
      <c r="F49" s="11" t="str">
        <f>IFERROR(__xludf.DUMMYFUNCTION("""COMPUTED_VALUE"""),"Other")</f>
        <v>Other</v>
      </c>
      <c r="G49" s="11" t="b">
        <f>IFERROR(__xludf.DUMMYFUNCTION("""COMPUTED_VALUE"""),FALSE)</f>
        <v>0</v>
      </c>
      <c r="H49" s="11" t="str">
        <f>IFERROR(__xludf.DUMMYFUNCTION("""COMPUTED_VALUE"""),"Pilot, Smarketer, DEPT")</f>
        <v>Pilot, Smarketer, DEPT</v>
      </c>
      <c r="I49" s="11">
        <f>IFERROR(__xludf.DUMMYFUNCTION("""COMPUTED_VALUE"""),3.0)</f>
        <v>3</v>
      </c>
      <c r="J49" s="11">
        <f>IFERROR(__xludf.DUMMYFUNCTION("""COMPUTED_VALUE"""),0.0)</f>
        <v>0</v>
      </c>
      <c r="K49" s="11">
        <f>IFERROR(__xludf.DUMMYFUNCTION("""COMPUTED_VALUE"""),0.0)</f>
        <v>0</v>
      </c>
    </row>
    <row r="50" ht="15.75" customHeight="1">
      <c r="A50" s="8" t="str">
        <f>IFERROR(__xludf.DUMMYFUNCTION("""COMPUTED_VALUE"""),"https://ecosystem.hubspot.com/marketplace/solutions/paid-advertising/ecommerce/germany")</f>
        <v>https://ecosystem.hubspot.com/marketplace/solutions/paid-advertising/ecommerce/germany</v>
      </c>
      <c r="B50" s="11"/>
      <c r="C50" s="8" t="str">
        <f>IFERROR(__xludf.DUMMYFUNCTION("""COMPUTED_VALUE"""),"hubspot.com")</f>
        <v>hubspot.com</v>
      </c>
      <c r="D50" s="11" t="str">
        <f>IFERROR(__xludf.DUMMYFUNCTION("""COMPUTED_VALUE"""),"OTHER")</f>
        <v>OTHER</v>
      </c>
      <c r="E50" s="11" t="str">
        <f>IFERROR(__xludf.DUMMYFUNCTION("""COMPUTED_VALUE"""),"CORPORATE")</f>
        <v>CORPORATE</v>
      </c>
      <c r="F50" s="11" t="str">
        <f>IFERROR(__xludf.DUMMYFUNCTION("""COMPUTED_VALUE"""),"Other")</f>
        <v>Other</v>
      </c>
      <c r="G50" s="11"/>
      <c r="H50" s="11" t="str">
        <f>IFERROR(__xludf.DUMMYFUNCTION("""COMPUTED_VALUE"""),"Unknown")</f>
        <v>Unknown</v>
      </c>
      <c r="I50" s="11">
        <f>IFERROR(__xludf.DUMMYFUNCTION("""COMPUTED_VALUE"""),3.0)</f>
        <v>3</v>
      </c>
      <c r="J50" s="11">
        <f>IFERROR(__xludf.DUMMYFUNCTION("""COMPUTED_VALUE"""),0.0)</f>
        <v>0</v>
      </c>
      <c r="K50" s="11">
        <f>IFERROR(__xludf.DUMMYFUNCTION("""COMPUTED_VALUE"""),0.0)</f>
        <v>0</v>
      </c>
    </row>
    <row r="51" ht="15.75" customHeight="1">
      <c r="A51" s="8" t="str">
        <f>IFERROR(__xludf.DUMMYFUNCTION("""COMPUTED_VALUE"""),"https://www.google.com/partners/?hl=de")</f>
        <v>https://www.google.com/partners/?hl=de</v>
      </c>
      <c r="B51" s="11"/>
      <c r="C51" s="8" t="str">
        <f>IFERROR(__xludf.DUMMYFUNCTION("""COMPUTED_VALUE"""),"google.com")</f>
        <v>google.com</v>
      </c>
      <c r="D51" s="11" t="str">
        <f>IFERROR(__xludf.DUMMYFUNCTION("""COMPUTED_VALUE"""),"OTHER")</f>
        <v>OTHER</v>
      </c>
      <c r="E51" s="11" t="str">
        <f>IFERROR(__xludf.DUMMYFUNCTION("""COMPUTED_VALUE"""),"OTHER")</f>
        <v>OTHER</v>
      </c>
      <c r="F51" s="11" t="str">
        <f>IFERROR(__xludf.DUMMYFUNCTION("""COMPUTED_VALUE"""),"Other")</f>
        <v>Other</v>
      </c>
      <c r="G51" s="11"/>
      <c r="H51" s="11" t="str">
        <f>IFERROR(__xludf.DUMMYFUNCTION("""COMPUTED_VALUE"""),"Unknown")</f>
        <v>Unknown</v>
      </c>
      <c r="I51" s="11">
        <f>IFERROR(__xludf.DUMMYFUNCTION("""COMPUTED_VALUE"""),3.0)</f>
        <v>3</v>
      </c>
      <c r="J51" s="11">
        <f>IFERROR(__xludf.DUMMYFUNCTION("""COMPUTED_VALUE"""),0.0)</f>
        <v>0</v>
      </c>
      <c r="K51" s="11">
        <f>IFERROR(__xludf.DUMMYFUNCTION("""COMPUTED_VALUE"""),0.0)</f>
        <v>0</v>
      </c>
    </row>
    <row r="52" ht="15.75" customHeight="1">
      <c r="A52" s="8" t="str">
        <f>IFERROR(__xludf.DUMMYFUNCTION("""COMPUTED_VALUE"""),"https://mmaglobal.com/smarties/business-impact-index?category=Creative+Agency&amp;region=Germany&amp;year=2025")</f>
        <v>https://mmaglobal.com/smarties/business-impact-index?category=Creative+Agency&amp;region=Germany&amp;year=2025</v>
      </c>
      <c r="B52" s="11" t="str">
        <f>IFERROR(__xludf.DUMMYFUNCTION("""COMPUTED_VALUE"""),"Overview | MMA / Marketing + Media Alliance")</f>
        <v>Overview | MMA / Marketing + Media Alliance</v>
      </c>
      <c r="C52" s="8" t="str">
        <f>IFERROR(__xludf.DUMMYFUNCTION("""COMPUTED_VALUE"""),"mmaglobal.com")</f>
        <v>mmaglobal.com</v>
      </c>
      <c r="D52" s="11" t="str">
        <f>IFERROR(__xludf.DUMMYFUNCTION("""COMPUTED_VALUE"""),"OTHER")</f>
        <v>OTHER</v>
      </c>
      <c r="E52" s="11" t="str">
        <f>IFERROR(__xludf.DUMMYFUNCTION("""COMPUTED_VALUE"""),"INSTITUTIONAL")</f>
        <v>INSTITUTIONAL</v>
      </c>
      <c r="F52" s="11" t="str">
        <f>IFERROR(__xludf.DUMMYFUNCTION("""COMPUTED_VALUE"""),"Other")</f>
        <v>Other</v>
      </c>
      <c r="G52" s="11" t="b">
        <f>IFERROR(__xludf.DUMMYFUNCTION("""COMPUTED_VALUE"""),FALSE)</f>
        <v>0</v>
      </c>
      <c r="H52" s="11" t="str">
        <f>IFERROR(__xludf.DUMMYFUNCTION("""COMPUTED_VALUE"""),"Scholz &amp; Friends")</f>
        <v>Scholz &amp; Friends</v>
      </c>
      <c r="I52" s="11">
        <f>IFERROR(__xludf.DUMMYFUNCTION("""COMPUTED_VALUE"""),3.0)</f>
        <v>3</v>
      </c>
      <c r="J52" s="11">
        <f>IFERROR(__xludf.DUMMYFUNCTION("""COMPUTED_VALUE"""),0.0)</f>
        <v>0</v>
      </c>
      <c r="K52" s="11">
        <f>IFERROR(__xludf.DUMMYFUNCTION("""COMPUTED_VALUE"""),0.0)</f>
        <v>0</v>
      </c>
    </row>
    <row r="53" ht="15.75" customHeight="1">
      <c r="A53" s="8" t="str">
        <f>IFERROR(__xludf.DUMMYFUNCTION("""COMPUTED_VALUE"""),"https://www.online-werbung-deutschland.de/bezahlte-media")</f>
        <v>https://www.online-werbung-deutschland.de/bezahlte-media</v>
      </c>
      <c r="B53" s="11" t="str">
        <f>IFERROR(__xludf.DUMMYFUNCTION("""COMPUTED_VALUE"""),"Die besten Bezahlte Media Agenturen")</f>
        <v>Die besten Bezahlte Media Agenturen</v>
      </c>
      <c r="C53" s="8" t="str">
        <f>IFERROR(__xludf.DUMMYFUNCTION("""COMPUTED_VALUE"""),"online-werbung-deutschland.de")</f>
        <v>online-werbung-deutschland.de</v>
      </c>
      <c r="D53" s="11" t="str">
        <f>IFERROR(__xludf.DUMMYFUNCTION("""COMPUTED_VALUE"""),"OTHER")</f>
        <v>OTHER</v>
      </c>
      <c r="E53" s="11" t="str">
        <f>IFERROR(__xludf.DUMMYFUNCTION("""COMPUTED_VALUE"""),"CORPORATE")</f>
        <v>CORPORATE</v>
      </c>
      <c r="F53" s="11" t="str">
        <f>IFERROR(__xludf.DUMMYFUNCTION("""COMPUTED_VALUE"""),"Other")</f>
        <v>Other</v>
      </c>
      <c r="G53" s="11" t="b">
        <f>IFERROR(__xludf.DUMMYFUNCTION("""COMPUTED_VALUE"""),FALSE)</f>
        <v>0</v>
      </c>
      <c r="H53" s="11" t="str">
        <f>IFERROR(__xludf.DUMMYFUNCTION("""COMPUTED_VALUE"""),"MONSOON, Digital Masters GmbH, KlickPiloten, lehof, Mediacharge")</f>
        <v>MONSOON, Digital Masters GmbH, KlickPiloten, lehof, Mediacharge</v>
      </c>
      <c r="I53" s="11">
        <f>IFERROR(__xludf.DUMMYFUNCTION("""COMPUTED_VALUE"""),3.0)</f>
        <v>3</v>
      </c>
      <c r="J53" s="11">
        <f>IFERROR(__xludf.DUMMYFUNCTION("""COMPUTED_VALUE"""),0.0)</f>
        <v>0</v>
      </c>
      <c r="K53" s="11">
        <f>IFERROR(__xludf.DUMMYFUNCTION("""COMPUTED_VALUE"""),0.0)</f>
        <v>0</v>
      </c>
    </row>
    <row r="54" ht="15.75" customHeight="1">
      <c r="A54" s="8" t="str">
        <f>IFERROR(__xludf.DUMMYFUNCTION("""COMPUTED_VALUE"""),"https://www.10seos.com/de/display-advertising-companies-in-germany?page=3")</f>
        <v>https://www.10seos.com/de/display-advertising-companies-in-germany?page=3</v>
      </c>
      <c r="B54" s="11" t="str">
        <f>IFERROR(__xludf.DUMMYFUNCTION("""COMPUTED_VALUE"""),"Top 10 Display Advertising Companies For Best Services-Germany | July 2026")</f>
        <v>Top 10 Display Advertising Companies For Best Services-Germany | July 2026</v>
      </c>
      <c r="C54" s="8" t="str">
        <f>IFERROR(__xludf.DUMMYFUNCTION("""COMPUTED_VALUE"""),"10seos.com")</f>
        <v>10seos.com</v>
      </c>
      <c r="D54" s="11" t="str">
        <f>IFERROR(__xludf.DUMMYFUNCTION("""COMPUTED_VALUE"""),"OTHER")</f>
        <v>OTHER</v>
      </c>
      <c r="E54" s="11" t="str">
        <f>IFERROR(__xludf.DUMMYFUNCTION("""COMPUTED_VALUE"""),"REFERENCE")</f>
        <v>REFERENCE</v>
      </c>
      <c r="F54" s="11" t="str">
        <f>IFERROR(__xludf.DUMMYFUNCTION("""COMPUTED_VALUE"""),"Other")</f>
        <v>Other</v>
      </c>
      <c r="G54" s="11" t="b">
        <f>IFERROR(__xludf.DUMMYFUNCTION("""COMPUTED_VALUE"""),FALSE)</f>
        <v>0</v>
      </c>
      <c r="H54" s="11"/>
      <c r="I54" s="11">
        <f>IFERROR(__xludf.DUMMYFUNCTION("""COMPUTED_VALUE"""),2.0)</f>
        <v>2</v>
      </c>
      <c r="J54" s="11">
        <f>IFERROR(__xludf.DUMMYFUNCTION("""COMPUTED_VALUE"""),0.0)</f>
        <v>0</v>
      </c>
      <c r="K54" s="11">
        <f>IFERROR(__xludf.DUMMYFUNCTION("""COMPUTED_VALUE"""),0.0)</f>
        <v>0</v>
      </c>
    </row>
    <row r="55" ht="15.75" customHeight="1">
      <c r="A55" s="8" t="str">
        <f>IFERROR(__xludf.DUMMYFUNCTION("""COMPUTED_VALUE"""),"https://agencies.semrush.com/list/analytics-data-science/germany/mid-business/")</f>
        <v>https://agencies.semrush.com/list/analytics-data-science/germany/mid-business/</v>
      </c>
      <c r="B55" s="11" t="str">
        <f>IFERROR(__xludf.DUMMYFUNCTION("""COMPUTED_VALUE"""),"Best Data Analytics Services for Mid Business in Germany 2026 | Semrush")</f>
        <v>Best Data Analytics Services for Mid Business in Germany 2026 | Semrush</v>
      </c>
      <c r="C55" s="8" t="str">
        <f>IFERROR(__xludf.DUMMYFUNCTION("""COMPUTED_VALUE"""),"semrush.com")</f>
        <v>semrush.com</v>
      </c>
      <c r="D55" s="11" t="str">
        <f>IFERROR(__xludf.DUMMYFUNCTION("""COMPUTED_VALUE"""),"OTHER")</f>
        <v>OTHER</v>
      </c>
      <c r="E55" s="11" t="str">
        <f>IFERROR(__xludf.DUMMYFUNCTION("""COMPUTED_VALUE"""),"CORPORATE")</f>
        <v>CORPORATE</v>
      </c>
      <c r="F55" s="11" t="str">
        <f>IFERROR(__xludf.DUMMYFUNCTION("""COMPUTED_VALUE"""),"Other")</f>
        <v>Other</v>
      </c>
      <c r="G55" s="11" t="b">
        <f>IFERROR(__xludf.DUMMYFUNCTION("""COMPUTED_VALUE"""),FALSE)</f>
        <v>0</v>
      </c>
      <c r="H55" s="11" t="str">
        <f>IFERROR(__xludf.DUMMYFUNCTION("""COMPUTED_VALUE"""),"HECHT INS GEFECHT, Baseplus DIGITAL MEDIA GmbH, morefire, Mediaplus Performance, KlickPiloten")</f>
        <v>HECHT INS GEFECHT, Baseplus DIGITAL MEDIA GmbH, morefire, Mediaplus Performance, KlickPiloten</v>
      </c>
      <c r="I55" s="11">
        <f>IFERROR(__xludf.DUMMYFUNCTION("""COMPUTED_VALUE"""),2.0)</f>
        <v>2</v>
      </c>
      <c r="J55" s="11">
        <f>IFERROR(__xludf.DUMMYFUNCTION("""COMPUTED_VALUE"""),0.0)</f>
        <v>0</v>
      </c>
      <c r="K55" s="11">
        <f>IFERROR(__xludf.DUMMYFUNCTION("""COMPUTED_VALUE"""),0.0)</f>
        <v>0</v>
      </c>
    </row>
    <row r="56" ht="15.75" customHeight="1">
      <c r="A56" s="8" t="str">
        <f>IFERROR(__xludf.DUMMYFUNCTION("""COMPUTED_VALUE"""),"https://agencies.semrush.com/list/data-visualization/germany/#:~:text=morefire,Healthcare%20%26%20Hospital%2C%20Ecommerce%20%2B3")</f>
        <v>https://agencies.semrush.com/list/data-visualization/germany/#:~:text=morefire,Healthcare%20%26%20Hospital%2C%20Ecommerce%20%2B3</v>
      </c>
      <c r="B56" s="11" t="str">
        <f>IFERROR(__xludf.DUMMYFUNCTION("""COMPUTED_VALUE"""),"Best Data Visualization Services in Germany 2026 | Semrush")</f>
        <v>Best Data Visualization Services in Germany 2026 | Semrush</v>
      </c>
      <c r="C56" s="8" t="str">
        <f>IFERROR(__xludf.DUMMYFUNCTION("""COMPUTED_VALUE"""),"semrush.com")</f>
        <v>semrush.com</v>
      </c>
      <c r="D56" s="11" t="str">
        <f>IFERROR(__xludf.DUMMYFUNCTION("""COMPUTED_VALUE"""),"OTHER")</f>
        <v>OTHER</v>
      </c>
      <c r="E56" s="11" t="str">
        <f>IFERROR(__xludf.DUMMYFUNCTION("""COMPUTED_VALUE"""),"CORPORATE")</f>
        <v>CORPORATE</v>
      </c>
      <c r="F56" s="11" t="str">
        <f>IFERROR(__xludf.DUMMYFUNCTION("""COMPUTED_VALUE"""),"Other")</f>
        <v>Other</v>
      </c>
      <c r="G56" s="11" t="b">
        <f>IFERROR(__xludf.DUMMYFUNCTION("""COMPUTED_VALUE"""),FALSE)</f>
        <v>0</v>
      </c>
      <c r="H56" s="11" t="str">
        <f>IFERROR(__xludf.DUMMYFUNCTION("""COMPUTED_VALUE"""),"morefire, Mediaplus Performance, KlickPiloten")</f>
        <v>morefire, Mediaplus Performance, KlickPiloten</v>
      </c>
      <c r="I56" s="11">
        <f>IFERROR(__xludf.DUMMYFUNCTION("""COMPUTED_VALUE"""),2.0)</f>
        <v>2</v>
      </c>
      <c r="J56" s="11">
        <f>IFERROR(__xludf.DUMMYFUNCTION("""COMPUTED_VALUE"""),0.0)</f>
        <v>0</v>
      </c>
      <c r="K56" s="11">
        <f>IFERROR(__xludf.DUMMYFUNCTION("""COMPUTED_VALUE"""),1.5)</f>
        <v>1.5</v>
      </c>
    </row>
    <row r="57" ht="15.75" customHeight="1">
      <c r="A57" s="8" t="str">
        <f>IFERROR(__xludf.DUMMYFUNCTION("""COMPUTED_VALUE"""),"https://agencies.semrush.com/list/display-advertising/dusseldorf/")</f>
        <v>https://agencies.semrush.com/list/display-advertising/dusseldorf/</v>
      </c>
      <c r="B57" s="11" t="str">
        <f>IFERROR(__xludf.DUMMYFUNCTION("""COMPUTED_VALUE"""),"Best Display Ads Agencies in Dusseldorf 2026 | Semrush")</f>
        <v>Best Display Ads Agencies in Dusseldorf 2026 | Semrush</v>
      </c>
      <c r="C57" s="8" t="str">
        <f>IFERROR(__xludf.DUMMYFUNCTION("""COMPUTED_VALUE"""),"semrush.com")</f>
        <v>semrush.com</v>
      </c>
      <c r="D57" s="11" t="str">
        <f>IFERROR(__xludf.DUMMYFUNCTION("""COMPUTED_VALUE"""),"OTHER")</f>
        <v>OTHER</v>
      </c>
      <c r="E57" s="11" t="str">
        <f>IFERROR(__xludf.DUMMYFUNCTION("""COMPUTED_VALUE"""),"CORPORATE")</f>
        <v>CORPORATE</v>
      </c>
      <c r="F57" s="11" t="str">
        <f>IFERROR(__xludf.DUMMYFUNCTION("""COMPUTED_VALUE"""),"Other")</f>
        <v>Other</v>
      </c>
      <c r="G57" s="11" t="b">
        <f>IFERROR(__xludf.DUMMYFUNCTION("""COMPUTED_VALUE"""),FALSE)</f>
        <v>0</v>
      </c>
      <c r="H57" s="11" t="str">
        <f>IFERROR(__xludf.DUMMYFUNCTION("""COMPUTED_VALUE"""),"Baseplus DIGITAL MEDIA GmbH, morefire, Mediaplus Performance, MONSOON, KlickPiloten")</f>
        <v>Baseplus DIGITAL MEDIA GmbH, morefire, Mediaplus Performance, MONSOON, KlickPiloten</v>
      </c>
      <c r="I57" s="11">
        <f>IFERROR(__xludf.DUMMYFUNCTION("""COMPUTED_VALUE"""),2.0)</f>
        <v>2</v>
      </c>
      <c r="J57" s="11">
        <f>IFERROR(__xludf.DUMMYFUNCTION("""COMPUTED_VALUE"""),0.0)</f>
        <v>0</v>
      </c>
      <c r="K57" s="11">
        <f>IFERROR(__xludf.DUMMYFUNCTION("""COMPUTED_VALUE"""),1.0)</f>
        <v>1</v>
      </c>
    </row>
    <row r="58" ht="15.75" customHeight="1">
      <c r="A58" s="8" t="str">
        <f>IFERROR(__xludf.DUMMYFUNCTION("""COMPUTED_VALUE"""),"https://agencies.semrush.com/list/marketing-strategy/germany/#:~:text=Mediaplus%20Performance%20GmbH%20%26%20Co%20KG,%2C%20programmatic%2C%20and%20conversion%20optimization.")</f>
        <v>https://agencies.semrush.com/list/marketing-strategy/germany/#:~:text=Mediaplus%20Performance%20GmbH%20%26%20Co%20KG,%2C%20programmatic%2C%20and%20conversion%20optimization.</v>
      </c>
      <c r="B58" s="11" t="str">
        <f>IFERROR(__xludf.DUMMYFUNCTION("""COMPUTED_VALUE"""),"Best Marketing Advice Companies in Germany 2026 | Semrush")</f>
        <v>Best Marketing Advice Companies in Germany 2026 | Semrush</v>
      </c>
      <c r="C58" s="8" t="str">
        <f>IFERROR(__xludf.DUMMYFUNCTION("""COMPUTED_VALUE"""),"semrush.com")</f>
        <v>semrush.com</v>
      </c>
      <c r="D58" s="11" t="str">
        <f>IFERROR(__xludf.DUMMYFUNCTION("""COMPUTED_VALUE"""),"OTHER")</f>
        <v>OTHER</v>
      </c>
      <c r="E58" s="11" t="str">
        <f>IFERROR(__xludf.DUMMYFUNCTION("""COMPUTED_VALUE"""),"CORPORATE")</f>
        <v>CORPORATE</v>
      </c>
      <c r="F58" s="11" t="str">
        <f>IFERROR(__xludf.DUMMYFUNCTION("""COMPUTED_VALUE"""),"Other")</f>
        <v>Other</v>
      </c>
      <c r="G58" s="11" t="b">
        <f>IFERROR(__xludf.DUMMYFUNCTION("""COMPUTED_VALUE"""),FALSE)</f>
        <v>0</v>
      </c>
      <c r="H58" s="11" t="str">
        <f>IFERROR(__xludf.DUMMYFUNCTION("""COMPUTED_VALUE"""),"HECHT INS GEFECHT, Baseplus DIGITAL MEDIA GmbH, morefire, Mediaplus Performance, Mediacharge, KlickPiloten")</f>
        <v>HECHT INS GEFECHT, Baseplus DIGITAL MEDIA GmbH, morefire, Mediaplus Performance, Mediacharge, KlickPiloten</v>
      </c>
      <c r="I58" s="11">
        <f>IFERROR(__xludf.DUMMYFUNCTION("""COMPUTED_VALUE"""),2.0)</f>
        <v>2</v>
      </c>
      <c r="J58" s="11">
        <f>IFERROR(__xludf.DUMMYFUNCTION("""COMPUTED_VALUE"""),0.0)</f>
        <v>0</v>
      </c>
      <c r="K58" s="11">
        <f>IFERROR(__xludf.DUMMYFUNCTION("""COMPUTED_VALUE"""),1.0)</f>
        <v>1</v>
      </c>
    </row>
    <row r="59" ht="15.75" customHeight="1">
      <c r="A59" s="8" t="str">
        <f>IFERROR(__xludf.DUMMYFUNCTION("""COMPUTED_VALUE"""),"https://aio.com.ai/blog/13944-best-seo-companies-in-germany-ai-optimized")</f>
        <v>https://aio.com.ai/blog/13944-best-seo-companies-in-germany-ai-optimized</v>
      </c>
      <c r="B59" s="11"/>
      <c r="C59" s="8" t="str">
        <f>IFERROR(__xludf.DUMMYFUNCTION("""COMPUTED_VALUE"""),"aio.com.ai")</f>
        <v>aio.com.ai</v>
      </c>
      <c r="D59" s="11" t="str">
        <f>IFERROR(__xludf.DUMMYFUNCTION("""COMPUTED_VALUE"""),"OTHER")</f>
        <v>OTHER</v>
      </c>
      <c r="E59" s="11" t="str">
        <f>IFERROR(__xludf.DUMMYFUNCTION("""COMPUTED_VALUE"""),"CORPORATE")</f>
        <v>CORPORATE</v>
      </c>
      <c r="F59" s="11" t="str">
        <f>IFERROR(__xludf.DUMMYFUNCTION("""COMPUTED_VALUE"""),"Other")</f>
        <v>Other</v>
      </c>
      <c r="G59" s="11"/>
      <c r="H59" s="11" t="str">
        <f>IFERROR(__xludf.DUMMYFUNCTION("""COMPUTED_VALUE"""),"Unknown")</f>
        <v>Unknown</v>
      </c>
      <c r="I59" s="11">
        <f>IFERROR(__xludf.DUMMYFUNCTION("""COMPUTED_VALUE"""),2.0)</f>
        <v>2</v>
      </c>
      <c r="J59" s="11">
        <f>IFERROR(__xludf.DUMMYFUNCTION("""COMPUTED_VALUE"""),0.0)</f>
        <v>0</v>
      </c>
      <c r="K59" s="11">
        <f>IFERROR(__xludf.DUMMYFUNCTION("""COMPUTED_VALUE"""),0.0)</f>
        <v>0</v>
      </c>
    </row>
    <row r="60" ht="15.75" customHeight="1">
      <c r="A60" s="8" t="str">
        <f>IFERROR(__xludf.DUMMYFUNCTION("""COMPUTED_VALUE"""),"https://www.artefact.com/offers/cx-consumer-experience-digital/media-certifications/")</f>
        <v>https://www.artefact.com/offers/cx-consumer-experience-digital/media-certifications/</v>
      </c>
      <c r="B60" s="11" t="str">
        <f>IFERROR(__xludf.DUMMYFUNCTION("""COMPUTED_VALUE"""),"Media Certifications - MarTech Partners - Artefact")</f>
        <v>Media Certifications - MarTech Partners - Artefact</v>
      </c>
      <c r="C60" s="8" t="str">
        <f>IFERROR(__xludf.DUMMYFUNCTION("""COMPUTED_VALUE"""),"artefact.com")</f>
        <v>artefact.com</v>
      </c>
      <c r="D60" s="11" t="str">
        <f>IFERROR(__xludf.DUMMYFUNCTION("""COMPUTED_VALUE"""),"OTHER")</f>
        <v>OTHER</v>
      </c>
      <c r="E60" s="11" t="str">
        <f>IFERROR(__xludf.DUMMYFUNCTION("""COMPUTED_VALUE"""),"CORPORATE")</f>
        <v>CORPORATE</v>
      </c>
      <c r="F60" s="11" t="str">
        <f>IFERROR(__xludf.DUMMYFUNCTION("""COMPUTED_VALUE"""),"Other")</f>
        <v>Other</v>
      </c>
      <c r="G60" s="11" t="b">
        <f>IFERROR(__xludf.DUMMYFUNCTION("""COMPUTED_VALUE"""),FALSE)</f>
        <v>0</v>
      </c>
      <c r="H60" s="11" t="str">
        <f>IFERROR(__xludf.DUMMYFUNCTION("""COMPUTED_VALUE"""),"Artefact")</f>
        <v>Artefact</v>
      </c>
      <c r="I60" s="11">
        <f>IFERROR(__xludf.DUMMYFUNCTION("""COMPUTED_VALUE"""),2.0)</f>
        <v>2</v>
      </c>
      <c r="J60" s="11">
        <f>IFERROR(__xludf.DUMMYFUNCTION("""COMPUTED_VALUE"""),0.0)</f>
        <v>0</v>
      </c>
      <c r="K60" s="11">
        <f>IFERROR(__xludf.DUMMYFUNCTION("""COMPUTED_VALUE"""),0.5)</f>
        <v>0.5</v>
      </c>
    </row>
    <row r="61" ht="15.75" customHeight="1">
      <c r="A61" s="8" t="str">
        <f>IFERROR(__xludf.DUMMYFUNCTION("""COMPUTED_VALUE"""),"https://www.cassandra.app/prices")</f>
        <v>https://www.cassandra.app/prices</v>
      </c>
      <c r="B61" s="11"/>
      <c r="C61" s="11" t="str">
        <f>IFERROR(__xludf.DUMMYFUNCTION("""COMPUTED_VALUE"""),"cassandra.app")</f>
        <v>cassandra.app</v>
      </c>
      <c r="D61" s="11" t="str">
        <f>IFERROR(__xludf.DUMMYFUNCTION("""COMPUTED_VALUE"""),"OTHER")</f>
        <v>OTHER</v>
      </c>
      <c r="E61" s="11" t="str">
        <f>IFERROR(__xludf.DUMMYFUNCTION("""COMPUTED_VALUE"""),"CORPORATE")</f>
        <v>CORPORATE</v>
      </c>
      <c r="F61" s="11" t="str">
        <f>IFERROR(__xludf.DUMMYFUNCTION("""COMPUTED_VALUE"""),"Other")</f>
        <v>Other</v>
      </c>
      <c r="G61" s="11"/>
      <c r="H61" s="11" t="str">
        <f>IFERROR(__xludf.DUMMYFUNCTION("""COMPUTED_VALUE"""),"Unknown")</f>
        <v>Unknown</v>
      </c>
      <c r="I61" s="11">
        <f>IFERROR(__xludf.DUMMYFUNCTION("""COMPUTED_VALUE"""),2.0)</f>
        <v>2</v>
      </c>
      <c r="J61" s="11">
        <f>IFERROR(__xludf.DUMMYFUNCTION("""COMPUTED_VALUE"""),0.0)</f>
        <v>0</v>
      </c>
      <c r="K61" s="11">
        <f>IFERROR(__xludf.DUMMYFUNCTION("""COMPUTED_VALUE"""),0.0)</f>
        <v>0</v>
      </c>
    </row>
    <row r="62" ht="15.75" customHeight="1">
      <c r="A62" s="8" t="str">
        <f>IFERROR(__xludf.DUMMYFUNCTION("""COMPUTED_VALUE"""),"https://www.comparisonshoppingpartners.withgoogle.com/find_a_partner/")</f>
        <v>https://www.comparisonshoppingpartners.withgoogle.com/find_a_partner/</v>
      </c>
      <c r="B62" s="11"/>
      <c r="C62" s="8" t="str">
        <f>IFERROR(__xludf.DUMMYFUNCTION("""COMPUTED_VALUE"""),"withgoogle.com")</f>
        <v>withgoogle.com</v>
      </c>
      <c r="D62" s="11" t="str">
        <f>IFERROR(__xludf.DUMMYFUNCTION("""COMPUTED_VALUE"""),"OTHER")</f>
        <v>OTHER</v>
      </c>
      <c r="E62" s="11" t="str">
        <f>IFERROR(__xludf.DUMMYFUNCTION("""COMPUTED_VALUE"""),"CORPORATE")</f>
        <v>CORPORATE</v>
      </c>
      <c r="F62" s="11" t="str">
        <f>IFERROR(__xludf.DUMMYFUNCTION("""COMPUTED_VALUE"""),"Other")</f>
        <v>Other</v>
      </c>
      <c r="G62" s="11"/>
      <c r="H62" s="11" t="str">
        <f>IFERROR(__xludf.DUMMYFUNCTION("""COMPUTED_VALUE"""),"Unknown")</f>
        <v>Unknown</v>
      </c>
      <c r="I62" s="11">
        <f>IFERROR(__xludf.DUMMYFUNCTION("""COMPUTED_VALUE"""),2.0)</f>
        <v>2</v>
      </c>
      <c r="J62" s="11">
        <f>IFERROR(__xludf.DUMMYFUNCTION("""COMPUTED_VALUE"""),0.0)</f>
        <v>0</v>
      </c>
      <c r="K62" s="11">
        <f>IFERROR(__xludf.DUMMYFUNCTION("""COMPUTED_VALUE"""),0.0)</f>
        <v>0</v>
      </c>
    </row>
    <row r="63" ht="15.75" customHeight="1">
      <c r="A63" s="8" t="str">
        <f>IFERROR(__xludf.DUMMYFUNCTION("""COMPUTED_VALUE"""),"https://www.dall-int.com/family/peak-ace-ag/#:~:text=We%20deliver%20data%2Ddriven%2C%20full,agency%20headquartered%20in%20Berlin%2C%20Germany.")</f>
        <v>https://www.dall-int.com/family/peak-ace-ag/#:~:text=We%20deliver%20data%2Ddriven%2C%20full,agency%20headquartered%20in%20Berlin%2C%20Germany.</v>
      </c>
      <c r="B63" s="11" t="str">
        <f>IFERROR(__xludf.DUMMYFUNCTION("""COMPUTED_VALUE"""),"Peak Ace AG - Dall")</f>
        <v>Peak Ace AG - Dall</v>
      </c>
      <c r="C63" s="8" t="str">
        <f>IFERROR(__xludf.DUMMYFUNCTION("""COMPUTED_VALUE"""),"dall-int.com")</f>
        <v>dall-int.com</v>
      </c>
      <c r="D63" s="11" t="str">
        <f>IFERROR(__xludf.DUMMYFUNCTION("""COMPUTED_VALUE"""),"OTHER")</f>
        <v>OTHER</v>
      </c>
      <c r="E63" s="11" t="str">
        <f>IFERROR(__xludf.DUMMYFUNCTION("""COMPUTED_VALUE"""),"CORPORATE")</f>
        <v>CORPORATE</v>
      </c>
      <c r="F63" s="11" t="str">
        <f>IFERROR(__xludf.DUMMYFUNCTION("""COMPUTED_VALUE"""),"Other")</f>
        <v>Other</v>
      </c>
      <c r="G63" s="11" t="b">
        <f>IFERROR(__xludf.DUMMYFUNCTION("""COMPUTED_VALUE"""),FALSE)</f>
        <v>0</v>
      </c>
      <c r="H63" s="11" t="str">
        <f>IFERROR(__xludf.DUMMYFUNCTION("""COMPUTED_VALUE"""),"Peak Ace, Huge")</f>
        <v>Peak Ace, Huge</v>
      </c>
      <c r="I63" s="11">
        <f>IFERROR(__xludf.DUMMYFUNCTION("""COMPUTED_VALUE"""),2.0)</f>
        <v>2</v>
      </c>
      <c r="J63" s="11">
        <f>IFERROR(__xludf.DUMMYFUNCTION("""COMPUTED_VALUE"""),0.0)</f>
        <v>0</v>
      </c>
      <c r="K63" s="11">
        <f>IFERROR(__xludf.DUMMYFUNCTION("""COMPUTED_VALUE"""),1.0)</f>
        <v>1</v>
      </c>
    </row>
    <row r="64" ht="15.75" customHeight="1">
      <c r="A64" s="8" t="str">
        <f>IFERROR(__xludf.DUMMYFUNCTION("""COMPUTED_VALUE"""),"https://ecosystem.hubspot.com/marketplace/solutions/paid-advertising/germany")</f>
        <v>https://ecosystem.hubspot.com/marketplace/solutions/paid-advertising/germany</v>
      </c>
      <c r="B64" s="11"/>
      <c r="C64" s="8" t="str">
        <f>IFERROR(__xludf.DUMMYFUNCTION("""COMPUTED_VALUE"""),"hubspot.com")</f>
        <v>hubspot.com</v>
      </c>
      <c r="D64" s="11" t="str">
        <f>IFERROR(__xludf.DUMMYFUNCTION("""COMPUTED_VALUE"""),"OTHER")</f>
        <v>OTHER</v>
      </c>
      <c r="E64" s="11" t="str">
        <f>IFERROR(__xludf.DUMMYFUNCTION("""COMPUTED_VALUE"""),"CORPORATE")</f>
        <v>CORPORATE</v>
      </c>
      <c r="F64" s="11" t="str">
        <f>IFERROR(__xludf.DUMMYFUNCTION("""COMPUTED_VALUE"""),"Other")</f>
        <v>Other</v>
      </c>
      <c r="G64" s="11"/>
      <c r="H64" s="11" t="str">
        <f>IFERROR(__xludf.DUMMYFUNCTION("""COMPUTED_VALUE"""),"Unknown")</f>
        <v>Unknown</v>
      </c>
      <c r="I64" s="11">
        <f>IFERROR(__xludf.DUMMYFUNCTION("""COMPUTED_VALUE"""),2.0)</f>
        <v>2</v>
      </c>
      <c r="J64" s="11">
        <f>IFERROR(__xludf.DUMMYFUNCTION("""COMPUTED_VALUE"""),0.0)</f>
        <v>0</v>
      </c>
      <c r="K64" s="11">
        <f>IFERROR(__xludf.DUMMYFUNCTION("""COMPUTED_VALUE"""),0.0)</f>
        <v>0</v>
      </c>
    </row>
    <row r="65" ht="15.75" customHeight="1">
      <c r="A65" s="8" t="str">
        <f>IFERROR(__xludf.DUMMYFUNCTION("""COMPUTED_VALUE"""),"https://www.f6s.com/companies/advertising/germany/co")</f>
        <v>https://www.f6s.com/companies/advertising/germany/co</v>
      </c>
      <c r="B65" s="11" t="str">
        <f>IFERROR(__xludf.DUMMYFUNCTION("""COMPUTED_VALUE"""),"66 Top Advertising Companies in Germany · March 2026 | F6S")</f>
        <v>66 Top Advertising Companies in Germany · March 2026 | F6S</v>
      </c>
      <c r="C65" s="8" t="str">
        <f>IFERROR(__xludf.DUMMYFUNCTION("""COMPUTED_VALUE"""),"f6s.com")</f>
        <v>f6s.com</v>
      </c>
      <c r="D65" s="11" t="str">
        <f>IFERROR(__xludf.DUMMYFUNCTION("""COMPUTED_VALUE"""),"OTHER")</f>
        <v>OTHER</v>
      </c>
      <c r="E65" s="11" t="str">
        <f>IFERROR(__xludf.DUMMYFUNCTION("""COMPUTED_VALUE"""),"UGC")</f>
        <v>UGC</v>
      </c>
      <c r="F65" s="11" t="str">
        <f>IFERROR(__xludf.DUMMYFUNCTION("""COMPUTED_VALUE"""),"Other")</f>
        <v>Other</v>
      </c>
      <c r="G65" s="11" t="b">
        <f>IFERROR(__xludf.DUMMYFUNCTION("""COMPUTED_VALUE"""),FALSE)</f>
        <v>0</v>
      </c>
      <c r="H65" s="11"/>
      <c r="I65" s="11">
        <f>IFERROR(__xludf.DUMMYFUNCTION("""COMPUTED_VALUE"""),2.0)</f>
        <v>2</v>
      </c>
      <c r="J65" s="11">
        <f>IFERROR(__xludf.DUMMYFUNCTION("""COMPUTED_VALUE"""),0.0)</f>
        <v>0</v>
      </c>
      <c r="K65" s="11">
        <f>IFERROR(__xludf.DUMMYFUNCTION("""COMPUTED_VALUE"""),0.0)</f>
        <v>0</v>
      </c>
    </row>
    <row r="66" ht="15.75" customHeight="1">
      <c r="A66" s="8" t="str">
        <f>IFERROR(__xludf.DUMMYFUNCTION("""COMPUTED_VALUE"""),"https://www.f6s.com/companies/market-research/germany/co")</f>
        <v>https://www.f6s.com/companies/market-research/germany/co</v>
      </c>
      <c r="B66" s="11"/>
      <c r="C66" s="8" t="str">
        <f>IFERROR(__xludf.DUMMYFUNCTION("""COMPUTED_VALUE"""),"f6s.com")</f>
        <v>f6s.com</v>
      </c>
      <c r="D66" s="11" t="str">
        <f>IFERROR(__xludf.DUMMYFUNCTION("""COMPUTED_VALUE"""),"OTHER")</f>
        <v>OTHER</v>
      </c>
      <c r="E66" s="11" t="str">
        <f>IFERROR(__xludf.DUMMYFUNCTION("""COMPUTED_VALUE"""),"UGC")</f>
        <v>UGC</v>
      </c>
      <c r="F66" s="11" t="str">
        <f>IFERROR(__xludf.DUMMYFUNCTION("""COMPUTED_VALUE"""),"Other")</f>
        <v>Other</v>
      </c>
      <c r="G66" s="11"/>
      <c r="H66" s="11" t="str">
        <f>IFERROR(__xludf.DUMMYFUNCTION("""COMPUTED_VALUE"""),"Unknown")</f>
        <v>Unknown</v>
      </c>
      <c r="I66" s="11">
        <f>IFERROR(__xludf.DUMMYFUNCTION("""COMPUTED_VALUE"""),2.0)</f>
        <v>2</v>
      </c>
      <c r="J66" s="11">
        <f>IFERROR(__xludf.DUMMYFUNCTION("""COMPUTED_VALUE"""),0.0)</f>
        <v>0</v>
      </c>
      <c r="K66" s="11">
        <f>IFERROR(__xludf.DUMMYFUNCTION("""COMPUTED_VALUE"""),2.0)</f>
        <v>2</v>
      </c>
    </row>
    <row r="67" ht="15.75" customHeight="1">
      <c r="A67" s="8" t="str">
        <f>IFERROR(__xludf.DUMMYFUNCTION("""COMPUTED_VALUE"""),"https://www.ft.com/content/ac672f97-a603-4c56-afa3-4a5273d45674")</f>
        <v>https://www.ft.com/content/ac672f97-a603-4c56-afa3-4a5273d45674</v>
      </c>
      <c r="B67" s="11" t="str">
        <f>IFERROR(__xludf.DUMMYFUNCTION("""COMPUTED_VALUE"""),"Subscribe to read")</f>
        <v>Subscribe to read</v>
      </c>
      <c r="C67" s="8" t="str">
        <f>IFERROR(__xludf.DUMMYFUNCTION("""COMPUTED_VALUE"""),"ft.com")</f>
        <v>ft.com</v>
      </c>
      <c r="D67" s="11" t="str">
        <f>IFERROR(__xludf.DUMMYFUNCTION("""COMPUTED_VALUE"""),"OTHER")</f>
        <v>OTHER</v>
      </c>
      <c r="E67" s="11" t="str">
        <f>IFERROR(__xludf.DUMMYFUNCTION("""COMPUTED_VALUE"""),"EDITORIAL")</f>
        <v>EDITORIAL</v>
      </c>
      <c r="F67" s="11" t="str">
        <f>IFERROR(__xludf.DUMMYFUNCTION("""COMPUTED_VALUE"""),"Other")</f>
        <v>Other</v>
      </c>
      <c r="G67" s="11" t="b">
        <f>IFERROR(__xludf.DUMMYFUNCTION("""COMPUTED_VALUE"""),FALSE)</f>
        <v>0</v>
      </c>
      <c r="H67" s="11"/>
      <c r="I67" s="11">
        <f>IFERROR(__xludf.DUMMYFUNCTION("""COMPUTED_VALUE"""),2.0)</f>
        <v>2</v>
      </c>
      <c r="J67" s="11">
        <f>IFERROR(__xludf.DUMMYFUNCTION("""COMPUTED_VALUE"""),0.0)</f>
        <v>0</v>
      </c>
      <c r="K67" s="11">
        <f>IFERROR(__xludf.DUMMYFUNCTION("""COMPUTED_VALUE"""),2.0)</f>
        <v>2</v>
      </c>
    </row>
    <row r="68" ht="15.75" customHeight="1">
      <c r="A68" s="8" t="str">
        <f>IFERROR(__xludf.DUMMYFUNCTION("""COMPUTED_VALUE"""),"https://www.ibusiness.de/performance-ranking/performance_2025.html?sub=1")</f>
        <v>https://www.ibusiness.de/performance-ranking/performance_2025.html?sub=1</v>
      </c>
      <c r="B68" s="11" t="str">
        <f>IFERROR(__xludf.DUMMYFUNCTION("""COMPUTED_VALUE"""),"Das Ranking der gr��ten deutschen Performance-Marketing-Agenturen")</f>
        <v>Das Ranking der gr��ten deutschen Performance-Marketing-Agenturen</v>
      </c>
      <c r="C68" s="8" t="str">
        <f>IFERROR(__xludf.DUMMYFUNCTION("""COMPUTED_VALUE"""),"ibusiness.de")</f>
        <v>ibusiness.de</v>
      </c>
      <c r="D68" s="11" t="str">
        <f>IFERROR(__xludf.DUMMYFUNCTION("""COMPUTED_VALUE"""),"OTHER")</f>
        <v>OTHER</v>
      </c>
      <c r="E68" s="11" t="str">
        <f>IFERROR(__xludf.DUMMYFUNCTION("""COMPUTED_VALUE"""),"EDITORIAL")</f>
        <v>EDITORIAL</v>
      </c>
      <c r="F68" s="11" t="str">
        <f>IFERROR(__xludf.DUMMYFUNCTION("""COMPUTED_VALUE"""),"Other")</f>
        <v>Other</v>
      </c>
      <c r="G68" s="11" t="b">
        <f>IFERROR(__xludf.DUMMYFUNCTION("""COMPUTED_VALUE"""),FALSE)</f>
        <v>0</v>
      </c>
      <c r="H68" s="11"/>
      <c r="I68" s="11">
        <f>IFERROR(__xludf.DUMMYFUNCTION("""COMPUTED_VALUE"""),2.0)</f>
        <v>2</v>
      </c>
      <c r="J68" s="11">
        <f>IFERROR(__xludf.DUMMYFUNCTION("""COMPUTED_VALUE"""),0.0)</f>
        <v>0</v>
      </c>
      <c r="K68" s="11">
        <f>IFERROR(__xludf.DUMMYFUNCTION("""COMPUTED_VALUE"""),0.0)</f>
        <v>0</v>
      </c>
    </row>
    <row r="69" ht="15.75" customHeight="1">
      <c r="A69" s="8" t="str">
        <f>IFERROR(__xludf.DUMMYFUNCTION("""COMPUTED_VALUE"""),"https://marketingplatform.google.com/about/partners/find-a-partner")</f>
        <v>https://marketingplatform.google.com/about/partners/find-a-partner</v>
      </c>
      <c r="B69" s="11"/>
      <c r="C69" s="8" t="str">
        <f>IFERROR(__xludf.DUMMYFUNCTION("""COMPUTED_VALUE"""),"google.com")</f>
        <v>google.com</v>
      </c>
      <c r="D69" s="11" t="str">
        <f>IFERROR(__xludf.DUMMYFUNCTION("""COMPUTED_VALUE"""),"OTHER")</f>
        <v>OTHER</v>
      </c>
      <c r="E69" s="11" t="str">
        <f>IFERROR(__xludf.DUMMYFUNCTION("""COMPUTED_VALUE"""),"OTHER")</f>
        <v>OTHER</v>
      </c>
      <c r="F69" s="11" t="str">
        <f>IFERROR(__xludf.DUMMYFUNCTION("""COMPUTED_VALUE"""),"Other")</f>
        <v>Other</v>
      </c>
      <c r="G69" s="11"/>
      <c r="H69" s="11" t="str">
        <f>IFERROR(__xludf.DUMMYFUNCTION("""COMPUTED_VALUE"""),"Unknown")</f>
        <v>Unknown</v>
      </c>
      <c r="I69" s="11">
        <f>IFERROR(__xludf.DUMMYFUNCTION("""COMPUTED_VALUE"""),2.0)</f>
        <v>2</v>
      </c>
      <c r="J69" s="11">
        <f>IFERROR(__xludf.DUMMYFUNCTION("""COMPUTED_VALUE"""),0.0)</f>
        <v>0</v>
      </c>
      <c r="K69" s="11">
        <f>IFERROR(__xludf.DUMMYFUNCTION("""COMPUTED_VALUE"""),0.0)</f>
        <v>0</v>
      </c>
    </row>
    <row r="70" ht="15.75" customHeight="1">
      <c r="A70" s="8" t="str">
        <f>IFERROR(__xludf.DUMMYFUNCTION("""COMPUTED_VALUE"""),"https://mystrika.com/directory/agencies/best/paid-advertising-ppc-in-country-germany")</f>
        <v>https://mystrika.com/directory/agencies/best/paid-advertising-ppc-in-country-germany</v>
      </c>
      <c r="B70" s="11" t="str">
        <f>IFERROR(__xludf.DUMMYFUNCTION("""COMPUTED_VALUE"""),"Best Paid Advertising Ppc Agencies in Germany - Directory - Mystrika | Stop Cold Emailing. Start Conversations")</f>
        <v>Best Paid Advertising Ppc Agencies in Germany - Directory - Mystrika | Stop Cold Emailing. Start Conversations</v>
      </c>
      <c r="C70" s="8" t="str">
        <f>IFERROR(__xludf.DUMMYFUNCTION("""COMPUTED_VALUE"""),"mystrika.com")</f>
        <v>mystrika.com</v>
      </c>
      <c r="D70" s="11" t="str">
        <f>IFERROR(__xludf.DUMMYFUNCTION("""COMPUTED_VALUE"""),"OTHER")</f>
        <v>OTHER</v>
      </c>
      <c r="E70" s="11" t="str">
        <f>IFERROR(__xludf.DUMMYFUNCTION("""COMPUTED_VALUE"""),"OTHER")</f>
        <v>OTHER</v>
      </c>
      <c r="F70" s="11" t="str">
        <f>IFERROR(__xludf.DUMMYFUNCTION("""COMPUTED_VALUE"""),"Other")</f>
        <v>Other</v>
      </c>
      <c r="G70" s="11" t="b">
        <f>IFERROR(__xludf.DUMMYFUNCTION("""COMPUTED_VALUE"""),FALSE)</f>
        <v>0</v>
      </c>
      <c r="H70" s="11" t="str">
        <f>IFERROR(__xludf.DUMMYFUNCTION("""COMPUTED_VALUE"""),"Baseplus DIGITAL MEDIA GmbH, HECHT INS GEFECHT, KlickPiloten, Mediacharge, Mediaplus Performance, Mediaplus Group, morefire")</f>
        <v>Baseplus DIGITAL MEDIA GmbH, HECHT INS GEFECHT, KlickPiloten, Mediacharge, Mediaplus Performance, Mediaplus Group, morefire</v>
      </c>
      <c r="I70" s="11">
        <f>IFERROR(__xludf.DUMMYFUNCTION("""COMPUTED_VALUE"""),2.0)</f>
        <v>2</v>
      </c>
      <c r="J70" s="11">
        <f>IFERROR(__xludf.DUMMYFUNCTION("""COMPUTED_VALUE"""),0.0)</f>
        <v>0</v>
      </c>
      <c r="K70" s="11">
        <f>IFERROR(__xludf.DUMMYFUNCTION("""COMPUTED_VALUE"""),1.5)</f>
        <v>1.5</v>
      </c>
    </row>
    <row r="71" ht="15.75" customHeight="1">
      <c r="A71" s="8" t="str">
        <f>IFERROR(__xludf.DUMMYFUNCTION("""COMPUTED_VALUE"""),"https://omnicommedia.com/germany/agency/trkkn/")</f>
        <v>https://omnicommedia.com/germany/agency/trkkn/</v>
      </c>
      <c r="B71" s="11"/>
      <c r="C71" s="8" t="str">
        <f>IFERROR(__xludf.DUMMYFUNCTION("""COMPUTED_VALUE"""),"omnicommedia.com")</f>
        <v>omnicommedia.com</v>
      </c>
      <c r="D71" s="11" t="str">
        <f>IFERROR(__xludf.DUMMYFUNCTION("""COMPUTED_VALUE"""),"OTHER")</f>
        <v>OTHER</v>
      </c>
      <c r="E71" s="11" t="str">
        <f>IFERROR(__xludf.DUMMYFUNCTION("""COMPUTED_VALUE"""),"CORPORATE")</f>
        <v>CORPORATE</v>
      </c>
      <c r="F71" s="11" t="str">
        <f>IFERROR(__xludf.DUMMYFUNCTION("""COMPUTED_VALUE"""),"Other")</f>
        <v>Other</v>
      </c>
      <c r="G71" s="11"/>
      <c r="H71" s="11" t="str">
        <f>IFERROR(__xludf.DUMMYFUNCTION("""COMPUTED_VALUE"""),"Unknown")</f>
        <v>Unknown</v>
      </c>
      <c r="I71" s="11">
        <f>IFERROR(__xludf.DUMMYFUNCTION("""COMPUTED_VALUE"""),2.0)</f>
        <v>2</v>
      </c>
      <c r="J71" s="11">
        <f>IFERROR(__xludf.DUMMYFUNCTION("""COMPUTED_VALUE"""),0.0)</f>
        <v>0</v>
      </c>
      <c r="K71" s="11">
        <f>IFERROR(__xludf.DUMMYFUNCTION("""COMPUTED_VALUE"""),1.0)</f>
        <v>1</v>
      </c>
    </row>
    <row r="72" ht="15.75" customHeight="1">
      <c r="A72" s="8" t="str">
        <f>IFERROR(__xludf.DUMMYFUNCTION("""COMPUTED_VALUE"""),"https://oneday.agency/advertise-in-germany#:~:text=Shelby,German%20market%20starts%20with%20us.%E2%80%9D")</f>
        <v>https://oneday.agency/advertise-in-germany#:~:text=Shelby,German%20market%20starts%20with%20us.%E2%80%9D</v>
      </c>
      <c r="B72" s="11" t="str">
        <f>IFERROR(__xludf.DUMMYFUNCTION("""COMPUTED_VALUE"""),"Advertise in Germany &gt; Billboard advertising in Germany - One Day")</f>
        <v>Advertise in Germany &gt; Billboard advertising in Germany - One Day</v>
      </c>
      <c r="C72" s="11" t="str">
        <f>IFERROR(__xludf.DUMMYFUNCTION("""COMPUTED_VALUE"""),"oneday.agency")</f>
        <v>oneday.agency</v>
      </c>
      <c r="D72" s="11" t="str">
        <f>IFERROR(__xludf.DUMMYFUNCTION("""COMPUTED_VALUE"""),"OTHER")</f>
        <v>OTHER</v>
      </c>
      <c r="E72" s="11" t="str">
        <f>IFERROR(__xludf.DUMMYFUNCTION("""COMPUTED_VALUE"""),"CORPORATE")</f>
        <v>CORPORATE</v>
      </c>
      <c r="F72" s="11" t="str">
        <f>IFERROR(__xludf.DUMMYFUNCTION("""COMPUTED_VALUE"""),"Other")</f>
        <v>Other</v>
      </c>
      <c r="G72" s="11" t="b">
        <f>IFERROR(__xludf.DUMMYFUNCTION("""COMPUTED_VALUE"""),FALSE)</f>
        <v>0</v>
      </c>
      <c r="H72" s="11" t="str">
        <f>IFERROR(__xludf.DUMMYFUNCTION("""COMPUTED_VALUE"""),"Nielsen")</f>
        <v>Nielsen</v>
      </c>
      <c r="I72" s="11">
        <f>IFERROR(__xludf.DUMMYFUNCTION("""COMPUTED_VALUE"""),2.0)</f>
        <v>2</v>
      </c>
      <c r="J72" s="11">
        <f>IFERROR(__xludf.DUMMYFUNCTION("""COMPUTED_VALUE"""),0.0)</f>
        <v>0</v>
      </c>
      <c r="K72" s="11">
        <f>IFERROR(__xludf.DUMMYFUNCTION("""COMPUTED_VALUE"""),1.0)</f>
        <v>1</v>
      </c>
    </row>
    <row r="73" ht="15.75" customHeight="1">
      <c r="A73" s="8" t="str">
        <f>IFERROR(__xludf.DUMMYFUNCTION("""COMPUTED_VALUE"""),"https://www.pwc.de/en/data-and-ai.html#:~:text=Data%20%26%20AI%20Consulting%20%7C%20PwC,Leader%20in%20AI%20Consulting%20Services")</f>
        <v>https://www.pwc.de/en/data-and-ai.html#:~:text=Data%20%26%20AI%20Consulting%20%7C%20PwC,Leader%20in%20AI%20Consulting%20Services</v>
      </c>
      <c r="B73" s="11" t="str">
        <f>IFERROR(__xludf.DUMMYFUNCTION("""COMPUTED_VALUE"""),"Data &amp;amp; AI Consulting | PwC")</f>
        <v>Data &amp;amp; AI Consulting | PwC</v>
      </c>
      <c r="C73" s="8" t="str">
        <f>IFERROR(__xludf.DUMMYFUNCTION("""COMPUTED_VALUE"""),"pwc.de")</f>
        <v>pwc.de</v>
      </c>
      <c r="D73" s="11" t="str">
        <f>IFERROR(__xludf.DUMMYFUNCTION("""COMPUTED_VALUE"""),"OTHER")</f>
        <v>OTHER</v>
      </c>
      <c r="E73" s="11" t="str">
        <f>IFERROR(__xludf.DUMMYFUNCTION("""COMPUTED_VALUE"""),"CORPORATE")</f>
        <v>CORPORATE</v>
      </c>
      <c r="F73" s="11" t="str">
        <f>IFERROR(__xludf.DUMMYFUNCTION("""COMPUTED_VALUE"""),"Other")</f>
        <v>Other</v>
      </c>
      <c r="G73" s="11" t="b">
        <f>IFERROR(__xludf.DUMMYFUNCTION("""COMPUTED_VALUE"""),FALSE)</f>
        <v>0</v>
      </c>
      <c r="H73" s="11" t="str">
        <f>IFERROR(__xludf.DUMMYFUNCTION("""COMPUTED_VALUE"""),"PwC, Pilot")</f>
        <v>PwC, Pilot</v>
      </c>
      <c r="I73" s="11">
        <f>IFERROR(__xludf.DUMMYFUNCTION("""COMPUTED_VALUE"""),2.0)</f>
        <v>2</v>
      </c>
      <c r="J73" s="11">
        <f>IFERROR(__xludf.DUMMYFUNCTION("""COMPUTED_VALUE"""),0.0)</f>
        <v>0</v>
      </c>
      <c r="K73" s="11">
        <f>IFERROR(__xludf.DUMMYFUNCTION("""COMPUTED_VALUE"""),1.0)</f>
        <v>1</v>
      </c>
    </row>
    <row r="74" ht="15.75" customHeight="1">
      <c r="A74" s="8" t="str">
        <f>IFERROR(__xludf.DUMMYFUNCTION("""COMPUTED_VALUE"""),"https://www.suchmeisterei.de/daten-ki-agentur-berlin/ai-readiness/")</f>
        <v>https://www.suchmeisterei.de/daten-ki-agentur-berlin/ai-readiness/</v>
      </c>
      <c r="B74" s="11" t="str">
        <f>IFERROR(__xludf.DUMMYFUNCTION("""COMPUTED_VALUE"""),"AI Readiness im Marketing | SUCHMEISTEREI")</f>
        <v>AI Readiness im Marketing | SUCHMEISTEREI</v>
      </c>
      <c r="C74" s="8" t="str">
        <f>IFERROR(__xludf.DUMMYFUNCTION("""COMPUTED_VALUE"""),"suchmeisterei.de")</f>
        <v>suchmeisterei.de</v>
      </c>
      <c r="D74" s="11" t="str">
        <f>IFERROR(__xludf.DUMMYFUNCTION("""COMPUTED_VALUE"""),"OTHER")</f>
        <v>OTHER</v>
      </c>
      <c r="E74" s="11" t="str">
        <f>IFERROR(__xludf.DUMMYFUNCTION("""COMPUTED_VALUE"""),"CORPORATE")</f>
        <v>CORPORATE</v>
      </c>
      <c r="F74" s="11" t="str">
        <f>IFERROR(__xludf.DUMMYFUNCTION("""COMPUTED_VALUE"""),"Other")</f>
        <v>Other</v>
      </c>
      <c r="G74" s="11" t="b">
        <f>IFERROR(__xludf.DUMMYFUNCTION("""COMPUTED_VALUE"""),FALSE)</f>
        <v>0</v>
      </c>
      <c r="H74" s="11" t="str">
        <f>IFERROR(__xludf.DUMMYFUNCTION("""COMPUTED_VALUE"""),"Haus, Scholz &amp; Friends")</f>
        <v>Haus, Scholz &amp; Friends</v>
      </c>
      <c r="I74" s="11">
        <f>IFERROR(__xludf.DUMMYFUNCTION("""COMPUTED_VALUE"""),2.0)</f>
        <v>2</v>
      </c>
      <c r="J74" s="11">
        <f>IFERROR(__xludf.DUMMYFUNCTION("""COMPUTED_VALUE"""),0.0)</f>
        <v>0</v>
      </c>
      <c r="K74" s="11">
        <f>IFERROR(__xludf.DUMMYFUNCTION("""COMPUTED_VALUE"""),1.0)</f>
        <v>1</v>
      </c>
    </row>
    <row r="75" ht="15.75" customHeight="1">
      <c r="A75" s="8" t="str">
        <f>IFERROR(__xludf.DUMMYFUNCTION("""COMPUTED_VALUE"""),"https://themanifest.com/de/big-data/companies#:~:text=e%2Ddynamics%20GmbH")</f>
        <v>https://themanifest.com/de/big-data/companies#:~:text=e%2Ddynamics%20GmbH</v>
      </c>
      <c r="B75" s="11" t="str">
        <f>IFERROR(__xludf.DUMMYFUNCTION("""COMPUTED_VALUE"""),"The Best BI and Big Data Companies in Germany - Jul 2026 | The Manifest")</f>
        <v>The Best BI and Big Data Companies in Germany - Jul 2026 | The Manifest</v>
      </c>
      <c r="C75" s="8" t="str">
        <f>IFERROR(__xludf.DUMMYFUNCTION("""COMPUTED_VALUE"""),"themanifest.com")</f>
        <v>themanifest.com</v>
      </c>
      <c r="D75" s="11" t="str">
        <f>IFERROR(__xludf.DUMMYFUNCTION("""COMPUTED_VALUE"""),"OTHER")</f>
        <v>OTHER</v>
      </c>
      <c r="E75" s="11" t="str">
        <f>IFERROR(__xludf.DUMMYFUNCTION("""COMPUTED_VALUE"""),"OTHER")</f>
        <v>OTHER</v>
      </c>
      <c r="F75" s="11" t="str">
        <f>IFERROR(__xludf.DUMMYFUNCTION("""COMPUTED_VALUE"""),"Other")</f>
        <v>Other</v>
      </c>
      <c r="G75" s="11"/>
      <c r="H75" s="11" t="str">
        <f>IFERROR(__xludf.DUMMYFUNCTION("""COMPUTED_VALUE"""),"Unknown")</f>
        <v>Unknown</v>
      </c>
      <c r="I75" s="11">
        <f>IFERROR(__xludf.DUMMYFUNCTION("""COMPUTED_VALUE"""),2.0)</f>
        <v>2</v>
      </c>
      <c r="J75" s="11">
        <f>IFERROR(__xludf.DUMMYFUNCTION("""COMPUTED_VALUE"""),0.0)</f>
        <v>0</v>
      </c>
      <c r="K75" s="11">
        <f>IFERROR(__xludf.DUMMYFUNCTION("""COMPUTED_VALUE"""),1.0)</f>
        <v>1</v>
      </c>
    </row>
    <row r="76" ht="15.75" customHeight="1">
      <c r="A76" s="8" t="str">
        <f>IFERROR(__xludf.DUMMYFUNCTION("""COMPUTED_VALUE"""),"https://themanifest.com/de/media-buying/agencies")</f>
        <v>https://themanifest.com/de/media-buying/agencies</v>
      </c>
      <c r="B76" s="11" t="str">
        <f>IFERROR(__xludf.DUMMYFUNCTION("""COMPUTED_VALUE"""),"The Best Media Planning and Buying Companies in Germany - Jun 2026 \| The Manifest")</f>
        <v>The Best Media Planning and Buying Companies in Germany - Jun 2026 \| The Manifest</v>
      </c>
      <c r="C76" s="8" t="str">
        <f>IFERROR(__xludf.DUMMYFUNCTION("""COMPUTED_VALUE"""),"themanifest.com")</f>
        <v>themanifest.com</v>
      </c>
      <c r="D76" s="11" t="str">
        <f>IFERROR(__xludf.DUMMYFUNCTION("""COMPUTED_VALUE"""),"OTHER")</f>
        <v>OTHER</v>
      </c>
      <c r="E76" s="11" t="str">
        <f>IFERROR(__xludf.DUMMYFUNCTION("""COMPUTED_VALUE"""),"REFERENCE")</f>
        <v>REFERENCE</v>
      </c>
      <c r="F76" s="11" t="str">
        <f>IFERROR(__xludf.DUMMYFUNCTION("""COMPUTED_VALUE"""),"Other")</f>
        <v>Other</v>
      </c>
      <c r="G76" s="11" t="b">
        <f>IFERROR(__xludf.DUMMYFUNCTION("""COMPUTED_VALUE"""),FALSE)</f>
        <v>0</v>
      </c>
      <c r="H76" s="11" t="str">
        <f>IFERROR(__xludf.DUMMYFUNCTION("""COMPUTED_VALUE"""),"Phiture, REPLUG, GroupM")</f>
        <v>Phiture, REPLUG, GroupM</v>
      </c>
      <c r="I76" s="11">
        <f>IFERROR(__xludf.DUMMYFUNCTION("""COMPUTED_VALUE"""),2.0)</f>
        <v>2</v>
      </c>
      <c r="J76" s="11">
        <f>IFERROR(__xludf.DUMMYFUNCTION("""COMPUTED_VALUE"""),0.0)</f>
        <v>0</v>
      </c>
      <c r="K76" s="11">
        <f>IFERROR(__xludf.DUMMYFUNCTION("""COMPUTED_VALUE"""),1.0)</f>
        <v>1</v>
      </c>
    </row>
    <row r="77" ht="15.75" customHeight="1">
      <c r="A77" s="8" t="str">
        <f>IFERROR(__xludf.DUMMYFUNCTION("""COMPUTED_VALUE"""),"https://adpoint.de/google-ads-agentur/#:~:text=Strategieberatung-,Kontakt,Google%20Ads%20Premier%20Partner%20Agentur")</f>
        <v>https://adpoint.de/google-ads-agentur/#:~:text=Strategieberatung-,Kontakt,Google%20Ads%20Premier%20Partner%20Agentur</v>
      </c>
      <c r="B77" s="11" t="str">
        <f>IFERROR(__xludf.DUMMYFUNCTION("""COMPUTED_VALUE"""),"Google Ads Agentur 2026 ✅ Google Premier Partner | AdPoint GmbH")</f>
        <v>Google Ads Agentur 2026 ✅ Google Premier Partner | AdPoint GmbH</v>
      </c>
      <c r="C77" s="8" t="str">
        <f>IFERROR(__xludf.DUMMYFUNCTION("""COMPUTED_VALUE"""),"adpoint.de")</f>
        <v>adpoint.de</v>
      </c>
      <c r="D77" s="11" t="str">
        <f>IFERROR(__xludf.DUMMYFUNCTION("""COMPUTED_VALUE"""),"OTHER")</f>
        <v>OTHER</v>
      </c>
      <c r="E77" s="11" t="str">
        <f>IFERROR(__xludf.DUMMYFUNCTION("""COMPUTED_VALUE"""),"CORPORATE")</f>
        <v>CORPORATE</v>
      </c>
      <c r="F77" s="11" t="str">
        <f>IFERROR(__xludf.DUMMYFUNCTION("""COMPUTED_VALUE"""),"Other")</f>
        <v>Other</v>
      </c>
      <c r="G77" s="11" t="b">
        <f>IFERROR(__xludf.DUMMYFUNCTION("""COMPUTED_VALUE"""),FALSE)</f>
        <v>0</v>
      </c>
      <c r="H77" s="11"/>
      <c r="I77" s="11">
        <f>IFERROR(__xludf.DUMMYFUNCTION("""COMPUTED_VALUE"""),1.0)</f>
        <v>1</v>
      </c>
      <c r="J77" s="11">
        <f>IFERROR(__xludf.DUMMYFUNCTION("""COMPUTED_VALUE"""),0.0)</f>
        <v>0</v>
      </c>
      <c r="K77" s="11">
        <f>IFERROR(__xludf.DUMMYFUNCTION("""COMPUTED_VALUE"""),1.0)</f>
        <v>1</v>
      </c>
    </row>
    <row r="78" ht="15.75" customHeight="1">
      <c r="A78" s="8" t="str">
        <f>IFERROR(__xludf.DUMMYFUNCTION("""COMPUTED_VALUE"""),"https://ads.google.com/intl/us-EN/home/partners/work-with-a-partner/")</f>
        <v>https://ads.google.com/intl/us-EN/home/partners/work-with-a-partner/</v>
      </c>
      <c r="B78" s="11"/>
      <c r="C78" s="8" t="str">
        <f>IFERROR(__xludf.DUMMYFUNCTION("""COMPUTED_VALUE"""),"google.com")</f>
        <v>google.com</v>
      </c>
      <c r="D78" s="11" t="str">
        <f>IFERROR(__xludf.DUMMYFUNCTION("""COMPUTED_VALUE"""),"OTHER")</f>
        <v>OTHER</v>
      </c>
      <c r="E78" s="11" t="str">
        <f>IFERROR(__xludf.DUMMYFUNCTION("""COMPUTED_VALUE"""),"OTHER")</f>
        <v>OTHER</v>
      </c>
      <c r="F78" s="11" t="str">
        <f>IFERROR(__xludf.DUMMYFUNCTION("""COMPUTED_VALUE"""),"Other")</f>
        <v>Other</v>
      </c>
      <c r="G78" s="11"/>
      <c r="H78" s="11" t="str">
        <f>IFERROR(__xludf.DUMMYFUNCTION("""COMPUTED_VALUE"""),"Unknown")</f>
        <v>Unknown</v>
      </c>
      <c r="I78" s="11">
        <f>IFERROR(__xludf.DUMMYFUNCTION("""COMPUTED_VALUE"""),1.0)</f>
        <v>1</v>
      </c>
      <c r="J78" s="11">
        <f>IFERROR(__xludf.DUMMYFUNCTION("""COMPUTED_VALUE"""),0.0)</f>
        <v>0</v>
      </c>
      <c r="K78" s="11">
        <f>IFERROR(__xludf.DUMMYFUNCTION("""COMPUTED_VALUE"""),0.0)</f>
        <v>0</v>
      </c>
    </row>
    <row r="79" ht="15.75" customHeight="1">
      <c r="A79" s="8" t="str">
        <f>IFERROR(__xludf.DUMMYFUNCTION("""COMPUTED_VALUE"""),"https://aeo-copilot.com/partners/agencies/germany/hamburg")</f>
        <v>https://aeo-copilot.com/partners/agencies/germany/hamburg</v>
      </c>
      <c r="B79" s="11" t="str">
        <f>IFERROR(__xludf.DUMMYFUNCTION("""COMPUTED_VALUE"""),"Best AEO Agencies in Hamburg, Germany — AI Visibility Experts | AEO Copilot")</f>
        <v>Best AEO Agencies in Hamburg, Germany — AI Visibility Experts | AEO Copilot</v>
      </c>
      <c r="C79" s="8" t="str">
        <f>IFERROR(__xludf.DUMMYFUNCTION("""COMPUTED_VALUE"""),"aeo-copilot.com")</f>
        <v>aeo-copilot.com</v>
      </c>
      <c r="D79" s="11" t="str">
        <f>IFERROR(__xludf.DUMMYFUNCTION("""COMPUTED_VALUE"""),"OTHER")</f>
        <v>OTHER</v>
      </c>
      <c r="E79" s="11" t="str">
        <f>IFERROR(__xludf.DUMMYFUNCTION("""COMPUTED_VALUE"""),"CORPORATE")</f>
        <v>CORPORATE</v>
      </c>
      <c r="F79" s="11" t="str">
        <f>IFERROR(__xludf.DUMMYFUNCTION("""COMPUTED_VALUE"""),"Other")</f>
        <v>Other</v>
      </c>
      <c r="G79" s="11" t="b">
        <f>IFERROR(__xludf.DUMMYFUNCTION("""COMPUTED_VALUE"""),FALSE)</f>
        <v>0</v>
      </c>
      <c r="H79" s="11"/>
      <c r="I79" s="11">
        <f>IFERROR(__xludf.DUMMYFUNCTION("""COMPUTED_VALUE"""),1.0)</f>
        <v>1</v>
      </c>
      <c r="J79" s="11">
        <f>IFERROR(__xludf.DUMMYFUNCTION("""COMPUTED_VALUE"""),0.0)</f>
        <v>0</v>
      </c>
      <c r="K79" s="11">
        <f>IFERROR(__xludf.DUMMYFUNCTION("""COMPUTED_VALUE"""),1.0)</f>
        <v>1</v>
      </c>
    </row>
    <row r="80" ht="15.75" customHeight="1">
      <c r="A80" s="8" t="str">
        <f>IFERROR(__xludf.DUMMYFUNCTION("""COMPUTED_VALUE"""),"https://agencies.semrush.com/list/ai-optimization/wuppertal/")</f>
        <v>https://agencies.semrush.com/list/ai-optimization/wuppertal/</v>
      </c>
      <c r="B80" s="11" t="str">
        <f>IFERROR(__xludf.DUMMYFUNCTION("""COMPUTED_VALUE"""),"Best AI Search Optimization Agencies in Wuppertal 2026 | Semrush")</f>
        <v>Best AI Search Optimization Agencies in Wuppertal 2026 | Semrush</v>
      </c>
      <c r="C80" s="8" t="str">
        <f>IFERROR(__xludf.DUMMYFUNCTION("""COMPUTED_VALUE"""),"semrush.com")</f>
        <v>semrush.com</v>
      </c>
      <c r="D80" s="11" t="str">
        <f>IFERROR(__xludf.DUMMYFUNCTION("""COMPUTED_VALUE"""),"OTHER")</f>
        <v>OTHER</v>
      </c>
      <c r="E80" s="11" t="str">
        <f>IFERROR(__xludf.DUMMYFUNCTION("""COMPUTED_VALUE"""),"CORPORATE")</f>
        <v>CORPORATE</v>
      </c>
      <c r="F80" s="11" t="str">
        <f>IFERROR(__xludf.DUMMYFUNCTION("""COMPUTED_VALUE"""),"Other")</f>
        <v>Other</v>
      </c>
      <c r="G80" s="11" t="b">
        <f>IFERROR(__xludf.DUMMYFUNCTION("""COMPUTED_VALUE"""),FALSE)</f>
        <v>0</v>
      </c>
      <c r="H80" s="11" t="str">
        <f>IFERROR(__xludf.DUMMYFUNCTION("""COMPUTED_VALUE"""),"HECHT INS GEFECHT, morefire, Mediaplus Performance")</f>
        <v>HECHT INS GEFECHT, morefire, Mediaplus Performance</v>
      </c>
      <c r="I80" s="11">
        <f>IFERROR(__xludf.DUMMYFUNCTION("""COMPUTED_VALUE"""),1.0)</f>
        <v>1</v>
      </c>
      <c r="J80" s="11">
        <f>IFERROR(__xludf.DUMMYFUNCTION("""COMPUTED_VALUE"""),0.0)</f>
        <v>0</v>
      </c>
      <c r="K80" s="11">
        <f>IFERROR(__xludf.DUMMYFUNCTION("""COMPUTED_VALUE"""),1.0)</f>
        <v>1</v>
      </c>
    </row>
    <row r="81" ht="15.75" customHeight="1">
      <c r="A81" s="8" t="str">
        <f>IFERROR(__xludf.DUMMYFUNCTION("""COMPUTED_VALUE"""),"https://agencies.semrush.com/list/analytics-data-science/business-professional-services/germany/enterprise-business/")</f>
        <v>https://agencies.semrush.com/list/analytics-data-science/business-professional-services/germany/enterprise-business/</v>
      </c>
      <c r="B81" s="11" t="str">
        <f>IFERROR(__xludf.DUMMYFUNCTION("""COMPUTED_VALUE"""),"Best B2B Services Data Analytics Services for Enterprise Business in Germany 2026 | Semrush")</f>
        <v>Best B2B Services Data Analytics Services for Enterprise Business in Germany 2026 | Semrush</v>
      </c>
      <c r="C81" s="8" t="str">
        <f>IFERROR(__xludf.DUMMYFUNCTION("""COMPUTED_VALUE"""),"semrush.com")</f>
        <v>semrush.com</v>
      </c>
      <c r="D81" s="11" t="str">
        <f>IFERROR(__xludf.DUMMYFUNCTION("""COMPUTED_VALUE"""),"OTHER")</f>
        <v>OTHER</v>
      </c>
      <c r="E81" s="11" t="str">
        <f>IFERROR(__xludf.DUMMYFUNCTION("""COMPUTED_VALUE"""),"CORPORATE")</f>
        <v>CORPORATE</v>
      </c>
      <c r="F81" s="11" t="str">
        <f>IFERROR(__xludf.DUMMYFUNCTION("""COMPUTED_VALUE"""),"Other")</f>
        <v>Other</v>
      </c>
      <c r="G81" s="11" t="b">
        <f>IFERROR(__xludf.DUMMYFUNCTION("""COMPUTED_VALUE"""),FALSE)</f>
        <v>0</v>
      </c>
      <c r="H81" s="11" t="str">
        <f>IFERROR(__xludf.DUMMYFUNCTION("""COMPUTED_VALUE"""),"HECHT INS GEFECHT, Baseplus DIGITAL MEDIA GmbH, morefire, Mediaplus Performance")</f>
        <v>HECHT INS GEFECHT, Baseplus DIGITAL MEDIA GmbH, morefire, Mediaplus Performance</v>
      </c>
      <c r="I81" s="11">
        <f>IFERROR(__xludf.DUMMYFUNCTION("""COMPUTED_VALUE"""),1.0)</f>
        <v>1</v>
      </c>
      <c r="J81" s="11">
        <f>IFERROR(__xludf.DUMMYFUNCTION("""COMPUTED_VALUE"""),0.0)</f>
        <v>0</v>
      </c>
      <c r="K81" s="11">
        <f>IFERROR(__xludf.DUMMYFUNCTION("""COMPUTED_VALUE"""),0.0)</f>
        <v>0</v>
      </c>
    </row>
    <row r="82" ht="15.75" customHeight="1">
      <c r="A82" s="8" t="str">
        <f>IFERROR(__xludf.DUMMYFUNCTION("""COMPUTED_VALUE"""),"https://agencies.semrush.com/list/analytics-data-science/ecommerce/germany/")</f>
        <v>https://agencies.semrush.com/list/analytics-data-science/ecommerce/germany/</v>
      </c>
      <c r="B82" s="11" t="str">
        <f>IFERROR(__xludf.DUMMYFUNCTION("""COMPUTED_VALUE"""),"Best Ecommerce Data Analytics Services in Germany 2026 | Semrush")</f>
        <v>Best Ecommerce Data Analytics Services in Germany 2026 | Semrush</v>
      </c>
      <c r="C82" s="8" t="str">
        <f>IFERROR(__xludf.DUMMYFUNCTION("""COMPUTED_VALUE"""),"semrush.com")</f>
        <v>semrush.com</v>
      </c>
      <c r="D82" s="11" t="str">
        <f>IFERROR(__xludf.DUMMYFUNCTION("""COMPUTED_VALUE"""),"OTHER")</f>
        <v>OTHER</v>
      </c>
      <c r="E82" s="11" t="str">
        <f>IFERROR(__xludf.DUMMYFUNCTION("""COMPUTED_VALUE"""),"CORPORATE")</f>
        <v>CORPORATE</v>
      </c>
      <c r="F82" s="11" t="str">
        <f>IFERROR(__xludf.DUMMYFUNCTION("""COMPUTED_VALUE"""),"Other")</f>
        <v>Other</v>
      </c>
      <c r="G82" s="11" t="b">
        <f>IFERROR(__xludf.DUMMYFUNCTION("""COMPUTED_VALUE"""),FALSE)</f>
        <v>0</v>
      </c>
      <c r="H82" s="11" t="str">
        <f>IFERROR(__xludf.DUMMYFUNCTION("""COMPUTED_VALUE"""),"HECHT INS GEFECHT, Baseplus DIGITAL MEDIA GmbH, morefire, Mediaplus Performance")</f>
        <v>HECHT INS GEFECHT, Baseplus DIGITAL MEDIA GmbH, morefire, Mediaplus Performance</v>
      </c>
      <c r="I82" s="11">
        <f>IFERROR(__xludf.DUMMYFUNCTION("""COMPUTED_VALUE"""),1.0)</f>
        <v>1</v>
      </c>
      <c r="J82" s="11">
        <f>IFERROR(__xludf.DUMMYFUNCTION("""COMPUTED_VALUE"""),0.0)</f>
        <v>0</v>
      </c>
      <c r="K82" s="11">
        <f>IFERROR(__xludf.DUMMYFUNCTION("""COMPUTED_VALUE"""),1.0)</f>
        <v>1</v>
      </c>
    </row>
    <row r="83" ht="15.75" customHeight="1">
      <c r="A83" s="8" t="str">
        <f>IFERROR(__xludf.DUMMYFUNCTION("""COMPUTED_VALUE"""),"https://agencies.semrush.com/list/display-advertising/north-rhine-westphalia/")</f>
        <v>https://agencies.semrush.com/list/display-advertising/north-rhine-westphalia/</v>
      </c>
      <c r="B83" s="11" t="str">
        <f>IFERROR(__xludf.DUMMYFUNCTION("""COMPUTED_VALUE"""),"Best Display Ads Agencies in North Rhine-Westphalia 2026 | Semrush")</f>
        <v>Best Display Ads Agencies in North Rhine-Westphalia 2026 | Semrush</v>
      </c>
      <c r="C83" s="8" t="str">
        <f>IFERROR(__xludf.DUMMYFUNCTION("""COMPUTED_VALUE"""),"semrush.com")</f>
        <v>semrush.com</v>
      </c>
      <c r="D83" s="11" t="str">
        <f>IFERROR(__xludf.DUMMYFUNCTION("""COMPUTED_VALUE"""),"OTHER")</f>
        <v>OTHER</v>
      </c>
      <c r="E83" s="11" t="str">
        <f>IFERROR(__xludf.DUMMYFUNCTION("""COMPUTED_VALUE"""),"CORPORATE")</f>
        <v>CORPORATE</v>
      </c>
      <c r="F83" s="11" t="str">
        <f>IFERROR(__xludf.DUMMYFUNCTION("""COMPUTED_VALUE"""),"Other")</f>
        <v>Other</v>
      </c>
      <c r="G83" s="11" t="b">
        <f>IFERROR(__xludf.DUMMYFUNCTION("""COMPUTED_VALUE"""),FALSE)</f>
        <v>0</v>
      </c>
      <c r="H83" s="11" t="str">
        <f>IFERROR(__xludf.DUMMYFUNCTION("""COMPUTED_VALUE"""),"Baseplus DIGITAL MEDIA GmbH, morefire, Mediaplus Performance, MONSOON, KlickPiloten")</f>
        <v>Baseplus DIGITAL MEDIA GmbH, morefire, Mediaplus Performance, MONSOON, KlickPiloten</v>
      </c>
      <c r="I83" s="11">
        <f>IFERROR(__xludf.DUMMYFUNCTION("""COMPUTED_VALUE"""),1.0)</f>
        <v>1</v>
      </c>
      <c r="J83" s="11">
        <f>IFERROR(__xludf.DUMMYFUNCTION("""COMPUTED_VALUE"""),0.0)</f>
        <v>0</v>
      </c>
      <c r="K83" s="11">
        <f>IFERROR(__xludf.DUMMYFUNCTION("""COMPUTED_VALUE"""),0.0)</f>
        <v>0</v>
      </c>
    </row>
    <row r="84" ht="15.75" customHeight="1">
      <c r="A84" s="8" t="str">
        <f>IFERROR(__xludf.DUMMYFUNCTION("""COMPUTED_VALUE"""),"https://agencies.semrush.com/list/machine-learning-and-ai/germany/enterprise-business/")</f>
        <v>https://agencies.semrush.com/list/machine-learning-and-ai/germany/enterprise-business/</v>
      </c>
      <c r="B84" s="11" t="str">
        <f>IFERROR(__xludf.DUMMYFUNCTION("""COMPUTED_VALUE"""),"Best Machine Learning and AI Services for Enterprise Business in Germany 2026 | Semrush")</f>
        <v>Best Machine Learning and AI Services for Enterprise Business in Germany 2026 | Semrush</v>
      </c>
      <c r="C84" s="8" t="str">
        <f>IFERROR(__xludf.DUMMYFUNCTION("""COMPUTED_VALUE"""),"semrush.com")</f>
        <v>semrush.com</v>
      </c>
      <c r="D84" s="11" t="str">
        <f>IFERROR(__xludf.DUMMYFUNCTION("""COMPUTED_VALUE"""),"OTHER")</f>
        <v>OTHER</v>
      </c>
      <c r="E84" s="11" t="str">
        <f>IFERROR(__xludf.DUMMYFUNCTION("""COMPUTED_VALUE"""),"CORPORATE")</f>
        <v>CORPORATE</v>
      </c>
      <c r="F84" s="11" t="str">
        <f>IFERROR(__xludf.DUMMYFUNCTION("""COMPUTED_VALUE"""),"Other")</f>
        <v>Other</v>
      </c>
      <c r="G84" s="11" t="b">
        <f>IFERROR(__xludf.DUMMYFUNCTION("""COMPUTED_VALUE"""),FALSE)</f>
        <v>0</v>
      </c>
      <c r="H84" s="11" t="str">
        <f>IFERROR(__xludf.DUMMYFUNCTION("""COMPUTED_VALUE"""),"HECHT INS GEFECHT, Baseplus DIGITAL MEDIA GmbH, morefire, Mediaplus Performance")</f>
        <v>HECHT INS GEFECHT, Baseplus DIGITAL MEDIA GmbH, morefire, Mediaplus Performance</v>
      </c>
      <c r="I84" s="11">
        <f>IFERROR(__xludf.DUMMYFUNCTION("""COMPUTED_VALUE"""),1.0)</f>
        <v>1</v>
      </c>
      <c r="J84" s="11">
        <f>IFERROR(__xludf.DUMMYFUNCTION("""COMPUTED_VALUE"""),0.0)</f>
        <v>0</v>
      </c>
      <c r="K84" s="11">
        <f>IFERROR(__xludf.DUMMYFUNCTION("""COMPUTED_VALUE"""),0.0)</f>
        <v>0</v>
      </c>
    </row>
    <row r="85" ht="15.75" customHeight="1">
      <c r="A85" s="8" t="str">
        <f>IFERROR(__xludf.DUMMYFUNCTION("""COMPUTED_VALUE"""),"https://agencies.semrush.com/list/machine-learning-and-ai/germany/small-business/")</f>
        <v>https://agencies.semrush.com/list/machine-learning-and-ai/germany/small-business/</v>
      </c>
      <c r="B85" s="11" t="str">
        <f>IFERROR(__xludf.DUMMYFUNCTION("""COMPUTED_VALUE"""),"Best Machine Learning and AI Services for Small Business in Germany 2026 | Semrush")</f>
        <v>Best Machine Learning and AI Services for Small Business in Germany 2026 | Semrush</v>
      </c>
      <c r="C85" s="8" t="str">
        <f>IFERROR(__xludf.DUMMYFUNCTION("""COMPUTED_VALUE"""),"semrush.com")</f>
        <v>semrush.com</v>
      </c>
      <c r="D85" s="11" t="str">
        <f>IFERROR(__xludf.DUMMYFUNCTION("""COMPUTED_VALUE"""),"OTHER")</f>
        <v>OTHER</v>
      </c>
      <c r="E85" s="11" t="str">
        <f>IFERROR(__xludf.DUMMYFUNCTION("""COMPUTED_VALUE"""),"CORPORATE")</f>
        <v>CORPORATE</v>
      </c>
      <c r="F85" s="11" t="str">
        <f>IFERROR(__xludf.DUMMYFUNCTION("""COMPUTED_VALUE"""),"Other")</f>
        <v>Other</v>
      </c>
      <c r="G85" s="11" t="b">
        <f>IFERROR(__xludf.DUMMYFUNCTION("""COMPUTED_VALUE"""),FALSE)</f>
        <v>0</v>
      </c>
      <c r="H85" s="11" t="str">
        <f>IFERROR(__xludf.DUMMYFUNCTION("""COMPUTED_VALUE"""),"HECHT INS GEFECHT, Baseplus DIGITAL MEDIA GmbH, Mediaplus Performance")</f>
        <v>HECHT INS GEFECHT, Baseplus DIGITAL MEDIA GmbH, Mediaplus Performance</v>
      </c>
      <c r="I85" s="11">
        <f>IFERROR(__xludf.DUMMYFUNCTION("""COMPUTED_VALUE"""),1.0)</f>
        <v>1</v>
      </c>
      <c r="J85" s="11">
        <f>IFERROR(__xludf.DUMMYFUNCTION("""COMPUTED_VALUE"""),0.0)</f>
        <v>0</v>
      </c>
      <c r="K85" s="11">
        <f>IFERROR(__xludf.DUMMYFUNCTION("""COMPUTED_VALUE"""),0.0)</f>
        <v>0</v>
      </c>
    </row>
    <row r="86" ht="15.75" customHeight="1">
      <c r="A86" s="8" t="str">
        <f>IFERROR(__xludf.DUMMYFUNCTION("""COMPUTED_VALUE"""),"https://agencies.semrush.com/list/programmatic-advertising/germany/mid-business/")</f>
        <v>https://agencies.semrush.com/list/programmatic-advertising/germany/mid-business/</v>
      </c>
      <c r="B86" s="11" t="str">
        <f>IFERROR(__xludf.DUMMYFUNCTION("""COMPUTED_VALUE"""),"Best Programmatic Advertising Agencies for Mid Business in Germany 2026 | Semrush")</f>
        <v>Best Programmatic Advertising Agencies for Mid Business in Germany 2026 | Semrush</v>
      </c>
      <c r="C86" s="8" t="str">
        <f>IFERROR(__xludf.DUMMYFUNCTION("""COMPUTED_VALUE"""),"semrush.com")</f>
        <v>semrush.com</v>
      </c>
      <c r="D86" s="11" t="str">
        <f>IFERROR(__xludf.DUMMYFUNCTION("""COMPUTED_VALUE"""),"OTHER")</f>
        <v>OTHER</v>
      </c>
      <c r="E86" s="11" t="str">
        <f>IFERROR(__xludf.DUMMYFUNCTION("""COMPUTED_VALUE"""),"CORPORATE")</f>
        <v>CORPORATE</v>
      </c>
      <c r="F86" s="11" t="str">
        <f>IFERROR(__xludf.DUMMYFUNCTION("""COMPUTED_VALUE"""),"Other")</f>
        <v>Other</v>
      </c>
      <c r="G86" s="11" t="b">
        <f>IFERROR(__xludf.DUMMYFUNCTION("""COMPUTED_VALUE"""),FALSE)</f>
        <v>0</v>
      </c>
      <c r="H86" s="11" t="str">
        <f>IFERROR(__xludf.DUMMYFUNCTION("""COMPUTED_VALUE"""),"morefire, Mediaplus Performance, KlickPiloten")</f>
        <v>morefire, Mediaplus Performance, KlickPiloten</v>
      </c>
      <c r="I86" s="11">
        <f>IFERROR(__xludf.DUMMYFUNCTION("""COMPUTED_VALUE"""),1.0)</f>
        <v>1</v>
      </c>
      <c r="J86" s="11">
        <f>IFERROR(__xludf.DUMMYFUNCTION("""COMPUTED_VALUE"""),0.0)</f>
        <v>0</v>
      </c>
      <c r="K86" s="11">
        <f>IFERROR(__xludf.DUMMYFUNCTION("""COMPUTED_VALUE"""),1.0)</f>
        <v>1</v>
      </c>
    </row>
    <row r="87" ht="15.75" customHeight="1">
      <c r="A87" s="8" t="str">
        <f>IFERROR(__xludf.DUMMYFUNCTION("""COMPUTED_VALUE"""),"https://agencyvista.com/agency/eprofessional-gmbh/marketing-agency-hamburg-de")</f>
        <v>https://agencyvista.com/agency/eprofessional-gmbh/marketing-agency-hamburg-de</v>
      </c>
      <c r="B87" s="11" t="str">
        <f>IFERROR(__xludf.DUMMYFUNCTION("""COMPUTED_VALUE"""),"EPROFESSIONAL GmbH. Agency Vista")</f>
        <v>EPROFESSIONAL GmbH. Agency Vista</v>
      </c>
      <c r="C87" s="8" t="str">
        <f>IFERROR(__xludf.DUMMYFUNCTION("""COMPUTED_VALUE"""),"agencyvista.com")</f>
        <v>agencyvista.com</v>
      </c>
      <c r="D87" s="11" t="str">
        <f>IFERROR(__xludf.DUMMYFUNCTION("""COMPUTED_VALUE"""),"OTHER")</f>
        <v>OTHER</v>
      </c>
      <c r="E87" s="11" t="str">
        <f>IFERROR(__xludf.DUMMYFUNCTION("""COMPUTED_VALUE"""),"CORPORATE")</f>
        <v>CORPORATE</v>
      </c>
      <c r="F87" s="11" t="str">
        <f>IFERROR(__xludf.DUMMYFUNCTION("""COMPUTED_VALUE"""),"Other")</f>
        <v>Other</v>
      </c>
      <c r="G87" s="11" t="b">
        <f>IFERROR(__xludf.DUMMYFUNCTION("""COMPUTED_VALUE"""),FALSE)</f>
        <v>0</v>
      </c>
      <c r="H87" s="11"/>
      <c r="I87" s="11">
        <f>IFERROR(__xludf.DUMMYFUNCTION("""COMPUTED_VALUE"""),1.0)</f>
        <v>1</v>
      </c>
      <c r="J87" s="11">
        <f>IFERROR(__xludf.DUMMYFUNCTION("""COMPUTED_VALUE"""),0.0)</f>
        <v>0</v>
      </c>
      <c r="K87" s="11">
        <f>IFERROR(__xludf.DUMMYFUNCTION("""COMPUTED_VALUE"""),1.0)</f>
        <v>1</v>
      </c>
    </row>
    <row r="88" ht="15.75" customHeight="1">
      <c r="A88" s="8" t="str">
        <f>IFERROR(__xludf.DUMMYFUNCTION("""COMPUTED_VALUE"""),"https://ai-solutions.daviesmeyer.com/de/blog/marketing-measurement-2026-guide")</f>
        <v>https://ai-solutions.daviesmeyer.com/de/blog/marketing-measurement-2026-guide</v>
      </c>
      <c r="B88" s="11" t="str">
        <f>IFERROR(__xludf.DUMMYFUNCTION("""COMPUTED_VALUE"""),"Marketing Measurement 2026: Der Pillar-Guide für moderne Attribution | Davies Meyer Blog")</f>
        <v>Marketing Measurement 2026: Der Pillar-Guide für moderne Attribution | Davies Meyer Blog</v>
      </c>
      <c r="C88" s="8" t="str">
        <f>IFERROR(__xludf.DUMMYFUNCTION("""COMPUTED_VALUE"""),"daviesmeyer.com")</f>
        <v>daviesmeyer.com</v>
      </c>
      <c r="D88" s="11" t="str">
        <f>IFERROR(__xludf.DUMMYFUNCTION("""COMPUTED_VALUE"""),"OTHER")</f>
        <v>OTHER</v>
      </c>
      <c r="E88" s="11" t="str">
        <f>IFERROR(__xludf.DUMMYFUNCTION("""COMPUTED_VALUE"""),"CORPORATE")</f>
        <v>CORPORATE</v>
      </c>
      <c r="F88" s="11" t="str">
        <f>IFERROR(__xludf.DUMMYFUNCTION("""COMPUTED_VALUE"""),"Other")</f>
        <v>Other</v>
      </c>
      <c r="G88" s="11" t="b">
        <f>IFERROR(__xludf.DUMMYFUNCTION("""COMPUTED_VALUE"""),FALSE)</f>
        <v>0</v>
      </c>
      <c r="H88" s="11" t="str">
        <f>IFERROR(__xludf.DUMMYFUNCTION("""COMPUTED_VALUE"""),"Northbeam, Triple Whale, Recast")</f>
        <v>Northbeam, Triple Whale, Recast</v>
      </c>
      <c r="I88" s="11">
        <f>IFERROR(__xludf.DUMMYFUNCTION("""COMPUTED_VALUE"""),1.0)</f>
        <v>1</v>
      </c>
      <c r="J88" s="11">
        <f>IFERROR(__xludf.DUMMYFUNCTION("""COMPUTED_VALUE"""),0.0)</f>
        <v>0</v>
      </c>
      <c r="K88" s="11">
        <f>IFERROR(__xludf.DUMMYFUNCTION("""COMPUTED_VALUE"""),0.0)</f>
        <v>0</v>
      </c>
    </row>
    <row r="89" ht="15.75" customHeight="1">
      <c r="A89" s="8" t="str">
        <f>IFERROR(__xludf.DUMMYFUNCTION("""COMPUTED_VALUE"""),"https://ai-solutions.daviesmeyer.com/en/blog/marketing-measurement-2026-guide")</f>
        <v>https://ai-solutions.daviesmeyer.com/en/blog/marketing-measurement-2026-guide</v>
      </c>
      <c r="B89" s="11" t="str">
        <f>IFERROR(__xludf.DUMMYFUNCTION("""COMPUTED_VALUE"""),"Marketing Measurement 2026: The Pillar Guide to Modern Attribution | Davies Meyer Blog")</f>
        <v>Marketing Measurement 2026: The Pillar Guide to Modern Attribution | Davies Meyer Blog</v>
      </c>
      <c r="C89" s="8" t="str">
        <f>IFERROR(__xludf.DUMMYFUNCTION("""COMPUTED_VALUE"""),"daviesmeyer.com")</f>
        <v>daviesmeyer.com</v>
      </c>
      <c r="D89" s="11" t="str">
        <f>IFERROR(__xludf.DUMMYFUNCTION("""COMPUTED_VALUE"""),"OTHER")</f>
        <v>OTHER</v>
      </c>
      <c r="E89" s="11" t="str">
        <f>IFERROR(__xludf.DUMMYFUNCTION("""COMPUTED_VALUE"""),"CORPORATE")</f>
        <v>CORPORATE</v>
      </c>
      <c r="F89" s="11" t="str">
        <f>IFERROR(__xludf.DUMMYFUNCTION("""COMPUTED_VALUE"""),"Other")</f>
        <v>Other</v>
      </c>
      <c r="G89" s="11" t="b">
        <f>IFERROR(__xludf.DUMMYFUNCTION("""COMPUTED_VALUE"""),FALSE)</f>
        <v>0</v>
      </c>
      <c r="H89" s="11" t="str">
        <f>IFERROR(__xludf.DUMMYFUNCTION("""COMPUTED_VALUE"""),"Northbeam, Triple Whale, Recast")</f>
        <v>Northbeam, Triple Whale, Recast</v>
      </c>
      <c r="I89" s="11">
        <f>IFERROR(__xludf.DUMMYFUNCTION("""COMPUTED_VALUE"""),1.0)</f>
        <v>1</v>
      </c>
      <c r="J89" s="11">
        <f>IFERROR(__xludf.DUMMYFUNCTION("""COMPUTED_VALUE"""),0.0)</f>
        <v>0</v>
      </c>
      <c r="K89" s="11">
        <f>IFERROR(__xludf.DUMMYFUNCTION("""COMPUTED_VALUE"""),2.0)</f>
        <v>2</v>
      </c>
    </row>
    <row r="90" ht="15.75" customHeight="1">
      <c r="A90" s="8" t="str">
        <f>IFERROR(__xludf.DUMMYFUNCTION("""COMPUTED_VALUE"""),"https://airankvision.com/consulting/germany")</f>
        <v>https://airankvision.com/consulting/germany</v>
      </c>
      <c r="B90" s="11"/>
      <c r="C90" s="8" t="str">
        <f>IFERROR(__xludf.DUMMYFUNCTION("""COMPUTED_VALUE"""),"airankvision.com")</f>
        <v>airankvision.com</v>
      </c>
      <c r="D90" s="11" t="str">
        <f>IFERROR(__xludf.DUMMYFUNCTION("""COMPUTED_VALUE"""),"OTHER")</f>
        <v>OTHER</v>
      </c>
      <c r="E90" s="11" t="str">
        <f>IFERROR(__xludf.DUMMYFUNCTION("""COMPUTED_VALUE"""),"CORPORATE")</f>
        <v>CORPORATE</v>
      </c>
      <c r="F90" s="11" t="str">
        <f>IFERROR(__xludf.DUMMYFUNCTION("""COMPUTED_VALUE"""),"Other")</f>
        <v>Other</v>
      </c>
      <c r="G90" s="11"/>
      <c r="H90" s="11" t="str">
        <f>IFERROR(__xludf.DUMMYFUNCTION("""COMPUTED_VALUE"""),"Unknown")</f>
        <v>Unknown</v>
      </c>
      <c r="I90" s="11">
        <f>IFERROR(__xludf.DUMMYFUNCTION("""COMPUTED_VALUE"""),1.0)</f>
        <v>1</v>
      </c>
      <c r="J90" s="11">
        <f>IFERROR(__xludf.DUMMYFUNCTION("""COMPUTED_VALUE"""),0.0)</f>
        <v>0</v>
      </c>
      <c r="K90" s="11">
        <f>IFERROR(__xludf.DUMMYFUNCTION("""COMPUTED_VALUE"""),0.0)</f>
        <v>0</v>
      </c>
    </row>
    <row r="91" ht="15.75" customHeight="1">
      <c r="A91" s="8" t="str">
        <f>IFERROR(__xludf.DUMMYFUNCTION("""COMPUTED_VALUE"""),"https://www.best-brands-global.com/content/dam/best-brands-global/de/image-library/2026/BEST_BRANDS_2026_Booklet_Studie_EN.pdf.coredownload.pdf")</f>
        <v>https://www.best-brands-global.com/content/dam/best-brands-global/de/image-library/2026/BEST_BRANDS_2026_Booklet_Studie_EN.pdf.coredownload.pdf</v>
      </c>
      <c r="B91" s="11"/>
      <c r="C91" s="8" t="str">
        <f>IFERROR(__xludf.DUMMYFUNCTION("""COMPUTED_VALUE"""),"best-brands-global.com")</f>
        <v>best-brands-global.com</v>
      </c>
      <c r="D91" s="11" t="str">
        <f>IFERROR(__xludf.DUMMYFUNCTION("""COMPUTED_VALUE"""),"OTHER")</f>
        <v>OTHER</v>
      </c>
      <c r="E91" s="11" t="str">
        <f>IFERROR(__xludf.DUMMYFUNCTION("""COMPUTED_VALUE"""),"EDITORIAL")</f>
        <v>EDITORIAL</v>
      </c>
      <c r="F91" s="11" t="str">
        <f>IFERROR(__xludf.DUMMYFUNCTION("""COMPUTED_VALUE"""),"Other")</f>
        <v>Other</v>
      </c>
      <c r="G91" s="11" t="b">
        <f>IFERROR(__xludf.DUMMYFUNCTION("""COMPUTED_VALUE"""),FALSE)</f>
        <v>0</v>
      </c>
      <c r="H91" s="11" t="str">
        <f>IFERROR(__xludf.DUMMYFUNCTION("""COMPUTED_VALUE"""),"EY")</f>
        <v>EY</v>
      </c>
      <c r="I91" s="11">
        <f>IFERROR(__xludf.DUMMYFUNCTION("""COMPUTED_VALUE"""),1.0)</f>
        <v>1</v>
      </c>
      <c r="J91" s="11">
        <f>IFERROR(__xludf.DUMMYFUNCTION("""COMPUTED_VALUE"""),0.0)</f>
        <v>0</v>
      </c>
      <c r="K91" s="11">
        <f>IFERROR(__xludf.DUMMYFUNCTION("""COMPUTED_VALUE"""),2.0)</f>
        <v>2</v>
      </c>
    </row>
    <row r="92" ht="15.75" customHeight="1">
      <c r="A92" s="8" t="str">
        <f>IFERROR(__xludf.DUMMYFUNCTION("""COMPUTED_VALUE"""),"https://www.bestadsontv.com/rankings.php?category=All&amp;country=Germany&amp;period=2025&amp;role=agency")</f>
        <v>https://www.bestadsontv.com/rankings.php?category=All&amp;country=Germany&amp;period=2025&amp;role=agency</v>
      </c>
      <c r="B92" s="11"/>
      <c r="C92" s="8" t="str">
        <f>IFERROR(__xludf.DUMMYFUNCTION("""COMPUTED_VALUE"""),"bestadsontv.com")</f>
        <v>bestadsontv.com</v>
      </c>
      <c r="D92" s="11" t="str">
        <f>IFERROR(__xludf.DUMMYFUNCTION("""COMPUTED_VALUE"""),"OTHER")</f>
        <v>OTHER</v>
      </c>
      <c r="E92" s="11" t="str">
        <f>IFERROR(__xludf.DUMMYFUNCTION("""COMPUTED_VALUE"""),"EDITORIAL")</f>
        <v>EDITORIAL</v>
      </c>
      <c r="F92" s="11" t="str">
        <f>IFERROR(__xludf.DUMMYFUNCTION("""COMPUTED_VALUE"""),"Other")</f>
        <v>Other</v>
      </c>
      <c r="G92" s="11"/>
      <c r="H92" s="11" t="str">
        <f>IFERROR(__xludf.DUMMYFUNCTION("""COMPUTED_VALUE"""),"Unknown")</f>
        <v>Unknown</v>
      </c>
      <c r="I92" s="11">
        <f>IFERROR(__xludf.DUMMYFUNCTION("""COMPUTED_VALUE"""),1.0)</f>
        <v>1</v>
      </c>
      <c r="J92" s="11">
        <f>IFERROR(__xludf.DUMMYFUNCTION("""COMPUTED_VALUE"""),0.0)</f>
        <v>0</v>
      </c>
      <c r="K92" s="11">
        <f>IFERROR(__xludf.DUMMYFUNCTION("""COMPUTED_VALUE"""),2.0)</f>
        <v>2</v>
      </c>
    </row>
    <row r="93" ht="15.75" customHeight="1">
      <c r="A93" s="8" t="str">
        <f>IFERROR(__xludf.DUMMYFUNCTION("""COMPUTED_VALUE"""),"https://www.bestaiagencyforcompanies.com/rankings")</f>
        <v>https://www.bestaiagencyforcompanies.com/rankings</v>
      </c>
      <c r="B93" s="11"/>
      <c r="C93" s="8" t="str">
        <f>IFERROR(__xludf.DUMMYFUNCTION("""COMPUTED_VALUE"""),"bestaiagencyforcompanies.com")</f>
        <v>bestaiagencyforcompanies.com</v>
      </c>
      <c r="D93" s="11" t="str">
        <f>IFERROR(__xludf.DUMMYFUNCTION("""COMPUTED_VALUE"""),"OTHER")</f>
        <v>OTHER</v>
      </c>
      <c r="E93" s="11" t="str">
        <f>IFERROR(__xludf.DUMMYFUNCTION("""COMPUTED_VALUE"""),"EDITORIAL")</f>
        <v>EDITORIAL</v>
      </c>
      <c r="F93" s="11" t="str">
        <f>IFERROR(__xludf.DUMMYFUNCTION("""COMPUTED_VALUE"""),"Other")</f>
        <v>Other</v>
      </c>
      <c r="G93" s="11"/>
      <c r="H93" s="11" t="str">
        <f>IFERROR(__xludf.DUMMYFUNCTION("""COMPUTED_VALUE"""),"Unknown")</f>
        <v>Unknown</v>
      </c>
      <c r="I93" s="11">
        <f>IFERROR(__xludf.DUMMYFUNCTION("""COMPUTED_VALUE"""),1.0)</f>
        <v>1</v>
      </c>
      <c r="J93" s="11">
        <f>IFERROR(__xludf.DUMMYFUNCTION("""COMPUTED_VALUE"""),0.0)</f>
        <v>0</v>
      </c>
      <c r="K93" s="11">
        <f>IFERROR(__xludf.DUMMYFUNCTION("""COMPUTED_VALUE"""),1.0)</f>
        <v>1</v>
      </c>
    </row>
    <row r="94" ht="15.75" customHeight="1">
      <c r="A94" s="8" t="str">
        <f>IFERROR(__xludf.DUMMYFUNCTION("""COMPUTED_VALUE"""),"https://www.blackravenmedia.com/1st-party-data/")</f>
        <v>https://www.blackravenmedia.com/1st-party-data/</v>
      </c>
      <c r="B94" s="11" t="str">
        <f>IFERROR(__xludf.DUMMYFUNCTION("""COMPUTED_VALUE"""),"Lead Generation Agency - Black Raven")</f>
        <v>Lead Generation Agency - Black Raven</v>
      </c>
      <c r="C94" s="8" t="str">
        <f>IFERROR(__xludf.DUMMYFUNCTION("""COMPUTED_VALUE"""),"blackravenmedia.com")</f>
        <v>blackravenmedia.com</v>
      </c>
      <c r="D94" s="11" t="str">
        <f>IFERROR(__xludf.DUMMYFUNCTION("""COMPUTED_VALUE"""),"OTHER")</f>
        <v>OTHER</v>
      </c>
      <c r="E94" s="11" t="str">
        <f>IFERROR(__xludf.DUMMYFUNCTION("""COMPUTED_VALUE"""),"CORPORATE")</f>
        <v>CORPORATE</v>
      </c>
      <c r="F94" s="11" t="str">
        <f>IFERROR(__xludf.DUMMYFUNCTION("""COMPUTED_VALUE"""),"Other")</f>
        <v>Other</v>
      </c>
      <c r="G94" s="11" t="b">
        <f>IFERROR(__xludf.DUMMYFUNCTION("""COMPUTED_VALUE"""),FALSE)</f>
        <v>0</v>
      </c>
      <c r="H94" s="11"/>
      <c r="I94" s="11">
        <f>IFERROR(__xludf.DUMMYFUNCTION("""COMPUTED_VALUE"""),1.0)</f>
        <v>1</v>
      </c>
      <c r="J94" s="11">
        <f>IFERROR(__xludf.DUMMYFUNCTION("""COMPUTED_VALUE"""),0.0)</f>
        <v>0</v>
      </c>
      <c r="K94" s="11">
        <f>IFERROR(__xludf.DUMMYFUNCTION("""COMPUTED_VALUE"""),1.0)</f>
        <v>1</v>
      </c>
    </row>
    <row r="95" ht="15.75" customHeight="1">
      <c r="A95" s="8" t="str">
        <f>IFERROR(__xludf.DUMMYFUNCTION("""COMPUTED_VALUE"""),"https://www.brainlab.com/de/jobs-karriere/locations/")</f>
        <v>https://www.brainlab.com/de/jobs-karriere/locations/</v>
      </c>
      <c r="B95" s="11" t="str">
        <f>IFERROR(__xludf.DUMMYFUNCTION("""COMPUTED_VALUE"""),"Standorte | Brainlab")</f>
        <v>Standorte | Brainlab</v>
      </c>
      <c r="C95" s="8" t="str">
        <f>IFERROR(__xludf.DUMMYFUNCTION("""COMPUTED_VALUE"""),"brainlab.com")</f>
        <v>brainlab.com</v>
      </c>
      <c r="D95" s="11" t="str">
        <f>IFERROR(__xludf.DUMMYFUNCTION("""COMPUTED_VALUE"""),"OTHER")</f>
        <v>OTHER</v>
      </c>
      <c r="E95" s="11" t="str">
        <f>IFERROR(__xludf.DUMMYFUNCTION("""COMPUTED_VALUE"""),"CORPORATE")</f>
        <v>CORPORATE</v>
      </c>
      <c r="F95" s="11" t="str">
        <f>IFERROR(__xludf.DUMMYFUNCTION("""COMPUTED_VALUE"""),"Other")</f>
        <v>Other</v>
      </c>
      <c r="G95" s="11" t="b">
        <f>IFERROR(__xludf.DUMMYFUNCTION("""COMPUTED_VALUE"""),FALSE)</f>
        <v>0</v>
      </c>
      <c r="H95" s="11"/>
      <c r="I95" s="11">
        <f>IFERROR(__xludf.DUMMYFUNCTION("""COMPUTED_VALUE"""),1.0)</f>
        <v>1</v>
      </c>
      <c r="J95" s="11">
        <f>IFERROR(__xludf.DUMMYFUNCTION("""COMPUTED_VALUE"""),0.0)</f>
        <v>0</v>
      </c>
      <c r="K95" s="11">
        <f>IFERROR(__xludf.DUMMYFUNCTION("""COMPUTED_VALUE"""),1.0)</f>
        <v>1</v>
      </c>
    </row>
    <row r="96" ht="15.75" customHeight="1">
      <c r="A96" s="8" t="str">
        <f>IFERROR(__xludf.DUMMYFUNCTION("""COMPUTED_VALUE"""),"https://business.google.com/de/think/measurement/ai-driven-data-management/")</f>
        <v>https://business.google.com/de/think/measurement/ai-driven-data-management/</v>
      </c>
      <c r="B96" s="11"/>
      <c r="C96" s="8" t="str">
        <f>IFERROR(__xludf.DUMMYFUNCTION("""COMPUTED_VALUE"""),"google.com")</f>
        <v>google.com</v>
      </c>
      <c r="D96" s="11" t="str">
        <f>IFERROR(__xludf.DUMMYFUNCTION("""COMPUTED_VALUE"""),"OTHER")</f>
        <v>OTHER</v>
      </c>
      <c r="E96" s="11" t="str">
        <f>IFERROR(__xludf.DUMMYFUNCTION("""COMPUTED_VALUE"""),"OTHER")</f>
        <v>OTHER</v>
      </c>
      <c r="F96" s="11" t="str">
        <f>IFERROR(__xludf.DUMMYFUNCTION("""COMPUTED_VALUE"""),"Other")</f>
        <v>Other</v>
      </c>
      <c r="G96" s="11"/>
      <c r="H96" s="11" t="str">
        <f>IFERROR(__xludf.DUMMYFUNCTION("""COMPUTED_VALUE"""),"Unknown")</f>
        <v>Unknown</v>
      </c>
      <c r="I96" s="11">
        <f>IFERROR(__xludf.DUMMYFUNCTION("""COMPUTED_VALUE"""),1.0)</f>
        <v>1</v>
      </c>
      <c r="J96" s="11">
        <f>IFERROR(__xludf.DUMMYFUNCTION("""COMPUTED_VALUE"""),0.0)</f>
        <v>0</v>
      </c>
      <c r="K96" s="11">
        <f>IFERROR(__xludf.DUMMYFUNCTION("""COMPUTED_VALUE"""),1.0)</f>
        <v>1</v>
      </c>
    </row>
    <row r="97" ht="15.75" customHeight="1">
      <c r="A97" s="8" t="str">
        <f>IFERROR(__xludf.DUMMYFUNCTION("""COMPUTED_VALUE"""),"https://www.bvdw.org/wp-content/uploads/2025/03/BVDW_Studie_Kreativranking_Auswertung_2024-1.pdf?highlight=12+agenturen")</f>
        <v>https://www.bvdw.org/wp-content/uploads/2025/03/BVDW_Studie_Kreativranking_Auswertung_2024-1.pdf?highlight=12+agenturen</v>
      </c>
      <c r="B97" s="11"/>
      <c r="C97" s="8" t="str">
        <f>IFERROR(__xludf.DUMMYFUNCTION("""COMPUTED_VALUE"""),"bvdw.org")</f>
        <v>bvdw.org</v>
      </c>
      <c r="D97" s="11" t="str">
        <f>IFERROR(__xludf.DUMMYFUNCTION("""COMPUTED_VALUE"""),"OTHER")</f>
        <v>OTHER</v>
      </c>
      <c r="E97" s="11" t="str">
        <f>IFERROR(__xludf.DUMMYFUNCTION("""COMPUTED_VALUE"""),"INSTITUTIONAL")</f>
        <v>INSTITUTIONAL</v>
      </c>
      <c r="F97" s="11" t="str">
        <f>IFERROR(__xludf.DUMMYFUNCTION("""COMPUTED_VALUE"""),"Other")</f>
        <v>Other</v>
      </c>
      <c r="G97" s="11" t="b">
        <f>IFERROR(__xludf.DUMMYFUNCTION("""COMPUTED_VALUE"""),FALSE)</f>
        <v>0</v>
      </c>
      <c r="H97" s="11" t="str">
        <f>IFERROR(__xludf.DUMMYFUNCTION("""COMPUTED_VALUE"""),"EY, OMD")</f>
        <v>EY, OMD</v>
      </c>
      <c r="I97" s="11">
        <f>IFERROR(__xludf.DUMMYFUNCTION("""COMPUTED_VALUE"""),1.0)</f>
        <v>1</v>
      </c>
      <c r="J97" s="11">
        <f>IFERROR(__xludf.DUMMYFUNCTION("""COMPUTED_VALUE"""),0.0)</f>
        <v>0</v>
      </c>
      <c r="K97" s="11">
        <f>IFERROR(__xludf.DUMMYFUNCTION("""COMPUTED_VALUE"""),5.0)</f>
        <v>5</v>
      </c>
    </row>
    <row r="98" ht="15.75" customHeight="1">
      <c r="A98" s="8" t="str">
        <f>IFERROR(__xludf.DUMMYFUNCTION("""COMPUTED_VALUE"""),"https://www.bvdw.org/wp-content/uploads/2026/03/BVDW-Kreativranking-2025.pdf")</f>
        <v>https://www.bvdw.org/wp-content/uploads/2026/03/BVDW-Kreativranking-2025.pdf</v>
      </c>
      <c r="B98" s="11"/>
      <c r="C98" s="8" t="str">
        <f>IFERROR(__xludf.DUMMYFUNCTION("""COMPUTED_VALUE"""),"bvdw.org")</f>
        <v>bvdw.org</v>
      </c>
      <c r="D98" s="11" t="str">
        <f>IFERROR(__xludf.DUMMYFUNCTION("""COMPUTED_VALUE"""),"OTHER")</f>
        <v>OTHER</v>
      </c>
      <c r="E98" s="11" t="str">
        <f>IFERROR(__xludf.DUMMYFUNCTION("""COMPUTED_VALUE"""),"INSTITUTIONAL")</f>
        <v>INSTITUTIONAL</v>
      </c>
      <c r="F98" s="11" t="str">
        <f>IFERROR(__xludf.DUMMYFUNCTION("""COMPUTED_VALUE"""),"Other")</f>
        <v>Other</v>
      </c>
      <c r="G98" s="11" t="b">
        <f>IFERROR(__xludf.DUMMYFUNCTION("""COMPUTED_VALUE"""),FALSE)</f>
        <v>0</v>
      </c>
      <c r="H98" s="11" t="str">
        <f>IFERROR(__xludf.DUMMYFUNCTION("""COMPUTED_VALUE"""),"EY, OMD")</f>
        <v>EY, OMD</v>
      </c>
      <c r="I98" s="11">
        <f>IFERROR(__xludf.DUMMYFUNCTION("""COMPUTED_VALUE"""),1.0)</f>
        <v>1</v>
      </c>
      <c r="J98" s="11">
        <f>IFERROR(__xludf.DUMMYFUNCTION("""COMPUTED_VALUE"""),0.0)</f>
        <v>0</v>
      </c>
      <c r="K98" s="11">
        <f>IFERROR(__xludf.DUMMYFUNCTION("""COMPUTED_VALUE"""),10.0)</f>
        <v>10</v>
      </c>
    </row>
    <row r="99" ht="15.75" customHeight="1">
      <c r="A99" s="8" t="str">
        <f>IFERROR(__xludf.DUMMYFUNCTION("""COMPUTED_VALUE"""),"https://www.clickdo.co.uk/german-business-uk-digital-marketing/")</f>
        <v>https://www.clickdo.co.uk/german-business-uk-digital-marketing/</v>
      </c>
      <c r="B99" s="11" t="str">
        <f>IFERROR(__xludf.DUMMYFUNCTION("""COMPUTED_VALUE"""),"How German Businesses Can Expand into the UK Market with Digital Marketing &amp;amp; SEO")</f>
        <v>How German Businesses Can Expand into the UK Market with Digital Marketing &amp;amp; SEO</v>
      </c>
      <c r="C99" s="8" t="str">
        <f>IFERROR(__xludf.DUMMYFUNCTION("""COMPUTED_VALUE"""),"clickdo.co.uk")</f>
        <v>clickdo.co.uk</v>
      </c>
      <c r="D99" s="11" t="str">
        <f>IFERROR(__xludf.DUMMYFUNCTION("""COMPUTED_VALUE"""),"OTHER")</f>
        <v>OTHER</v>
      </c>
      <c r="E99" s="11" t="str">
        <f>IFERROR(__xludf.DUMMYFUNCTION("""COMPUTED_VALUE"""),"CORPORATE")</f>
        <v>CORPORATE</v>
      </c>
      <c r="F99" s="11" t="str">
        <f>IFERROR(__xludf.DUMMYFUNCTION("""COMPUTED_VALUE"""),"Other")</f>
        <v>Other</v>
      </c>
      <c r="G99" s="11" t="b">
        <f>IFERROR(__xludf.DUMMYFUNCTION("""COMPUTED_VALUE"""),FALSE)</f>
        <v>0</v>
      </c>
      <c r="H99" s="11"/>
      <c r="I99" s="11">
        <f>IFERROR(__xludf.DUMMYFUNCTION("""COMPUTED_VALUE"""),1.0)</f>
        <v>1</v>
      </c>
      <c r="J99" s="11">
        <f>IFERROR(__xludf.DUMMYFUNCTION("""COMPUTED_VALUE"""),0.0)</f>
        <v>0</v>
      </c>
      <c r="K99" s="11">
        <f>IFERROR(__xludf.DUMMYFUNCTION("""COMPUTED_VALUE"""),1.0)</f>
        <v>1</v>
      </c>
    </row>
    <row r="100" ht="15.75" customHeight="1">
      <c r="A100" s="8" t="str">
        <f>IFERROR(__xludf.DUMMYFUNCTION("""COMPUTED_VALUE"""),"https://createscale.com/production")</f>
        <v>https://createscale.com/production</v>
      </c>
      <c r="B100" s="11"/>
      <c r="C100" s="8" t="str">
        <f>IFERROR(__xludf.DUMMYFUNCTION("""COMPUTED_VALUE"""),"createscale.com")</f>
        <v>createscale.com</v>
      </c>
      <c r="D100" s="11" t="str">
        <f>IFERROR(__xludf.DUMMYFUNCTION("""COMPUTED_VALUE"""),"OTHER")</f>
        <v>OTHER</v>
      </c>
      <c r="E100" s="11" t="str">
        <f>IFERROR(__xludf.DUMMYFUNCTION("""COMPUTED_VALUE"""),"OTHER")</f>
        <v>OTHER</v>
      </c>
      <c r="F100" s="11" t="str">
        <f>IFERROR(__xludf.DUMMYFUNCTION("""COMPUTED_VALUE"""),"Other")</f>
        <v>Other</v>
      </c>
      <c r="G100" s="11"/>
      <c r="H100" s="11" t="str">
        <f>IFERROR(__xludf.DUMMYFUNCTION("""COMPUTED_VALUE"""),"Unknown")</f>
        <v>Unknown</v>
      </c>
      <c r="I100" s="11">
        <f>IFERROR(__xludf.DUMMYFUNCTION("""COMPUTED_VALUE"""),1.0)</f>
        <v>1</v>
      </c>
      <c r="J100" s="11">
        <f>IFERROR(__xludf.DUMMYFUNCTION("""COMPUTED_VALUE"""),0.0)</f>
        <v>0</v>
      </c>
      <c r="K100" s="11">
        <f>IFERROR(__xludf.DUMMYFUNCTION("""COMPUTED_VALUE"""),0.0)</f>
        <v>0</v>
      </c>
    </row>
    <row r="101" ht="15.75" customHeight="1">
      <c r="A101" s="8" t="str">
        <f>IFERROR(__xludf.DUMMYFUNCTION("""COMPUTED_VALUE"""),"https://www.creative-city-berlin.de/de/network/member/ddb_tribal_group_gmbh_2/")</f>
        <v>https://www.creative-city-berlin.de/de/network/member/ddb_tribal_group_gmbh_2/</v>
      </c>
      <c r="B101" s="11" t="str">
        <f>IFERROR(__xludf.DUMMYFUNCTION("""COMPUTED_VALUE"""),"DDB Berlin GmbH - Creative City Berlin")</f>
        <v>DDB Berlin GmbH - Creative City Berlin</v>
      </c>
      <c r="C101" s="8" t="str">
        <f>IFERROR(__xludf.DUMMYFUNCTION("""COMPUTED_VALUE"""),"creative-city-berlin.de")</f>
        <v>creative-city-berlin.de</v>
      </c>
      <c r="D101" s="11" t="str">
        <f>IFERROR(__xludf.DUMMYFUNCTION("""COMPUTED_VALUE"""),"OTHER")</f>
        <v>OTHER</v>
      </c>
      <c r="E101" s="11" t="str">
        <f>IFERROR(__xludf.DUMMYFUNCTION("""COMPUTED_VALUE"""),"INSTITUTIONAL")</f>
        <v>INSTITUTIONAL</v>
      </c>
      <c r="F101" s="11" t="str">
        <f>IFERROR(__xludf.DUMMYFUNCTION("""COMPUTED_VALUE"""),"Other")</f>
        <v>Other</v>
      </c>
      <c r="G101" s="11" t="b">
        <f>IFERROR(__xludf.DUMMYFUNCTION("""COMPUTED_VALUE"""),FALSE)</f>
        <v>0</v>
      </c>
      <c r="H101" s="11"/>
      <c r="I101" s="11">
        <f>IFERROR(__xludf.DUMMYFUNCTION("""COMPUTED_VALUE"""),1.0)</f>
        <v>1</v>
      </c>
      <c r="J101" s="11">
        <f>IFERROR(__xludf.DUMMYFUNCTION("""COMPUTED_VALUE"""),0.0)</f>
        <v>0</v>
      </c>
      <c r="K101" s="11">
        <f>IFERROR(__xludf.DUMMYFUNCTION("""COMPUTED_VALUE"""),2.0)</f>
        <v>2</v>
      </c>
    </row>
    <row r="102" ht="15.75" customHeight="1">
      <c r="A102" s="8" t="str">
        <f>IFERROR(__xludf.DUMMYFUNCTION("""COMPUTED_VALUE"""),"https://csw.agency/en/advertising-agency-duesseldorf/")</f>
        <v>https://csw.agency/en/advertising-agency-duesseldorf/</v>
      </c>
      <c r="B102" s="11" t="str">
        <f>IFERROR(__xludf.DUMMYFUNCTION("""COMPUTED_VALUE"""),"Advertising agency Düsseldorf » CSW.AGENCY e.K.")</f>
        <v>Advertising agency Düsseldorf » CSW.AGENCY e.K.</v>
      </c>
      <c r="C102" s="11" t="str">
        <f>IFERROR(__xludf.DUMMYFUNCTION("""COMPUTED_VALUE"""),"csw.agency")</f>
        <v>csw.agency</v>
      </c>
      <c r="D102" s="11" t="str">
        <f>IFERROR(__xludf.DUMMYFUNCTION("""COMPUTED_VALUE"""),"OTHER")</f>
        <v>OTHER</v>
      </c>
      <c r="E102" s="11" t="str">
        <f>IFERROR(__xludf.DUMMYFUNCTION("""COMPUTED_VALUE"""),"CORPORATE")</f>
        <v>CORPORATE</v>
      </c>
      <c r="F102" s="11" t="str">
        <f>IFERROR(__xludf.DUMMYFUNCTION("""COMPUTED_VALUE"""),"Other")</f>
        <v>Other</v>
      </c>
      <c r="G102" s="11" t="b">
        <f>IFERROR(__xludf.DUMMYFUNCTION("""COMPUTED_VALUE"""),FALSE)</f>
        <v>0</v>
      </c>
      <c r="H102" s="11"/>
      <c r="I102" s="11">
        <f>IFERROR(__xludf.DUMMYFUNCTION("""COMPUTED_VALUE"""),1.0)</f>
        <v>1</v>
      </c>
      <c r="J102" s="11">
        <f>IFERROR(__xludf.DUMMYFUNCTION("""COMPUTED_VALUE"""),0.0)</f>
        <v>0</v>
      </c>
      <c r="K102" s="11">
        <f>IFERROR(__xludf.DUMMYFUNCTION("""COMPUTED_VALUE"""),1.0)</f>
        <v>1</v>
      </c>
    </row>
    <row r="103" ht="15.75" customHeight="1">
      <c r="A103" s="8" t="str">
        <f>IFERROR(__xludf.DUMMYFUNCTION("""COMPUTED_VALUE"""),"https://cybay.de/ki-transformation")</f>
        <v>https://cybay.de/ki-transformation</v>
      </c>
      <c r="B103" s="11" t="str">
        <f>IFERROR(__xludf.DUMMYFUNCTION("""COMPUTED_VALUE"""),"KI-Transformation &amp;amp; KI-Integration | Cybay")</f>
        <v>KI-Transformation &amp;amp; KI-Integration | Cybay</v>
      </c>
      <c r="C103" s="8" t="str">
        <f>IFERROR(__xludf.DUMMYFUNCTION("""COMPUTED_VALUE"""),"cybay.de")</f>
        <v>cybay.de</v>
      </c>
      <c r="D103" s="11" t="str">
        <f>IFERROR(__xludf.DUMMYFUNCTION("""COMPUTED_VALUE"""),"OTHER")</f>
        <v>OTHER</v>
      </c>
      <c r="E103" s="11" t="str">
        <f>IFERROR(__xludf.DUMMYFUNCTION("""COMPUTED_VALUE"""),"CORPORATE")</f>
        <v>CORPORATE</v>
      </c>
      <c r="F103" s="11" t="str">
        <f>IFERROR(__xludf.DUMMYFUNCTION("""COMPUTED_VALUE"""),"Other")</f>
        <v>Other</v>
      </c>
      <c r="G103" s="11" t="b">
        <f>IFERROR(__xludf.DUMMYFUNCTION("""COMPUTED_VALUE"""),FALSE)</f>
        <v>0</v>
      </c>
      <c r="H103" s="11"/>
      <c r="I103" s="11">
        <f>IFERROR(__xludf.DUMMYFUNCTION("""COMPUTED_VALUE"""),1.0)</f>
        <v>1</v>
      </c>
      <c r="J103" s="11">
        <f>IFERROR(__xludf.DUMMYFUNCTION("""COMPUTED_VALUE"""),0.0)</f>
        <v>0</v>
      </c>
      <c r="K103" s="11">
        <f>IFERROR(__xludf.DUMMYFUNCTION("""COMPUTED_VALUE"""),0.0)</f>
        <v>0</v>
      </c>
    </row>
    <row r="104" ht="15.75" customHeight="1">
      <c r="A104" s="8" t="str">
        <f>IFERROR(__xludf.DUMMYFUNCTION("""COMPUTED_VALUE"""),"https://davidms.co.uk/ai-seo-agency-westminster")</f>
        <v>https://davidms.co.uk/ai-seo-agency-westminster</v>
      </c>
      <c r="B104" s="11" t="str">
        <f>IFERROR(__xludf.DUMMYFUNCTION("""COMPUTED_VALUE"""),"AI SEO Agency Westminster | AI Overview Optimisation")</f>
        <v>AI SEO Agency Westminster | AI Overview Optimisation</v>
      </c>
      <c r="C104" s="8" t="str">
        <f>IFERROR(__xludf.DUMMYFUNCTION("""COMPUTED_VALUE"""),"davidms.co.uk")</f>
        <v>davidms.co.uk</v>
      </c>
      <c r="D104" s="11" t="str">
        <f>IFERROR(__xludf.DUMMYFUNCTION("""COMPUTED_VALUE"""),"OTHER")</f>
        <v>OTHER</v>
      </c>
      <c r="E104" s="11" t="str">
        <f>IFERROR(__xludf.DUMMYFUNCTION("""COMPUTED_VALUE"""),"CORPORATE")</f>
        <v>CORPORATE</v>
      </c>
      <c r="F104" s="11" t="str">
        <f>IFERROR(__xludf.DUMMYFUNCTION("""COMPUTED_VALUE"""),"Other")</f>
        <v>Other</v>
      </c>
      <c r="G104" s="11" t="b">
        <f>IFERROR(__xludf.DUMMYFUNCTION("""COMPUTED_VALUE"""),FALSE)</f>
        <v>0</v>
      </c>
      <c r="H104" s="11" t="str">
        <f>IFERROR(__xludf.DUMMYFUNCTION("""COMPUTED_VALUE"""),"Pilot")</f>
        <v>Pilot</v>
      </c>
      <c r="I104" s="11">
        <f>IFERROR(__xludf.DUMMYFUNCTION("""COMPUTED_VALUE"""),1.0)</f>
        <v>1</v>
      </c>
      <c r="J104" s="11">
        <f>IFERROR(__xludf.DUMMYFUNCTION("""COMPUTED_VALUE"""),0.0)</f>
        <v>0</v>
      </c>
      <c r="K104" s="11">
        <f>IFERROR(__xludf.DUMMYFUNCTION("""COMPUTED_VALUE"""),1.0)</f>
        <v>1</v>
      </c>
    </row>
    <row r="105" ht="15.75" customHeight="1">
      <c r="A105" s="8" t="str">
        <f>IFERROR(__xludf.DUMMYFUNCTION("""COMPUTED_VALUE"""),"https://daviesmeyer.com/en/solutions/ai-readiness-workshop")</f>
        <v>https://daviesmeyer.com/en/solutions/ai-readiness-workshop</v>
      </c>
      <c r="B105" s="11"/>
      <c r="C105" s="8" t="str">
        <f>IFERROR(__xludf.DUMMYFUNCTION("""COMPUTED_VALUE"""),"daviesmeyer.com")</f>
        <v>daviesmeyer.com</v>
      </c>
      <c r="D105" s="11" t="str">
        <f>IFERROR(__xludf.DUMMYFUNCTION("""COMPUTED_VALUE"""),"OTHER")</f>
        <v>OTHER</v>
      </c>
      <c r="E105" s="11" t="str">
        <f>IFERROR(__xludf.DUMMYFUNCTION("""COMPUTED_VALUE"""),"CORPORATE")</f>
        <v>CORPORATE</v>
      </c>
      <c r="F105" s="11" t="str">
        <f>IFERROR(__xludf.DUMMYFUNCTION("""COMPUTED_VALUE"""),"Other")</f>
        <v>Other</v>
      </c>
      <c r="G105" s="11"/>
      <c r="H105" s="11" t="str">
        <f>IFERROR(__xludf.DUMMYFUNCTION("""COMPUTED_VALUE"""),"Unknown")</f>
        <v>Unknown</v>
      </c>
      <c r="I105" s="11">
        <f>IFERROR(__xludf.DUMMYFUNCTION("""COMPUTED_VALUE"""),1.0)</f>
        <v>1</v>
      </c>
      <c r="J105" s="11">
        <f>IFERROR(__xludf.DUMMYFUNCTION("""COMPUTED_VALUE"""),0.0)</f>
        <v>0</v>
      </c>
      <c r="K105" s="11">
        <f>IFERROR(__xludf.DUMMYFUNCTION("""COMPUTED_VALUE"""),1.0)</f>
        <v>1</v>
      </c>
    </row>
    <row r="106" ht="15.75" customHeight="1">
      <c r="A106" s="8" t="str">
        <f>IFERROR(__xludf.DUMMYFUNCTION("""COMPUTED_VALUE"""),"https://de.linkedin.com/in/jorngrunert")</f>
        <v>https://de.linkedin.com/in/jorngrunert</v>
      </c>
      <c r="B106" s="11"/>
      <c r="C106" s="8" t="str">
        <f>IFERROR(__xludf.DUMMYFUNCTION("""COMPUTED_VALUE"""),"linkedin.com")</f>
        <v>linkedin.com</v>
      </c>
      <c r="D106" s="11" t="str">
        <f>IFERROR(__xludf.DUMMYFUNCTION("""COMPUTED_VALUE"""),"OTHER")</f>
        <v>OTHER</v>
      </c>
      <c r="E106" s="11" t="str">
        <f>IFERROR(__xludf.DUMMYFUNCTION("""COMPUTED_VALUE"""),"OTHER")</f>
        <v>OTHER</v>
      </c>
      <c r="F106" s="11" t="str">
        <f>IFERROR(__xludf.DUMMYFUNCTION("""COMPUTED_VALUE"""),"Other")</f>
        <v>Other</v>
      </c>
      <c r="G106" s="11"/>
      <c r="H106" s="11" t="str">
        <f>IFERROR(__xludf.DUMMYFUNCTION("""COMPUTED_VALUE"""),"Unknown")</f>
        <v>Unknown</v>
      </c>
      <c r="I106" s="11">
        <f>IFERROR(__xludf.DUMMYFUNCTION("""COMPUTED_VALUE"""),1.0)</f>
        <v>1</v>
      </c>
      <c r="J106" s="11">
        <f>IFERROR(__xludf.DUMMYFUNCTION("""COMPUTED_VALUE"""),0.0)</f>
        <v>0</v>
      </c>
      <c r="K106" s="11">
        <f>IFERROR(__xludf.DUMMYFUNCTION("""COMPUTED_VALUE"""),1.0)</f>
        <v>1</v>
      </c>
    </row>
    <row r="107" ht="15.75" customHeight="1">
      <c r="A107" s="8" t="str">
        <f>IFERROR(__xludf.DUMMYFUNCTION("""COMPUTED_VALUE"""),"https://deichweb.de/en/empfehlungen/")</f>
        <v>https://deichweb.de/en/empfehlungen/</v>
      </c>
      <c r="B107" s="11" t="str">
        <f>IFERROR(__xludf.DUMMYFUNCTION("""COMPUTED_VALUE"""),"Empfehlungen")</f>
        <v>Empfehlungen</v>
      </c>
      <c r="C107" s="8" t="str">
        <f>IFERROR(__xludf.DUMMYFUNCTION("""COMPUTED_VALUE"""),"deichweb.de")</f>
        <v>deichweb.de</v>
      </c>
      <c r="D107" s="11" t="str">
        <f>IFERROR(__xludf.DUMMYFUNCTION("""COMPUTED_VALUE"""),"OTHER")</f>
        <v>OTHER</v>
      </c>
      <c r="E107" s="11" t="str">
        <f>IFERROR(__xludf.DUMMYFUNCTION("""COMPUTED_VALUE"""),"CORPORATE")</f>
        <v>CORPORATE</v>
      </c>
      <c r="F107" s="11" t="str">
        <f>IFERROR(__xludf.DUMMYFUNCTION("""COMPUTED_VALUE"""),"Other")</f>
        <v>Other</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8" t="str">
        <f>IFERROR(__xludf.DUMMYFUNCTION("""COMPUTED_VALUE"""),"https://directory.esomar.org/search/*?from=9")</f>
        <v>https://directory.esomar.org/search/*?from=9</v>
      </c>
      <c r="B108" s="11"/>
      <c r="C108" s="8" t="str">
        <f>IFERROR(__xludf.DUMMYFUNCTION("""COMPUTED_VALUE"""),"esomar.org")</f>
        <v>esomar.org</v>
      </c>
      <c r="D108" s="11" t="str">
        <f>IFERROR(__xludf.DUMMYFUNCTION("""COMPUTED_VALUE"""),"OTHER")</f>
        <v>OTHER</v>
      </c>
      <c r="E108" s="11" t="str">
        <f>IFERROR(__xludf.DUMMYFUNCTION("""COMPUTED_VALUE"""),"INSTITUTIONAL")</f>
        <v>INSTITUTIONAL</v>
      </c>
      <c r="F108" s="11" t="str">
        <f>IFERROR(__xludf.DUMMYFUNCTION("""COMPUTED_VALUE"""),"Other")</f>
        <v>Other</v>
      </c>
      <c r="G108" s="11"/>
      <c r="H108" s="11" t="str">
        <f>IFERROR(__xludf.DUMMYFUNCTION("""COMPUTED_VALUE"""),"Unknown")</f>
        <v>Unknown</v>
      </c>
      <c r="I108" s="11">
        <f>IFERROR(__xludf.DUMMYFUNCTION("""COMPUTED_VALUE"""),1.0)</f>
        <v>1</v>
      </c>
      <c r="J108" s="11">
        <f>IFERROR(__xludf.DUMMYFUNCTION("""COMPUTED_VALUE"""),0.0)</f>
        <v>0</v>
      </c>
      <c r="K108" s="11">
        <f>IFERROR(__xludf.DUMMYFUNCTION("""COMPUTED_VALUE"""),0.0)</f>
        <v>0</v>
      </c>
    </row>
    <row r="109" ht="15.75" customHeight="1">
      <c r="A109" s="8" t="str">
        <f>IFERROR(__xludf.DUMMYFUNCTION("""COMPUTED_VALUE"""),"https://www.dtgv.de/awards/deutscher-b2b-award-2025/kommunikation-werbung/")</f>
        <v>https://www.dtgv.de/awards/deutscher-b2b-award-2025/kommunikation-werbung/</v>
      </c>
      <c r="B109" s="11" t="str">
        <f>IFERROR(__xludf.DUMMYFUNCTION("""COMPUTED_VALUE"""),"Kommunikation &amp;amp; Werbung - DtGV")</f>
        <v>Kommunikation &amp;amp; Werbung - DtGV</v>
      </c>
      <c r="C109" s="8" t="str">
        <f>IFERROR(__xludf.DUMMYFUNCTION("""COMPUTED_VALUE"""),"dtgv.de")</f>
        <v>dtgv.de</v>
      </c>
      <c r="D109" s="11" t="str">
        <f>IFERROR(__xludf.DUMMYFUNCTION("""COMPUTED_VALUE"""),"OTHER")</f>
        <v>OTHER</v>
      </c>
      <c r="E109" s="11" t="str">
        <f>IFERROR(__xludf.DUMMYFUNCTION("""COMPUTED_VALUE"""),"OTHER")</f>
        <v>OTHER</v>
      </c>
      <c r="F109" s="11" t="str">
        <f>IFERROR(__xludf.DUMMYFUNCTION("""COMPUTED_VALUE"""),"Other")</f>
        <v>Other</v>
      </c>
      <c r="G109" s="11" t="b">
        <f>IFERROR(__xludf.DUMMYFUNCTION("""COMPUTED_VALUE"""),FALSE)</f>
        <v>0</v>
      </c>
      <c r="H109" s="11" t="str">
        <f>IFERROR(__xludf.DUMMYFUNCTION("""COMPUTED_VALUE"""),"Merkle, Mindshare, OMD, Pilot, Peak Ace, e-dialog")</f>
        <v>Merkle, Mindshare, OMD, Pilot, Peak Ace, e-dialog</v>
      </c>
      <c r="I109" s="11">
        <f>IFERROR(__xludf.DUMMYFUNCTION("""COMPUTED_VALUE"""),1.0)</f>
        <v>1</v>
      </c>
      <c r="J109" s="11">
        <f>IFERROR(__xludf.DUMMYFUNCTION("""COMPUTED_VALUE"""),0.0)</f>
        <v>0</v>
      </c>
      <c r="K109" s="11">
        <f>IFERROR(__xludf.DUMMYFUNCTION("""COMPUTED_VALUE"""),0.0)</f>
        <v>0</v>
      </c>
    </row>
    <row r="110" ht="15.75" customHeight="1">
      <c r="A110" s="8" t="str">
        <f>IFERROR(__xludf.DUMMYFUNCTION("""COMPUTED_VALUE"""),"https://dwao.in/blog/best-gcp-partner")</f>
        <v>https://dwao.in/blog/best-gcp-partner</v>
      </c>
      <c r="B110" s="11" t="str">
        <f>IFERROR(__xludf.DUMMYFUNCTION("""COMPUTED_VALUE"""),"Best GCP Partner – Top Picks &amp;amp; Selection Guide | DWAO")</f>
        <v>Best GCP Partner – Top Picks &amp;amp; Selection Guide | DWAO</v>
      </c>
      <c r="C110" s="8" t="str">
        <f>IFERROR(__xludf.DUMMYFUNCTION("""COMPUTED_VALUE"""),"dwao.in")</f>
        <v>dwao.in</v>
      </c>
      <c r="D110" s="11" t="str">
        <f>IFERROR(__xludf.DUMMYFUNCTION("""COMPUTED_VALUE"""),"OTHER")</f>
        <v>OTHER</v>
      </c>
      <c r="E110" s="11" t="str">
        <f>IFERROR(__xludf.DUMMYFUNCTION("""COMPUTED_VALUE"""),"CORPORATE")</f>
        <v>CORPORATE</v>
      </c>
      <c r="F110" s="11" t="str">
        <f>IFERROR(__xludf.DUMMYFUNCTION("""COMPUTED_VALUE"""),"Other")</f>
        <v>Other</v>
      </c>
      <c r="G110" s="11" t="b">
        <f>IFERROR(__xludf.DUMMYFUNCTION("""COMPUTED_VALUE"""),FALSE)</f>
        <v>0</v>
      </c>
      <c r="H110" s="11"/>
      <c r="I110" s="11">
        <f>IFERROR(__xludf.DUMMYFUNCTION("""COMPUTED_VALUE"""),1.0)</f>
        <v>1</v>
      </c>
      <c r="J110" s="11">
        <f>IFERROR(__xludf.DUMMYFUNCTION("""COMPUTED_VALUE"""),0.0)</f>
        <v>0</v>
      </c>
      <c r="K110" s="11">
        <f>IFERROR(__xludf.DUMMYFUNCTION("""COMPUTED_VALUE"""),1.0)</f>
        <v>1</v>
      </c>
    </row>
    <row r="111" ht="15.75" customHeight="1">
      <c r="A111" s="8" t="str">
        <f>IFERROR(__xludf.DUMMYFUNCTION("""COMPUTED_VALUE"""),"https://e-dialog.group/en/technologies/")</f>
        <v>https://e-dialog.group/en/technologies/</v>
      </c>
      <c r="B111" s="11" t="str">
        <f>IFERROR(__xludf.DUMMYFUNCTION("""COMPUTED_VALUE"""),"Marketing Technologies &amp;amp; Google Licenses | e-dialog")</f>
        <v>Marketing Technologies &amp;amp; Google Licenses | e-dialog</v>
      </c>
      <c r="C111" s="11" t="str">
        <f>IFERROR(__xludf.DUMMYFUNCTION("""COMPUTED_VALUE"""),"e-dialog.group")</f>
        <v>e-dialog.group</v>
      </c>
      <c r="D111" s="11" t="str">
        <f>IFERROR(__xludf.DUMMYFUNCTION("""COMPUTED_VALUE"""),"OTHER")</f>
        <v>OTHER</v>
      </c>
      <c r="E111" s="11" t="str">
        <f>IFERROR(__xludf.DUMMYFUNCTION("""COMPUTED_VALUE"""),"CORPORATE")</f>
        <v>CORPORATE</v>
      </c>
      <c r="F111" s="11" t="str">
        <f>IFERROR(__xludf.DUMMYFUNCTION("""COMPUTED_VALUE"""),"Other")</f>
        <v>Other</v>
      </c>
      <c r="G111" s="11" t="b">
        <f>IFERROR(__xludf.DUMMYFUNCTION("""COMPUTED_VALUE"""),FALSE)</f>
        <v>0</v>
      </c>
      <c r="H111" s="11" t="str">
        <f>IFERROR(__xludf.DUMMYFUNCTION("""COMPUTED_VALUE"""),"e-dialog")</f>
        <v>e-dialog</v>
      </c>
      <c r="I111" s="11">
        <f>IFERROR(__xludf.DUMMYFUNCTION("""COMPUTED_VALUE"""),1.0)</f>
        <v>1</v>
      </c>
      <c r="J111" s="11">
        <f>IFERROR(__xludf.DUMMYFUNCTION("""COMPUTED_VALUE"""),0.0)</f>
        <v>0</v>
      </c>
      <c r="K111" s="11">
        <f>IFERROR(__xludf.DUMMYFUNCTION("""COMPUTED_VALUE"""),2.0)</f>
        <v>2</v>
      </c>
    </row>
    <row r="112" ht="15.75" customHeight="1">
      <c r="A112" s="8" t="str">
        <f>IFERROR(__xludf.DUMMYFUNCTION("""COMPUTED_VALUE"""),"https://ecosystem.hubspot.com/marketplace/solutions/social-media/germany")</f>
        <v>https://ecosystem.hubspot.com/marketplace/solutions/social-media/germany</v>
      </c>
      <c r="B112" s="11"/>
      <c r="C112" s="8" t="str">
        <f>IFERROR(__xludf.DUMMYFUNCTION("""COMPUTED_VALUE"""),"hubspot.com")</f>
        <v>hubspot.com</v>
      </c>
      <c r="D112" s="11" t="str">
        <f>IFERROR(__xludf.DUMMYFUNCTION("""COMPUTED_VALUE"""),"OTHER")</f>
        <v>OTHER</v>
      </c>
      <c r="E112" s="11" t="str">
        <f>IFERROR(__xludf.DUMMYFUNCTION("""COMPUTED_VALUE"""),"CORPORATE")</f>
        <v>CORPORATE</v>
      </c>
      <c r="F112" s="11" t="str">
        <f>IFERROR(__xludf.DUMMYFUNCTION("""COMPUTED_VALUE"""),"Other")</f>
        <v>Other</v>
      </c>
      <c r="G112" s="11"/>
      <c r="H112" s="11" t="str">
        <f>IFERROR(__xludf.DUMMYFUNCTION("""COMPUTED_VALUE"""),"Unknown")</f>
        <v>Unknown</v>
      </c>
      <c r="I112" s="11">
        <f>IFERROR(__xludf.DUMMYFUNCTION("""COMPUTED_VALUE"""),1.0)</f>
        <v>1</v>
      </c>
      <c r="J112" s="11">
        <f>IFERROR(__xludf.DUMMYFUNCTION("""COMPUTED_VALUE"""),0.0)</f>
        <v>0</v>
      </c>
      <c r="K112" s="11">
        <f>IFERROR(__xludf.DUMMYFUNCTION("""COMPUTED_VALUE"""),0.0)</f>
        <v>0</v>
      </c>
    </row>
    <row r="113" ht="15.75" customHeight="1">
      <c r="A113" s="8" t="str">
        <f>IFERROR(__xludf.DUMMYFUNCTION("""COMPUTED_VALUE"""),"https://ensun.io/search/ab-testing/germany")</f>
        <v>https://ensun.io/search/ab-testing/germany</v>
      </c>
      <c r="B113" s="11" t="str">
        <f>IFERROR(__xludf.DUMMYFUNCTION("""COMPUTED_VALUE"""),"Top 100 A/B Testing Companies in Germany (2026) \| ensun")</f>
        <v>Top 100 A/B Testing Companies in Germany (2026) \| ensun</v>
      </c>
      <c r="C113" s="8" t="str">
        <f>IFERROR(__xludf.DUMMYFUNCTION("""COMPUTED_VALUE"""),"ensun.io")</f>
        <v>ensun.io</v>
      </c>
      <c r="D113" s="11" t="str">
        <f>IFERROR(__xludf.DUMMYFUNCTION("""COMPUTED_VALUE"""),"OTHER")</f>
        <v>OTHER</v>
      </c>
      <c r="E113" s="11" t="str">
        <f>IFERROR(__xludf.DUMMYFUNCTION("""COMPUTED_VALUE"""),"OTHER")</f>
        <v>OTHER</v>
      </c>
      <c r="F113" s="11" t="str">
        <f>IFERROR(__xludf.DUMMYFUNCTION("""COMPUTED_VALUE"""),"Other")</f>
        <v>Other</v>
      </c>
      <c r="G113" s="11" t="b">
        <f>IFERROR(__xludf.DUMMYFUNCTION("""COMPUTED_VALUE"""),FALSE)</f>
        <v>0</v>
      </c>
      <c r="H113" s="11"/>
      <c r="I113" s="11">
        <f>IFERROR(__xludf.DUMMYFUNCTION("""COMPUTED_VALUE"""),1.0)</f>
        <v>1</v>
      </c>
      <c r="J113" s="11">
        <f>IFERROR(__xludf.DUMMYFUNCTION("""COMPUTED_VALUE"""),0.0)</f>
        <v>0</v>
      </c>
      <c r="K113" s="11">
        <f>IFERROR(__xludf.DUMMYFUNCTION("""COMPUTED_VALUE"""),0.0)</f>
        <v>0</v>
      </c>
    </row>
    <row r="114" ht="15.75" customHeight="1">
      <c r="A114" s="8" t="str">
        <f>IFERROR(__xludf.DUMMYFUNCTION("""COMPUTED_VALUE"""),"https://enterprise.google.com/marketing-platform/partners/")</f>
        <v>https://enterprise.google.com/marketing-platform/partners/</v>
      </c>
      <c r="B114" s="11"/>
      <c r="C114" s="8" t="str">
        <f>IFERROR(__xludf.DUMMYFUNCTION("""COMPUTED_VALUE"""),"google.com")</f>
        <v>google.com</v>
      </c>
      <c r="D114" s="11" t="str">
        <f>IFERROR(__xludf.DUMMYFUNCTION("""COMPUTED_VALUE"""),"OTHER")</f>
        <v>OTHER</v>
      </c>
      <c r="E114" s="11" t="str">
        <f>IFERROR(__xludf.DUMMYFUNCTION("""COMPUTED_VALUE"""),"OTHER")</f>
        <v>OTHER</v>
      </c>
      <c r="F114" s="11" t="str">
        <f>IFERROR(__xludf.DUMMYFUNCTION("""COMPUTED_VALUE"""),"Other")</f>
        <v>Other</v>
      </c>
      <c r="G114" s="11"/>
      <c r="H114" s="11" t="str">
        <f>IFERROR(__xludf.DUMMYFUNCTION("""COMPUTED_VALUE"""),"Unknown")</f>
        <v>Unknown</v>
      </c>
      <c r="I114" s="11">
        <f>IFERROR(__xludf.DUMMYFUNCTION("""COMPUTED_VALUE"""),1.0)</f>
        <v>1</v>
      </c>
      <c r="J114" s="11">
        <f>IFERROR(__xludf.DUMMYFUNCTION("""COMPUTED_VALUE"""),0.0)</f>
        <v>0</v>
      </c>
      <c r="K114" s="11">
        <f>IFERROR(__xludf.DUMMYFUNCTION("""COMPUTED_VALUE"""),0.0)</f>
        <v>0</v>
      </c>
    </row>
    <row r="115" ht="15.75" customHeight="1">
      <c r="A115" s="8" t="str">
        <f>IFERROR(__xludf.DUMMYFUNCTION("""COMPUTED_VALUE"""),"https://enterprisemarketingportal.google/find-a-partner/trkkngermany%2528trakken%2529-de?certificationsFilters=Tag%20Manager")</f>
        <v>https://enterprisemarketingportal.google/find-a-partner/trkkngermany%2528trakken%2529-de?certificationsFilters=Tag%20Manager</v>
      </c>
      <c r="B115" s="11"/>
      <c r="C115" s="11" t="str">
        <f>IFERROR(__xludf.DUMMYFUNCTION("""COMPUTED_VALUE"""),"enterprisemarketingportal.google")</f>
        <v>enterprisemarketingportal.google</v>
      </c>
      <c r="D115" s="11" t="str">
        <f>IFERROR(__xludf.DUMMYFUNCTION("""COMPUTED_VALUE"""),"OTHER")</f>
        <v>OTHER</v>
      </c>
      <c r="E115" s="11" t="str">
        <f>IFERROR(__xludf.DUMMYFUNCTION("""COMPUTED_VALUE"""),"OTHER")</f>
        <v>OTHER</v>
      </c>
      <c r="F115" s="11" t="str">
        <f>IFERROR(__xludf.DUMMYFUNCTION("""COMPUTED_VALUE"""),"Other")</f>
        <v>Other</v>
      </c>
      <c r="G115" s="11"/>
      <c r="H115" s="11" t="str">
        <f>IFERROR(__xludf.DUMMYFUNCTION("""COMPUTED_VALUE"""),"Unknown")</f>
        <v>Unknown</v>
      </c>
      <c r="I115" s="11">
        <f>IFERROR(__xludf.DUMMYFUNCTION("""COMPUTED_VALUE"""),1.0)</f>
        <v>1</v>
      </c>
      <c r="J115" s="11">
        <f>IFERROR(__xludf.DUMMYFUNCTION("""COMPUTED_VALUE"""),0.0)</f>
        <v>0</v>
      </c>
      <c r="K115" s="11">
        <f>IFERROR(__xludf.DUMMYFUNCTION("""COMPUTED_VALUE"""),1.0)</f>
        <v>1</v>
      </c>
    </row>
    <row r="116" ht="15.75" customHeight="1">
      <c r="A116" s="8" t="str">
        <f>IFERROR(__xludf.DUMMYFUNCTION("""COMPUTED_VALUE"""),"https://euro-security.de/en/germany-establishes-centre-of-excellence-for-ai-security/")</f>
        <v>https://euro-security.de/en/germany-establishes-centre-of-excellence-for-ai-security/</v>
      </c>
      <c r="B116" s="11" t="str">
        <f>IFERROR(__xludf.DUMMYFUNCTION("""COMPUTED_VALUE"""),"Germany establishes centre of excellence for AI security | EURO SECURITY")</f>
        <v>Germany establishes centre of excellence for AI security | EURO SECURITY</v>
      </c>
      <c r="C116" s="8" t="str">
        <f>IFERROR(__xludf.DUMMYFUNCTION("""COMPUTED_VALUE"""),"euro-security.de")</f>
        <v>euro-security.de</v>
      </c>
      <c r="D116" s="11" t="str">
        <f>IFERROR(__xludf.DUMMYFUNCTION("""COMPUTED_VALUE"""),"OTHER")</f>
        <v>OTHER</v>
      </c>
      <c r="E116" s="11" t="str">
        <f>IFERROR(__xludf.DUMMYFUNCTION("""COMPUTED_VALUE"""),"EDITORIAL")</f>
        <v>EDITORIAL</v>
      </c>
      <c r="F116" s="11" t="str">
        <f>IFERROR(__xludf.DUMMYFUNCTION("""COMPUTED_VALUE"""),"Other")</f>
        <v>Other</v>
      </c>
      <c r="G116" s="11" t="b">
        <f>IFERROR(__xludf.DUMMYFUNCTION("""COMPUTED_VALUE"""),FALSE)</f>
        <v>0</v>
      </c>
      <c r="H116" s="11"/>
      <c r="I116" s="11">
        <f>IFERROR(__xludf.DUMMYFUNCTION("""COMPUTED_VALUE"""),1.0)</f>
        <v>1</v>
      </c>
      <c r="J116" s="11">
        <f>IFERROR(__xludf.DUMMYFUNCTION("""COMPUTED_VALUE"""),0.0)</f>
        <v>0</v>
      </c>
      <c r="K116" s="11">
        <f>IFERROR(__xludf.DUMMYFUNCTION("""COMPUTED_VALUE"""),1.0)</f>
        <v>1</v>
      </c>
    </row>
    <row r="117" ht="15.75" customHeight="1">
      <c r="A117" s="8" t="str">
        <f>IFERROR(__xludf.DUMMYFUNCTION("""COMPUTED_VALUE"""),"https://www.f6s.com/software/category/first-party-data-activation")</f>
        <v>https://www.f6s.com/software/category/first-party-data-activation</v>
      </c>
      <c r="B117" s="11" t="str">
        <f>IFERROR(__xludf.DUMMYFUNCTION("""COMPUTED_VALUE"""),"Best First-Party Data Activation Software • March 2026 \| F6S")</f>
        <v>Best First-Party Data Activation Software • March 2026 \| F6S</v>
      </c>
      <c r="C117" s="8" t="str">
        <f>IFERROR(__xludf.DUMMYFUNCTION("""COMPUTED_VALUE"""),"f6s.com")</f>
        <v>f6s.com</v>
      </c>
      <c r="D117" s="11" t="str">
        <f>IFERROR(__xludf.DUMMYFUNCTION("""COMPUTED_VALUE"""),"OTHER")</f>
        <v>OTHER</v>
      </c>
      <c r="E117" s="11" t="str">
        <f>IFERROR(__xludf.DUMMYFUNCTION("""COMPUTED_VALUE"""),"UGC")</f>
        <v>UGC</v>
      </c>
      <c r="F117" s="11" t="str">
        <f>IFERROR(__xludf.DUMMYFUNCTION("""COMPUTED_VALUE"""),"Other")</f>
        <v>Other</v>
      </c>
      <c r="G117" s="11" t="b">
        <f>IFERROR(__xludf.DUMMYFUNCTION("""COMPUTED_VALUE"""),FALSE)</f>
        <v>0</v>
      </c>
      <c r="H117" s="11"/>
      <c r="I117" s="11">
        <f>IFERROR(__xludf.DUMMYFUNCTION("""COMPUTED_VALUE"""),1.0)</f>
        <v>1</v>
      </c>
      <c r="J117" s="11">
        <f>IFERROR(__xludf.DUMMYFUNCTION("""COMPUTED_VALUE"""),0.0)</f>
        <v>0</v>
      </c>
      <c r="K117" s="11">
        <f>IFERROR(__xludf.DUMMYFUNCTION("""COMPUTED_VALUE"""),0.0)</f>
        <v>0</v>
      </c>
    </row>
    <row r="118" ht="15.75" customHeight="1">
      <c r="A118" s="8" t="str">
        <f>IFERROR(__xludf.DUMMYFUNCTION("""COMPUTED_VALUE"""),"https://www.facebook.com/incrmntal/")</f>
        <v>https://www.facebook.com/incrmntal/</v>
      </c>
      <c r="B118" s="11"/>
      <c r="C118" s="8" t="str">
        <f>IFERROR(__xludf.DUMMYFUNCTION("""COMPUTED_VALUE"""),"facebook.com")</f>
        <v>facebook.com</v>
      </c>
      <c r="D118" s="11" t="str">
        <f>IFERROR(__xludf.DUMMYFUNCTION("""COMPUTED_VALUE"""),"OTHER")</f>
        <v>OTHER</v>
      </c>
      <c r="E118" s="11" t="str">
        <f>IFERROR(__xludf.DUMMYFUNCTION("""COMPUTED_VALUE"""),"OTHER")</f>
        <v>OTHER</v>
      </c>
      <c r="F118" s="11" t="str">
        <f>IFERROR(__xludf.DUMMYFUNCTION("""COMPUTED_VALUE"""),"Other")</f>
        <v>Other</v>
      </c>
      <c r="G118" s="11"/>
      <c r="H118" s="11" t="str">
        <f>IFERROR(__xludf.DUMMYFUNCTION("""COMPUTED_VALUE"""),"Unknown")</f>
        <v>Unknown</v>
      </c>
      <c r="I118" s="11">
        <f>IFERROR(__xludf.DUMMYFUNCTION("""COMPUTED_VALUE"""),1.0)</f>
        <v>1</v>
      </c>
      <c r="J118" s="11">
        <f>IFERROR(__xludf.DUMMYFUNCTION("""COMPUTED_VALUE"""),0.0)</f>
        <v>0</v>
      </c>
      <c r="K118" s="11">
        <f>IFERROR(__xludf.DUMMYFUNCTION("""COMPUTED_VALUE"""),1.0)</f>
        <v>1</v>
      </c>
    </row>
    <row r="119" ht="15.75" customHeight="1">
      <c r="A119" s="8" t="str">
        <f>IFERROR(__xludf.DUMMYFUNCTION("""COMPUTED_VALUE"""),"https://firmeneintrag.creditreform.de/80331/2151366579/INCUBETA_GERMANY_GMBH")</f>
        <v>https://firmeneintrag.creditreform.de/80331/2151366579/INCUBETA_GERMANY_GMBH</v>
      </c>
      <c r="B119" s="11"/>
      <c r="C119" s="8" t="str">
        <f>IFERROR(__xludf.DUMMYFUNCTION("""COMPUTED_VALUE"""),"creditreform.de")</f>
        <v>creditreform.de</v>
      </c>
      <c r="D119" s="11" t="str">
        <f>IFERROR(__xludf.DUMMYFUNCTION("""COMPUTED_VALUE"""),"OTHER")</f>
        <v>OTHER</v>
      </c>
      <c r="E119" s="11" t="str">
        <f>IFERROR(__xludf.DUMMYFUNCTION("""COMPUTED_VALUE"""),"OTHER")</f>
        <v>OTHER</v>
      </c>
      <c r="F119" s="11" t="str">
        <f>IFERROR(__xludf.DUMMYFUNCTION("""COMPUTED_VALUE"""),"Other")</f>
        <v>Other</v>
      </c>
      <c r="G119" s="11"/>
      <c r="H119" s="11" t="str">
        <f>IFERROR(__xludf.DUMMYFUNCTION("""COMPUTED_VALUE"""),"Unknown")</f>
        <v>Unknown</v>
      </c>
      <c r="I119" s="11">
        <f>IFERROR(__xludf.DUMMYFUNCTION("""COMPUTED_VALUE"""),1.0)</f>
        <v>1</v>
      </c>
      <c r="J119" s="11">
        <f>IFERROR(__xludf.DUMMYFUNCTION("""COMPUTED_VALUE"""),0.0)</f>
        <v>0</v>
      </c>
      <c r="K119" s="11">
        <f>IFERROR(__xludf.DUMMYFUNCTION("""COMPUTED_VALUE"""),1.0)</f>
        <v>1</v>
      </c>
    </row>
    <row r="120" ht="15.75" customHeight="1">
      <c r="A120" s="8" t="str">
        <f>IFERROR(__xludf.DUMMYFUNCTION("""COMPUTED_VALUE"""),"https://www.forrester.com/report/the-forrester-wave-tm-marketing-measurement-and-optimization-services-q1-2026/RES190293")</f>
        <v>https://www.forrester.com/report/the-forrester-wave-tm-marketing-measurement-and-optimization-services-q1-2026/RES190293</v>
      </c>
      <c r="B120" s="11" t="str">
        <f>IFERROR(__xludf.DUMMYFUNCTION("""COMPUTED_VALUE"""),"The Forrester Wave™: Marketing Measurement And Optimization Services, Q1 2026 | Forrester")</f>
        <v>The Forrester Wave™: Marketing Measurement And Optimization Services, Q1 2026 | Forrester</v>
      </c>
      <c r="C120" s="8" t="str">
        <f>IFERROR(__xludf.DUMMYFUNCTION("""COMPUTED_VALUE"""),"forrester.com")</f>
        <v>forrester.com</v>
      </c>
      <c r="D120" s="11" t="str">
        <f>IFERROR(__xludf.DUMMYFUNCTION("""COMPUTED_VALUE"""),"OTHER")</f>
        <v>OTHER</v>
      </c>
      <c r="E120" s="11" t="str">
        <f>IFERROR(__xludf.DUMMYFUNCTION("""COMPUTED_VALUE"""),"CORPORATE")</f>
        <v>CORPORATE</v>
      </c>
      <c r="F120" s="11" t="str">
        <f>IFERROR(__xludf.DUMMYFUNCTION("""COMPUTED_VALUE"""),"Other")</f>
        <v>Other</v>
      </c>
      <c r="G120" s="11" t="b">
        <f>IFERROR(__xludf.DUMMYFUNCTION("""COMPUTED_VALUE"""),FALSE)</f>
        <v>0</v>
      </c>
      <c r="H120" s="11"/>
      <c r="I120" s="11">
        <f>IFERROR(__xludf.DUMMYFUNCTION("""COMPUTED_VALUE"""),1.0)</f>
        <v>1</v>
      </c>
      <c r="J120" s="11">
        <f>IFERROR(__xludf.DUMMYFUNCTION("""COMPUTED_VALUE"""),0.0)</f>
        <v>0</v>
      </c>
      <c r="K120" s="11">
        <f>IFERROR(__xludf.DUMMYFUNCTION("""COMPUTED_VALUE"""),2.0)</f>
        <v>2</v>
      </c>
    </row>
    <row r="121" ht="15.75" customHeight="1">
      <c r="A121" s="8" t="str">
        <f>IFERROR(__xludf.DUMMYFUNCTION("""COMPUTED_VALUE"""),"https://getdigitalresults.com/digital-advertising/display-ads/")</f>
        <v>https://getdigitalresults.com/digital-advertising/display-ads/</v>
      </c>
      <c r="B121" s="11" t="str">
        <f>IFERROR(__xludf.DUMMYFUNCTION("""COMPUTED_VALUE"""),"Display Advertising Agency | Digital Display Advertising")</f>
        <v>Display Advertising Agency | Digital Display Advertising</v>
      </c>
      <c r="C121" s="8" t="str">
        <f>IFERROR(__xludf.DUMMYFUNCTION("""COMPUTED_VALUE"""),"getdigitalresults.com")</f>
        <v>getdigitalresults.com</v>
      </c>
      <c r="D121" s="11" t="str">
        <f>IFERROR(__xludf.DUMMYFUNCTION("""COMPUTED_VALUE"""),"OTHER")</f>
        <v>OTHER</v>
      </c>
      <c r="E121" s="11" t="str">
        <f>IFERROR(__xludf.DUMMYFUNCTION("""COMPUTED_VALUE"""),"CORPORATE")</f>
        <v>CORPORATE</v>
      </c>
      <c r="F121" s="11" t="str">
        <f>IFERROR(__xludf.DUMMYFUNCTION("""COMPUTED_VALUE"""),"Other")</f>
        <v>Other</v>
      </c>
      <c r="G121" s="11" t="b">
        <f>IFERROR(__xludf.DUMMYFUNCTION("""COMPUTED_VALUE"""),FALSE)</f>
        <v>0</v>
      </c>
      <c r="H121" s="11"/>
      <c r="I121" s="11">
        <f>IFERROR(__xludf.DUMMYFUNCTION("""COMPUTED_VALUE"""),1.0)</f>
        <v>1</v>
      </c>
      <c r="J121" s="11">
        <f>IFERROR(__xludf.DUMMYFUNCTION("""COMPUTED_VALUE"""),0.0)</f>
        <v>0</v>
      </c>
      <c r="K121" s="11">
        <f>IFERROR(__xludf.DUMMYFUNCTION("""COMPUTED_VALUE"""),1.0)</f>
        <v>1</v>
      </c>
    </row>
    <row r="122" ht="15.75" customHeight="1">
      <c r="A122" s="8" t="str">
        <f>IFERROR(__xludf.DUMMYFUNCTION("""COMPUTED_VALUE"""),"https://www.glassroom.ca/article/first-party-data-activation")</f>
        <v>https://www.glassroom.ca/article/first-party-data-activation</v>
      </c>
      <c r="B122" s="11" t="str">
        <f>IFERROR(__xludf.DUMMYFUNCTION("""COMPUTED_VALUE"""),"Three Truths About First-Party Data Activation | Glassroom")</f>
        <v>Three Truths About First-Party Data Activation | Glassroom</v>
      </c>
      <c r="C122" s="8" t="str">
        <f>IFERROR(__xludf.DUMMYFUNCTION("""COMPUTED_VALUE"""),"glassroom.ca")</f>
        <v>glassroom.ca</v>
      </c>
      <c r="D122" s="11" t="str">
        <f>IFERROR(__xludf.DUMMYFUNCTION("""COMPUTED_VALUE"""),"OTHER")</f>
        <v>OTHER</v>
      </c>
      <c r="E122" s="11" t="str">
        <f>IFERROR(__xludf.DUMMYFUNCTION("""COMPUTED_VALUE"""),"CORPORATE")</f>
        <v>CORPORATE</v>
      </c>
      <c r="F122" s="11" t="str">
        <f>IFERROR(__xludf.DUMMYFUNCTION("""COMPUTED_VALUE"""),"Other")</f>
        <v>Other</v>
      </c>
      <c r="G122" s="11" t="b">
        <f>IFERROR(__xludf.DUMMYFUNCTION("""COMPUTED_VALUE"""),FALSE)</f>
        <v>0</v>
      </c>
      <c r="H122" s="11"/>
      <c r="I122" s="11">
        <f>IFERROR(__xludf.DUMMYFUNCTION("""COMPUTED_VALUE"""),1.0)</f>
        <v>1</v>
      </c>
      <c r="J122" s="11">
        <f>IFERROR(__xludf.DUMMYFUNCTION("""COMPUTED_VALUE"""),0.0)</f>
        <v>0</v>
      </c>
      <c r="K122" s="11">
        <f>IFERROR(__xludf.DUMMYFUNCTION("""COMPUTED_VALUE"""),1.0)</f>
        <v>1</v>
      </c>
    </row>
    <row r="123" ht="15.75" customHeight="1">
      <c r="A123" s="8" t="str">
        <f>IFERROR(__xludf.DUMMYFUNCTION("""COMPUTED_VALUE"""),"https://www.google.com/searchviewer/10?svid=CAwSGxIZCgNwdnESEkNnc3ZaeTh4ZEdONGFIUTBZdxgK")</f>
        <v>https://www.google.com/searchviewer/10?svid=CAwSGxIZCgNwdnESEkNnc3ZaeTh4ZEdONGFIUTBZdxgK</v>
      </c>
      <c r="B123" s="11"/>
      <c r="C123" s="8" t="str">
        <f>IFERROR(__xludf.DUMMYFUNCTION("""COMPUTED_VALUE"""),"google.com")</f>
        <v>google.com</v>
      </c>
      <c r="D123" s="11" t="str">
        <f>IFERROR(__xludf.DUMMYFUNCTION("""COMPUTED_VALUE"""),"OTHER")</f>
        <v>OTHER</v>
      </c>
      <c r="E123" s="11" t="str">
        <f>IFERROR(__xludf.DUMMYFUNCTION("""COMPUTED_VALUE"""),"OTHER")</f>
        <v>OTHER</v>
      </c>
      <c r="F123" s="11" t="str">
        <f>IFERROR(__xludf.DUMMYFUNCTION("""COMPUTED_VALUE"""),"Other")</f>
        <v>Other</v>
      </c>
      <c r="G123" s="11"/>
      <c r="H123" s="11" t="str">
        <f>IFERROR(__xludf.DUMMYFUNCTION("""COMPUTED_VALUE"""),"Unknown")</f>
        <v>Unknown</v>
      </c>
      <c r="I123" s="11">
        <f>IFERROR(__xludf.DUMMYFUNCTION("""COMPUTED_VALUE"""),1.0)</f>
        <v>1</v>
      </c>
      <c r="J123" s="11">
        <f>IFERROR(__xludf.DUMMYFUNCTION("""COMPUTED_VALUE"""),0.0)</f>
        <v>0</v>
      </c>
      <c r="K123" s="11">
        <f>IFERROR(__xludf.DUMMYFUNCTION("""COMPUTED_VALUE"""),1.0)</f>
        <v>1</v>
      </c>
    </row>
    <row r="124" ht="15.75" customHeight="1">
      <c r="A124" s="8" t="str">
        <f>IFERROR(__xludf.DUMMYFUNCTION("""COMPUTED_VALUE"""),"https://www.google.com/searchviewer/10?svid=CAwSGxIZCgNwdnESEkNnc3ZaeTh4ZEhRNFlqaDVjZxgK")</f>
        <v>https://www.google.com/searchviewer/10?svid=CAwSGxIZCgNwdnESEkNnc3ZaeTh4ZEhRNFlqaDVjZxgK</v>
      </c>
      <c r="B124" s="11"/>
      <c r="C124" s="8" t="str">
        <f>IFERROR(__xludf.DUMMYFUNCTION("""COMPUTED_VALUE"""),"google.com")</f>
        <v>google.com</v>
      </c>
      <c r="D124" s="11" t="str">
        <f>IFERROR(__xludf.DUMMYFUNCTION("""COMPUTED_VALUE"""),"OTHER")</f>
        <v>OTHER</v>
      </c>
      <c r="E124" s="11" t="str">
        <f>IFERROR(__xludf.DUMMYFUNCTION("""COMPUTED_VALUE"""),"OTHER")</f>
        <v>OTHER</v>
      </c>
      <c r="F124" s="11" t="str">
        <f>IFERROR(__xludf.DUMMYFUNCTION("""COMPUTED_VALUE"""),"Other")</f>
        <v>Other</v>
      </c>
      <c r="G124" s="11"/>
      <c r="H124" s="11" t="str">
        <f>IFERROR(__xludf.DUMMYFUNCTION("""COMPUTED_VALUE"""),"Unknown")</f>
        <v>Unknown</v>
      </c>
      <c r="I124" s="11">
        <f>IFERROR(__xludf.DUMMYFUNCTION("""COMPUTED_VALUE"""),1.0)</f>
        <v>1</v>
      </c>
      <c r="J124" s="11">
        <f>IFERROR(__xludf.DUMMYFUNCTION("""COMPUTED_VALUE"""),0.0)</f>
        <v>0</v>
      </c>
      <c r="K124" s="11">
        <f>IFERROR(__xludf.DUMMYFUNCTION("""COMPUTED_VALUE"""),1.0)</f>
        <v>1</v>
      </c>
    </row>
    <row r="125" ht="15.75" customHeight="1">
      <c r="A125" s="8" t="str">
        <f>IFERROR(__xludf.DUMMYFUNCTION("""COMPUTED_VALUE"""),"https://www.google.com/searchviewer/10?svid=CAwSGxIZCgNwdnESEkNnc3ZaeTh4ZGpac05tczFiURgK")</f>
        <v>https://www.google.com/searchviewer/10?svid=CAwSGxIZCgNwdnESEkNnc3ZaeTh4ZGpac05tczFiURgK</v>
      </c>
      <c r="B125" s="11"/>
      <c r="C125" s="8" t="str">
        <f>IFERROR(__xludf.DUMMYFUNCTION("""COMPUTED_VALUE"""),"google.com")</f>
        <v>google.com</v>
      </c>
      <c r="D125" s="11" t="str">
        <f>IFERROR(__xludf.DUMMYFUNCTION("""COMPUTED_VALUE"""),"OTHER")</f>
        <v>OTHER</v>
      </c>
      <c r="E125" s="11" t="str">
        <f>IFERROR(__xludf.DUMMYFUNCTION("""COMPUTED_VALUE"""),"OTHER")</f>
        <v>OTHER</v>
      </c>
      <c r="F125" s="11" t="str">
        <f>IFERROR(__xludf.DUMMYFUNCTION("""COMPUTED_VALUE"""),"Other")</f>
        <v>Other</v>
      </c>
      <c r="G125" s="11"/>
      <c r="H125" s="11" t="str">
        <f>IFERROR(__xludf.DUMMYFUNCTION("""COMPUTED_VALUE"""),"Unknown")</f>
        <v>Unknown</v>
      </c>
      <c r="I125" s="11">
        <f>IFERROR(__xludf.DUMMYFUNCTION("""COMPUTED_VALUE"""),1.0)</f>
        <v>1</v>
      </c>
      <c r="J125" s="11">
        <f>IFERROR(__xludf.DUMMYFUNCTION("""COMPUTED_VALUE"""),0.0)</f>
        <v>0</v>
      </c>
      <c r="K125" s="11">
        <f>IFERROR(__xludf.DUMMYFUNCTION("""COMPUTED_VALUE"""),0.0)</f>
        <v>0</v>
      </c>
    </row>
    <row r="126" ht="15.75" customHeight="1">
      <c r="A126" s="8" t="str">
        <f>IFERROR(__xludf.DUMMYFUNCTION("""COMPUTED_VALUE"""),"https://www.google.com/searchviewer/10?svid=CAwSHBIaCgNwdnESE0Nnd3ZaeTh4Y0hSNE9Xc3lOMkkYCg")</f>
        <v>https://www.google.com/searchviewer/10?svid=CAwSHBIaCgNwdnESE0Nnd3ZaeTh4Y0hSNE9Xc3lOMkkYCg</v>
      </c>
      <c r="B126" s="11"/>
      <c r="C126" s="8" t="str">
        <f>IFERROR(__xludf.DUMMYFUNCTION("""COMPUTED_VALUE"""),"google.com")</f>
        <v>google.com</v>
      </c>
      <c r="D126" s="11" t="str">
        <f>IFERROR(__xludf.DUMMYFUNCTION("""COMPUTED_VALUE"""),"OTHER")</f>
        <v>OTHER</v>
      </c>
      <c r="E126" s="11" t="str">
        <f>IFERROR(__xludf.DUMMYFUNCTION("""COMPUTED_VALUE"""),"OTHER")</f>
        <v>OTHER</v>
      </c>
      <c r="F126" s="11" t="str">
        <f>IFERROR(__xludf.DUMMYFUNCTION("""COMPUTED_VALUE"""),"Other")</f>
        <v>Other</v>
      </c>
      <c r="G126" s="11"/>
      <c r="H126" s="11" t="str">
        <f>IFERROR(__xludf.DUMMYFUNCTION("""COMPUTED_VALUE"""),"Unknown")</f>
        <v>Unknown</v>
      </c>
      <c r="I126" s="11">
        <f>IFERROR(__xludf.DUMMYFUNCTION("""COMPUTED_VALUE"""),1.0)</f>
        <v>1</v>
      </c>
      <c r="J126" s="11">
        <f>IFERROR(__xludf.DUMMYFUNCTION("""COMPUTED_VALUE"""),0.0)</f>
        <v>0</v>
      </c>
      <c r="K126" s="11">
        <f>IFERROR(__xludf.DUMMYFUNCTION("""COMPUTED_VALUE"""),0.0)</f>
        <v>0</v>
      </c>
    </row>
    <row r="127" ht="15.75" customHeight="1">
      <c r="A127" s="8" t="str">
        <f>IFERROR(__xludf.DUMMYFUNCTION("""COMPUTED_VALUE"""),"https://www.google.com/searchviewer/10?svid=CAwSHBIaCgNwdnESE0Nnd3ZaeTh4YUcwMWJYTjVjREkYCg")</f>
        <v>https://www.google.com/searchviewer/10?svid=CAwSHBIaCgNwdnESE0Nnd3ZaeTh4YUcwMWJYTjVjREkYCg</v>
      </c>
      <c r="B127" s="11"/>
      <c r="C127" s="8" t="str">
        <f>IFERROR(__xludf.DUMMYFUNCTION("""COMPUTED_VALUE"""),"google.com")</f>
        <v>google.com</v>
      </c>
      <c r="D127" s="11" t="str">
        <f>IFERROR(__xludf.DUMMYFUNCTION("""COMPUTED_VALUE"""),"OTHER")</f>
        <v>OTHER</v>
      </c>
      <c r="E127" s="11" t="str">
        <f>IFERROR(__xludf.DUMMYFUNCTION("""COMPUTED_VALUE"""),"OTHER")</f>
        <v>OTHER</v>
      </c>
      <c r="F127" s="11" t="str">
        <f>IFERROR(__xludf.DUMMYFUNCTION("""COMPUTED_VALUE"""),"Other")</f>
        <v>Other</v>
      </c>
      <c r="G127" s="11"/>
      <c r="H127" s="11" t="str">
        <f>IFERROR(__xludf.DUMMYFUNCTION("""COMPUTED_VALUE"""),"Unknown")</f>
        <v>Unknown</v>
      </c>
      <c r="I127" s="11">
        <f>IFERROR(__xludf.DUMMYFUNCTION("""COMPUTED_VALUE"""),1.0)</f>
        <v>1</v>
      </c>
      <c r="J127" s="11">
        <f>IFERROR(__xludf.DUMMYFUNCTION("""COMPUTED_VALUE"""),0.0)</f>
        <v>0</v>
      </c>
      <c r="K127" s="11">
        <f>IFERROR(__xludf.DUMMYFUNCTION("""COMPUTED_VALUE"""),0.0)</f>
        <v>0</v>
      </c>
    </row>
    <row r="128" ht="15.75" customHeight="1">
      <c r="A128" s="8" t="str">
        <f>IFERROR(__xludf.DUMMYFUNCTION("""COMPUTED_VALUE"""),"https://www.google.com/searchviewer/10?svid=CAwSHRIbCgNwdnESFENnMHZaeTh4TVdJMmFIWm9Nemw1GAo")</f>
        <v>https://www.google.com/searchviewer/10?svid=CAwSHRIbCgNwdnESFENnMHZaeTh4TVdJMmFIWm9Nemw1GAo</v>
      </c>
      <c r="B128" s="11"/>
      <c r="C128" s="8" t="str">
        <f>IFERROR(__xludf.DUMMYFUNCTION("""COMPUTED_VALUE"""),"google.com")</f>
        <v>google.com</v>
      </c>
      <c r="D128" s="11" t="str">
        <f>IFERROR(__xludf.DUMMYFUNCTION("""COMPUTED_VALUE"""),"OTHER")</f>
        <v>OTHER</v>
      </c>
      <c r="E128" s="11" t="str">
        <f>IFERROR(__xludf.DUMMYFUNCTION("""COMPUTED_VALUE"""),"OTHER")</f>
        <v>OTHER</v>
      </c>
      <c r="F128" s="11" t="str">
        <f>IFERROR(__xludf.DUMMYFUNCTION("""COMPUTED_VALUE"""),"Other")</f>
        <v>Other</v>
      </c>
      <c r="G128" s="11"/>
      <c r="H128" s="11" t="str">
        <f>IFERROR(__xludf.DUMMYFUNCTION("""COMPUTED_VALUE"""),"Unknown")</f>
        <v>Unknown</v>
      </c>
      <c r="I128" s="11">
        <f>IFERROR(__xludf.DUMMYFUNCTION("""COMPUTED_VALUE"""),1.0)</f>
        <v>1</v>
      </c>
      <c r="J128" s="11">
        <f>IFERROR(__xludf.DUMMYFUNCTION("""COMPUTED_VALUE"""),0.0)</f>
        <v>0</v>
      </c>
      <c r="K128" s="11">
        <f>IFERROR(__xludf.DUMMYFUNCTION("""COMPUTED_VALUE"""),2.0)</f>
        <v>2</v>
      </c>
    </row>
    <row r="129" ht="15.75" customHeight="1">
      <c r="A129" s="8" t="str">
        <f>IFERROR(__xludf.DUMMYFUNCTION("""COMPUTED_VALUE"""),"https://www.google.com/searchviewer/10?svid=CAwSHRIbCgNwdnESFENnMHZaeTh4TVdOc2N6WjRkSGhqGAo")</f>
        <v>https://www.google.com/searchviewer/10?svid=CAwSHRIbCgNwdnESFENnMHZaeTh4TVdOc2N6WjRkSGhqGAo</v>
      </c>
      <c r="B129" s="11"/>
      <c r="C129" s="8" t="str">
        <f>IFERROR(__xludf.DUMMYFUNCTION("""COMPUTED_VALUE"""),"google.com")</f>
        <v>google.com</v>
      </c>
      <c r="D129" s="11" t="str">
        <f>IFERROR(__xludf.DUMMYFUNCTION("""COMPUTED_VALUE"""),"OTHER")</f>
        <v>OTHER</v>
      </c>
      <c r="E129" s="11" t="str">
        <f>IFERROR(__xludf.DUMMYFUNCTION("""COMPUTED_VALUE"""),"OTHER")</f>
        <v>OTHER</v>
      </c>
      <c r="F129" s="11" t="str">
        <f>IFERROR(__xludf.DUMMYFUNCTION("""COMPUTED_VALUE"""),"Other")</f>
        <v>Other</v>
      </c>
      <c r="G129" s="11"/>
      <c r="H129" s="11" t="str">
        <f>IFERROR(__xludf.DUMMYFUNCTION("""COMPUTED_VALUE"""),"Unknown")</f>
        <v>Unknown</v>
      </c>
      <c r="I129" s="11">
        <f>IFERROR(__xludf.DUMMYFUNCTION("""COMPUTED_VALUE"""),1.0)</f>
        <v>1</v>
      </c>
      <c r="J129" s="11">
        <f>IFERROR(__xludf.DUMMYFUNCTION("""COMPUTED_VALUE"""),0.0)</f>
        <v>0</v>
      </c>
      <c r="K129" s="11">
        <f>IFERROR(__xludf.DUMMYFUNCTION("""COMPUTED_VALUE"""),0.0)</f>
        <v>0</v>
      </c>
    </row>
    <row r="130" ht="15.75" customHeight="1">
      <c r="A130" s="8" t="str">
        <f>IFERROR(__xludf.DUMMYFUNCTION("""COMPUTED_VALUE"""),"https://growth-hacking-agentur.de/ai-marketing-agenturen")</f>
        <v>https://growth-hacking-agentur.de/ai-marketing-agenturen</v>
      </c>
      <c r="B130" s="11" t="str">
        <f>IFERROR(__xludf.DUMMYFUNCTION("""COMPUTED_VALUE"""),"Die besten AI Marketing Agenturen")</f>
        <v>Die besten AI Marketing Agenturen</v>
      </c>
      <c r="C130" s="8" t="str">
        <f>IFERROR(__xludf.DUMMYFUNCTION("""COMPUTED_VALUE"""),"growth-hacking-agentur.de")</f>
        <v>growth-hacking-agentur.de</v>
      </c>
      <c r="D130" s="11" t="str">
        <f>IFERROR(__xludf.DUMMYFUNCTION("""COMPUTED_VALUE"""),"OTHER")</f>
        <v>OTHER</v>
      </c>
      <c r="E130" s="11" t="str">
        <f>IFERROR(__xludf.DUMMYFUNCTION("""COMPUTED_VALUE"""),"CORPORATE")</f>
        <v>CORPORATE</v>
      </c>
      <c r="F130" s="11" t="str">
        <f>IFERROR(__xludf.DUMMYFUNCTION("""COMPUTED_VALUE"""),"Other")</f>
        <v>Other</v>
      </c>
      <c r="G130" s="11" t="b">
        <f>IFERROR(__xludf.DUMMYFUNCTION("""COMPUTED_VALUE"""),FALSE)</f>
        <v>0</v>
      </c>
      <c r="H130" s="11" t="str">
        <f>IFERROR(__xludf.DUMMYFUNCTION("""COMPUTED_VALUE"""),"WeLikeWeb GmbH")</f>
        <v>WeLikeWeb GmbH</v>
      </c>
      <c r="I130" s="11">
        <f>IFERROR(__xludf.DUMMYFUNCTION("""COMPUTED_VALUE"""),1.0)</f>
        <v>1</v>
      </c>
      <c r="J130" s="11">
        <f>IFERROR(__xludf.DUMMYFUNCTION("""COMPUTED_VALUE"""),0.0)</f>
        <v>0</v>
      </c>
      <c r="K130" s="11">
        <f>IFERROR(__xludf.DUMMYFUNCTION("""COMPUTED_VALUE"""),0.0)</f>
        <v>0</v>
      </c>
    </row>
    <row r="131" ht="15.75" customHeight="1">
      <c r="A131" s="8" t="str">
        <f>IFERROR(__xludf.DUMMYFUNCTION("""COMPUTED_VALUE"""),"https://growthmanager.ai/best-aeo-agency/in/munich")</f>
        <v>https://growthmanager.ai/best-aeo-agency/in/munich</v>
      </c>
      <c r="B131" s="11" t="str">
        <f>IFERROR(__xludf.DUMMYFUNCTION("""COMPUTED_VALUE"""),"Best AEO agencies in Munich (2026, reviewed)")</f>
        <v>Best AEO agencies in Munich (2026, reviewed)</v>
      </c>
      <c r="C131" s="8" t="str">
        <f>IFERROR(__xludf.DUMMYFUNCTION("""COMPUTED_VALUE"""),"growthmanager.ai")</f>
        <v>growthmanager.ai</v>
      </c>
      <c r="D131" s="11" t="str">
        <f>IFERROR(__xludf.DUMMYFUNCTION("""COMPUTED_VALUE"""),"OTHER")</f>
        <v>OTHER</v>
      </c>
      <c r="E131" s="11" t="str">
        <f>IFERROR(__xludf.DUMMYFUNCTION("""COMPUTED_VALUE"""),"CORPORATE")</f>
        <v>CORPORATE</v>
      </c>
      <c r="F131" s="11" t="str">
        <f>IFERROR(__xludf.DUMMYFUNCTION("""COMPUTED_VALUE"""),"Other")</f>
        <v>Other</v>
      </c>
      <c r="G131" s="11" t="b">
        <f>IFERROR(__xludf.DUMMYFUNCTION("""COMPUTED_VALUE"""),FALSE)</f>
        <v>0</v>
      </c>
      <c r="H131" s="11" t="str">
        <f>IFERROR(__xludf.DUMMYFUNCTION("""COMPUTED_VALUE"""),"Momentum")</f>
        <v>Momentum</v>
      </c>
      <c r="I131" s="11">
        <f>IFERROR(__xludf.DUMMYFUNCTION("""COMPUTED_VALUE"""),1.0)</f>
        <v>1</v>
      </c>
      <c r="J131" s="11">
        <f>IFERROR(__xludf.DUMMYFUNCTION("""COMPUTED_VALUE"""),0.0)</f>
        <v>0</v>
      </c>
      <c r="K131" s="11">
        <f>IFERROR(__xludf.DUMMYFUNCTION("""COMPUTED_VALUE"""),0.0)</f>
        <v>0</v>
      </c>
    </row>
    <row r="132" ht="15.75" customHeight="1">
      <c r="A132" s="8" t="str">
        <f>IFERROR(__xludf.DUMMYFUNCTION("""COMPUTED_VALUE"""),"https://growthmanager.ai/best-ai-seo-agency/in/berlin")</f>
        <v>https://growthmanager.ai/best-ai-seo-agency/in/berlin</v>
      </c>
      <c r="B132" s="11" t="str">
        <f>IFERROR(__xludf.DUMMYFUNCTION("""COMPUTED_VALUE"""),"Best AI SEO agencies in Berlin (2026, reviewed)")</f>
        <v>Best AI SEO agencies in Berlin (2026, reviewed)</v>
      </c>
      <c r="C132" s="8" t="str">
        <f>IFERROR(__xludf.DUMMYFUNCTION("""COMPUTED_VALUE"""),"growthmanager.ai")</f>
        <v>growthmanager.ai</v>
      </c>
      <c r="D132" s="11" t="str">
        <f>IFERROR(__xludf.DUMMYFUNCTION("""COMPUTED_VALUE"""),"OTHER")</f>
        <v>OTHER</v>
      </c>
      <c r="E132" s="11" t="str">
        <f>IFERROR(__xludf.DUMMYFUNCTION("""COMPUTED_VALUE"""),"CORPORATE")</f>
        <v>CORPORATE</v>
      </c>
      <c r="F132" s="11" t="str">
        <f>IFERROR(__xludf.DUMMYFUNCTION("""COMPUTED_VALUE"""),"Other")</f>
        <v>Other</v>
      </c>
      <c r="G132" s="11" t="b">
        <f>IFERROR(__xludf.DUMMYFUNCTION("""COMPUTED_VALUE"""),FALSE)</f>
        <v>0</v>
      </c>
      <c r="H132" s="11" t="str">
        <f>IFERROR(__xludf.DUMMYFUNCTION("""COMPUTED_VALUE"""),"Claneo, Peak Ace, McKinsey &amp; Company, Publicis Groupe")</f>
        <v>Claneo, Peak Ace, McKinsey &amp; Company, Publicis Groupe</v>
      </c>
      <c r="I132" s="11">
        <f>IFERROR(__xludf.DUMMYFUNCTION("""COMPUTED_VALUE"""),1.0)</f>
        <v>1</v>
      </c>
      <c r="J132" s="11">
        <f>IFERROR(__xludf.DUMMYFUNCTION("""COMPUTED_VALUE"""),0.0)</f>
        <v>0</v>
      </c>
      <c r="K132" s="11">
        <f>IFERROR(__xludf.DUMMYFUNCTION("""COMPUTED_VALUE"""),0.0)</f>
        <v>0</v>
      </c>
    </row>
    <row r="133" ht="15.75" customHeight="1">
      <c r="A133" s="8" t="str">
        <f>IFERROR(__xludf.DUMMYFUNCTION("""COMPUTED_VALUE"""),"https://www.herohunt.ai/recruitment-agency-countries/germany/")</f>
        <v>https://www.herohunt.ai/recruitment-agency-countries/germany/</v>
      </c>
      <c r="B133" s="11" t="str">
        <f>IFERROR(__xludf.DUMMYFUNCTION("""COMPUTED_VALUE"""),"The best recruitment agencies in Germany")</f>
        <v>The best recruitment agencies in Germany</v>
      </c>
      <c r="C133" s="8" t="str">
        <f>IFERROR(__xludf.DUMMYFUNCTION("""COMPUTED_VALUE"""),"herohunt.ai")</f>
        <v>herohunt.ai</v>
      </c>
      <c r="D133" s="11" t="str">
        <f>IFERROR(__xludf.DUMMYFUNCTION("""COMPUTED_VALUE"""),"OTHER")</f>
        <v>OTHER</v>
      </c>
      <c r="E133" s="11" t="str">
        <f>IFERROR(__xludf.DUMMYFUNCTION("""COMPUTED_VALUE"""),"CORPORATE")</f>
        <v>CORPORATE</v>
      </c>
      <c r="F133" s="11" t="str">
        <f>IFERROR(__xludf.DUMMYFUNCTION("""COMPUTED_VALUE"""),"Other")</f>
        <v>Other</v>
      </c>
      <c r="G133" s="11" t="b">
        <f>IFERROR(__xludf.DUMMYFUNCTION("""COMPUTED_VALUE"""),FALSE)</f>
        <v>0</v>
      </c>
      <c r="H133" s="11"/>
      <c r="I133" s="11">
        <f>IFERROR(__xludf.DUMMYFUNCTION("""COMPUTED_VALUE"""),1.0)</f>
        <v>1</v>
      </c>
      <c r="J133" s="11">
        <f>IFERROR(__xludf.DUMMYFUNCTION("""COMPUTED_VALUE"""),0.0)</f>
        <v>0</v>
      </c>
      <c r="K133" s="11">
        <f>IFERROR(__xludf.DUMMYFUNCTION("""COMPUTED_VALUE"""),1.0)</f>
        <v>1</v>
      </c>
    </row>
    <row r="134" ht="15.75" customHeight="1">
      <c r="A134" s="8" t="str">
        <f>IFERROR(__xludf.DUMMYFUNCTION("""COMPUTED_VALUE"""),"https://himalayas.app/companies/peak-ace-ag#:~:text=Peak%20Ace%20AG%20is%20an,25%20languages%20for%20global%20brands.")</f>
        <v>https://himalayas.app/companies/peak-ace-ag#:~:text=Peak%20Ace%20AG%20is%20an,25%20languages%20for%20global%20brands.</v>
      </c>
      <c r="B134" s="11"/>
      <c r="C134" s="11" t="str">
        <f>IFERROR(__xludf.DUMMYFUNCTION("""COMPUTED_VALUE"""),"himalayas.app")</f>
        <v>himalayas.app</v>
      </c>
      <c r="D134" s="11" t="str">
        <f>IFERROR(__xludf.DUMMYFUNCTION("""COMPUTED_VALUE"""),"OTHER")</f>
        <v>OTHER</v>
      </c>
      <c r="E134" s="11" t="str">
        <f>IFERROR(__xludf.DUMMYFUNCTION("""COMPUTED_VALUE"""),"OTHER")</f>
        <v>OTHER</v>
      </c>
      <c r="F134" s="11" t="str">
        <f>IFERROR(__xludf.DUMMYFUNCTION("""COMPUTED_VALUE"""),"Other")</f>
        <v>Other</v>
      </c>
      <c r="G134" s="11"/>
      <c r="H134" s="11" t="str">
        <f>IFERROR(__xludf.DUMMYFUNCTION("""COMPUTED_VALUE"""),"Unknown")</f>
        <v>Unknown</v>
      </c>
      <c r="I134" s="11">
        <f>IFERROR(__xludf.DUMMYFUNCTION("""COMPUTED_VALUE"""),1.0)</f>
        <v>1</v>
      </c>
      <c r="J134" s="11">
        <f>IFERROR(__xludf.DUMMYFUNCTION("""COMPUTED_VALUE"""),0.0)</f>
        <v>0</v>
      </c>
      <c r="K134" s="11">
        <f>IFERROR(__xludf.DUMMYFUNCTION("""COMPUTED_VALUE"""),1.0)</f>
        <v>1</v>
      </c>
    </row>
    <row r="135" ht="15.75" customHeight="1">
      <c r="A135" s="8" t="str">
        <f>IFERROR(__xludf.DUMMYFUNCTION("""COMPUTED_VALUE"""),"https://www.horizont.net/agenturen/nachrichten/35-Jahre-Scholz--Friends-Die-wichtigsten-Kampagnen-aus-dreieinhalb-Jahrzehnten-141409")</f>
        <v>https://www.horizont.net/agenturen/nachrichten/35-Jahre-Scholz--Friends-Die-wichtigsten-Kampagnen-aus-dreieinhalb-Jahrzehnten-141409</v>
      </c>
      <c r="B135" s="11" t="str">
        <f>IFERROR(__xludf.DUMMYFUNCTION("""COMPUTED_VALUE"""),"35 Jahre Scholz &amp;amp; Friends: Die wichtigsten Kampagnen aus dreieinhalb Jahrzehnten - HORIZONT")</f>
        <v>35 Jahre Scholz &amp;amp; Friends: Die wichtigsten Kampagnen aus dreieinhalb Jahrzehnten - HORIZONT</v>
      </c>
      <c r="C135" s="8" t="str">
        <f>IFERROR(__xludf.DUMMYFUNCTION("""COMPUTED_VALUE"""),"horizont.net")</f>
        <v>horizont.net</v>
      </c>
      <c r="D135" s="11" t="str">
        <f>IFERROR(__xludf.DUMMYFUNCTION("""COMPUTED_VALUE"""),"OTHER")</f>
        <v>OTHER</v>
      </c>
      <c r="E135" s="11" t="str">
        <f>IFERROR(__xludf.DUMMYFUNCTION("""COMPUTED_VALUE"""),"EDITORIAL")</f>
        <v>EDITORIAL</v>
      </c>
      <c r="F135" s="11" t="str">
        <f>IFERROR(__xludf.DUMMYFUNCTION("""COMPUTED_VALUE"""),"Other")</f>
        <v>Other</v>
      </c>
      <c r="G135" s="11" t="b">
        <f>IFERROR(__xludf.DUMMYFUNCTION("""COMPUTED_VALUE"""),FALSE)</f>
        <v>0</v>
      </c>
      <c r="H135" s="11" t="str">
        <f>IFERROR(__xludf.DUMMYFUNCTION("""COMPUTED_VALUE"""),"Scholz &amp; Friends, Jung von Matt, WPP")</f>
        <v>Scholz &amp; Friends, Jung von Matt, WPP</v>
      </c>
      <c r="I135" s="11">
        <f>IFERROR(__xludf.DUMMYFUNCTION("""COMPUTED_VALUE"""),1.0)</f>
        <v>1</v>
      </c>
      <c r="J135" s="11">
        <f>IFERROR(__xludf.DUMMYFUNCTION("""COMPUTED_VALUE"""),0.0)</f>
        <v>0</v>
      </c>
      <c r="K135" s="11">
        <f>IFERROR(__xludf.DUMMYFUNCTION("""COMPUTED_VALUE"""),1.0)</f>
        <v>1</v>
      </c>
    </row>
    <row r="136" ht="15.75" customHeight="1">
      <c r="A136" s="8" t="str">
        <f>IFERROR(__xludf.DUMMYFUNCTION("""COMPUTED_VALUE"""),"https://www.horizont.net/agenturen/nachrichten/neuer-spitzenreiter-das-sind-die-30-kreativsten-agenturen-deutschlands-196436")</f>
        <v>https://www.horizont.net/agenturen/nachrichten/neuer-spitzenreiter-das-sind-die-30-kreativsten-agenturen-deutschlands-196436</v>
      </c>
      <c r="B136" s="11" t="str">
        <f>IFERROR(__xludf.DUMMYFUNCTION("""COMPUTED_VALUE"""),"Neuer Spitzenreiter: Das sind die 30 kreativsten Agenturen Deutschlands - HORIZONT")</f>
        <v>Neuer Spitzenreiter: Das sind die 30 kreativsten Agenturen Deutschlands - HORIZONT</v>
      </c>
      <c r="C136" s="8" t="str">
        <f>IFERROR(__xludf.DUMMYFUNCTION("""COMPUTED_VALUE"""),"horizont.net")</f>
        <v>horizont.net</v>
      </c>
      <c r="D136" s="11" t="str">
        <f>IFERROR(__xludf.DUMMYFUNCTION("""COMPUTED_VALUE"""),"OTHER")</f>
        <v>OTHER</v>
      </c>
      <c r="E136" s="11" t="str">
        <f>IFERROR(__xludf.DUMMYFUNCTION("""COMPUTED_VALUE"""),"EDITORIAL")</f>
        <v>EDITORIAL</v>
      </c>
      <c r="F136" s="11" t="str">
        <f>IFERROR(__xludf.DUMMYFUNCTION("""COMPUTED_VALUE"""),"Other")</f>
        <v>Other</v>
      </c>
      <c r="G136" s="11" t="b">
        <f>IFERROR(__xludf.DUMMYFUNCTION("""COMPUTED_VALUE"""),FALSE)</f>
        <v>0</v>
      </c>
      <c r="H136" s="11" t="str">
        <f>IFERROR(__xludf.DUMMYFUNCTION("""COMPUTED_VALUE"""),"BBDO Germany, Omnicom, DDB Germany, Jung von Matt, Scholz &amp; Friends")</f>
        <v>BBDO Germany, Omnicom, DDB Germany, Jung von Matt, Scholz &amp; Friends</v>
      </c>
      <c r="I136" s="11">
        <f>IFERROR(__xludf.DUMMYFUNCTION("""COMPUTED_VALUE"""),1.0)</f>
        <v>1</v>
      </c>
      <c r="J136" s="11">
        <f>IFERROR(__xludf.DUMMYFUNCTION("""COMPUTED_VALUE"""),0.0)</f>
        <v>0</v>
      </c>
      <c r="K136" s="11">
        <f>IFERROR(__xludf.DUMMYFUNCTION("""COMPUTED_VALUE"""),1.0)</f>
        <v>1</v>
      </c>
    </row>
    <row r="137" ht="15.75" customHeight="1">
      <c r="A137" s="8" t="str">
        <f>IFERROR(__xludf.DUMMYFUNCTION("""COMPUTED_VALUE"""),"https://www.house-of-communication.com/sv/en/brands/mediaplus/landingpages/media-agency-of-the-year.html")</f>
        <v>https://www.house-of-communication.com/sv/en/brands/mediaplus/landingpages/media-agency-of-the-year.html</v>
      </c>
      <c r="B137" s="11" t="str">
        <f>IFERROR(__xludf.DUMMYFUNCTION("""COMPUTED_VALUE"""),"Media agency of the year 2026")</f>
        <v>Media agency of the year 2026</v>
      </c>
      <c r="C137" s="8" t="str">
        <f>IFERROR(__xludf.DUMMYFUNCTION("""COMPUTED_VALUE"""),"house-of-communication.com")</f>
        <v>house-of-communication.com</v>
      </c>
      <c r="D137" s="11" t="str">
        <f>IFERROR(__xludf.DUMMYFUNCTION("""COMPUTED_VALUE"""),"OTHER")</f>
        <v>OTHER</v>
      </c>
      <c r="E137" s="11" t="str">
        <f>IFERROR(__xludf.DUMMYFUNCTION("""COMPUTED_VALUE"""),"COMPETITOR")</f>
        <v>COMPETITOR</v>
      </c>
      <c r="F137" s="11" t="str">
        <f>IFERROR(__xludf.DUMMYFUNCTION("""COMPUTED_VALUE"""),"Other")</f>
        <v>Other</v>
      </c>
      <c r="G137" s="11" t="b">
        <f>IFERROR(__xludf.DUMMYFUNCTION("""COMPUTED_VALUE"""),FALSE)</f>
        <v>0</v>
      </c>
      <c r="H137" s="11" t="str">
        <f>IFERROR(__xludf.DUMMYFUNCTION("""COMPUTED_VALUE"""),"Serviceplan Group, Mediaplus Group, Momentum")</f>
        <v>Serviceplan Group, Mediaplus Group, Momentum</v>
      </c>
      <c r="I137" s="11">
        <f>IFERROR(__xludf.DUMMYFUNCTION("""COMPUTED_VALUE"""),1.0)</f>
        <v>1</v>
      </c>
      <c r="J137" s="11">
        <f>IFERROR(__xludf.DUMMYFUNCTION("""COMPUTED_VALUE"""),0.0)</f>
        <v>0</v>
      </c>
      <c r="K137" s="11">
        <f>IFERROR(__xludf.DUMMYFUNCTION("""COMPUTED_VALUE"""),0.0)</f>
        <v>0</v>
      </c>
    </row>
    <row r="138" ht="15.75" customHeight="1">
      <c r="A138" s="8" t="str">
        <f>IFERROR(__xludf.DUMMYFUNCTION("""COMPUTED_VALUE"""),"https://www.ibusiness.de/branche/db/235291SUR.html")</f>
        <v>https://www.ibusiness.de/branche/db/235291SUR.html</v>
      </c>
      <c r="B138" s="11" t="str">
        <f>IFERROR(__xludf.DUMMYFUNCTION("""COMPUTED_VALUE"""),"Internetagentur-Ranking 2026: Schere im Agenturmarkt geht weiter auseinander")</f>
        <v>Internetagentur-Ranking 2026: Schere im Agenturmarkt geht weiter auseinander</v>
      </c>
      <c r="C138" s="8" t="str">
        <f>IFERROR(__xludf.DUMMYFUNCTION("""COMPUTED_VALUE"""),"ibusiness.de")</f>
        <v>ibusiness.de</v>
      </c>
      <c r="D138" s="11" t="str">
        <f>IFERROR(__xludf.DUMMYFUNCTION("""COMPUTED_VALUE"""),"OTHER")</f>
        <v>OTHER</v>
      </c>
      <c r="E138" s="11" t="str">
        <f>IFERROR(__xludf.DUMMYFUNCTION("""COMPUTED_VALUE"""),"EDITORIAL")</f>
        <v>EDITORIAL</v>
      </c>
      <c r="F138" s="11" t="str">
        <f>IFERROR(__xludf.DUMMYFUNCTION("""COMPUTED_VALUE"""),"Other")</f>
        <v>Other</v>
      </c>
      <c r="G138" s="11" t="b">
        <f>IFERROR(__xludf.DUMMYFUNCTION("""COMPUTED_VALUE"""),FALSE)</f>
        <v>0</v>
      </c>
      <c r="H138" s="11"/>
      <c r="I138" s="11">
        <f>IFERROR(__xludf.DUMMYFUNCTION("""COMPUTED_VALUE"""),1.0)</f>
        <v>1</v>
      </c>
      <c r="J138" s="11">
        <f>IFERROR(__xludf.DUMMYFUNCTION("""COMPUTED_VALUE"""),0.0)</f>
        <v>0</v>
      </c>
      <c r="K138" s="11">
        <f>IFERROR(__xludf.DUMMYFUNCTION("""COMPUTED_VALUE"""),0.0)</f>
        <v>0</v>
      </c>
    </row>
    <row r="139" ht="15.75" customHeight="1">
      <c r="A139" s="8" t="str">
        <f>IFERROR(__xludf.DUMMYFUNCTION("""COMPUTED_VALUE"""),"https://www.ibusiness.de/performance-ranking/performance_2024.html?sub=5")</f>
        <v>https://www.ibusiness.de/performance-ranking/performance_2024.html?sub=5</v>
      </c>
      <c r="B139" s="11" t="str">
        <f>IFERROR(__xludf.DUMMYFUNCTION("""COMPUTED_VALUE"""),"Das Ranking der gr��ten deutschen Performance-Marketing-Agenturen")</f>
        <v>Das Ranking der gr��ten deutschen Performance-Marketing-Agenturen</v>
      </c>
      <c r="C139" s="8" t="str">
        <f>IFERROR(__xludf.DUMMYFUNCTION("""COMPUTED_VALUE"""),"ibusiness.de")</f>
        <v>ibusiness.de</v>
      </c>
      <c r="D139" s="11" t="str">
        <f>IFERROR(__xludf.DUMMYFUNCTION("""COMPUTED_VALUE"""),"OTHER")</f>
        <v>OTHER</v>
      </c>
      <c r="E139" s="11" t="str">
        <f>IFERROR(__xludf.DUMMYFUNCTION("""COMPUTED_VALUE"""),"EDITORIAL")</f>
        <v>EDITORIAL</v>
      </c>
      <c r="F139" s="11" t="str">
        <f>IFERROR(__xludf.DUMMYFUNCTION("""COMPUTED_VALUE"""),"Other")</f>
        <v>Other</v>
      </c>
      <c r="G139" s="11" t="b">
        <f>IFERROR(__xludf.DUMMYFUNCTION("""COMPUTED_VALUE"""),FALSE)</f>
        <v>0</v>
      </c>
      <c r="H139" s="11" t="str">
        <f>IFERROR(__xludf.DUMMYFUNCTION("""COMPUTED_VALUE"""),"morefire, 42DIGITAL, Aufgesang")</f>
        <v>morefire, 42DIGITAL, Aufgesang</v>
      </c>
      <c r="I139" s="11">
        <f>IFERROR(__xludf.DUMMYFUNCTION("""COMPUTED_VALUE"""),1.0)</f>
        <v>1</v>
      </c>
      <c r="J139" s="11">
        <f>IFERROR(__xludf.DUMMYFUNCTION("""COMPUTED_VALUE"""),0.0)</f>
        <v>0</v>
      </c>
      <c r="K139" s="11">
        <f>IFERROR(__xludf.DUMMYFUNCTION("""COMPUTED_VALUE"""),0.0)</f>
        <v>0</v>
      </c>
    </row>
    <row r="140" ht="15.75" customHeight="1">
      <c r="A140" s="8" t="str">
        <f>IFERROR(__xludf.DUMMYFUNCTION("""COMPUTED_VALUE"""),"https://www.ibusiness.de/performance-ranking/performance_2025.html?sub=12")</f>
        <v>https://www.ibusiness.de/performance-ranking/performance_2025.html?sub=12</v>
      </c>
      <c r="B140" s="11" t="str">
        <f>IFERROR(__xludf.DUMMYFUNCTION("""COMPUTED_VALUE"""),"Das Ranking der gr��ten deutschen Performance-Marketing-Agenturen")</f>
        <v>Das Ranking der gr��ten deutschen Performance-Marketing-Agenturen</v>
      </c>
      <c r="C140" s="8" t="str">
        <f>IFERROR(__xludf.DUMMYFUNCTION("""COMPUTED_VALUE"""),"ibusiness.de")</f>
        <v>ibusiness.de</v>
      </c>
      <c r="D140" s="11" t="str">
        <f>IFERROR(__xludf.DUMMYFUNCTION("""COMPUTED_VALUE"""),"OTHER")</f>
        <v>OTHER</v>
      </c>
      <c r="E140" s="11" t="str">
        <f>IFERROR(__xludf.DUMMYFUNCTION("""COMPUTED_VALUE"""),"EDITORIAL")</f>
        <v>EDITORIAL</v>
      </c>
      <c r="F140" s="11" t="str">
        <f>IFERROR(__xludf.DUMMYFUNCTION("""COMPUTED_VALUE"""),"Other")</f>
        <v>Other</v>
      </c>
      <c r="G140" s="11" t="b">
        <f>IFERROR(__xludf.DUMMYFUNCTION("""COMPUTED_VALUE"""),FALSE)</f>
        <v>0</v>
      </c>
      <c r="H140" s="11"/>
      <c r="I140" s="11">
        <f>IFERROR(__xludf.DUMMYFUNCTION("""COMPUTED_VALUE"""),1.0)</f>
        <v>1</v>
      </c>
      <c r="J140" s="11">
        <f>IFERROR(__xludf.DUMMYFUNCTION("""COMPUTED_VALUE"""),0.0)</f>
        <v>0</v>
      </c>
      <c r="K140" s="11">
        <f>IFERROR(__xludf.DUMMYFUNCTION("""COMPUTED_VALUE"""),0.0)</f>
        <v>0</v>
      </c>
    </row>
    <row r="141" ht="15.75" customHeight="1">
      <c r="A141" s="8" t="str">
        <f>IFERROR(__xludf.DUMMYFUNCTION("""COMPUTED_VALUE"""),"https://www.ibusiness.de/performance-ranking/performance_2025.html?sub=13")</f>
        <v>https://www.ibusiness.de/performance-ranking/performance_2025.html?sub=13</v>
      </c>
      <c r="B141" s="11" t="str">
        <f>IFERROR(__xludf.DUMMYFUNCTION("""COMPUTED_VALUE"""),"Das Ranking der gr��ten deutschen Performance-Marketing-Agenturen")</f>
        <v>Das Ranking der gr��ten deutschen Performance-Marketing-Agenturen</v>
      </c>
      <c r="C141" s="8" t="str">
        <f>IFERROR(__xludf.DUMMYFUNCTION("""COMPUTED_VALUE"""),"ibusiness.de")</f>
        <v>ibusiness.de</v>
      </c>
      <c r="D141" s="11" t="str">
        <f>IFERROR(__xludf.DUMMYFUNCTION("""COMPUTED_VALUE"""),"OTHER")</f>
        <v>OTHER</v>
      </c>
      <c r="E141" s="11" t="str">
        <f>IFERROR(__xludf.DUMMYFUNCTION("""COMPUTED_VALUE"""),"EDITORIAL")</f>
        <v>EDITORIAL</v>
      </c>
      <c r="F141" s="11" t="str">
        <f>IFERROR(__xludf.DUMMYFUNCTION("""COMPUTED_VALUE"""),"Other")</f>
        <v>Other</v>
      </c>
      <c r="G141" s="11" t="b">
        <f>IFERROR(__xludf.DUMMYFUNCTION("""COMPUTED_VALUE"""),FALSE)</f>
        <v>0</v>
      </c>
      <c r="H141" s="11" t="str">
        <f>IFERROR(__xludf.DUMMYFUNCTION("""COMPUTED_VALUE"""),"morefire, eMinded GmbH, DREIKON, Aufgesang")</f>
        <v>morefire, eMinded GmbH, DREIKON, Aufgesang</v>
      </c>
      <c r="I141" s="11">
        <f>IFERROR(__xludf.DUMMYFUNCTION("""COMPUTED_VALUE"""),1.0)</f>
        <v>1</v>
      </c>
      <c r="J141" s="11">
        <f>IFERROR(__xludf.DUMMYFUNCTION("""COMPUTED_VALUE"""),0.0)</f>
        <v>0</v>
      </c>
      <c r="K141" s="11">
        <f>IFERROR(__xludf.DUMMYFUNCTION("""COMPUTED_VALUE"""),0.0)</f>
        <v>0</v>
      </c>
    </row>
    <row r="142" ht="15.75" customHeight="1">
      <c r="A142" s="8" t="str">
        <f>IFERROR(__xludf.DUMMYFUNCTION("""COMPUTED_VALUE"""),"https://www.ibusiness.de/performance-ranking/performance_2025.html?sub=28")</f>
        <v>https://www.ibusiness.de/performance-ranking/performance_2025.html?sub=28</v>
      </c>
      <c r="B142" s="11" t="str">
        <f>IFERROR(__xludf.DUMMYFUNCTION("""COMPUTED_VALUE"""),"Das Ranking der gr��ten deutschen Performance-Marketing-Agenturen")</f>
        <v>Das Ranking der gr��ten deutschen Performance-Marketing-Agenturen</v>
      </c>
      <c r="C142" s="8" t="str">
        <f>IFERROR(__xludf.DUMMYFUNCTION("""COMPUTED_VALUE"""),"ibusiness.de")</f>
        <v>ibusiness.de</v>
      </c>
      <c r="D142" s="11" t="str">
        <f>IFERROR(__xludf.DUMMYFUNCTION("""COMPUTED_VALUE"""),"OTHER")</f>
        <v>OTHER</v>
      </c>
      <c r="E142" s="11" t="str">
        <f>IFERROR(__xludf.DUMMYFUNCTION("""COMPUTED_VALUE"""),"EDITORIAL")</f>
        <v>EDITORIAL</v>
      </c>
      <c r="F142" s="11" t="str">
        <f>IFERROR(__xludf.DUMMYFUNCTION("""COMPUTED_VALUE"""),"Other")</f>
        <v>Other</v>
      </c>
      <c r="G142" s="11" t="b">
        <f>IFERROR(__xludf.DUMMYFUNCTION("""COMPUTED_VALUE"""),FALSE)</f>
        <v>0</v>
      </c>
      <c r="H142" s="11"/>
      <c r="I142" s="11">
        <f>IFERROR(__xludf.DUMMYFUNCTION("""COMPUTED_VALUE"""),1.0)</f>
        <v>1</v>
      </c>
      <c r="J142" s="11">
        <f>IFERROR(__xludf.DUMMYFUNCTION("""COMPUTED_VALUE"""),0.0)</f>
        <v>0</v>
      </c>
      <c r="K142" s="11">
        <f>IFERROR(__xludf.DUMMYFUNCTION("""COMPUTED_VALUE"""),0.0)</f>
        <v>0</v>
      </c>
    </row>
    <row r="143" ht="15.75" customHeight="1">
      <c r="A143" s="8" t="str">
        <f>IFERROR(__xludf.DUMMYFUNCTION("""COMPUTED_VALUE"""),"https://incubeta.com/de/about-us/")</f>
        <v>https://incubeta.com/de/about-us/</v>
      </c>
      <c r="B143" s="11" t="str">
        <f>IFERROR(__xludf.DUMMYFUNCTION("""COMPUTED_VALUE"""),"über Uns | Incubeta")</f>
        <v>über Uns | Incubeta</v>
      </c>
      <c r="C143" s="8" t="str">
        <f>IFERROR(__xludf.DUMMYFUNCTION("""COMPUTED_VALUE"""),"incubeta.com")</f>
        <v>incubeta.com</v>
      </c>
      <c r="D143" s="11" t="str">
        <f>IFERROR(__xludf.DUMMYFUNCTION("""COMPUTED_VALUE"""),"OTHER")</f>
        <v>OTHER</v>
      </c>
      <c r="E143" s="11" t="str">
        <f>IFERROR(__xludf.DUMMYFUNCTION("""COMPUTED_VALUE"""),"OWN")</f>
        <v>OWN</v>
      </c>
      <c r="F143" s="11" t="str">
        <f>IFERROR(__xludf.DUMMYFUNCTION("""COMPUTED_VALUE"""),"Other")</f>
        <v>Other</v>
      </c>
      <c r="G143" s="11" t="b">
        <f>IFERROR(__xludf.DUMMYFUNCTION("""COMPUTED_VALUE"""),TRUE)</f>
        <v>1</v>
      </c>
      <c r="H143" s="11" t="str">
        <f>IFERROR(__xludf.DUMMYFUNCTION("""COMPUTED_VALUE"""),"Incubeta")</f>
        <v>Incubeta</v>
      </c>
      <c r="I143" s="11">
        <f>IFERROR(__xludf.DUMMYFUNCTION("""COMPUTED_VALUE"""),1.0)</f>
        <v>1</v>
      </c>
      <c r="J143" s="11">
        <f>IFERROR(__xludf.DUMMYFUNCTION("""COMPUTED_VALUE"""),0.0)</f>
        <v>0</v>
      </c>
      <c r="K143" s="11">
        <f>IFERROR(__xludf.DUMMYFUNCTION("""COMPUTED_VALUE"""),1.0)</f>
        <v>1</v>
      </c>
    </row>
    <row r="144" ht="15.75" customHeight="1">
      <c r="A144" s="8" t="str">
        <f>IFERROR(__xludf.DUMMYFUNCTION("""COMPUTED_VALUE"""),"https://incubeta.com/de/find-us/berlin-germany/")</f>
        <v>https://incubeta.com/de/find-us/berlin-germany/</v>
      </c>
      <c r="B144" s="11" t="str">
        <f>IFERROR(__xludf.DUMMYFUNCTION("""COMPUTED_VALUE"""),"Berlin, DE | Incubeta")</f>
        <v>Berlin, DE | Incubeta</v>
      </c>
      <c r="C144" s="8" t="str">
        <f>IFERROR(__xludf.DUMMYFUNCTION("""COMPUTED_VALUE"""),"incubeta.com")</f>
        <v>incubeta.com</v>
      </c>
      <c r="D144" s="11" t="str">
        <f>IFERROR(__xludf.DUMMYFUNCTION("""COMPUTED_VALUE"""),"OTHER")</f>
        <v>OTHER</v>
      </c>
      <c r="E144" s="11" t="str">
        <f>IFERROR(__xludf.DUMMYFUNCTION("""COMPUTED_VALUE"""),"OWN")</f>
        <v>OWN</v>
      </c>
      <c r="F144" s="11" t="str">
        <f>IFERROR(__xludf.DUMMYFUNCTION("""COMPUTED_VALUE"""),"Other")</f>
        <v>Other</v>
      </c>
      <c r="G144" s="11" t="b">
        <f>IFERROR(__xludf.DUMMYFUNCTION("""COMPUTED_VALUE"""),TRUE)</f>
        <v>1</v>
      </c>
      <c r="H144" s="11" t="str">
        <f>IFERROR(__xludf.DUMMYFUNCTION("""COMPUTED_VALUE"""),"Incubeta")</f>
        <v>Incubeta</v>
      </c>
      <c r="I144" s="11">
        <f>IFERROR(__xludf.DUMMYFUNCTION("""COMPUTED_VALUE"""),1.0)</f>
        <v>1</v>
      </c>
      <c r="J144" s="11">
        <f>IFERROR(__xludf.DUMMYFUNCTION("""COMPUTED_VALUE"""),0.0)</f>
        <v>0</v>
      </c>
      <c r="K144" s="11">
        <f>IFERROR(__xludf.DUMMYFUNCTION("""COMPUTED_VALUE"""),1.0)</f>
        <v>1</v>
      </c>
    </row>
    <row r="145" ht="15.75" customHeight="1">
      <c r="A145" s="8" t="str">
        <f>IFERROR(__xludf.DUMMYFUNCTION("""COMPUTED_VALUE"""),"https://incubeta.com/find-us/munich-germany/")</f>
        <v>https://incubeta.com/find-us/munich-germany/</v>
      </c>
      <c r="B145" s="11" t="str">
        <f>IFERROR(__xludf.DUMMYFUNCTION("""COMPUTED_VALUE"""),"Munich, DE | Incubeta")</f>
        <v>Munich, DE | Incubeta</v>
      </c>
      <c r="C145" s="8" t="str">
        <f>IFERROR(__xludf.DUMMYFUNCTION("""COMPUTED_VALUE"""),"incubeta.com")</f>
        <v>incubeta.com</v>
      </c>
      <c r="D145" s="11" t="str">
        <f>IFERROR(__xludf.DUMMYFUNCTION("""COMPUTED_VALUE"""),"OTHER")</f>
        <v>OTHER</v>
      </c>
      <c r="E145" s="11" t="str">
        <f>IFERROR(__xludf.DUMMYFUNCTION("""COMPUTED_VALUE"""),"OWN")</f>
        <v>OWN</v>
      </c>
      <c r="F145" s="11" t="str">
        <f>IFERROR(__xludf.DUMMYFUNCTION("""COMPUTED_VALUE"""),"Other")</f>
        <v>Other</v>
      </c>
      <c r="G145" s="11" t="b">
        <f>IFERROR(__xludf.DUMMYFUNCTION("""COMPUTED_VALUE"""),TRUE)</f>
        <v>1</v>
      </c>
      <c r="H145" s="11" t="str">
        <f>IFERROR(__xludf.DUMMYFUNCTION("""COMPUTED_VALUE"""),"Incubeta")</f>
        <v>Incubeta</v>
      </c>
      <c r="I145" s="11">
        <f>IFERROR(__xludf.DUMMYFUNCTION("""COMPUTED_VALUE"""),1.0)</f>
        <v>1</v>
      </c>
      <c r="J145" s="11">
        <f>IFERROR(__xludf.DUMMYFUNCTION("""COMPUTED_VALUE"""),0.0)</f>
        <v>0</v>
      </c>
      <c r="K145" s="11">
        <f>IFERROR(__xludf.DUMMYFUNCTION("""COMPUTED_VALUE"""),1.0)</f>
        <v>1</v>
      </c>
    </row>
    <row r="146" ht="15.75" customHeight="1">
      <c r="A146" s="8" t="str">
        <f>IFERROR(__xludf.DUMMYFUNCTION("""COMPUTED_VALUE"""),"https://incubeta.com/news-and-resources/incubeta-dach-gcp-certification/")</f>
        <v>https://incubeta.com/news-and-resources/incubeta-dach-gcp-certification/</v>
      </c>
      <c r="B146" s="11" t="str">
        <f>IFERROR(__xludf.DUMMYFUNCTION("""COMPUTED_VALUE"""),"Incubeta DACH Achieves Google Cloud Partner Certification | Incubeta")</f>
        <v>Incubeta DACH Achieves Google Cloud Partner Certification | Incubeta</v>
      </c>
      <c r="C146" s="8" t="str">
        <f>IFERROR(__xludf.DUMMYFUNCTION("""COMPUTED_VALUE"""),"incubeta.com")</f>
        <v>incubeta.com</v>
      </c>
      <c r="D146" s="11" t="str">
        <f>IFERROR(__xludf.DUMMYFUNCTION("""COMPUTED_VALUE"""),"OTHER")</f>
        <v>OTHER</v>
      </c>
      <c r="E146" s="11" t="str">
        <f>IFERROR(__xludf.DUMMYFUNCTION("""COMPUTED_VALUE"""),"OWN")</f>
        <v>OWN</v>
      </c>
      <c r="F146" s="11" t="str">
        <f>IFERROR(__xludf.DUMMYFUNCTION("""COMPUTED_VALUE"""),"Other")</f>
        <v>Other</v>
      </c>
      <c r="G146" s="11" t="b">
        <f>IFERROR(__xludf.DUMMYFUNCTION("""COMPUTED_VALUE"""),TRUE)</f>
        <v>1</v>
      </c>
      <c r="H146" s="11" t="str">
        <f>IFERROR(__xludf.DUMMYFUNCTION("""COMPUTED_VALUE"""),"Incubeta")</f>
        <v>Incubeta</v>
      </c>
      <c r="I146" s="11">
        <f>IFERROR(__xludf.DUMMYFUNCTION("""COMPUTED_VALUE"""),1.0)</f>
        <v>1</v>
      </c>
      <c r="J146" s="11">
        <f>IFERROR(__xludf.DUMMYFUNCTION("""COMPUTED_VALUE"""),0.0)</f>
        <v>0</v>
      </c>
      <c r="K146" s="11">
        <f>IFERROR(__xludf.DUMMYFUNCTION("""COMPUTED_VALUE"""),1.0)</f>
        <v>1</v>
      </c>
    </row>
    <row r="147" ht="15.75" customHeight="1">
      <c r="A147" s="8" t="str">
        <f>IFERROR(__xludf.DUMMYFUNCTION("""COMPUTED_VALUE"""),"https://www.infomotion.de/ai-data-performance/ai-data-science/ai-strategie/ai-readiness")</f>
        <v>https://www.infomotion.de/ai-data-performance/ai-data-science/ai-strategie/ai-readiness</v>
      </c>
      <c r="B147" s="11" t="str">
        <f>IFERROR(__xludf.DUMMYFUNCTION("""COMPUTED_VALUE"""),"AI Readiness | INFOMOTION")</f>
        <v>AI Readiness | INFOMOTION</v>
      </c>
      <c r="C147" s="8" t="str">
        <f>IFERROR(__xludf.DUMMYFUNCTION("""COMPUTED_VALUE"""),"infomotion.de")</f>
        <v>infomotion.de</v>
      </c>
      <c r="D147" s="11" t="str">
        <f>IFERROR(__xludf.DUMMYFUNCTION("""COMPUTED_VALUE"""),"OTHER")</f>
        <v>OTHER</v>
      </c>
      <c r="E147" s="11" t="str">
        <f>IFERROR(__xludf.DUMMYFUNCTION("""COMPUTED_VALUE"""),"CORPORATE")</f>
        <v>CORPORATE</v>
      </c>
      <c r="F147" s="11" t="str">
        <f>IFERROR(__xludf.DUMMYFUNCTION("""COMPUTED_VALUE"""),"Other")</f>
        <v>Other</v>
      </c>
      <c r="G147" s="11" t="b">
        <f>IFERROR(__xludf.DUMMYFUNCTION("""COMPUTED_VALUE"""),FALSE)</f>
        <v>0</v>
      </c>
      <c r="H147" s="11"/>
      <c r="I147" s="11">
        <f>IFERROR(__xludf.DUMMYFUNCTION("""COMPUTED_VALUE"""),1.0)</f>
        <v>1</v>
      </c>
      <c r="J147" s="11">
        <f>IFERROR(__xludf.DUMMYFUNCTION("""COMPUTED_VALUE"""),0.0)</f>
        <v>0</v>
      </c>
      <c r="K147" s="11">
        <f>IFERROR(__xludf.DUMMYFUNCTION("""COMPUTED_VALUE"""),0.0)</f>
        <v>0</v>
      </c>
    </row>
    <row r="148" ht="15.75" customHeight="1">
      <c r="A148" s="8" t="str">
        <f>IFERROR(__xludf.DUMMYFUNCTION("""COMPUTED_VALUE"""),"https://insightwert.de/en/services/")</f>
        <v>https://insightwert.de/en/services/</v>
      </c>
      <c r="B148" s="11" t="str">
        <f>IFERROR(__xludf.DUMMYFUNCTION("""COMPUTED_VALUE"""),"Services — Tracking, Customer Intelligence &amp;amp; Consulting | Insight Wert")</f>
        <v>Services — Tracking, Customer Intelligence &amp;amp; Consulting | Insight Wert</v>
      </c>
      <c r="C148" s="8" t="str">
        <f>IFERROR(__xludf.DUMMYFUNCTION("""COMPUTED_VALUE"""),"insightwert.de")</f>
        <v>insightwert.de</v>
      </c>
      <c r="D148" s="11" t="str">
        <f>IFERROR(__xludf.DUMMYFUNCTION("""COMPUTED_VALUE"""),"OTHER")</f>
        <v>OTHER</v>
      </c>
      <c r="E148" s="11" t="str">
        <f>IFERROR(__xludf.DUMMYFUNCTION("""COMPUTED_VALUE"""),"CORPORATE")</f>
        <v>CORPORATE</v>
      </c>
      <c r="F148" s="11" t="str">
        <f>IFERROR(__xludf.DUMMYFUNCTION("""COMPUTED_VALUE"""),"Other")</f>
        <v>Other</v>
      </c>
      <c r="G148" s="11" t="b">
        <f>IFERROR(__xludf.DUMMYFUNCTION("""COMPUTED_VALUE"""),FALSE)</f>
        <v>0</v>
      </c>
      <c r="H148" s="11"/>
      <c r="I148" s="11">
        <f>IFERROR(__xludf.DUMMYFUNCTION("""COMPUTED_VALUE"""),1.0)</f>
        <v>1</v>
      </c>
      <c r="J148" s="11">
        <f>IFERROR(__xludf.DUMMYFUNCTION("""COMPUTED_VALUE"""),0.0)</f>
        <v>0</v>
      </c>
      <c r="K148" s="11">
        <f>IFERROR(__xludf.DUMMYFUNCTION("""COMPUTED_VALUE"""),0.0)</f>
        <v>0</v>
      </c>
    </row>
    <row r="149" ht="15.75" customHeight="1">
      <c r="A149" s="8" t="str">
        <f>IFERROR(__xludf.DUMMYFUNCTION("""COMPUTED_VALUE"""),"https://www.instagram.com/serviceplan/")</f>
        <v>https://www.instagram.com/serviceplan/</v>
      </c>
      <c r="B149" s="11" t="str">
        <f>IFERROR(__xludf.DUMMYFUNCTION("""COMPUTED_VALUE"""),"Serviceplan Group (@serviceplan) • Instagram photos and videos")</f>
        <v>Serviceplan Group (@serviceplan) • Instagram photos and videos</v>
      </c>
      <c r="C149" s="8" t="str">
        <f>IFERROR(__xludf.DUMMYFUNCTION("""COMPUTED_VALUE"""),"instagram.com")</f>
        <v>instagram.com</v>
      </c>
      <c r="D149" s="11" t="str">
        <f>IFERROR(__xludf.DUMMYFUNCTION("""COMPUTED_VALUE"""),"OTHER")</f>
        <v>OTHER</v>
      </c>
      <c r="E149" s="11" t="str">
        <f>IFERROR(__xludf.DUMMYFUNCTION("""COMPUTED_VALUE"""),"UGC")</f>
        <v>UGC</v>
      </c>
      <c r="F149" s="11" t="str">
        <f>IFERROR(__xludf.DUMMYFUNCTION("""COMPUTED_VALUE"""),"Other")</f>
        <v>Other</v>
      </c>
      <c r="G149" s="11"/>
      <c r="H149" s="11" t="str">
        <f>IFERROR(__xludf.DUMMYFUNCTION("""COMPUTED_VALUE"""),"Unknown")</f>
        <v>Unknown</v>
      </c>
      <c r="I149" s="11">
        <f>IFERROR(__xludf.DUMMYFUNCTION("""COMPUTED_VALUE"""),1.0)</f>
        <v>1</v>
      </c>
      <c r="J149" s="11">
        <f>IFERROR(__xludf.DUMMYFUNCTION("""COMPUTED_VALUE"""),0.0)</f>
        <v>0</v>
      </c>
      <c r="K149" s="11">
        <f>IFERROR(__xludf.DUMMYFUNCTION("""COMPUTED_VALUE"""),1.0)</f>
        <v>1</v>
      </c>
    </row>
    <row r="150" ht="15.75" customHeight="1">
      <c r="A150" s="8" t="str">
        <f>IFERROR(__xludf.DUMMYFUNCTION("""COMPUTED_VALUE"""),"https://www.instagram.com/thjnk/")</f>
        <v>https://www.instagram.com/thjnk/</v>
      </c>
      <c r="B150" s="11"/>
      <c r="C150" s="8" t="str">
        <f>IFERROR(__xludf.DUMMYFUNCTION("""COMPUTED_VALUE"""),"instagram.com")</f>
        <v>instagram.com</v>
      </c>
      <c r="D150" s="11" t="str">
        <f>IFERROR(__xludf.DUMMYFUNCTION("""COMPUTED_VALUE"""),"OTHER")</f>
        <v>OTHER</v>
      </c>
      <c r="E150" s="11" t="str">
        <f>IFERROR(__xludf.DUMMYFUNCTION("""COMPUTED_VALUE"""),"OTHER")</f>
        <v>OTHER</v>
      </c>
      <c r="F150" s="11" t="str">
        <f>IFERROR(__xludf.DUMMYFUNCTION("""COMPUTED_VALUE"""),"Other")</f>
        <v>Other</v>
      </c>
      <c r="G150" s="11"/>
      <c r="H150" s="11" t="str">
        <f>IFERROR(__xludf.DUMMYFUNCTION("""COMPUTED_VALUE"""),"Unknown")</f>
        <v>Unknown</v>
      </c>
      <c r="I150" s="11">
        <f>IFERROR(__xludf.DUMMYFUNCTION("""COMPUTED_VALUE"""),1.0)</f>
        <v>1</v>
      </c>
      <c r="J150" s="11">
        <f>IFERROR(__xludf.DUMMYFUNCTION("""COMPUTED_VALUE"""),0.0)</f>
        <v>0</v>
      </c>
      <c r="K150" s="11">
        <f>IFERROR(__xludf.DUMMYFUNCTION("""COMPUTED_VALUE"""),1.0)</f>
        <v>1</v>
      </c>
    </row>
    <row r="151" ht="15.75" customHeight="1">
      <c r="A151" s="8" t="str">
        <f>IFERROR(__xludf.DUMMYFUNCTION("""COMPUTED_VALUE"""),"https://www.iqueem.com/en/blog.html")</f>
        <v>https://www.iqueem.com/en/blog.html</v>
      </c>
      <c r="B151" s="11" t="str">
        <f>IFERROR(__xludf.DUMMYFUNCTION("""COMPUTED_VALUE"""),"Blog - IQUEEM - Digital Marketing Agency, Google Premier Partner, Yandex Partner, Social Media Agency")</f>
        <v>Blog - IQUEEM - Digital Marketing Agency, Google Premier Partner, Yandex Partner, Social Media Agency</v>
      </c>
      <c r="C151" s="8" t="str">
        <f>IFERROR(__xludf.DUMMYFUNCTION("""COMPUTED_VALUE"""),"iqueem.com")</f>
        <v>iqueem.com</v>
      </c>
      <c r="D151" s="11" t="str">
        <f>IFERROR(__xludf.DUMMYFUNCTION("""COMPUTED_VALUE"""),"OTHER")</f>
        <v>OTHER</v>
      </c>
      <c r="E151" s="11" t="str">
        <f>IFERROR(__xludf.DUMMYFUNCTION("""COMPUTED_VALUE"""),"CORPORATE")</f>
        <v>CORPORATE</v>
      </c>
      <c r="F151" s="11" t="str">
        <f>IFERROR(__xludf.DUMMYFUNCTION("""COMPUTED_VALUE"""),"Other")</f>
        <v>Other</v>
      </c>
      <c r="G151" s="11" t="b">
        <f>IFERROR(__xludf.DUMMYFUNCTION("""COMPUTED_VALUE"""),FALSE)</f>
        <v>0</v>
      </c>
      <c r="H151" s="11"/>
      <c r="I151" s="11">
        <f>IFERROR(__xludf.DUMMYFUNCTION("""COMPUTED_VALUE"""),1.0)</f>
        <v>1</v>
      </c>
      <c r="J151" s="11">
        <f>IFERROR(__xludf.DUMMYFUNCTION("""COMPUTED_VALUE"""),0.0)</f>
        <v>0</v>
      </c>
      <c r="K151" s="11">
        <f>IFERROR(__xludf.DUMMYFUNCTION("""COMPUTED_VALUE"""),1.0)</f>
        <v>1</v>
      </c>
    </row>
    <row r="152" ht="15.75" customHeight="1">
      <c r="A152" s="8" t="str">
        <f>IFERROR(__xludf.DUMMYFUNCTION("""COMPUTED_VALUE"""),"https://www.iqueem.com/en/blog/iqueem-munich.html")</f>
        <v>https://www.iqueem.com/en/blog/iqueem-munich.html</v>
      </c>
      <c r="B152" s="11" t="str">
        <f>IFERROR(__xludf.DUMMYFUNCTION("""COMPUTED_VALUE"""),"IQUEEM is honoured to have participated in ATG Hotels’ General Evaluation Meeting - IQUEEM, DIGITAL | PERFORMANCE MARKETING AGENCY")</f>
        <v>IQUEEM is honoured to have participated in ATG Hotels’ General Evaluation Meeting - IQUEEM, DIGITAL | PERFORMANCE MARKETING AGENCY</v>
      </c>
      <c r="C152" s="8" t="str">
        <f>IFERROR(__xludf.DUMMYFUNCTION("""COMPUTED_VALUE"""),"iqueem.com")</f>
        <v>iqueem.com</v>
      </c>
      <c r="D152" s="11" t="str">
        <f>IFERROR(__xludf.DUMMYFUNCTION("""COMPUTED_VALUE"""),"OTHER")</f>
        <v>OTHER</v>
      </c>
      <c r="E152" s="11" t="str">
        <f>IFERROR(__xludf.DUMMYFUNCTION("""COMPUTED_VALUE"""),"CORPORATE")</f>
        <v>CORPORATE</v>
      </c>
      <c r="F152" s="11" t="str">
        <f>IFERROR(__xludf.DUMMYFUNCTION("""COMPUTED_VALUE"""),"Other")</f>
        <v>Other</v>
      </c>
      <c r="G152" s="11" t="b">
        <f>IFERROR(__xludf.DUMMYFUNCTION("""COMPUTED_VALUE"""),FALSE)</f>
        <v>0</v>
      </c>
      <c r="H152" s="11"/>
      <c r="I152" s="11">
        <f>IFERROR(__xludf.DUMMYFUNCTION("""COMPUTED_VALUE"""),1.0)</f>
        <v>1</v>
      </c>
      <c r="J152" s="11">
        <f>IFERROR(__xludf.DUMMYFUNCTION("""COMPUTED_VALUE"""),0.0)</f>
        <v>0</v>
      </c>
      <c r="K152" s="11">
        <f>IFERROR(__xludf.DUMMYFUNCTION("""COMPUTED_VALUE"""),1.0)</f>
        <v>1</v>
      </c>
    </row>
    <row r="153" ht="15.75" customHeight="1">
      <c r="A153" s="8" t="str">
        <f>IFERROR(__xludf.DUMMYFUNCTION("""COMPUTED_VALUE"""),"https://www.jampp.com/blog/incrementality-q-a-with-growth-marketers-in-berlin")</f>
        <v>https://www.jampp.com/blog/incrementality-q-a-with-growth-marketers-in-berlin</v>
      </c>
      <c r="B153" s="11" t="str">
        <f>IFERROR(__xludf.DUMMYFUNCTION("""COMPUTED_VALUE"""),"Jampp | Incrementality Q&amp;amp;A with growth marketers in Berlin 🇩🇪")</f>
        <v>Jampp | Incrementality Q&amp;amp;A with growth marketers in Berlin 🇩🇪</v>
      </c>
      <c r="C153" s="8" t="str">
        <f>IFERROR(__xludf.DUMMYFUNCTION("""COMPUTED_VALUE"""),"jampp.com")</f>
        <v>jampp.com</v>
      </c>
      <c r="D153" s="11" t="str">
        <f>IFERROR(__xludf.DUMMYFUNCTION("""COMPUTED_VALUE"""),"OTHER")</f>
        <v>OTHER</v>
      </c>
      <c r="E153" s="11" t="str">
        <f>IFERROR(__xludf.DUMMYFUNCTION("""COMPUTED_VALUE"""),"CORPORATE")</f>
        <v>CORPORATE</v>
      </c>
      <c r="F153" s="11" t="str">
        <f>IFERROR(__xludf.DUMMYFUNCTION("""COMPUTED_VALUE"""),"Other")</f>
        <v>Other</v>
      </c>
      <c r="G153" s="11" t="b">
        <f>IFERROR(__xludf.DUMMYFUNCTION("""COMPUTED_VALUE"""),FALSE)</f>
        <v>0</v>
      </c>
      <c r="H153" s="11" t="str">
        <f>IFERROR(__xludf.DUMMYFUNCTION("""COMPUTED_VALUE"""),"Huge")</f>
        <v>Huge</v>
      </c>
      <c r="I153" s="11">
        <f>IFERROR(__xludf.DUMMYFUNCTION("""COMPUTED_VALUE"""),1.0)</f>
        <v>1</v>
      </c>
      <c r="J153" s="11">
        <f>IFERROR(__xludf.DUMMYFUNCTION("""COMPUTED_VALUE"""),0.0)</f>
        <v>0</v>
      </c>
      <c r="K153" s="11">
        <f>IFERROR(__xludf.DUMMYFUNCTION("""COMPUTED_VALUE"""),0.0)</f>
        <v>0</v>
      </c>
    </row>
    <row r="154" ht="15.75" customHeight="1">
      <c r="A154" s="8" t="str">
        <f>IFERROR(__xludf.DUMMYFUNCTION("""COMPUTED_VALUE"""),"https://kunalkankaria.com/best-ai-consultant-germany/")</f>
        <v>https://kunalkankaria.com/best-ai-consultant-germany/</v>
      </c>
      <c r="B154" s="11" t="str">
        <f>IFERROR(__xludf.DUMMYFUNCTION("""COMPUTED_VALUE"""),"Best AI Consultant In Germany Kunal Kankaria")</f>
        <v>Best AI Consultant In Germany Kunal Kankaria</v>
      </c>
      <c r="C154" s="8" t="str">
        <f>IFERROR(__xludf.DUMMYFUNCTION("""COMPUTED_VALUE"""),"kunalkankaria.com")</f>
        <v>kunalkankaria.com</v>
      </c>
      <c r="D154" s="11" t="str">
        <f>IFERROR(__xludf.DUMMYFUNCTION("""COMPUTED_VALUE"""),"OTHER")</f>
        <v>OTHER</v>
      </c>
      <c r="E154" s="11" t="str">
        <f>IFERROR(__xludf.DUMMYFUNCTION("""COMPUTED_VALUE"""),"CORPORATE")</f>
        <v>CORPORATE</v>
      </c>
      <c r="F154" s="11" t="str">
        <f>IFERROR(__xludf.DUMMYFUNCTION("""COMPUTED_VALUE"""),"Other")</f>
        <v>Other</v>
      </c>
      <c r="G154" s="11" t="b">
        <f>IFERROR(__xludf.DUMMYFUNCTION("""COMPUTED_VALUE"""),FALSE)</f>
        <v>0</v>
      </c>
      <c r="H154" s="11"/>
      <c r="I154" s="11">
        <f>IFERROR(__xludf.DUMMYFUNCTION("""COMPUTED_VALUE"""),1.0)</f>
        <v>1</v>
      </c>
      <c r="J154" s="11">
        <f>IFERROR(__xludf.DUMMYFUNCTION("""COMPUTED_VALUE"""),0.0)</f>
        <v>0</v>
      </c>
      <c r="K154" s="11">
        <f>IFERROR(__xludf.DUMMYFUNCTION("""COMPUTED_VALUE"""),3.0)</f>
        <v>3</v>
      </c>
    </row>
    <row r="155" ht="15.75" customHeight="1">
      <c r="A155" s="8" t="str">
        <f>IFERROR(__xludf.DUMMYFUNCTION("""COMPUTED_VALUE"""),"https://lbbonline.com/companies/serviceplan/about")</f>
        <v>https://lbbonline.com/companies/serviceplan/about</v>
      </c>
      <c r="B155" s="11"/>
      <c r="C155" s="8" t="str">
        <f>IFERROR(__xludf.DUMMYFUNCTION("""COMPUTED_VALUE"""),"lbbonline.com")</f>
        <v>lbbonline.com</v>
      </c>
      <c r="D155" s="11" t="str">
        <f>IFERROR(__xludf.DUMMYFUNCTION("""COMPUTED_VALUE"""),"OTHER")</f>
        <v>OTHER</v>
      </c>
      <c r="E155" s="11" t="str">
        <f>IFERROR(__xludf.DUMMYFUNCTION("""COMPUTED_VALUE"""),"REFERENCE")</f>
        <v>REFERENCE</v>
      </c>
      <c r="F155" s="11" t="str">
        <f>IFERROR(__xludf.DUMMYFUNCTION("""COMPUTED_VALUE"""),"Other")</f>
        <v>Other</v>
      </c>
      <c r="G155" s="11" t="b">
        <f>IFERROR(__xludf.DUMMYFUNCTION("""COMPUTED_VALUE"""),FALSE)</f>
        <v>0</v>
      </c>
      <c r="H155" s="11" t="str">
        <f>IFERROR(__xludf.DUMMYFUNCTION("""COMPUTED_VALUE"""),"Serviceplan Group")</f>
        <v>Serviceplan Group</v>
      </c>
      <c r="I155" s="11">
        <f>IFERROR(__xludf.DUMMYFUNCTION("""COMPUTED_VALUE"""),1.0)</f>
        <v>1</v>
      </c>
      <c r="J155" s="11">
        <f>IFERROR(__xludf.DUMMYFUNCTION("""COMPUTED_VALUE"""),0.0)</f>
        <v>0</v>
      </c>
      <c r="K155" s="11">
        <f>IFERROR(__xludf.DUMMYFUNCTION("""COMPUTED_VALUE"""),0.0)</f>
        <v>0</v>
      </c>
    </row>
    <row r="156" ht="15.75" customHeight="1">
      <c r="A156" s="8" t="str">
        <f>IFERROR(__xludf.DUMMYFUNCTION("""COMPUTED_VALUE"""),"https://www.linkedin.com/company/crealytics-gmbh")</f>
        <v>https://www.linkedin.com/company/crealytics-gmbh</v>
      </c>
      <c r="B156" s="11" t="str">
        <f>IFERROR(__xludf.DUMMYFUNCTION("""COMPUTED_VALUE"""),"Crealytics | LinkedIn")</f>
        <v>Crealytics | LinkedIn</v>
      </c>
      <c r="C156" s="8" t="str">
        <f>IFERROR(__xludf.DUMMYFUNCTION("""COMPUTED_VALUE"""),"linkedin.com")</f>
        <v>linkedin.com</v>
      </c>
      <c r="D156" s="11" t="str">
        <f>IFERROR(__xludf.DUMMYFUNCTION("""COMPUTED_VALUE"""),"OTHER")</f>
        <v>OTHER</v>
      </c>
      <c r="E156" s="11" t="str">
        <f>IFERROR(__xludf.DUMMYFUNCTION("""COMPUTED_VALUE"""),"UGC")</f>
        <v>UGC</v>
      </c>
      <c r="F156" s="11" t="str">
        <f>IFERROR(__xludf.DUMMYFUNCTION("""COMPUTED_VALUE"""),"Other")</f>
        <v>Other</v>
      </c>
      <c r="G156" s="11" t="b">
        <f>IFERROR(__xludf.DUMMYFUNCTION("""COMPUTED_VALUE"""),FALSE)</f>
        <v>0</v>
      </c>
      <c r="H156" s="11" t="str">
        <f>IFERROR(__xludf.DUMMYFUNCTION("""COMPUTED_VALUE"""),"Measured, Dentsu, Jellyfish, WPP")</f>
        <v>Measured, Dentsu, Jellyfish, WPP</v>
      </c>
      <c r="I156" s="11">
        <f>IFERROR(__xludf.DUMMYFUNCTION("""COMPUTED_VALUE"""),1.0)</f>
        <v>1</v>
      </c>
      <c r="J156" s="11">
        <f>IFERROR(__xludf.DUMMYFUNCTION("""COMPUTED_VALUE"""),0.0)</f>
        <v>0</v>
      </c>
      <c r="K156" s="11">
        <f>IFERROR(__xludf.DUMMYFUNCTION("""COMPUTED_VALUE"""),1.0)</f>
        <v>1</v>
      </c>
    </row>
    <row r="157" ht="15.75" customHeight="1">
      <c r="A157" s="8" t="str">
        <f>IFERROR(__xludf.DUMMYFUNCTION("""COMPUTED_VALUE"""),"https://madebyevoke.com/blog/top-web-design-agencies-berlin#:~:text=Jung%20von%20Matt%20is%20one,for%20major%20German%20consumer%20brands.")</f>
        <v>https://madebyevoke.com/blog/top-web-design-agencies-berlin#:~:text=Jung%20von%20Matt%20is%20one,for%20major%20German%20consumer%20brands.</v>
      </c>
      <c r="B157" s="11" t="str">
        <f>IFERROR(__xludf.DUMMYFUNCTION("""COMPUTED_VALUE"""),"Top 10 Web Design Agencies in Berlin, Germany (2027) — Ranked | Evoke Studio")</f>
        <v>Top 10 Web Design Agencies in Berlin, Germany (2027) — Ranked | Evoke Studio</v>
      </c>
      <c r="C157" s="8" t="str">
        <f>IFERROR(__xludf.DUMMYFUNCTION("""COMPUTED_VALUE"""),"madebyevoke.com")</f>
        <v>madebyevoke.com</v>
      </c>
      <c r="D157" s="11" t="str">
        <f>IFERROR(__xludf.DUMMYFUNCTION("""COMPUTED_VALUE"""),"OTHER")</f>
        <v>OTHER</v>
      </c>
      <c r="E157" s="11" t="str">
        <f>IFERROR(__xludf.DUMMYFUNCTION("""COMPUTED_VALUE"""),"CORPORATE")</f>
        <v>CORPORATE</v>
      </c>
      <c r="F157" s="11" t="str">
        <f>IFERROR(__xludf.DUMMYFUNCTION("""COMPUTED_VALUE"""),"Other")</f>
        <v>Other</v>
      </c>
      <c r="G157" s="11" t="b">
        <f>IFERROR(__xludf.DUMMYFUNCTION("""COMPUTED_VALUE"""),FALSE)</f>
        <v>0</v>
      </c>
      <c r="H157" s="11" t="str">
        <f>IFERROR(__xludf.DUMMYFUNCTION("""COMPUTED_VALUE"""),"Jung von Matt, Scholz &amp; Friends")</f>
        <v>Jung von Matt, Scholz &amp; Friends</v>
      </c>
      <c r="I157" s="11">
        <f>IFERROR(__xludf.DUMMYFUNCTION("""COMPUTED_VALUE"""),1.0)</f>
        <v>1</v>
      </c>
      <c r="J157" s="11">
        <f>IFERROR(__xludf.DUMMYFUNCTION("""COMPUTED_VALUE"""),0.0)</f>
        <v>0</v>
      </c>
      <c r="K157" s="11">
        <f>IFERROR(__xludf.DUMMYFUNCTION("""COMPUTED_VALUE"""),1.0)</f>
        <v>1</v>
      </c>
    </row>
    <row r="158" ht="15.75" customHeight="1">
      <c r="A158" s="8" t="str">
        <f>IFERROR(__xludf.DUMMYFUNCTION("""COMPUTED_VALUE"""),"https://marketinganalyticssummit.de/programm/2025/")</f>
        <v>https://marketinganalyticssummit.de/programm/2025/</v>
      </c>
      <c r="B158" s="11" t="str">
        <f>IFERROR(__xludf.DUMMYFUNCTION("""COMPUTED_VALUE"""),"Agenda 2025 - Marketing Analytics Summit Berlin")</f>
        <v>Agenda 2025 - Marketing Analytics Summit Berlin</v>
      </c>
      <c r="C158" s="8" t="str">
        <f>IFERROR(__xludf.DUMMYFUNCTION("""COMPUTED_VALUE"""),"marketinganalyticssummit.de")</f>
        <v>marketinganalyticssummit.de</v>
      </c>
      <c r="D158" s="11" t="str">
        <f>IFERROR(__xludf.DUMMYFUNCTION("""COMPUTED_VALUE"""),"OTHER")</f>
        <v>OTHER</v>
      </c>
      <c r="E158" s="11" t="str">
        <f>IFERROR(__xludf.DUMMYFUNCTION("""COMPUTED_VALUE"""),"INSTITUTIONAL")</f>
        <v>INSTITUTIONAL</v>
      </c>
      <c r="F158" s="11" t="str">
        <f>IFERROR(__xludf.DUMMYFUNCTION("""COMPUTED_VALUE"""),"Other")</f>
        <v>Other</v>
      </c>
      <c r="G158" s="11" t="b">
        <f>IFERROR(__xludf.DUMMYFUNCTION("""COMPUTED_VALUE"""),FALSE)</f>
        <v>0</v>
      </c>
      <c r="H158" s="11" t="str">
        <f>IFERROR(__xludf.DUMMYFUNCTION("""COMPUTED_VALUE"""),"FELD M")</f>
        <v>FELD M</v>
      </c>
      <c r="I158" s="11">
        <f>IFERROR(__xludf.DUMMYFUNCTION("""COMPUTED_VALUE"""),1.0)</f>
        <v>1</v>
      </c>
      <c r="J158" s="11">
        <f>IFERROR(__xludf.DUMMYFUNCTION("""COMPUTED_VALUE"""),0.0)</f>
        <v>0</v>
      </c>
      <c r="K158" s="11">
        <f>IFERROR(__xludf.DUMMYFUNCTION("""COMPUTED_VALUE"""),2.0)</f>
        <v>2</v>
      </c>
    </row>
    <row r="159" ht="15.75" customHeight="1">
      <c r="A159" s="8" t="str">
        <f>IFERROR(__xludf.DUMMYFUNCTION("""COMPUTED_VALUE"""),"https://www.mercurymediatechnology.com/de/marketing-measurement-mmm/")</f>
        <v>https://www.mercurymediatechnology.com/de/marketing-measurement-mmm/</v>
      </c>
      <c r="B159" s="11" t="str">
        <f>IFERROR(__xludf.DUMMYFUNCTION("""COMPUTED_VALUE"""),"Marketing Measurement &amp;amp; MMM für Unternehmen | MMT")</f>
        <v>Marketing Measurement &amp;amp; MMM für Unternehmen | MMT</v>
      </c>
      <c r="C159" s="8" t="str">
        <f>IFERROR(__xludf.DUMMYFUNCTION("""COMPUTED_VALUE"""),"mercurymediatechnology.com")</f>
        <v>mercurymediatechnology.com</v>
      </c>
      <c r="D159" s="11" t="str">
        <f>IFERROR(__xludf.DUMMYFUNCTION("""COMPUTED_VALUE"""),"OTHER")</f>
        <v>OTHER</v>
      </c>
      <c r="E159" s="11" t="str">
        <f>IFERROR(__xludf.DUMMYFUNCTION("""COMPUTED_VALUE"""),"CORPORATE")</f>
        <v>CORPORATE</v>
      </c>
      <c r="F159" s="11" t="str">
        <f>IFERROR(__xludf.DUMMYFUNCTION("""COMPUTED_VALUE"""),"Other")</f>
        <v>Other</v>
      </c>
      <c r="G159" s="11" t="b">
        <f>IFERROR(__xludf.DUMMYFUNCTION("""COMPUTED_VALUE"""),FALSE)</f>
        <v>0</v>
      </c>
      <c r="H159" s="11"/>
      <c r="I159" s="11">
        <f>IFERROR(__xludf.DUMMYFUNCTION("""COMPUTED_VALUE"""),1.0)</f>
        <v>1</v>
      </c>
      <c r="J159" s="11">
        <f>IFERROR(__xludf.DUMMYFUNCTION("""COMPUTED_VALUE"""),0.0)</f>
        <v>0</v>
      </c>
      <c r="K159" s="11">
        <f>IFERROR(__xludf.DUMMYFUNCTION("""COMPUTED_VALUE"""),0.0)</f>
        <v>0</v>
      </c>
    </row>
    <row r="160" ht="15.75" customHeight="1">
      <c r="A160" s="8" t="str">
        <f>IFERROR(__xludf.DUMMYFUNCTION("""COMPUTED_VALUE"""),"https://www.merkle.com/en/about-us/partnerships/google.html")</f>
        <v>https://www.merkle.com/en/about-us/partnerships/google.html</v>
      </c>
      <c r="B160" s="11" t="str">
        <f>IFERROR(__xludf.DUMMYFUNCTION("""COMPUTED_VALUE"""),"Merkle &amp;amp; Google Partnership - GMP &amp;amp; GCP Expertise | Merkle")</f>
        <v>Merkle &amp;amp; Google Partnership - GMP &amp;amp; GCP Expertise | Merkle</v>
      </c>
      <c r="C160" s="8" t="str">
        <f>IFERROR(__xludf.DUMMYFUNCTION("""COMPUTED_VALUE"""),"merkle.com")</f>
        <v>merkle.com</v>
      </c>
      <c r="D160" s="11" t="str">
        <f>IFERROR(__xludf.DUMMYFUNCTION("""COMPUTED_VALUE"""),"OTHER")</f>
        <v>OTHER</v>
      </c>
      <c r="E160" s="11" t="str">
        <f>IFERROR(__xludf.DUMMYFUNCTION("""COMPUTED_VALUE"""),"COMPETITOR")</f>
        <v>COMPETITOR</v>
      </c>
      <c r="F160" s="11" t="str">
        <f>IFERROR(__xludf.DUMMYFUNCTION("""COMPUTED_VALUE"""),"Other")</f>
        <v>Other</v>
      </c>
      <c r="G160" s="11" t="b">
        <f>IFERROR(__xludf.DUMMYFUNCTION("""COMPUTED_VALUE"""),FALSE)</f>
        <v>0</v>
      </c>
      <c r="H160" s="11" t="str">
        <f>IFERROR(__xludf.DUMMYFUNCTION("""COMPUTED_VALUE"""),"Merkle, Dentsu")</f>
        <v>Merkle, Dentsu</v>
      </c>
      <c r="I160" s="11">
        <f>IFERROR(__xludf.DUMMYFUNCTION("""COMPUTED_VALUE"""),1.0)</f>
        <v>1</v>
      </c>
      <c r="J160" s="11">
        <f>IFERROR(__xludf.DUMMYFUNCTION("""COMPUTED_VALUE"""),0.0)</f>
        <v>0</v>
      </c>
      <c r="K160" s="11">
        <f>IFERROR(__xludf.DUMMYFUNCTION("""COMPUTED_VALUE"""),1.0)</f>
        <v>1</v>
      </c>
    </row>
    <row r="161" ht="15.75" customHeight="1">
      <c r="A161" s="8" t="str">
        <f>IFERROR(__xludf.DUMMYFUNCTION("""COMPUTED_VALUE"""),"https://www.mintzoro.com/ai-marketing-agency-in-germany/")</f>
        <v>https://www.mintzoro.com/ai-marketing-agency-in-germany/</v>
      </c>
      <c r="B161" s="11" t="str">
        <f>IFERROR(__xludf.DUMMYFUNCTION("""COMPUTED_VALUE"""),"Best AI Marketing, Agents &amp;amp; Automation Agency in Germany | Mintzoro")</f>
        <v>Best AI Marketing, Agents &amp;amp; Automation Agency in Germany | Mintzoro</v>
      </c>
      <c r="C161" s="8" t="str">
        <f>IFERROR(__xludf.DUMMYFUNCTION("""COMPUTED_VALUE"""),"mintzoro.com")</f>
        <v>mintzoro.com</v>
      </c>
      <c r="D161" s="11" t="str">
        <f>IFERROR(__xludf.DUMMYFUNCTION("""COMPUTED_VALUE"""),"OTHER")</f>
        <v>OTHER</v>
      </c>
      <c r="E161" s="11" t="str">
        <f>IFERROR(__xludf.DUMMYFUNCTION("""COMPUTED_VALUE"""),"CORPORATE")</f>
        <v>CORPORATE</v>
      </c>
      <c r="F161" s="11" t="str">
        <f>IFERROR(__xludf.DUMMYFUNCTION("""COMPUTED_VALUE"""),"Other")</f>
        <v>Other</v>
      </c>
      <c r="G161" s="11" t="b">
        <f>IFERROR(__xludf.DUMMYFUNCTION("""COMPUTED_VALUE"""),FALSE)</f>
        <v>0</v>
      </c>
      <c r="H161" s="11"/>
      <c r="I161" s="11">
        <f>IFERROR(__xludf.DUMMYFUNCTION("""COMPUTED_VALUE"""),1.0)</f>
        <v>1</v>
      </c>
      <c r="J161" s="11">
        <f>IFERROR(__xludf.DUMMYFUNCTION("""COMPUTED_VALUE"""),0.0)</f>
        <v>0</v>
      </c>
      <c r="K161" s="11">
        <f>IFERROR(__xludf.DUMMYFUNCTION("""COMPUTED_VALUE"""),0.0)</f>
        <v>0</v>
      </c>
    </row>
    <row r="162" ht="15.75" customHeight="1">
      <c r="A162" s="8" t="str">
        <f>IFERROR(__xludf.DUMMYFUNCTION("""COMPUTED_VALUE"""),"https://www.nakoa.digital/ergebnisse/partner/incubeta/")</f>
        <v>https://www.nakoa.digital/ergebnisse/partner/incubeta/</v>
      </c>
      <c r="B162" s="11" t="str">
        <f>IFERROR(__xludf.DUMMYFUNCTION("""COMPUTED_VALUE"""),"Incubeta | Nakoa.Digital")</f>
        <v>Incubeta | Nakoa.Digital</v>
      </c>
      <c r="C162" s="11" t="str">
        <f>IFERROR(__xludf.DUMMYFUNCTION("""COMPUTED_VALUE"""),"nakoa.digital")</f>
        <v>nakoa.digital</v>
      </c>
      <c r="D162" s="11" t="str">
        <f>IFERROR(__xludf.DUMMYFUNCTION("""COMPUTED_VALUE"""),"OTHER")</f>
        <v>OTHER</v>
      </c>
      <c r="E162" s="11" t="str">
        <f>IFERROR(__xludf.DUMMYFUNCTION("""COMPUTED_VALUE"""),"CORPORATE")</f>
        <v>CORPORATE</v>
      </c>
      <c r="F162" s="11" t="str">
        <f>IFERROR(__xludf.DUMMYFUNCTION("""COMPUTED_VALUE"""),"Other")</f>
        <v>Other</v>
      </c>
      <c r="G162" s="11" t="b">
        <f>IFERROR(__xludf.DUMMYFUNCTION("""COMPUTED_VALUE"""),TRUE)</f>
        <v>1</v>
      </c>
      <c r="H162" s="11" t="str">
        <f>IFERROR(__xludf.DUMMYFUNCTION("""COMPUTED_VALUE"""),"Incubeta")</f>
        <v>Incubeta</v>
      </c>
      <c r="I162" s="11">
        <f>IFERROR(__xludf.DUMMYFUNCTION("""COMPUTED_VALUE"""),1.0)</f>
        <v>1</v>
      </c>
      <c r="J162" s="11">
        <f>IFERROR(__xludf.DUMMYFUNCTION("""COMPUTED_VALUE"""),0.0)</f>
        <v>0</v>
      </c>
      <c r="K162" s="11">
        <f>IFERROR(__xludf.DUMMYFUNCTION("""COMPUTED_VALUE"""),1.0)</f>
        <v>1</v>
      </c>
    </row>
    <row r="163" ht="15.75" customHeight="1">
      <c r="A163" s="8" t="str">
        <f>IFERROR(__xludf.DUMMYFUNCTION("""COMPUTED_VALUE"""),"https://www.oneclub.org/awards/rankings/-archive/independantagency/2024/all/2/276")</f>
        <v>https://www.oneclub.org/awards/rankings/-archive/independantagency/2024/all/2/276</v>
      </c>
      <c r="B163" s="11"/>
      <c r="C163" s="8" t="str">
        <f>IFERROR(__xludf.DUMMYFUNCTION("""COMPUTED_VALUE"""),"oneclub.org")</f>
        <v>oneclub.org</v>
      </c>
      <c r="D163" s="11" t="str">
        <f>IFERROR(__xludf.DUMMYFUNCTION("""COMPUTED_VALUE"""),"OTHER")</f>
        <v>OTHER</v>
      </c>
      <c r="E163" s="11" t="str">
        <f>IFERROR(__xludf.DUMMYFUNCTION("""COMPUTED_VALUE"""),"INSTITUTIONAL")</f>
        <v>INSTITUTIONAL</v>
      </c>
      <c r="F163" s="11" t="str">
        <f>IFERROR(__xludf.DUMMYFUNCTION("""COMPUTED_VALUE"""),"Other")</f>
        <v>Other</v>
      </c>
      <c r="G163" s="11"/>
      <c r="H163" s="11" t="str">
        <f>IFERROR(__xludf.DUMMYFUNCTION("""COMPUTED_VALUE"""),"Unknown")</f>
        <v>Unknown</v>
      </c>
      <c r="I163" s="11">
        <f>IFERROR(__xludf.DUMMYFUNCTION("""COMPUTED_VALUE"""),1.0)</f>
        <v>1</v>
      </c>
      <c r="J163" s="11">
        <f>IFERROR(__xludf.DUMMYFUNCTION("""COMPUTED_VALUE"""),0.0)</f>
        <v>0</v>
      </c>
      <c r="K163" s="11">
        <f>IFERROR(__xludf.DUMMYFUNCTION("""COMPUTED_VALUE"""),0.0)</f>
        <v>0</v>
      </c>
    </row>
    <row r="164" ht="15.75" customHeight="1">
      <c r="A164" s="8" t="str">
        <f>IFERROR(__xludf.DUMMYFUNCTION("""COMPUTED_VALUE"""),"https://www.onetoone.de/artikel/db/235291SUR.html")</f>
        <v>https://www.onetoone.de/artikel/db/235291SUR.html</v>
      </c>
      <c r="B164" s="11" t="str">
        <f>IFERROR(__xludf.DUMMYFUNCTION("""COMPUTED_VALUE"""),"Internetagentur-Ranking 2026: Schere im Agenturmarkt geht weiter auseinander")</f>
        <v>Internetagentur-Ranking 2026: Schere im Agenturmarkt geht weiter auseinander</v>
      </c>
      <c r="C164" s="8" t="str">
        <f>IFERROR(__xludf.DUMMYFUNCTION("""COMPUTED_VALUE"""),"onetoone.de")</f>
        <v>onetoone.de</v>
      </c>
      <c r="D164" s="11" t="str">
        <f>IFERROR(__xludf.DUMMYFUNCTION("""COMPUTED_VALUE"""),"OTHER")</f>
        <v>OTHER</v>
      </c>
      <c r="E164" s="11" t="str">
        <f>IFERROR(__xludf.DUMMYFUNCTION("""COMPUTED_VALUE"""),"OTHER")</f>
        <v>OTHER</v>
      </c>
      <c r="F164" s="11" t="str">
        <f>IFERROR(__xludf.DUMMYFUNCTION("""COMPUTED_VALUE"""),"Other")</f>
        <v>Other</v>
      </c>
      <c r="G164" s="11" t="b">
        <f>IFERROR(__xludf.DUMMYFUNCTION("""COMPUTED_VALUE"""),FALSE)</f>
        <v>0</v>
      </c>
      <c r="H164" s="11" t="str">
        <f>IFERROR(__xludf.DUMMYFUNCTION("""COMPUTED_VALUE"""),"Serviceplan Group, Publicis Groupe")</f>
        <v>Serviceplan Group, Publicis Groupe</v>
      </c>
      <c r="I164" s="11">
        <f>IFERROR(__xludf.DUMMYFUNCTION("""COMPUTED_VALUE"""),1.0)</f>
        <v>1</v>
      </c>
      <c r="J164" s="11">
        <f>IFERROR(__xludf.DUMMYFUNCTION("""COMPUTED_VALUE"""),0.0)</f>
        <v>0</v>
      </c>
      <c r="K164" s="11">
        <f>IFERROR(__xludf.DUMMYFUNCTION("""COMPUTED_VALUE"""),0.0)</f>
        <v>0</v>
      </c>
    </row>
    <row r="165" ht="15.75" customHeight="1">
      <c r="A165" s="8" t="str">
        <f>IFERROR(__xludf.DUMMYFUNCTION("""COMPUTED_VALUE"""),"https://open.spotify.com/show/2KwD77vAcC9acv5NhCHnAF")</f>
        <v>https://open.spotify.com/show/2KwD77vAcC9acv5NhCHnAF</v>
      </c>
      <c r="B165" s="11" t="str">
        <f>IFERROR(__xludf.DUMMYFUNCTION("""COMPUTED_VALUE"""),"Marketing Pioneers | Podcast on Spotify")</f>
        <v>Marketing Pioneers | Podcast on Spotify</v>
      </c>
      <c r="C165" s="8" t="str">
        <f>IFERROR(__xludf.DUMMYFUNCTION("""COMPUTED_VALUE"""),"spotify.com")</f>
        <v>spotify.com</v>
      </c>
      <c r="D165" s="11" t="str">
        <f>IFERROR(__xludf.DUMMYFUNCTION("""COMPUTED_VALUE"""),"OTHER")</f>
        <v>OTHER</v>
      </c>
      <c r="E165" s="11" t="str">
        <f>IFERROR(__xludf.DUMMYFUNCTION("""COMPUTED_VALUE"""),"UGC")</f>
        <v>UGC</v>
      </c>
      <c r="F165" s="11" t="str">
        <f>IFERROR(__xludf.DUMMYFUNCTION("""COMPUTED_VALUE"""),"Other")</f>
        <v>Other</v>
      </c>
      <c r="G165" s="11" t="b">
        <f>IFERROR(__xludf.DUMMYFUNCTION("""COMPUTED_VALUE"""),FALSE)</f>
        <v>0</v>
      </c>
      <c r="H165" s="11"/>
      <c r="I165" s="11">
        <f>IFERROR(__xludf.DUMMYFUNCTION("""COMPUTED_VALUE"""),1.0)</f>
        <v>1</v>
      </c>
      <c r="J165" s="11">
        <f>IFERROR(__xludf.DUMMYFUNCTION("""COMPUTED_VALUE"""),0.0)</f>
        <v>0</v>
      </c>
      <c r="K165" s="11">
        <f>IFERROR(__xludf.DUMMYFUNCTION("""COMPUTED_VALUE"""),1.0)</f>
        <v>1</v>
      </c>
    </row>
    <row r="166" ht="15.75" customHeight="1">
      <c r="A166" s="8" t="str">
        <f>IFERROR(__xludf.DUMMYFUNCTION("""COMPUTED_VALUE"""),"https://origami.chat/blog/d2c-brands-germany-shopify-ads-prospecting-guide-2026")</f>
        <v>https://origami.chat/blog/d2c-brands-germany-shopify-ads-prospecting-guide-2026</v>
      </c>
      <c r="B166" s="11" t="str">
        <f>IFERROR(__xludf.DUMMYFUNCTION("""COMPUTED_VALUE"""),"D2C Brands Germany Shopify Ads: Prospecting Guide 2026")</f>
        <v>D2C Brands Germany Shopify Ads: Prospecting Guide 2026</v>
      </c>
      <c r="C166" s="11" t="str">
        <f>IFERROR(__xludf.DUMMYFUNCTION("""COMPUTED_VALUE"""),"origami.chat")</f>
        <v>origami.chat</v>
      </c>
      <c r="D166" s="11" t="str">
        <f>IFERROR(__xludf.DUMMYFUNCTION("""COMPUTED_VALUE"""),"OTHER")</f>
        <v>OTHER</v>
      </c>
      <c r="E166" s="11" t="str">
        <f>IFERROR(__xludf.DUMMYFUNCTION("""COMPUTED_VALUE"""),"CORPORATE")</f>
        <v>CORPORATE</v>
      </c>
      <c r="F166" s="11" t="str">
        <f>IFERROR(__xludf.DUMMYFUNCTION("""COMPUTED_VALUE"""),"Other")</f>
        <v>Other</v>
      </c>
      <c r="G166" s="11" t="b">
        <f>IFERROR(__xludf.DUMMYFUNCTION("""COMPUTED_VALUE"""),FALSE)</f>
        <v>0</v>
      </c>
      <c r="H166" s="11"/>
      <c r="I166" s="11">
        <f>IFERROR(__xludf.DUMMYFUNCTION("""COMPUTED_VALUE"""),1.0)</f>
        <v>1</v>
      </c>
      <c r="J166" s="11">
        <f>IFERROR(__xludf.DUMMYFUNCTION("""COMPUTED_VALUE"""),0.0)</f>
        <v>0</v>
      </c>
      <c r="K166" s="11">
        <f>IFERROR(__xludf.DUMMYFUNCTION("""COMPUTED_VALUE"""),1.0)</f>
        <v>1</v>
      </c>
    </row>
    <row r="167" ht="15.75" customHeight="1">
      <c r="A167" s="8" t="str">
        <f>IFERROR(__xludf.DUMMYFUNCTION("""COMPUTED_VALUE"""),"https://partnersdirectory.withgoogle.com/?_gl=1*1tz1h94*_ga*MTQ1NTE5OTU1NC4xNzQ3MTI3Mjk4*_ga_BXYLHC2HPB*czE3NDgzNDMwODckbzEkZzEkdDE3NDgzNDQ1MDgkajU0JGwwJGgwJGRDSkJuSnJEdU9naGhxWFM4MnVXYzJiQ3NUVnNSQ2tpMWZR&amp;authuser=0&amp;premier=true&amp;subid=uk-en-awhp-g-aw-m-pa"&amp;"r-w-hero-bgc%21o2")</f>
        <v>https://partnersdirectory.withgoogle.com/?_gl=1*1tz1h94*_ga*MTQ1NTE5OTU1NC4xNzQ3MTI3Mjk4*_ga_BXYLHC2HPB*czE3NDgzNDMwODckbzEkZzEkdDE3NDgzNDQ1MDgkajU0JGwwJGgwJGRDSkJuSnJEdU9naGhxWFM4MnVXYzJiQ3NUVnNSQ2tpMWZR&amp;authuser=0&amp;premier=true&amp;subid=uk-en-awhp-g-aw-m-par-w-hero-bgc%21o2</v>
      </c>
      <c r="B167" s="11"/>
      <c r="C167" s="8" t="str">
        <f>IFERROR(__xludf.DUMMYFUNCTION("""COMPUTED_VALUE"""),"withgoogle.com")</f>
        <v>withgoogle.com</v>
      </c>
      <c r="D167" s="11" t="str">
        <f>IFERROR(__xludf.DUMMYFUNCTION("""COMPUTED_VALUE"""),"OTHER")</f>
        <v>OTHER</v>
      </c>
      <c r="E167" s="11" t="str">
        <f>IFERROR(__xludf.DUMMYFUNCTION("""COMPUTED_VALUE"""),"CORPORATE")</f>
        <v>CORPORATE</v>
      </c>
      <c r="F167" s="11" t="str">
        <f>IFERROR(__xludf.DUMMYFUNCTION("""COMPUTED_VALUE"""),"Other")</f>
        <v>Other</v>
      </c>
      <c r="G167" s="11"/>
      <c r="H167" s="11" t="str">
        <f>IFERROR(__xludf.DUMMYFUNCTION("""COMPUTED_VALUE"""),"Unknown")</f>
        <v>Unknown</v>
      </c>
      <c r="I167" s="11">
        <f>IFERROR(__xludf.DUMMYFUNCTION("""COMPUTED_VALUE"""),1.0)</f>
        <v>1</v>
      </c>
      <c r="J167" s="11">
        <f>IFERROR(__xludf.DUMMYFUNCTION("""COMPUTED_VALUE"""),0.0)</f>
        <v>0</v>
      </c>
      <c r="K167" s="11">
        <f>IFERROR(__xludf.DUMMYFUNCTION("""COMPUTED_VALUE"""),1.0)</f>
        <v>1</v>
      </c>
    </row>
    <row r="168" ht="15.75" customHeight="1">
      <c r="A168" s="8"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B168" s="11"/>
      <c r="C168" s="8" t="str">
        <f>IFERROR(__xludf.DUMMYFUNCTION("""COMPUTED_VALUE"""),"withgoogle.com")</f>
        <v>withgoogle.com</v>
      </c>
      <c r="D168" s="11" t="str">
        <f>IFERROR(__xludf.DUMMYFUNCTION("""COMPUTED_VALUE"""),"OTHER")</f>
        <v>OTHER</v>
      </c>
      <c r="E168" s="11" t="str">
        <f>IFERROR(__xludf.DUMMYFUNCTION("""COMPUTED_VALUE"""),"CORPORATE")</f>
        <v>CORPORATE</v>
      </c>
      <c r="F168" s="11" t="str">
        <f>IFERROR(__xludf.DUMMYFUNCTION("""COMPUTED_VALUE"""),"Other")</f>
        <v>Other</v>
      </c>
      <c r="G168" s="11"/>
      <c r="H168" s="11" t="str">
        <f>IFERROR(__xludf.DUMMYFUNCTION("""COMPUTED_VALUE"""),"Unknown")</f>
        <v>Unknown</v>
      </c>
      <c r="I168" s="11">
        <f>IFERROR(__xludf.DUMMYFUNCTION("""COMPUTED_VALUE"""),1.0)</f>
        <v>1</v>
      </c>
      <c r="J168" s="11">
        <f>IFERROR(__xludf.DUMMYFUNCTION("""COMPUTED_VALUE"""),0.0)</f>
        <v>0</v>
      </c>
      <c r="K168" s="11">
        <f>IFERROR(__xludf.DUMMYFUNCTION("""COMPUTED_VALUE"""),0.0)</f>
        <v>0</v>
      </c>
    </row>
    <row r="169" ht="15.75" customHeight="1">
      <c r="A169" s="8" t="str">
        <f>IFERROR(__xludf.DUMMYFUNCTION("""COMPUTED_VALUE"""),"https://s360digital.com/capabilities/")</f>
        <v>https://s360digital.com/capabilities/</v>
      </c>
      <c r="B169" s="11" t="str">
        <f>IFERROR(__xludf.DUMMYFUNCTION("""COMPUTED_VALUE"""),"Capabilities: Our three areas of expertise | s360")</f>
        <v>Capabilities: Our three areas of expertise | s360</v>
      </c>
      <c r="C169" s="8" t="str">
        <f>IFERROR(__xludf.DUMMYFUNCTION("""COMPUTED_VALUE"""),"s360digital.com")</f>
        <v>s360digital.com</v>
      </c>
      <c r="D169" s="11" t="str">
        <f>IFERROR(__xludf.DUMMYFUNCTION("""COMPUTED_VALUE"""),"OTHER")</f>
        <v>OTHER</v>
      </c>
      <c r="E169" s="11" t="str">
        <f>IFERROR(__xludf.DUMMYFUNCTION("""COMPUTED_VALUE"""),"COMPETITOR")</f>
        <v>COMPETITOR</v>
      </c>
      <c r="F169" s="11" t="str">
        <f>IFERROR(__xludf.DUMMYFUNCTION("""COMPUTED_VALUE"""),"Other")</f>
        <v>Other</v>
      </c>
      <c r="G169" s="11" t="b">
        <f>IFERROR(__xludf.DUMMYFUNCTION("""COMPUTED_VALUE"""),FALSE)</f>
        <v>0</v>
      </c>
      <c r="H169" s="11" t="str">
        <f>IFERROR(__xludf.DUMMYFUNCTION("""COMPUTED_VALUE"""),"s360, Measured")</f>
        <v>s360, Measured</v>
      </c>
      <c r="I169" s="11">
        <f>IFERROR(__xludf.DUMMYFUNCTION("""COMPUTED_VALUE"""),1.0)</f>
        <v>1</v>
      </c>
      <c r="J169" s="11">
        <f>IFERROR(__xludf.DUMMYFUNCTION("""COMPUTED_VALUE"""),0.0)</f>
        <v>0</v>
      </c>
      <c r="K169" s="11">
        <f>IFERROR(__xludf.DUMMYFUNCTION("""COMPUTED_VALUE"""),1.0)</f>
        <v>1</v>
      </c>
    </row>
    <row r="170" ht="15.75" customHeight="1">
      <c r="A170" s="8" t="str">
        <f>IFERROR(__xludf.DUMMYFUNCTION("""COMPUTED_VALUE"""),"https://www.schalk-and-friends.de/en/services/data-analytics/#:~:text=Web%20Analytics%20%26%20Tracking%20Agency%20%7C%20schalk%26friends")</f>
        <v>https://www.schalk-and-friends.de/en/services/data-analytics/#:~:text=Web%20Analytics%20%26%20Tracking%20Agency%20%7C%20schalk%26friends</v>
      </c>
      <c r="B170" s="11" t="str">
        <f>IFERROR(__xludf.DUMMYFUNCTION("""COMPUTED_VALUE"""),"Web Analytics &amp;amp; Tracking Agency | schalk&amp;amp;friends")</f>
        <v>Web Analytics &amp;amp; Tracking Agency | schalk&amp;amp;friends</v>
      </c>
      <c r="C170" s="8" t="str">
        <f>IFERROR(__xludf.DUMMYFUNCTION("""COMPUTED_VALUE"""),"schalk-and-friends.de")</f>
        <v>schalk-and-friends.de</v>
      </c>
      <c r="D170" s="11" t="str">
        <f>IFERROR(__xludf.DUMMYFUNCTION("""COMPUTED_VALUE"""),"OTHER")</f>
        <v>OTHER</v>
      </c>
      <c r="E170" s="11" t="str">
        <f>IFERROR(__xludf.DUMMYFUNCTION("""COMPUTED_VALUE"""),"CORPORATE")</f>
        <v>CORPORATE</v>
      </c>
      <c r="F170" s="11" t="str">
        <f>IFERROR(__xludf.DUMMYFUNCTION("""COMPUTED_VALUE"""),"Other")</f>
        <v>Other</v>
      </c>
      <c r="G170" s="11" t="b">
        <f>IFERROR(__xludf.DUMMYFUNCTION("""COMPUTED_VALUE"""),FALSE)</f>
        <v>0</v>
      </c>
      <c r="H170" s="11"/>
      <c r="I170" s="11">
        <f>IFERROR(__xludf.DUMMYFUNCTION("""COMPUTED_VALUE"""),1.0)</f>
        <v>1</v>
      </c>
      <c r="J170" s="11">
        <f>IFERROR(__xludf.DUMMYFUNCTION("""COMPUTED_VALUE"""),0.0)</f>
        <v>0</v>
      </c>
      <c r="K170" s="11">
        <f>IFERROR(__xludf.DUMMYFUNCTION("""COMPUTED_VALUE"""),1.0)</f>
        <v>1</v>
      </c>
    </row>
    <row r="171" ht="15.75" customHeight="1">
      <c r="A171" s="8" t="str">
        <f>IFERROR(__xludf.DUMMYFUNCTION("""COMPUTED_VALUE"""),"https://scopicstudios.com/blog/first-party-data-adoption-statistics-every-marketer-must-know/")</f>
        <v>https://scopicstudios.com/blog/first-party-data-adoption-statistics-every-marketer-must-know/</v>
      </c>
      <c r="B171" s="11" t="str">
        <f>IFERROR(__xludf.DUMMYFUNCTION("""COMPUTED_VALUE"""),"First-Party Data Strategies: Key Stats for Marketers in 2026")</f>
        <v>First-Party Data Strategies: Key Stats for Marketers in 2026</v>
      </c>
      <c r="C171" s="8" t="str">
        <f>IFERROR(__xludf.DUMMYFUNCTION("""COMPUTED_VALUE"""),"scopicstudios.com")</f>
        <v>scopicstudios.com</v>
      </c>
      <c r="D171" s="11" t="str">
        <f>IFERROR(__xludf.DUMMYFUNCTION("""COMPUTED_VALUE"""),"OTHER")</f>
        <v>OTHER</v>
      </c>
      <c r="E171" s="11" t="str">
        <f>IFERROR(__xludf.DUMMYFUNCTION("""COMPUTED_VALUE"""),"CORPORATE")</f>
        <v>CORPORATE</v>
      </c>
      <c r="F171" s="11" t="str">
        <f>IFERROR(__xludf.DUMMYFUNCTION("""COMPUTED_VALUE"""),"Other")</f>
        <v>Other</v>
      </c>
      <c r="G171" s="11" t="b">
        <f>IFERROR(__xludf.DUMMYFUNCTION("""COMPUTED_VALUE"""),FALSE)</f>
        <v>0</v>
      </c>
      <c r="H171" s="11" t="str">
        <f>IFERROR(__xludf.DUMMYFUNCTION("""COMPUTED_VALUE"""),"Epsilon, NoGood")</f>
        <v>Epsilon, NoGood</v>
      </c>
      <c r="I171" s="11">
        <f>IFERROR(__xludf.DUMMYFUNCTION("""COMPUTED_VALUE"""),1.0)</f>
        <v>1</v>
      </c>
      <c r="J171" s="11">
        <f>IFERROR(__xludf.DUMMYFUNCTION("""COMPUTED_VALUE"""),0.0)</f>
        <v>0</v>
      </c>
      <c r="K171" s="11">
        <f>IFERROR(__xludf.DUMMYFUNCTION("""COMPUTED_VALUE"""),0.0)</f>
        <v>0</v>
      </c>
    </row>
    <row r="172" ht="15.75" customHeight="1">
      <c r="A172" s="8" t="str">
        <f>IFERROR(__xludf.DUMMYFUNCTION("""COMPUTED_VALUE"""),"https://www.sdbj.com/news/firms-leverage-tech-drive-business/")</f>
        <v>https://www.sdbj.com/news/firms-leverage-tech-drive-business/</v>
      </c>
      <c r="B172" s="11" t="str">
        <f>IFERROR(__xludf.DUMMYFUNCTION("""COMPUTED_VALUE"""),"Firms Leverage Tech to Drive Business - San Diego Business Journal")</f>
        <v>Firms Leverage Tech to Drive Business - San Diego Business Journal</v>
      </c>
      <c r="C172" s="8" t="str">
        <f>IFERROR(__xludf.DUMMYFUNCTION("""COMPUTED_VALUE"""),"sdbj.com")</f>
        <v>sdbj.com</v>
      </c>
      <c r="D172" s="11" t="str">
        <f>IFERROR(__xludf.DUMMYFUNCTION("""COMPUTED_VALUE"""),"OTHER")</f>
        <v>OTHER</v>
      </c>
      <c r="E172" s="11" t="str">
        <f>IFERROR(__xludf.DUMMYFUNCTION("""COMPUTED_VALUE"""),"EDITORIAL")</f>
        <v>EDITORIAL</v>
      </c>
      <c r="F172" s="11" t="str">
        <f>IFERROR(__xludf.DUMMYFUNCTION("""COMPUTED_VALUE"""),"Other")</f>
        <v>Other</v>
      </c>
      <c r="G172" s="11" t="b">
        <f>IFERROR(__xludf.DUMMYFUNCTION("""COMPUTED_VALUE"""),FALSE)</f>
        <v>0</v>
      </c>
      <c r="H172" s="11" t="str">
        <f>IFERROR(__xludf.DUMMYFUNCTION("""COMPUTED_VALUE"""),"Power Digital")</f>
        <v>Power Digital</v>
      </c>
      <c r="I172" s="11">
        <f>IFERROR(__xludf.DUMMYFUNCTION("""COMPUTED_VALUE"""),1.0)</f>
        <v>1</v>
      </c>
      <c r="J172" s="11">
        <f>IFERROR(__xludf.DUMMYFUNCTION("""COMPUTED_VALUE"""),0.0)</f>
        <v>0</v>
      </c>
      <c r="K172" s="11">
        <f>IFERROR(__xludf.DUMMYFUNCTION("""COMPUTED_VALUE"""),0.0)</f>
        <v>0</v>
      </c>
    </row>
    <row r="173" ht="15.75" customHeight="1">
      <c r="A173" s="8" t="str">
        <f>IFERROR(__xludf.DUMMYFUNCTION("""COMPUTED_VALUE"""),"https://www.softwareadvice.com/marketing-attribution/")</f>
        <v>https://www.softwareadvice.com/marketing-attribution/</v>
      </c>
      <c r="B173" s="11" t="str">
        <f>IFERROR(__xludf.DUMMYFUNCTION("""COMPUTED_VALUE"""),"Best Marketing Attribution Software - 2026 Reviews &amp;amp; Pricing")</f>
        <v>Best Marketing Attribution Software - 2026 Reviews &amp;amp; Pricing</v>
      </c>
      <c r="C173" s="8" t="str">
        <f>IFERROR(__xludf.DUMMYFUNCTION("""COMPUTED_VALUE"""),"softwareadvice.com")</f>
        <v>softwareadvice.com</v>
      </c>
      <c r="D173" s="11" t="str">
        <f>IFERROR(__xludf.DUMMYFUNCTION("""COMPUTED_VALUE"""),"OTHER")</f>
        <v>OTHER</v>
      </c>
      <c r="E173" s="11" t="str">
        <f>IFERROR(__xludf.DUMMYFUNCTION("""COMPUTED_VALUE"""),"REFERENCE")</f>
        <v>REFERENCE</v>
      </c>
      <c r="F173" s="11" t="str">
        <f>IFERROR(__xludf.DUMMYFUNCTION("""COMPUTED_VALUE"""),"Other")</f>
        <v>Other</v>
      </c>
      <c r="G173" s="11" t="b">
        <f>IFERROR(__xludf.DUMMYFUNCTION("""COMPUTED_VALUE"""),FALSE)</f>
        <v>0</v>
      </c>
      <c r="H173" s="11" t="str">
        <f>IFERROR(__xludf.DUMMYFUNCTION("""COMPUTED_VALUE"""),"Dreamdata, Measured")</f>
        <v>Dreamdata, Measured</v>
      </c>
      <c r="I173" s="11">
        <f>IFERROR(__xludf.DUMMYFUNCTION("""COMPUTED_VALUE"""),1.0)</f>
        <v>1</v>
      </c>
      <c r="J173" s="11">
        <f>IFERROR(__xludf.DUMMYFUNCTION("""COMPUTED_VALUE"""),0.0)</f>
        <v>0</v>
      </c>
      <c r="K173" s="11">
        <f>IFERROR(__xludf.DUMMYFUNCTION("""COMPUTED_VALUE"""),0.0)</f>
        <v>0</v>
      </c>
    </row>
    <row r="174" ht="15.75" customHeight="1">
      <c r="A174" s="8" t="str">
        <f>IFERROR(__xludf.DUMMYFUNCTION("""COMPUTED_VALUE"""),"https://www.sortlist.com/s/programmatic-advertising/berlin-de#:~:text=%F0%9F%87%AC%F0%9F%87%A7%20below%20%F0%9F%87%AC%F0%9F%87%A7%20Say%20hi%20to%20Digital,we%20support%20you%20in%20digitizing%20your%20business.")</f>
        <v>https://www.sortlist.com/s/programmatic-advertising/berlin-de#:~:text=%F0%9F%87%AC%F0%9F%87%A7%20below%20%F0%9F%87%AC%F0%9F%87%A7%20Say%20hi%20to%20Digital,we%20support%20you%20in%20digitizing%20your%20business.</v>
      </c>
      <c r="B174" s="11" t="str">
        <f>IFERROR(__xludf.DUMMYFUNCTION("""COMPUTED_VALUE"""),"The 10 Best Programmatic Advertising Companies in Berlin - 2026 Reviews")</f>
        <v>The 10 Best Programmatic Advertising Companies in Berlin - 2026 Reviews</v>
      </c>
      <c r="C174" s="8" t="str">
        <f>IFERROR(__xludf.DUMMYFUNCTION("""COMPUTED_VALUE"""),"sortlist.com")</f>
        <v>sortlist.com</v>
      </c>
      <c r="D174" s="11" t="str">
        <f>IFERROR(__xludf.DUMMYFUNCTION("""COMPUTED_VALUE"""),"OTHER")</f>
        <v>OTHER</v>
      </c>
      <c r="E174" s="11" t="str">
        <f>IFERROR(__xludf.DUMMYFUNCTION("""COMPUTED_VALUE"""),"CORPORATE")</f>
        <v>CORPORATE</v>
      </c>
      <c r="F174" s="11" t="str">
        <f>IFERROR(__xludf.DUMMYFUNCTION("""COMPUTED_VALUE"""),"Other")</f>
        <v>Other</v>
      </c>
      <c r="G174" s="11" t="b">
        <f>IFERROR(__xludf.DUMMYFUNCTION("""COMPUTED_VALUE"""),FALSE)</f>
        <v>0</v>
      </c>
      <c r="H174" s="11" t="str">
        <f>IFERROR(__xludf.DUMMYFUNCTION("""COMPUTED_VALUE"""),"MONSOON, Triple Whale, Northbeam, Dreamdata, KlickPiloten, Medialabel, lehof")</f>
        <v>MONSOON, Triple Whale, Northbeam, Dreamdata, KlickPiloten, Medialabel, lehof</v>
      </c>
      <c r="I174" s="11">
        <f>IFERROR(__xludf.DUMMYFUNCTION("""COMPUTED_VALUE"""),1.0)</f>
        <v>1</v>
      </c>
      <c r="J174" s="11">
        <f>IFERROR(__xludf.DUMMYFUNCTION("""COMPUTED_VALUE"""),0.0)</f>
        <v>0</v>
      </c>
      <c r="K174" s="11">
        <f>IFERROR(__xludf.DUMMYFUNCTION("""COMPUTED_VALUE"""),1.0)</f>
        <v>1</v>
      </c>
    </row>
    <row r="175" ht="15.75" customHeight="1">
      <c r="A175" s="8" t="str">
        <f>IFERROR(__xludf.DUMMYFUNCTION("""COMPUTED_VALUE"""),"https://www.sortlist.de/s/display-werbung/hamburg-de")</f>
        <v>https://www.sortlist.de/s/display-werbung/hamburg-de</v>
      </c>
      <c r="B175" s="11" t="str">
        <f>IFERROR(__xludf.DUMMYFUNCTION("""COMPUTED_VALUE"""),"Unsere 10 Besten Display Anzeigen Agenturen in Hamburg - 2026 Bewertungen")</f>
        <v>Unsere 10 Besten Display Anzeigen Agenturen in Hamburg - 2026 Bewertungen</v>
      </c>
      <c r="C175" s="8" t="str">
        <f>IFERROR(__xludf.DUMMYFUNCTION("""COMPUTED_VALUE"""),"sortlist.de")</f>
        <v>sortlist.de</v>
      </c>
      <c r="D175" s="11" t="str">
        <f>IFERROR(__xludf.DUMMYFUNCTION("""COMPUTED_VALUE"""),"OTHER")</f>
        <v>OTHER</v>
      </c>
      <c r="E175" s="11" t="str">
        <f>IFERROR(__xludf.DUMMYFUNCTION("""COMPUTED_VALUE"""),"CORPORATE")</f>
        <v>CORPORATE</v>
      </c>
      <c r="F175" s="11" t="str">
        <f>IFERROR(__xludf.DUMMYFUNCTION("""COMPUTED_VALUE"""),"Other")</f>
        <v>Other</v>
      </c>
      <c r="G175" s="11" t="b">
        <f>IFERROR(__xludf.DUMMYFUNCTION("""COMPUTED_VALUE"""),FALSE)</f>
        <v>0</v>
      </c>
      <c r="H175" s="11" t="str">
        <f>IFERROR(__xludf.DUMMYFUNCTION("""COMPUTED_VALUE"""),"KlickPiloten, Triple Whale, Northbeam, Dreamdata, MONSOON")</f>
        <v>KlickPiloten, Triple Whale, Northbeam, Dreamdata, MONSOON</v>
      </c>
      <c r="I175" s="11">
        <f>IFERROR(__xludf.DUMMYFUNCTION("""COMPUTED_VALUE"""),1.0)</f>
        <v>1</v>
      </c>
      <c r="J175" s="11">
        <f>IFERROR(__xludf.DUMMYFUNCTION("""COMPUTED_VALUE"""),0.0)</f>
        <v>0</v>
      </c>
      <c r="K175" s="11">
        <f>IFERROR(__xludf.DUMMYFUNCTION("""COMPUTED_VALUE"""),0.0)</f>
        <v>0</v>
      </c>
    </row>
    <row r="176" ht="15.75" customHeight="1">
      <c r="A176" s="8" t="str">
        <f>IFERROR(__xludf.DUMMYFUNCTION("""COMPUTED_VALUE"""),"https://www.sortlist.de/s/display-werbung/hamburg-hh-de")</f>
        <v>https://www.sortlist.de/s/display-werbung/hamburg-hh-de</v>
      </c>
      <c r="B176" s="11" t="str">
        <f>IFERROR(__xludf.DUMMYFUNCTION("""COMPUTED_VALUE"""),"Display-Advertising-Agentur Hamburg: Anbieter vergleichen")</f>
        <v>Display-Advertising-Agentur Hamburg: Anbieter vergleichen</v>
      </c>
      <c r="C176" s="8" t="str">
        <f>IFERROR(__xludf.DUMMYFUNCTION("""COMPUTED_VALUE"""),"sortlist.de")</f>
        <v>sortlist.de</v>
      </c>
      <c r="D176" s="11" t="str">
        <f>IFERROR(__xludf.DUMMYFUNCTION("""COMPUTED_VALUE"""),"OTHER")</f>
        <v>OTHER</v>
      </c>
      <c r="E176" s="11" t="str">
        <f>IFERROR(__xludf.DUMMYFUNCTION("""COMPUTED_VALUE"""),"CORPORATE")</f>
        <v>CORPORATE</v>
      </c>
      <c r="F176" s="11" t="str">
        <f>IFERROR(__xludf.DUMMYFUNCTION("""COMPUTED_VALUE"""),"Other")</f>
        <v>Other</v>
      </c>
      <c r="G176" s="11" t="b">
        <f>IFERROR(__xludf.DUMMYFUNCTION("""COMPUTED_VALUE"""),FALSE)</f>
        <v>0</v>
      </c>
      <c r="H176" s="11" t="str">
        <f>IFERROR(__xludf.DUMMYFUNCTION("""COMPUTED_VALUE"""),"KlickPiloten, Triple Whale, Northbeam, Dreamdata, MONSOON")</f>
        <v>KlickPiloten, Triple Whale, Northbeam, Dreamdata, MONSOON</v>
      </c>
      <c r="I176" s="11">
        <f>IFERROR(__xludf.DUMMYFUNCTION("""COMPUTED_VALUE"""),1.0)</f>
        <v>1</v>
      </c>
      <c r="J176" s="11">
        <f>IFERROR(__xludf.DUMMYFUNCTION("""COMPUTED_VALUE"""),0.0)</f>
        <v>0</v>
      </c>
      <c r="K176" s="11">
        <f>IFERROR(__xludf.DUMMYFUNCTION("""COMPUTED_VALUE"""),0.0)</f>
        <v>0</v>
      </c>
    </row>
    <row r="177" ht="15.75" customHeight="1">
      <c r="A177" s="8" t="str">
        <f>IFERROR(__xludf.DUMMYFUNCTION("""COMPUTED_VALUE"""),"https://www.sortlist.de/s/programmatic-advertising/deutschland-de?page=2")</f>
        <v>https://www.sortlist.de/s/programmatic-advertising/deutschland-de?page=2</v>
      </c>
      <c r="B177" s="11" t="str">
        <f>IFERROR(__xludf.DUMMYFUNCTION("""COMPUTED_VALUE"""),"Unsere 10 Besten Programmatic Advertising Agenturen in Deutschland - 2026 Bewertungen – Seite 2")</f>
        <v>Unsere 10 Besten Programmatic Advertising Agenturen in Deutschland - 2026 Bewertungen – Seite 2</v>
      </c>
      <c r="C177" s="8" t="str">
        <f>IFERROR(__xludf.DUMMYFUNCTION("""COMPUTED_VALUE"""),"sortlist.de")</f>
        <v>sortlist.de</v>
      </c>
      <c r="D177" s="11" t="str">
        <f>IFERROR(__xludf.DUMMYFUNCTION("""COMPUTED_VALUE"""),"OTHER")</f>
        <v>OTHER</v>
      </c>
      <c r="E177" s="11" t="str">
        <f>IFERROR(__xludf.DUMMYFUNCTION("""COMPUTED_VALUE"""),"CORPORATE")</f>
        <v>CORPORATE</v>
      </c>
      <c r="F177" s="11" t="str">
        <f>IFERROR(__xludf.DUMMYFUNCTION("""COMPUTED_VALUE"""),"Other")</f>
        <v>Other</v>
      </c>
      <c r="G177" s="11" t="b">
        <f>IFERROR(__xludf.DUMMYFUNCTION("""COMPUTED_VALUE"""),FALSE)</f>
        <v>0</v>
      </c>
      <c r="H177" s="11" t="str">
        <f>IFERROR(__xludf.DUMMYFUNCTION("""COMPUTED_VALUE"""),"lehof, MONSOON, KlickPiloten, Medialabel, morefire, Think11, Haus, Peak Ace")</f>
        <v>lehof, MONSOON, KlickPiloten, Medialabel, morefire, Think11, Haus, Peak Ace</v>
      </c>
      <c r="I177" s="11">
        <f>IFERROR(__xludf.DUMMYFUNCTION("""COMPUTED_VALUE"""),1.0)</f>
        <v>1</v>
      </c>
      <c r="J177" s="11">
        <f>IFERROR(__xludf.DUMMYFUNCTION("""COMPUTED_VALUE"""),0.0)</f>
        <v>0</v>
      </c>
      <c r="K177" s="11">
        <f>IFERROR(__xludf.DUMMYFUNCTION("""COMPUTED_VALUE"""),0.0)</f>
        <v>0</v>
      </c>
    </row>
    <row r="178" ht="15.75" customHeight="1">
      <c r="A178" s="8" t="str">
        <f>IFERROR(__xludf.DUMMYFUNCTION("""COMPUTED_VALUE"""),"https://support.google.com/tagmanager/answer/7237700?hl=en")</f>
        <v>https://support.google.com/tagmanager/answer/7237700?hl=en</v>
      </c>
      <c r="B178" s="11" t="str">
        <f>IFERROR(__xludf.DUMMYFUNCTION("""COMPUTED_VALUE"""),"Google Marketing Platform Partners - Tag Manager Help")</f>
        <v>Google Marketing Platform Partners - Tag Manager Help</v>
      </c>
      <c r="C178" s="8" t="str">
        <f>IFERROR(__xludf.DUMMYFUNCTION("""COMPUTED_VALUE"""),"google.com")</f>
        <v>google.com</v>
      </c>
      <c r="D178" s="11" t="str">
        <f>IFERROR(__xludf.DUMMYFUNCTION("""COMPUTED_VALUE"""),"OTHER")</f>
        <v>OTHER</v>
      </c>
      <c r="E178" s="11" t="str">
        <f>IFERROR(__xludf.DUMMYFUNCTION("""COMPUTED_VALUE"""),"OTHER")</f>
        <v>OTHER</v>
      </c>
      <c r="F178" s="11" t="str">
        <f>IFERROR(__xludf.DUMMYFUNCTION("""COMPUTED_VALUE"""),"Other")</f>
        <v>Other</v>
      </c>
      <c r="G178" s="11" t="b">
        <f>IFERROR(__xludf.DUMMYFUNCTION("""COMPUTED_VALUE"""),FALSE)</f>
        <v>0</v>
      </c>
      <c r="H178" s="11"/>
      <c r="I178" s="11">
        <f>IFERROR(__xludf.DUMMYFUNCTION("""COMPUTED_VALUE"""),1.0)</f>
        <v>1</v>
      </c>
      <c r="J178" s="11">
        <f>IFERROR(__xludf.DUMMYFUNCTION("""COMPUTED_VALUE"""),0.0)</f>
        <v>0</v>
      </c>
      <c r="K178" s="11">
        <f>IFERROR(__xludf.DUMMYFUNCTION("""COMPUTED_VALUE"""),0.0)</f>
        <v>0</v>
      </c>
    </row>
    <row r="179" ht="15.75" customHeight="1">
      <c r="A179" s="8" t="str">
        <f>IFERROR(__xludf.DUMMYFUNCTION("""COMPUTED_VALUE"""),"https://thatware.co/aeo-seo-services-germany/")</f>
        <v>https://thatware.co/aeo-seo-services-germany/</v>
      </c>
      <c r="B179" s="11" t="str">
        <f>IFERROR(__xludf.DUMMYFUNCTION("""COMPUTED_VALUE"""),"AEO SEO Services Germany | AI Answer Engine SEO - ThatWare")</f>
        <v>AEO SEO Services Germany | AI Answer Engine SEO - ThatWare</v>
      </c>
      <c r="C179" s="8" t="str">
        <f>IFERROR(__xludf.DUMMYFUNCTION("""COMPUTED_VALUE"""),"thatware.co")</f>
        <v>thatware.co</v>
      </c>
      <c r="D179" s="11" t="str">
        <f>IFERROR(__xludf.DUMMYFUNCTION("""COMPUTED_VALUE"""),"OTHER")</f>
        <v>OTHER</v>
      </c>
      <c r="E179" s="11" t="str">
        <f>IFERROR(__xludf.DUMMYFUNCTION("""COMPUTED_VALUE"""),"CORPORATE")</f>
        <v>CORPORATE</v>
      </c>
      <c r="F179" s="11" t="str">
        <f>IFERROR(__xludf.DUMMYFUNCTION("""COMPUTED_VALUE"""),"Other")</f>
        <v>Other</v>
      </c>
      <c r="G179" s="11" t="b">
        <f>IFERROR(__xludf.DUMMYFUNCTION("""COMPUTED_VALUE"""),FALSE)</f>
        <v>0</v>
      </c>
      <c r="H179" s="11"/>
      <c r="I179" s="11">
        <f>IFERROR(__xludf.DUMMYFUNCTION("""COMPUTED_VALUE"""),1.0)</f>
        <v>1</v>
      </c>
      <c r="J179" s="11">
        <f>IFERROR(__xludf.DUMMYFUNCTION("""COMPUTED_VALUE"""),0.0)</f>
        <v>0</v>
      </c>
      <c r="K179" s="11">
        <f>IFERROR(__xludf.DUMMYFUNCTION("""COMPUTED_VALUE"""),0.0)</f>
        <v>0</v>
      </c>
    </row>
    <row r="180" ht="15.75" customHeight="1">
      <c r="A180" s="8" t="str">
        <f>IFERROR(__xludf.DUMMYFUNCTION("""COMPUTED_VALUE"""),"https://themanifest.com/de/artificial-intelligence/companies")</f>
        <v>https://themanifest.com/de/artificial-intelligence/companies</v>
      </c>
      <c r="B180" s="11" t="str">
        <f>IFERROR(__xludf.DUMMYFUNCTION("""COMPUTED_VALUE"""),"Top-Rated Artificial Intelligence &amp;amp; AI Companies for Healthcare, FinTech, eCommerce in Germany, Berlin, Munich | Vetted &amp;amp; Reviewed July 2026 | The Manifest")</f>
        <v>Top-Rated Artificial Intelligence &amp;amp; AI Companies for Healthcare, FinTech, eCommerce in Germany, Berlin, Munich | Vetted &amp;amp; Reviewed July 2026 | The Manifest</v>
      </c>
      <c r="C180" s="8" t="str">
        <f>IFERROR(__xludf.DUMMYFUNCTION("""COMPUTED_VALUE"""),"themanifest.com")</f>
        <v>themanifest.com</v>
      </c>
      <c r="D180" s="11" t="str">
        <f>IFERROR(__xludf.DUMMYFUNCTION("""COMPUTED_VALUE"""),"OTHER")</f>
        <v>OTHER</v>
      </c>
      <c r="E180" s="11" t="str">
        <f>IFERROR(__xludf.DUMMYFUNCTION("""COMPUTED_VALUE"""),"REFERENCE")</f>
        <v>REFERENCE</v>
      </c>
      <c r="F180" s="11" t="str">
        <f>IFERROR(__xludf.DUMMYFUNCTION("""COMPUTED_VALUE"""),"Other")</f>
        <v>Other</v>
      </c>
      <c r="G180" s="11" t="b">
        <f>IFERROR(__xludf.DUMMYFUNCTION("""COMPUTED_VALUE"""),FALSE)</f>
        <v>0</v>
      </c>
      <c r="H180" s="11" t="str">
        <f>IFERROR(__xludf.DUMMYFUNCTION("""COMPUTED_VALUE"""),"Admiral Media")</f>
        <v>Admiral Media</v>
      </c>
      <c r="I180" s="11">
        <f>IFERROR(__xludf.DUMMYFUNCTION("""COMPUTED_VALUE"""),1.0)</f>
        <v>1</v>
      </c>
      <c r="J180" s="11">
        <f>IFERROR(__xludf.DUMMYFUNCTION("""COMPUTED_VALUE"""),0.0)</f>
        <v>0</v>
      </c>
      <c r="K180" s="11">
        <f>IFERROR(__xludf.DUMMYFUNCTION("""COMPUTED_VALUE"""),0.0)</f>
        <v>0</v>
      </c>
    </row>
    <row r="181" ht="15.75" customHeight="1">
      <c r="A181" s="8" t="str">
        <f>IFERROR(__xludf.DUMMYFUNCTION("""COMPUTED_VALUE"""),"https://themanifest.com/de/market-research/agencies#:~:text=List%20of%20the%20Best%20Germany,business%20consulting%2C%20and%20digital%20strategy.")</f>
        <v>https://themanifest.com/de/market-research/agencies#:~:text=List%20of%20the%20Best%20Germany,business%20consulting%2C%20and%20digital%20strategy.</v>
      </c>
      <c r="B181" s="11"/>
      <c r="C181" s="8" t="str">
        <f>IFERROR(__xludf.DUMMYFUNCTION("""COMPUTED_VALUE"""),"themanifest.com")</f>
        <v>themanifest.com</v>
      </c>
      <c r="D181" s="11" t="str">
        <f>IFERROR(__xludf.DUMMYFUNCTION("""COMPUTED_VALUE"""),"OTHER")</f>
        <v>OTHER</v>
      </c>
      <c r="E181" s="11" t="str">
        <f>IFERROR(__xludf.DUMMYFUNCTION("""COMPUTED_VALUE"""),"OTHER")</f>
        <v>OTHER</v>
      </c>
      <c r="F181" s="11" t="str">
        <f>IFERROR(__xludf.DUMMYFUNCTION("""COMPUTED_VALUE"""),"Other")</f>
        <v>Other</v>
      </c>
      <c r="G181" s="11"/>
      <c r="H181" s="11" t="str">
        <f>IFERROR(__xludf.DUMMYFUNCTION("""COMPUTED_VALUE"""),"Unknown")</f>
        <v>Unknown</v>
      </c>
      <c r="I181" s="11">
        <f>IFERROR(__xludf.DUMMYFUNCTION("""COMPUTED_VALUE"""),1.0)</f>
        <v>1</v>
      </c>
      <c r="J181" s="11">
        <f>IFERROR(__xludf.DUMMYFUNCTION("""COMPUTED_VALUE"""),0.0)</f>
        <v>0</v>
      </c>
      <c r="K181" s="11">
        <f>IFERROR(__xludf.DUMMYFUNCTION("""COMPUTED_VALUE"""),1.0)</f>
        <v>1</v>
      </c>
    </row>
    <row r="182" ht="15.75" customHeight="1">
      <c r="A182" s="8" t="str">
        <f>IFERROR(__xludf.DUMMYFUNCTION("""COMPUTED_VALUE"""),"https://www.traqer.ai/blog/ai-visibility-tool")</f>
        <v>https://www.traqer.ai/blog/ai-visibility-tool</v>
      </c>
      <c r="B182" s="11" t="str">
        <f>IFERROR(__xludf.DUMMYFUNCTION("""COMPUTED_VALUE"""),"How to choose the best AI visibility tool for your business")</f>
        <v>How to choose the best AI visibility tool for your business</v>
      </c>
      <c r="C182" s="8" t="str">
        <f>IFERROR(__xludf.DUMMYFUNCTION("""COMPUTED_VALUE"""),"traqer.ai")</f>
        <v>traqer.ai</v>
      </c>
      <c r="D182" s="11" t="str">
        <f>IFERROR(__xludf.DUMMYFUNCTION("""COMPUTED_VALUE"""),"OTHER")</f>
        <v>OTHER</v>
      </c>
      <c r="E182" s="11" t="str">
        <f>IFERROR(__xludf.DUMMYFUNCTION("""COMPUTED_VALUE"""),"CORPORATE")</f>
        <v>CORPORATE</v>
      </c>
      <c r="F182" s="11" t="str">
        <f>IFERROR(__xludf.DUMMYFUNCTION("""COMPUTED_VALUE"""),"Other")</f>
        <v>Other</v>
      </c>
      <c r="G182" s="11" t="b">
        <f>IFERROR(__xludf.DUMMYFUNCTION("""COMPUTED_VALUE"""),FALSE)</f>
        <v>0</v>
      </c>
      <c r="H182" s="11" t="str">
        <f>IFERROR(__xludf.DUMMYFUNCTION("""COMPUTED_VALUE"""),"Measured")</f>
        <v>Measured</v>
      </c>
      <c r="I182" s="11">
        <f>IFERROR(__xludf.DUMMYFUNCTION("""COMPUTED_VALUE"""),1.0)</f>
        <v>1</v>
      </c>
      <c r="J182" s="11">
        <f>IFERROR(__xludf.DUMMYFUNCTION("""COMPUTED_VALUE"""),0.0)</f>
        <v>0</v>
      </c>
      <c r="K182" s="11">
        <f>IFERROR(__xludf.DUMMYFUNCTION("""COMPUTED_VALUE"""),1.0)</f>
        <v>1</v>
      </c>
    </row>
    <row r="183" ht="15.75" customHeight="1">
      <c r="A183" s="8" t="str">
        <f>IFERROR(__xludf.DUMMYFUNCTION("""COMPUTED_VALUE"""),"https://www.treirealestate.com/en/company")</f>
        <v>https://www.treirealestate.com/en/company</v>
      </c>
      <c r="B183" s="11" t="str">
        <f>IFERROR(__xludf.DUMMYFUNCTION("""COMPUTED_VALUE"""),"Trei Real Estate - Company - Trei Real Estate")</f>
        <v>Trei Real Estate - Company - Trei Real Estate</v>
      </c>
      <c r="C183" s="8" t="str">
        <f>IFERROR(__xludf.DUMMYFUNCTION("""COMPUTED_VALUE"""),"treirealestate.com")</f>
        <v>treirealestate.com</v>
      </c>
      <c r="D183" s="11" t="str">
        <f>IFERROR(__xludf.DUMMYFUNCTION("""COMPUTED_VALUE"""),"OTHER")</f>
        <v>OTHER</v>
      </c>
      <c r="E183" s="11" t="str">
        <f>IFERROR(__xludf.DUMMYFUNCTION("""COMPUTED_VALUE"""),"CORPORATE")</f>
        <v>CORPORATE</v>
      </c>
      <c r="F183" s="11" t="str">
        <f>IFERROR(__xludf.DUMMYFUNCTION("""COMPUTED_VALUE"""),"Other")</f>
        <v>Other</v>
      </c>
      <c r="G183" s="11" t="b">
        <f>IFERROR(__xludf.DUMMYFUNCTION("""COMPUTED_VALUE"""),FALSE)</f>
        <v>0</v>
      </c>
      <c r="H183" s="11"/>
      <c r="I183" s="11">
        <f>IFERROR(__xludf.DUMMYFUNCTION("""COMPUTED_VALUE"""),1.0)</f>
        <v>1</v>
      </c>
      <c r="J183" s="11">
        <f>IFERROR(__xludf.DUMMYFUNCTION("""COMPUTED_VALUE"""),0.0)</f>
        <v>0</v>
      </c>
      <c r="K183" s="11">
        <f>IFERROR(__xludf.DUMMYFUNCTION("""COMPUTED_VALUE"""),1.0)</f>
        <v>1</v>
      </c>
    </row>
    <row r="184" ht="15.75" customHeight="1">
      <c r="A184" s="8" t="str">
        <f>IFERROR(__xludf.DUMMYFUNCTION("""COMPUTED_VALUE"""),"https://www.tripledart.com/blog/best-aeo-agencies")</f>
        <v>https://www.tripledart.com/blog/best-aeo-agencies</v>
      </c>
      <c r="B184" s="11" t="str">
        <f>IFERROR(__xludf.DUMMYFUNCTION("""COMPUTED_VALUE"""),"14 Best AEO Agencies in 2026 (Vetted &amp;amp; Ranked)")</f>
        <v>14 Best AEO Agencies in 2026 (Vetted &amp;amp; Ranked)</v>
      </c>
      <c r="C184" s="8" t="str">
        <f>IFERROR(__xludf.DUMMYFUNCTION("""COMPUTED_VALUE"""),"tripledart.com")</f>
        <v>tripledart.com</v>
      </c>
      <c r="D184" s="11" t="str">
        <f>IFERROR(__xludf.DUMMYFUNCTION("""COMPUTED_VALUE"""),"OTHER")</f>
        <v>OTHER</v>
      </c>
      <c r="E184" s="11" t="str">
        <f>IFERROR(__xludf.DUMMYFUNCTION("""COMPUTED_VALUE"""),"OTHER")</f>
        <v>OTHER</v>
      </c>
      <c r="F184" s="11" t="str">
        <f>IFERROR(__xludf.DUMMYFUNCTION("""COMPUTED_VALUE"""),"Other")</f>
        <v>Other</v>
      </c>
      <c r="G184" s="11" t="b">
        <f>IFERROR(__xludf.DUMMYFUNCTION("""COMPUTED_VALUE"""),FALSE)</f>
        <v>0</v>
      </c>
      <c r="H184" s="11"/>
      <c r="I184" s="11">
        <f>IFERROR(__xludf.DUMMYFUNCTION("""COMPUTED_VALUE"""),1.0)</f>
        <v>1</v>
      </c>
      <c r="J184" s="11">
        <f>IFERROR(__xludf.DUMMYFUNCTION("""COMPUTED_VALUE"""),0.0)</f>
        <v>0</v>
      </c>
      <c r="K184" s="11">
        <f>IFERROR(__xludf.DUMMYFUNCTION("""COMPUTED_VALUE"""),0.0)</f>
        <v>0</v>
      </c>
    </row>
    <row r="185" ht="15.75" customHeight="1">
      <c r="A185" s="8" t="str">
        <f>IFERROR(__xludf.DUMMYFUNCTION("""COMPUTED_VALUE"""),"https://trkkn.pt/company/")</f>
        <v>https://trkkn.pt/company/</v>
      </c>
      <c r="B185" s="11"/>
      <c r="C185" s="8" t="str">
        <f>IFERROR(__xludf.DUMMYFUNCTION("""COMPUTED_VALUE"""),"trkkn.pt")</f>
        <v>trkkn.pt</v>
      </c>
      <c r="D185" s="11" t="str">
        <f>IFERROR(__xludf.DUMMYFUNCTION("""COMPUTED_VALUE"""),"OTHER")</f>
        <v>OTHER</v>
      </c>
      <c r="E185" s="11" t="str">
        <f>IFERROR(__xludf.DUMMYFUNCTION("""COMPUTED_VALUE"""),"OTHER")</f>
        <v>OTHER</v>
      </c>
      <c r="F185" s="11" t="str">
        <f>IFERROR(__xludf.DUMMYFUNCTION("""COMPUTED_VALUE"""),"Other")</f>
        <v>Other</v>
      </c>
      <c r="G185" s="11"/>
      <c r="H185" s="11" t="str">
        <f>IFERROR(__xludf.DUMMYFUNCTION("""COMPUTED_VALUE"""),"Unknown")</f>
        <v>Unknown</v>
      </c>
      <c r="I185" s="11">
        <f>IFERROR(__xludf.DUMMYFUNCTION("""COMPUTED_VALUE"""),1.0)</f>
        <v>1</v>
      </c>
      <c r="J185" s="11">
        <f>IFERROR(__xludf.DUMMYFUNCTION("""COMPUTED_VALUE"""),0.0)</f>
        <v>0</v>
      </c>
      <c r="K185" s="11">
        <f>IFERROR(__xludf.DUMMYFUNCTION("""COMPUTED_VALUE"""),1.0)</f>
        <v>1</v>
      </c>
    </row>
    <row r="186" ht="15.75" customHeight="1">
      <c r="A186" s="8" t="str">
        <f>IFERROR(__xludf.DUMMYFUNCTION("""COMPUTED_VALUE"""),"https://vitasoft.co/best/geo-agentur-deutschland")</f>
        <v>https://vitasoft.co/best/geo-agentur-deutschland</v>
      </c>
      <c r="B186" s="11" t="str">
        <f>IFERROR(__xludf.DUMMYFUNCTION("""COMPUTED_VALUE"""),"Vitasoft Index — the best software &amp;amp; AI vendors, scored for AI search")</f>
        <v>Vitasoft Index — the best software &amp;amp; AI vendors, scored for AI search</v>
      </c>
      <c r="C186" s="8" t="str">
        <f>IFERROR(__xludf.DUMMYFUNCTION("""COMPUTED_VALUE"""),"vitasoft.co")</f>
        <v>vitasoft.co</v>
      </c>
      <c r="D186" s="11" t="str">
        <f>IFERROR(__xludf.DUMMYFUNCTION("""COMPUTED_VALUE"""),"OTHER")</f>
        <v>OTHER</v>
      </c>
      <c r="E186" s="11" t="str">
        <f>IFERROR(__xludf.DUMMYFUNCTION("""COMPUTED_VALUE"""),"REFERENCE")</f>
        <v>REFERENCE</v>
      </c>
      <c r="F186" s="11" t="str">
        <f>IFERROR(__xludf.DUMMYFUNCTION("""COMPUTED_VALUE"""),"Other")</f>
        <v>Other</v>
      </c>
      <c r="G186" s="11" t="b">
        <f>IFERROR(__xludf.DUMMYFUNCTION("""COMPUTED_VALUE"""),FALSE)</f>
        <v>0</v>
      </c>
      <c r="H186" s="11" t="str">
        <f>IFERROR(__xludf.DUMMYFUNCTION("""COMPUTED_VALUE"""),"WebFX, Disruptive Advertising, Power Digital, Digital Delight, Peak Ace")</f>
        <v>WebFX, Disruptive Advertising, Power Digital, Digital Delight, Peak Ace</v>
      </c>
      <c r="I186" s="11">
        <f>IFERROR(__xludf.DUMMYFUNCTION("""COMPUTED_VALUE"""),1.0)</f>
        <v>1</v>
      </c>
      <c r="J186" s="11">
        <f>IFERROR(__xludf.DUMMYFUNCTION("""COMPUTED_VALUE"""),0.0)</f>
        <v>0</v>
      </c>
      <c r="K186" s="11">
        <f>IFERROR(__xludf.DUMMYFUNCTION("""COMPUTED_VALUE"""),0.0)</f>
        <v>0</v>
      </c>
    </row>
    <row r="187" ht="15.75" customHeight="1">
      <c r="A187" s="8" t="str">
        <f>IFERROR(__xludf.DUMMYFUNCTION("""COMPUTED_VALUE"""),"https://webmetic.de/analytics-insights")</f>
        <v>https://webmetic.de/analytics-insights</v>
      </c>
      <c r="B187" s="11"/>
      <c r="C187" s="8" t="str">
        <f>IFERROR(__xludf.DUMMYFUNCTION("""COMPUTED_VALUE"""),"webmetic.de")</f>
        <v>webmetic.de</v>
      </c>
      <c r="D187" s="11" t="str">
        <f>IFERROR(__xludf.DUMMYFUNCTION("""COMPUTED_VALUE"""),"OTHER")</f>
        <v>OTHER</v>
      </c>
      <c r="E187" s="11" t="str">
        <f>IFERROR(__xludf.DUMMYFUNCTION("""COMPUTED_VALUE"""),"OTHER")</f>
        <v>OTHER</v>
      </c>
      <c r="F187" s="11" t="str">
        <f>IFERROR(__xludf.DUMMYFUNCTION("""COMPUTED_VALUE"""),"Other")</f>
        <v>Other</v>
      </c>
      <c r="G187" s="11"/>
      <c r="H187" s="11" t="str">
        <f>IFERROR(__xludf.DUMMYFUNCTION("""COMPUTED_VALUE"""),"Unknown")</f>
        <v>Unknown</v>
      </c>
      <c r="I187" s="11">
        <f>IFERROR(__xludf.DUMMYFUNCTION("""COMPUTED_VALUE"""),1.0)</f>
        <v>1</v>
      </c>
      <c r="J187" s="11">
        <f>IFERROR(__xludf.DUMMYFUNCTION("""COMPUTED_VALUE"""),0.0)</f>
        <v>0</v>
      </c>
      <c r="K187" s="11">
        <f>IFERROR(__xludf.DUMMYFUNCTION("""COMPUTED_VALUE"""),1.0)</f>
        <v>1</v>
      </c>
    </row>
    <row r="188" ht="15.75" customHeight="1">
      <c r="A188" s="8" t="str">
        <f>IFERROR(__xludf.DUMMYFUNCTION("""COMPUTED_VALUE"""),"https://www.wested.org/support/ai-readiness-and-integration/")</f>
        <v>https://www.wested.org/support/ai-readiness-and-integration/</v>
      </c>
      <c r="B188" s="11" t="str">
        <f>IFERROR(__xludf.DUMMYFUNCTION("""COMPUTED_VALUE"""),"AI Readiness and Integration&amp;nbsp; – WestEd")</f>
        <v>AI Readiness and Integration&amp;nbsp; – WestEd</v>
      </c>
      <c r="C188" s="8" t="str">
        <f>IFERROR(__xludf.DUMMYFUNCTION("""COMPUTED_VALUE"""),"wested.org")</f>
        <v>wested.org</v>
      </c>
      <c r="D188" s="11" t="str">
        <f>IFERROR(__xludf.DUMMYFUNCTION("""COMPUTED_VALUE"""),"OTHER")</f>
        <v>OTHER</v>
      </c>
      <c r="E188" s="11" t="str">
        <f>IFERROR(__xludf.DUMMYFUNCTION("""COMPUTED_VALUE"""),"INSTITUTIONAL")</f>
        <v>INSTITUTIONAL</v>
      </c>
      <c r="F188" s="11" t="str">
        <f>IFERROR(__xludf.DUMMYFUNCTION("""COMPUTED_VALUE"""),"Other")</f>
        <v>Other</v>
      </c>
      <c r="G188" s="11" t="b">
        <f>IFERROR(__xludf.DUMMYFUNCTION("""COMPUTED_VALUE"""),FALSE)</f>
        <v>0</v>
      </c>
      <c r="H188" s="11"/>
      <c r="I188" s="11">
        <f>IFERROR(__xludf.DUMMYFUNCTION("""COMPUTED_VALUE"""),1.0)</f>
        <v>1</v>
      </c>
      <c r="J188" s="11">
        <f>IFERROR(__xludf.DUMMYFUNCTION("""COMPUTED_VALUE"""),0.0)</f>
        <v>0</v>
      </c>
      <c r="K188" s="11">
        <f>IFERROR(__xludf.DUMMYFUNCTION("""COMPUTED_VALUE"""),2.0)</f>
        <v>2</v>
      </c>
    </row>
    <row r="189" ht="15.75" customHeight="1">
      <c r="A189" s="8" t="str">
        <f>IFERROR(__xludf.DUMMYFUNCTION("""COMPUTED_VALUE"""),"https://www.youtube.com/watch?v=JwCJmenpGKQ&amp;t=75")</f>
        <v>https://www.youtube.com/watch?v=JwCJmenpGKQ&amp;t=75</v>
      </c>
      <c r="B189" s="11" t="str">
        <f>IFERROR(__xludf.DUMMYFUNCTION("""COMPUTED_VALUE"""),"#OMR26")</f>
        <v>#OMR26</v>
      </c>
      <c r="C189" s="8" t="str">
        <f>IFERROR(__xludf.DUMMYFUNCTION("""COMPUTED_VALUE"""),"youtube.com")</f>
        <v>youtube.com</v>
      </c>
      <c r="D189" s="11" t="str">
        <f>IFERROR(__xludf.DUMMYFUNCTION("""COMPUTED_VALUE"""),"OTHER")</f>
        <v>OTHER</v>
      </c>
      <c r="E189" s="11" t="str">
        <f>IFERROR(__xludf.DUMMYFUNCTION("""COMPUTED_VALUE"""),"UGC")</f>
        <v>UGC</v>
      </c>
      <c r="F189" s="11" t="str">
        <f>IFERROR(__xludf.DUMMYFUNCTION("""COMPUTED_VALUE"""),"Other")</f>
        <v>Other</v>
      </c>
      <c r="G189" s="11" t="b">
        <f>IFERROR(__xludf.DUMMYFUNCTION("""COMPUTED_VALUE"""),FALSE)</f>
        <v>0</v>
      </c>
      <c r="H189" s="11" t="str">
        <f>IFERROR(__xludf.DUMMYFUNCTION("""COMPUTED_VALUE"""),"Claneo, Haus, Pilot")</f>
        <v>Claneo, Haus, Pilot</v>
      </c>
      <c r="I189" s="11">
        <f>IFERROR(__xludf.DUMMYFUNCTION("""COMPUTED_VALUE"""),1.0)</f>
        <v>1</v>
      </c>
      <c r="J189" s="11">
        <f>IFERROR(__xludf.DUMMYFUNCTION("""COMPUTED_VALUE"""),0.0)</f>
        <v>0</v>
      </c>
      <c r="K189" s="11">
        <f>IFERROR(__xludf.DUMMYFUNCTION("""COMPUTED_VALUE"""),1.0)</f>
        <v>1</v>
      </c>
    </row>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location=":~:text=from%20on...-,Read%20More,100%25%20relevance%20%E2%9C%93%20Inform%20now"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location=":~:text=Licenses%20for%20the%20Google%20Marketing,Start" ref="A24"/>
    <hyperlink r:id="rId44" location=":~:text=Market%20Logic's%20Insights%20Engagement%20platform,Core%20business" ref="A25"/>
    <hyperlink r:id="rId45" ref="C25"/>
    <hyperlink r:id="rId46" ref="A26"/>
    <hyperlink r:id="rId47" ref="C26"/>
    <hyperlink r:id="rId48" location=":~:text=They%20offer%20Advertising%2C%20Branding%2C%20Event,is%20based%20in%20K%C3%B6ln%2C%20Germany." ref="A27"/>
    <hyperlink r:id="rId49" ref="C27"/>
    <hyperlink r:id="rId50" location=":~:text=AI%20Agency%20Berlin%20%7C%20ACID21,from%20the%20idea%20to%20implementation." ref="A28"/>
    <hyperlink r:id="rId51" ref="C28"/>
    <hyperlink r:id="rId52" ref="A29"/>
    <hyperlink r:id="rId53" ref="C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location=":~:text=Search%20Ads%20360%20agency%20in%20Munich%2C%20Germany%20%E2%80%A2%20The%20Boutique%20Agency" ref="A41"/>
    <hyperlink r:id="rId77" ref="C41"/>
    <hyperlink r:id="rId78" ref="A42"/>
    <hyperlink r:id="rId79" ref="C42"/>
    <hyperlink r:id="rId80" ref="A43"/>
    <hyperlink r:id="rId81" ref="C43"/>
    <hyperlink r:id="rId82" ref="A44"/>
    <hyperlink r:id="rId83" ref="C44"/>
    <hyperlink r:id="rId84" ref="A45"/>
    <hyperlink r:id="rId85" ref="C45"/>
    <hyperlink r:id="rId86" location=":~:text=Our%20comprehensive%20GMP%20Playbook%20is,experts%20are%20all%20GMP%20certified." ref="A46"/>
    <hyperlink r:id="rId87" ref="C46"/>
    <hyperlink r:id="rId88" ref="A47"/>
    <hyperlink r:id="rId89" ref="C47"/>
    <hyperlink r:id="rId90"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location=":~:text=morefire,Healthcare%20%26%20Hospital%2C%20Ecommerce%20%2B3" ref="A56"/>
    <hyperlink r:id="rId107" ref="C56"/>
    <hyperlink r:id="rId108" ref="A57"/>
    <hyperlink r:id="rId109" ref="C57"/>
    <hyperlink r:id="rId110" location=":~:text=Mediaplus%20Performance%20GmbH%20%26%20Co%20KG,%2C%20programmatic%2C%20and%20conversion%20optimization." ref="A58"/>
    <hyperlink r:id="rId111" ref="C58"/>
    <hyperlink r:id="rId112" ref="A59"/>
    <hyperlink r:id="rId113" ref="C59"/>
    <hyperlink r:id="rId114" ref="A60"/>
    <hyperlink r:id="rId115" ref="C60"/>
    <hyperlink r:id="rId116" ref="A61"/>
    <hyperlink r:id="rId117" ref="A62"/>
    <hyperlink r:id="rId118" ref="C62"/>
    <hyperlink r:id="rId119" location=":~:text=We%20deliver%20data%2Ddriven%2C%20full,agency%20headquartered%20in%20Berlin%2C%20Germany."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location=":~:text=Shelby,German%20market%20starts%20with%20us.%E2%80%9D" ref="A72"/>
    <hyperlink r:id="rId138" location=":~:text=Data%20%26%20AI%20Consulting%20%7C%20PwC,Leader%20in%20AI%20Consulting%20Services" ref="A73"/>
    <hyperlink r:id="rId139" ref="C73"/>
    <hyperlink r:id="rId140" ref="A74"/>
    <hyperlink r:id="rId141" ref="C74"/>
    <hyperlink r:id="rId142" location=":~:text=e%2Ddynamics%20GmbH" ref="A75"/>
    <hyperlink r:id="rId143" ref="C75"/>
    <hyperlink r:id="rId144" ref="A76"/>
    <hyperlink r:id="rId145" ref="C76"/>
    <hyperlink r:id="rId146" location=":~:text=Strategieberatung-,Kontakt,Google%20Ads%20Premier%20Partner%20Agentur"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A103"/>
    <hyperlink r:id="rId198" ref="C103"/>
    <hyperlink r:id="rId199" ref="A104"/>
    <hyperlink r:id="rId200" ref="C104"/>
    <hyperlink r:id="rId201" ref="A105"/>
    <hyperlink r:id="rId202" ref="C105"/>
    <hyperlink r:id="rId203" ref="A106"/>
    <hyperlink r:id="rId204" ref="C106"/>
    <hyperlink r:id="rId205" ref="A107"/>
    <hyperlink r:id="rId206" ref="C107"/>
    <hyperlink r:id="rId207" ref="A108"/>
    <hyperlink r:id="rId208" ref="C108"/>
    <hyperlink r:id="rId209" ref="A109"/>
    <hyperlink r:id="rId210" ref="C109"/>
    <hyperlink r:id="rId211" ref="A110"/>
    <hyperlink r:id="rId212" ref="C110"/>
    <hyperlink r:id="rId213" ref="A111"/>
    <hyperlink r:id="rId214" ref="A112"/>
    <hyperlink r:id="rId215" ref="C112"/>
    <hyperlink r:id="rId216" ref="A113"/>
    <hyperlink r:id="rId217" ref="C113"/>
    <hyperlink r:id="rId218" ref="A114"/>
    <hyperlink r:id="rId219" ref="C114"/>
    <hyperlink r:id="rId220" ref="A115"/>
    <hyperlink r:id="rId221" ref="A116"/>
    <hyperlink r:id="rId222" ref="C116"/>
    <hyperlink r:id="rId223" ref="A117"/>
    <hyperlink r:id="rId224" ref="C117"/>
    <hyperlink r:id="rId225" ref="A118"/>
    <hyperlink r:id="rId226" ref="C118"/>
    <hyperlink r:id="rId227" ref="A119"/>
    <hyperlink r:id="rId228" ref="C119"/>
    <hyperlink r:id="rId229" ref="A120"/>
    <hyperlink r:id="rId230" ref="C120"/>
    <hyperlink r:id="rId231" ref="A121"/>
    <hyperlink r:id="rId232" ref="C121"/>
    <hyperlink r:id="rId233" ref="A122"/>
    <hyperlink r:id="rId234" ref="C122"/>
    <hyperlink r:id="rId235" ref="A123"/>
    <hyperlink r:id="rId236" ref="C123"/>
    <hyperlink r:id="rId237" ref="A124"/>
    <hyperlink r:id="rId238" ref="C124"/>
    <hyperlink r:id="rId239" ref="A125"/>
    <hyperlink r:id="rId240" ref="C125"/>
    <hyperlink r:id="rId241" ref="A126"/>
    <hyperlink r:id="rId242" ref="C126"/>
    <hyperlink r:id="rId243" ref="A127"/>
    <hyperlink r:id="rId244" ref="C127"/>
    <hyperlink r:id="rId245" ref="A128"/>
    <hyperlink r:id="rId246" ref="C128"/>
    <hyperlink r:id="rId247" ref="A129"/>
    <hyperlink r:id="rId248" ref="C129"/>
    <hyperlink r:id="rId249" ref="A130"/>
    <hyperlink r:id="rId250" ref="C130"/>
    <hyperlink r:id="rId251" ref="A131"/>
    <hyperlink r:id="rId252" ref="C131"/>
    <hyperlink r:id="rId253" ref="A132"/>
    <hyperlink r:id="rId254" ref="C132"/>
    <hyperlink r:id="rId255" ref="A133"/>
    <hyperlink r:id="rId256" ref="C133"/>
    <hyperlink r:id="rId257" location=":~:text=Peak%20Ace%20AG%20is%20an,25%20languages%20for%20global%20brands." ref="A134"/>
    <hyperlink r:id="rId258" ref="A135"/>
    <hyperlink r:id="rId259" ref="C135"/>
    <hyperlink r:id="rId260" ref="A136"/>
    <hyperlink r:id="rId261" ref="C136"/>
    <hyperlink r:id="rId262" ref="A137"/>
    <hyperlink r:id="rId263" ref="C137"/>
    <hyperlink r:id="rId264" ref="A138"/>
    <hyperlink r:id="rId265" ref="C138"/>
    <hyperlink r:id="rId266" ref="A139"/>
    <hyperlink r:id="rId267" ref="C139"/>
    <hyperlink r:id="rId268" ref="A140"/>
    <hyperlink r:id="rId269" ref="C140"/>
    <hyperlink r:id="rId270" ref="A141"/>
    <hyperlink r:id="rId271" ref="C141"/>
    <hyperlink r:id="rId272" ref="A142"/>
    <hyperlink r:id="rId273" ref="C142"/>
    <hyperlink r:id="rId274" ref="A143"/>
    <hyperlink r:id="rId275" ref="C143"/>
    <hyperlink r:id="rId276" ref="A144"/>
    <hyperlink r:id="rId277" ref="C144"/>
    <hyperlink r:id="rId278" ref="A145"/>
    <hyperlink r:id="rId279" ref="C145"/>
    <hyperlink r:id="rId280" ref="A146"/>
    <hyperlink r:id="rId281" ref="C146"/>
    <hyperlink r:id="rId282" ref="A147"/>
    <hyperlink r:id="rId283" ref="C147"/>
    <hyperlink r:id="rId284" ref="A148"/>
    <hyperlink r:id="rId285" ref="C148"/>
    <hyperlink r:id="rId286" ref="A149"/>
    <hyperlink r:id="rId287" ref="C149"/>
    <hyperlink r:id="rId288" ref="A150"/>
    <hyperlink r:id="rId289" ref="C150"/>
    <hyperlink r:id="rId290" ref="A151"/>
    <hyperlink r:id="rId291" ref="C151"/>
    <hyperlink r:id="rId292" ref="A152"/>
    <hyperlink r:id="rId293" ref="C152"/>
    <hyperlink r:id="rId294" ref="A153"/>
    <hyperlink r:id="rId295" ref="C153"/>
    <hyperlink r:id="rId296" ref="A154"/>
    <hyperlink r:id="rId297" ref="C154"/>
    <hyperlink r:id="rId298" ref="A155"/>
    <hyperlink r:id="rId299" ref="C155"/>
    <hyperlink r:id="rId300" ref="A156"/>
    <hyperlink r:id="rId301" ref="C156"/>
    <hyperlink r:id="rId302" location=":~:text=Jung%20von%20Matt%20is%20one,for%20major%20German%20consumer%20brands." ref="A157"/>
    <hyperlink r:id="rId303" ref="C157"/>
    <hyperlink r:id="rId304" ref="A158"/>
    <hyperlink r:id="rId305" ref="C158"/>
    <hyperlink r:id="rId306" ref="A159"/>
    <hyperlink r:id="rId307" ref="C159"/>
    <hyperlink r:id="rId308" ref="A160"/>
    <hyperlink r:id="rId309" ref="C160"/>
    <hyperlink r:id="rId310" ref="A161"/>
    <hyperlink r:id="rId311" ref="C161"/>
    <hyperlink r:id="rId312" ref="A162"/>
    <hyperlink r:id="rId313" ref="A163"/>
    <hyperlink r:id="rId314" ref="C163"/>
    <hyperlink r:id="rId315" ref="A164"/>
    <hyperlink r:id="rId316" ref="C164"/>
    <hyperlink r:id="rId317" ref="A165"/>
    <hyperlink r:id="rId318" ref="C165"/>
    <hyperlink r:id="rId319" ref="A166"/>
    <hyperlink r:id="rId320" ref="A167"/>
    <hyperlink r:id="rId321" ref="C167"/>
    <hyperlink r:id="rId322" ref="A168"/>
    <hyperlink r:id="rId323" ref="C168"/>
    <hyperlink r:id="rId324" ref="A169"/>
    <hyperlink r:id="rId325" ref="C169"/>
    <hyperlink r:id="rId326" location=":~:text=Web%20Analytics%20%26%20Tracking%20Agency%20%7C%20schalk%26friends" ref="A170"/>
    <hyperlink r:id="rId327" ref="C170"/>
    <hyperlink r:id="rId328" ref="A171"/>
    <hyperlink r:id="rId329" ref="C171"/>
    <hyperlink r:id="rId330" ref="A172"/>
    <hyperlink r:id="rId331" ref="C172"/>
    <hyperlink r:id="rId332" ref="A173"/>
    <hyperlink r:id="rId333" ref="C173"/>
    <hyperlink r:id="rId334" location=":~:text=%F0%9F%87%AC%F0%9F%87%A7%20below%20%F0%9F%87%AC%F0%9F%87%A7%20Say%20hi%20to%20Digital,we%20support%20you%20in%20digitizing%20your%20business." ref="A174"/>
    <hyperlink r:id="rId335" ref="C174"/>
    <hyperlink r:id="rId336" ref="A175"/>
    <hyperlink r:id="rId337" ref="C175"/>
    <hyperlink r:id="rId338" ref="A176"/>
    <hyperlink r:id="rId339" ref="C176"/>
    <hyperlink r:id="rId340" ref="A177"/>
    <hyperlink r:id="rId341" ref="C177"/>
    <hyperlink r:id="rId342" ref="A178"/>
    <hyperlink r:id="rId343" ref="C178"/>
    <hyperlink r:id="rId344" ref="A179"/>
    <hyperlink r:id="rId345" ref="C179"/>
    <hyperlink r:id="rId346" ref="A180"/>
    <hyperlink r:id="rId347" ref="C180"/>
    <hyperlink r:id="rId348" location=":~:text=List%20of%20the%20Best%20Germany,business%20consulting%2C%20and%20digital%20strategy." ref="A181"/>
    <hyperlink r:id="rId349" ref="C181"/>
    <hyperlink r:id="rId350" ref="A182"/>
    <hyperlink r:id="rId351" ref="C182"/>
    <hyperlink r:id="rId352" ref="A183"/>
    <hyperlink r:id="rId353" ref="C183"/>
    <hyperlink r:id="rId354" ref="A184"/>
    <hyperlink r:id="rId355" ref="C184"/>
    <hyperlink r:id="rId356" ref="A185"/>
    <hyperlink r:id="rId357" ref="C185"/>
    <hyperlink r:id="rId358" ref="A186"/>
    <hyperlink r:id="rId359" ref="C186"/>
    <hyperlink r:id="rId360" ref="A187"/>
    <hyperlink r:id="rId361" ref="C187"/>
    <hyperlink r:id="rId362" ref="A188"/>
    <hyperlink r:id="rId363" ref="C188"/>
    <hyperlink r:id="rId364" ref="A189"/>
    <hyperlink r:id="rId365" ref="C189"/>
  </hyperlinks>
  <drawing r:id="rId36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All'!D2:D1000)))=""product_page""
  ),
  """"
)"),"https://www.performanceliebe.de/aeo-agency-germany/")</f>
        <v>https://www.performanceliebe.de/aeo-agency-germany/</v>
      </c>
      <c r="B2" s="11" t="str">
        <f>IFERROR(__xludf.DUMMYFUNCTION("""COMPUTED_VALUE"""),"AEO Agency Germany | performanceLiebe")</f>
        <v>AEO Agency Germany | performanceLiebe</v>
      </c>
      <c r="C2" s="8" t="str">
        <f>IFERROR(__xludf.DUMMYFUNCTION("""COMPUTED_VALUE"""),"performanceliebe.de")</f>
        <v>performanceliebe.de</v>
      </c>
      <c r="D2" s="11" t="str">
        <f>IFERROR(__xludf.DUMMYFUNCTION("""COMPUTED_VALUE"""),"PRODUCT_PAGE")</f>
        <v>PRODUCT_PAGE</v>
      </c>
      <c r="E2" s="11" t="str">
        <f>IFERROR(__xludf.DUMMYFUNCTION("""COMPUTED_VALUE"""),"COMPETITOR")</f>
        <v>COMPETITOR</v>
      </c>
      <c r="F2" s="11" t="str">
        <f>IFERROR(__xludf.DUMMYFUNCTION("""COMPUTED_VALUE"""),"Product Page")</f>
        <v>Product Page</v>
      </c>
      <c r="G2" s="11" t="b">
        <f>IFERROR(__xludf.DUMMYFUNCTION("""COMPUTED_VALUE"""),FALSE)</f>
        <v>0</v>
      </c>
      <c r="H2" s="11" t="str">
        <f>IFERROR(__xludf.DUMMYFUNCTION("""COMPUTED_VALUE"""),"performanceLiebe")</f>
        <v>performanceLiebe</v>
      </c>
      <c r="I2" s="11">
        <f>IFERROR(__xludf.DUMMYFUNCTION("""COMPUTED_VALUE"""),35.0)</f>
        <v>35</v>
      </c>
      <c r="J2" s="11">
        <f>IFERROR(__xludf.DUMMYFUNCTION("""COMPUTED_VALUE"""),0.04)</f>
        <v>0.04</v>
      </c>
      <c r="K2" s="11">
        <f>IFERROR(__xludf.DUMMYFUNCTION("""COMPUTED_VALUE"""),0.91)</f>
        <v>0.91</v>
      </c>
    </row>
    <row r="3" ht="15.75" customHeight="1">
      <c r="A3" s="8" t="str">
        <f>IFERROR(__xludf.DUMMYFUNCTION("""COMPUTED_VALUE"""),"https://www.feld-m.de/service/marketing-measurement/")</f>
        <v>https://www.feld-m.de/service/marketing-measurement/</v>
      </c>
      <c r="B3" s="11" t="str">
        <f>IFERROR(__xludf.DUMMYFUNCTION("""COMPUTED_VALUE"""),"Marketing Measurement | FELD M")</f>
        <v>Marketing Measurement | FELD M</v>
      </c>
      <c r="C3" s="8" t="str">
        <f>IFERROR(__xludf.DUMMYFUNCTION("""COMPUTED_VALUE"""),"feld-m.de")</f>
        <v>feld-m.de</v>
      </c>
      <c r="D3" s="11" t="str">
        <f>IFERROR(__xludf.DUMMYFUNCTION("""COMPUTED_VALUE"""),"PRODUCT_PAGE")</f>
        <v>PRODUCT_PAGE</v>
      </c>
      <c r="E3" s="11" t="str">
        <f>IFERROR(__xludf.DUMMYFUNCTION("""COMPUTED_VALUE"""),"COMPETITOR")</f>
        <v>COMPETITOR</v>
      </c>
      <c r="F3" s="11" t="str">
        <f>IFERROR(__xludf.DUMMYFUNCTION("""COMPUTED_VALUE"""),"Product Page")</f>
        <v>Product Page</v>
      </c>
      <c r="G3" s="11" t="b">
        <f>IFERROR(__xludf.DUMMYFUNCTION("""COMPUTED_VALUE"""),FALSE)</f>
        <v>0</v>
      </c>
      <c r="H3" s="11" t="str">
        <f>IFERROR(__xludf.DUMMYFUNCTION("""COMPUTED_VALUE"""),"FELD M")</f>
        <v>FELD M</v>
      </c>
      <c r="I3" s="11">
        <f>IFERROR(__xludf.DUMMYFUNCTION("""COMPUTED_VALUE"""),29.0)</f>
        <v>29</v>
      </c>
      <c r="J3" s="11">
        <f>IFERROR(__xludf.DUMMYFUNCTION("""COMPUTED_VALUE"""),0.03)</f>
        <v>0.03</v>
      </c>
      <c r="K3" s="11">
        <f>IFERROR(__xludf.DUMMYFUNCTION("""COMPUTED_VALUE"""),1.28)</f>
        <v>1.28</v>
      </c>
    </row>
    <row r="4" ht="15.75" customHeight="1">
      <c r="A4" s="8" t="str">
        <f>IFERROR(__xludf.DUMMYFUNCTION("""COMPUTED_VALUE"""),"https://www.feld-m.de/en/service/marketing-measurement/")</f>
        <v>https://www.feld-m.de/en/service/marketing-measurement/</v>
      </c>
      <c r="B4" s="11" t="str">
        <f>IFERROR(__xludf.DUMMYFUNCTION("""COMPUTED_VALUE"""),"Marketing Measurement &amp;amp; Media Mix Modeling for Actionable Insights | FELD M")</f>
        <v>Marketing Measurement &amp;amp; Media Mix Modeling for Actionable Insights | FELD M</v>
      </c>
      <c r="C4" s="8" t="str">
        <f>IFERROR(__xludf.DUMMYFUNCTION("""COMPUTED_VALUE"""),"feld-m.de")</f>
        <v>feld-m.de</v>
      </c>
      <c r="D4" s="11" t="str">
        <f>IFERROR(__xludf.DUMMYFUNCTION("""COMPUTED_VALUE"""),"PRODUCT_PAGE")</f>
        <v>PRODUCT_PAGE</v>
      </c>
      <c r="E4" s="11" t="str">
        <f>IFERROR(__xludf.DUMMYFUNCTION("""COMPUTED_VALUE"""),"COMPETITOR")</f>
        <v>COMPETITOR</v>
      </c>
      <c r="F4" s="11" t="str">
        <f>IFERROR(__xludf.DUMMYFUNCTION("""COMPUTED_VALUE"""),"Product Page")</f>
        <v>Product Page</v>
      </c>
      <c r="G4" s="11" t="b">
        <f>IFERROR(__xludf.DUMMYFUNCTION("""COMPUTED_VALUE"""),FALSE)</f>
        <v>0</v>
      </c>
      <c r="H4" s="11" t="str">
        <f>IFERROR(__xludf.DUMMYFUNCTION("""COMPUTED_VALUE"""),"FELD M")</f>
        <v>FELD M</v>
      </c>
      <c r="I4" s="11">
        <f>IFERROR(__xludf.DUMMYFUNCTION("""COMPUTED_VALUE"""),22.0)</f>
        <v>22</v>
      </c>
      <c r="J4" s="11">
        <f>IFERROR(__xludf.DUMMYFUNCTION("""COMPUTED_VALUE"""),0.02)</f>
        <v>0.02</v>
      </c>
      <c r="K4" s="11">
        <f>IFERROR(__xludf.DUMMYFUNCTION("""COMPUTED_VALUE"""),1.45)</f>
        <v>1.45</v>
      </c>
    </row>
    <row r="5" ht="15.75" customHeight="1">
      <c r="A5" s="8" t="str">
        <f>IFERROR(__xludf.DUMMYFUNCTION("""COMPUTED_VALUE"""),"https://mediacharge.com/performance-marketing-agency-germany")</f>
        <v>https://mediacharge.com/performance-marketing-agency-germany</v>
      </c>
      <c r="B5" s="11" t="str">
        <f>IFERROR(__xludf.DUMMYFUNCTION("""COMPUTED_VALUE"""),"German Performance Marketing Agency | DACH Agency")</f>
        <v>German Performance Marketing Agency | DACH Agency</v>
      </c>
      <c r="C5" s="8" t="str">
        <f>IFERROR(__xludf.DUMMYFUNCTION("""COMPUTED_VALUE"""),"mediacharge.com")</f>
        <v>mediacharge.com</v>
      </c>
      <c r="D5" s="11" t="str">
        <f>IFERROR(__xludf.DUMMYFUNCTION("""COMPUTED_VALUE"""),"PRODUCT_PAGE")</f>
        <v>PRODUCT_PAGE</v>
      </c>
      <c r="E5" s="11" t="str">
        <f>IFERROR(__xludf.DUMMYFUNCTION("""COMPUTED_VALUE"""),"COMPETITOR")</f>
        <v>COMPETITOR</v>
      </c>
      <c r="F5" s="11" t="str">
        <f>IFERROR(__xludf.DUMMYFUNCTION("""COMPUTED_VALUE"""),"Product Page")</f>
        <v>Product Page</v>
      </c>
      <c r="G5" s="11" t="b">
        <f>IFERROR(__xludf.DUMMYFUNCTION("""COMPUTED_VALUE"""),FALSE)</f>
        <v>0</v>
      </c>
      <c r="H5" s="11" t="str">
        <f>IFERROR(__xludf.DUMMYFUNCTION("""COMPUTED_VALUE"""),"Mediacharge")</f>
        <v>Mediacharge</v>
      </c>
      <c r="I5" s="11">
        <f>IFERROR(__xludf.DUMMYFUNCTION("""COMPUTED_VALUE"""),18.0)</f>
        <v>18</v>
      </c>
      <c r="J5" s="11">
        <f>IFERROR(__xludf.DUMMYFUNCTION("""COMPUTED_VALUE"""),0.02)</f>
        <v>0.02</v>
      </c>
      <c r="K5" s="11">
        <f>IFERROR(__xludf.DUMMYFUNCTION("""COMPUTED_VALUE"""),0.56)</f>
        <v>0.56</v>
      </c>
    </row>
    <row r="6" ht="15.75" customHeight="1">
      <c r="A6" s="8" t="str">
        <f>IFERROR(__xludf.DUMMYFUNCTION("""COMPUTED_VALUE"""),"https://www.opinosis-analytics.com/ai-consulting-in-germany/")</f>
        <v>https://www.opinosis-analytics.com/ai-consulting-in-germany/</v>
      </c>
      <c r="B6" s="11" t="str">
        <f>IFERROR(__xludf.DUMMYFUNCTION("""COMPUTED_VALUE"""),"AI Consulting Company in Germany | AI Agents | Machine Learning Consulting")</f>
        <v>AI Consulting Company in Germany | AI Agents | Machine Learning Consulting</v>
      </c>
      <c r="C6" s="8" t="str">
        <f>IFERROR(__xludf.DUMMYFUNCTION("""COMPUTED_VALUE"""),"opinosis-analytics.com")</f>
        <v>opinosis-analytics.com</v>
      </c>
      <c r="D6" s="11" t="str">
        <f>IFERROR(__xludf.DUMMYFUNCTION("""COMPUTED_VALUE"""),"PRODUCT_PAGE")</f>
        <v>PRODUCT_PAGE</v>
      </c>
      <c r="E6" s="11" t="str">
        <f>IFERROR(__xludf.DUMMYFUNCTION("""COMPUTED_VALUE"""),"COMPETITOR")</f>
        <v>COMPETITOR</v>
      </c>
      <c r="F6" s="11" t="str">
        <f>IFERROR(__xludf.DUMMYFUNCTION("""COMPUTED_VALUE"""),"Product Page")</f>
        <v>Product Page</v>
      </c>
      <c r="G6" s="11" t="b">
        <f>IFERROR(__xludf.DUMMYFUNCTION("""COMPUTED_VALUE"""),FALSE)</f>
        <v>0</v>
      </c>
      <c r="H6" s="11" t="str">
        <f>IFERROR(__xludf.DUMMYFUNCTION("""COMPUTED_VALUE"""),"Opinosis Analytics")</f>
        <v>Opinosis Analytics</v>
      </c>
      <c r="I6" s="11">
        <f>IFERROR(__xludf.DUMMYFUNCTION("""COMPUTED_VALUE"""),18.0)</f>
        <v>18</v>
      </c>
      <c r="J6" s="11">
        <f>IFERROR(__xludf.DUMMYFUNCTION("""COMPUTED_VALUE"""),0.02)</f>
        <v>0.02</v>
      </c>
      <c r="K6" s="11">
        <f>IFERROR(__xludf.DUMMYFUNCTION("""COMPUTED_VALUE"""),0.28)</f>
        <v>0.28</v>
      </c>
    </row>
    <row r="7" ht="15.75" customHeight="1">
      <c r="A7" s="8" t="str">
        <f>IFERROR(__xludf.DUMMYFUNCTION("""COMPUTED_VALUE"""),"https://www.more-fire.com/en/implementation/display-advertising/")</f>
        <v>https://www.more-fire.com/en/implementation/display-advertising/</v>
      </c>
      <c r="B7" s="11" t="str">
        <f>IFERROR(__xludf.DUMMYFUNCTION("""COMPUTED_VALUE"""),"Display Advertising Agency From Cologne, Germany | morefire")</f>
        <v>Display Advertising Agency From Cologne, Germany | morefire</v>
      </c>
      <c r="C7" s="8" t="str">
        <f>IFERROR(__xludf.DUMMYFUNCTION("""COMPUTED_VALUE"""),"more-fire.com")</f>
        <v>more-fire.com</v>
      </c>
      <c r="D7" s="11" t="str">
        <f>IFERROR(__xludf.DUMMYFUNCTION("""COMPUTED_VALUE"""),"PRODUCT_PAGE")</f>
        <v>PRODUCT_PAGE</v>
      </c>
      <c r="E7" s="11" t="str">
        <f>IFERROR(__xludf.DUMMYFUNCTION("""COMPUTED_VALUE"""),"COMPETITOR")</f>
        <v>COMPETITOR</v>
      </c>
      <c r="F7" s="11" t="str">
        <f>IFERROR(__xludf.DUMMYFUNCTION("""COMPUTED_VALUE"""),"Product Page")</f>
        <v>Product Page</v>
      </c>
      <c r="G7" s="11" t="b">
        <f>IFERROR(__xludf.DUMMYFUNCTION("""COMPUTED_VALUE"""),FALSE)</f>
        <v>0</v>
      </c>
      <c r="H7" s="11" t="str">
        <f>IFERROR(__xludf.DUMMYFUNCTION("""COMPUTED_VALUE"""),"morefire")</f>
        <v>morefire</v>
      </c>
      <c r="I7" s="11">
        <f>IFERROR(__xludf.DUMMYFUNCTION("""COMPUTED_VALUE"""),17.0)</f>
        <v>17</v>
      </c>
      <c r="J7" s="11">
        <f>IFERROR(__xludf.DUMMYFUNCTION("""COMPUTED_VALUE"""),0.02)</f>
        <v>0.02</v>
      </c>
      <c r="K7" s="11">
        <f>IFERROR(__xludf.DUMMYFUNCTION("""COMPUTED_VALUE"""),1.41)</f>
        <v>1.41</v>
      </c>
    </row>
    <row r="8" ht="15.75" customHeight="1">
      <c r="A8" s="8" t="str">
        <f>IFERROR(__xludf.DUMMYFUNCTION("""COMPUTED_VALUE"""),"https://www.performanceliebe.de/geo-agency-germany/")</f>
        <v>https://www.performanceliebe.de/geo-agency-germany/</v>
      </c>
      <c r="B8" s="11" t="str">
        <f>IFERROR(__xludf.DUMMYFUNCTION("""COMPUTED_VALUE"""),"GEO Agency Germany | performanceLiebe")</f>
        <v>GEO Agency Germany | performanceLiebe</v>
      </c>
      <c r="C8" s="8" t="str">
        <f>IFERROR(__xludf.DUMMYFUNCTION("""COMPUTED_VALUE"""),"performanceliebe.de")</f>
        <v>performanceliebe.de</v>
      </c>
      <c r="D8" s="11" t="str">
        <f>IFERROR(__xludf.DUMMYFUNCTION("""COMPUTED_VALUE"""),"PRODUCT_PAGE")</f>
        <v>PRODUCT_PAGE</v>
      </c>
      <c r="E8" s="11" t="str">
        <f>IFERROR(__xludf.DUMMYFUNCTION("""COMPUTED_VALUE"""),"COMPETITOR")</f>
        <v>COMPETITOR</v>
      </c>
      <c r="F8" s="11" t="str">
        <f>IFERROR(__xludf.DUMMYFUNCTION("""COMPUTED_VALUE"""),"Product Page")</f>
        <v>Product Page</v>
      </c>
      <c r="G8" s="11" t="b">
        <f>IFERROR(__xludf.DUMMYFUNCTION("""COMPUTED_VALUE"""),FALSE)</f>
        <v>0</v>
      </c>
      <c r="H8" s="11" t="str">
        <f>IFERROR(__xludf.DUMMYFUNCTION("""COMPUTED_VALUE"""),"performanceLiebe")</f>
        <v>performanceLiebe</v>
      </c>
      <c r="I8" s="11">
        <f>IFERROR(__xludf.DUMMYFUNCTION("""COMPUTED_VALUE"""),16.0)</f>
        <v>16</v>
      </c>
      <c r="J8" s="11">
        <f>IFERROR(__xludf.DUMMYFUNCTION("""COMPUTED_VALUE"""),0.02)</f>
        <v>0.02</v>
      </c>
      <c r="K8" s="11">
        <f>IFERROR(__xludf.DUMMYFUNCTION("""COMPUTED_VALUE"""),1.0)</f>
        <v>1</v>
      </c>
    </row>
    <row r="9" ht="15.75" customHeight="1">
      <c r="A9" s="8" t="str">
        <f>IFERROR(__xludf.DUMMYFUNCTION("""COMPUTED_VALUE"""),"https://www.haus.io/experiments")</f>
        <v>https://www.haus.io/experiments</v>
      </c>
      <c r="B9" s="11" t="str">
        <f>IFERROR(__xludf.DUMMYFUNCTION("""COMPUTED_VALUE"""),"Haus Incrementality Experiments | Incrementality Testing for Paid Marketing")</f>
        <v>Haus Incrementality Experiments | Incrementality Testing for Paid Marketing</v>
      </c>
      <c r="C9" s="8" t="str">
        <f>IFERROR(__xludf.DUMMYFUNCTION("""COMPUTED_VALUE"""),"haus.io")</f>
        <v>haus.io</v>
      </c>
      <c r="D9" s="11" t="str">
        <f>IFERROR(__xludf.DUMMYFUNCTION("""COMPUTED_VALUE"""),"PRODUCT_PAGE")</f>
        <v>PRODUCT_PAGE</v>
      </c>
      <c r="E9" s="11" t="str">
        <f>IFERROR(__xludf.DUMMYFUNCTION("""COMPUTED_VALUE"""),"COMPETITOR")</f>
        <v>COMPETITOR</v>
      </c>
      <c r="F9" s="11" t="str">
        <f>IFERROR(__xludf.DUMMYFUNCTION("""COMPUTED_VALUE"""),"Product Page")</f>
        <v>Product Page</v>
      </c>
      <c r="G9" s="11" t="b">
        <f>IFERROR(__xludf.DUMMYFUNCTION("""COMPUTED_VALUE"""),FALSE)</f>
        <v>0</v>
      </c>
      <c r="H9" s="11" t="str">
        <f>IFERROR(__xludf.DUMMYFUNCTION("""COMPUTED_VALUE"""),"Haus, Measured")</f>
        <v>Haus, Measured</v>
      </c>
      <c r="I9" s="11">
        <f>IFERROR(__xludf.DUMMYFUNCTION("""COMPUTED_VALUE"""),15.0)</f>
        <v>15</v>
      </c>
      <c r="J9" s="11">
        <f>IFERROR(__xludf.DUMMYFUNCTION("""COMPUTED_VALUE"""),0.02)</f>
        <v>0.02</v>
      </c>
      <c r="K9" s="11">
        <f>IFERROR(__xludf.DUMMYFUNCTION("""COMPUTED_VALUE"""),0.33)</f>
        <v>0.33</v>
      </c>
    </row>
    <row r="10" ht="15.75" customHeight="1">
      <c r="A10" s="8" t="str">
        <f>IFERROR(__xludf.DUMMYFUNCTION("""COMPUTED_VALUE"""),"https://www.statworx.com/en/data-science-and-ai-consulting")</f>
        <v>https://www.statworx.com/en/data-science-and-ai-consulting</v>
      </c>
      <c r="B10" s="11" t="str">
        <f>IFERROR(__xludf.DUMMYFUNCTION("""COMPUTED_VALUE"""),"AI Consulting for Your Company | statworx")</f>
        <v>AI Consulting for Your Company | statworx</v>
      </c>
      <c r="C10" s="8" t="str">
        <f>IFERROR(__xludf.DUMMYFUNCTION("""COMPUTED_VALUE"""),"statworx.com")</f>
        <v>statworx.com</v>
      </c>
      <c r="D10" s="11" t="str">
        <f>IFERROR(__xludf.DUMMYFUNCTION("""COMPUTED_VALUE"""),"PRODUCT_PAGE")</f>
        <v>PRODUCT_PAGE</v>
      </c>
      <c r="E10" s="11" t="str">
        <f>IFERROR(__xludf.DUMMYFUNCTION("""COMPUTED_VALUE"""),"COMPETITOR")</f>
        <v>COMPETITOR</v>
      </c>
      <c r="F10" s="11" t="str">
        <f>IFERROR(__xludf.DUMMYFUNCTION("""COMPUTED_VALUE"""),"Product Page")</f>
        <v>Product Page</v>
      </c>
      <c r="G10" s="11" t="b">
        <f>IFERROR(__xludf.DUMMYFUNCTION("""COMPUTED_VALUE"""),FALSE)</f>
        <v>0</v>
      </c>
      <c r="H10" s="11" t="str">
        <f>IFERROR(__xludf.DUMMYFUNCTION("""COMPUTED_VALUE"""),"statworx, Pilot")</f>
        <v>statworx, Pilot</v>
      </c>
      <c r="I10" s="11">
        <f>IFERROR(__xludf.DUMMYFUNCTION("""COMPUTED_VALUE"""),15.0)</f>
        <v>15</v>
      </c>
      <c r="J10" s="11">
        <f>IFERROR(__xludf.DUMMYFUNCTION("""COMPUTED_VALUE"""),0.02)</f>
        <v>0.02</v>
      </c>
      <c r="K10" s="11">
        <f>IFERROR(__xludf.DUMMYFUNCTION("""COMPUTED_VALUE"""),1.47)</f>
        <v>1.47</v>
      </c>
    </row>
    <row r="11" ht="15.75" customHeight="1">
      <c r="A11" s="8" t="str">
        <f>IFERROR(__xludf.DUMMYFUNCTION("""COMPUTED_VALUE"""),"https://s360digital.com/capabilities/data/incrementality-testing/")</f>
        <v>https://s360digital.com/capabilities/data/incrementality-testing/</v>
      </c>
      <c r="B11" s="11" t="str">
        <f>IFERROR(__xludf.DUMMYFUNCTION("""COMPUTED_VALUE"""),"Prove marketing impact with Incrementality Testing | s360")</f>
        <v>Prove marketing impact with Incrementality Testing | s360</v>
      </c>
      <c r="C11" s="8" t="str">
        <f>IFERROR(__xludf.DUMMYFUNCTION("""COMPUTED_VALUE"""),"s360digital.com")</f>
        <v>s360digital.com</v>
      </c>
      <c r="D11" s="11" t="str">
        <f>IFERROR(__xludf.DUMMYFUNCTION("""COMPUTED_VALUE"""),"PRODUCT_PAGE")</f>
        <v>PRODUCT_PAGE</v>
      </c>
      <c r="E11" s="11" t="str">
        <f>IFERROR(__xludf.DUMMYFUNCTION("""COMPUTED_VALUE"""),"COMPETITOR")</f>
        <v>COMPETITOR</v>
      </c>
      <c r="F11" s="11" t="str">
        <f>IFERROR(__xludf.DUMMYFUNCTION("""COMPUTED_VALUE"""),"Product Page")</f>
        <v>Product Page</v>
      </c>
      <c r="G11" s="11" t="b">
        <f>IFERROR(__xludf.DUMMYFUNCTION("""COMPUTED_VALUE"""),FALSE)</f>
        <v>0</v>
      </c>
      <c r="H11" s="11" t="str">
        <f>IFERROR(__xludf.DUMMYFUNCTION("""COMPUTED_VALUE"""),"s360, Measured")</f>
        <v>s360, Measured</v>
      </c>
      <c r="I11" s="11">
        <f>IFERROR(__xludf.DUMMYFUNCTION("""COMPUTED_VALUE"""),13.0)</f>
        <v>13</v>
      </c>
      <c r="J11" s="11">
        <f>IFERROR(__xludf.DUMMYFUNCTION("""COMPUTED_VALUE"""),0.01)</f>
        <v>0.01</v>
      </c>
      <c r="K11" s="11">
        <f>IFERROR(__xludf.DUMMYFUNCTION("""COMPUTED_VALUE"""),1.15)</f>
        <v>1.15</v>
      </c>
    </row>
    <row r="12" ht="15.75" customHeight="1">
      <c r="A12" s="8" t="str">
        <f>IFERROR(__xludf.DUMMYFUNCTION("""COMPUTED_VALUE"""),"https://keyperformance.de/en/google-ads-agency")</f>
        <v>https://keyperformance.de/en/google-ads-agency</v>
      </c>
      <c r="B12" s="11" t="str">
        <f>IFERROR(__xludf.DUMMYFUNCTION("""COMPUTED_VALUE"""),"Google Ads Agency Germany | keyperformance")</f>
        <v>Google Ads Agency Germany | keyperformance</v>
      </c>
      <c r="C12" s="8" t="str">
        <f>IFERROR(__xludf.DUMMYFUNCTION("""COMPUTED_VALUE"""),"keyperformance.de")</f>
        <v>keyperformance.de</v>
      </c>
      <c r="D12" s="11" t="str">
        <f>IFERROR(__xludf.DUMMYFUNCTION("""COMPUTED_VALUE"""),"PRODUCT_PAGE")</f>
        <v>PRODUCT_PAGE</v>
      </c>
      <c r="E12" s="11" t="str">
        <f>IFERROR(__xludf.DUMMYFUNCTION("""COMPUTED_VALUE"""),"CORPORATE")</f>
        <v>CORPORATE</v>
      </c>
      <c r="F12" s="11" t="str">
        <f>IFERROR(__xludf.DUMMYFUNCTION("""COMPUTED_VALUE"""),"Product Page")</f>
        <v>Product Page</v>
      </c>
      <c r="G12" s="11" t="b">
        <f>IFERROR(__xludf.DUMMYFUNCTION("""COMPUTED_VALUE"""),FALSE)</f>
        <v>0</v>
      </c>
      <c r="H12" s="11"/>
      <c r="I12" s="11">
        <f>IFERROR(__xludf.DUMMYFUNCTION("""COMPUTED_VALUE"""),12.0)</f>
        <v>12</v>
      </c>
      <c r="J12" s="11">
        <f>IFERROR(__xludf.DUMMYFUNCTION("""COMPUTED_VALUE"""),0.01)</f>
        <v>0.01</v>
      </c>
      <c r="K12" s="11">
        <f>IFERROR(__xludf.DUMMYFUNCTION("""COMPUTED_VALUE"""),0.33)</f>
        <v>0.33</v>
      </c>
    </row>
    <row r="13" ht="15.75" customHeight="1">
      <c r="A13" s="8" t="str">
        <f>IFERROR(__xludf.DUMMYFUNCTION("""COMPUTED_VALUE"""),"https://barefoot-performance.com/markets/performance-marketing-agency-germany")</f>
        <v>https://barefoot-performance.com/markets/performance-marketing-agency-germany</v>
      </c>
      <c r="B13" s="11" t="str">
        <f>IFERROR(__xludf.DUMMYFUNCTION("""COMPUTED_VALUE"""),"Performance Marketing Agency Germany | Google, Meta &amp;amp; ChatGPT Ads | Barefoot")</f>
        <v>Performance Marketing Agency Germany | Google, Meta &amp;amp; ChatGPT Ads | Barefoot</v>
      </c>
      <c r="C13" s="8" t="str">
        <f>IFERROR(__xludf.DUMMYFUNCTION("""COMPUTED_VALUE"""),"barefoot-performance.com")</f>
        <v>barefoot-performance.com</v>
      </c>
      <c r="D13" s="11" t="str">
        <f>IFERROR(__xludf.DUMMYFUNCTION("""COMPUTED_VALUE"""),"PRODUCT_PAGE")</f>
        <v>PRODUCT_PAGE</v>
      </c>
      <c r="E13" s="11" t="str">
        <f>IFERROR(__xludf.DUMMYFUNCTION("""COMPUTED_VALUE"""),"CORPORATE")</f>
        <v>CORPORATE</v>
      </c>
      <c r="F13" s="11" t="str">
        <f>IFERROR(__xludf.DUMMYFUNCTION("""COMPUTED_VALUE"""),"Product Page")</f>
        <v>Product Page</v>
      </c>
      <c r="G13" s="11" t="b">
        <f>IFERROR(__xludf.DUMMYFUNCTION("""COMPUTED_VALUE"""),FALSE)</f>
        <v>0</v>
      </c>
      <c r="H13" s="11"/>
      <c r="I13" s="11">
        <f>IFERROR(__xludf.DUMMYFUNCTION("""COMPUTED_VALUE"""),11.0)</f>
        <v>11</v>
      </c>
      <c r="J13" s="11">
        <f>IFERROR(__xludf.DUMMYFUNCTION("""COMPUTED_VALUE"""),0.01)</f>
        <v>0.01</v>
      </c>
      <c r="K13" s="11">
        <f>IFERROR(__xludf.DUMMYFUNCTION("""COMPUTED_VALUE"""),0.0)</f>
        <v>0</v>
      </c>
    </row>
    <row r="14" ht="15.75" customHeight="1">
      <c r="A14" s="8" t="str">
        <f>IFERROR(__xludf.DUMMYFUNCTION("""COMPUTED_VALUE"""),"https://mediacharge.com/digital-marketing-agency-germany")</f>
        <v>https://mediacharge.com/digital-marketing-agency-germany</v>
      </c>
      <c r="B14" s="11" t="str">
        <f>IFERROR(__xludf.DUMMYFUNCTION("""COMPUTED_VALUE"""),"German Digital Marketing Agency | DACH Agency")</f>
        <v>German Digital Marketing Agency | DACH Agency</v>
      </c>
      <c r="C14" s="8" t="str">
        <f>IFERROR(__xludf.DUMMYFUNCTION("""COMPUTED_VALUE"""),"mediacharge.com")</f>
        <v>mediacharge.com</v>
      </c>
      <c r="D14" s="11" t="str">
        <f>IFERROR(__xludf.DUMMYFUNCTION("""COMPUTED_VALUE"""),"PRODUCT_PAGE")</f>
        <v>PRODUCT_PAGE</v>
      </c>
      <c r="E14" s="11" t="str">
        <f>IFERROR(__xludf.DUMMYFUNCTION("""COMPUTED_VALUE"""),"COMPETITOR")</f>
        <v>COMPETITOR</v>
      </c>
      <c r="F14" s="11" t="str">
        <f>IFERROR(__xludf.DUMMYFUNCTION("""COMPUTED_VALUE"""),"Product Page")</f>
        <v>Product Page</v>
      </c>
      <c r="G14" s="11" t="b">
        <f>IFERROR(__xludf.DUMMYFUNCTION("""COMPUTED_VALUE"""),FALSE)</f>
        <v>0</v>
      </c>
      <c r="H14" s="11" t="str">
        <f>IFERROR(__xludf.DUMMYFUNCTION("""COMPUTED_VALUE"""),"Mediacharge")</f>
        <v>Mediacharge</v>
      </c>
      <c r="I14" s="11">
        <f>IFERROR(__xludf.DUMMYFUNCTION("""COMPUTED_VALUE"""),11.0)</f>
        <v>11</v>
      </c>
      <c r="J14" s="11">
        <f>IFERROR(__xludf.DUMMYFUNCTION("""COMPUTED_VALUE"""),0.01)</f>
        <v>0.01</v>
      </c>
      <c r="K14" s="11">
        <f>IFERROR(__xludf.DUMMYFUNCTION("""COMPUTED_VALUE"""),1.18)</f>
        <v>1.18</v>
      </c>
    </row>
    <row r="15" ht="15.75" customHeight="1">
      <c r="A15" s="8" t="str">
        <f>IFERROR(__xludf.DUMMYFUNCTION("""COMPUTED_VALUE"""),"https://www.dreikon.de/en/services/seo-agency/geo/")</f>
        <v>https://www.dreikon.de/en/services/seo-agency/geo/</v>
      </c>
      <c r="B15" s="11" t="str">
        <f>IFERROR(__xludf.DUMMYFUNCTION("""COMPUTED_VALUE"""),"GEO Agency | for more visibility in AI")</f>
        <v>GEO Agency | for more visibility in AI</v>
      </c>
      <c r="C15" s="8" t="str">
        <f>IFERROR(__xludf.DUMMYFUNCTION("""COMPUTED_VALUE"""),"dreikon.de")</f>
        <v>dreikon.de</v>
      </c>
      <c r="D15" s="11" t="str">
        <f>IFERROR(__xludf.DUMMYFUNCTION("""COMPUTED_VALUE"""),"PRODUCT_PAGE")</f>
        <v>PRODUCT_PAGE</v>
      </c>
      <c r="E15" s="11" t="str">
        <f>IFERROR(__xludf.DUMMYFUNCTION("""COMPUTED_VALUE"""),"COMPETITOR")</f>
        <v>COMPETITOR</v>
      </c>
      <c r="F15" s="11" t="str">
        <f>IFERROR(__xludf.DUMMYFUNCTION("""COMPUTED_VALUE"""),"Product Page")</f>
        <v>Product Page</v>
      </c>
      <c r="G15" s="11" t="b">
        <f>IFERROR(__xludf.DUMMYFUNCTION("""COMPUTED_VALUE"""),FALSE)</f>
        <v>0</v>
      </c>
      <c r="H15" s="11" t="str">
        <f>IFERROR(__xludf.DUMMYFUNCTION("""COMPUTED_VALUE"""),"DREIKON, Measured")</f>
        <v>DREIKON, Measured</v>
      </c>
      <c r="I15" s="11">
        <f>IFERROR(__xludf.DUMMYFUNCTION("""COMPUTED_VALUE"""),10.0)</f>
        <v>10</v>
      </c>
      <c r="J15" s="11">
        <f>IFERROR(__xludf.DUMMYFUNCTION("""COMPUTED_VALUE"""),0.01)</f>
        <v>0.01</v>
      </c>
      <c r="K15" s="11">
        <f>IFERROR(__xludf.DUMMYFUNCTION("""COMPUTED_VALUE"""),1.3)</f>
        <v>1.3</v>
      </c>
    </row>
    <row r="16" ht="15.75" customHeight="1">
      <c r="A16" s="8" t="str">
        <f>IFERROR(__xludf.DUMMYFUNCTION("""COMPUTED_VALUE"""),"https://www.haus.io/use-cases/incrementality")</f>
        <v>https://www.haus.io/use-cases/incrementality</v>
      </c>
      <c r="B16" s="11" t="str">
        <f>IFERROR(__xludf.DUMMYFUNCTION("""COMPUTED_VALUE"""),"Haus Incrementality Testing")</f>
        <v>Haus Incrementality Testing</v>
      </c>
      <c r="C16" s="8" t="str">
        <f>IFERROR(__xludf.DUMMYFUNCTION("""COMPUTED_VALUE"""),"haus.io")</f>
        <v>haus.io</v>
      </c>
      <c r="D16" s="11" t="str">
        <f>IFERROR(__xludf.DUMMYFUNCTION("""COMPUTED_VALUE"""),"PRODUCT_PAGE")</f>
        <v>PRODUCT_PAGE</v>
      </c>
      <c r="E16" s="11" t="str">
        <f>IFERROR(__xludf.DUMMYFUNCTION("""COMPUTED_VALUE"""),"COMPETITOR")</f>
        <v>COMPETITOR</v>
      </c>
      <c r="F16" s="11" t="str">
        <f>IFERROR(__xludf.DUMMYFUNCTION("""COMPUTED_VALUE"""),"Product Page")</f>
        <v>Product Page</v>
      </c>
      <c r="G16" s="11" t="b">
        <f>IFERROR(__xludf.DUMMYFUNCTION("""COMPUTED_VALUE"""),FALSE)</f>
        <v>0</v>
      </c>
      <c r="H16" s="11" t="str">
        <f>IFERROR(__xludf.DUMMYFUNCTION("""COMPUTED_VALUE"""),"Haus, Momentum")</f>
        <v>Haus, Momentum</v>
      </c>
      <c r="I16" s="11">
        <f>IFERROR(__xludf.DUMMYFUNCTION("""COMPUTED_VALUE"""),10.0)</f>
        <v>10</v>
      </c>
      <c r="J16" s="11">
        <f>IFERROR(__xludf.DUMMYFUNCTION("""COMPUTED_VALUE"""),0.01)</f>
        <v>0.01</v>
      </c>
      <c r="K16" s="11">
        <f>IFERROR(__xludf.DUMMYFUNCTION("""COMPUTED_VALUE"""),0.0)</f>
        <v>0</v>
      </c>
    </row>
    <row r="17" ht="15.75" customHeight="1">
      <c r="A17" s="8" t="str">
        <f>IFERROR(__xludf.DUMMYFUNCTION("""COMPUTED_VALUE"""),"https://www.house-of-communication.com/de/de/brands/serviceplan.html")</f>
        <v>https://www.house-of-communication.com/de/de/brands/serviceplan.html</v>
      </c>
      <c r="B17" s="11" t="str">
        <f>IFERROR(__xludf.DUMMYFUNCTION("""COMPUTED_VALUE"""),"Serviceplan")</f>
        <v>Serviceplan</v>
      </c>
      <c r="C17" s="8" t="str">
        <f>IFERROR(__xludf.DUMMYFUNCTION("""COMPUTED_VALUE"""),"house-of-communication.com")</f>
        <v>house-of-communication.com</v>
      </c>
      <c r="D17" s="11" t="str">
        <f>IFERROR(__xludf.DUMMYFUNCTION("""COMPUTED_VALUE"""),"PRODUCT_PAGE")</f>
        <v>PRODUCT_PAGE</v>
      </c>
      <c r="E17" s="11" t="str">
        <f>IFERROR(__xludf.DUMMYFUNCTION("""COMPUTED_VALUE"""),"COMPETITOR")</f>
        <v>COMPETITOR</v>
      </c>
      <c r="F17" s="11" t="str">
        <f>IFERROR(__xludf.DUMMYFUNCTION("""COMPUTED_VALUE"""),"Product Page")</f>
        <v>Product Page</v>
      </c>
      <c r="G17" s="11" t="b">
        <f>IFERROR(__xludf.DUMMYFUNCTION("""COMPUTED_VALUE"""),FALSE)</f>
        <v>0</v>
      </c>
      <c r="H17" s="11" t="str">
        <f>IFERROR(__xludf.DUMMYFUNCTION("""COMPUTED_VALUE"""),"Serviceplan Group, Momentum, Haus")</f>
        <v>Serviceplan Group, Momentum, Haus</v>
      </c>
      <c r="I17" s="11">
        <f>IFERROR(__xludf.DUMMYFUNCTION("""COMPUTED_VALUE"""),10.0)</f>
        <v>10</v>
      </c>
      <c r="J17" s="11">
        <f>IFERROR(__xludf.DUMMYFUNCTION("""COMPUTED_VALUE"""),0.01)</f>
        <v>0.01</v>
      </c>
      <c r="K17" s="11">
        <f>IFERROR(__xludf.DUMMYFUNCTION("""COMPUTED_VALUE"""),0.9)</f>
        <v>0.9</v>
      </c>
    </row>
    <row r="18" ht="15.75" customHeight="1">
      <c r="A18" s="8" t="str">
        <f>IFERROR(__xludf.DUMMYFUNCTION("""COMPUTED_VALUE"""),"https://www.nuundigital.com/services/data-analytics/marketing-analytics-attribution")</f>
        <v>https://www.nuundigital.com/services/data-analytics/marketing-analytics-attribution</v>
      </c>
      <c r="B18" s="11" t="str">
        <f>IFERROR(__xludf.DUMMYFUNCTION("""COMPUTED_VALUE"""),"NUUN Digital | Revenue-accountable partner")</f>
        <v>NUUN Digital | Revenue-accountable partner</v>
      </c>
      <c r="C18" s="8" t="str">
        <f>IFERROR(__xludf.DUMMYFUNCTION("""COMPUTED_VALUE"""),"nuundigital.com")</f>
        <v>nuundigital.com</v>
      </c>
      <c r="D18" s="11" t="str">
        <f>IFERROR(__xludf.DUMMYFUNCTION("""COMPUTED_VALUE"""),"PRODUCT_PAGE")</f>
        <v>PRODUCT_PAGE</v>
      </c>
      <c r="E18" s="11" t="str">
        <f>IFERROR(__xludf.DUMMYFUNCTION("""COMPUTED_VALUE"""),"CORPORATE")</f>
        <v>CORPORATE</v>
      </c>
      <c r="F18" s="11" t="str">
        <f>IFERROR(__xludf.DUMMYFUNCTION("""COMPUTED_VALUE"""),"Product Page")</f>
        <v>Product Page</v>
      </c>
      <c r="G18" s="11" t="b">
        <f>IFERROR(__xludf.DUMMYFUNCTION("""COMPUTED_VALUE"""),FALSE)</f>
        <v>0</v>
      </c>
      <c r="H18" s="11"/>
      <c r="I18" s="11">
        <f>IFERROR(__xludf.DUMMYFUNCTION("""COMPUTED_VALUE"""),10.0)</f>
        <v>10</v>
      </c>
      <c r="J18" s="11">
        <f>IFERROR(__xludf.DUMMYFUNCTION("""COMPUTED_VALUE"""),0.01)</f>
        <v>0.01</v>
      </c>
      <c r="K18" s="11">
        <f>IFERROR(__xludf.DUMMYFUNCTION("""COMPUTED_VALUE"""),0.7)</f>
        <v>0.7</v>
      </c>
    </row>
    <row r="19" ht="15.75" customHeight="1">
      <c r="A19" s="8" t="str">
        <f>IFERROR(__xludf.DUMMYFUNCTION("""COMPUTED_VALUE"""),"https://www.online-digitalx.de/en/display-advertising/")</f>
        <v>https://www.online-digitalx.de/en/display-advertising/</v>
      </c>
      <c r="B19" s="11" t="str">
        <f>IFERROR(__xludf.DUMMYFUNCTION("""COMPUTED_VALUE"""),"Display Advertising from Germany, Frankfurt - Online Digital X")</f>
        <v>Display Advertising from Germany, Frankfurt - Online Digital X</v>
      </c>
      <c r="C19" s="8" t="str">
        <f>IFERROR(__xludf.DUMMYFUNCTION("""COMPUTED_VALUE"""),"online-digitalx.de")</f>
        <v>online-digitalx.de</v>
      </c>
      <c r="D19" s="11" t="str">
        <f>IFERROR(__xludf.DUMMYFUNCTION("""COMPUTED_VALUE"""),"PRODUCT_PAGE")</f>
        <v>PRODUCT_PAGE</v>
      </c>
      <c r="E19" s="11" t="str">
        <f>IFERROR(__xludf.DUMMYFUNCTION("""COMPUTED_VALUE"""),"CORPORATE")</f>
        <v>CORPORATE</v>
      </c>
      <c r="F19" s="11" t="str">
        <f>IFERROR(__xludf.DUMMYFUNCTION("""COMPUTED_VALUE"""),"Product Page")</f>
        <v>Product Page</v>
      </c>
      <c r="G19" s="11" t="b">
        <f>IFERROR(__xludf.DUMMYFUNCTION("""COMPUTED_VALUE"""),FALSE)</f>
        <v>0</v>
      </c>
      <c r="H19" s="11"/>
      <c r="I19" s="11">
        <f>IFERROR(__xludf.DUMMYFUNCTION("""COMPUTED_VALUE"""),10.0)</f>
        <v>10</v>
      </c>
      <c r="J19" s="11">
        <f>IFERROR(__xludf.DUMMYFUNCTION("""COMPUTED_VALUE"""),0.01)</f>
        <v>0.01</v>
      </c>
      <c r="K19" s="11">
        <f>IFERROR(__xludf.DUMMYFUNCTION("""COMPUTED_VALUE"""),1.1)</f>
        <v>1.1</v>
      </c>
    </row>
    <row r="20" ht="15.75" customHeight="1">
      <c r="A20" s="8" t="str">
        <f>IFERROR(__xludf.DUMMYFUNCTION("""COMPUTED_VALUE"""),"https://bynd.consulting/en/capabilities-en/success-measurement-en/")</f>
        <v>https://bynd.consulting/en/capabilities-en/success-measurement-en/</v>
      </c>
      <c r="B20" s="11" t="str">
        <f>IFERROR(__xludf.DUMMYFUNCTION("""COMPUTED_VALUE"""),"bynd GmbH")</f>
        <v>bynd GmbH</v>
      </c>
      <c r="C20" s="11" t="str">
        <f>IFERROR(__xludf.DUMMYFUNCTION("""COMPUTED_VALUE"""),"bynd.consulting")</f>
        <v>bynd.consulting</v>
      </c>
      <c r="D20" s="11" t="str">
        <f>IFERROR(__xludf.DUMMYFUNCTION("""COMPUTED_VALUE"""),"PRODUCT_PAGE")</f>
        <v>PRODUCT_PAGE</v>
      </c>
      <c r="E20" s="11" t="str">
        <f>IFERROR(__xludf.DUMMYFUNCTION("""COMPUTED_VALUE"""),"CORPORATE")</f>
        <v>CORPORATE</v>
      </c>
      <c r="F20" s="11" t="str">
        <f>IFERROR(__xludf.DUMMYFUNCTION("""COMPUTED_VALUE"""),"Product Page")</f>
        <v>Product Page</v>
      </c>
      <c r="G20" s="11" t="b">
        <f>IFERROR(__xludf.DUMMYFUNCTION("""COMPUTED_VALUE"""),FALSE)</f>
        <v>0</v>
      </c>
      <c r="H20" s="11" t="str">
        <f>IFERROR(__xludf.DUMMYFUNCTION("""COMPUTED_VALUE"""),"Measured, Omnicom Media Group")</f>
        <v>Measured, Omnicom Media Group</v>
      </c>
      <c r="I20" s="11">
        <f>IFERROR(__xludf.DUMMYFUNCTION("""COMPUTED_VALUE"""),9.0)</f>
        <v>9</v>
      </c>
      <c r="J20" s="11">
        <f>IFERROR(__xludf.DUMMYFUNCTION("""COMPUTED_VALUE"""),0.01)</f>
        <v>0.01</v>
      </c>
      <c r="K20" s="11">
        <f>IFERROR(__xludf.DUMMYFUNCTION("""COMPUTED_VALUE"""),1.22)</f>
        <v>1.22</v>
      </c>
    </row>
    <row r="21" ht="15.75" customHeight="1">
      <c r="A21" s="8" t="str">
        <f>IFERROR(__xludf.DUMMYFUNCTION("""COMPUTED_VALUE"""),"https://getrecast.com/experimentation/")</f>
        <v>https://getrecast.com/experimentation/</v>
      </c>
      <c r="B21" s="11" t="str">
        <f>IFERROR(__xludf.DUMMYFUNCTION("""COMPUTED_VALUE"""),"Experimentation - Recast")</f>
        <v>Experimentation - Recast</v>
      </c>
      <c r="C21" s="8" t="str">
        <f>IFERROR(__xludf.DUMMYFUNCTION("""COMPUTED_VALUE"""),"getrecast.com")</f>
        <v>getrecast.com</v>
      </c>
      <c r="D21" s="11" t="str">
        <f>IFERROR(__xludf.DUMMYFUNCTION("""COMPUTED_VALUE"""),"PRODUCT_PAGE")</f>
        <v>PRODUCT_PAGE</v>
      </c>
      <c r="E21" s="11" t="str">
        <f>IFERROR(__xludf.DUMMYFUNCTION("""COMPUTED_VALUE"""),"COMPETITOR")</f>
        <v>COMPETITOR</v>
      </c>
      <c r="F21" s="11" t="str">
        <f>IFERROR(__xludf.DUMMYFUNCTION("""COMPUTED_VALUE"""),"Product Page")</f>
        <v>Product Page</v>
      </c>
      <c r="G21" s="11" t="b">
        <f>IFERROR(__xludf.DUMMYFUNCTION("""COMPUTED_VALUE"""),FALSE)</f>
        <v>0</v>
      </c>
      <c r="H21" s="11" t="str">
        <f>IFERROR(__xludf.DUMMYFUNCTION("""COMPUTED_VALUE"""),"Recast")</f>
        <v>Recast</v>
      </c>
      <c r="I21" s="11">
        <f>IFERROR(__xludf.DUMMYFUNCTION("""COMPUTED_VALUE"""),9.0)</f>
        <v>9</v>
      </c>
      <c r="J21" s="11">
        <f>IFERROR(__xludf.DUMMYFUNCTION("""COMPUTED_VALUE"""),0.01)</f>
        <v>0.01</v>
      </c>
      <c r="K21" s="11">
        <f>IFERROR(__xludf.DUMMYFUNCTION("""COMPUTED_VALUE"""),0.89)</f>
        <v>0.89</v>
      </c>
    </row>
    <row r="22" ht="15.75" customHeight="1">
      <c r="A22" s="8" t="str">
        <f>IFERROR(__xludf.DUMMYFUNCTION("""COMPUTED_VALUE"""),"https://www.hyam.de/en/social-media-agency")</f>
        <v>https://www.hyam.de/en/social-media-agency</v>
      </c>
      <c r="B22" s="11" t="str">
        <f>IFERROR(__xludf.DUMMYFUNCTION("""COMPUTED_VALUE"""),"The social media agency in Berlin –&amp;nbsp;HY.AM&amp;nbsp;STUDIOS")</f>
        <v>The social media agency in Berlin –&amp;nbsp;HY.AM&amp;nbsp;STUDIOS</v>
      </c>
      <c r="C22" s="8" t="str">
        <f>IFERROR(__xludf.DUMMYFUNCTION("""COMPUTED_VALUE"""),"hyam.de")</f>
        <v>hyam.de</v>
      </c>
      <c r="D22" s="11" t="str">
        <f>IFERROR(__xludf.DUMMYFUNCTION("""COMPUTED_VALUE"""),"PRODUCT_PAGE")</f>
        <v>PRODUCT_PAGE</v>
      </c>
      <c r="E22" s="11" t="str">
        <f>IFERROR(__xludf.DUMMYFUNCTION("""COMPUTED_VALUE"""),"CORPORATE")</f>
        <v>CORPORATE</v>
      </c>
      <c r="F22" s="11" t="str">
        <f>IFERROR(__xludf.DUMMYFUNCTION("""COMPUTED_VALUE"""),"Product Page")</f>
        <v>Product Page</v>
      </c>
      <c r="G22" s="11" t="b">
        <f>IFERROR(__xludf.DUMMYFUNCTION("""COMPUTED_VALUE"""),FALSE)</f>
        <v>0</v>
      </c>
      <c r="H22" s="11" t="str">
        <f>IFERROR(__xludf.DUMMYFUNCTION("""COMPUTED_VALUE"""),"HY.AM STUDIOS, Huge")</f>
        <v>HY.AM STUDIOS, Huge</v>
      </c>
      <c r="I22" s="11">
        <f>IFERROR(__xludf.DUMMYFUNCTION("""COMPUTED_VALUE"""),9.0)</f>
        <v>9</v>
      </c>
      <c r="J22" s="11">
        <f>IFERROR(__xludf.DUMMYFUNCTION("""COMPUTED_VALUE"""),0.01)</f>
        <v>0.01</v>
      </c>
      <c r="K22" s="11">
        <f>IFERROR(__xludf.DUMMYFUNCTION("""COMPUTED_VALUE"""),1.33)</f>
        <v>1.33</v>
      </c>
    </row>
    <row r="23" ht="15.75" customHeight="1">
      <c r="A23" s="8" t="str">
        <f>IFERROR(__xludf.DUMMYFUNCTION("""COMPUTED_VALUE"""),"https://liftlab.com/platform/incrementality-testing-engine/")</f>
        <v>https://liftlab.com/platform/incrementality-testing-engine/</v>
      </c>
      <c r="B23" s="11" t="str">
        <f>IFERROR(__xludf.DUMMYFUNCTION("""COMPUTED_VALUE"""),"Incrementality Testing &amp;amp; GEO Experimentation Platform | LiftLab")</f>
        <v>Incrementality Testing &amp;amp; GEO Experimentation Platform | LiftLab</v>
      </c>
      <c r="C23" s="8" t="str">
        <f>IFERROR(__xludf.DUMMYFUNCTION("""COMPUTED_VALUE"""),"liftlab.com")</f>
        <v>liftlab.com</v>
      </c>
      <c r="D23" s="11" t="str">
        <f>IFERROR(__xludf.DUMMYFUNCTION("""COMPUTED_VALUE"""),"PRODUCT_PAGE")</f>
        <v>PRODUCT_PAGE</v>
      </c>
      <c r="E23" s="11" t="str">
        <f>IFERROR(__xludf.DUMMYFUNCTION("""COMPUTED_VALUE"""),"CORPORATE")</f>
        <v>CORPORATE</v>
      </c>
      <c r="F23" s="11" t="str">
        <f>IFERROR(__xludf.DUMMYFUNCTION("""COMPUTED_VALUE"""),"Product Page")</f>
        <v>Product Page</v>
      </c>
      <c r="G23" s="11" t="b">
        <f>IFERROR(__xludf.DUMMYFUNCTION("""COMPUTED_VALUE"""),FALSE)</f>
        <v>0</v>
      </c>
      <c r="H23" s="11"/>
      <c r="I23" s="11">
        <f>IFERROR(__xludf.DUMMYFUNCTION("""COMPUTED_VALUE"""),9.0)</f>
        <v>9</v>
      </c>
      <c r="J23" s="11">
        <f>IFERROR(__xludf.DUMMYFUNCTION("""COMPUTED_VALUE"""),0.01)</f>
        <v>0.01</v>
      </c>
      <c r="K23" s="11">
        <f>IFERROR(__xludf.DUMMYFUNCTION("""COMPUTED_VALUE"""),0.44)</f>
        <v>0.44</v>
      </c>
    </row>
    <row r="24" ht="15.75" customHeight="1">
      <c r="A24" s="8" t="str">
        <f>IFERROR(__xludf.DUMMYFUNCTION("""COMPUTED_VALUE"""),"https://admiral.media/app-marketing-agency-munich/")</f>
        <v>https://admiral.media/app-marketing-agency-munich/</v>
      </c>
      <c r="B24" s="11" t="str">
        <f>IFERROR(__xludf.DUMMYFUNCTION("""COMPUTED_VALUE"""),"App Marketing Agency Munich | Admiral Media Germany - Ad...")</f>
        <v>App Marketing Agency Munich | Admiral Media Germany - Ad...</v>
      </c>
      <c r="C24" s="11" t="str">
        <f>IFERROR(__xludf.DUMMYFUNCTION("""COMPUTED_VALUE"""),"admiral.media")</f>
        <v>admiral.media</v>
      </c>
      <c r="D24" s="11" t="str">
        <f>IFERROR(__xludf.DUMMYFUNCTION("""COMPUTED_VALUE"""),"PRODUCT_PAGE")</f>
        <v>PRODUCT_PAGE</v>
      </c>
      <c r="E24" s="11" t="str">
        <f>IFERROR(__xludf.DUMMYFUNCTION("""COMPUTED_VALUE"""),"COMPETITOR")</f>
        <v>COMPETITOR</v>
      </c>
      <c r="F24" s="11" t="str">
        <f>IFERROR(__xludf.DUMMYFUNCTION("""COMPUTED_VALUE"""),"Product Page")</f>
        <v>Product Page</v>
      </c>
      <c r="G24" s="11" t="b">
        <f>IFERROR(__xludf.DUMMYFUNCTION("""COMPUTED_VALUE"""),FALSE)</f>
        <v>0</v>
      </c>
      <c r="H24" s="11" t="str">
        <f>IFERROR(__xludf.DUMMYFUNCTION("""COMPUTED_VALUE"""),"Admiral Media, Measured, Pilot")</f>
        <v>Admiral Media, Measured, Pilot</v>
      </c>
      <c r="I24" s="11">
        <f>IFERROR(__xludf.DUMMYFUNCTION("""COMPUTED_VALUE"""),8.0)</f>
        <v>8</v>
      </c>
      <c r="J24" s="11">
        <f>IFERROR(__xludf.DUMMYFUNCTION("""COMPUTED_VALUE"""),0.01)</f>
        <v>0.01</v>
      </c>
      <c r="K24" s="11">
        <f>IFERROR(__xludf.DUMMYFUNCTION("""COMPUTED_VALUE"""),1.5)</f>
        <v>1.5</v>
      </c>
    </row>
    <row r="25" ht="15.75" customHeight="1">
      <c r="A25" s="8" t="str">
        <f>IFERROR(__xludf.DUMMYFUNCTION("""COMPUTED_VALUE"""),"https://www.gaasly.com/countries/digital-marketing-agency-in-germany/google-ads-agency-germany")</f>
        <v>https://www.gaasly.com/countries/digital-marketing-agency-in-germany/google-ads-agency-germany</v>
      </c>
      <c r="B25" s="11"/>
      <c r="C25" s="8" t="str">
        <f>IFERROR(__xludf.DUMMYFUNCTION("""COMPUTED_VALUE"""),"gaasly.com")</f>
        <v>gaasly.com</v>
      </c>
      <c r="D25" s="11" t="str">
        <f>IFERROR(__xludf.DUMMYFUNCTION("""COMPUTED_VALUE"""),"PRODUCT_PAGE")</f>
        <v>PRODUCT_PAGE</v>
      </c>
      <c r="E25" s="11" t="str">
        <f>IFERROR(__xludf.DUMMYFUNCTION("""COMPUTED_VALUE"""),"CORPORATE")</f>
        <v>CORPORATE</v>
      </c>
      <c r="F25" s="11" t="str">
        <f>IFERROR(__xludf.DUMMYFUNCTION("""COMPUTED_VALUE"""),"Product Page")</f>
        <v>Product Page</v>
      </c>
      <c r="G25" s="11" t="b">
        <f>IFERROR(__xludf.DUMMYFUNCTION("""COMPUTED_VALUE"""),FALSE)</f>
        <v>0</v>
      </c>
      <c r="H25" s="11"/>
      <c r="I25" s="11">
        <f>IFERROR(__xludf.DUMMYFUNCTION("""COMPUTED_VALUE"""),7.0)</f>
        <v>7</v>
      </c>
      <c r="J25" s="11">
        <f>IFERROR(__xludf.DUMMYFUNCTION("""COMPUTED_VALUE"""),0.01)</f>
        <v>0.01</v>
      </c>
      <c r="K25" s="11">
        <f>IFERROR(__xludf.DUMMYFUNCTION("""COMPUTED_VALUE"""),0.0)</f>
        <v>0</v>
      </c>
    </row>
    <row r="26" ht="15.75" customHeight="1">
      <c r="A26" s="8" t="str">
        <f>IFERROR(__xludf.DUMMYFUNCTION("""COMPUTED_VALUE"""),"https://www.risexventuress.com/ai-marketing-agency-location/germany")</f>
        <v>https://www.risexventuress.com/ai-marketing-agency-location/germany</v>
      </c>
      <c r="B26" s="11" t="str">
        <f>IFERROR(__xludf.DUMMYFUNCTION("""COMPUTED_VALUE"""),"AI Marketing Agency in Germany | RiseX Venturess")</f>
        <v>AI Marketing Agency in Germany | RiseX Venturess</v>
      </c>
      <c r="C26" s="8" t="str">
        <f>IFERROR(__xludf.DUMMYFUNCTION("""COMPUTED_VALUE"""),"risexventuress.com")</f>
        <v>risexventuress.com</v>
      </c>
      <c r="D26" s="11" t="str">
        <f>IFERROR(__xludf.DUMMYFUNCTION("""COMPUTED_VALUE"""),"PRODUCT_PAGE")</f>
        <v>PRODUCT_PAGE</v>
      </c>
      <c r="E26" s="11" t="str">
        <f>IFERROR(__xludf.DUMMYFUNCTION("""COMPUTED_VALUE"""),"CORPORATE")</f>
        <v>CORPORATE</v>
      </c>
      <c r="F26" s="11" t="str">
        <f>IFERROR(__xludf.DUMMYFUNCTION("""COMPUTED_VALUE"""),"Product Page")</f>
        <v>Product Page</v>
      </c>
      <c r="G26" s="11" t="b">
        <f>IFERROR(__xludf.DUMMYFUNCTION("""COMPUTED_VALUE"""),FALSE)</f>
        <v>0</v>
      </c>
      <c r="H26" s="11"/>
      <c r="I26" s="11">
        <f>IFERROR(__xludf.DUMMYFUNCTION("""COMPUTED_VALUE"""),7.0)</f>
        <v>7</v>
      </c>
      <c r="J26" s="11">
        <f>IFERROR(__xludf.DUMMYFUNCTION("""COMPUTED_VALUE"""),0.01)</f>
        <v>0.01</v>
      </c>
      <c r="K26" s="11">
        <f>IFERROR(__xludf.DUMMYFUNCTION("""COMPUTED_VALUE"""),0.0)</f>
        <v>0</v>
      </c>
    </row>
    <row r="27" ht="15.75" customHeight="1">
      <c r="A27" s="8" t="str">
        <f>IFERROR(__xludf.DUMMYFUNCTION("""COMPUTED_VALUE"""),"https://www.artefact.com/offers/marketing-data-driven/marketing-analytics/#:~:text=Predictive%20Modeling%20%26%20Data%20Science%20%E2%80%93%20Utilize,development%20and%20ongoing%20strategic%20insights.")</f>
        <v>https://www.artefact.com/offers/marketing-data-driven/marketing-analytics/#:~:text=Predictive%20Modeling%20%26%20Data%20Science%20%E2%80%93%20Utilize,development%20and%20ongoing%20strategic%20insights.</v>
      </c>
      <c r="B27" s="11" t="str">
        <f>IFERROR(__xludf.DUMMYFUNCTION("""COMPUTED_VALUE"""),"Our Marketing Analytics Services - Artefact")</f>
        <v>Our Marketing Analytics Services - Artefact</v>
      </c>
      <c r="C27" s="8" t="str">
        <f>IFERROR(__xludf.DUMMYFUNCTION("""COMPUTED_VALUE"""),"artefact.com")</f>
        <v>artefact.com</v>
      </c>
      <c r="D27" s="11" t="str">
        <f>IFERROR(__xludf.DUMMYFUNCTION("""COMPUTED_VALUE"""),"PRODUCT_PAGE")</f>
        <v>PRODUCT_PAGE</v>
      </c>
      <c r="E27" s="11" t="str">
        <f>IFERROR(__xludf.DUMMYFUNCTION("""COMPUTED_VALUE"""),"CORPORATE")</f>
        <v>CORPORATE</v>
      </c>
      <c r="F27" s="11" t="str">
        <f>IFERROR(__xludf.DUMMYFUNCTION("""COMPUTED_VALUE"""),"Product Page")</f>
        <v>Product Page</v>
      </c>
      <c r="G27" s="11" t="b">
        <f>IFERROR(__xludf.DUMMYFUNCTION("""COMPUTED_VALUE"""),FALSE)</f>
        <v>0</v>
      </c>
      <c r="H27" s="11" t="str">
        <f>IFERROR(__xludf.DUMMYFUNCTION("""COMPUTED_VALUE"""),"Artefact")</f>
        <v>Artefact</v>
      </c>
      <c r="I27" s="11">
        <f>IFERROR(__xludf.DUMMYFUNCTION("""COMPUTED_VALUE"""),6.0)</f>
        <v>6</v>
      </c>
      <c r="J27" s="11">
        <f>IFERROR(__xludf.DUMMYFUNCTION("""COMPUTED_VALUE"""),0.01)</f>
        <v>0.01</v>
      </c>
      <c r="K27" s="11">
        <f>IFERROR(__xludf.DUMMYFUNCTION("""COMPUTED_VALUE"""),1.67)</f>
        <v>1.67</v>
      </c>
    </row>
    <row r="28" ht="15.75" customHeight="1">
      <c r="A28" s="8" t="str">
        <f>IFERROR(__xludf.DUMMYFUNCTION("""COMPUTED_VALUE"""),"https://www.measured.com/incremental-lift-tests/")</f>
        <v>https://www.measured.com/incremental-lift-tests/</v>
      </c>
      <c r="B28" s="11" t="str">
        <f>IFERROR(__xludf.DUMMYFUNCTION("""COMPUTED_VALUE"""),"Measured: Incrementality Testing")</f>
        <v>Measured: Incrementality Testing</v>
      </c>
      <c r="C28" s="8" t="str">
        <f>IFERROR(__xludf.DUMMYFUNCTION("""COMPUTED_VALUE"""),"measured.com")</f>
        <v>measured.com</v>
      </c>
      <c r="D28" s="11" t="str">
        <f>IFERROR(__xludf.DUMMYFUNCTION("""COMPUTED_VALUE"""),"PRODUCT_PAGE")</f>
        <v>PRODUCT_PAGE</v>
      </c>
      <c r="E28" s="11" t="str">
        <f>IFERROR(__xludf.DUMMYFUNCTION("""COMPUTED_VALUE"""),"COMPETITOR")</f>
        <v>COMPETITOR</v>
      </c>
      <c r="F28" s="11" t="str">
        <f>IFERROR(__xludf.DUMMYFUNCTION("""COMPUTED_VALUE"""),"Product Page")</f>
        <v>Product Page</v>
      </c>
      <c r="G28" s="11" t="b">
        <f>IFERROR(__xludf.DUMMYFUNCTION("""COMPUTED_VALUE"""),FALSE)</f>
        <v>0</v>
      </c>
      <c r="H28" s="11" t="str">
        <f>IFERROR(__xludf.DUMMYFUNCTION("""COMPUTED_VALUE"""),"Measured")</f>
        <v>Measured</v>
      </c>
      <c r="I28" s="11">
        <f>IFERROR(__xludf.DUMMYFUNCTION("""COMPUTED_VALUE"""),6.0)</f>
        <v>6</v>
      </c>
      <c r="J28" s="11">
        <f>IFERROR(__xludf.DUMMYFUNCTION("""COMPUTED_VALUE"""),0.01)</f>
        <v>0.01</v>
      </c>
      <c r="K28" s="11">
        <f>IFERROR(__xludf.DUMMYFUNCTION("""COMPUTED_VALUE"""),0.83)</f>
        <v>0.83</v>
      </c>
    </row>
    <row r="29" ht="15.75" customHeight="1">
      <c r="A29" s="8" t="str">
        <f>IFERROR(__xludf.DUMMYFUNCTION("""COMPUTED_VALUE"""),"https://www.more-fire.com/en/implementation/google-ads/")</f>
        <v>https://www.more-fire.com/en/implementation/google-ads/</v>
      </c>
      <c r="B29" s="11" t="str">
        <f>IFERROR(__xludf.DUMMYFUNCTION("""COMPUTED_VALUE"""),"Google Ads - Your Certified German Partner Agency | morefire")</f>
        <v>Google Ads - Your Certified German Partner Agency | morefire</v>
      </c>
      <c r="C29" s="8" t="str">
        <f>IFERROR(__xludf.DUMMYFUNCTION("""COMPUTED_VALUE"""),"more-fire.com")</f>
        <v>more-fire.com</v>
      </c>
      <c r="D29" s="11" t="str">
        <f>IFERROR(__xludf.DUMMYFUNCTION("""COMPUTED_VALUE"""),"PRODUCT_PAGE")</f>
        <v>PRODUCT_PAGE</v>
      </c>
      <c r="E29" s="11" t="str">
        <f>IFERROR(__xludf.DUMMYFUNCTION("""COMPUTED_VALUE"""),"COMPETITOR")</f>
        <v>COMPETITOR</v>
      </c>
      <c r="F29" s="11" t="str">
        <f>IFERROR(__xludf.DUMMYFUNCTION("""COMPUTED_VALUE"""),"Product Page")</f>
        <v>Product Page</v>
      </c>
      <c r="G29" s="11" t="b">
        <f>IFERROR(__xludf.DUMMYFUNCTION("""COMPUTED_VALUE"""),FALSE)</f>
        <v>0</v>
      </c>
      <c r="H29" s="11" t="str">
        <f>IFERROR(__xludf.DUMMYFUNCTION("""COMPUTED_VALUE"""),"morefire")</f>
        <v>morefire</v>
      </c>
      <c r="I29" s="11">
        <f>IFERROR(__xludf.DUMMYFUNCTION("""COMPUTED_VALUE"""),6.0)</f>
        <v>6</v>
      </c>
      <c r="J29" s="11">
        <f>IFERROR(__xludf.DUMMYFUNCTION("""COMPUTED_VALUE"""),0.01)</f>
        <v>0.01</v>
      </c>
      <c r="K29" s="11">
        <f>IFERROR(__xludf.DUMMYFUNCTION("""COMPUTED_VALUE"""),1.0)</f>
        <v>1</v>
      </c>
    </row>
    <row r="30" ht="15.75" customHeight="1">
      <c r="A30" s="8" t="str">
        <f>IFERROR(__xludf.DUMMYFUNCTION("""COMPUTED_VALUE"""),"https://neurank.de/ki-seo-agentur/")</f>
        <v>https://neurank.de/ki-seo-agentur/</v>
      </c>
      <c r="B30" s="11" t="str">
        <f>IFERROR(__xludf.DUMMYFUNCTION("""COMPUTED_VALUE"""),"KI-SEO Agentur NeuRank — GEO, LLMO &amp;amp; AI-Search | Deutschland")</f>
        <v>KI-SEO Agentur NeuRank — GEO, LLMO &amp;amp; AI-Search | Deutschland</v>
      </c>
      <c r="C30" s="8" t="str">
        <f>IFERROR(__xludf.DUMMYFUNCTION("""COMPUTED_VALUE"""),"neurank.de")</f>
        <v>neurank.de</v>
      </c>
      <c r="D30" s="11" t="str">
        <f>IFERROR(__xludf.DUMMYFUNCTION("""COMPUTED_VALUE"""),"PRODUCT_PAGE")</f>
        <v>PRODUCT_PAGE</v>
      </c>
      <c r="E30" s="11" t="str">
        <f>IFERROR(__xludf.DUMMYFUNCTION("""COMPUTED_VALUE"""),"CORPORATE")</f>
        <v>CORPORATE</v>
      </c>
      <c r="F30" s="11" t="str">
        <f>IFERROR(__xludf.DUMMYFUNCTION("""COMPUTED_VALUE"""),"Product Page")</f>
        <v>Product Page</v>
      </c>
      <c r="G30" s="11" t="b">
        <f>IFERROR(__xludf.DUMMYFUNCTION("""COMPUTED_VALUE"""),FALSE)</f>
        <v>0</v>
      </c>
      <c r="H30" s="11"/>
      <c r="I30" s="11">
        <f>IFERROR(__xludf.DUMMYFUNCTION("""COMPUTED_VALUE"""),6.0)</f>
        <v>6</v>
      </c>
      <c r="J30" s="11">
        <f>IFERROR(__xludf.DUMMYFUNCTION("""COMPUTED_VALUE"""),0.01)</f>
        <v>0.01</v>
      </c>
      <c r="K30" s="11">
        <f>IFERROR(__xludf.DUMMYFUNCTION("""COMPUTED_VALUE"""),2.17)</f>
        <v>2.17</v>
      </c>
    </row>
    <row r="31" ht="15.75" customHeight="1">
      <c r="A31" s="8" t="str">
        <f>IFERROR(__xludf.DUMMYFUNCTION("""COMPUTED_VALUE"""),"https://www.ziya.de/en/ai-agency")</f>
        <v>https://www.ziya.de/en/ai-agency</v>
      </c>
      <c r="B31" s="11" t="str">
        <f>IFERROR(__xludf.DUMMYFUNCTION("""COMPUTED_VALUE"""),"AI Agency - Innovative AI Solutions Made in Germany :: Ziya")</f>
        <v>AI Agency - Innovative AI Solutions Made in Germany :: Ziya</v>
      </c>
      <c r="C31" s="8" t="str">
        <f>IFERROR(__xludf.DUMMYFUNCTION("""COMPUTED_VALUE"""),"ziya.de")</f>
        <v>ziya.de</v>
      </c>
      <c r="D31" s="11" t="str">
        <f>IFERROR(__xludf.DUMMYFUNCTION("""COMPUTED_VALUE"""),"PRODUCT_PAGE")</f>
        <v>PRODUCT_PAGE</v>
      </c>
      <c r="E31" s="11" t="str">
        <f>IFERROR(__xludf.DUMMYFUNCTION("""COMPUTED_VALUE"""),"OTHER")</f>
        <v>OTHER</v>
      </c>
      <c r="F31" s="11" t="str">
        <f>IFERROR(__xludf.DUMMYFUNCTION("""COMPUTED_VALUE"""),"Product Page")</f>
        <v>Product Page</v>
      </c>
      <c r="G31" s="11" t="b">
        <f>IFERROR(__xludf.DUMMYFUNCTION("""COMPUTED_VALUE"""),FALSE)</f>
        <v>0</v>
      </c>
      <c r="H31" s="11"/>
      <c r="I31" s="11">
        <f>IFERROR(__xludf.DUMMYFUNCTION("""COMPUTED_VALUE"""),6.0)</f>
        <v>6</v>
      </c>
      <c r="J31" s="11">
        <f>IFERROR(__xludf.DUMMYFUNCTION("""COMPUTED_VALUE"""),0.01)</f>
        <v>0.01</v>
      </c>
      <c r="K31" s="11">
        <f>IFERROR(__xludf.DUMMYFUNCTION("""COMPUTED_VALUE"""),1.0)</f>
        <v>1</v>
      </c>
    </row>
    <row r="32" ht="15.75" customHeight="1">
      <c r="A32" s="8" t="str">
        <f>IFERROR(__xludf.DUMMYFUNCTION("""COMPUTED_VALUE"""),"https://e-dialog.group/en/strategies/performance-marketing-agency/")</f>
        <v>https://e-dialog.group/en/strategies/performance-marketing-agency/</v>
      </c>
      <c r="B32" s="11" t="str">
        <f>IFERROR(__xludf.DUMMYFUNCTION("""COMPUTED_VALUE"""),"Performance Marketing Agency in the DACH Region \| e-dialog")</f>
        <v>Performance Marketing Agency in the DACH Region \| e-dialog</v>
      </c>
      <c r="C32" s="11" t="str">
        <f>IFERROR(__xludf.DUMMYFUNCTION("""COMPUTED_VALUE"""),"e-dialog.group")</f>
        <v>e-dialog.group</v>
      </c>
      <c r="D32" s="11" t="str">
        <f>IFERROR(__xludf.DUMMYFUNCTION("""COMPUTED_VALUE"""),"PRODUCT_PAGE")</f>
        <v>PRODUCT_PAGE</v>
      </c>
      <c r="E32" s="11" t="str">
        <f>IFERROR(__xludf.DUMMYFUNCTION("""COMPUTED_VALUE"""),"CORPORATE")</f>
        <v>CORPORATE</v>
      </c>
      <c r="F32" s="11" t="str">
        <f>IFERROR(__xludf.DUMMYFUNCTION("""COMPUTED_VALUE"""),"Product Page")</f>
        <v>Product Page</v>
      </c>
      <c r="G32" s="11" t="b">
        <f>IFERROR(__xludf.DUMMYFUNCTION("""COMPUTED_VALUE"""),FALSE)</f>
        <v>0</v>
      </c>
      <c r="H32" s="11" t="str">
        <f>IFERROR(__xludf.DUMMYFUNCTION("""COMPUTED_VALUE"""),"e-dialog, Measured")</f>
        <v>e-dialog, Measured</v>
      </c>
      <c r="I32" s="11">
        <f>IFERROR(__xludf.DUMMYFUNCTION("""COMPUTED_VALUE"""),5.0)</f>
        <v>5</v>
      </c>
      <c r="J32" s="11">
        <f>IFERROR(__xludf.DUMMYFUNCTION("""COMPUTED_VALUE"""),0.01)</f>
        <v>0.01</v>
      </c>
      <c r="K32" s="11">
        <f>IFERROR(__xludf.DUMMYFUNCTION("""COMPUTED_VALUE"""),0.6)</f>
        <v>0.6</v>
      </c>
    </row>
    <row r="33" ht="15.75" customHeight="1">
      <c r="A33" s="8" t="str">
        <f>IFERROR(__xludf.DUMMYFUNCTION("""COMPUTED_VALUE"""),"https://e-dialog.group/google-sales-partner/google-marketing-platform/")</f>
        <v>https://e-dialog.group/google-sales-partner/google-marketing-platform/</v>
      </c>
      <c r="B33" s="11" t="str">
        <f>IFERROR(__xludf.DUMMYFUNCTION("""COMPUTED_VALUE"""),"Google Marketing Platform Lizenzen \| e-dialog")</f>
        <v>Google Marketing Platform Lizenzen \| e-dialog</v>
      </c>
      <c r="C33" s="11" t="str">
        <f>IFERROR(__xludf.DUMMYFUNCTION("""COMPUTED_VALUE"""),"e-dialog.group")</f>
        <v>e-dialog.group</v>
      </c>
      <c r="D33" s="11" t="str">
        <f>IFERROR(__xludf.DUMMYFUNCTION("""COMPUTED_VALUE"""),"PRODUCT_PAGE")</f>
        <v>PRODUCT_PAGE</v>
      </c>
      <c r="E33" s="11" t="str">
        <f>IFERROR(__xludf.DUMMYFUNCTION("""COMPUTED_VALUE"""),"CORPORATE")</f>
        <v>CORPORATE</v>
      </c>
      <c r="F33" s="11" t="str">
        <f>IFERROR(__xludf.DUMMYFUNCTION("""COMPUTED_VALUE"""),"Product Page")</f>
        <v>Product Page</v>
      </c>
      <c r="G33" s="11" t="b">
        <f>IFERROR(__xludf.DUMMYFUNCTION("""COMPUTED_VALUE"""),FALSE)</f>
        <v>0</v>
      </c>
      <c r="H33" s="11" t="str">
        <f>IFERROR(__xludf.DUMMYFUNCTION("""COMPUTED_VALUE"""),"e-dialog")</f>
        <v>e-dialog</v>
      </c>
      <c r="I33" s="11">
        <f>IFERROR(__xludf.DUMMYFUNCTION("""COMPUTED_VALUE"""),5.0)</f>
        <v>5</v>
      </c>
      <c r="J33" s="11">
        <f>IFERROR(__xludf.DUMMYFUNCTION("""COMPUTED_VALUE"""),0.01)</f>
        <v>0.01</v>
      </c>
      <c r="K33" s="11">
        <f>IFERROR(__xludf.DUMMYFUNCTION("""COMPUTED_VALUE"""),0.8)</f>
        <v>0.8</v>
      </c>
    </row>
    <row r="34" ht="15.75" customHeight="1">
      <c r="A34" s="8" t="str">
        <f>IFERROR(__xludf.DUMMYFUNCTION("""COMPUTED_VALUE"""),"https://liftlab.com/solutions/incrementality-testing/")</f>
        <v>https://liftlab.com/solutions/incrementality-testing/</v>
      </c>
      <c r="B34" s="11" t="str">
        <f>IFERROR(__xludf.DUMMYFUNCTION("""COMPUTED_VALUE"""),"Incrementality Testing &amp;amp; MMM Calibration | LiftLab")</f>
        <v>Incrementality Testing &amp;amp; MMM Calibration | LiftLab</v>
      </c>
      <c r="C34" s="8" t="str">
        <f>IFERROR(__xludf.DUMMYFUNCTION("""COMPUTED_VALUE"""),"liftlab.com")</f>
        <v>liftlab.com</v>
      </c>
      <c r="D34" s="11" t="str">
        <f>IFERROR(__xludf.DUMMYFUNCTION("""COMPUTED_VALUE"""),"PRODUCT_PAGE")</f>
        <v>PRODUCT_PAGE</v>
      </c>
      <c r="E34" s="11" t="str">
        <f>IFERROR(__xludf.DUMMYFUNCTION("""COMPUTED_VALUE"""),"CORPORATE")</f>
        <v>CORPORATE</v>
      </c>
      <c r="F34" s="11" t="str">
        <f>IFERROR(__xludf.DUMMYFUNCTION("""COMPUTED_VALUE"""),"Product Page")</f>
        <v>Product Page</v>
      </c>
      <c r="G34" s="11" t="b">
        <f>IFERROR(__xludf.DUMMYFUNCTION("""COMPUTED_VALUE"""),FALSE)</f>
        <v>0</v>
      </c>
      <c r="H34" s="11"/>
      <c r="I34" s="11">
        <f>IFERROR(__xludf.DUMMYFUNCTION("""COMPUTED_VALUE"""),5.0)</f>
        <v>5</v>
      </c>
      <c r="J34" s="11">
        <f>IFERROR(__xludf.DUMMYFUNCTION("""COMPUTED_VALUE"""),0.01)</f>
        <v>0.01</v>
      </c>
      <c r="K34" s="11">
        <f>IFERROR(__xludf.DUMMYFUNCTION("""COMPUTED_VALUE"""),1.6)</f>
        <v>1.6</v>
      </c>
    </row>
    <row r="35" ht="15.75" customHeight="1">
      <c r="A35" s="8" t="str">
        <f>IFERROR(__xludf.DUMMYFUNCTION("""COMPUTED_VALUE"""),"https://www.archibo.de/ai-transformation")</f>
        <v>https://www.archibo.de/ai-transformation</v>
      </c>
      <c r="B35" s="11"/>
      <c r="C35" s="8" t="str">
        <f>IFERROR(__xludf.DUMMYFUNCTION("""COMPUTED_VALUE"""),"archibo.de")</f>
        <v>archibo.de</v>
      </c>
      <c r="D35" s="11" t="str">
        <f>IFERROR(__xludf.DUMMYFUNCTION("""COMPUTED_VALUE"""),"PRODUCT_PAGE")</f>
        <v>PRODUCT_PAGE</v>
      </c>
      <c r="E35" s="11" t="str">
        <f>IFERROR(__xludf.DUMMYFUNCTION("""COMPUTED_VALUE"""),"CORPORATE")</f>
        <v>CORPORATE</v>
      </c>
      <c r="F35" s="11" t="str">
        <f>IFERROR(__xludf.DUMMYFUNCTION("""COMPUTED_VALUE"""),"Product Page")</f>
        <v>Product Page</v>
      </c>
      <c r="G35" s="11" t="b">
        <f>IFERROR(__xludf.DUMMYFUNCTION("""COMPUTED_VALUE"""),FALSE)</f>
        <v>0</v>
      </c>
      <c r="H35" s="11"/>
      <c r="I35" s="11">
        <f>IFERROR(__xludf.DUMMYFUNCTION("""COMPUTED_VALUE"""),4.0)</f>
        <v>4</v>
      </c>
      <c r="J35" s="11">
        <f>IFERROR(__xludf.DUMMYFUNCTION("""COMPUTED_VALUE"""),0.0)</f>
        <v>0</v>
      </c>
      <c r="K35" s="11">
        <f>IFERROR(__xludf.DUMMYFUNCTION("""COMPUTED_VALUE"""),0.0)</f>
        <v>0</v>
      </c>
    </row>
    <row r="36" ht="15.75" customHeight="1">
      <c r="A36" s="8" t="str">
        <f>IFERROR(__xludf.DUMMYFUNCTION("""COMPUTED_VALUE"""),"https://barefoot-performance.com/locations/berlin/performance-marketing")</f>
        <v>https://barefoot-performance.com/locations/berlin/performance-marketing</v>
      </c>
      <c r="B36" s="11" t="str">
        <f>IFERROR(__xludf.DUMMYFUNCTION("""COMPUTED_VALUE"""),"Performance Marketing Agency Berlin | PPC | Barefoot")</f>
        <v>Performance Marketing Agency Berlin | PPC | Barefoot</v>
      </c>
      <c r="C36" s="8" t="str">
        <f>IFERROR(__xludf.DUMMYFUNCTION("""COMPUTED_VALUE"""),"barefoot-performance.com")</f>
        <v>barefoot-performance.com</v>
      </c>
      <c r="D36" s="11" t="str">
        <f>IFERROR(__xludf.DUMMYFUNCTION("""COMPUTED_VALUE"""),"PRODUCT_PAGE")</f>
        <v>PRODUCT_PAGE</v>
      </c>
      <c r="E36" s="11" t="str">
        <f>IFERROR(__xludf.DUMMYFUNCTION("""COMPUTED_VALUE"""),"CORPORATE")</f>
        <v>CORPORATE</v>
      </c>
      <c r="F36" s="11" t="str">
        <f>IFERROR(__xludf.DUMMYFUNCTION("""COMPUTED_VALUE"""),"Product Page")</f>
        <v>Product Page</v>
      </c>
      <c r="G36" s="11" t="b">
        <f>IFERROR(__xludf.DUMMYFUNCTION("""COMPUTED_VALUE"""),FALSE)</f>
        <v>0</v>
      </c>
      <c r="H36" s="11"/>
      <c r="I36" s="11">
        <f>IFERROR(__xludf.DUMMYFUNCTION("""COMPUTED_VALUE"""),4.0)</f>
        <v>4</v>
      </c>
      <c r="J36" s="11">
        <f>IFERROR(__xludf.DUMMYFUNCTION("""COMPUTED_VALUE"""),0.0)</f>
        <v>0</v>
      </c>
      <c r="K36" s="11">
        <f>IFERROR(__xludf.DUMMYFUNCTION("""COMPUTED_VALUE"""),1.75)</f>
        <v>1.75</v>
      </c>
    </row>
    <row r="37" ht="15.75" customHeight="1">
      <c r="A37" s="8" t="str">
        <f>IFERROR(__xludf.DUMMYFUNCTION("""COMPUTED_VALUE"""),"https://business.google.com/de/support/become-a-partner/")</f>
        <v>https://business.google.com/de/support/become-a-partner/</v>
      </c>
      <c r="B37" s="11" t="str">
        <f>IFERROR(__xludf.DUMMYFUNCTION("""COMPUTED_VALUE"""),"Google Partners-Programm: Partnerunternehmen werden – Google Ads")</f>
        <v>Google Partners-Programm: Partnerunternehmen werden – Google Ads</v>
      </c>
      <c r="C37" s="8" t="str">
        <f>IFERROR(__xludf.DUMMYFUNCTION("""COMPUTED_VALUE"""),"google.com")</f>
        <v>google.com</v>
      </c>
      <c r="D37" s="11" t="str">
        <f>IFERROR(__xludf.DUMMYFUNCTION("""COMPUTED_VALUE"""),"PRODUCT_PAGE")</f>
        <v>PRODUCT_PAGE</v>
      </c>
      <c r="E37" s="11" t="str">
        <f>IFERROR(__xludf.DUMMYFUNCTION("""COMPUTED_VALUE"""),"OTHER")</f>
        <v>OTHER</v>
      </c>
      <c r="F37" s="11" t="str">
        <f>IFERROR(__xludf.DUMMYFUNCTION("""COMPUTED_VALUE"""),"Product Page")</f>
        <v>Product Page</v>
      </c>
      <c r="G37" s="11" t="b">
        <f>IFERROR(__xludf.DUMMYFUNCTION("""COMPUTED_VALUE"""),FALSE)</f>
        <v>0</v>
      </c>
      <c r="H37" s="11" t="str">
        <f>IFERROR(__xludf.DUMMYFUNCTION("""COMPUTED_VALUE"""),"New Engen, Merkle")</f>
        <v>New Engen, Merkle</v>
      </c>
      <c r="I37" s="11">
        <f>IFERROR(__xludf.DUMMYFUNCTION("""COMPUTED_VALUE"""),4.0)</f>
        <v>4</v>
      </c>
      <c r="J37" s="11">
        <f>IFERROR(__xludf.DUMMYFUNCTION("""COMPUTED_VALUE"""),0.0)</f>
        <v>0</v>
      </c>
      <c r="K37" s="11">
        <f>IFERROR(__xludf.DUMMYFUNCTION("""COMPUTED_VALUE"""),0.0)</f>
        <v>0</v>
      </c>
    </row>
    <row r="38" ht="15.75" customHeight="1">
      <c r="A38" s="8" t="str">
        <f>IFERROR(__xludf.DUMMYFUNCTION("""COMPUTED_VALUE"""),"https://business.google.com/en-all/support/become-a-partner/")</f>
        <v>https://business.google.com/en-all/support/become-a-partner/</v>
      </c>
      <c r="B38" s="11" t="str">
        <f>IFERROR(__xludf.DUMMYFUNCTION("""COMPUTED_VALUE"""),"Google Partners Programme: Become a Partner – Google Ads")</f>
        <v>Google Partners Programme: Become a Partner – Google Ads</v>
      </c>
      <c r="C38" s="8" t="str">
        <f>IFERROR(__xludf.DUMMYFUNCTION("""COMPUTED_VALUE"""),"google.com")</f>
        <v>google.com</v>
      </c>
      <c r="D38" s="11" t="str">
        <f>IFERROR(__xludf.DUMMYFUNCTION("""COMPUTED_VALUE"""),"PRODUCT_PAGE")</f>
        <v>PRODUCT_PAGE</v>
      </c>
      <c r="E38" s="11" t="str">
        <f>IFERROR(__xludf.DUMMYFUNCTION("""COMPUTED_VALUE"""),"OTHER")</f>
        <v>OTHER</v>
      </c>
      <c r="F38" s="11" t="str">
        <f>IFERROR(__xludf.DUMMYFUNCTION("""COMPUTED_VALUE"""),"Product Page")</f>
        <v>Product Page</v>
      </c>
      <c r="G38" s="11" t="b">
        <f>IFERROR(__xludf.DUMMYFUNCTION("""COMPUTED_VALUE"""),FALSE)</f>
        <v>0</v>
      </c>
      <c r="H38" s="11" t="str">
        <f>IFERROR(__xludf.DUMMYFUNCTION("""COMPUTED_VALUE"""),"New Engen, Merkle")</f>
        <v>New Engen, Merkle</v>
      </c>
      <c r="I38" s="11">
        <f>IFERROR(__xludf.DUMMYFUNCTION("""COMPUTED_VALUE"""),4.0)</f>
        <v>4</v>
      </c>
      <c r="J38" s="11">
        <f>IFERROR(__xludf.DUMMYFUNCTION("""COMPUTED_VALUE"""),0.0)</f>
        <v>0</v>
      </c>
      <c r="K38" s="11">
        <f>IFERROR(__xludf.DUMMYFUNCTION("""COMPUTED_VALUE"""),1.0)</f>
        <v>1</v>
      </c>
    </row>
    <row r="39" ht="15.75" customHeight="1">
      <c r="A39" s="8" t="str">
        <f>IFERROR(__xludf.DUMMYFUNCTION("""COMPUTED_VALUE"""),"https://www.decisionfoundry.com/marketing-measurement-analytics-services/")</f>
        <v>https://www.decisionfoundry.com/marketing-measurement-analytics-services/</v>
      </c>
      <c r="B39" s="11" t="str">
        <f>IFERROR(__xludf.DUMMYFUNCTION("""COMPUTED_VALUE"""),"Marketing Measurement Analytics Services")</f>
        <v>Marketing Measurement Analytics Services</v>
      </c>
      <c r="C39" s="8" t="str">
        <f>IFERROR(__xludf.DUMMYFUNCTION("""COMPUTED_VALUE"""),"decisionfoundry.com")</f>
        <v>decisionfoundry.com</v>
      </c>
      <c r="D39" s="11" t="str">
        <f>IFERROR(__xludf.DUMMYFUNCTION("""COMPUTED_VALUE"""),"PRODUCT_PAGE")</f>
        <v>PRODUCT_PAGE</v>
      </c>
      <c r="E39" s="11" t="str">
        <f>IFERROR(__xludf.DUMMYFUNCTION("""COMPUTED_VALUE"""),"CORPORATE")</f>
        <v>CORPORATE</v>
      </c>
      <c r="F39" s="11" t="str">
        <f>IFERROR(__xludf.DUMMYFUNCTION("""COMPUTED_VALUE"""),"Product Page")</f>
        <v>Product Page</v>
      </c>
      <c r="G39" s="11" t="b">
        <f>IFERROR(__xludf.DUMMYFUNCTION("""COMPUTED_VALUE"""),FALSE)</f>
        <v>0</v>
      </c>
      <c r="H39" s="11"/>
      <c r="I39" s="11">
        <f>IFERROR(__xludf.DUMMYFUNCTION("""COMPUTED_VALUE"""),4.0)</f>
        <v>4</v>
      </c>
      <c r="J39" s="11">
        <f>IFERROR(__xludf.DUMMYFUNCTION("""COMPUTED_VALUE"""),0.0)</f>
        <v>0</v>
      </c>
      <c r="K39" s="11">
        <f>IFERROR(__xludf.DUMMYFUNCTION("""COMPUTED_VALUE"""),0.0)</f>
        <v>0</v>
      </c>
    </row>
    <row r="40" ht="15.75" customHeight="1">
      <c r="A40" s="8" t="str">
        <f>IFERROR(__xludf.DUMMYFUNCTION("""COMPUTED_VALUE"""),"https://fusepointinsights.com/service/incrementality-experiments/")</f>
        <v>https://fusepointinsights.com/service/incrementality-experiments/</v>
      </c>
      <c r="B40" s="11" t="str">
        <f>IFERROR(__xludf.DUMMYFUNCTION("""COMPUTED_VALUE"""),"Incrementality Experiments for Marketing Measurement | fusepoint")</f>
        <v>Incrementality Experiments for Marketing Measurement | fusepoint</v>
      </c>
      <c r="C40" s="8" t="str">
        <f>IFERROR(__xludf.DUMMYFUNCTION("""COMPUTED_VALUE"""),"fusepointinsights.com")</f>
        <v>fusepointinsights.com</v>
      </c>
      <c r="D40" s="11" t="str">
        <f>IFERROR(__xludf.DUMMYFUNCTION("""COMPUTED_VALUE"""),"PRODUCT_PAGE")</f>
        <v>PRODUCT_PAGE</v>
      </c>
      <c r="E40" s="11" t="str">
        <f>IFERROR(__xludf.DUMMYFUNCTION("""COMPUTED_VALUE"""),"CORPORATE")</f>
        <v>CORPORATE</v>
      </c>
      <c r="F40" s="11" t="str">
        <f>IFERROR(__xludf.DUMMYFUNCTION("""COMPUTED_VALUE"""),"Product Page")</f>
        <v>Product Page</v>
      </c>
      <c r="G40" s="11" t="b">
        <f>IFERROR(__xludf.DUMMYFUNCTION("""COMPUTED_VALUE"""),FALSE)</f>
        <v>0</v>
      </c>
      <c r="H40" s="11" t="str">
        <f>IFERROR(__xludf.DUMMYFUNCTION("""COMPUTED_VALUE"""),"Power Digital")</f>
        <v>Power Digital</v>
      </c>
      <c r="I40" s="11">
        <f>IFERROR(__xludf.DUMMYFUNCTION("""COMPUTED_VALUE"""),4.0)</f>
        <v>4</v>
      </c>
      <c r="J40" s="11">
        <f>IFERROR(__xludf.DUMMYFUNCTION("""COMPUTED_VALUE"""),0.0)</f>
        <v>0</v>
      </c>
      <c r="K40" s="11">
        <f>IFERROR(__xludf.DUMMYFUNCTION("""COMPUTED_VALUE"""),1.25)</f>
        <v>1.25</v>
      </c>
    </row>
    <row r="41" ht="15.75" customHeight="1">
      <c r="A41" s="8" t="str">
        <f>IFERROR(__xludf.DUMMYFUNCTION("""COMPUTED_VALUE"""),"https://www.hopmann.com/en/marketing-analytics/marketing-science/mmm/")</f>
        <v>https://www.hopmann.com/en/marketing-analytics/marketing-science/mmm/</v>
      </c>
      <c r="B41" s="11" t="str">
        <f>IFERROR(__xludf.DUMMYFUNCTION("""COMPUTED_VALUE"""),"Professional Marketing Mix Modeling (MMM) - Hopmann Marketing Analytics")</f>
        <v>Professional Marketing Mix Modeling (MMM) - Hopmann Marketing Analytics</v>
      </c>
      <c r="C41" s="8" t="str">
        <f>IFERROR(__xludf.DUMMYFUNCTION("""COMPUTED_VALUE"""),"hopmann.com")</f>
        <v>hopmann.com</v>
      </c>
      <c r="D41" s="11" t="str">
        <f>IFERROR(__xludf.DUMMYFUNCTION("""COMPUTED_VALUE"""),"PRODUCT_PAGE")</f>
        <v>PRODUCT_PAGE</v>
      </c>
      <c r="E41" s="11" t="str">
        <f>IFERROR(__xludf.DUMMYFUNCTION("""COMPUTED_VALUE"""),"COMPETITOR")</f>
        <v>COMPETITOR</v>
      </c>
      <c r="F41" s="11" t="str">
        <f>IFERROR(__xludf.DUMMYFUNCTION("""COMPUTED_VALUE"""),"Product Page")</f>
        <v>Product Page</v>
      </c>
      <c r="G41" s="11" t="b">
        <f>IFERROR(__xludf.DUMMYFUNCTION("""COMPUTED_VALUE"""),FALSE)</f>
        <v>0</v>
      </c>
      <c r="H41" s="11" t="str">
        <f>IFERROR(__xludf.DUMMYFUNCTION("""COMPUTED_VALUE"""),"Pilot, Hopmann Marketing Analytics GmbH")</f>
        <v>Pilot, Hopmann Marketing Analytics GmbH</v>
      </c>
      <c r="I41" s="11">
        <f>IFERROR(__xludf.DUMMYFUNCTION("""COMPUTED_VALUE"""),4.0)</f>
        <v>4</v>
      </c>
      <c r="J41" s="11">
        <f>IFERROR(__xludf.DUMMYFUNCTION("""COMPUTED_VALUE"""),0.0)</f>
        <v>0</v>
      </c>
      <c r="K41" s="11">
        <f>IFERROR(__xludf.DUMMYFUNCTION("""COMPUTED_VALUE"""),1.0)</f>
        <v>1</v>
      </c>
    </row>
    <row r="42" ht="15.75" customHeight="1">
      <c r="A42" s="8" t="str">
        <f>IFERROR(__xludf.DUMMYFUNCTION("""COMPUTED_VALUE"""),"https://www.monks.com/google-partnership#:~:text=Our%20partnership%20with%20Google%20extends,in%20media%20and%20data%20analysis.")</f>
        <v>https://www.monks.com/google-partnership#:~:text=Our%20partnership%20with%20Google%20extends,in%20media%20and%20data%20analysis.</v>
      </c>
      <c r="B42" s="11" t="str">
        <f>IFERROR(__xludf.DUMMYFUNCTION("""COMPUTED_VALUE"""),"Google-Certified Partner Agency | GMP, Google Cloud, and Media")</f>
        <v>Google-Certified Partner Agency | GMP, Google Cloud, and Media</v>
      </c>
      <c r="C42" s="8" t="str">
        <f>IFERROR(__xludf.DUMMYFUNCTION("""COMPUTED_VALUE"""),"monks.com")</f>
        <v>monks.com</v>
      </c>
      <c r="D42" s="11" t="str">
        <f>IFERROR(__xludf.DUMMYFUNCTION("""COMPUTED_VALUE"""),"PRODUCT_PAGE")</f>
        <v>PRODUCT_PAGE</v>
      </c>
      <c r="E42" s="11" t="str">
        <f>IFERROR(__xludf.DUMMYFUNCTION("""COMPUTED_VALUE"""),"COMPETITOR")</f>
        <v>COMPETITOR</v>
      </c>
      <c r="F42" s="11" t="str">
        <f>IFERROR(__xludf.DUMMYFUNCTION("""COMPUTED_VALUE"""),"Product Page")</f>
        <v>Product Page</v>
      </c>
      <c r="G42" s="11" t="b">
        <f>IFERROR(__xludf.DUMMYFUNCTION("""COMPUTED_VALUE"""),FALSE)</f>
        <v>0</v>
      </c>
      <c r="H42" s="11" t="str">
        <f>IFERROR(__xludf.DUMMYFUNCTION("""COMPUTED_VALUE"""),"Monks")</f>
        <v>Monks</v>
      </c>
      <c r="I42" s="11">
        <f>IFERROR(__xludf.DUMMYFUNCTION("""COMPUTED_VALUE"""),4.0)</f>
        <v>4</v>
      </c>
      <c r="J42" s="11">
        <f>IFERROR(__xludf.DUMMYFUNCTION("""COMPUTED_VALUE"""),0.0)</f>
        <v>0</v>
      </c>
      <c r="K42" s="11">
        <f>IFERROR(__xludf.DUMMYFUNCTION("""COMPUTED_VALUE"""),0.75)</f>
        <v>0.75</v>
      </c>
    </row>
    <row r="43" ht="15.75" customHeight="1">
      <c r="A43" s="8" t="str">
        <f>IFERROR(__xludf.DUMMYFUNCTION("""COMPUTED_VALUE"""),"https://aeoagencyservices.com/aeo-agency-europe")</f>
        <v>https://aeoagencyservices.com/aeo-agency-europe</v>
      </c>
      <c r="B43" s="11" t="str">
        <f>IFERROR(__xludf.DUMMYFUNCTION("""COMPUTED_VALUE"""),"Best AEO Agency Europe | Leading Answer Engine Optimization Services")</f>
        <v>Best AEO Agency Europe | Leading Answer Engine Optimization Services</v>
      </c>
      <c r="C43" s="8" t="str">
        <f>IFERROR(__xludf.DUMMYFUNCTION("""COMPUTED_VALUE"""),"aeoagencyservices.com")</f>
        <v>aeoagencyservices.com</v>
      </c>
      <c r="D43" s="11" t="str">
        <f>IFERROR(__xludf.DUMMYFUNCTION("""COMPUTED_VALUE"""),"PRODUCT_PAGE")</f>
        <v>PRODUCT_PAGE</v>
      </c>
      <c r="E43" s="11" t="str">
        <f>IFERROR(__xludf.DUMMYFUNCTION("""COMPUTED_VALUE"""),"CORPORATE")</f>
        <v>CORPORATE</v>
      </c>
      <c r="F43" s="11" t="str">
        <f>IFERROR(__xludf.DUMMYFUNCTION("""COMPUTED_VALUE"""),"Product Page")</f>
        <v>Product Page</v>
      </c>
      <c r="G43" s="11" t="b">
        <f>IFERROR(__xludf.DUMMYFUNCTION("""COMPUTED_VALUE"""),FALSE)</f>
        <v>0</v>
      </c>
      <c r="H43" s="11"/>
      <c r="I43" s="11">
        <f>IFERROR(__xludf.DUMMYFUNCTION("""COMPUTED_VALUE"""),3.0)</f>
        <v>3</v>
      </c>
      <c r="J43" s="11">
        <f>IFERROR(__xludf.DUMMYFUNCTION("""COMPUTED_VALUE"""),0.0)</f>
        <v>0</v>
      </c>
      <c r="K43" s="11">
        <f>IFERROR(__xludf.DUMMYFUNCTION("""COMPUTED_VALUE"""),0.0)</f>
        <v>0</v>
      </c>
    </row>
    <row r="44" ht="15.75" customHeight="1">
      <c r="A44" s="8" t="str">
        <f>IFERROR(__xludf.DUMMYFUNCTION("""COMPUTED_VALUE"""),"https://www.beyond-media.de/agentur/google-premier-partner/")</f>
        <v>https://www.beyond-media.de/agentur/google-premier-partner/</v>
      </c>
      <c r="B44" s="11" t="str">
        <f>IFERROR(__xludf.DUMMYFUNCTION("""COMPUTED_VALUE"""),"Google Premier Partner Agentur ★ Top 3% weltweit | Beyond Media")</f>
        <v>Google Premier Partner Agentur ★ Top 3% weltweit | Beyond Media</v>
      </c>
      <c r="C44" s="8" t="str">
        <f>IFERROR(__xludf.DUMMYFUNCTION("""COMPUTED_VALUE"""),"beyond-media.de")</f>
        <v>beyond-media.de</v>
      </c>
      <c r="D44" s="11" t="str">
        <f>IFERROR(__xludf.DUMMYFUNCTION("""COMPUTED_VALUE"""),"PRODUCT_PAGE")</f>
        <v>PRODUCT_PAGE</v>
      </c>
      <c r="E44" s="11" t="str">
        <f>IFERROR(__xludf.DUMMYFUNCTION("""COMPUTED_VALUE"""),"OTHER")</f>
        <v>OTHER</v>
      </c>
      <c r="F44" s="11" t="str">
        <f>IFERROR(__xludf.DUMMYFUNCTION("""COMPUTED_VALUE"""),"Product Page")</f>
        <v>Product Page</v>
      </c>
      <c r="G44" s="11" t="b">
        <f>IFERROR(__xludf.DUMMYFUNCTION("""COMPUTED_VALUE"""),FALSE)</f>
        <v>0</v>
      </c>
      <c r="H44" s="11"/>
      <c r="I44" s="11">
        <f>IFERROR(__xludf.DUMMYFUNCTION("""COMPUTED_VALUE"""),3.0)</f>
        <v>3</v>
      </c>
      <c r="J44" s="11">
        <f>IFERROR(__xludf.DUMMYFUNCTION("""COMPUTED_VALUE"""),0.0)</f>
        <v>0</v>
      </c>
      <c r="K44" s="11">
        <f>IFERROR(__xludf.DUMMYFUNCTION("""COMPUTED_VALUE"""),2.33)</f>
        <v>2.33</v>
      </c>
    </row>
    <row r="45" ht="15.75" customHeight="1">
      <c r="A45" s="8" t="str">
        <f>IFERROR(__xludf.DUMMYFUNCTION("""COMPUTED_VALUE"""),"https://dripagency.de/markets/germany")</f>
        <v>https://dripagency.de/markets/germany</v>
      </c>
      <c r="B45" s="11" t="str">
        <f>IFERROR(__xludf.DUMMYFUNCTION("""COMPUTED_VALUE"""),"CRO &amp;amp; A/B Testing Agency for German E-Commerce | DRIP Agency")</f>
        <v>CRO &amp;amp; A/B Testing Agency for German E-Commerce | DRIP Agency</v>
      </c>
      <c r="C45" s="8" t="str">
        <f>IFERROR(__xludf.DUMMYFUNCTION("""COMPUTED_VALUE"""),"dripagency.de")</f>
        <v>dripagency.de</v>
      </c>
      <c r="D45" s="11" t="str">
        <f>IFERROR(__xludf.DUMMYFUNCTION("""COMPUTED_VALUE"""),"PRODUCT_PAGE")</f>
        <v>PRODUCT_PAGE</v>
      </c>
      <c r="E45" s="11" t="str">
        <f>IFERROR(__xludf.DUMMYFUNCTION("""COMPUTED_VALUE"""),"CORPORATE")</f>
        <v>CORPORATE</v>
      </c>
      <c r="F45" s="11" t="str">
        <f>IFERROR(__xludf.DUMMYFUNCTION("""COMPUTED_VALUE"""),"Product Page")</f>
        <v>Product Page</v>
      </c>
      <c r="G45" s="11" t="b">
        <f>IFERROR(__xludf.DUMMYFUNCTION("""COMPUTED_VALUE"""),FALSE)</f>
        <v>0</v>
      </c>
      <c r="H45" s="11" t="str">
        <f>IFERROR(__xludf.DUMMYFUNCTION("""COMPUTED_VALUE"""),"Measured")</f>
        <v>Measured</v>
      </c>
      <c r="I45" s="11">
        <f>IFERROR(__xludf.DUMMYFUNCTION("""COMPUTED_VALUE"""),3.0)</f>
        <v>3</v>
      </c>
      <c r="J45" s="11">
        <f>IFERROR(__xludf.DUMMYFUNCTION("""COMPUTED_VALUE"""),0.0)</f>
        <v>0</v>
      </c>
      <c r="K45" s="11">
        <f>IFERROR(__xludf.DUMMYFUNCTION("""COMPUTED_VALUE"""),3.0)</f>
        <v>3</v>
      </c>
    </row>
    <row r="46" ht="15.75" customHeight="1">
      <c r="A46" s="8" t="str">
        <f>IFERROR(__xludf.DUMMYFUNCTION("""COMPUTED_VALUE"""),"https://e-dialog.group/en/google-sales-partner/campaign-manager-360/")</f>
        <v>https://e-dialog.group/en/google-sales-partner/campaign-manager-360/</v>
      </c>
      <c r="B46" s="11" t="str">
        <f>IFERROR(__xludf.DUMMYFUNCTION("""COMPUTED_VALUE"""),"Campaign Manager 360: Tracking &amp;amp; Reporting | e-dialog")</f>
        <v>Campaign Manager 360: Tracking &amp;amp; Reporting | e-dialog</v>
      </c>
      <c r="C46" s="11" t="str">
        <f>IFERROR(__xludf.DUMMYFUNCTION("""COMPUTED_VALUE"""),"e-dialog.group")</f>
        <v>e-dialog.group</v>
      </c>
      <c r="D46" s="11" t="str">
        <f>IFERROR(__xludf.DUMMYFUNCTION("""COMPUTED_VALUE"""),"PRODUCT_PAGE")</f>
        <v>PRODUCT_PAGE</v>
      </c>
      <c r="E46" s="11" t="str">
        <f>IFERROR(__xludf.DUMMYFUNCTION("""COMPUTED_VALUE"""),"CORPORATE")</f>
        <v>CORPORATE</v>
      </c>
      <c r="F46" s="11" t="str">
        <f>IFERROR(__xludf.DUMMYFUNCTION("""COMPUTED_VALUE"""),"Product Page")</f>
        <v>Product Page</v>
      </c>
      <c r="G46" s="11" t="b">
        <f>IFERROR(__xludf.DUMMYFUNCTION("""COMPUTED_VALUE"""),FALSE)</f>
        <v>0</v>
      </c>
      <c r="H46" s="11" t="str">
        <f>IFERROR(__xludf.DUMMYFUNCTION("""COMPUTED_VALUE"""),"e-dialog")</f>
        <v>e-dialog</v>
      </c>
      <c r="I46" s="11">
        <f>IFERROR(__xludf.DUMMYFUNCTION("""COMPUTED_VALUE"""),3.0)</f>
        <v>3</v>
      </c>
      <c r="J46" s="11">
        <f>IFERROR(__xludf.DUMMYFUNCTION("""COMPUTED_VALUE"""),0.0)</f>
        <v>0</v>
      </c>
      <c r="K46" s="11">
        <f>IFERROR(__xludf.DUMMYFUNCTION("""COMPUTED_VALUE"""),1.67)</f>
        <v>1.67</v>
      </c>
    </row>
    <row r="47" ht="15.75" customHeight="1">
      <c r="A47" s="8" t="str">
        <f>IFERROR(__xludf.DUMMYFUNCTION("""COMPUTED_VALUE"""),"https://www.hopmann.com/de/marketing-analytics/marketing-science/mmm/")</f>
        <v>https://www.hopmann.com/de/marketing-analytics/marketing-science/mmm/</v>
      </c>
      <c r="B47" s="11" t="str">
        <f>IFERROR(__xludf.DUMMYFUNCTION("""COMPUTED_VALUE"""),"MMM: Präzise Marketing Mix Modelling Lösungen von Hopmann")</f>
        <v>MMM: Präzise Marketing Mix Modelling Lösungen von Hopmann</v>
      </c>
      <c r="C47" s="8" t="str">
        <f>IFERROR(__xludf.DUMMYFUNCTION("""COMPUTED_VALUE"""),"hopmann.com")</f>
        <v>hopmann.com</v>
      </c>
      <c r="D47" s="11" t="str">
        <f>IFERROR(__xludf.DUMMYFUNCTION("""COMPUTED_VALUE"""),"PRODUCT_PAGE")</f>
        <v>PRODUCT_PAGE</v>
      </c>
      <c r="E47" s="11" t="str">
        <f>IFERROR(__xludf.DUMMYFUNCTION("""COMPUTED_VALUE"""),"COMPETITOR")</f>
        <v>COMPETITOR</v>
      </c>
      <c r="F47" s="11" t="str">
        <f>IFERROR(__xludf.DUMMYFUNCTION("""COMPUTED_VALUE"""),"Product Page")</f>
        <v>Product Page</v>
      </c>
      <c r="G47" s="11" t="b">
        <f>IFERROR(__xludf.DUMMYFUNCTION("""COMPUTED_VALUE"""),FALSE)</f>
        <v>0</v>
      </c>
      <c r="H47" s="11" t="str">
        <f>IFERROR(__xludf.DUMMYFUNCTION("""COMPUTED_VALUE"""),"Pilot, Hopmann Marketing Analytics GmbH")</f>
        <v>Pilot, Hopmann Marketing Analytics GmbH</v>
      </c>
      <c r="I47" s="11">
        <f>IFERROR(__xludf.DUMMYFUNCTION("""COMPUTED_VALUE"""),3.0)</f>
        <v>3</v>
      </c>
      <c r="J47" s="11">
        <f>IFERROR(__xludf.DUMMYFUNCTION("""COMPUTED_VALUE"""),0.0)</f>
        <v>0</v>
      </c>
      <c r="K47" s="11">
        <f>IFERROR(__xludf.DUMMYFUNCTION("""COMPUTED_VALUE"""),0.67)</f>
        <v>0.67</v>
      </c>
    </row>
    <row r="48" ht="15.75" customHeight="1">
      <c r="A48" s="8" t="str">
        <f>IFERROR(__xludf.DUMMYFUNCTION("""COMPUTED_VALUE"""),"https://www.kiwop.com/de/marketing-attribution")</f>
        <v>https://www.kiwop.com/de/marketing-attribution</v>
      </c>
      <c r="B48" s="11" t="str">
        <f>IFERROR(__xludf.DUMMYFUNCTION("""COMPUTED_VALUE"""),"Marketing-Attribution &amp;amp; MMM | Echten ROI messen | Kiwop")</f>
        <v>Marketing-Attribution &amp;amp; MMM | Echten ROI messen | Kiwop</v>
      </c>
      <c r="C48" s="8" t="str">
        <f>IFERROR(__xludf.DUMMYFUNCTION("""COMPUTED_VALUE"""),"kiwop.com")</f>
        <v>kiwop.com</v>
      </c>
      <c r="D48" s="11" t="str">
        <f>IFERROR(__xludf.DUMMYFUNCTION("""COMPUTED_VALUE"""),"PRODUCT_PAGE")</f>
        <v>PRODUCT_PAGE</v>
      </c>
      <c r="E48" s="11" t="str">
        <f>IFERROR(__xludf.DUMMYFUNCTION("""COMPUTED_VALUE"""),"CORPORATE")</f>
        <v>CORPORATE</v>
      </c>
      <c r="F48" s="11" t="str">
        <f>IFERROR(__xludf.DUMMYFUNCTION("""COMPUTED_VALUE"""),"Product Page")</f>
        <v>Product Page</v>
      </c>
      <c r="G48" s="11" t="b">
        <f>IFERROR(__xludf.DUMMYFUNCTION("""COMPUTED_VALUE"""),FALSE)</f>
        <v>0</v>
      </c>
      <c r="H48" s="11" t="str">
        <f>IFERROR(__xludf.DUMMYFUNCTION("""COMPUTED_VALUE"""),"Rockerbox, Northbeam, LifeSight")</f>
        <v>Rockerbox, Northbeam, LifeSight</v>
      </c>
      <c r="I48" s="11">
        <f>IFERROR(__xludf.DUMMYFUNCTION("""COMPUTED_VALUE"""),3.0)</f>
        <v>3</v>
      </c>
      <c r="J48" s="11">
        <f>IFERROR(__xludf.DUMMYFUNCTION("""COMPUTED_VALUE"""),0.0)</f>
        <v>0</v>
      </c>
      <c r="K48" s="11">
        <f>IFERROR(__xludf.DUMMYFUNCTION("""COMPUTED_VALUE"""),0.67)</f>
        <v>0.67</v>
      </c>
    </row>
    <row r="49" ht="15.75" customHeight="1">
      <c r="A49" s="8" t="str">
        <f>IFERROR(__xludf.DUMMYFUNCTION("""COMPUTED_VALUE"""),"https://leapbuzz.com/services/performance-marketing/")</f>
        <v>https://leapbuzz.com/services/performance-marketing/</v>
      </c>
      <c r="B49" s="11" t="str">
        <f>IFERROR(__xludf.DUMMYFUNCTION("""COMPUTED_VALUE"""),"Performance marketing agency | leapbuzz")</f>
        <v>Performance marketing agency | leapbuzz</v>
      </c>
      <c r="C49" s="8" t="str">
        <f>IFERROR(__xludf.DUMMYFUNCTION("""COMPUTED_VALUE"""),"leapbuzz.com")</f>
        <v>leapbuzz.com</v>
      </c>
      <c r="D49" s="11" t="str">
        <f>IFERROR(__xludf.DUMMYFUNCTION("""COMPUTED_VALUE"""),"PRODUCT_PAGE")</f>
        <v>PRODUCT_PAGE</v>
      </c>
      <c r="E49" s="11" t="str">
        <f>IFERROR(__xludf.DUMMYFUNCTION("""COMPUTED_VALUE"""),"CORPORATE")</f>
        <v>CORPORATE</v>
      </c>
      <c r="F49" s="11" t="str">
        <f>IFERROR(__xludf.DUMMYFUNCTION("""COMPUTED_VALUE"""),"Product Page")</f>
        <v>Product Page</v>
      </c>
      <c r="G49" s="11" t="b">
        <f>IFERROR(__xludf.DUMMYFUNCTION("""COMPUTED_VALUE"""),FALSE)</f>
        <v>0</v>
      </c>
      <c r="H49" s="11"/>
      <c r="I49" s="11">
        <f>IFERROR(__xludf.DUMMYFUNCTION("""COMPUTED_VALUE"""),3.0)</f>
        <v>3</v>
      </c>
      <c r="J49" s="11">
        <f>IFERROR(__xludf.DUMMYFUNCTION("""COMPUTED_VALUE"""),0.0)</f>
        <v>0</v>
      </c>
      <c r="K49" s="11">
        <f>IFERROR(__xludf.DUMMYFUNCTION("""COMPUTED_VALUE"""),1.0)</f>
        <v>1</v>
      </c>
    </row>
    <row r="50" ht="15.75" customHeight="1">
      <c r="A50" s="8" t="str">
        <f>IFERROR(__xludf.DUMMYFUNCTION("""COMPUTED_VALUE"""),"https://www.maibornwolff.de/en/ai-readiness-check/")</f>
        <v>https://www.maibornwolff.de/en/ai-readiness-check/</v>
      </c>
      <c r="B50" s="11" t="str">
        <f>IFERROR(__xludf.DUMMYFUNCTION("""COMPUTED_VALUE"""),"AI Readiness Check - Is your company ready for AI?")</f>
        <v>AI Readiness Check - Is your company ready for AI?</v>
      </c>
      <c r="C50" s="8" t="str">
        <f>IFERROR(__xludf.DUMMYFUNCTION("""COMPUTED_VALUE"""),"maibornwolff.de")</f>
        <v>maibornwolff.de</v>
      </c>
      <c r="D50" s="11" t="str">
        <f>IFERROR(__xludf.DUMMYFUNCTION("""COMPUTED_VALUE"""),"PRODUCT_PAGE")</f>
        <v>PRODUCT_PAGE</v>
      </c>
      <c r="E50" s="11" t="str">
        <f>IFERROR(__xludf.DUMMYFUNCTION("""COMPUTED_VALUE"""),"COMPETITOR")</f>
        <v>COMPETITOR</v>
      </c>
      <c r="F50" s="11" t="str">
        <f>IFERROR(__xludf.DUMMYFUNCTION("""COMPUTED_VALUE"""),"Product Page")</f>
        <v>Product Page</v>
      </c>
      <c r="G50" s="11" t="b">
        <f>IFERROR(__xludf.DUMMYFUNCTION("""COMPUTED_VALUE"""),FALSE)</f>
        <v>0</v>
      </c>
      <c r="H50" s="11" t="str">
        <f>IFERROR(__xludf.DUMMYFUNCTION("""COMPUTED_VALUE"""),"MaibornWolff")</f>
        <v>MaibornWolff</v>
      </c>
      <c r="I50" s="11">
        <f>IFERROR(__xludf.DUMMYFUNCTION("""COMPUTED_VALUE"""),3.0)</f>
        <v>3</v>
      </c>
      <c r="J50" s="11">
        <f>IFERROR(__xludf.DUMMYFUNCTION("""COMPUTED_VALUE"""),0.0)</f>
        <v>0</v>
      </c>
      <c r="K50" s="11">
        <f>IFERROR(__xludf.DUMMYFUNCTION("""COMPUTED_VALUE"""),0.0)</f>
        <v>0</v>
      </c>
    </row>
    <row r="51" ht="15.75" customHeight="1">
      <c r="A51" s="8" t="str">
        <f>IFERROR(__xludf.DUMMYFUNCTION("""COMPUTED_VALUE"""),"https://www.mindmelt.de/en/ai-products/")</f>
        <v>https://www.mindmelt.de/en/ai-products/</v>
      </c>
      <c r="B51" s="11" t="str">
        <f>IFERROR(__xludf.DUMMYFUNCTION("""COMPUTED_VALUE"""),"AI Marketing Agency Frankfurt – Smarter Campaigns with AI | mindmelt")</f>
        <v>AI Marketing Agency Frankfurt – Smarter Campaigns with AI | mindmelt</v>
      </c>
      <c r="C51" s="8" t="str">
        <f>IFERROR(__xludf.DUMMYFUNCTION("""COMPUTED_VALUE"""),"mindmelt.de")</f>
        <v>mindmelt.de</v>
      </c>
      <c r="D51" s="11" t="str">
        <f>IFERROR(__xludf.DUMMYFUNCTION("""COMPUTED_VALUE"""),"PRODUCT_PAGE")</f>
        <v>PRODUCT_PAGE</v>
      </c>
      <c r="E51" s="11" t="str">
        <f>IFERROR(__xludf.DUMMYFUNCTION("""COMPUTED_VALUE"""),"CORPORATE")</f>
        <v>CORPORATE</v>
      </c>
      <c r="F51" s="11" t="str">
        <f>IFERROR(__xludf.DUMMYFUNCTION("""COMPUTED_VALUE"""),"Product Page")</f>
        <v>Product Page</v>
      </c>
      <c r="G51" s="11" t="b">
        <f>IFERROR(__xludf.DUMMYFUNCTION("""COMPUTED_VALUE"""),FALSE)</f>
        <v>0</v>
      </c>
      <c r="H51" s="11"/>
      <c r="I51" s="11">
        <f>IFERROR(__xludf.DUMMYFUNCTION("""COMPUTED_VALUE"""),3.0)</f>
        <v>3</v>
      </c>
      <c r="J51" s="11">
        <f>IFERROR(__xludf.DUMMYFUNCTION("""COMPUTED_VALUE"""),0.0)</f>
        <v>0</v>
      </c>
      <c r="K51" s="11">
        <f>IFERROR(__xludf.DUMMYFUNCTION("""COMPUTED_VALUE"""),1.0)</f>
        <v>1</v>
      </c>
    </row>
    <row r="52" ht="15.75" customHeight="1">
      <c r="A52" s="8" t="str">
        <f>IFERROR(__xludf.DUMMYFUNCTION("""COMPUTED_VALUE"""),"https://www.omnius.so/geo-agency")</f>
        <v>https://www.omnius.so/geo-agency</v>
      </c>
      <c r="B52" s="11" t="str">
        <f>IFERROR(__xludf.DUMMYFUNCTION("""COMPUTED_VALUE"""),"Generative Engine Optimization (GEO) Agency &amp;amp; Services")</f>
        <v>Generative Engine Optimization (GEO) Agency &amp;amp; Services</v>
      </c>
      <c r="C52" s="8" t="str">
        <f>IFERROR(__xludf.DUMMYFUNCTION("""COMPUTED_VALUE"""),"omnius.so")</f>
        <v>omnius.so</v>
      </c>
      <c r="D52" s="11" t="str">
        <f>IFERROR(__xludf.DUMMYFUNCTION("""COMPUTED_VALUE"""),"PRODUCT_PAGE")</f>
        <v>PRODUCT_PAGE</v>
      </c>
      <c r="E52" s="11" t="str">
        <f>IFERROR(__xludf.DUMMYFUNCTION("""COMPUTED_VALUE"""),"COMPETITOR")</f>
        <v>COMPETITOR</v>
      </c>
      <c r="F52" s="11" t="str">
        <f>IFERROR(__xludf.DUMMYFUNCTION("""COMPUTED_VALUE"""),"Product Page")</f>
        <v>Product Page</v>
      </c>
      <c r="G52" s="11" t="b">
        <f>IFERROR(__xludf.DUMMYFUNCTION("""COMPUTED_VALUE"""),FALSE)</f>
        <v>0</v>
      </c>
      <c r="H52" s="11" t="str">
        <f>IFERROR(__xludf.DUMMYFUNCTION("""COMPUTED_VALUE"""),"Omnius")</f>
        <v>Omnius</v>
      </c>
      <c r="I52" s="11">
        <f>IFERROR(__xludf.DUMMYFUNCTION("""COMPUTED_VALUE"""),3.0)</f>
        <v>3</v>
      </c>
      <c r="J52" s="11">
        <f>IFERROR(__xludf.DUMMYFUNCTION("""COMPUTED_VALUE"""),0.0)</f>
        <v>0</v>
      </c>
      <c r="K52" s="11">
        <f>IFERROR(__xludf.DUMMYFUNCTION("""COMPUTED_VALUE"""),1.0)</f>
        <v>1</v>
      </c>
    </row>
    <row r="53" ht="15.75" customHeight="1">
      <c r="A53" s="8" t="str">
        <f>IFERROR(__xludf.DUMMYFUNCTION("""COMPUTED_VALUE"""),"https://www.performanceliebe.de/aeo-agentur/")</f>
        <v>https://www.performanceliebe.de/aeo-agentur/</v>
      </c>
      <c r="B53" s="11" t="str">
        <f>IFERROR(__xludf.DUMMYFUNCTION("""COMPUTED_VALUE"""),"AEO Agentur 2026: Answer Engine Optimization | performanceLiebe")</f>
        <v>AEO Agentur 2026: Answer Engine Optimization | performanceLiebe</v>
      </c>
      <c r="C53" s="8" t="str">
        <f>IFERROR(__xludf.DUMMYFUNCTION("""COMPUTED_VALUE"""),"performanceliebe.de")</f>
        <v>performanceliebe.de</v>
      </c>
      <c r="D53" s="11" t="str">
        <f>IFERROR(__xludf.DUMMYFUNCTION("""COMPUTED_VALUE"""),"PRODUCT_PAGE")</f>
        <v>PRODUCT_PAGE</v>
      </c>
      <c r="E53" s="11" t="str">
        <f>IFERROR(__xludf.DUMMYFUNCTION("""COMPUTED_VALUE"""),"COMPETITOR")</f>
        <v>COMPETITOR</v>
      </c>
      <c r="F53" s="11" t="str">
        <f>IFERROR(__xludf.DUMMYFUNCTION("""COMPUTED_VALUE"""),"Product Page")</f>
        <v>Product Page</v>
      </c>
      <c r="G53" s="11" t="b">
        <f>IFERROR(__xludf.DUMMYFUNCTION("""COMPUTED_VALUE"""),FALSE)</f>
        <v>0</v>
      </c>
      <c r="H53" s="11" t="str">
        <f>IFERROR(__xludf.DUMMYFUNCTION("""COMPUTED_VALUE"""),"performanceLiebe")</f>
        <v>performanceLiebe</v>
      </c>
      <c r="I53" s="11">
        <f>IFERROR(__xludf.DUMMYFUNCTION("""COMPUTED_VALUE"""),3.0)</f>
        <v>3</v>
      </c>
      <c r="J53" s="11">
        <f>IFERROR(__xludf.DUMMYFUNCTION("""COMPUTED_VALUE"""),0.0)</f>
        <v>0</v>
      </c>
      <c r="K53" s="11">
        <f>IFERROR(__xludf.DUMMYFUNCTION("""COMPUTED_VALUE"""),0.0)</f>
        <v>0</v>
      </c>
    </row>
    <row r="54" ht="15.75" customHeight="1">
      <c r="A54" s="8" t="str">
        <f>IFERROR(__xludf.DUMMYFUNCTION("""COMPUTED_VALUE"""),"https://www.pwc.de/de/starke-allianzen/pwc-und-die-google-marketing-platform-mit-smarten-tools-zum-digitalen-erfolg.html")</f>
        <v>https://www.pwc.de/de/starke-allianzen/pwc-und-die-google-marketing-platform-mit-smarten-tools-zum-digitalen-erfolg.html</v>
      </c>
      <c r="B54" s="11" t="str">
        <f>IFERROR(__xludf.DUMMYFUNCTION("""COMPUTED_VALUE"""),"PwC &amp;amp; die Google Marketing Platform: Mit smarten Tools zum digitalen Erfolg")</f>
        <v>PwC &amp;amp; die Google Marketing Platform: Mit smarten Tools zum digitalen Erfolg</v>
      </c>
      <c r="C54" s="8" t="str">
        <f>IFERROR(__xludf.DUMMYFUNCTION("""COMPUTED_VALUE"""),"pwc.de")</f>
        <v>pwc.de</v>
      </c>
      <c r="D54" s="11" t="str">
        <f>IFERROR(__xludf.DUMMYFUNCTION("""COMPUTED_VALUE"""),"PRODUCT_PAGE")</f>
        <v>PRODUCT_PAGE</v>
      </c>
      <c r="E54" s="11" t="str">
        <f>IFERROR(__xludf.DUMMYFUNCTION("""COMPUTED_VALUE"""),"CORPORATE")</f>
        <v>CORPORATE</v>
      </c>
      <c r="F54" s="11" t="str">
        <f>IFERROR(__xludf.DUMMYFUNCTION("""COMPUTED_VALUE"""),"Product Page")</f>
        <v>Product Page</v>
      </c>
      <c r="G54" s="11" t="b">
        <f>IFERROR(__xludf.DUMMYFUNCTION("""COMPUTED_VALUE"""),FALSE)</f>
        <v>0</v>
      </c>
      <c r="H54" s="11" t="str">
        <f>IFERROR(__xludf.DUMMYFUNCTION("""COMPUTED_VALUE"""),"PwC")</f>
        <v>PwC</v>
      </c>
      <c r="I54" s="11">
        <f>IFERROR(__xludf.DUMMYFUNCTION("""COMPUTED_VALUE"""),3.0)</f>
        <v>3</v>
      </c>
      <c r="J54" s="11">
        <f>IFERROR(__xludf.DUMMYFUNCTION("""COMPUTED_VALUE"""),0.0)</f>
        <v>0</v>
      </c>
      <c r="K54" s="11">
        <f>IFERROR(__xludf.DUMMYFUNCTION("""COMPUTED_VALUE"""),0.0)</f>
        <v>0</v>
      </c>
    </row>
    <row r="55" ht="15.75" customHeight="1">
      <c r="A55" s="8" t="str">
        <f>IFERROR(__xludf.DUMMYFUNCTION("""COMPUTED_VALUE"""),"https://suxeedo.de/en/services/geo-agency/")</f>
        <v>https://suxeedo.de/en/services/geo-agency/</v>
      </c>
      <c r="B55" s="11" t="str">
        <f>IFERROR(__xludf.DUMMYFUNCTION("""COMPUTED_VALUE"""),"Your GEO Agency for AI Visibility")</f>
        <v>Your GEO Agency for AI Visibility</v>
      </c>
      <c r="C55" s="8" t="str">
        <f>IFERROR(__xludf.DUMMYFUNCTION("""COMPUTED_VALUE"""),"suxeedo.de")</f>
        <v>suxeedo.de</v>
      </c>
      <c r="D55" s="11" t="str">
        <f>IFERROR(__xludf.DUMMYFUNCTION("""COMPUTED_VALUE"""),"PRODUCT_PAGE")</f>
        <v>PRODUCT_PAGE</v>
      </c>
      <c r="E55" s="11" t="str">
        <f>IFERROR(__xludf.DUMMYFUNCTION("""COMPUTED_VALUE"""),"CORPORATE")</f>
        <v>CORPORATE</v>
      </c>
      <c r="F55" s="11" t="str">
        <f>IFERROR(__xludf.DUMMYFUNCTION("""COMPUTED_VALUE"""),"Product Page")</f>
        <v>Product Page</v>
      </c>
      <c r="G55" s="11" t="b">
        <f>IFERROR(__xludf.DUMMYFUNCTION("""COMPUTED_VALUE"""),FALSE)</f>
        <v>0</v>
      </c>
      <c r="H55" s="11"/>
      <c r="I55" s="11">
        <f>IFERROR(__xludf.DUMMYFUNCTION("""COMPUTED_VALUE"""),3.0)</f>
        <v>3</v>
      </c>
      <c r="J55" s="11">
        <f>IFERROR(__xludf.DUMMYFUNCTION("""COMPUTED_VALUE"""),0.0)</f>
        <v>0</v>
      </c>
      <c r="K55" s="11">
        <f>IFERROR(__xludf.DUMMYFUNCTION("""COMPUTED_VALUE"""),1.0)</f>
        <v>1</v>
      </c>
    </row>
    <row r="56" ht="15.75" customHeight="1">
      <c r="A56" s="8" t="str">
        <f>IFERROR(__xludf.DUMMYFUNCTION("""COMPUTED_VALUE"""),"https://www.weber-media.com/en/ai-seo-agentur")</f>
        <v>https://www.weber-media.com/en/ai-seo-agentur</v>
      </c>
      <c r="B56" s="11" t="str">
        <f>IFERROR(__xludf.DUMMYFUNCTION("""COMPUTED_VALUE"""),"AI SEO Agency | AI Search Optimization (GEO) for ChatGPT &amp;amp; Google | Weber Media")</f>
        <v>AI SEO Agency | AI Search Optimization (GEO) for ChatGPT &amp;amp; Google | Weber Media</v>
      </c>
      <c r="C56" s="8" t="str">
        <f>IFERROR(__xludf.DUMMYFUNCTION("""COMPUTED_VALUE"""),"weber-media.com")</f>
        <v>weber-media.com</v>
      </c>
      <c r="D56" s="11" t="str">
        <f>IFERROR(__xludf.DUMMYFUNCTION("""COMPUTED_VALUE"""),"PRODUCT_PAGE")</f>
        <v>PRODUCT_PAGE</v>
      </c>
      <c r="E56" s="11" t="str">
        <f>IFERROR(__xludf.DUMMYFUNCTION("""COMPUTED_VALUE"""),"CORPORATE")</f>
        <v>CORPORATE</v>
      </c>
      <c r="F56" s="11" t="str">
        <f>IFERROR(__xludf.DUMMYFUNCTION("""COMPUTED_VALUE"""),"Product Page")</f>
        <v>Product Page</v>
      </c>
      <c r="G56" s="11" t="b">
        <f>IFERROR(__xludf.DUMMYFUNCTION("""COMPUTED_VALUE"""),FALSE)</f>
        <v>0</v>
      </c>
      <c r="H56" s="11" t="str">
        <f>IFERROR(__xludf.DUMMYFUNCTION("""COMPUTED_VALUE"""),"Measured")</f>
        <v>Measured</v>
      </c>
      <c r="I56" s="11">
        <f>IFERROR(__xludf.DUMMYFUNCTION("""COMPUTED_VALUE"""),3.0)</f>
        <v>3</v>
      </c>
      <c r="J56" s="11">
        <f>IFERROR(__xludf.DUMMYFUNCTION("""COMPUTED_VALUE"""),0.0)</f>
        <v>0</v>
      </c>
      <c r="K56" s="11">
        <f>IFERROR(__xludf.DUMMYFUNCTION("""COMPUTED_VALUE"""),0.67)</f>
        <v>0.67</v>
      </c>
    </row>
    <row r="57" ht="15.75" customHeight="1">
      <c r="A57" s="8" t="str">
        <f>IFERROR(__xludf.DUMMYFUNCTION("""COMPUTED_VALUE"""),"https://ycp.com/lp/germany-digital-marketing-consulting")</f>
        <v>https://ycp.com/lp/germany-digital-marketing-consulting</v>
      </c>
      <c r="B57" s="11" t="str">
        <f>IFERROR(__xludf.DUMMYFUNCTION("""COMPUTED_VALUE"""),"Germany Digital Marketing Consulting | YCP Group")</f>
        <v>Germany Digital Marketing Consulting | YCP Group</v>
      </c>
      <c r="C57" s="8" t="str">
        <f>IFERROR(__xludf.DUMMYFUNCTION("""COMPUTED_VALUE"""),"ycp.com")</f>
        <v>ycp.com</v>
      </c>
      <c r="D57" s="11" t="str">
        <f>IFERROR(__xludf.DUMMYFUNCTION("""COMPUTED_VALUE"""),"PRODUCT_PAGE")</f>
        <v>PRODUCT_PAGE</v>
      </c>
      <c r="E57" s="11" t="str">
        <f>IFERROR(__xludf.DUMMYFUNCTION("""COMPUTED_VALUE"""),"CORPORATE")</f>
        <v>CORPORATE</v>
      </c>
      <c r="F57" s="11" t="str">
        <f>IFERROR(__xludf.DUMMYFUNCTION("""COMPUTED_VALUE"""),"Product Page")</f>
        <v>Product Page</v>
      </c>
      <c r="G57" s="11" t="b">
        <f>IFERROR(__xludf.DUMMYFUNCTION("""COMPUTED_VALUE"""),FALSE)</f>
        <v>0</v>
      </c>
      <c r="H57" s="11"/>
      <c r="I57" s="11">
        <f>IFERROR(__xludf.DUMMYFUNCTION("""COMPUTED_VALUE"""),3.0)</f>
        <v>3</v>
      </c>
      <c r="J57" s="11">
        <f>IFERROR(__xludf.DUMMYFUNCTION("""COMPUTED_VALUE"""),0.0)</f>
        <v>0</v>
      </c>
      <c r="K57" s="11">
        <f>IFERROR(__xludf.DUMMYFUNCTION("""COMPUTED_VALUE"""),0.0)</f>
        <v>0</v>
      </c>
    </row>
    <row r="58" ht="15.75" customHeight="1">
      <c r="A58" s="8" t="str">
        <f>IFERROR(__xludf.DUMMYFUNCTION("""COMPUTED_VALUE"""),"https://www.appsflyer.com/de/products/measurement/incrementality/")</f>
        <v>https://www.appsflyer.com/de/products/measurement/incrementality/</v>
      </c>
      <c r="B58" s="11" t="str">
        <f>IFERROR(__xludf.DUMMYFUNCTION("""COMPUTED_VALUE"""),"Incrementality-Messlösung | AppsFlyer")</f>
        <v>Incrementality-Messlösung | AppsFlyer</v>
      </c>
      <c r="C58" s="8" t="str">
        <f>IFERROR(__xludf.DUMMYFUNCTION("""COMPUTED_VALUE"""),"appsflyer.com")</f>
        <v>appsflyer.com</v>
      </c>
      <c r="D58" s="11" t="str">
        <f>IFERROR(__xludf.DUMMYFUNCTION("""COMPUTED_VALUE"""),"PRODUCT_PAGE")</f>
        <v>PRODUCT_PAGE</v>
      </c>
      <c r="E58" s="11" t="str">
        <f>IFERROR(__xludf.DUMMYFUNCTION("""COMPUTED_VALUE"""),"CORPORATE")</f>
        <v>CORPORATE</v>
      </c>
      <c r="F58" s="11" t="str">
        <f>IFERROR(__xludf.DUMMYFUNCTION("""COMPUTED_VALUE"""),"Product Page")</f>
        <v>Product Page</v>
      </c>
      <c r="G58" s="11" t="b">
        <f>IFERROR(__xludf.DUMMYFUNCTION("""COMPUTED_VALUE"""),FALSE)</f>
        <v>0</v>
      </c>
      <c r="H58" s="11"/>
      <c r="I58" s="11">
        <f>IFERROR(__xludf.DUMMYFUNCTION("""COMPUTED_VALUE"""),2.0)</f>
        <v>2</v>
      </c>
      <c r="J58" s="11">
        <f>IFERROR(__xludf.DUMMYFUNCTION("""COMPUTED_VALUE"""),0.0)</f>
        <v>0</v>
      </c>
      <c r="K58" s="11">
        <f>IFERROR(__xludf.DUMMYFUNCTION("""COMPUTED_VALUE"""),1.0)</f>
        <v>1</v>
      </c>
    </row>
    <row r="59" ht="15.75" customHeight="1">
      <c r="A59" s="8" t="str">
        <f>IFERROR(__xludf.DUMMYFUNCTION("""COMPUTED_VALUE"""),"https://career.trkkn.com/jobs/8025042-client-partner-f-m-d-google-marketing-cloud")</f>
        <v>https://career.trkkn.com/jobs/8025042-client-partner-f-m-d-google-marketing-cloud</v>
      </c>
      <c r="B59" s="11" t="str">
        <f>IFERROR(__xludf.DUMMYFUNCTION("""COMPUTED_VALUE"""),"Client Partner (f/m/d) – Google Marketing &amp;amp; Cloud - Trakken GmbH")</f>
        <v>Client Partner (f/m/d) – Google Marketing &amp;amp; Cloud - Trakken GmbH</v>
      </c>
      <c r="C59" s="8" t="str">
        <f>IFERROR(__xludf.DUMMYFUNCTION("""COMPUTED_VALUE"""),"trkkn.com")</f>
        <v>trkkn.com</v>
      </c>
      <c r="D59" s="11" t="str">
        <f>IFERROR(__xludf.DUMMYFUNCTION("""COMPUTED_VALUE"""),"PRODUCT_PAGE")</f>
        <v>PRODUCT_PAGE</v>
      </c>
      <c r="E59" s="11" t="str">
        <f>IFERROR(__xludf.DUMMYFUNCTION("""COMPUTED_VALUE"""),"CORPORATE")</f>
        <v>CORPORATE</v>
      </c>
      <c r="F59" s="11" t="str">
        <f>IFERROR(__xludf.DUMMYFUNCTION("""COMPUTED_VALUE"""),"Product Page")</f>
        <v>Product Page</v>
      </c>
      <c r="G59" s="11" t="b">
        <f>IFERROR(__xludf.DUMMYFUNCTION("""COMPUTED_VALUE"""),FALSE)</f>
        <v>0</v>
      </c>
      <c r="H59" s="11"/>
      <c r="I59" s="11">
        <f>IFERROR(__xludf.DUMMYFUNCTION("""COMPUTED_VALUE"""),2.0)</f>
        <v>2</v>
      </c>
      <c r="J59" s="11">
        <f>IFERROR(__xludf.DUMMYFUNCTION("""COMPUTED_VALUE"""),0.0)</f>
        <v>0</v>
      </c>
      <c r="K59" s="11">
        <f>IFERROR(__xludf.DUMMYFUNCTION("""COMPUTED_VALUE"""),1.5)</f>
        <v>1.5</v>
      </c>
    </row>
    <row r="60" ht="15.75" customHeight="1">
      <c r="A60" s="8" t="str">
        <f>IFERROR(__xludf.DUMMYFUNCTION("""COMPUTED_VALUE"""),"https://cieden.com/ai-strategy-consulting")</f>
        <v>https://cieden.com/ai-strategy-consulting</v>
      </c>
      <c r="B60" s="11" t="str">
        <f>IFERROR(__xludf.DUMMYFUNCTION("""COMPUTED_VALUE"""),"AI strategy consulting | Cieden")</f>
        <v>AI strategy consulting | Cieden</v>
      </c>
      <c r="C60" s="8" t="str">
        <f>IFERROR(__xludf.DUMMYFUNCTION("""COMPUTED_VALUE"""),"cieden.com")</f>
        <v>cieden.com</v>
      </c>
      <c r="D60" s="11" t="str">
        <f>IFERROR(__xludf.DUMMYFUNCTION("""COMPUTED_VALUE"""),"PRODUCT_PAGE")</f>
        <v>PRODUCT_PAGE</v>
      </c>
      <c r="E60" s="11" t="str">
        <f>IFERROR(__xludf.DUMMYFUNCTION("""COMPUTED_VALUE"""),"CORPORATE")</f>
        <v>CORPORATE</v>
      </c>
      <c r="F60" s="11" t="str">
        <f>IFERROR(__xludf.DUMMYFUNCTION("""COMPUTED_VALUE"""),"Product Page")</f>
        <v>Product Page</v>
      </c>
      <c r="G60" s="11" t="b">
        <f>IFERROR(__xludf.DUMMYFUNCTION("""COMPUTED_VALUE"""),FALSE)</f>
        <v>0</v>
      </c>
      <c r="H60" s="11" t="str">
        <f>IFERROR(__xludf.DUMMYFUNCTION("""COMPUTED_VALUE"""),"Boston Consulting Group, BCG")</f>
        <v>Boston Consulting Group, BCG</v>
      </c>
      <c r="I60" s="11">
        <f>IFERROR(__xludf.DUMMYFUNCTION("""COMPUTED_VALUE"""),2.0)</f>
        <v>2</v>
      </c>
      <c r="J60" s="11">
        <f>IFERROR(__xludf.DUMMYFUNCTION("""COMPUTED_VALUE"""),0.0)</f>
        <v>0</v>
      </c>
      <c r="K60" s="11">
        <f>IFERROR(__xludf.DUMMYFUNCTION("""COMPUTED_VALUE"""),1.0)</f>
        <v>1</v>
      </c>
    </row>
    <row r="61" ht="15.75" customHeight="1">
      <c r="A61" s="8" t="str">
        <f>IFERROR(__xludf.DUMMYFUNCTION("""COMPUTED_VALUE"""),"https://dcberlin.com/en/ai-innovation/")</f>
        <v>https://dcberlin.com/en/ai-innovation/</v>
      </c>
      <c r="B61" s="11" t="str">
        <f>IFERROR(__xludf.DUMMYFUNCTION("""COMPUTED_VALUE"""),"AI services for marketing, communication and sales")</f>
        <v>AI services for marketing, communication and sales</v>
      </c>
      <c r="C61" s="8" t="str">
        <f>IFERROR(__xludf.DUMMYFUNCTION("""COMPUTED_VALUE"""),"dcberlin.com")</f>
        <v>dcberlin.com</v>
      </c>
      <c r="D61" s="11" t="str">
        <f>IFERROR(__xludf.DUMMYFUNCTION("""COMPUTED_VALUE"""),"PRODUCT_PAGE")</f>
        <v>PRODUCT_PAGE</v>
      </c>
      <c r="E61" s="11" t="str">
        <f>IFERROR(__xludf.DUMMYFUNCTION("""COMPUTED_VALUE"""),"CORPORATE")</f>
        <v>CORPORATE</v>
      </c>
      <c r="F61" s="11" t="str">
        <f>IFERROR(__xludf.DUMMYFUNCTION("""COMPUTED_VALUE"""),"Product Page")</f>
        <v>Product Page</v>
      </c>
      <c r="G61" s="11" t="b">
        <f>IFERROR(__xludf.DUMMYFUNCTION("""COMPUTED_VALUE"""),FALSE)</f>
        <v>0</v>
      </c>
      <c r="H61" s="11"/>
      <c r="I61" s="11">
        <f>IFERROR(__xludf.DUMMYFUNCTION("""COMPUTED_VALUE"""),2.0)</f>
        <v>2</v>
      </c>
      <c r="J61" s="11">
        <f>IFERROR(__xludf.DUMMYFUNCTION("""COMPUTED_VALUE"""),0.0)</f>
        <v>0</v>
      </c>
      <c r="K61" s="11">
        <f>IFERROR(__xludf.DUMMYFUNCTION("""COMPUTED_VALUE"""),2.0)</f>
        <v>2</v>
      </c>
    </row>
    <row r="62" ht="15.75" customHeight="1">
      <c r="A62" s="8" t="str">
        <f>IFERROR(__xludf.DUMMYFUNCTION("""COMPUTED_VALUE"""),"https://www.deloitte.com/de/de/what-we-do/capabilities/ki-beratung.html")</f>
        <v>https://www.deloitte.com/de/de/what-we-do/capabilities/ki-beratung.html</v>
      </c>
      <c r="B62" s="11" t="str">
        <f>IFERROR(__xludf.DUMMYFUNCTION("""COMPUTED_VALUE"""),"KI-Beratung &amp;amp; KI-Transformation | Deloitte Deutschland")</f>
        <v>KI-Beratung &amp;amp; KI-Transformation | Deloitte Deutschland</v>
      </c>
      <c r="C62" s="8" t="str">
        <f>IFERROR(__xludf.DUMMYFUNCTION("""COMPUTED_VALUE"""),"deloitte.com")</f>
        <v>deloitte.com</v>
      </c>
      <c r="D62" s="11" t="str">
        <f>IFERROR(__xludf.DUMMYFUNCTION("""COMPUTED_VALUE"""),"PRODUCT_PAGE")</f>
        <v>PRODUCT_PAGE</v>
      </c>
      <c r="E62" s="11" t="str">
        <f>IFERROR(__xludf.DUMMYFUNCTION("""COMPUTED_VALUE"""),"CORPORATE")</f>
        <v>CORPORATE</v>
      </c>
      <c r="F62" s="11" t="str">
        <f>IFERROR(__xludf.DUMMYFUNCTION("""COMPUTED_VALUE"""),"Product Page")</f>
        <v>Product Page</v>
      </c>
      <c r="G62" s="11" t="b">
        <f>IFERROR(__xludf.DUMMYFUNCTION("""COMPUTED_VALUE"""),FALSE)</f>
        <v>0</v>
      </c>
      <c r="H62" s="11"/>
      <c r="I62" s="11">
        <f>IFERROR(__xludf.DUMMYFUNCTION("""COMPUTED_VALUE"""),2.0)</f>
        <v>2</v>
      </c>
      <c r="J62" s="11">
        <f>IFERROR(__xludf.DUMMYFUNCTION("""COMPUTED_VALUE"""),0.0)</f>
        <v>0</v>
      </c>
      <c r="K62" s="11">
        <f>IFERROR(__xludf.DUMMYFUNCTION("""COMPUTED_VALUE"""),2.0)</f>
        <v>2</v>
      </c>
    </row>
    <row r="63" ht="15.75" customHeight="1">
      <c r="A63" s="8" t="str">
        <f>IFERROR(__xludf.DUMMYFUNCTION("""COMPUTED_VALUE"""),"https://e-dialog.group/en/google-sales-partner/")</f>
        <v>https://e-dialog.group/en/google-sales-partner/</v>
      </c>
      <c r="B63" s="11" t="str">
        <f>IFERROR(__xludf.DUMMYFUNCTION("""COMPUTED_VALUE"""),"Google Sales Partner: Licences &amp;amp; MarTech | e-dialog")</f>
        <v>Google Sales Partner: Licences &amp;amp; MarTech | e-dialog</v>
      </c>
      <c r="C63" s="11" t="str">
        <f>IFERROR(__xludf.DUMMYFUNCTION("""COMPUTED_VALUE"""),"e-dialog.group")</f>
        <v>e-dialog.group</v>
      </c>
      <c r="D63" s="11" t="str">
        <f>IFERROR(__xludf.DUMMYFUNCTION("""COMPUTED_VALUE"""),"PRODUCT_PAGE")</f>
        <v>PRODUCT_PAGE</v>
      </c>
      <c r="E63" s="11" t="str">
        <f>IFERROR(__xludf.DUMMYFUNCTION("""COMPUTED_VALUE"""),"CORPORATE")</f>
        <v>CORPORATE</v>
      </c>
      <c r="F63" s="11" t="str">
        <f>IFERROR(__xludf.DUMMYFUNCTION("""COMPUTED_VALUE"""),"Product Page")</f>
        <v>Product Page</v>
      </c>
      <c r="G63" s="11" t="b">
        <f>IFERROR(__xludf.DUMMYFUNCTION("""COMPUTED_VALUE"""),FALSE)</f>
        <v>0</v>
      </c>
      <c r="H63" s="11" t="str">
        <f>IFERROR(__xludf.DUMMYFUNCTION("""COMPUTED_VALUE"""),"e-dialog")</f>
        <v>e-dialog</v>
      </c>
      <c r="I63" s="11">
        <f>IFERROR(__xludf.DUMMYFUNCTION("""COMPUTED_VALUE"""),2.0)</f>
        <v>2</v>
      </c>
      <c r="J63" s="11">
        <f>IFERROR(__xludf.DUMMYFUNCTION("""COMPUTED_VALUE"""),0.0)</f>
        <v>0</v>
      </c>
      <c r="K63" s="11">
        <f>IFERROR(__xludf.DUMMYFUNCTION("""COMPUTED_VALUE"""),3.0)</f>
        <v>3</v>
      </c>
    </row>
    <row r="64" ht="15.75" customHeight="1">
      <c r="A64" s="8" t="str">
        <f>IFERROR(__xludf.DUMMYFUNCTION("""COMPUTED_VALUE"""),"https://edgeangel.co/en/marketing-activation/advanced-media-measurement")</f>
        <v>https://edgeangel.co/en/marketing-activation/advanced-media-measurement</v>
      </c>
      <c r="B64" s="11" t="str">
        <f>IFERROR(__xludf.DUMMYFUNCTION("""COMPUTED_VALUE"""),"Advanced Media Measurement - EdgeAngel")</f>
        <v>Advanced Media Measurement - EdgeAngel</v>
      </c>
      <c r="C64" s="8" t="str">
        <f>IFERROR(__xludf.DUMMYFUNCTION("""COMPUTED_VALUE"""),"edgeangel.co")</f>
        <v>edgeangel.co</v>
      </c>
      <c r="D64" s="11" t="str">
        <f>IFERROR(__xludf.DUMMYFUNCTION("""COMPUTED_VALUE"""),"PRODUCT_PAGE")</f>
        <v>PRODUCT_PAGE</v>
      </c>
      <c r="E64" s="11" t="str">
        <f>IFERROR(__xludf.DUMMYFUNCTION("""COMPUTED_VALUE"""),"CORPORATE")</f>
        <v>CORPORATE</v>
      </c>
      <c r="F64" s="11" t="str">
        <f>IFERROR(__xludf.DUMMYFUNCTION("""COMPUTED_VALUE"""),"Product Page")</f>
        <v>Product Page</v>
      </c>
      <c r="G64" s="11" t="b">
        <f>IFERROR(__xludf.DUMMYFUNCTION("""COMPUTED_VALUE"""),FALSE)</f>
        <v>0</v>
      </c>
      <c r="H64" s="11"/>
      <c r="I64" s="11">
        <f>IFERROR(__xludf.DUMMYFUNCTION("""COMPUTED_VALUE"""),2.0)</f>
        <v>2</v>
      </c>
      <c r="J64" s="11">
        <f>IFERROR(__xludf.DUMMYFUNCTION("""COMPUTED_VALUE"""),0.0)</f>
        <v>0</v>
      </c>
      <c r="K64" s="11">
        <f>IFERROR(__xludf.DUMMYFUNCTION("""COMPUTED_VALUE"""),0.0)</f>
        <v>0</v>
      </c>
    </row>
    <row r="65" ht="15.75" customHeight="1">
      <c r="A65" s="8" t="str">
        <f>IFERROR(__xludf.DUMMYFUNCTION("""COMPUTED_VALUE"""),"https://www.friendventure.de/en/generative-engine-optimization-agency/")</f>
        <v>https://www.friendventure.de/en/generative-engine-optimization-agency/</v>
      </c>
      <c r="B65" s="11" t="str">
        <f>IFERROR(__xludf.DUMMYFUNCTION("""COMPUTED_VALUE"""),"LLMO &amp;amp; GEO Agentur für mehr KI-Sichtbarkeit")</f>
        <v>LLMO &amp;amp; GEO Agentur für mehr KI-Sichtbarkeit</v>
      </c>
      <c r="C65" s="8" t="str">
        <f>IFERROR(__xludf.DUMMYFUNCTION("""COMPUTED_VALUE"""),"friendventure.de")</f>
        <v>friendventure.de</v>
      </c>
      <c r="D65" s="11" t="str">
        <f>IFERROR(__xludf.DUMMYFUNCTION("""COMPUTED_VALUE"""),"PRODUCT_PAGE")</f>
        <v>PRODUCT_PAGE</v>
      </c>
      <c r="E65" s="11" t="str">
        <f>IFERROR(__xludf.DUMMYFUNCTION("""COMPUTED_VALUE"""),"CORPORATE")</f>
        <v>CORPORATE</v>
      </c>
      <c r="F65" s="11" t="str">
        <f>IFERROR(__xludf.DUMMYFUNCTION("""COMPUTED_VALUE"""),"Product Page")</f>
        <v>Product Page</v>
      </c>
      <c r="G65" s="11" t="b">
        <f>IFERROR(__xludf.DUMMYFUNCTION("""COMPUTED_VALUE"""),FALSE)</f>
        <v>0</v>
      </c>
      <c r="H65" s="11"/>
      <c r="I65" s="11">
        <f>IFERROR(__xludf.DUMMYFUNCTION("""COMPUTED_VALUE"""),2.0)</f>
        <v>2</v>
      </c>
      <c r="J65" s="11">
        <f>IFERROR(__xludf.DUMMYFUNCTION("""COMPUTED_VALUE"""),0.0)</f>
        <v>0</v>
      </c>
      <c r="K65" s="11">
        <f>IFERROR(__xludf.DUMMYFUNCTION("""COMPUTED_VALUE"""),0.0)</f>
        <v>0</v>
      </c>
    </row>
    <row r="66" ht="15.75" customHeight="1">
      <c r="A66" s="8" t="str">
        <f>IFERROR(__xludf.DUMMYFUNCTION("""COMPUTED_VALUE"""),"https://funnel.io/adtriba")</f>
        <v>https://funnel.io/adtriba</v>
      </c>
      <c r="B66" s="11" t="str">
        <f>IFERROR(__xludf.DUMMYFUNCTION("""COMPUTED_VALUE"""),"Adtriba - Now part of Funnel")</f>
        <v>Adtriba - Now part of Funnel</v>
      </c>
      <c r="C66" s="8" t="str">
        <f>IFERROR(__xludf.DUMMYFUNCTION("""COMPUTED_VALUE"""),"funnel.io")</f>
        <v>funnel.io</v>
      </c>
      <c r="D66" s="11" t="str">
        <f>IFERROR(__xludf.DUMMYFUNCTION("""COMPUTED_VALUE"""),"PRODUCT_PAGE")</f>
        <v>PRODUCT_PAGE</v>
      </c>
      <c r="E66" s="11" t="str">
        <f>IFERROR(__xludf.DUMMYFUNCTION("""COMPUTED_VALUE"""),"CORPORATE")</f>
        <v>CORPORATE</v>
      </c>
      <c r="F66" s="11" t="str">
        <f>IFERROR(__xludf.DUMMYFUNCTION("""COMPUTED_VALUE"""),"Product Page")</f>
        <v>Product Page</v>
      </c>
      <c r="G66" s="11" t="b">
        <f>IFERROR(__xludf.DUMMYFUNCTION("""COMPUTED_VALUE"""),FALSE)</f>
        <v>0</v>
      </c>
      <c r="H66" s="11"/>
      <c r="I66" s="11">
        <f>IFERROR(__xludf.DUMMYFUNCTION("""COMPUTED_VALUE"""),2.0)</f>
        <v>2</v>
      </c>
      <c r="J66" s="11">
        <f>IFERROR(__xludf.DUMMYFUNCTION("""COMPUTED_VALUE"""),0.0)</f>
        <v>0</v>
      </c>
      <c r="K66" s="11">
        <f>IFERROR(__xludf.DUMMYFUNCTION("""COMPUTED_VALUE"""),1.5)</f>
        <v>1.5</v>
      </c>
    </row>
    <row r="67" ht="15.75" customHeight="1">
      <c r="A67" s="8" t="str">
        <f>IFERROR(__xludf.DUMMYFUNCTION("""COMPUTED_VALUE"""),"https://gaim-solutions.com/en/blog-system/top-ai-agencies-munich-2026-faq-guide")</f>
        <v>https://gaim-solutions.com/en/blog-system/top-ai-agencies-munich-2026-faq-guide</v>
      </c>
      <c r="B67" s="11" t="str">
        <f>IFERROR(__xludf.DUMMYFUNCTION("""COMPUTED_VALUE"""),"Top AI Agencies Munich 2026: FAQ Guide")</f>
        <v>Top AI Agencies Munich 2026: FAQ Guide</v>
      </c>
      <c r="C67" s="8" t="str">
        <f>IFERROR(__xludf.DUMMYFUNCTION("""COMPUTED_VALUE"""),"gaim-solutions.com")</f>
        <v>gaim-solutions.com</v>
      </c>
      <c r="D67" s="11" t="str">
        <f>IFERROR(__xludf.DUMMYFUNCTION("""COMPUTED_VALUE"""),"PRODUCT_PAGE")</f>
        <v>PRODUCT_PAGE</v>
      </c>
      <c r="E67" s="11" t="str">
        <f>IFERROR(__xludf.DUMMYFUNCTION("""COMPUTED_VALUE"""),"CORPORATE")</f>
        <v>CORPORATE</v>
      </c>
      <c r="F67" s="11" t="str">
        <f>IFERROR(__xludf.DUMMYFUNCTION("""COMPUTED_VALUE"""),"Product Page")</f>
        <v>Product Page</v>
      </c>
      <c r="G67" s="11" t="b">
        <f>IFERROR(__xludf.DUMMYFUNCTION("""COMPUTED_VALUE"""),FALSE)</f>
        <v>0</v>
      </c>
      <c r="H67" s="11"/>
      <c r="I67" s="11">
        <f>IFERROR(__xludf.DUMMYFUNCTION("""COMPUTED_VALUE"""),2.0)</f>
        <v>2</v>
      </c>
      <c r="J67" s="11">
        <f>IFERROR(__xludf.DUMMYFUNCTION("""COMPUTED_VALUE"""),0.0)</f>
        <v>0</v>
      </c>
      <c r="K67" s="11">
        <f>IFERROR(__xludf.DUMMYFUNCTION("""COMPUTED_VALUE"""),1.0)</f>
        <v>1</v>
      </c>
    </row>
    <row r="68" ht="15.75" customHeight="1">
      <c r="A68" s="8" t="str">
        <f>IFERROR(__xludf.DUMMYFUNCTION("""COMPUTED_VALUE"""),"https://www.gravima.de/en/ai-consulting-marketing-agency")</f>
        <v>https://www.gravima.de/en/ai-consulting-marketing-agency</v>
      </c>
      <c r="B68" s="11" t="str">
        <f>IFERROR(__xludf.DUMMYFUNCTION("""COMPUTED_VALUE"""),"Innovative AI Consulting and Solutions for Businesses | gravima")</f>
        <v>Innovative AI Consulting and Solutions for Businesses | gravima</v>
      </c>
      <c r="C68" s="8" t="str">
        <f>IFERROR(__xludf.DUMMYFUNCTION("""COMPUTED_VALUE"""),"gravima.de")</f>
        <v>gravima.de</v>
      </c>
      <c r="D68" s="11" t="str">
        <f>IFERROR(__xludf.DUMMYFUNCTION("""COMPUTED_VALUE"""),"PRODUCT_PAGE")</f>
        <v>PRODUCT_PAGE</v>
      </c>
      <c r="E68" s="11" t="str">
        <f>IFERROR(__xludf.DUMMYFUNCTION("""COMPUTED_VALUE"""),"CORPORATE")</f>
        <v>CORPORATE</v>
      </c>
      <c r="F68" s="11" t="str">
        <f>IFERROR(__xludf.DUMMYFUNCTION("""COMPUTED_VALUE"""),"Product Page")</f>
        <v>Product Page</v>
      </c>
      <c r="G68" s="11" t="b">
        <f>IFERROR(__xludf.DUMMYFUNCTION("""COMPUTED_VALUE"""),FALSE)</f>
        <v>0</v>
      </c>
      <c r="H68" s="11"/>
      <c r="I68" s="11">
        <f>IFERROR(__xludf.DUMMYFUNCTION("""COMPUTED_VALUE"""),2.0)</f>
        <v>2</v>
      </c>
      <c r="J68" s="11">
        <f>IFERROR(__xludf.DUMMYFUNCTION("""COMPUTED_VALUE"""),0.0)</f>
        <v>0</v>
      </c>
      <c r="K68" s="11">
        <f>IFERROR(__xludf.DUMMYFUNCTION("""COMPUTED_VALUE"""),1.5)</f>
        <v>1.5</v>
      </c>
    </row>
    <row r="69" ht="15.75" customHeight="1">
      <c r="A69" s="8" t="str">
        <f>IFERROR(__xludf.DUMMYFUNCTION("""COMPUTED_VALUE"""),"https://klickpiloten.de/kompetenzen/ai-driven-marketing")</f>
        <v>https://klickpiloten.de/kompetenzen/ai-driven-marketing</v>
      </c>
      <c r="B69" s="11" t="str">
        <f>IFERROR(__xludf.DUMMYFUNCTION("""COMPUTED_VALUE"""),"AI driven Marketing Agentur plus KI Consulting | KlickPiloten")</f>
        <v>AI driven Marketing Agentur plus KI Consulting | KlickPiloten</v>
      </c>
      <c r="C69" s="8" t="str">
        <f>IFERROR(__xludf.DUMMYFUNCTION("""COMPUTED_VALUE"""),"klickpiloten.de")</f>
        <v>klickpiloten.de</v>
      </c>
      <c r="D69" s="11" t="str">
        <f>IFERROR(__xludf.DUMMYFUNCTION("""COMPUTED_VALUE"""),"PRODUCT_PAGE")</f>
        <v>PRODUCT_PAGE</v>
      </c>
      <c r="E69" s="11" t="str">
        <f>IFERROR(__xludf.DUMMYFUNCTION("""COMPUTED_VALUE"""),"COMPETITOR")</f>
        <v>COMPETITOR</v>
      </c>
      <c r="F69" s="11" t="str">
        <f>IFERROR(__xludf.DUMMYFUNCTION("""COMPUTED_VALUE"""),"Product Page")</f>
        <v>Product Page</v>
      </c>
      <c r="G69" s="11" t="b">
        <f>IFERROR(__xludf.DUMMYFUNCTION("""COMPUTED_VALUE"""),FALSE)</f>
        <v>0</v>
      </c>
      <c r="H69" s="11" t="str">
        <f>IFERROR(__xludf.DUMMYFUNCTION("""COMPUTED_VALUE"""),"KlickPiloten")</f>
        <v>KlickPiloten</v>
      </c>
      <c r="I69" s="11">
        <f>IFERROR(__xludf.DUMMYFUNCTION("""COMPUTED_VALUE"""),2.0)</f>
        <v>2</v>
      </c>
      <c r="J69" s="11">
        <f>IFERROR(__xludf.DUMMYFUNCTION("""COMPUTED_VALUE"""),0.0)</f>
        <v>0</v>
      </c>
      <c r="K69" s="11">
        <f>IFERROR(__xludf.DUMMYFUNCTION("""COMPUTED_VALUE"""),1.5)</f>
        <v>1.5</v>
      </c>
    </row>
    <row r="70" ht="15.75" customHeight="1">
      <c r="A70" s="8" t="str">
        <f>IFERROR(__xludf.DUMMYFUNCTION("""COMPUTED_VALUE"""),"https://www.makingscience.de/digital-solutions/google-marketing-platform/")</f>
        <v>https://www.makingscience.de/digital-solutions/google-marketing-platform/</v>
      </c>
      <c r="B70" s="11" t="str">
        <f>IFERROR(__xludf.DUMMYFUNCTION("""COMPUTED_VALUE"""),"Google Marketing Platform - Making Science")</f>
        <v>Google Marketing Platform - Making Science</v>
      </c>
      <c r="C70" s="8" t="str">
        <f>IFERROR(__xludf.DUMMYFUNCTION("""COMPUTED_VALUE"""),"makingscience.de")</f>
        <v>makingscience.de</v>
      </c>
      <c r="D70" s="11" t="str">
        <f>IFERROR(__xludf.DUMMYFUNCTION("""COMPUTED_VALUE"""),"PRODUCT_PAGE")</f>
        <v>PRODUCT_PAGE</v>
      </c>
      <c r="E70" s="11" t="str">
        <f>IFERROR(__xludf.DUMMYFUNCTION("""COMPUTED_VALUE"""),"CORPORATE")</f>
        <v>CORPORATE</v>
      </c>
      <c r="F70" s="11" t="str">
        <f>IFERROR(__xludf.DUMMYFUNCTION("""COMPUTED_VALUE"""),"Product Page")</f>
        <v>Product Page</v>
      </c>
      <c r="G70" s="11" t="b">
        <f>IFERROR(__xludf.DUMMYFUNCTION("""COMPUTED_VALUE"""),FALSE)</f>
        <v>0</v>
      </c>
      <c r="H70" s="11" t="str">
        <f>IFERROR(__xludf.DUMMYFUNCTION("""COMPUTED_VALUE"""),"Making Science")</f>
        <v>Making Science</v>
      </c>
      <c r="I70" s="11">
        <f>IFERROR(__xludf.DUMMYFUNCTION("""COMPUTED_VALUE"""),2.0)</f>
        <v>2</v>
      </c>
      <c r="J70" s="11">
        <f>IFERROR(__xludf.DUMMYFUNCTION("""COMPUTED_VALUE"""),0.0)</f>
        <v>0</v>
      </c>
      <c r="K70" s="11">
        <f>IFERROR(__xludf.DUMMYFUNCTION("""COMPUTED_VALUE"""),1.0)</f>
        <v>1</v>
      </c>
    </row>
    <row r="71" ht="15.75" customHeight="1">
      <c r="A71" s="8" t="str">
        <f>IFERROR(__xludf.DUMMYFUNCTION("""COMPUTED_VALUE"""),"https://www.measured.com/incrementality-testing/")</f>
        <v>https://www.measured.com/incrementality-testing/</v>
      </c>
      <c r="B71" s="11" t="str">
        <f>IFERROR(__xludf.DUMMYFUNCTION("""COMPUTED_VALUE"""),"Measured: Incrementality Testing")</f>
        <v>Measured: Incrementality Testing</v>
      </c>
      <c r="C71" s="8" t="str">
        <f>IFERROR(__xludf.DUMMYFUNCTION("""COMPUTED_VALUE"""),"measured.com")</f>
        <v>measured.com</v>
      </c>
      <c r="D71" s="11" t="str">
        <f>IFERROR(__xludf.DUMMYFUNCTION("""COMPUTED_VALUE"""),"PRODUCT_PAGE")</f>
        <v>PRODUCT_PAGE</v>
      </c>
      <c r="E71" s="11" t="str">
        <f>IFERROR(__xludf.DUMMYFUNCTION("""COMPUTED_VALUE"""),"COMPETITOR")</f>
        <v>COMPETITOR</v>
      </c>
      <c r="F71" s="11" t="str">
        <f>IFERROR(__xludf.DUMMYFUNCTION("""COMPUTED_VALUE"""),"Product Page")</f>
        <v>Product Page</v>
      </c>
      <c r="G71" s="11" t="b">
        <f>IFERROR(__xludf.DUMMYFUNCTION("""COMPUTED_VALUE"""),FALSE)</f>
        <v>0</v>
      </c>
      <c r="H71" s="11" t="str">
        <f>IFERROR(__xludf.DUMMYFUNCTION("""COMPUTED_VALUE"""),"Measured")</f>
        <v>Measured</v>
      </c>
      <c r="I71" s="11">
        <f>IFERROR(__xludf.DUMMYFUNCTION("""COMPUTED_VALUE"""),2.0)</f>
        <v>2</v>
      </c>
      <c r="J71" s="11">
        <f>IFERROR(__xludf.DUMMYFUNCTION("""COMPUTED_VALUE"""),0.0)</f>
        <v>0</v>
      </c>
      <c r="K71" s="11">
        <f>IFERROR(__xludf.DUMMYFUNCTION("""COMPUTED_VALUE"""),0.5)</f>
        <v>0.5</v>
      </c>
    </row>
    <row r="72" ht="15.75" customHeight="1">
      <c r="A72" s="8" t="str">
        <f>IFERROR(__xludf.DUMMYFUNCTION("""COMPUTED_VALUE"""),"https://www.monks.com/de/google-marketing-platform-partnerschaft")</f>
        <v>https://www.monks.com/de/google-marketing-platform-partnerschaft</v>
      </c>
      <c r="B72" s="11" t="str">
        <f>IFERROR(__xludf.DUMMYFUNCTION("""COMPUTED_VALUE"""),"Google Marketing Platform | Partnerships | Monks")</f>
        <v>Google Marketing Platform | Partnerships | Monks</v>
      </c>
      <c r="C72" s="8" t="str">
        <f>IFERROR(__xludf.DUMMYFUNCTION("""COMPUTED_VALUE"""),"monks.com")</f>
        <v>monks.com</v>
      </c>
      <c r="D72" s="11" t="str">
        <f>IFERROR(__xludf.DUMMYFUNCTION("""COMPUTED_VALUE"""),"PRODUCT_PAGE")</f>
        <v>PRODUCT_PAGE</v>
      </c>
      <c r="E72" s="11" t="str">
        <f>IFERROR(__xludf.DUMMYFUNCTION("""COMPUTED_VALUE"""),"COMPETITOR")</f>
        <v>COMPETITOR</v>
      </c>
      <c r="F72" s="11" t="str">
        <f>IFERROR(__xludf.DUMMYFUNCTION("""COMPUTED_VALUE"""),"Product Page")</f>
        <v>Product Page</v>
      </c>
      <c r="G72" s="11" t="b">
        <f>IFERROR(__xludf.DUMMYFUNCTION("""COMPUTED_VALUE"""),FALSE)</f>
        <v>0</v>
      </c>
      <c r="H72" s="11" t="str">
        <f>IFERROR(__xludf.DUMMYFUNCTION("""COMPUTED_VALUE"""),"Monks")</f>
        <v>Monks</v>
      </c>
      <c r="I72" s="11">
        <f>IFERROR(__xludf.DUMMYFUNCTION("""COMPUTED_VALUE"""),2.0)</f>
        <v>2</v>
      </c>
      <c r="J72" s="11">
        <f>IFERROR(__xludf.DUMMYFUNCTION("""COMPUTED_VALUE"""),0.0)</f>
        <v>0</v>
      </c>
      <c r="K72" s="11">
        <f>IFERROR(__xludf.DUMMYFUNCTION("""COMPUTED_VALUE"""),1.0)</f>
        <v>1</v>
      </c>
    </row>
    <row r="73" ht="15.75" customHeight="1">
      <c r="A73" s="8" t="str">
        <f>IFERROR(__xludf.DUMMYFUNCTION("""COMPUTED_VALUE"""),"https://neurank.de/geo-optimierung-agentur/")</f>
        <v>https://neurank.de/geo-optimierung-agentur/</v>
      </c>
      <c r="B73" s="11" t="str">
        <f>IFERROR(__xludf.DUMMYFUNCTION("""COMPUTED_VALUE"""),"Generative Engine Optimization Agentur (GEO) — ChatGPT &amp;amp; Perplexity | NeuRank")</f>
        <v>Generative Engine Optimization Agentur (GEO) — ChatGPT &amp;amp; Perplexity | NeuRank</v>
      </c>
      <c r="C73" s="8" t="str">
        <f>IFERROR(__xludf.DUMMYFUNCTION("""COMPUTED_VALUE"""),"neurank.de")</f>
        <v>neurank.de</v>
      </c>
      <c r="D73" s="11" t="str">
        <f>IFERROR(__xludf.DUMMYFUNCTION("""COMPUTED_VALUE"""),"PRODUCT_PAGE")</f>
        <v>PRODUCT_PAGE</v>
      </c>
      <c r="E73" s="11" t="str">
        <f>IFERROR(__xludf.DUMMYFUNCTION("""COMPUTED_VALUE"""),"CORPORATE")</f>
        <v>CORPORATE</v>
      </c>
      <c r="F73" s="11" t="str">
        <f>IFERROR(__xludf.DUMMYFUNCTION("""COMPUTED_VALUE"""),"Product Page")</f>
        <v>Product Page</v>
      </c>
      <c r="G73" s="11" t="b">
        <f>IFERROR(__xludf.DUMMYFUNCTION("""COMPUTED_VALUE"""),FALSE)</f>
        <v>0</v>
      </c>
      <c r="H73" s="11"/>
      <c r="I73" s="11">
        <f>IFERROR(__xludf.DUMMYFUNCTION("""COMPUTED_VALUE"""),2.0)</f>
        <v>2</v>
      </c>
      <c r="J73" s="11">
        <f>IFERROR(__xludf.DUMMYFUNCTION("""COMPUTED_VALUE"""),0.0)</f>
        <v>0</v>
      </c>
      <c r="K73" s="11">
        <f>IFERROR(__xludf.DUMMYFUNCTION("""COMPUTED_VALUE"""),0.0)</f>
        <v>0</v>
      </c>
    </row>
    <row r="74" ht="15.75" customHeight="1">
      <c r="A74" s="8" t="str">
        <f>IFERROR(__xludf.DUMMYFUNCTION("""COMPUTED_VALUE"""),"https://omr.com/en/reviews/service-category/performance-marketing-agenturen/2")</f>
        <v>https://omr.com/en/reviews/service-category/performance-marketing-agenturen/2</v>
      </c>
      <c r="B74" s="11" t="str">
        <f>IFERROR(__xludf.DUMMYFUNCTION("""COMPUTED_VALUE"""),"Performance Marketing Agencies Compared | OMR Reviews (Page 2)")</f>
        <v>Performance Marketing Agencies Compared | OMR Reviews (Page 2)</v>
      </c>
      <c r="C74" s="8" t="str">
        <f>IFERROR(__xludf.DUMMYFUNCTION("""COMPUTED_VALUE"""),"omr.com")</f>
        <v>omr.com</v>
      </c>
      <c r="D74" s="11" t="str">
        <f>IFERROR(__xludf.DUMMYFUNCTION("""COMPUTED_VALUE"""),"PRODUCT_PAGE")</f>
        <v>PRODUCT_PAGE</v>
      </c>
      <c r="E74" s="11" t="str">
        <f>IFERROR(__xludf.DUMMYFUNCTION("""COMPUTED_VALUE"""),"OTHER")</f>
        <v>OTHER</v>
      </c>
      <c r="F74" s="11" t="str">
        <f>IFERROR(__xludf.DUMMYFUNCTION("""COMPUTED_VALUE"""),"Product Page")</f>
        <v>Product Page</v>
      </c>
      <c r="G74" s="11" t="b">
        <f>IFERROR(__xludf.DUMMYFUNCTION("""COMPUTED_VALUE"""),FALSE)</f>
        <v>0</v>
      </c>
      <c r="H74" s="11" t="str">
        <f>IFERROR(__xludf.DUMMYFUNCTION("""COMPUTED_VALUE"""),"KlickPiloten, The Boutique Agency, e-dialog")</f>
        <v>KlickPiloten, The Boutique Agency, e-dialog</v>
      </c>
      <c r="I74" s="11">
        <f>IFERROR(__xludf.DUMMYFUNCTION("""COMPUTED_VALUE"""),2.0)</f>
        <v>2</v>
      </c>
      <c r="J74" s="11">
        <f>IFERROR(__xludf.DUMMYFUNCTION("""COMPUTED_VALUE"""),0.0)</f>
        <v>0</v>
      </c>
      <c r="K74" s="11">
        <f>IFERROR(__xludf.DUMMYFUNCTION("""COMPUTED_VALUE"""),0.0)</f>
        <v>0</v>
      </c>
    </row>
    <row r="75" ht="15.75" customHeight="1">
      <c r="A75" s="8" t="str">
        <f>IFERROR(__xludf.DUMMYFUNCTION("""COMPUTED_VALUE"""),"https://www.omsag.de/online-marketing-solutions-ag/google-premier-partner/")</f>
        <v>https://www.omsag.de/online-marketing-solutions-ag/google-premier-partner/</v>
      </c>
      <c r="B75" s="11" t="str">
        <f>IFERROR(__xludf.DUMMYFUNCTION("""COMPUTED_VALUE"""),"Offizieller Google-Premier-Partner mit 5 Spezialisierungen - OMSAG")</f>
        <v>Offizieller Google-Premier-Partner mit 5 Spezialisierungen - OMSAG</v>
      </c>
      <c r="C75" s="8" t="str">
        <f>IFERROR(__xludf.DUMMYFUNCTION("""COMPUTED_VALUE"""),"omsag.de")</f>
        <v>omsag.de</v>
      </c>
      <c r="D75" s="11" t="str">
        <f>IFERROR(__xludf.DUMMYFUNCTION("""COMPUTED_VALUE"""),"PRODUCT_PAGE")</f>
        <v>PRODUCT_PAGE</v>
      </c>
      <c r="E75" s="11" t="str">
        <f>IFERROR(__xludf.DUMMYFUNCTION("""COMPUTED_VALUE"""),"CORPORATE")</f>
        <v>CORPORATE</v>
      </c>
      <c r="F75" s="11" t="str">
        <f>IFERROR(__xludf.DUMMYFUNCTION("""COMPUTED_VALUE"""),"Product Page")</f>
        <v>Product Page</v>
      </c>
      <c r="G75" s="11" t="b">
        <f>IFERROR(__xludf.DUMMYFUNCTION("""COMPUTED_VALUE"""),FALSE)</f>
        <v>0</v>
      </c>
      <c r="H75" s="11"/>
      <c r="I75" s="11">
        <f>IFERROR(__xludf.DUMMYFUNCTION("""COMPUTED_VALUE"""),2.0)</f>
        <v>2</v>
      </c>
      <c r="J75" s="11">
        <f>IFERROR(__xludf.DUMMYFUNCTION("""COMPUTED_VALUE"""),0.0)</f>
        <v>0</v>
      </c>
      <c r="K75" s="11">
        <f>IFERROR(__xludf.DUMMYFUNCTION("""COMPUTED_VALUE"""),0.0)</f>
        <v>0</v>
      </c>
    </row>
    <row r="76" ht="15.75" customHeight="1">
      <c r="A76" s="8" t="str">
        <f>IFERROR(__xludf.DUMMYFUNCTION("""COMPUTED_VALUE"""),"https://optimisemedia.com/agency-services/")</f>
        <v>https://optimisemedia.com/agency-services/</v>
      </c>
      <c r="B76" s="11" t="str">
        <f>IFERROR(__xludf.DUMMYFUNCTION("""COMPUTED_VALUE"""),"Full-Service Media Agency | Optimise Media")</f>
        <v>Full-Service Media Agency | Optimise Media</v>
      </c>
      <c r="C76" s="8" t="str">
        <f>IFERROR(__xludf.DUMMYFUNCTION("""COMPUTED_VALUE"""),"optimisemedia.com")</f>
        <v>optimisemedia.com</v>
      </c>
      <c r="D76" s="11" t="str">
        <f>IFERROR(__xludf.DUMMYFUNCTION("""COMPUTED_VALUE"""),"PRODUCT_PAGE")</f>
        <v>PRODUCT_PAGE</v>
      </c>
      <c r="E76" s="11" t="str">
        <f>IFERROR(__xludf.DUMMYFUNCTION("""COMPUTED_VALUE"""),"CORPORATE")</f>
        <v>CORPORATE</v>
      </c>
      <c r="F76" s="11" t="str">
        <f>IFERROR(__xludf.DUMMYFUNCTION("""COMPUTED_VALUE"""),"Product Page")</f>
        <v>Product Page</v>
      </c>
      <c r="G76" s="11" t="b">
        <f>IFERROR(__xludf.DUMMYFUNCTION("""COMPUTED_VALUE"""),FALSE)</f>
        <v>0</v>
      </c>
      <c r="H76" s="11"/>
      <c r="I76" s="11">
        <f>IFERROR(__xludf.DUMMYFUNCTION("""COMPUTED_VALUE"""),2.0)</f>
        <v>2</v>
      </c>
      <c r="J76" s="11">
        <f>IFERROR(__xludf.DUMMYFUNCTION("""COMPUTED_VALUE"""),0.0)</f>
        <v>0</v>
      </c>
      <c r="K76" s="11">
        <f>IFERROR(__xludf.DUMMYFUNCTION("""COMPUTED_VALUE"""),0.0)</f>
        <v>0</v>
      </c>
    </row>
    <row r="77" ht="15.75" customHeight="1">
      <c r="A77" s="8" t="str">
        <f>IFERROR(__xludf.DUMMYFUNCTION("""COMPUTED_VALUE"""),"https://www.pta.de/leistungen/kuenstliche-intelligenz/")</f>
        <v>https://www.pta.de/leistungen/kuenstliche-intelligenz/</v>
      </c>
      <c r="B77" s="11" t="str">
        <f>IFERROR(__xludf.DUMMYFUNCTION("""COMPUTED_VALUE"""),"KI-Dienstleister für Unternehmen – In 3 Monaten AI-ready")</f>
        <v>KI-Dienstleister für Unternehmen – In 3 Monaten AI-ready</v>
      </c>
      <c r="C77" s="8" t="str">
        <f>IFERROR(__xludf.DUMMYFUNCTION("""COMPUTED_VALUE"""),"pta.de")</f>
        <v>pta.de</v>
      </c>
      <c r="D77" s="11" t="str">
        <f>IFERROR(__xludf.DUMMYFUNCTION("""COMPUTED_VALUE"""),"PRODUCT_PAGE")</f>
        <v>PRODUCT_PAGE</v>
      </c>
      <c r="E77" s="11" t="str">
        <f>IFERROR(__xludf.DUMMYFUNCTION("""COMPUTED_VALUE"""),"CORPORATE")</f>
        <v>CORPORATE</v>
      </c>
      <c r="F77" s="11" t="str">
        <f>IFERROR(__xludf.DUMMYFUNCTION("""COMPUTED_VALUE"""),"Product Page")</f>
        <v>Product Page</v>
      </c>
      <c r="G77" s="11" t="b">
        <f>IFERROR(__xludf.DUMMYFUNCTION("""COMPUTED_VALUE"""),FALSE)</f>
        <v>0</v>
      </c>
      <c r="H77" s="11"/>
      <c r="I77" s="11">
        <f>IFERROR(__xludf.DUMMYFUNCTION("""COMPUTED_VALUE"""),2.0)</f>
        <v>2</v>
      </c>
      <c r="J77" s="11">
        <f>IFERROR(__xludf.DUMMYFUNCTION("""COMPUTED_VALUE"""),0.0)</f>
        <v>0</v>
      </c>
      <c r="K77" s="11">
        <f>IFERROR(__xludf.DUMMYFUNCTION("""COMPUTED_VALUE"""),0.0)</f>
        <v>0</v>
      </c>
    </row>
    <row r="78" ht="15.75" customHeight="1">
      <c r="A78" s="8" t="str">
        <f>IFERROR(__xludf.DUMMYFUNCTION("""COMPUTED_VALUE"""),"https://www.pwc.de/de/starke-allianzen/pwc-und-google.html")</f>
        <v>https://www.pwc.de/de/starke-allianzen/pwc-und-google.html</v>
      </c>
      <c r="B78" s="11" t="str">
        <f>IFERROR(__xludf.DUMMYFUNCTION("""COMPUTED_VALUE"""),"Starke Partnerschaft: PwC und Google Cloud")</f>
        <v>Starke Partnerschaft: PwC und Google Cloud</v>
      </c>
      <c r="C78" s="8" t="str">
        <f>IFERROR(__xludf.DUMMYFUNCTION("""COMPUTED_VALUE"""),"pwc.de")</f>
        <v>pwc.de</v>
      </c>
      <c r="D78" s="11" t="str">
        <f>IFERROR(__xludf.DUMMYFUNCTION("""COMPUTED_VALUE"""),"PRODUCT_PAGE")</f>
        <v>PRODUCT_PAGE</v>
      </c>
      <c r="E78" s="11" t="str">
        <f>IFERROR(__xludf.DUMMYFUNCTION("""COMPUTED_VALUE"""),"CORPORATE")</f>
        <v>CORPORATE</v>
      </c>
      <c r="F78" s="11" t="str">
        <f>IFERROR(__xludf.DUMMYFUNCTION("""COMPUTED_VALUE"""),"Product Page")</f>
        <v>Product Page</v>
      </c>
      <c r="G78" s="11" t="b">
        <f>IFERROR(__xludf.DUMMYFUNCTION("""COMPUTED_VALUE"""),FALSE)</f>
        <v>0</v>
      </c>
      <c r="H78" s="11" t="str">
        <f>IFERROR(__xludf.DUMMYFUNCTION("""COMPUTED_VALUE"""),"PwC")</f>
        <v>PwC</v>
      </c>
      <c r="I78" s="11">
        <f>IFERROR(__xludf.DUMMYFUNCTION("""COMPUTED_VALUE"""),2.0)</f>
        <v>2</v>
      </c>
      <c r="J78" s="11">
        <f>IFERROR(__xludf.DUMMYFUNCTION("""COMPUTED_VALUE"""),0.0)</f>
        <v>0</v>
      </c>
      <c r="K78" s="11">
        <f>IFERROR(__xludf.DUMMYFUNCTION("""COMPUTED_VALUE"""),0.0)</f>
        <v>0</v>
      </c>
    </row>
    <row r="79" ht="15.75" customHeight="1">
      <c r="A79" s="8" t="str">
        <f>IFERROR(__xludf.DUMMYFUNCTION("""COMPUTED_VALUE"""),"https://www.rankeffect.de/en/online-marketing-agency/seo-agency/link-building")</f>
        <v>https://www.rankeffect.de/en/online-marketing-agency/seo-agency/link-building</v>
      </c>
      <c r="B79" s="11" t="str">
        <f>IFERROR(__xludf.DUMMYFUNCTION("""COMPUTED_VALUE"""),"Link Building Services | Boost Your Brand Awareness")</f>
        <v>Link Building Services | Boost Your Brand Awareness</v>
      </c>
      <c r="C79" s="8" t="str">
        <f>IFERROR(__xludf.DUMMYFUNCTION("""COMPUTED_VALUE"""),"rankeffect.de")</f>
        <v>rankeffect.de</v>
      </c>
      <c r="D79" s="11" t="str">
        <f>IFERROR(__xludf.DUMMYFUNCTION("""COMPUTED_VALUE"""),"PRODUCT_PAGE")</f>
        <v>PRODUCT_PAGE</v>
      </c>
      <c r="E79" s="11" t="str">
        <f>IFERROR(__xludf.DUMMYFUNCTION("""COMPUTED_VALUE"""),"CORPORATE")</f>
        <v>CORPORATE</v>
      </c>
      <c r="F79" s="11" t="str">
        <f>IFERROR(__xludf.DUMMYFUNCTION("""COMPUTED_VALUE"""),"Product Page")</f>
        <v>Product Page</v>
      </c>
      <c r="G79" s="11" t="b">
        <f>IFERROR(__xludf.DUMMYFUNCTION("""COMPUTED_VALUE"""),FALSE)</f>
        <v>0</v>
      </c>
      <c r="H79" s="11"/>
      <c r="I79" s="11">
        <f>IFERROR(__xludf.DUMMYFUNCTION("""COMPUTED_VALUE"""),2.0)</f>
        <v>2</v>
      </c>
      <c r="J79" s="11">
        <f>IFERROR(__xludf.DUMMYFUNCTION("""COMPUTED_VALUE"""),0.0)</f>
        <v>0</v>
      </c>
      <c r="K79" s="11">
        <f>IFERROR(__xludf.DUMMYFUNCTION("""COMPUTED_VALUE"""),1.0)</f>
        <v>1</v>
      </c>
    </row>
    <row r="80" ht="15.75" customHeight="1">
      <c r="A80" s="8" t="str">
        <f>IFERROR(__xludf.DUMMYFUNCTION("""COMPUTED_VALUE"""),"https://rsmus.com/services/digital-transformation/ai-readiness-assessment.html")</f>
        <v>https://rsmus.com/services/digital-transformation/ai-readiness-assessment.html</v>
      </c>
      <c r="B80" s="11" t="str">
        <f>IFERROR(__xludf.DUMMYFUNCTION("""COMPUTED_VALUE"""),"AI readiness assessment | RSM US")</f>
        <v>AI readiness assessment | RSM US</v>
      </c>
      <c r="C80" s="8" t="str">
        <f>IFERROR(__xludf.DUMMYFUNCTION("""COMPUTED_VALUE"""),"rsmus.com")</f>
        <v>rsmus.com</v>
      </c>
      <c r="D80" s="11" t="str">
        <f>IFERROR(__xludf.DUMMYFUNCTION("""COMPUTED_VALUE"""),"PRODUCT_PAGE")</f>
        <v>PRODUCT_PAGE</v>
      </c>
      <c r="E80" s="11" t="str">
        <f>IFERROR(__xludf.DUMMYFUNCTION("""COMPUTED_VALUE"""),"CORPORATE")</f>
        <v>CORPORATE</v>
      </c>
      <c r="F80" s="11" t="str">
        <f>IFERROR(__xludf.DUMMYFUNCTION("""COMPUTED_VALUE"""),"Product Page")</f>
        <v>Product Page</v>
      </c>
      <c r="G80" s="11" t="b">
        <f>IFERROR(__xludf.DUMMYFUNCTION("""COMPUTED_VALUE"""),FALSE)</f>
        <v>0</v>
      </c>
      <c r="H80" s="11"/>
      <c r="I80" s="11">
        <f>IFERROR(__xludf.DUMMYFUNCTION("""COMPUTED_VALUE"""),2.0)</f>
        <v>2</v>
      </c>
      <c r="J80" s="11">
        <f>IFERROR(__xludf.DUMMYFUNCTION("""COMPUTED_VALUE"""),0.0)</f>
        <v>0</v>
      </c>
      <c r="K80" s="11">
        <f>IFERROR(__xludf.DUMMYFUNCTION("""COMPUTED_VALUE"""),0.0)</f>
        <v>0</v>
      </c>
    </row>
    <row r="81" ht="15.75" customHeight="1">
      <c r="A81" s="8" t="str">
        <f>IFERROR(__xludf.DUMMYFUNCTION("""COMPUTED_VALUE"""),"https://ruess-group.com/en/marketing-agency-munich/")</f>
        <v>https://ruess-group.com/en/marketing-agency-munich/</v>
      </c>
      <c r="B81" s="11" t="str">
        <f>IFERROR(__xludf.DUMMYFUNCTION("""COMPUTED_VALUE"""),"Marketing Agency Munich | B2B, Consulting &amp;amp; Full Service")</f>
        <v>Marketing Agency Munich | B2B, Consulting &amp;amp; Full Service</v>
      </c>
      <c r="C81" s="8" t="str">
        <f>IFERROR(__xludf.DUMMYFUNCTION("""COMPUTED_VALUE"""),"ruess-group.com")</f>
        <v>ruess-group.com</v>
      </c>
      <c r="D81" s="11" t="str">
        <f>IFERROR(__xludf.DUMMYFUNCTION("""COMPUTED_VALUE"""),"PRODUCT_PAGE")</f>
        <v>PRODUCT_PAGE</v>
      </c>
      <c r="E81" s="11" t="str">
        <f>IFERROR(__xludf.DUMMYFUNCTION("""COMPUTED_VALUE"""),"CORPORATE")</f>
        <v>CORPORATE</v>
      </c>
      <c r="F81" s="11" t="str">
        <f>IFERROR(__xludf.DUMMYFUNCTION("""COMPUTED_VALUE"""),"Product Page")</f>
        <v>Product Page</v>
      </c>
      <c r="G81" s="11" t="b">
        <f>IFERROR(__xludf.DUMMYFUNCTION("""COMPUTED_VALUE"""),FALSE)</f>
        <v>0</v>
      </c>
      <c r="H81" s="11" t="str">
        <f>IFERROR(__xludf.DUMMYFUNCTION("""COMPUTED_VALUE"""),"Measured, Momentum")</f>
        <v>Measured, Momentum</v>
      </c>
      <c r="I81" s="11">
        <f>IFERROR(__xludf.DUMMYFUNCTION("""COMPUTED_VALUE"""),2.0)</f>
        <v>2</v>
      </c>
      <c r="J81" s="11">
        <f>IFERROR(__xludf.DUMMYFUNCTION("""COMPUTED_VALUE"""),0.0)</f>
        <v>0</v>
      </c>
      <c r="K81" s="11">
        <f>IFERROR(__xludf.DUMMYFUNCTION("""COMPUTED_VALUE"""),1.0)</f>
        <v>1</v>
      </c>
    </row>
    <row r="82" ht="15.75" customHeight="1">
      <c r="A82" s="8" t="str">
        <f>IFERROR(__xludf.DUMMYFUNCTION("""COMPUTED_VALUE"""),"https://seeders.com/seo-germany/")</f>
        <v>https://seeders.com/seo-germany/</v>
      </c>
      <c r="B82" s="11" t="str">
        <f>IFERROR(__xludf.DUMMYFUNCTION("""COMPUTED_VALUE"""),"SEO Agency Germany | Seeders")</f>
        <v>SEO Agency Germany | Seeders</v>
      </c>
      <c r="C82" s="8" t="str">
        <f>IFERROR(__xludf.DUMMYFUNCTION("""COMPUTED_VALUE"""),"seeders.com")</f>
        <v>seeders.com</v>
      </c>
      <c r="D82" s="11" t="str">
        <f>IFERROR(__xludf.DUMMYFUNCTION("""COMPUTED_VALUE"""),"PRODUCT_PAGE")</f>
        <v>PRODUCT_PAGE</v>
      </c>
      <c r="E82" s="11" t="str">
        <f>IFERROR(__xludf.DUMMYFUNCTION("""COMPUTED_VALUE"""),"COMPETITOR")</f>
        <v>COMPETITOR</v>
      </c>
      <c r="F82" s="11" t="str">
        <f>IFERROR(__xludf.DUMMYFUNCTION("""COMPUTED_VALUE"""),"Product Page")</f>
        <v>Product Page</v>
      </c>
      <c r="G82" s="11" t="b">
        <f>IFERROR(__xludf.DUMMYFUNCTION("""COMPUTED_VALUE"""),FALSE)</f>
        <v>0</v>
      </c>
      <c r="H82" s="11" t="str">
        <f>IFERROR(__xludf.DUMMYFUNCTION("""COMPUTED_VALUE"""),"Seeders")</f>
        <v>Seeders</v>
      </c>
      <c r="I82" s="11">
        <f>IFERROR(__xludf.DUMMYFUNCTION("""COMPUTED_VALUE"""),2.0)</f>
        <v>2</v>
      </c>
      <c r="J82" s="11">
        <f>IFERROR(__xludf.DUMMYFUNCTION("""COMPUTED_VALUE"""),0.0)</f>
        <v>0</v>
      </c>
      <c r="K82" s="11">
        <f>IFERROR(__xludf.DUMMYFUNCTION("""COMPUTED_VALUE"""),1.0)</f>
        <v>1</v>
      </c>
    </row>
    <row r="83" ht="15.75" customHeight="1">
      <c r="A83" s="8" t="str">
        <f>IFERROR(__xludf.DUMMYFUNCTION("""COMPUTED_VALUE"""),"https://www.sineos.de/en/services/social-media-marketing-smm")</f>
        <v>https://www.sineos.de/en/services/social-media-marketing-smm</v>
      </c>
      <c r="B83" s="11" t="str">
        <f>IFERROR(__xludf.DUMMYFUNCTION("""COMPUTED_VALUE"""),"Social media marketing agency from Germany | SINEOS GmbH")</f>
        <v>Social media marketing agency from Germany | SINEOS GmbH</v>
      </c>
      <c r="C83" s="8" t="str">
        <f>IFERROR(__xludf.DUMMYFUNCTION("""COMPUTED_VALUE"""),"sineos.de")</f>
        <v>sineos.de</v>
      </c>
      <c r="D83" s="11" t="str">
        <f>IFERROR(__xludf.DUMMYFUNCTION("""COMPUTED_VALUE"""),"PRODUCT_PAGE")</f>
        <v>PRODUCT_PAGE</v>
      </c>
      <c r="E83" s="11" t="str">
        <f>IFERROR(__xludf.DUMMYFUNCTION("""COMPUTED_VALUE"""),"CORPORATE")</f>
        <v>CORPORATE</v>
      </c>
      <c r="F83" s="11" t="str">
        <f>IFERROR(__xludf.DUMMYFUNCTION("""COMPUTED_VALUE"""),"Product Page")</f>
        <v>Product Page</v>
      </c>
      <c r="G83" s="11" t="b">
        <f>IFERROR(__xludf.DUMMYFUNCTION("""COMPUTED_VALUE"""),FALSE)</f>
        <v>0</v>
      </c>
      <c r="H83" s="11" t="str">
        <f>IFERROR(__xludf.DUMMYFUNCTION("""COMPUTED_VALUE"""),"Measured")</f>
        <v>Measured</v>
      </c>
      <c r="I83" s="11">
        <f>IFERROR(__xludf.DUMMYFUNCTION("""COMPUTED_VALUE"""),2.0)</f>
        <v>2</v>
      </c>
      <c r="J83" s="11">
        <f>IFERROR(__xludf.DUMMYFUNCTION("""COMPUTED_VALUE"""),0.0)</f>
        <v>0</v>
      </c>
      <c r="K83" s="11">
        <f>IFERROR(__xludf.DUMMYFUNCTION("""COMPUTED_VALUE"""),1.0)</f>
        <v>1</v>
      </c>
    </row>
    <row r="84" ht="15.75" customHeight="1">
      <c r="A84" s="8" t="str">
        <f>IFERROR(__xludf.DUMMYFUNCTION("""COMPUTED_VALUE"""),"https://www.the-boutique-agency.de/en/ppc-agency")</f>
        <v>https://www.the-boutique-agency.de/en/ppc-agency</v>
      </c>
      <c r="B84" s="11" t="str">
        <f>IFERROR(__xludf.DUMMYFUNCTION("""COMPUTED_VALUE"""),"PPC Agency in Munich, Germany • The Boutique Agency")</f>
        <v>PPC Agency in Munich, Germany • The Boutique Agency</v>
      </c>
      <c r="C84" s="8" t="str">
        <f>IFERROR(__xludf.DUMMYFUNCTION("""COMPUTED_VALUE"""),"the-boutique-agency.de")</f>
        <v>the-boutique-agency.de</v>
      </c>
      <c r="D84" s="11" t="str">
        <f>IFERROR(__xludf.DUMMYFUNCTION("""COMPUTED_VALUE"""),"PRODUCT_PAGE")</f>
        <v>PRODUCT_PAGE</v>
      </c>
      <c r="E84" s="11" t="str">
        <f>IFERROR(__xludf.DUMMYFUNCTION("""COMPUTED_VALUE"""),"COMPETITOR")</f>
        <v>COMPETITOR</v>
      </c>
      <c r="F84" s="11" t="str">
        <f>IFERROR(__xludf.DUMMYFUNCTION("""COMPUTED_VALUE"""),"Product Page")</f>
        <v>Product Page</v>
      </c>
      <c r="G84" s="11" t="b">
        <f>IFERROR(__xludf.DUMMYFUNCTION("""COMPUTED_VALUE"""),FALSE)</f>
        <v>0</v>
      </c>
      <c r="H84" s="11" t="str">
        <f>IFERROR(__xludf.DUMMYFUNCTION("""COMPUTED_VALUE"""),"The Boutique Agency")</f>
        <v>The Boutique Agency</v>
      </c>
      <c r="I84" s="11">
        <f>IFERROR(__xludf.DUMMYFUNCTION("""COMPUTED_VALUE"""),2.0)</f>
        <v>2</v>
      </c>
      <c r="J84" s="11">
        <f>IFERROR(__xludf.DUMMYFUNCTION("""COMPUTED_VALUE"""),0.0)</f>
        <v>0</v>
      </c>
      <c r="K84" s="11">
        <f>IFERROR(__xludf.DUMMYFUNCTION("""COMPUTED_VALUE"""),0.0)</f>
        <v>0</v>
      </c>
    </row>
    <row r="85" ht="15.75" customHeight="1">
      <c r="A85" s="8" t="str">
        <f>IFERROR(__xludf.DUMMYFUNCTION("""COMPUTED_VALUE"""),"https://www.timospecht.de/geo-agentur/")</f>
        <v>https://www.timospecht.de/geo-agentur/</v>
      </c>
      <c r="B85" s="11" t="str">
        <f>IFERROR(__xludf.DUMMYFUNCTION("""COMPUTED_VALUE"""),"GEO Agentur - Sichtbarkeit mit AIO in LLM's (KI-SEO*NEU)")</f>
        <v>GEO Agentur - Sichtbarkeit mit AIO in LLM's (KI-SEO*NEU)</v>
      </c>
      <c r="C85" s="8" t="str">
        <f>IFERROR(__xludf.DUMMYFUNCTION("""COMPUTED_VALUE"""),"timospecht.de")</f>
        <v>timospecht.de</v>
      </c>
      <c r="D85" s="11" t="str">
        <f>IFERROR(__xludf.DUMMYFUNCTION("""COMPUTED_VALUE"""),"PRODUCT_PAGE")</f>
        <v>PRODUCT_PAGE</v>
      </c>
      <c r="E85" s="11" t="str">
        <f>IFERROR(__xludf.DUMMYFUNCTION("""COMPUTED_VALUE"""),"OTHER")</f>
        <v>OTHER</v>
      </c>
      <c r="F85" s="11" t="str">
        <f>IFERROR(__xludf.DUMMYFUNCTION("""COMPUTED_VALUE"""),"Product Page")</f>
        <v>Product Page</v>
      </c>
      <c r="G85" s="11" t="b">
        <f>IFERROR(__xludf.DUMMYFUNCTION("""COMPUTED_VALUE"""),FALSE)</f>
        <v>0</v>
      </c>
      <c r="H85" s="11" t="str">
        <f>IFERROR(__xludf.DUMMYFUNCTION("""COMPUTED_VALUE"""),"Nielsen")</f>
        <v>Nielsen</v>
      </c>
      <c r="I85" s="11">
        <f>IFERROR(__xludf.DUMMYFUNCTION("""COMPUTED_VALUE"""),2.0)</f>
        <v>2</v>
      </c>
      <c r="J85" s="11">
        <f>IFERROR(__xludf.DUMMYFUNCTION("""COMPUTED_VALUE"""),0.0)</f>
        <v>0</v>
      </c>
      <c r="K85" s="11">
        <f>IFERROR(__xludf.DUMMYFUNCTION("""COMPUTED_VALUE"""),0.0)</f>
        <v>0</v>
      </c>
    </row>
    <row r="86" ht="15.75" customHeight="1">
      <c r="A86" s="8" t="str">
        <f>IFERROR(__xludf.DUMMYFUNCTION("""COMPUTED_VALUE"""),"https://www.webnique.de/en/webdesign-services/tracking-data-analytics")</f>
        <v>https://www.webnique.de/en/webdesign-services/tracking-data-analytics</v>
      </c>
      <c r="B86" s="11" t="str">
        <f>IFERROR(__xludf.DUMMYFUNCTION("""COMPUTED_VALUE"""),"Web Analytics Agency + Web Tracking \| Munich Germany")</f>
        <v>Web Analytics Agency + Web Tracking \| Munich Germany</v>
      </c>
      <c r="C86" s="8" t="str">
        <f>IFERROR(__xludf.DUMMYFUNCTION("""COMPUTED_VALUE"""),"webnique.de")</f>
        <v>webnique.de</v>
      </c>
      <c r="D86" s="11" t="str">
        <f>IFERROR(__xludf.DUMMYFUNCTION("""COMPUTED_VALUE"""),"PRODUCT_PAGE")</f>
        <v>PRODUCT_PAGE</v>
      </c>
      <c r="E86" s="11" t="str">
        <f>IFERROR(__xludf.DUMMYFUNCTION("""COMPUTED_VALUE"""),"OTHER")</f>
        <v>OTHER</v>
      </c>
      <c r="F86" s="11" t="str">
        <f>IFERROR(__xludf.DUMMYFUNCTION("""COMPUTED_VALUE"""),"Product Page")</f>
        <v>Product Page</v>
      </c>
      <c r="G86" s="11" t="b">
        <f>IFERROR(__xludf.DUMMYFUNCTION("""COMPUTED_VALUE"""),FALSE)</f>
        <v>0</v>
      </c>
      <c r="H86" s="11"/>
      <c r="I86" s="11">
        <f>IFERROR(__xludf.DUMMYFUNCTION("""COMPUTED_VALUE"""),2.0)</f>
        <v>2</v>
      </c>
      <c r="J86" s="11">
        <f>IFERROR(__xludf.DUMMYFUNCTION("""COMPUTED_VALUE"""),0.0)</f>
        <v>0</v>
      </c>
      <c r="K86" s="11">
        <f>IFERROR(__xludf.DUMMYFUNCTION("""COMPUTED_VALUE"""),1.5)</f>
        <v>1.5</v>
      </c>
    </row>
    <row r="87" ht="15.75" customHeight="1">
      <c r="A87" s="8" t="str">
        <f>IFERROR(__xludf.DUMMYFUNCTION("""COMPUTED_VALUE"""),"https://aargroup.co.uk/services-for-marketers/platform-readiness/genai-readiness-assessment/")</f>
        <v>https://aargroup.co.uk/services-for-marketers/platform-readiness/genai-readiness-assessment/</v>
      </c>
      <c r="B87" s="11" t="str">
        <f>IFERROR(__xludf.DUMMYFUNCTION("""COMPUTED_VALUE"""),"Generative AI Readiness Assessment Consulting | AAR")</f>
        <v>Generative AI Readiness Assessment Consulting | AAR</v>
      </c>
      <c r="C87" s="8" t="str">
        <f>IFERROR(__xludf.DUMMYFUNCTION("""COMPUTED_VALUE"""),"aargroup.co.uk")</f>
        <v>aargroup.co.uk</v>
      </c>
      <c r="D87" s="11" t="str">
        <f>IFERROR(__xludf.DUMMYFUNCTION("""COMPUTED_VALUE"""),"PRODUCT_PAGE")</f>
        <v>PRODUCT_PAGE</v>
      </c>
      <c r="E87" s="11" t="str">
        <f>IFERROR(__xludf.DUMMYFUNCTION("""COMPUTED_VALUE"""),"CORPORATE")</f>
        <v>CORPORATE</v>
      </c>
      <c r="F87" s="11" t="str">
        <f>IFERROR(__xludf.DUMMYFUNCTION("""COMPUTED_VALUE"""),"Product Page")</f>
        <v>Product Page</v>
      </c>
      <c r="G87" s="11" t="b">
        <f>IFERROR(__xludf.DUMMYFUNCTION("""COMPUTED_VALUE"""),FALSE)</f>
        <v>0</v>
      </c>
      <c r="H87" s="11" t="str">
        <f>IFERROR(__xludf.DUMMYFUNCTION("""COMPUTED_VALUE"""),"Pilot")</f>
        <v>Pilot</v>
      </c>
      <c r="I87" s="11">
        <f>IFERROR(__xludf.DUMMYFUNCTION("""COMPUTED_VALUE"""),1.0)</f>
        <v>1</v>
      </c>
      <c r="J87" s="11">
        <f>IFERROR(__xludf.DUMMYFUNCTION("""COMPUTED_VALUE"""),0.0)</f>
        <v>0</v>
      </c>
      <c r="K87" s="11">
        <f>IFERROR(__xludf.DUMMYFUNCTION("""COMPUTED_VALUE"""),0.0)</f>
        <v>0</v>
      </c>
    </row>
    <row r="88" ht="15.75" customHeight="1">
      <c r="A88" s="8" t="str">
        <f>IFERROR(__xludf.DUMMYFUNCTION("""COMPUTED_VALUE"""),"https://www.adjust.com/solutions/incrementality/")</f>
        <v>https://www.adjust.com/solutions/incrementality/</v>
      </c>
      <c r="B88" s="11" t="str">
        <f>IFERROR(__xludf.DUMMYFUNCTION("""COMPUTED_VALUE"""),"Incrementality marketing and measurement \| Adjust")</f>
        <v>Incrementality marketing and measurement \| Adjust</v>
      </c>
      <c r="C88" s="8" t="str">
        <f>IFERROR(__xludf.DUMMYFUNCTION("""COMPUTED_VALUE"""),"adjust.com")</f>
        <v>adjust.com</v>
      </c>
      <c r="D88" s="11" t="str">
        <f>IFERROR(__xludf.DUMMYFUNCTION("""COMPUTED_VALUE"""),"PRODUCT_PAGE")</f>
        <v>PRODUCT_PAGE</v>
      </c>
      <c r="E88" s="11" t="str">
        <f>IFERROR(__xludf.DUMMYFUNCTION("""COMPUTED_VALUE"""),"CORPORATE")</f>
        <v>CORPORATE</v>
      </c>
      <c r="F88" s="11" t="str">
        <f>IFERROR(__xludf.DUMMYFUNCTION("""COMPUTED_VALUE"""),"Product Page")</f>
        <v>Product Page</v>
      </c>
      <c r="G88" s="11" t="b">
        <f>IFERROR(__xludf.DUMMYFUNCTION("""COMPUTED_VALUE"""),FALSE)</f>
        <v>0</v>
      </c>
      <c r="H88" s="11"/>
      <c r="I88" s="11">
        <f>IFERROR(__xludf.DUMMYFUNCTION("""COMPUTED_VALUE"""),1.0)</f>
        <v>1</v>
      </c>
      <c r="J88" s="11">
        <f>IFERROR(__xludf.DUMMYFUNCTION("""COMPUTED_VALUE"""),0.0)</f>
        <v>0</v>
      </c>
      <c r="K88" s="11">
        <f>IFERROR(__xludf.DUMMYFUNCTION("""COMPUTED_VALUE"""),1.0)</f>
        <v>1</v>
      </c>
    </row>
    <row r="89" ht="15.75" customHeight="1">
      <c r="A89" s="8" t="str">
        <f>IFERROR(__xludf.DUMMYFUNCTION("""COMPUTED_VALUE"""),"https://www.adseed.de/google-premium-partner/")</f>
        <v>https://www.adseed.de/google-premium-partner/</v>
      </c>
      <c r="B89" s="11" t="str">
        <f>IFERROR(__xludf.DUMMYFUNCTION("""COMPUTED_VALUE"""),"Google Premium Partner | adseed GmbH")</f>
        <v>Google Premium Partner | adseed GmbH</v>
      </c>
      <c r="C89" s="8" t="str">
        <f>IFERROR(__xludf.DUMMYFUNCTION("""COMPUTED_VALUE"""),"adseed.de")</f>
        <v>adseed.de</v>
      </c>
      <c r="D89" s="11" t="str">
        <f>IFERROR(__xludf.DUMMYFUNCTION("""COMPUTED_VALUE"""),"PRODUCT_PAGE")</f>
        <v>PRODUCT_PAGE</v>
      </c>
      <c r="E89" s="11" t="str">
        <f>IFERROR(__xludf.DUMMYFUNCTION("""COMPUTED_VALUE"""),"CORPORATE")</f>
        <v>CORPORATE</v>
      </c>
      <c r="F89" s="11" t="str">
        <f>IFERROR(__xludf.DUMMYFUNCTION("""COMPUTED_VALUE"""),"Product Page")</f>
        <v>Product Page</v>
      </c>
      <c r="G89" s="11" t="b">
        <f>IFERROR(__xludf.DUMMYFUNCTION("""COMPUTED_VALUE"""),FALSE)</f>
        <v>0</v>
      </c>
      <c r="H89" s="11"/>
      <c r="I89" s="11">
        <f>IFERROR(__xludf.DUMMYFUNCTION("""COMPUTED_VALUE"""),1.0)</f>
        <v>1</v>
      </c>
      <c r="J89" s="11">
        <f>IFERROR(__xludf.DUMMYFUNCTION("""COMPUTED_VALUE"""),0.0)</f>
        <v>0</v>
      </c>
      <c r="K89" s="11">
        <f>IFERROR(__xludf.DUMMYFUNCTION("""COMPUTED_VALUE"""),1.0)</f>
        <v>1</v>
      </c>
    </row>
    <row r="90" ht="15.75" customHeight="1">
      <c r="A90" s="8" t="str">
        <f>IFERROR(__xludf.DUMMYFUNCTION("""COMPUTED_VALUE"""),"https://www.adspecialist.de/channel-data-driven-marketing-agentur/")</f>
        <v>https://www.adspecialist.de/channel-data-driven-marketing-agentur/</v>
      </c>
      <c r="B90" s="11" t="str">
        <f>IFERROR(__xludf.DUMMYFUNCTION("""COMPUTED_VALUE"""),"Data Driven Marketing Agentur - Influencer Growth - Ad Specialist")</f>
        <v>Data Driven Marketing Agentur - Influencer Growth - Ad Specialist</v>
      </c>
      <c r="C90" s="8" t="str">
        <f>IFERROR(__xludf.DUMMYFUNCTION("""COMPUTED_VALUE"""),"adspecialist.de")</f>
        <v>adspecialist.de</v>
      </c>
      <c r="D90" s="11" t="str">
        <f>IFERROR(__xludf.DUMMYFUNCTION("""COMPUTED_VALUE"""),"PRODUCT_PAGE")</f>
        <v>PRODUCT_PAGE</v>
      </c>
      <c r="E90" s="11" t="str">
        <f>IFERROR(__xludf.DUMMYFUNCTION("""COMPUTED_VALUE"""),"CORPORATE")</f>
        <v>CORPORATE</v>
      </c>
      <c r="F90" s="11" t="str">
        <f>IFERROR(__xludf.DUMMYFUNCTION("""COMPUTED_VALUE"""),"Product Page")</f>
        <v>Product Page</v>
      </c>
      <c r="G90" s="11" t="b">
        <f>IFERROR(__xludf.DUMMYFUNCTION("""COMPUTED_VALUE"""),FALSE)</f>
        <v>0</v>
      </c>
      <c r="H90" s="11"/>
      <c r="I90" s="11">
        <f>IFERROR(__xludf.DUMMYFUNCTION("""COMPUTED_VALUE"""),1.0)</f>
        <v>1</v>
      </c>
      <c r="J90" s="11">
        <f>IFERROR(__xludf.DUMMYFUNCTION("""COMPUTED_VALUE"""),0.0)</f>
        <v>0</v>
      </c>
      <c r="K90" s="11">
        <f>IFERROR(__xludf.DUMMYFUNCTION("""COMPUTED_VALUE"""),1.0)</f>
        <v>1</v>
      </c>
    </row>
    <row r="91" ht="15.75" customHeight="1">
      <c r="A91" s="8" t="str">
        <f>IFERROR(__xludf.DUMMYFUNCTION("""COMPUTED_VALUE"""),"https://adswerve.com/partners/google")</f>
        <v>https://adswerve.com/partners/google</v>
      </c>
      <c r="B91" s="11" t="str">
        <f>IFERROR(__xludf.DUMMYFUNCTION("""COMPUTED_VALUE"""),"Google Marketing and Cloud Platforms - Adswerve")</f>
        <v>Google Marketing and Cloud Platforms - Adswerve</v>
      </c>
      <c r="C91" s="8" t="str">
        <f>IFERROR(__xludf.DUMMYFUNCTION("""COMPUTED_VALUE"""),"adswerve.com")</f>
        <v>adswerve.com</v>
      </c>
      <c r="D91" s="11" t="str">
        <f>IFERROR(__xludf.DUMMYFUNCTION("""COMPUTED_VALUE"""),"PRODUCT_PAGE")</f>
        <v>PRODUCT_PAGE</v>
      </c>
      <c r="E91" s="11" t="str">
        <f>IFERROR(__xludf.DUMMYFUNCTION("""COMPUTED_VALUE"""),"COMPETITOR")</f>
        <v>COMPETITOR</v>
      </c>
      <c r="F91" s="11" t="str">
        <f>IFERROR(__xludf.DUMMYFUNCTION("""COMPUTED_VALUE"""),"Product Page")</f>
        <v>Product Page</v>
      </c>
      <c r="G91" s="11" t="b">
        <f>IFERROR(__xludf.DUMMYFUNCTION("""COMPUTED_VALUE"""),FALSE)</f>
        <v>0</v>
      </c>
      <c r="H91" s="11" t="str">
        <f>IFERROR(__xludf.DUMMYFUNCTION("""COMPUTED_VALUE"""),"Adswerve")</f>
        <v>Adswerve</v>
      </c>
      <c r="I91" s="11">
        <f>IFERROR(__xludf.DUMMYFUNCTION("""COMPUTED_VALUE"""),1.0)</f>
        <v>1</v>
      </c>
      <c r="J91" s="11">
        <f>IFERROR(__xludf.DUMMYFUNCTION("""COMPUTED_VALUE"""),0.0)</f>
        <v>0</v>
      </c>
      <c r="K91" s="11">
        <f>IFERROR(__xludf.DUMMYFUNCTION("""COMPUTED_VALUE"""),0.0)</f>
        <v>0</v>
      </c>
    </row>
    <row r="92" ht="15.75" customHeight="1">
      <c r="A92" s="8" t="str">
        <f>IFERROR(__xludf.DUMMYFUNCTION("""COMPUTED_VALUE"""),"https://www.advertace.de/tiktok-ads-agentur")</f>
        <v>https://www.advertace.de/tiktok-ads-agentur</v>
      </c>
      <c r="B92" s="11" t="str">
        <f>IFERROR(__xludf.DUMMYFUNCTION("""COMPUTED_VALUE"""),"TikTok Ads Agentur | TikTok Partner - advertace")</f>
        <v>TikTok Ads Agentur | TikTok Partner - advertace</v>
      </c>
      <c r="C92" s="8" t="str">
        <f>IFERROR(__xludf.DUMMYFUNCTION("""COMPUTED_VALUE"""),"advertace.de")</f>
        <v>advertace.de</v>
      </c>
      <c r="D92" s="11" t="str">
        <f>IFERROR(__xludf.DUMMYFUNCTION("""COMPUTED_VALUE"""),"PRODUCT_PAGE")</f>
        <v>PRODUCT_PAGE</v>
      </c>
      <c r="E92" s="11" t="str">
        <f>IFERROR(__xludf.DUMMYFUNCTION("""COMPUTED_VALUE"""),"CORPORATE")</f>
        <v>CORPORATE</v>
      </c>
      <c r="F92" s="11" t="str">
        <f>IFERROR(__xludf.DUMMYFUNCTION("""COMPUTED_VALUE"""),"Product Page")</f>
        <v>Product Page</v>
      </c>
      <c r="G92" s="11" t="b">
        <f>IFERROR(__xludf.DUMMYFUNCTION("""COMPUTED_VALUE"""),FALSE)</f>
        <v>0</v>
      </c>
      <c r="H92" s="11"/>
      <c r="I92" s="11">
        <f>IFERROR(__xludf.DUMMYFUNCTION("""COMPUTED_VALUE"""),1.0)</f>
        <v>1</v>
      </c>
      <c r="J92" s="11">
        <f>IFERROR(__xludf.DUMMYFUNCTION("""COMPUTED_VALUE"""),0.0)</f>
        <v>0</v>
      </c>
      <c r="K92" s="11">
        <f>IFERROR(__xludf.DUMMYFUNCTION("""COMPUTED_VALUE"""),0.0)</f>
        <v>0</v>
      </c>
    </row>
    <row r="93" ht="15.75" customHeight="1">
      <c r="A93" s="8" t="str">
        <f>IFERROR(__xludf.DUMMYFUNCTION("""COMPUTED_VALUE"""),"https://aidolsgroup.com/en/ai-consulting/berlin/")</f>
        <v>https://aidolsgroup.com/en/ai-consulting/berlin/</v>
      </c>
      <c r="B93" s="11" t="str">
        <f>IFERROR(__xludf.DUMMYFUNCTION("""COMPUTED_VALUE"""),"AI Consultants Berlin: 40% ROI, EU AI Act + BDSG-Ready | AIDOLS")</f>
        <v>AI Consultants Berlin: 40% ROI, EU AI Act + BDSG-Ready | AIDOLS</v>
      </c>
      <c r="C93" s="8" t="str">
        <f>IFERROR(__xludf.DUMMYFUNCTION("""COMPUTED_VALUE"""),"aidolsgroup.com")</f>
        <v>aidolsgroup.com</v>
      </c>
      <c r="D93" s="11" t="str">
        <f>IFERROR(__xludf.DUMMYFUNCTION("""COMPUTED_VALUE"""),"PRODUCT_PAGE")</f>
        <v>PRODUCT_PAGE</v>
      </c>
      <c r="E93" s="11" t="str">
        <f>IFERROR(__xludf.DUMMYFUNCTION("""COMPUTED_VALUE"""),"CORPORATE")</f>
        <v>CORPORATE</v>
      </c>
      <c r="F93" s="11" t="str">
        <f>IFERROR(__xludf.DUMMYFUNCTION("""COMPUTED_VALUE"""),"Product Page")</f>
        <v>Product Page</v>
      </c>
      <c r="G93" s="11" t="b">
        <f>IFERROR(__xludf.DUMMYFUNCTION("""COMPUTED_VALUE"""),FALSE)</f>
        <v>0</v>
      </c>
      <c r="H93" s="11" t="str">
        <f>IFERROR(__xludf.DUMMYFUNCTION("""COMPUTED_VALUE"""),"appliedAI")</f>
        <v>appliedAI</v>
      </c>
      <c r="I93" s="11">
        <f>IFERROR(__xludf.DUMMYFUNCTION("""COMPUTED_VALUE"""),1.0)</f>
        <v>1</v>
      </c>
      <c r="J93" s="11">
        <f>IFERROR(__xludf.DUMMYFUNCTION("""COMPUTED_VALUE"""),0.0)</f>
        <v>0</v>
      </c>
      <c r="K93" s="11">
        <f>IFERROR(__xludf.DUMMYFUNCTION("""COMPUTED_VALUE"""),0.0)</f>
        <v>0</v>
      </c>
    </row>
    <row r="94" ht="15.75" customHeight="1">
      <c r="A94" s="8" t="str">
        <f>IFERROR(__xludf.DUMMYFUNCTION("""COMPUTED_VALUE"""),"https://alicelabs.ai/en/enterprise-ai-consulting")</f>
        <v>https://alicelabs.ai/en/enterprise-ai-consulting</v>
      </c>
      <c r="B94" s="11" t="str">
        <f>IFERROR(__xludf.DUMMYFUNCTION("""COMPUTED_VALUE"""),"Enterprise AI Consulting &amp;amp; Implementation in Europe | Alice Labs")</f>
        <v>Enterprise AI Consulting &amp;amp; Implementation in Europe | Alice Labs</v>
      </c>
      <c r="C94" s="8" t="str">
        <f>IFERROR(__xludf.DUMMYFUNCTION("""COMPUTED_VALUE"""),"alicelabs.ai")</f>
        <v>alicelabs.ai</v>
      </c>
      <c r="D94" s="11" t="str">
        <f>IFERROR(__xludf.DUMMYFUNCTION("""COMPUTED_VALUE"""),"PRODUCT_PAGE")</f>
        <v>PRODUCT_PAGE</v>
      </c>
      <c r="E94" s="11" t="str">
        <f>IFERROR(__xludf.DUMMYFUNCTION("""COMPUTED_VALUE"""),"CORPORATE")</f>
        <v>CORPORATE</v>
      </c>
      <c r="F94" s="11" t="str">
        <f>IFERROR(__xludf.DUMMYFUNCTION("""COMPUTED_VALUE"""),"Product Page")</f>
        <v>Product Page</v>
      </c>
      <c r="G94" s="11" t="b">
        <f>IFERROR(__xludf.DUMMYFUNCTION("""COMPUTED_VALUE"""),FALSE)</f>
        <v>0</v>
      </c>
      <c r="H94" s="11" t="str">
        <f>IFERROR(__xludf.DUMMYFUNCTION("""COMPUTED_VALUE"""),"BCG, Capgemini, EY, PwC, Pilot")</f>
        <v>BCG, Capgemini, EY, PwC, Pilot</v>
      </c>
      <c r="I94" s="11">
        <f>IFERROR(__xludf.DUMMYFUNCTION("""COMPUTED_VALUE"""),1.0)</f>
        <v>1</v>
      </c>
      <c r="J94" s="11">
        <f>IFERROR(__xludf.DUMMYFUNCTION("""COMPUTED_VALUE"""),0.0)</f>
        <v>0</v>
      </c>
      <c r="K94" s="11">
        <f>IFERROR(__xludf.DUMMYFUNCTION("""COMPUTED_VALUE"""),0.0)</f>
        <v>0</v>
      </c>
    </row>
    <row r="95" ht="15.75" customHeight="1">
      <c r="A95" s="8" t="str">
        <f>IFERROR(__xludf.DUMMYFUNCTION("""COMPUTED_VALUE"""),"https://www.artefact.com/de/offers/cx-consumer-experience-digital/media-certifications/")</f>
        <v>https://www.artefact.com/de/offers/cx-consumer-experience-digital/media-certifications/</v>
      </c>
      <c r="B95" s="11" t="str">
        <f>IFERROR(__xludf.DUMMYFUNCTION("""COMPUTED_VALUE"""),"Media Certifications - MarTech Partners - Artefact")</f>
        <v>Media Certifications - MarTech Partners - Artefact</v>
      </c>
      <c r="C95" s="8" t="str">
        <f>IFERROR(__xludf.DUMMYFUNCTION("""COMPUTED_VALUE"""),"artefact.com")</f>
        <v>artefact.com</v>
      </c>
      <c r="D95" s="11" t="str">
        <f>IFERROR(__xludf.DUMMYFUNCTION("""COMPUTED_VALUE"""),"PRODUCT_PAGE")</f>
        <v>PRODUCT_PAGE</v>
      </c>
      <c r="E95" s="11" t="str">
        <f>IFERROR(__xludf.DUMMYFUNCTION("""COMPUTED_VALUE"""),"CORPORATE")</f>
        <v>CORPORATE</v>
      </c>
      <c r="F95" s="11" t="str">
        <f>IFERROR(__xludf.DUMMYFUNCTION("""COMPUTED_VALUE"""),"Product Page")</f>
        <v>Product Page</v>
      </c>
      <c r="G95" s="11" t="b">
        <f>IFERROR(__xludf.DUMMYFUNCTION("""COMPUTED_VALUE"""),FALSE)</f>
        <v>0</v>
      </c>
      <c r="H95" s="11" t="str">
        <f>IFERROR(__xludf.DUMMYFUNCTION("""COMPUTED_VALUE"""),"Artefact")</f>
        <v>Artefact</v>
      </c>
      <c r="I95" s="11">
        <f>IFERROR(__xludf.DUMMYFUNCTION("""COMPUTED_VALUE"""),1.0)</f>
        <v>1</v>
      </c>
      <c r="J95" s="11">
        <f>IFERROR(__xludf.DUMMYFUNCTION("""COMPUTED_VALUE"""),0.0)</f>
        <v>0</v>
      </c>
      <c r="K95" s="11">
        <f>IFERROR(__xludf.DUMMYFUNCTION("""COMPUTED_VALUE"""),2.0)</f>
        <v>2</v>
      </c>
    </row>
    <row r="96" ht="15.75" customHeight="1">
      <c r="A96" s="8" t="str">
        <f>IFERROR(__xludf.DUMMYFUNCTION("""COMPUTED_VALUE"""),"https://www.artefact.com/de/offers/marketing-data-driven/gmp-certified-reseller/")</f>
        <v>https://www.artefact.com/de/offers/marketing-data-driven/gmp-certified-reseller/</v>
      </c>
      <c r="B96" s="11" t="str">
        <f>IFERROR(__xludf.DUMMYFUNCTION("""COMPUTED_VALUE"""),"We are a GMP Certified Reseller - Artefact")</f>
        <v>We are a GMP Certified Reseller - Artefact</v>
      </c>
      <c r="C96" s="8" t="str">
        <f>IFERROR(__xludf.DUMMYFUNCTION("""COMPUTED_VALUE"""),"artefact.com")</f>
        <v>artefact.com</v>
      </c>
      <c r="D96" s="11" t="str">
        <f>IFERROR(__xludf.DUMMYFUNCTION("""COMPUTED_VALUE"""),"PRODUCT_PAGE")</f>
        <v>PRODUCT_PAGE</v>
      </c>
      <c r="E96" s="11" t="str">
        <f>IFERROR(__xludf.DUMMYFUNCTION("""COMPUTED_VALUE"""),"CORPORATE")</f>
        <v>CORPORATE</v>
      </c>
      <c r="F96" s="11" t="str">
        <f>IFERROR(__xludf.DUMMYFUNCTION("""COMPUTED_VALUE"""),"Product Page")</f>
        <v>Product Page</v>
      </c>
      <c r="G96" s="11" t="b">
        <f>IFERROR(__xludf.DUMMYFUNCTION("""COMPUTED_VALUE"""),FALSE)</f>
        <v>0</v>
      </c>
      <c r="H96" s="11" t="str">
        <f>IFERROR(__xludf.DUMMYFUNCTION("""COMPUTED_VALUE"""),"Artefact")</f>
        <v>Artefact</v>
      </c>
      <c r="I96" s="11">
        <f>IFERROR(__xludf.DUMMYFUNCTION("""COMPUTED_VALUE"""),1.0)</f>
        <v>1</v>
      </c>
      <c r="J96" s="11">
        <f>IFERROR(__xludf.DUMMYFUNCTION("""COMPUTED_VALUE"""),0.0)</f>
        <v>0</v>
      </c>
      <c r="K96" s="11">
        <f>IFERROR(__xludf.DUMMYFUNCTION("""COMPUTED_VALUE"""),2.0)</f>
        <v>2</v>
      </c>
    </row>
    <row r="97" ht="15.75" customHeight="1">
      <c r="A97" s="8" t="str">
        <f>IFERROR(__xludf.DUMMYFUNCTION("""COMPUTED_VALUE"""),"https://www.artefact.com/de/offers/marketing-data-driven/measurements-mroi-insights/")</f>
        <v>https://www.artefact.com/de/offers/marketing-data-driven/measurements-mroi-insights/</v>
      </c>
      <c r="B97" s="11" t="str">
        <f>IFERROR(__xludf.DUMMYFUNCTION("""COMPUTED_VALUE"""),"Our Measurements (MROI) &amp;amp; Insights Services - Artefact")</f>
        <v>Our Measurements (MROI) &amp;amp; Insights Services - Artefact</v>
      </c>
      <c r="C97" s="8" t="str">
        <f>IFERROR(__xludf.DUMMYFUNCTION("""COMPUTED_VALUE"""),"artefact.com")</f>
        <v>artefact.com</v>
      </c>
      <c r="D97" s="11" t="str">
        <f>IFERROR(__xludf.DUMMYFUNCTION("""COMPUTED_VALUE"""),"PRODUCT_PAGE")</f>
        <v>PRODUCT_PAGE</v>
      </c>
      <c r="E97" s="11" t="str">
        <f>IFERROR(__xludf.DUMMYFUNCTION("""COMPUTED_VALUE"""),"CORPORATE")</f>
        <v>CORPORATE</v>
      </c>
      <c r="F97" s="11" t="str">
        <f>IFERROR(__xludf.DUMMYFUNCTION("""COMPUTED_VALUE"""),"Product Page")</f>
        <v>Product Page</v>
      </c>
      <c r="G97" s="11" t="b">
        <f>IFERROR(__xludf.DUMMYFUNCTION("""COMPUTED_VALUE"""),FALSE)</f>
        <v>0</v>
      </c>
      <c r="H97" s="11" t="str">
        <f>IFERROR(__xludf.DUMMYFUNCTION("""COMPUTED_VALUE"""),"Artefact")</f>
        <v>Artefact</v>
      </c>
      <c r="I97" s="11">
        <f>IFERROR(__xludf.DUMMYFUNCTION("""COMPUTED_VALUE"""),1.0)</f>
        <v>1</v>
      </c>
      <c r="J97" s="11">
        <f>IFERROR(__xludf.DUMMYFUNCTION("""COMPUTED_VALUE"""),0.0)</f>
        <v>0</v>
      </c>
      <c r="K97" s="11">
        <f>IFERROR(__xludf.DUMMYFUNCTION("""COMPUTED_VALUE"""),1.0)</f>
        <v>1</v>
      </c>
    </row>
    <row r="98" ht="15.75" customHeight="1">
      <c r="A98" s="8" t="str">
        <f>IFERROR(__xludf.DUMMYFUNCTION("""COMPUTED_VALUE"""),"https://www.artefact.com/de/offers/marketing-data-driven/media-services-and-certifications/")</f>
        <v>https://www.artefact.com/de/offers/marketing-data-driven/media-services-and-certifications/</v>
      </c>
      <c r="B98" s="11" t="str">
        <f>IFERROR(__xludf.DUMMYFUNCTION("""COMPUTED_VALUE"""),"Our Media services: SEO, SEA, Paid, Retail Media... - Artefact")</f>
        <v>Our Media services: SEO, SEA, Paid, Retail Media... - Artefact</v>
      </c>
      <c r="C98" s="8" t="str">
        <f>IFERROR(__xludf.DUMMYFUNCTION("""COMPUTED_VALUE"""),"artefact.com")</f>
        <v>artefact.com</v>
      </c>
      <c r="D98" s="11" t="str">
        <f>IFERROR(__xludf.DUMMYFUNCTION("""COMPUTED_VALUE"""),"PRODUCT_PAGE")</f>
        <v>PRODUCT_PAGE</v>
      </c>
      <c r="E98" s="11" t="str">
        <f>IFERROR(__xludf.DUMMYFUNCTION("""COMPUTED_VALUE"""),"CORPORATE")</f>
        <v>CORPORATE</v>
      </c>
      <c r="F98" s="11" t="str">
        <f>IFERROR(__xludf.DUMMYFUNCTION("""COMPUTED_VALUE"""),"Product Page")</f>
        <v>Product Page</v>
      </c>
      <c r="G98" s="11" t="b">
        <f>IFERROR(__xludf.DUMMYFUNCTION("""COMPUTED_VALUE"""),FALSE)</f>
        <v>0</v>
      </c>
      <c r="H98" s="11" t="str">
        <f>IFERROR(__xludf.DUMMYFUNCTION("""COMPUTED_VALUE"""),"Artefact")</f>
        <v>Artefact</v>
      </c>
      <c r="I98" s="11">
        <f>IFERROR(__xludf.DUMMYFUNCTION("""COMPUTED_VALUE"""),1.0)</f>
        <v>1</v>
      </c>
      <c r="J98" s="11">
        <f>IFERROR(__xludf.DUMMYFUNCTION("""COMPUTED_VALUE"""),0.0)</f>
        <v>0</v>
      </c>
      <c r="K98" s="11">
        <f>IFERROR(__xludf.DUMMYFUNCTION("""COMPUTED_VALUE"""),0.0)</f>
        <v>0</v>
      </c>
    </row>
    <row r="99" ht="15.75" customHeight="1">
      <c r="A99" s="8" t="str">
        <f>IFERROR(__xludf.DUMMYFUNCTION("""COMPUTED_VALUE"""),"https://www.biloba-it.de/en/online-marketing/web-analytics/")</f>
        <v>https://www.biloba-it.de/en/online-marketing/web-analytics/</v>
      </c>
      <c r="B99" s="11" t="str">
        <f>IFERROR(__xludf.DUMMYFUNCTION("""COMPUTED_VALUE"""),"Your agency for web analytics &amp;amp; tracking - Biloba IT")</f>
        <v>Your agency for web analytics &amp;amp; tracking - Biloba IT</v>
      </c>
      <c r="C99" s="8" t="str">
        <f>IFERROR(__xludf.DUMMYFUNCTION("""COMPUTED_VALUE"""),"biloba-it.de")</f>
        <v>biloba-it.de</v>
      </c>
      <c r="D99" s="11" t="str">
        <f>IFERROR(__xludf.DUMMYFUNCTION("""COMPUTED_VALUE"""),"PRODUCT_PAGE")</f>
        <v>PRODUCT_PAGE</v>
      </c>
      <c r="E99" s="11" t="str">
        <f>IFERROR(__xludf.DUMMYFUNCTION("""COMPUTED_VALUE"""),"CORPORATE")</f>
        <v>CORPORATE</v>
      </c>
      <c r="F99" s="11" t="str">
        <f>IFERROR(__xludf.DUMMYFUNCTION("""COMPUTED_VALUE"""),"Product Page")</f>
        <v>Product Page</v>
      </c>
      <c r="G99" s="11" t="b">
        <f>IFERROR(__xludf.DUMMYFUNCTION("""COMPUTED_VALUE"""),FALSE)</f>
        <v>0</v>
      </c>
      <c r="H99" s="11" t="str">
        <f>IFERROR(__xludf.DUMMYFUNCTION("""COMPUTED_VALUE"""),"Measured")</f>
        <v>Measured</v>
      </c>
      <c r="I99" s="11">
        <f>IFERROR(__xludf.DUMMYFUNCTION("""COMPUTED_VALUE"""),1.0)</f>
        <v>1</v>
      </c>
      <c r="J99" s="11">
        <f>IFERROR(__xludf.DUMMYFUNCTION("""COMPUTED_VALUE"""),0.0)</f>
        <v>0</v>
      </c>
      <c r="K99" s="11">
        <f>IFERROR(__xludf.DUMMYFUNCTION("""COMPUTED_VALUE"""),1.0)</f>
        <v>1</v>
      </c>
    </row>
    <row r="100" ht="15.75" customHeight="1">
      <c r="A100" s="8" t="str">
        <f>IFERROR(__xludf.DUMMYFUNCTION("""COMPUTED_VALUE"""),"https://bundb.de/ai-marketing/")</f>
        <v>https://bundb.de/ai-marketing/</v>
      </c>
      <c r="B100" s="11" t="str">
        <f>IFERROR(__xludf.DUMMYFUNCTION("""COMPUTED_VALUE"""),"AI Marketing | B&amp;amp;B.")</f>
        <v>AI Marketing | B&amp;amp;B.</v>
      </c>
      <c r="C100" s="8" t="str">
        <f>IFERROR(__xludf.DUMMYFUNCTION("""COMPUTED_VALUE"""),"bundb.de")</f>
        <v>bundb.de</v>
      </c>
      <c r="D100" s="11" t="str">
        <f>IFERROR(__xludf.DUMMYFUNCTION("""COMPUTED_VALUE"""),"PRODUCT_PAGE")</f>
        <v>PRODUCT_PAGE</v>
      </c>
      <c r="E100" s="11" t="str">
        <f>IFERROR(__xludf.DUMMYFUNCTION("""COMPUTED_VALUE"""),"CORPORATE")</f>
        <v>CORPORATE</v>
      </c>
      <c r="F100" s="11" t="str">
        <f>IFERROR(__xludf.DUMMYFUNCTION("""COMPUTED_VALUE"""),"Product Page")</f>
        <v>Product Page</v>
      </c>
      <c r="G100" s="11" t="b">
        <f>IFERROR(__xludf.DUMMYFUNCTION("""COMPUTED_VALUE"""),FALSE)</f>
        <v>0</v>
      </c>
      <c r="H100" s="11"/>
      <c r="I100" s="11">
        <f>IFERROR(__xludf.DUMMYFUNCTION("""COMPUTED_VALUE"""),1.0)</f>
        <v>1</v>
      </c>
      <c r="J100" s="11">
        <f>IFERROR(__xludf.DUMMYFUNCTION("""COMPUTED_VALUE"""),0.0)</f>
        <v>0</v>
      </c>
      <c r="K100" s="11">
        <f>IFERROR(__xludf.DUMMYFUNCTION("""COMPUTED_VALUE"""),0.0)</f>
        <v>0</v>
      </c>
    </row>
    <row r="101" ht="15.75" customHeight="1">
      <c r="A101" s="8" t="str">
        <f>IFERROR(__xludf.DUMMYFUNCTION("""COMPUTED_VALUE"""),"https://business.google.com/en-all/support/work-with-a-partner/")</f>
        <v>https://business.google.com/en-all/support/work-with-a-partner/</v>
      </c>
      <c r="B101" s="11" t="str">
        <f>IFERROR(__xludf.DUMMYFUNCTION("""COMPUTED_VALUE"""),"Work with a Google Partner for a Successful Campaign – Google Ads")</f>
        <v>Work with a Google Partner for a Successful Campaign – Google Ads</v>
      </c>
      <c r="C101" s="8" t="str">
        <f>IFERROR(__xludf.DUMMYFUNCTION("""COMPUTED_VALUE"""),"google.com")</f>
        <v>google.com</v>
      </c>
      <c r="D101" s="11" t="str">
        <f>IFERROR(__xludf.DUMMYFUNCTION("""COMPUTED_VALUE"""),"PRODUCT_PAGE")</f>
        <v>PRODUCT_PAGE</v>
      </c>
      <c r="E101" s="11" t="str">
        <f>IFERROR(__xludf.DUMMYFUNCTION("""COMPUTED_VALUE"""),"OTHER")</f>
        <v>OTHER</v>
      </c>
      <c r="F101" s="11" t="str">
        <f>IFERROR(__xludf.DUMMYFUNCTION("""COMPUTED_VALUE"""),"Product Page")</f>
        <v>Product Page</v>
      </c>
      <c r="G101" s="11" t="b">
        <f>IFERROR(__xludf.DUMMYFUNCTION("""COMPUTED_VALUE"""),FALSE)</f>
        <v>0</v>
      </c>
      <c r="H101" s="11" t="str">
        <f>IFERROR(__xludf.DUMMYFUNCTION("""COMPUTED_VALUE"""),"New Engen, Wpromote")</f>
        <v>New Engen, Wpromote</v>
      </c>
      <c r="I101" s="11">
        <f>IFERROR(__xludf.DUMMYFUNCTION("""COMPUTED_VALUE"""),1.0)</f>
        <v>1</v>
      </c>
      <c r="J101" s="11">
        <f>IFERROR(__xludf.DUMMYFUNCTION("""COMPUTED_VALUE"""),0.0)</f>
        <v>0</v>
      </c>
      <c r="K101" s="11">
        <f>IFERROR(__xludf.DUMMYFUNCTION("""COMPUTED_VALUE"""),0.0)</f>
        <v>0</v>
      </c>
    </row>
    <row r="102" ht="15.75" customHeight="1">
      <c r="A102" s="8" t="str">
        <f>IFERROR(__xludf.DUMMYFUNCTION("""COMPUTED_VALUE"""),"https://calvarius.com/leistungen/performance-marketing/social-media-werbung")</f>
        <v>https://calvarius.com/leistungen/performance-marketing/social-media-werbung</v>
      </c>
      <c r="B102" s="11" t="str">
        <f>IFERROR(__xludf.DUMMYFUNCTION("""COMPUTED_VALUE"""),"Social Media Werbung — Paid Social für Performance — Calvarius")</f>
        <v>Social Media Werbung — Paid Social für Performance — Calvarius</v>
      </c>
      <c r="C102" s="8" t="str">
        <f>IFERROR(__xludf.DUMMYFUNCTION("""COMPUTED_VALUE"""),"calvarius.com")</f>
        <v>calvarius.com</v>
      </c>
      <c r="D102" s="11" t="str">
        <f>IFERROR(__xludf.DUMMYFUNCTION("""COMPUTED_VALUE"""),"PRODUCT_PAGE")</f>
        <v>PRODUCT_PAGE</v>
      </c>
      <c r="E102" s="11" t="str">
        <f>IFERROR(__xludf.DUMMYFUNCTION("""COMPUTED_VALUE"""),"CORPORATE")</f>
        <v>CORPORATE</v>
      </c>
      <c r="F102" s="11" t="str">
        <f>IFERROR(__xludf.DUMMYFUNCTION("""COMPUTED_VALUE"""),"Product Page")</f>
        <v>Product Page</v>
      </c>
      <c r="G102" s="11" t="b">
        <f>IFERROR(__xludf.DUMMYFUNCTION("""COMPUTED_VALUE"""),FALSE)</f>
        <v>0</v>
      </c>
      <c r="H102" s="11"/>
      <c r="I102" s="11">
        <f>IFERROR(__xludf.DUMMYFUNCTION("""COMPUTED_VALUE"""),1.0)</f>
        <v>1</v>
      </c>
      <c r="J102" s="11">
        <f>IFERROR(__xludf.DUMMYFUNCTION("""COMPUTED_VALUE"""),0.0)</f>
        <v>0</v>
      </c>
      <c r="K102" s="11">
        <f>IFERROR(__xludf.DUMMYFUNCTION("""COMPUTED_VALUE"""),0.0)</f>
        <v>0</v>
      </c>
    </row>
    <row r="103" ht="15.75" customHeight="1">
      <c r="A103" s="8" t="str">
        <f>IFERROR(__xludf.DUMMYFUNCTION("""COMPUTED_VALUE"""),"https://www.cigen.io/services/ai-adoption-strategy-consulting")</f>
        <v>https://www.cigen.io/services/ai-adoption-strategy-consulting</v>
      </c>
      <c r="B103" s="11" t="str">
        <f>IFERROR(__xludf.DUMMYFUNCTION("""COMPUTED_VALUE"""),"AI Strategy Consulting &amp;amp; Adoption Roadmap Services")</f>
        <v>AI Strategy Consulting &amp;amp; Adoption Roadmap Services</v>
      </c>
      <c r="C103" s="8" t="str">
        <f>IFERROR(__xludf.DUMMYFUNCTION("""COMPUTED_VALUE"""),"cigen.io")</f>
        <v>cigen.io</v>
      </c>
      <c r="D103" s="11" t="str">
        <f>IFERROR(__xludf.DUMMYFUNCTION("""COMPUTED_VALUE"""),"PRODUCT_PAGE")</f>
        <v>PRODUCT_PAGE</v>
      </c>
      <c r="E103" s="11" t="str">
        <f>IFERROR(__xludf.DUMMYFUNCTION("""COMPUTED_VALUE"""),"CORPORATE")</f>
        <v>CORPORATE</v>
      </c>
      <c r="F103" s="11" t="str">
        <f>IFERROR(__xludf.DUMMYFUNCTION("""COMPUTED_VALUE"""),"Product Page")</f>
        <v>Product Page</v>
      </c>
      <c r="G103" s="11" t="b">
        <f>IFERROR(__xludf.DUMMYFUNCTION("""COMPUTED_VALUE"""),FALSE)</f>
        <v>0</v>
      </c>
      <c r="H103" s="11" t="str">
        <f>IFERROR(__xludf.DUMMYFUNCTION("""COMPUTED_VALUE"""),"Pilot")</f>
        <v>Pilot</v>
      </c>
      <c r="I103" s="11">
        <f>IFERROR(__xludf.DUMMYFUNCTION("""COMPUTED_VALUE"""),1.0)</f>
        <v>1</v>
      </c>
      <c r="J103" s="11">
        <f>IFERROR(__xludf.DUMMYFUNCTION("""COMPUTED_VALUE"""),0.0)</f>
        <v>0</v>
      </c>
      <c r="K103" s="11">
        <f>IFERROR(__xludf.DUMMYFUNCTION("""COMPUTED_VALUE"""),0.0)</f>
        <v>0</v>
      </c>
    </row>
    <row r="104" ht="15.75" customHeight="1">
      <c r="A104" s="8" t="str">
        <f>IFERROR(__xludf.DUMMYFUNCTION("""COMPUTED_VALUE"""),"https://codewave.com/feeds/service/ai-adoption-readiness-consulting-enterprises")</f>
        <v>https://codewave.com/feeds/service/ai-adoption-readiness-consulting-enterprises</v>
      </c>
      <c r="B104" s="11" t="str">
        <f>IFERROR(__xludf.DUMMYFUNCTION("""COMPUTED_VALUE"""),"AI Readiness and Adoption Consulting for Enterprises – 400+ Businesses")</f>
        <v>AI Readiness and Adoption Consulting for Enterprises – 400+ Businesses</v>
      </c>
      <c r="C104" s="8" t="str">
        <f>IFERROR(__xludf.DUMMYFUNCTION("""COMPUTED_VALUE"""),"codewave.com")</f>
        <v>codewave.com</v>
      </c>
      <c r="D104" s="11" t="str">
        <f>IFERROR(__xludf.DUMMYFUNCTION("""COMPUTED_VALUE"""),"PRODUCT_PAGE")</f>
        <v>PRODUCT_PAGE</v>
      </c>
      <c r="E104" s="11" t="str">
        <f>IFERROR(__xludf.DUMMYFUNCTION("""COMPUTED_VALUE"""),"CORPORATE")</f>
        <v>CORPORATE</v>
      </c>
      <c r="F104" s="11" t="str">
        <f>IFERROR(__xludf.DUMMYFUNCTION("""COMPUTED_VALUE"""),"Product Page")</f>
        <v>Product Page</v>
      </c>
      <c r="G104" s="11" t="b">
        <f>IFERROR(__xludf.DUMMYFUNCTION("""COMPUTED_VALUE"""),FALSE)</f>
        <v>0</v>
      </c>
      <c r="H104" s="11" t="str">
        <f>IFERROR(__xludf.DUMMYFUNCTION("""COMPUTED_VALUE"""),"Pilot, Measured")</f>
        <v>Pilot, Measured</v>
      </c>
      <c r="I104" s="11">
        <f>IFERROR(__xludf.DUMMYFUNCTION("""COMPUTED_VALUE"""),1.0)</f>
        <v>1</v>
      </c>
      <c r="J104" s="11">
        <f>IFERROR(__xludf.DUMMYFUNCTION("""COMPUTED_VALUE"""),0.0)</f>
        <v>0</v>
      </c>
      <c r="K104" s="11">
        <f>IFERROR(__xludf.DUMMYFUNCTION("""COMPUTED_VALUE"""),0.0)</f>
        <v>0</v>
      </c>
    </row>
    <row r="105" ht="15.75" customHeight="1">
      <c r="A105" s="8" t="str">
        <f>IFERROR(__xludf.DUMMYFUNCTION("""COMPUTED_VALUE"""),"https://converlytics.com/leistungen/data-driven-marketing/")</f>
        <v>https://converlytics.com/leistungen/data-driven-marketing/</v>
      </c>
      <c r="B105" s="11" t="str">
        <f>IFERROR(__xludf.DUMMYFUNCTION("""COMPUTED_VALUE"""),"Data Driven Marketing - converlytics")</f>
        <v>Data Driven Marketing - converlytics</v>
      </c>
      <c r="C105" s="8" t="str">
        <f>IFERROR(__xludf.DUMMYFUNCTION("""COMPUTED_VALUE"""),"converlytics.com")</f>
        <v>converlytics.com</v>
      </c>
      <c r="D105" s="11" t="str">
        <f>IFERROR(__xludf.DUMMYFUNCTION("""COMPUTED_VALUE"""),"PRODUCT_PAGE")</f>
        <v>PRODUCT_PAGE</v>
      </c>
      <c r="E105" s="11" t="str">
        <f>IFERROR(__xludf.DUMMYFUNCTION("""COMPUTED_VALUE"""),"CORPORATE")</f>
        <v>CORPORATE</v>
      </c>
      <c r="F105" s="11" t="str">
        <f>IFERROR(__xludf.DUMMYFUNCTION("""COMPUTED_VALUE"""),"Product Page")</f>
        <v>Product Page</v>
      </c>
      <c r="G105" s="11" t="b">
        <f>IFERROR(__xludf.DUMMYFUNCTION("""COMPUTED_VALUE"""),FALSE)</f>
        <v>0</v>
      </c>
      <c r="H105" s="11"/>
      <c r="I105" s="11">
        <f>IFERROR(__xludf.DUMMYFUNCTION("""COMPUTED_VALUE"""),1.0)</f>
        <v>1</v>
      </c>
      <c r="J105" s="11">
        <f>IFERROR(__xludf.DUMMYFUNCTION("""COMPUTED_VALUE"""),0.0)</f>
        <v>0</v>
      </c>
      <c r="K105" s="11">
        <f>IFERROR(__xludf.DUMMYFUNCTION("""COMPUTED_VALUE"""),1.0)</f>
        <v>1</v>
      </c>
    </row>
    <row r="106" ht="15.75" customHeight="1">
      <c r="A106" s="8" t="str">
        <f>IFERROR(__xludf.DUMMYFUNCTION("""COMPUTED_VALUE"""),"https://criterionglobal.com/expertise/international-media-planning-and-buying-agency")</f>
        <v>https://criterionglobal.com/expertise/international-media-planning-and-buying-agency</v>
      </c>
      <c r="B106" s="11" t="str">
        <f>IFERROR(__xludf.DUMMYFUNCTION("""COMPUTED_VALUE"""),"International Media Planning &amp;amp; Buying Agency | Criterion Global")</f>
        <v>International Media Planning &amp;amp; Buying Agency | Criterion Global</v>
      </c>
      <c r="C106" s="8" t="str">
        <f>IFERROR(__xludf.DUMMYFUNCTION("""COMPUTED_VALUE"""),"criterionglobal.com")</f>
        <v>criterionglobal.com</v>
      </c>
      <c r="D106" s="11" t="str">
        <f>IFERROR(__xludf.DUMMYFUNCTION("""COMPUTED_VALUE"""),"PRODUCT_PAGE")</f>
        <v>PRODUCT_PAGE</v>
      </c>
      <c r="E106" s="11" t="str">
        <f>IFERROR(__xludf.DUMMYFUNCTION("""COMPUTED_VALUE"""),"CORPORATE")</f>
        <v>CORPORATE</v>
      </c>
      <c r="F106" s="11" t="str">
        <f>IFERROR(__xludf.DUMMYFUNCTION("""COMPUTED_VALUE"""),"Product Page")</f>
        <v>Product Page</v>
      </c>
      <c r="G106" s="11" t="b">
        <f>IFERROR(__xludf.DUMMYFUNCTION("""COMPUTED_VALUE"""),FALSE)</f>
        <v>0</v>
      </c>
      <c r="H106" s="11"/>
      <c r="I106" s="11">
        <f>IFERROR(__xludf.DUMMYFUNCTION("""COMPUTED_VALUE"""),1.0)</f>
        <v>1</v>
      </c>
      <c r="J106" s="11">
        <f>IFERROR(__xludf.DUMMYFUNCTION("""COMPUTED_VALUE"""),0.0)</f>
        <v>0</v>
      </c>
      <c r="K106" s="11">
        <f>IFERROR(__xludf.DUMMYFUNCTION("""COMPUTED_VALUE"""),0.0)</f>
        <v>0</v>
      </c>
    </row>
    <row r="107" ht="15.75" customHeight="1">
      <c r="A107" s="8" t="str">
        <f>IFERROR(__xludf.DUMMYFUNCTION("""COMPUTED_VALUE"""),"https://csw.agency/en/seo-agency-duesseldorf/")</f>
        <v>https://csw.agency/en/seo-agency-duesseldorf/</v>
      </c>
      <c r="B107" s="11" t="str">
        <f>IFERROR(__xludf.DUMMYFUNCTION("""COMPUTED_VALUE"""),"SEO Agency Düsseldorf - Modern &amp;amp; innovative SEO 2026 🥇")</f>
        <v>SEO Agency Düsseldorf - Modern &amp;amp; innovative SEO 2026 🥇</v>
      </c>
      <c r="C107" s="11" t="str">
        <f>IFERROR(__xludf.DUMMYFUNCTION("""COMPUTED_VALUE"""),"csw.agency")</f>
        <v>csw.agency</v>
      </c>
      <c r="D107" s="11" t="str">
        <f>IFERROR(__xludf.DUMMYFUNCTION("""COMPUTED_VALUE"""),"PRODUCT_PAGE")</f>
        <v>PRODUCT_PAGE</v>
      </c>
      <c r="E107" s="11" t="str">
        <f>IFERROR(__xludf.DUMMYFUNCTION("""COMPUTED_VALUE"""),"CORPORATE")</f>
        <v>CORPORATE</v>
      </c>
      <c r="F107" s="11" t="str">
        <f>IFERROR(__xludf.DUMMYFUNCTION("""COMPUTED_VALUE"""),"Product Page")</f>
        <v>Product Page</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8" t="str">
        <f>IFERROR(__xludf.DUMMYFUNCTION("""COMPUTED_VALUE"""),"https://www.datafirstsolutions.de/agency")</f>
        <v>https://www.datafirstsolutions.de/agency</v>
      </c>
      <c r="B108" s="11" t="str">
        <f>IFERROR(__xludf.DUMMYFUNCTION("""COMPUTED_VALUE"""),"Affiliate-Programm-Steuerung und Beratung | DataFirst Agency")</f>
        <v>Affiliate-Programm-Steuerung und Beratung | DataFirst Agency</v>
      </c>
      <c r="C108" s="8" t="str">
        <f>IFERROR(__xludf.DUMMYFUNCTION("""COMPUTED_VALUE"""),"datafirstsolutions.de")</f>
        <v>datafirstsolutions.de</v>
      </c>
      <c r="D108" s="11" t="str">
        <f>IFERROR(__xludf.DUMMYFUNCTION("""COMPUTED_VALUE"""),"PRODUCT_PAGE")</f>
        <v>PRODUCT_PAGE</v>
      </c>
      <c r="E108" s="11" t="str">
        <f>IFERROR(__xludf.DUMMYFUNCTION("""COMPUTED_VALUE"""),"CORPORATE")</f>
        <v>CORPORATE</v>
      </c>
      <c r="F108" s="11" t="str">
        <f>IFERROR(__xludf.DUMMYFUNCTION("""COMPUTED_VALUE"""),"Product Page")</f>
        <v>Product Page</v>
      </c>
      <c r="G108" s="11" t="b">
        <f>IFERROR(__xludf.DUMMYFUNCTION("""COMPUTED_VALUE"""),FALSE)</f>
        <v>0</v>
      </c>
      <c r="H108" s="11"/>
      <c r="I108" s="11">
        <f>IFERROR(__xludf.DUMMYFUNCTION("""COMPUTED_VALUE"""),1.0)</f>
        <v>1</v>
      </c>
      <c r="J108" s="11">
        <f>IFERROR(__xludf.DUMMYFUNCTION("""COMPUTED_VALUE"""),0.0)</f>
        <v>0</v>
      </c>
      <c r="K108" s="11">
        <f>IFERROR(__xludf.DUMMYFUNCTION("""COMPUTED_VALUE"""),0.0)</f>
        <v>0</v>
      </c>
    </row>
    <row r="109" ht="15.75" customHeight="1">
      <c r="A109" s="8" t="str">
        <f>IFERROR(__xludf.DUMMYFUNCTION("""COMPUTED_VALUE"""),"https://datalion.com/en/marketing-data-solutions/")</f>
        <v>https://datalion.com/en/marketing-data-solutions/</v>
      </c>
      <c r="B109" s="11" t="str">
        <f>IFERROR(__xludf.DUMMYFUNCTION("""COMPUTED_VALUE"""),"Marketing Data &amp;amp; Analytics – every channel in one dashboard | DataLion")</f>
        <v>Marketing Data &amp;amp; Analytics – every channel in one dashboard | DataLion</v>
      </c>
      <c r="C109" s="8" t="str">
        <f>IFERROR(__xludf.DUMMYFUNCTION("""COMPUTED_VALUE"""),"datalion.com")</f>
        <v>datalion.com</v>
      </c>
      <c r="D109" s="11" t="str">
        <f>IFERROR(__xludf.DUMMYFUNCTION("""COMPUTED_VALUE"""),"PRODUCT_PAGE")</f>
        <v>PRODUCT_PAGE</v>
      </c>
      <c r="E109" s="11" t="str">
        <f>IFERROR(__xludf.DUMMYFUNCTION("""COMPUTED_VALUE"""),"CORPORATE")</f>
        <v>CORPORATE</v>
      </c>
      <c r="F109" s="11" t="str">
        <f>IFERROR(__xludf.DUMMYFUNCTION("""COMPUTED_VALUE"""),"Product Page")</f>
        <v>Product Page</v>
      </c>
      <c r="G109" s="11" t="b">
        <f>IFERROR(__xludf.DUMMYFUNCTION("""COMPUTED_VALUE"""),FALSE)</f>
        <v>0</v>
      </c>
      <c r="H109" s="11" t="str">
        <f>IFERROR(__xludf.DUMMYFUNCTION("""COMPUTED_VALUE"""),"Nielsen")</f>
        <v>Nielsen</v>
      </c>
      <c r="I109" s="11">
        <f>IFERROR(__xludf.DUMMYFUNCTION("""COMPUTED_VALUE"""),1.0)</f>
        <v>1</v>
      </c>
      <c r="J109" s="11">
        <f>IFERROR(__xludf.DUMMYFUNCTION("""COMPUTED_VALUE"""),0.0)</f>
        <v>0</v>
      </c>
      <c r="K109" s="11">
        <f>IFERROR(__xludf.DUMMYFUNCTION("""COMPUTED_VALUE"""),0.0)</f>
        <v>0</v>
      </c>
    </row>
    <row r="110" ht="15.75" customHeight="1">
      <c r="A110" s="8" t="str">
        <f>IFERROR(__xludf.DUMMYFUNCTION("""COMPUTED_VALUE"""),"https://www.deloitte.com/us/en/services/consulting/services/generative-ai-readiness-and-adoption.html")</f>
        <v>https://www.deloitte.com/us/en/services/consulting/services/generative-ai-readiness-and-adoption.html</v>
      </c>
      <c r="B110" s="11" t="str">
        <f>IFERROR(__xludf.DUMMYFUNCTION("""COMPUTED_VALUE"""),"GenAI Readiness and Adoption | Deloitte US")</f>
        <v>GenAI Readiness and Adoption | Deloitte US</v>
      </c>
      <c r="C110" s="8" t="str">
        <f>IFERROR(__xludf.DUMMYFUNCTION("""COMPUTED_VALUE"""),"deloitte.com")</f>
        <v>deloitte.com</v>
      </c>
      <c r="D110" s="11" t="str">
        <f>IFERROR(__xludf.DUMMYFUNCTION("""COMPUTED_VALUE"""),"PRODUCT_PAGE")</f>
        <v>PRODUCT_PAGE</v>
      </c>
      <c r="E110" s="11" t="str">
        <f>IFERROR(__xludf.DUMMYFUNCTION("""COMPUTED_VALUE"""),"CORPORATE")</f>
        <v>CORPORATE</v>
      </c>
      <c r="F110" s="11" t="str">
        <f>IFERROR(__xludf.DUMMYFUNCTION("""COMPUTED_VALUE"""),"Product Page")</f>
        <v>Product Page</v>
      </c>
      <c r="G110" s="11" t="b">
        <f>IFERROR(__xludf.DUMMYFUNCTION("""COMPUTED_VALUE"""),FALSE)</f>
        <v>0</v>
      </c>
      <c r="H110" s="11" t="str">
        <f>IFERROR(__xludf.DUMMYFUNCTION("""COMPUTED_VALUE"""),"Deloitte Digital")</f>
        <v>Deloitte Digital</v>
      </c>
      <c r="I110" s="11">
        <f>IFERROR(__xludf.DUMMYFUNCTION("""COMPUTED_VALUE"""),1.0)</f>
        <v>1</v>
      </c>
      <c r="J110" s="11">
        <f>IFERROR(__xludf.DUMMYFUNCTION("""COMPUTED_VALUE"""),0.0)</f>
        <v>0</v>
      </c>
      <c r="K110" s="11">
        <f>IFERROR(__xludf.DUMMYFUNCTION("""COMPUTED_VALUE"""),2.0)</f>
        <v>2</v>
      </c>
    </row>
    <row r="111" ht="15.75" customHeight="1">
      <c r="A111" s="8" t="str">
        <f>IFERROR(__xludf.DUMMYFUNCTION("""COMPUTED_VALUE"""),"https://www.deptagency.com/partner/google-marketing-platform/")</f>
        <v>https://www.deptagency.com/partner/google-marketing-platform/</v>
      </c>
      <c r="B111" s="11" t="str">
        <f>IFERROR(__xludf.DUMMYFUNCTION("""COMPUTED_VALUE"""),"GMP Agency Partner - Google Premier Partner - DEPT®")</f>
        <v>GMP Agency Partner - Google Premier Partner - DEPT®</v>
      </c>
      <c r="C111" s="8" t="str">
        <f>IFERROR(__xludf.DUMMYFUNCTION("""COMPUTED_VALUE"""),"deptagency.com")</f>
        <v>deptagency.com</v>
      </c>
      <c r="D111" s="11" t="str">
        <f>IFERROR(__xludf.DUMMYFUNCTION("""COMPUTED_VALUE"""),"PRODUCT_PAGE")</f>
        <v>PRODUCT_PAGE</v>
      </c>
      <c r="E111" s="11" t="str">
        <f>IFERROR(__xludf.DUMMYFUNCTION("""COMPUTED_VALUE"""),"COMPETITOR")</f>
        <v>COMPETITOR</v>
      </c>
      <c r="F111" s="11" t="str">
        <f>IFERROR(__xludf.DUMMYFUNCTION("""COMPUTED_VALUE"""),"Product Page")</f>
        <v>Product Page</v>
      </c>
      <c r="G111" s="11" t="b">
        <f>IFERROR(__xludf.DUMMYFUNCTION("""COMPUTED_VALUE"""),FALSE)</f>
        <v>0</v>
      </c>
      <c r="H111" s="11" t="str">
        <f>IFERROR(__xludf.DUMMYFUNCTION("""COMPUTED_VALUE"""),"DEPT")</f>
        <v>DEPT</v>
      </c>
      <c r="I111" s="11">
        <f>IFERROR(__xludf.DUMMYFUNCTION("""COMPUTED_VALUE"""),1.0)</f>
        <v>1</v>
      </c>
      <c r="J111" s="11">
        <f>IFERROR(__xludf.DUMMYFUNCTION("""COMPUTED_VALUE"""),0.0)</f>
        <v>0</v>
      </c>
      <c r="K111" s="11">
        <f>IFERROR(__xludf.DUMMYFUNCTION("""COMPUTED_VALUE"""),0.0)</f>
        <v>0</v>
      </c>
    </row>
    <row r="112" ht="15.75" customHeight="1">
      <c r="A112" s="8" t="str">
        <f>IFERROR(__xludf.DUMMYFUNCTION("""COMPUTED_VALUE"""),"https://www.detecon.com/en/ai-readiness-assessment")</f>
        <v>https://www.detecon.com/en/ai-readiness-assessment</v>
      </c>
      <c r="B112" s="11" t="str">
        <f>IFERROR(__xludf.DUMMYFUNCTION("""COMPUTED_VALUE"""),"AI Readiness Assessment | Build Your AI Strategy | Detecon")</f>
        <v>AI Readiness Assessment | Build Your AI Strategy | Detecon</v>
      </c>
      <c r="C112" s="8" t="str">
        <f>IFERROR(__xludf.DUMMYFUNCTION("""COMPUTED_VALUE"""),"detecon.com")</f>
        <v>detecon.com</v>
      </c>
      <c r="D112" s="11" t="str">
        <f>IFERROR(__xludf.DUMMYFUNCTION("""COMPUTED_VALUE"""),"PRODUCT_PAGE")</f>
        <v>PRODUCT_PAGE</v>
      </c>
      <c r="E112" s="11" t="str">
        <f>IFERROR(__xludf.DUMMYFUNCTION("""COMPUTED_VALUE"""),"CORPORATE")</f>
        <v>CORPORATE</v>
      </c>
      <c r="F112" s="11" t="str">
        <f>IFERROR(__xludf.DUMMYFUNCTION("""COMPUTED_VALUE"""),"Product Page")</f>
        <v>Product Page</v>
      </c>
      <c r="G112" s="11" t="b">
        <f>IFERROR(__xludf.DUMMYFUNCTION("""COMPUTED_VALUE"""),FALSE)</f>
        <v>0</v>
      </c>
      <c r="H112" s="11" t="str">
        <f>IFERROR(__xludf.DUMMYFUNCTION("""COMPUTED_VALUE"""),"appliedAI")</f>
        <v>appliedAI</v>
      </c>
      <c r="I112" s="11">
        <f>IFERROR(__xludf.DUMMYFUNCTION("""COMPUTED_VALUE"""),1.0)</f>
        <v>1</v>
      </c>
      <c r="J112" s="11">
        <f>IFERROR(__xludf.DUMMYFUNCTION("""COMPUTED_VALUE"""),0.0)</f>
        <v>0</v>
      </c>
      <c r="K112" s="11">
        <f>IFERROR(__xludf.DUMMYFUNCTION("""COMPUTED_VALUE"""),1.0)</f>
        <v>1</v>
      </c>
    </row>
    <row r="113" ht="15.75" customHeight="1">
      <c r="A113" s="8" t="str">
        <f>IFERROR(__xludf.DUMMYFUNCTION("""COMPUTED_VALUE"""),"https://digitalagenten.com/en/web-analysis/")</f>
        <v>https://digitalagenten.com/en/web-analysis/</v>
      </c>
      <c r="B113" s="11" t="str">
        <f>IFERROR(__xludf.DUMMYFUNCTION("""COMPUTED_VALUE"""),"Google Analytics Agency Berlin 🥇 Web Analytics Consulting")</f>
        <v>Google Analytics Agency Berlin 🥇 Web Analytics Consulting</v>
      </c>
      <c r="C113" s="8" t="str">
        <f>IFERROR(__xludf.DUMMYFUNCTION("""COMPUTED_VALUE"""),"digitalagenten.com")</f>
        <v>digitalagenten.com</v>
      </c>
      <c r="D113" s="11" t="str">
        <f>IFERROR(__xludf.DUMMYFUNCTION("""COMPUTED_VALUE"""),"PRODUCT_PAGE")</f>
        <v>PRODUCT_PAGE</v>
      </c>
      <c r="E113" s="11" t="str">
        <f>IFERROR(__xludf.DUMMYFUNCTION("""COMPUTED_VALUE"""),"CORPORATE")</f>
        <v>CORPORATE</v>
      </c>
      <c r="F113" s="11" t="str">
        <f>IFERROR(__xludf.DUMMYFUNCTION("""COMPUTED_VALUE"""),"Product Page")</f>
        <v>Product Page</v>
      </c>
      <c r="G113" s="11" t="b">
        <f>IFERROR(__xludf.DUMMYFUNCTION("""COMPUTED_VALUE"""),FALSE)</f>
        <v>0</v>
      </c>
      <c r="H113" s="11" t="str">
        <f>IFERROR(__xludf.DUMMYFUNCTION("""COMPUTED_VALUE"""),"Measured")</f>
        <v>Measured</v>
      </c>
      <c r="I113" s="11">
        <f>IFERROR(__xludf.DUMMYFUNCTION("""COMPUTED_VALUE"""),1.0)</f>
        <v>1</v>
      </c>
      <c r="J113" s="11">
        <f>IFERROR(__xludf.DUMMYFUNCTION("""COMPUTED_VALUE"""),0.0)</f>
        <v>0</v>
      </c>
      <c r="K113" s="11">
        <f>IFERROR(__xludf.DUMMYFUNCTION("""COMPUTED_VALUE"""),2.0)</f>
        <v>2</v>
      </c>
    </row>
    <row r="114" ht="15.75" customHeight="1">
      <c r="A114" s="8" t="str">
        <f>IFERROR(__xludf.DUMMYFUNCTION("""COMPUTED_VALUE"""),"https://www.displayce.com/data-measure/")</f>
        <v>https://www.displayce.com/data-measure/</v>
      </c>
      <c r="B114" s="11" t="str">
        <f>IFERROR(__xludf.DUMMYFUNCTION("""COMPUTED_VALUE"""),"Displayce’s Data Partners ✨ Enrich Your DOOH Campaigns")</f>
        <v>Displayce’s Data Partners ✨ Enrich Your DOOH Campaigns</v>
      </c>
      <c r="C114" s="8" t="str">
        <f>IFERROR(__xludf.DUMMYFUNCTION("""COMPUTED_VALUE"""),"displayce.com")</f>
        <v>displayce.com</v>
      </c>
      <c r="D114" s="11" t="str">
        <f>IFERROR(__xludf.DUMMYFUNCTION("""COMPUTED_VALUE"""),"PRODUCT_PAGE")</f>
        <v>PRODUCT_PAGE</v>
      </c>
      <c r="E114" s="11" t="str">
        <f>IFERROR(__xludf.DUMMYFUNCTION("""COMPUTED_VALUE"""),"CORPORATE")</f>
        <v>CORPORATE</v>
      </c>
      <c r="F114" s="11" t="str">
        <f>IFERROR(__xludf.DUMMYFUNCTION("""COMPUTED_VALUE"""),"Product Page")</f>
        <v>Product Page</v>
      </c>
      <c r="G114" s="11" t="b">
        <f>IFERROR(__xludf.DUMMYFUNCTION("""COMPUTED_VALUE"""),FALSE)</f>
        <v>0</v>
      </c>
      <c r="H114" s="11" t="str">
        <f>IFERROR(__xludf.DUMMYFUNCTION("""COMPUTED_VALUE"""),"Jellyfish")</f>
        <v>Jellyfish</v>
      </c>
      <c r="I114" s="11">
        <f>IFERROR(__xludf.DUMMYFUNCTION("""COMPUTED_VALUE"""),1.0)</f>
        <v>1</v>
      </c>
      <c r="J114" s="11">
        <f>IFERROR(__xludf.DUMMYFUNCTION("""COMPUTED_VALUE"""),0.0)</f>
        <v>0</v>
      </c>
      <c r="K114" s="11">
        <f>IFERROR(__xludf.DUMMYFUNCTION("""COMPUTED_VALUE"""),1.0)</f>
        <v>1</v>
      </c>
    </row>
    <row r="115" ht="15.75" customHeight="1">
      <c r="A115" s="8" t="str">
        <f>IFERROR(__xludf.DUMMYFUNCTION("""COMPUTED_VALUE"""),"https://www.dotsource.com/data-driven-marketing/")</f>
        <v>https://www.dotsource.com/data-driven-marketing/</v>
      </c>
      <c r="B115" s="11" t="str">
        <f>IFERROR(__xludf.DUMMYFUNCTION("""COMPUTED_VALUE"""),"Data-Driven Marketing – Data-Based Success | dotSource")</f>
        <v>Data-Driven Marketing – Data-Based Success | dotSource</v>
      </c>
      <c r="C115" s="8" t="str">
        <f>IFERROR(__xludf.DUMMYFUNCTION("""COMPUTED_VALUE"""),"dotsource.com")</f>
        <v>dotsource.com</v>
      </c>
      <c r="D115" s="11" t="str">
        <f>IFERROR(__xludf.DUMMYFUNCTION("""COMPUTED_VALUE"""),"PRODUCT_PAGE")</f>
        <v>PRODUCT_PAGE</v>
      </c>
      <c r="E115" s="11" t="str">
        <f>IFERROR(__xludf.DUMMYFUNCTION("""COMPUTED_VALUE"""),"CORPORATE")</f>
        <v>CORPORATE</v>
      </c>
      <c r="F115" s="11" t="str">
        <f>IFERROR(__xludf.DUMMYFUNCTION("""COMPUTED_VALUE"""),"Product Page")</f>
        <v>Product Page</v>
      </c>
      <c r="G115" s="11" t="b">
        <f>IFERROR(__xludf.DUMMYFUNCTION("""COMPUTED_VALUE"""),FALSE)</f>
        <v>0</v>
      </c>
      <c r="H115" s="11" t="str">
        <f>IFERROR(__xludf.DUMMYFUNCTION("""COMPUTED_VALUE"""),"Measured")</f>
        <v>Measured</v>
      </c>
      <c r="I115" s="11">
        <f>IFERROR(__xludf.DUMMYFUNCTION("""COMPUTED_VALUE"""),1.0)</f>
        <v>1</v>
      </c>
      <c r="J115" s="11">
        <f>IFERROR(__xludf.DUMMYFUNCTION("""COMPUTED_VALUE"""),0.0)</f>
        <v>0</v>
      </c>
      <c r="K115" s="11">
        <f>IFERROR(__xludf.DUMMYFUNCTION("""COMPUTED_VALUE"""),2.0)</f>
        <v>2</v>
      </c>
    </row>
    <row r="116" ht="15.75" customHeight="1">
      <c r="A116" s="8" t="str">
        <f>IFERROR(__xludf.DUMMYFUNCTION("""COMPUTED_VALUE"""),"https://www.dreikon.de/leistungen/seo-agentur/geo/")</f>
        <v>https://www.dreikon.de/leistungen/seo-agentur/geo/</v>
      </c>
      <c r="B116" s="11" t="str">
        <f>IFERROR(__xludf.DUMMYFUNCTION("""COMPUTED_VALUE"""),"GEO Agentur | für mehr Sichtbarkeit in der KI")</f>
        <v>GEO Agentur | für mehr Sichtbarkeit in der KI</v>
      </c>
      <c r="C116" s="8" t="str">
        <f>IFERROR(__xludf.DUMMYFUNCTION("""COMPUTED_VALUE"""),"dreikon.de")</f>
        <v>dreikon.de</v>
      </c>
      <c r="D116" s="11" t="str">
        <f>IFERROR(__xludf.DUMMYFUNCTION("""COMPUTED_VALUE"""),"PRODUCT_PAGE")</f>
        <v>PRODUCT_PAGE</v>
      </c>
      <c r="E116" s="11" t="str">
        <f>IFERROR(__xludf.DUMMYFUNCTION("""COMPUTED_VALUE"""),"COMPETITOR")</f>
        <v>COMPETITOR</v>
      </c>
      <c r="F116" s="11" t="str">
        <f>IFERROR(__xludf.DUMMYFUNCTION("""COMPUTED_VALUE"""),"Product Page")</f>
        <v>Product Page</v>
      </c>
      <c r="G116" s="11" t="b">
        <f>IFERROR(__xludf.DUMMYFUNCTION("""COMPUTED_VALUE"""),FALSE)</f>
        <v>0</v>
      </c>
      <c r="H116" s="11" t="str">
        <f>IFERROR(__xludf.DUMMYFUNCTION("""COMPUTED_VALUE"""),"DREIKON")</f>
        <v>DREIKON</v>
      </c>
      <c r="I116" s="11">
        <f>IFERROR(__xludf.DUMMYFUNCTION("""COMPUTED_VALUE"""),1.0)</f>
        <v>1</v>
      </c>
      <c r="J116" s="11">
        <f>IFERROR(__xludf.DUMMYFUNCTION("""COMPUTED_VALUE"""),0.0)</f>
        <v>0</v>
      </c>
      <c r="K116" s="11">
        <f>IFERROR(__xludf.DUMMYFUNCTION("""COMPUTED_VALUE"""),2.0)</f>
        <v>2</v>
      </c>
    </row>
    <row r="117" ht="15.75" customHeight="1">
      <c r="A117" s="8" t="str">
        <f>IFERROR(__xludf.DUMMYFUNCTION("""COMPUTED_VALUE"""),"https://dripagency.de/de/services/ab-testing-agentur")</f>
        <v>https://dripagency.de/de/services/ab-testing-agentur</v>
      </c>
      <c r="B117" s="11" t="str">
        <f>IFERROR(__xludf.DUMMYFUNCTION("""COMPUTED_VALUE"""),"A/B Testing Agentur für E-Commerce | DRIP Agency")</f>
        <v>A/B Testing Agentur für E-Commerce | DRIP Agency</v>
      </c>
      <c r="C117" s="8" t="str">
        <f>IFERROR(__xludf.DUMMYFUNCTION("""COMPUTED_VALUE"""),"dripagency.de")</f>
        <v>dripagency.de</v>
      </c>
      <c r="D117" s="11" t="str">
        <f>IFERROR(__xludf.DUMMYFUNCTION("""COMPUTED_VALUE"""),"PRODUCT_PAGE")</f>
        <v>PRODUCT_PAGE</v>
      </c>
      <c r="E117" s="11" t="str">
        <f>IFERROR(__xludf.DUMMYFUNCTION("""COMPUTED_VALUE"""),"CORPORATE")</f>
        <v>CORPORATE</v>
      </c>
      <c r="F117" s="11" t="str">
        <f>IFERROR(__xludf.DUMMYFUNCTION("""COMPUTED_VALUE"""),"Product Page")</f>
        <v>Product Page</v>
      </c>
      <c r="G117" s="11" t="b">
        <f>IFERROR(__xludf.DUMMYFUNCTION("""COMPUTED_VALUE"""),FALSE)</f>
        <v>0</v>
      </c>
      <c r="H117" s="11"/>
      <c r="I117" s="11">
        <f>IFERROR(__xludf.DUMMYFUNCTION("""COMPUTED_VALUE"""),1.0)</f>
        <v>1</v>
      </c>
      <c r="J117" s="11">
        <f>IFERROR(__xludf.DUMMYFUNCTION("""COMPUTED_VALUE"""),0.0)</f>
        <v>0</v>
      </c>
      <c r="K117" s="11">
        <f>IFERROR(__xludf.DUMMYFUNCTION("""COMPUTED_VALUE"""),0.0)</f>
        <v>0</v>
      </c>
    </row>
    <row r="118" ht="15.75" customHeight="1">
      <c r="A118" s="8" t="str">
        <f>IFERROR(__xludf.DUMMYFUNCTION("""COMPUTED_VALUE"""),"https://e-dialog.group/en/analytics/google-analytics/")</f>
        <v>https://e-dialog.group/en/analytics/google-analytics/</v>
      </c>
      <c r="B118" s="11" t="str">
        <f>IFERROR(__xludf.DUMMYFUNCTION("""COMPUTED_VALUE"""),"Google Analytics Agency: GA4 &amp; Server-Side \| e-dialog")</f>
        <v>Google Analytics Agency: GA4 &amp; Server-Side \| e-dialog</v>
      </c>
      <c r="C118" s="11" t="str">
        <f>IFERROR(__xludf.DUMMYFUNCTION("""COMPUTED_VALUE"""),"e-dialog.group")</f>
        <v>e-dialog.group</v>
      </c>
      <c r="D118" s="11" t="str">
        <f>IFERROR(__xludf.DUMMYFUNCTION("""COMPUTED_VALUE"""),"PRODUCT_PAGE")</f>
        <v>PRODUCT_PAGE</v>
      </c>
      <c r="E118" s="11" t="str">
        <f>IFERROR(__xludf.DUMMYFUNCTION("""COMPUTED_VALUE"""),"CORPORATE")</f>
        <v>CORPORATE</v>
      </c>
      <c r="F118" s="11" t="str">
        <f>IFERROR(__xludf.DUMMYFUNCTION("""COMPUTED_VALUE"""),"Product Page")</f>
        <v>Product Page</v>
      </c>
      <c r="G118" s="11" t="b">
        <f>IFERROR(__xludf.DUMMYFUNCTION("""COMPUTED_VALUE"""),FALSE)</f>
        <v>0</v>
      </c>
      <c r="H118" s="11" t="str">
        <f>IFERROR(__xludf.DUMMYFUNCTION("""COMPUTED_VALUE"""),"e-dialog")</f>
        <v>e-dialog</v>
      </c>
      <c r="I118" s="11">
        <f>IFERROR(__xludf.DUMMYFUNCTION("""COMPUTED_VALUE"""),1.0)</f>
        <v>1</v>
      </c>
      <c r="J118" s="11">
        <f>IFERROR(__xludf.DUMMYFUNCTION("""COMPUTED_VALUE"""),0.0)</f>
        <v>0</v>
      </c>
      <c r="K118" s="11">
        <f>IFERROR(__xludf.DUMMYFUNCTION("""COMPUTED_VALUE"""),1.0)</f>
        <v>1</v>
      </c>
    </row>
    <row r="119" ht="15.75" customHeight="1">
      <c r="A119" s="8" t="str">
        <f>IFERROR(__xludf.DUMMYFUNCTION("""COMPUTED_VALUE"""),"https://e-dialog.group/en/campaigning/google-ads/")</f>
        <v>https://e-dialog.group/en/campaigning/google-ads/</v>
      </c>
      <c r="B119" s="11" t="str">
        <f>IFERROR(__xludf.DUMMYFUNCTION("""COMPUTED_VALUE"""),"Google Ads Agency for Greater Success \| e-dialog")</f>
        <v>Google Ads Agency for Greater Success \| e-dialog</v>
      </c>
      <c r="C119" s="11" t="str">
        <f>IFERROR(__xludf.DUMMYFUNCTION("""COMPUTED_VALUE"""),"e-dialog.group")</f>
        <v>e-dialog.group</v>
      </c>
      <c r="D119" s="11" t="str">
        <f>IFERROR(__xludf.DUMMYFUNCTION("""COMPUTED_VALUE"""),"PRODUCT_PAGE")</f>
        <v>PRODUCT_PAGE</v>
      </c>
      <c r="E119" s="11" t="str">
        <f>IFERROR(__xludf.DUMMYFUNCTION("""COMPUTED_VALUE"""),"CORPORATE")</f>
        <v>CORPORATE</v>
      </c>
      <c r="F119" s="11" t="str">
        <f>IFERROR(__xludf.DUMMYFUNCTION("""COMPUTED_VALUE"""),"Product Page")</f>
        <v>Product Page</v>
      </c>
      <c r="G119" s="11" t="b">
        <f>IFERROR(__xludf.DUMMYFUNCTION("""COMPUTED_VALUE"""),FALSE)</f>
        <v>0</v>
      </c>
      <c r="H119" s="11" t="str">
        <f>IFERROR(__xludf.DUMMYFUNCTION("""COMPUTED_VALUE"""),"e-dialog")</f>
        <v>e-dialog</v>
      </c>
      <c r="I119" s="11">
        <f>IFERROR(__xludf.DUMMYFUNCTION("""COMPUTED_VALUE"""),1.0)</f>
        <v>1</v>
      </c>
      <c r="J119" s="11">
        <f>IFERROR(__xludf.DUMMYFUNCTION("""COMPUTED_VALUE"""),0.0)</f>
        <v>0</v>
      </c>
      <c r="K119" s="11">
        <f>IFERROR(__xludf.DUMMYFUNCTION("""COMPUTED_VALUE"""),1.0)</f>
        <v>1</v>
      </c>
    </row>
    <row r="120" ht="15.75" customHeight="1">
      <c r="A120" s="8" t="str">
        <f>IFERROR(__xludf.DUMMYFUNCTION("""COMPUTED_VALUE"""),"https://e-dialog.group/en/google-sales-partner/google-analytics-360/")</f>
        <v>https://e-dialog.group/en/google-sales-partner/google-analytics-360/</v>
      </c>
      <c r="B120" s="11" t="str">
        <f>IFERROR(__xludf.DUMMYFUNCTION("""COMPUTED_VALUE"""),"Google Analytics 360 for Enterprises \| e-dialog")</f>
        <v>Google Analytics 360 for Enterprises \| e-dialog</v>
      </c>
      <c r="C120" s="11" t="str">
        <f>IFERROR(__xludf.DUMMYFUNCTION("""COMPUTED_VALUE"""),"e-dialog.group")</f>
        <v>e-dialog.group</v>
      </c>
      <c r="D120" s="11" t="str">
        <f>IFERROR(__xludf.DUMMYFUNCTION("""COMPUTED_VALUE"""),"PRODUCT_PAGE")</f>
        <v>PRODUCT_PAGE</v>
      </c>
      <c r="E120" s="11" t="str">
        <f>IFERROR(__xludf.DUMMYFUNCTION("""COMPUTED_VALUE"""),"CORPORATE")</f>
        <v>CORPORATE</v>
      </c>
      <c r="F120" s="11" t="str">
        <f>IFERROR(__xludf.DUMMYFUNCTION("""COMPUTED_VALUE"""),"Product Page")</f>
        <v>Product Page</v>
      </c>
      <c r="G120" s="11" t="b">
        <f>IFERROR(__xludf.DUMMYFUNCTION("""COMPUTED_VALUE"""),FALSE)</f>
        <v>0</v>
      </c>
      <c r="H120" s="11" t="str">
        <f>IFERROR(__xludf.DUMMYFUNCTION("""COMPUTED_VALUE"""),"e-dialog")</f>
        <v>e-dialog</v>
      </c>
      <c r="I120" s="11">
        <f>IFERROR(__xludf.DUMMYFUNCTION("""COMPUTED_VALUE"""),1.0)</f>
        <v>1</v>
      </c>
      <c r="J120" s="11">
        <f>IFERROR(__xludf.DUMMYFUNCTION("""COMPUTED_VALUE"""),0.0)</f>
        <v>0</v>
      </c>
      <c r="K120" s="11">
        <f>IFERROR(__xludf.DUMMYFUNCTION("""COMPUTED_VALUE"""),1.0)</f>
        <v>1</v>
      </c>
    </row>
    <row r="121" ht="15.75" customHeight="1">
      <c r="A121" s="8" t="str">
        <f>IFERROR(__xludf.DUMMYFUNCTION("""COMPUTED_VALUE"""),"https://e-dialog.group/en/google-sales-partner/google-display-video-360/")</f>
        <v>https://e-dialog.group/en/google-sales-partner/google-display-video-360/</v>
      </c>
      <c r="B121" s="11" t="str">
        <f>IFERROR(__xludf.DUMMYFUNCTION("""COMPUTED_VALUE"""),"Google Display &amp;amp; Video 360 Agency | e-dialog")</f>
        <v>Google Display &amp;amp; Video 360 Agency | e-dialog</v>
      </c>
      <c r="C121" s="11" t="str">
        <f>IFERROR(__xludf.DUMMYFUNCTION("""COMPUTED_VALUE"""),"e-dialog.group")</f>
        <v>e-dialog.group</v>
      </c>
      <c r="D121" s="11" t="str">
        <f>IFERROR(__xludf.DUMMYFUNCTION("""COMPUTED_VALUE"""),"PRODUCT_PAGE")</f>
        <v>PRODUCT_PAGE</v>
      </c>
      <c r="E121" s="11" t="str">
        <f>IFERROR(__xludf.DUMMYFUNCTION("""COMPUTED_VALUE"""),"CORPORATE")</f>
        <v>CORPORATE</v>
      </c>
      <c r="F121" s="11" t="str">
        <f>IFERROR(__xludf.DUMMYFUNCTION("""COMPUTED_VALUE"""),"Product Page")</f>
        <v>Product Page</v>
      </c>
      <c r="G121" s="11" t="b">
        <f>IFERROR(__xludf.DUMMYFUNCTION("""COMPUTED_VALUE"""),FALSE)</f>
        <v>0</v>
      </c>
      <c r="H121" s="11" t="str">
        <f>IFERROR(__xludf.DUMMYFUNCTION("""COMPUTED_VALUE"""),"e-dialog, Pilot")</f>
        <v>e-dialog, Pilot</v>
      </c>
      <c r="I121" s="11">
        <f>IFERROR(__xludf.DUMMYFUNCTION("""COMPUTED_VALUE"""),1.0)</f>
        <v>1</v>
      </c>
      <c r="J121" s="11">
        <f>IFERROR(__xludf.DUMMYFUNCTION("""COMPUTED_VALUE"""),0.0)</f>
        <v>0</v>
      </c>
      <c r="K121" s="11">
        <f>IFERROR(__xludf.DUMMYFUNCTION("""COMPUTED_VALUE"""),1.0)</f>
        <v>1</v>
      </c>
    </row>
    <row r="122" ht="15.75" customHeight="1">
      <c r="A122" s="8" t="str">
        <f>IFERROR(__xludf.DUMMYFUNCTION("""COMPUTED_VALUE"""),"https://e-dialog.group/en/google-sales-partner/search-ads-360/")</f>
        <v>https://e-dialog.group/en/google-sales-partner/search-ads-360/</v>
      </c>
      <c r="B122" s="11" t="str">
        <f>IFERROR(__xludf.DUMMYFUNCTION("""COMPUTED_VALUE"""),"SA360: More Performance for Google Ads \| e-dialog")</f>
        <v>SA360: More Performance for Google Ads \| e-dialog</v>
      </c>
      <c r="C122" s="11" t="str">
        <f>IFERROR(__xludf.DUMMYFUNCTION("""COMPUTED_VALUE"""),"e-dialog.group")</f>
        <v>e-dialog.group</v>
      </c>
      <c r="D122" s="11" t="str">
        <f>IFERROR(__xludf.DUMMYFUNCTION("""COMPUTED_VALUE"""),"PRODUCT_PAGE")</f>
        <v>PRODUCT_PAGE</v>
      </c>
      <c r="E122" s="11" t="str">
        <f>IFERROR(__xludf.DUMMYFUNCTION("""COMPUTED_VALUE"""),"CORPORATE")</f>
        <v>CORPORATE</v>
      </c>
      <c r="F122" s="11" t="str">
        <f>IFERROR(__xludf.DUMMYFUNCTION("""COMPUTED_VALUE"""),"Product Page")</f>
        <v>Product Page</v>
      </c>
      <c r="G122" s="11" t="b">
        <f>IFERROR(__xludf.DUMMYFUNCTION("""COMPUTED_VALUE"""),FALSE)</f>
        <v>0</v>
      </c>
      <c r="H122" s="11" t="str">
        <f>IFERROR(__xludf.DUMMYFUNCTION("""COMPUTED_VALUE"""),"e-dialog")</f>
        <v>e-dialog</v>
      </c>
      <c r="I122" s="11">
        <f>IFERROR(__xludf.DUMMYFUNCTION("""COMPUTED_VALUE"""),1.0)</f>
        <v>1</v>
      </c>
      <c r="J122" s="11">
        <f>IFERROR(__xludf.DUMMYFUNCTION("""COMPUTED_VALUE"""),0.0)</f>
        <v>0</v>
      </c>
      <c r="K122" s="11">
        <f>IFERROR(__xludf.DUMMYFUNCTION("""COMPUTED_VALUE"""),1.0)</f>
        <v>1</v>
      </c>
    </row>
    <row r="123" ht="15.75" customHeight="1">
      <c r="A123" s="8" t="str">
        <f>IFERROR(__xludf.DUMMYFUNCTION("""COMPUTED_VALUE"""),"https://ebiquity.com/solutions/grow/testmatch/")</f>
        <v>https://ebiquity.com/solutions/grow/testmatch/</v>
      </c>
      <c r="B123" s="11" t="str">
        <f>IFERROR(__xludf.DUMMYFUNCTION("""COMPUTED_VALUE"""),"TestMatch - Ebiquity")</f>
        <v>TestMatch - Ebiquity</v>
      </c>
      <c r="C123" s="8" t="str">
        <f>IFERROR(__xludf.DUMMYFUNCTION("""COMPUTED_VALUE"""),"ebiquity.com")</f>
        <v>ebiquity.com</v>
      </c>
      <c r="D123" s="11" t="str">
        <f>IFERROR(__xludf.DUMMYFUNCTION("""COMPUTED_VALUE"""),"PRODUCT_PAGE")</f>
        <v>PRODUCT_PAGE</v>
      </c>
      <c r="E123" s="11" t="str">
        <f>IFERROR(__xludf.DUMMYFUNCTION("""COMPUTED_VALUE"""),"COMPETITOR")</f>
        <v>COMPETITOR</v>
      </c>
      <c r="F123" s="11" t="str">
        <f>IFERROR(__xludf.DUMMYFUNCTION("""COMPUTED_VALUE"""),"Product Page")</f>
        <v>Product Page</v>
      </c>
      <c r="G123" s="11" t="b">
        <f>IFERROR(__xludf.DUMMYFUNCTION("""COMPUTED_VALUE"""),FALSE)</f>
        <v>0</v>
      </c>
      <c r="H123" s="11" t="str">
        <f>IFERROR(__xludf.DUMMYFUNCTION("""COMPUTED_VALUE"""),"Ebiquity")</f>
        <v>Ebiquity</v>
      </c>
      <c r="I123" s="11">
        <f>IFERROR(__xludf.DUMMYFUNCTION("""COMPUTED_VALUE"""),1.0)</f>
        <v>1</v>
      </c>
      <c r="J123" s="11">
        <f>IFERROR(__xludf.DUMMYFUNCTION("""COMPUTED_VALUE"""),0.0)</f>
        <v>0</v>
      </c>
      <c r="K123" s="11">
        <f>IFERROR(__xludf.DUMMYFUNCTION("""COMPUTED_VALUE"""),2.0)</f>
        <v>2</v>
      </c>
    </row>
    <row r="124" ht="15.75" customHeight="1">
      <c r="A124" s="8" t="str">
        <f>IFERROR(__xludf.DUMMYFUNCTION("""COMPUTED_VALUE"""),"https://ecimediamanagement.com/media-performance-consulting")</f>
        <v>https://ecimediamanagement.com/media-performance-consulting</v>
      </c>
      <c r="B124" s="11" t="str">
        <f>IFERROR(__xludf.DUMMYFUNCTION("""COMPUTED_VALUE"""),"Media performance consulting for better ROI | ECI Media Management")</f>
        <v>Media performance consulting for better ROI | ECI Media Management</v>
      </c>
      <c r="C124" s="8" t="str">
        <f>IFERROR(__xludf.DUMMYFUNCTION("""COMPUTED_VALUE"""),"ecimediamanagement.com")</f>
        <v>ecimediamanagement.com</v>
      </c>
      <c r="D124" s="11" t="str">
        <f>IFERROR(__xludf.DUMMYFUNCTION("""COMPUTED_VALUE"""),"PRODUCT_PAGE")</f>
        <v>PRODUCT_PAGE</v>
      </c>
      <c r="E124" s="11" t="str">
        <f>IFERROR(__xludf.DUMMYFUNCTION("""COMPUTED_VALUE"""),"CORPORATE")</f>
        <v>CORPORATE</v>
      </c>
      <c r="F124" s="11" t="str">
        <f>IFERROR(__xludf.DUMMYFUNCTION("""COMPUTED_VALUE"""),"Product Page")</f>
        <v>Product Page</v>
      </c>
      <c r="G124" s="11" t="b">
        <f>IFERROR(__xludf.DUMMYFUNCTION("""COMPUTED_VALUE"""),FALSE)</f>
        <v>0</v>
      </c>
      <c r="H124" s="11"/>
      <c r="I124" s="11">
        <f>IFERROR(__xludf.DUMMYFUNCTION("""COMPUTED_VALUE"""),1.0)</f>
        <v>1</v>
      </c>
      <c r="J124" s="11">
        <f>IFERROR(__xludf.DUMMYFUNCTION("""COMPUTED_VALUE"""),0.0)</f>
        <v>0</v>
      </c>
      <c r="K124" s="11">
        <f>IFERROR(__xludf.DUMMYFUNCTION("""COMPUTED_VALUE"""),2.0)</f>
        <v>2</v>
      </c>
    </row>
    <row r="125" ht="15.75" customHeight="1">
      <c r="A125" s="8" t="str">
        <f>IFERROR(__xludf.DUMMYFUNCTION("""COMPUTED_VALUE"""),"https://evolved.marketing/conversion-management-hub/ai-agents/")</f>
        <v>https://evolved.marketing/conversion-management-hub/ai-agents/</v>
      </c>
      <c r="B125" s="11" t="str">
        <f>IFERROR(__xludf.DUMMYFUNCTION("""COMPUTED_VALUE"""),"AI Agents for Business Growth: Automate &amp;amp; Engage | Evolved Marketing")</f>
        <v>AI Agents for Business Growth: Automate &amp;amp; Engage | Evolved Marketing</v>
      </c>
      <c r="C125" s="11" t="str">
        <f>IFERROR(__xludf.DUMMYFUNCTION("""COMPUTED_VALUE"""),"evolved.marketing")</f>
        <v>evolved.marketing</v>
      </c>
      <c r="D125" s="11" t="str">
        <f>IFERROR(__xludf.DUMMYFUNCTION("""COMPUTED_VALUE"""),"PRODUCT_PAGE")</f>
        <v>PRODUCT_PAGE</v>
      </c>
      <c r="E125" s="11" t="str">
        <f>IFERROR(__xludf.DUMMYFUNCTION("""COMPUTED_VALUE"""),"CORPORATE")</f>
        <v>CORPORATE</v>
      </c>
      <c r="F125" s="11" t="str">
        <f>IFERROR(__xludf.DUMMYFUNCTION("""COMPUTED_VALUE"""),"Product Page")</f>
        <v>Product Page</v>
      </c>
      <c r="G125" s="11" t="b">
        <f>IFERROR(__xludf.DUMMYFUNCTION("""COMPUTED_VALUE"""),FALSE)</f>
        <v>0</v>
      </c>
      <c r="H125" s="11"/>
      <c r="I125" s="11">
        <f>IFERROR(__xludf.DUMMYFUNCTION("""COMPUTED_VALUE"""),1.0)</f>
        <v>1</v>
      </c>
      <c r="J125" s="11">
        <f>IFERROR(__xludf.DUMMYFUNCTION("""COMPUTED_VALUE"""),0.0)</f>
        <v>0</v>
      </c>
      <c r="K125" s="11">
        <f>IFERROR(__xludf.DUMMYFUNCTION("""COMPUTED_VALUE"""),1.0)</f>
        <v>1</v>
      </c>
    </row>
    <row r="126" ht="15.75" customHeight="1">
      <c r="A126" s="8" t="str">
        <f>IFERROR(__xludf.DUMMYFUNCTION("""COMPUTED_VALUE"""),"https://www.experian.com/business/solutions/marketing-solutions/marketing-measurement-tools")</f>
        <v>https://www.experian.com/business/solutions/marketing-solutions/marketing-measurement-tools</v>
      </c>
      <c r="B126" s="11" t="str">
        <f>IFERROR(__xludf.DUMMYFUNCTION("""COMPUTED_VALUE"""),"Marketing measurement and attribution solutions | Experian")</f>
        <v>Marketing measurement and attribution solutions | Experian</v>
      </c>
      <c r="C126" s="8" t="str">
        <f>IFERROR(__xludf.DUMMYFUNCTION("""COMPUTED_VALUE"""),"experian.com")</f>
        <v>experian.com</v>
      </c>
      <c r="D126" s="11" t="str">
        <f>IFERROR(__xludf.DUMMYFUNCTION("""COMPUTED_VALUE"""),"PRODUCT_PAGE")</f>
        <v>PRODUCT_PAGE</v>
      </c>
      <c r="E126" s="11" t="str">
        <f>IFERROR(__xludf.DUMMYFUNCTION("""COMPUTED_VALUE"""),"CORPORATE")</f>
        <v>CORPORATE</v>
      </c>
      <c r="F126" s="11" t="str">
        <f>IFERROR(__xludf.DUMMYFUNCTION("""COMPUTED_VALUE"""),"Product Page")</f>
        <v>Product Page</v>
      </c>
      <c r="G126" s="11" t="b">
        <f>IFERROR(__xludf.DUMMYFUNCTION("""COMPUTED_VALUE"""),FALSE)</f>
        <v>0</v>
      </c>
      <c r="H126" s="11"/>
      <c r="I126" s="11">
        <f>IFERROR(__xludf.DUMMYFUNCTION("""COMPUTED_VALUE"""),1.0)</f>
        <v>1</v>
      </c>
      <c r="J126" s="11">
        <f>IFERROR(__xludf.DUMMYFUNCTION("""COMPUTED_VALUE"""),0.0)</f>
        <v>0</v>
      </c>
      <c r="K126" s="11">
        <f>IFERROR(__xludf.DUMMYFUNCTION("""COMPUTED_VALUE"""),0.0)</f>
        <v>0</v>
      </c>
    </row>
    <row r="127" ht="15.75" customHeight="1">
      <c r="A127" s="8" t="str">
        <f>IFERROR(__xludf.DUMMYFUNCTION("""COMPUTED_VALUE"""),"https://www.feld-m.de/en/events/data-gap-marketing-measurement-event/")</f>
        <v>https://www.feld-m.de/en/events/data-gap-marketing-measurement-event/</v>
      </c>
      <c r="B127" s="11" t="str">
        <f>IFERROR(__xludf.DUMMYFUNCTION("""COMPUTED_VALUE"""),"Event: First-party data &amp;amp; marketing measurement in a privacy-first world | FELD M")</f>
        <v>Event: First-party data &amp;amp; marketing measurement in a privacy-first world | FELD M</v>
      </c>
      <c r="C127" s="8" t="str">
        <f>IFERROR(__xludf.DUMMYFUNCTION("""COMPUTED_VALUE"""),"feld-m.de")</f>
        <v>feld-m.de</v>
      </c>
      <c r="D127" s="11" t="str">
        <f>IFERROR(__xludf.DUMMYFUNCTION("""COMPUTED_VALUE"""),"PRODUCT_PAGE")</f>
        <v>PRODUCT_PAGE</v>
      </c>
      <c r="E127" s="11" t="str">
        <f>IFERROR(__xludf.DUMMYFUNCTION("""COMPUTED_VALUE"""),"COMPETITOR")</f>
        <v>COMPETITOR</v>
      </c>
      <c r="F127" s="11" t="str">
        <f>IFERROR(__xludf.DUMMYFUNCTION("""COMPUTED_VALUE"""),"Product Page")</f>
        <v>Product Page</v>
      </c>
      <c r="G127" s="11" t="b">
        <f>IFERROR(__xludf.DUMMYFUNCTION("""COMPUTED_VALUE"""),FALSE)</f>
        <v>0</v>
      </c>
      <c r="H127" s="11" t="str">
        <f>IFERROR(__xludf.DUMMYFUNCTION("""COMPUTED_VALUE"""),"FELD M")</f>
        <v>FELD M</v>
      </c>
      <c r="I127" s="11">
        <f>IFERROR(__xludf.DUMMYFUNCTION("""COMPUTED_VALUE"""),1.0)</f>
        <v>1</v>
      </c>
      <c r="J127" s="11">
        <f>IFERROR(__xludf.DUMMYFUNCTION("""COMPUTED_VALUE"""),0.0)</f>
        <v>0</v>
      </c>
      <c r="K127" s="11">
        <f>IFERROR(__xludf.DUMMYFUNCTION("""COMPUTED_VALUE"""),1.0)</f>
        <v>1</v>
      </c>
    </row>
    <row r="128" ht="15.75" customHeight="1">
      <c r="A128" s="8" t="str">
        <f>IFERROR(__xludf.DUMMYFUNCTION("""COMPUTED_VALUE"""),"https://www.found.co.uk/services/seo/ai-seo/")</f>
        <v>https://www.found.co.uk/services/seo/ai-seo/</v>
      </c>
      <c r="B128" s="11" t="str">
        <f>IFERROR(__xludf.DUMMYFUNCTION("""COMPUTED_VALUE"""),"​AI SEO Agency \| Smart AI Search Services London, UK \| Found")</f>
        <v>​AI SEO Agency \| Smart AI Search Services London, UK \| Found</v>
      </c>
      <c r="C128" s="8" t="str">
        <f>IFERROR(__xludf.DUMMYFUNCTION("""COMPUTED_VALUE"""),"found.co.uk")</f>
        <v>found.co.uk</v>
      </c>
      <c r="D128" s="11" t="str">
        <f>IFERROR(__xludf.DUMMYFUNCTION("""COMPUTED_VALUE"""),"PRODUCT_PAGE")</f>
        <v>PRODUCT_PAGE</v>
      </c>
      <c r="E128" s="11" t="str">
        <f>IFERROR(__xludf.DUMMYFUNCTION("""COMPUTED_VALUE"""),"CORPORATE")</f>
        <v>CORPORATE</v>
      </c>
      <c r="F128" s="11" t="str">
        <f>IFERROR(__xludf.DUMMYFUNCTION("""COMPUTED_VALUE"""),"Product Page")</f>
        <v>Product Page</v>
      </c>
      <c r="G128" s="11" t="b">
        <f>IFERROR(__xludf.DUMMYFUNCTION("""COMPUTED_VALUE"""),FALSE)</f>
        <v>0</v>
      </c>
      <c r="H128" s="11"/>
      <c r="I128" s="11">
        <f>IFERROR(__xludf.DUMMYFUNCTION("""COMPUTED_VALUE"""),1.0)</f>
        <v>1</v>
      </c>
      <c r="J128" s="11">
        <f>IFERROR(__xludf.DUMMYFUNCTION("""COMPUTED_VALUE"""),0.0)</f>
        <v>0</v>
      </c>
      <c r="K128" s="11">
        <f>IFERROR(__xludf.DUMMYFUNCTION("""COMPUTED_VALUE"""),1.0)</f>
        <v>1</v>
      </c>
    </row>
    <row r="129" ht="15.75" customHeight="1">
      <c r="A129" s="8" t="str">
        <f>IFERROR(__xludf.DUMMYFUNCTION("""COMPUTED_VALUE"""),"https://foundersworkshop.com/feeds/service/ai-adoption-readiness-consulting-enterprises")</f>
        <v>https://foundersworkshop.com/feeds/service/ai-adoption-readiness-consulting-enterprises</v>
      </c>
      <c r="B129" s="11" t="str">
        <f>IFERROR(__xludf.DUMMYFUNCTION("""COMPUTED_VALUE"""),"AI Adoption &amp;amp; Readiness Consulting for Enterprises – Since 2008")</f>
        <v>AI Adoption &amp;amp; Readiness Consulting for Enterprises – Since 2008</v>
      </c>
      <c r="C129" s="8" t="str">
        <f>IFERROR(__xludf.DUMMYFUNCTION("""COMPUTED_VALUE"""),"foundersworkshop.com")</f>
        <v>foundersworkshop.com</v>
      </c>
      <c r="D129" s="11" t="str">
        <f>IFERROR(__xludf.DUMMYFUNCTION("""COMPUTED_VALUE"""),"PRODUCT_PAGE")</f>
        <v>PRODUCT_PAGE</v>
      </c>
      <c r="E129" s="11" t="str">
        <f>IFERROR(__xludf.DUMMYFUNCTION("""COMPUTED_VALUE"""),"CORPORATE")</f>
        <v>CORPORATE</v>
      </c>
      <c r="F129" s="11" t="str">
        <f>IFERROR(__xludf.DUMMYFUNCTION("""COMPUTED_VALUE"""),"Product Page")</f>
        <v>Product Page</v>
      </c>
      <c r="G129" s="11" t="b">
        <f>IFERROR(__xludf.DUMMYFUNCTION("""COMPUTED_VALUE"""),FALSE)</f>
        <v>0</v>
      </c>
      <c r="H129" s="11" t="str">
        <f>IFERROR(__xludf.DUMMYFUNCTION("""COMPUTED_VALUE"""),"Pilot")</f>
        <v>Pilot</v>
      </c>
      <c r="I129" s="11">
        <f>IFERROR(__xludf.DUMMYFUNCTION("""COMPUTED_VALUE"""),1.0)</f>
        <v>1</v>
      </c>
      <c r="J129" s="11">
        <f>IFERROR(__xludf.DUMMYFUNCTION("""COMPUTED_VALUE"""),0.0)</f>
        <v>0</v>
      </c>
      <c r="K129" s="11">
        <f>IFERROR(__xludf.DUMMYFUNCTION("""COMPUTED_VALUE"""),1.0)</f>
        <v>1</v>
      </c>
    </row>
    <row r="130" ht="15.75" customHeight="1">
      <c r="A130" s="8" t="str">
        <f>IFERROR(__xludf.DUMMYFUNCTION("""COMPUTED_VALUE"""),"https://funnel.io/legal/adtriba/service-description")</f>
        <v>https://funnel.io/legal/adtriba/service-description</v>
      </c>
      <c r="B130" s="11" t="str">
        <f>IFERROR(__xludf.DUMMYFUNCTION("""COMPUTED_VALUE"""),"Adtriba - Leistungsbeschreibung/ Auftragsverarbeitung")</f>
        <v>Adtriba - Leistungsbeschreibung/ Auftragsverarbeitung</v>
      </c>
      <c r="C130" s="8" t="str">
        <f>IFERROR(__xludf.DUMMYFUNCTION("""COMPUTED_VALUE"""),"funnel.io")</f>
        <v>funnel.io</v>
      </c>
      <c r="D130" s="11" t="str">
        <f>IFERROR(__xludf.DUMMYFUNCTION("""COMPUTED_VALUE"""),"PRODUCT_PAGE")</f>
        <v>PRODUCT_PAGE</v>
      </c>
      <c r="E130" s="11" t="str">
        <f>IFERROR(__xludf.DUMMYFUNCTION("""COMPUTED_VALUE"""),"CORPORATE")</f>
        <v>CORPORATE</v>
      </c>
      <c r="F130" s="11" t="str">
        <f>IFERROR(__xludf.DUMMYFUNCTION("""COMPUTED_VALUE"""),"Product Page")</f>
        <v>Product Page</v>
      </c>
      <c r="G130" s="11" t="b">
        <f>IFERROR(__xludf.DUMMYFUNCTION("""COMPUTED_VALUE"""),FALSE)</f>
        <v>0</v>
      </c>
      <c r="H130" s="11" t="str">
        <f>IFERROR(__xludf.DUMMYFUNCTION("""COMPUTED_VALUE"""),"FELD M")</f>
        <v>FELD M</v>
      </c>
      <c r="I130" s="11">
        <f>IFERROR(__xludf.DUMMYFUNCTION("""COMPUTED_VALUE"""),1.0)</f>
        <v>1</v>
      </c>
      <c r="J130" s="11">
        <f>IFERROR(__xludf.DUMMYFUNCTION("""COMPUTED_VALUE"""),0.0)</f>
        <v>0</v>
      </c>
      <c r="K130" s="11">
        <f>IFERROR(__xludf.DUMMYFUNCTION("""COMPUTED_VALUE"""),1.0)</f>
        <v>1</v>
      </c>
    </row>
    <row r="131" ht="15.75" customHeight="1">
      <c r="A131" s="8" t="str">
        <f>IFERROR(__xludf.DUMMYFUNCTION("""COMPUTED_VALUE"""),"https://gerlach-customs.com/customs-consultancy/")</f>
        <v>https://gerlach-customs.com/customs-consultancy/</v>
      </c>
      <c r="B131" s="11" t="str">
        <f>IFERROR(__xludf.DUMMYFUNCTION("""COMPUTED_VALUE"""),"Customs Consulting Europe | Gerlach")</f>
        <v>Customs Consulting Europe | Gerlach</v>
      </c>
      <c r="C131" s="8" t="str">
        <f>IFERROR(__xludf.DUMMYFUNCTION("""COMPUTED_VALUE"""),"gerlach-customs.com")</f>
        <v>gerlach-customs.com</v>
      </c>
      <c r="D131" s="11" t="str">
        <f>IFERROR(__xludf.DUMMYFUNCTION("""COMPUTED_VALUE"""),"PRODUCT_PAGE")</f>
        <v>PRODUCT_PAGE</v>
      </c>
      <c r="E131" s="11" t="str">
        <f>IFERROR(__xludf.DUMMYFUNCTION("""COMPUTED_VALUE"""),"CORPORATE")</f>
        <v>CORPORATE</v>
      </c>
      <c r="F131" s="11" t="str">
        <f>IFERROR(__xludf.DUMMYFUNCTION("""COMPUTED_VALUE"""),"Product Page")</f>
        <v>Product Page</v>
      </c>
      <c r="G131" s="11" t="b">
        <f>IFERROR(__xludf.DUMMYFUNCTION("""COMPUTED_VALUE"""),FALSE)</f>
        <v>0</v>
      </c>
      <c r="H131" s="11"/>
      <c r="I131" s="11">
        <f>IFERROR(__xludf.DUMMYFUNCTION("""COMPUTED_VALUE"""),1.0)</f>
        <v>1</v>
      </c>
      <c r="J131" s="11">
        <f>IFERROR(__xludf.DUMMYFUNCTION("""COMPUTED_VALUE"""),0.0)</f>
        <v>0</v>
      </c>
      <c r="K131" s="11">
        <f>IFERROR(__xludf.DUMMYFUNCTION("""COMPUTED_VALUE"""),1.0)</f>
        <v>1</v>
      </c>
    </row>
    <row r="132" ht="15.75" customHeight="1">
      <c r="A132" s="8" t="str">
        <f>IFERROR(__xludf.DUMMYFUNCTION("""COMPUTED_VALUE"""),"https://getklar.com/features/unified-marketing-measurement")</f>
        <v>https://getklar.com/features/unified-marketing-measurement</v>
      </c>
      <c r="B132" s="11" t="str">
        <f>IFERROR(__xludf.DUMMYFUNCTION("""COMPUTED_VALUE"""),"Klar's Unified Measurement Engine | One Single Source of Marketing Truth.")</f>
        <v>Klar's Unified Measurement Engine | One Single Source of Marketing Truth.</v>
      </c>
      <c r="C132" s="8" t="str">
        <f>IFERROR(__xludf.DUMMYFUNCTION("""COMPUTED_VALUE"""),"getklar.com")</f>
        <v>getklar.com</v>
      </c>
      <c r="D132" s="11" t="str">
        <f>IFERROR(__xludf.DUMMYFUNCTION("""COMPUTED_VALUE"""),"PRODUCT_PAGE")</f>
        <v>PRODUCT_PAGE</v>
      </c>
      <c r="E132" s="11" t="str">
        <f>IFERROR(__xludf.DUMMYFUNCTION("""COMPUTED_VALUE"""),"CORPORATE")</f>
        <v>CORPORATE</v>
      </c>
      <c r="F132" s="11" t="str">
        <f>IFERROR(__xludf.DUMMYFUNCTION("""COMPUTED_VALUE"""),"Product Page")</f>
        <v>Product Page</v>
      </c>
      <c r="G132" s="11" t="b">
        <f>IFERROR(__xludf.DUMMYFUNCTION("""COMPUTED_VALUE"""),FALSE)</f>
        <v>0</v>
      </c>
      <c r="H132" s="11"/>
      <c r="I132" s="11">
        <f>IFERROR(__xludf.DUMMYFUNCTION("""COMPUTED_VALUE"""),1.0)</f>
        <v>1</v>
      </c>
      <c r="J132" s="11">
        <f>IFERROR(__xludf.DUMMYFUNCTION("""COMPUTED_VALUE"""),0.0)</f>
        <v>0</v>
      </c>
      <c r="K132" s="11">
        <f>IFERROR(__xludf.DUMMYFUNCTION("""COMPUTED_VALUE"""),0.0)</f>
        <v>0</v>
      </c>
    </row>
    <row r="133" ht="15.75" customHeight="1">
      <c r="A133" s="8" t="str">
        <f>IFERROR(__xludf.DUMMYFUNCTION("""COMPUTED_VALUE"""),"https://getklar.com/partner-program")</f>
        <v>https://getklar.com/partner-program</v>
      </c>
      <c r="B133" s="11" t="str">
        <f>IFERROR(__xludf.DUMMYFUNCTION("""COMPUTED_VALUE"""),"Partner Program | Klar")</f>
        <v>Partner Program | Klar</v>
      </c>
      <c r="C133" s="8" t="str">
        <f>IFERROR(__xludf.DUMMYFUNCTION("""COMPUTED_VALUE"""),"getklar.com")</f>
        <v>getklar.com</v>
      </c>
      <c r="D133" s="11" t="str">
        <f>IFERROR(__xludf.DUMMYFUNCTION("""COMPUTED_VALUE"""),"PRODUCT_PAGE")</f>
        <v>PRODUCT_PAGE</v>
      </c>
      <c r="E133" s="11" t="str">
        <f>IFERROR(__xludf.DUMMYFUNCTION("""COMPUTED_VALUE"""),"CORPORATE")</f>
        <v>CORPORATE</v>
      </c>
      <c r="F133" s="11" t="str">
        <f>IFERROR(__xludf.DUMMYFUNCTION("""COMPUTED_VALUE"""),"Product Page")</f>
        <v>Product Page</v>
      </c>
      <c r="G133" s="11" t="b">
        <f>IFERROR(__xludf.DUMMYFUNCTION("""COMPUTED_VALUE"""),FALSE)</f>
        <v>0</v>
      </c>
      <c r="H133" s="11"/>
      <c r="I133" s="11">
        <f>IFERROR(__xludf.DUMMYFUNCTION("""COMPUTED_VALUE"""),1.0)</f>
        <v>1</v>
      </c>
      <c r="J133" s="11">
        <f>IFERROR(__xludf.DUMMYFUNCTION("""COMPUTED_VALUE"""),0.0)</f>
        <v>0</v>
      </c>
      <c r="K133" s="11">
        <f>IFERROR(__xludf.DUMMYFUNCTION("""COMPUTED_VALUE"""),1.0)</f>
        <v>1</v>
      </c>
    </row>
    <row r="134" ht="15.75" customHeight="1">
      <c r="A134" s="8" t="str">
        <f>IFERROR(__xludf.DUMMYFUNCTION("""COMPUTED_VALUE"""),"https://globaldev.tech/services/ai-development-services")</f>
        <v>https://globaldev.tech/services/ai-development-services</v>
      </c>
      <c r="B134" s="11" t="str">
        <f>IFERROR(__xludf.DUMMYFUNCTION("""COMPUTED_VALUE"""),"AI consulting &amp;amp; development | Globaldev AI Lab")</f>
        <v>AI consulting &amp;amp; development | Globaldev AI Lab</v>
      </c>
      <c r="C134" s="11" t="str">
        <f>IFERROR(__xludf.DUMMYFUNCTION("""COMPUTED_VALUE"""),"globaldev.tech")</f>
        <v>globaldev.tech</v>
      </c>
      <c r="D134" s="11" t="str">
        <f>IFERROR(__xludf.DUMMYFUNCTION("""COMPUTED_VALUE"""),"PRODUCT_PAGE")</f>
        <v>PRODUCT_PAGE</v>
      </c>
      <c r="E134" s="11" t="str">
        <f>IFERROR(__xludf.DUMMYFUNCTION("""COMPUTED_VALUE"""),"CORPORATE")</f>
        <v>CORPORATE</v>
      </c>
      <c r="F134" s="11" t="str">
        <f>IFERROR(__xludf.DUMMYFUNCTION("""COMPUTED_VALUE"""),"Product Page")</f>
        <v>Product Page</v>
      </c>
      <c r="G134" s="11" t="b">
        <f>IFERROR(__xludf.DUMMYFUNCTION("""COMPUTED_VALUE"""),FALSE)</f>
        <v>0</v>
      </c>
      <c r="H134" s="11"/>
      <c r="I134" s="11">
        <f>IFERROR(__xludf.DUMMYFUNCTION("""COMPUTED_VALUE"""),1.0)</f>
        <v>1</v>
      </c>
      <c r="J134" s="11">
        <f>IFERROR(__xludf.DUMMYFUNCTION("""COMPUTED_VALUE"""),0.0)</f>
        <v>0</v>
      </c>
      <c r="K134" s="11">
        <f>IFERROR(__xludf.DUMMYFUNCTION("""COMPUTED_VALUE"""),1.0)</f>
        <v>1</v>
      </c>
    </row>
    <row r="135" ht="15.75" customHeight="1">
      <c r="A135" s="8" t="str">
        <f>IFERROR(__xludf.DUMMYFUNCTION("""COMPUTED_VALUE"""),"https://www.globalists.de/leistungen/sea-agentur")</f>
        <v>https://www.globalists.de/leistungen/sea-agentur</v>
      </c>
      <c r="B135" s="11" t="str">
        <f>IFERROR(__xludf.DUMMYFUNCTION("""COMPUTED_VALUE"""),"SEA Agentur | Google Ads mit datengetriebener Performance")</f>
        <v>SEA Agentur | Google Ads mit datengetriebener Performance</v>
      </c>
      <c r="C135" s="8" t="str">
        <f>IFERROR(__xludf.DUMMYFUNCTION("""COMPUTED_VALUE"""),"globalists.de")</f>
        <v>globalists.de</v>
      </c>
      <c r="D135" s="11" t="str">
        <f>IFERROR(__xludf.DUMMYFUNCTION("""COMPUTED_VALUE"""),"PRODUCT_PAGE")</f>
        <v>PRODUCT_PAGE</v>
      </c>
      <c r="E135" s="11" t="str">
        <f>IFERROR(__xludf.DUMMYFUNCTION("""COMPUTED_VALUE"""),"COMPETITOR")</f>
        <v>COMPETITOR</v>
      </c>
      <c r="F135" s="11" t="str">
        <f>IFERROR(__xludf.DUMMYFUNCTION("""COMPUTED_VALUE"""),"Product Page")</f>
        <v>Product Page</v>
      </c>
      <c r="G135" s="11" t="b">
        <f>IFERROR(__xludf.DUMMYFUNCTION("""COMPUTED_VALUE"""),FALSE)</f>
        <v>0</v>
      </c>
      <c r="H135" s="11" t="str">
        <f>IFERROR(__xludf.DUMMYFUNCTION("""COMPUTED_VALUE"""),"Globalist")</f>
        <v>Globalist</v>
      </c>
      <c r="I135" s="11">
        <f>IFERROR(__xludf.DUMMYFUNCTION("""COMPUTED_VALUE"""),1.0)</f>
        <v>1</v>
      </c>
      <c r="J135" s="11">
        <f>IFERROR(__xludf.DUMMYFUNCTION("""COMPUTED_VALUE"""),0.0)</f>
        <v>0</v>
      </c>
      <c r="K135" s="11">
        <f>IFERROR(__xludf.DUMMYFUNCTION("""COMPUTED_VALUE"""),2.0)</f>
        <v>2</v>
      </c>
    </row>
    <row r="136" ht="15.75" customHeight="1">
      <c r="A136" s="8" t="str">
        <f>IFERROR(__xludf.DUMMYFUNCTION("""COMPUTED_VALUE"""),"https://www.globalmediainsight.com/attribution-modeling/")</f>
        <v>https://www.globalmediainsight.com/attribution-modeling/</v>
      </c>
      <c r="B136" s="11" t="str">
        <f>IFERROR(__xludf.DUMMYFUNCTION("""COMPUTED_VALUE"""),"Custom Attribution Modelling and Channel grouping reports | GMI")</f>
        <v>Custom Attribution Modelling and Channel grouping reports | GMI</v>
      </c>
      <c r="C136" s="8" t="str">
        <f>IFERROR(__xludf.DUMMYFUNCTION("""COMPUTED_VALUE"""),"globalmediainsight.com")</f>
        <v>globalmediainsight.com</v>
      </c>
      <c r="D136" s="11" t="str">
        <f>IFERROR(__xludf.DUMMYFUNCTION("""COMPUTED_VALUE"""),"PRODUCT_PAGE")</f>
        <v>PRODUCT_PAGE</v>
      </c>
      <c r="E136" s="11" t="str">
        <f>IFERROR(__xludf.DUMMYFUNCTION("""COMPUTED_VALUE"""),"CORPORATE")</f>
        <v>CORPORATE</v>
      </c>
      <c r="F136" s="11" t="str">
        <f>IFERROR(__xludf.DUMMYFUNCTION("""COMPUTED_VALUE"""),"Product Page")</f>
        <v>Product Page</v>
      </c>
      <c r="G136" s="11" t="b">
        <f>IFERROR(__xludf.DUMMYFUNCTION("""COMPUTED_VALUE"""),FALSE)</f>
        <v>0</v>
      </c>
      <c r="H136" s="11"/>
      <c r="I136" s="11">
        <f>IFERROR(__xludf.DUMMYFUNCTION("""COMPUTED_VALUE"""),1.0)</f>
        <v>1</v>
      </c>
      <c r="J136" s="11">
        <f>IFERROR(__xludf.DUMMYFUNCTION("""COMPUTED_VALUE"""),0.0)</f>
        <v>0</v>
      </c>
      <c r="K136" s="11">
        <f>IFERROR(__xludf.DUMMYFUNCTION("""COMPUTED_VALUE"""),1.0)</f>
        <v>1</v>
      </c>
    </row>
    <row r="137" ht="15.75" customHeight="1">
      <c r="A137" s="8" t="str">
        <f>IFERROR(__xludf.DUMMYFUNCTION("""COMPUTED_VALUE"""),"https://growthcurve.co/agency/digital-marketing-agency/best-new-york-digital-agency")</f>
        <v>https://growthcurve.co/agency/digital-marketing-agency/best-new-york-digital-agency</v>
      </c>
      <c r="B137" s="11" t="str">
        <f>IFERROR(__xludf.DUMMYFUNCTION("""COMPUTED_VALUE"""),"Best New York Digital Agency | Growthcurve")</f>
        <v>Best New York Digital Agency | Growthcurve</v>
      </c>
      <c r="C137" s="8" t="str">
        <f>IFERROR(__xludf.DUMMYFUNCTION("""COMPUTED_VALUE"""),"growthcurve.co")</f>
        <v>growthcurve.co</v>
      </c>
      <c r="D137" s="11" t="str">
        <f>IFERROR(__xludf.DUMMYFUNCTION("""COMPUTED_VALUE"""),"PRODUCT_PAGE")</f>
        <v>PRODUCT_PAGE</v>
      </c>
      <c r="E137" s="11" t="str">
        <f>IFERROR(__xludf.DUMMYFUNCTION("""COMPUTED_VALUE"""),"CORPORATE")</f>
        <v>CORPORATE</v>
      </c>
      <c r="F137" s="11" t="str">
        <f>IFERROR(__xludf.DUMMYFUNCTION("""COMPUTED_VALUE"""),"Product Page")</f>
        <v>Product Page</v>
      </c>
      <c r="G137" s="11" t="b">
        <f>IFERROR(__xludf.DUMMYFUNCTION("""COMPUTED_VALUE"""),FALSE)</f>
        <v>0</v>
      </c>
      <c r="H137" s="11" t="str">
        <f>IFERROR(__xludf.DUMMYFUNCTION("""COMPUTED_VALUE"""),"Momentum")</f>
        <v>Momentum</v>
      </c>
      <c r="I137" s="11">
        <f>IFERROR(__xludf.DUMMYFUNCTION("""COMPUTED_VALUE"""),1.0)</f>
        <v>1</v>
      </c>
      <c r="J137" s="11">
        <f>IFERROR(__xludf.DUMMYFUNCTION("""COMPUTED_VALUE"""),0.0)</f>
        <v>0</v>
      </c>
      <c r="K137" s="11">
        <f>IFERROR(__xludf.DUMMYFUNCTION("""COMPUTED_VALUE"""),1.0)</f>
        <v>1</v>
      </c>
    </row>
    <row r="138" ht="15.75" customHeight="1">
      <c r="A138" s="8" t="str">
        <f>IFERROR(__xludf.DUMMYFUNCTION("""COMPUTED_VALUE"""),"https://www.hatchly.co.uk/design-services/creative-production")</f>
        <v>https://www.hatchly.co.uk/design-services/creative-production</v>
      </c>
      <c r="B138" s="11" t="str">
        <f>IFERROR(__xludf.DUMMYFUNCTION("""COMPUTED_VALUE"""),"Creative Production Services for In-House Teams | Hatchly")</f>
        <v>Creative Production Services for In-House Teams | Hatchly</v>
      </c>
      <c r="C138" s="8" t="str">
        <f>IFERROR(__xludf.DUMMYFUNCTION("""COMPUTED_VALUE"""),"hatchly.co.uk")</f>
        <v>hatchly.co.uk</v>
      </c>
      <c r="D138" s="11" t="str">
        <f>IFERROR(__xludf.DUMMYFUNCTION("""COMPUTED_VALUE"""),"PRODUCT_PAGE")</f>
        <v>PRODUCT_PAGE</v>
      </c>
      <c r="E138" s="11" t="str">
        <f>IFERROR(__xludf.DUMMYFUNCTION("""COMPUTED_VALUE"""),"CORPORATE")</f>
        <v>CORPORATE</v>
      </c>
      <c r="F138" s="11" t="str">
        <f>IFERROR(__xludf.DUMMYFUNCTION("""COMPUTED_VALUE"""),"Product Page")</f>
        <v>Product Page</v>
      </c>
      <c r="G138" s="11" t="b">
        <f>IFERROR(__xludf.DUMMYFUNCTION("""COMPUTED_VALUE"""),FALSE)</f>
        <v>0</v>
      </c>
      <c r="H138" s="11"/>
      <c r="I138" s="11">
        <f>IFERROR(__xludf.DUMMYFUNCTION("""COMPUTED_VALUE"""),1.0)</f>
        <v>1</v>
      </c>
      <c r="J138" s="11">
        <f>IFERROR(__xludf.DUMMYFUNCTION("""COMPUTED_VALUE"""),0.0)</f>
        <v>0</v>
      </c>
      <c r="K138" s="11">
        <f>IFERROR(__xludf.DUMMYFUNCTION("""COMPUTED_VALUE"""),0.0)</f>
        <v>0</v>
      </c>
    </row>
    <row r="139" ht="15.75" customHeight="1">
      <c r="A139" s="8" t="str">
        <f>IFERROR(__xludf.DUMMYFUNCTION("""COMPUTED_VALUE"""),"https://www.havstrategy.com/best-google-ads-marketing-agency/")</f>
        <v>https://www.havstrategy.com/best-google-ads-marketing-agency/</v>
      </c>
      <c r="B139" s="11" t="str">
        <f>IFERROR(__xludf.DUMMYFUNCTION("""COMPUTED_VALUE"""),"Google Ads Marketing Agency | D2C Ecommerce Brands")</f>
        <v>Google Ads Marketing Agency | D2C Ecommerce Brands</v>
      </c>
      <c r="C139" s="8" t="str">
        <f>IFERROR(__xludf.DUMMYFUNCTION("""COMPUTED_VALUE"""),"havstrategy.com")</f>
        <v>havstrategy.com</v>
      </c>
      <c r="D139" s="11" t="str">
        <f>IFERROR(__xludf.DUMMYFUNCTION("""COMPUTED_VALUE"""),"PRODUCT_PAGE")</f>
        <v>PRODUCT_PAGE</v>
      </c>
      <c r="E139" s="11" t="str">
        <f>IFERROR(__xludf.DUMMYFUNCTION("""COMPUTED_VALUE"""),"CORPORATE")</f>
        <v>CORPORATE</v>
      </c>
      <c r="F139" s="11" t="str">
        <f>IFERROR(__xludf.DUMMYFUNCTION("""COMPUTED_VALUE"""),"Product Page")</f>
        <v>Product Page</v>
      </c>
      <c r="G139" s="11" t="b">
        <f>IFERROR(__xludf.DUMMYFUNCTION("""COMPUTED_VALUE"""),FALSE)</f>
        <v>0</v>
      </c>
      <c r="H139" s="11" t="str">
        <f>IFERROR(__xludf.DUMMYFUNCTION("""COMPUTED_VALUE"""),"Measured")</f>
        <v>Measured</v>
      </c>
      <c r="I139" s="11">
        <f>IFERROR(__xludf.DUMMYFUNCTION("""COMPUTED_VALUE"""),1.0)</f>
        <v>1</v>
      </c>
      <c r="J139" s="11">
        <f>IFERROR(__xludf.DUMMYFUNCTION("""COMPUTED_VALUE"""),0.0)</f>
        <v>0</v>
      </c>
      <c r="K139" s="11">
        <f>IFERROR(__xludf.DUMMYFUNCTION("""COMPUTED_VALUE"""),0.0)</f>
        <v>0</v>
      </c>
    </row>
    <row r="140" ht="15.75" customHeight="1">
      <c r="A140" s="8" t="str">
        <f>IFERROR(__xludf.DUMMYFUNCTION("""COMPUTED_VALUE"""),"https://www.hopmann.com/en/marketing-analytics/marketing-efficiency/")</f>
        <v>https://www.hopmann.com/en/marketing-analytics/marketing-efficiency/</v>
      </c>
      <c r="B140" s="11" t="str">
        <f>IFERROR(__xludf.DUMMYFUNCTION("""COMPUTED_VALUE"""),"Marketing Efficiency - Hopmann Marketing Analytics")</f>
        <v>Marketing Efficiency - Hopmann Marketing Analytics</v>
      </c>
      <c r="C140" s="8" t="str">
        <f>IFERROR(__xludf.DUMMYFUNCTION("""COMPUTED_VALUE"""),"hopmann.com")</f>
        <v>hopmann.com</v>
      </c>
      <c r="D140" s="11" t="str">
        <f>IFERROR(__xludf.DUMMYFUNCTION("""COMPUTED_VALUE"""),"PRODUCT_PAGE")</f>
        <v>PRODUCT_PAGE</v>
      </c>
      <c r="E140" s="11" t="str">
        <f>IFERROR(__xludf.DUMMYFUNCTION("""COMPUTED_VALUE"""),"COMPETITOR")</f>
        <v>COMPETITOR</v>
      </c>
      <c r="F140" s="11" t="str">
        <f>IFERROR(__xludf.DUMMYFUNCTION("""COMPUTED_VALUE"""),"Product Page")</f>
        <v>Product Page</v>
      </c>
      <c r="G140" s="11" t="b">
        <f>IFERROR(__xludf.DUMMYFUNCTION("""COMPUTED_VALUE"""),FALSE)</f>
        <v>0</v>
      </c>
      <c r="H140" s="11" t="str">
        <f>IFERROR(__xludf.DUMMYFUNCTION("""COMPUTED_VALUE"""),"Hopmann Marketing Analytics GmbH")</f>
        <v>Hopmann Marketing Analytics GmbH</v>
      </c>
      <c r="I140" s="11">
        <f>IFERROR(__xludf.DUMMYFUNCTION("""COMPUTED_VALUE"""),1.0)</f>
        <v>1</v>
      </c>
      <c r="J140" s="11">
        <f>IFERROR(__xludf.DUMMYFUNCTION("""COMPUTED_VALUE"""),0.0)</f>
        <v>0</v>
      </c>
      <c r="K140" s="11">
        <f>IFERROR(__xludf.DUMMYFUNCTION("""COMPUTED_VALUE"""),1.0)</f>
        <v>1</v>
      </c>
    </row>
    <row r="141" ht="15.75" customHeight="1">
      <c r="A141" s="8" t="str">
        <f>IFERROR(__xludf.DUMMYFUNCTION("""COMPUTED_VALUE"""),"https://www.house-of-communication.com/de/en/brands/mediaplus/landingpages/media-agency-of-the-year.html")</f>
        <v>https://www.house-of-communication.com/de/en/brands/mediaplus/landingpages/media-agency-of-the-year.html</v>
      </c>
      <c r="B141" s="11" t="str">
        <f>IFERROR(__xludf.DUMMYFUNCTION("""COMPUTED_VALUE"""),"Media agency of the year 2026")</f>
        <v>Media agency of the year 2026</v>
      </c>
      <c r="C141" s="8" t="str">
        <f>IFERROR(__xludf.DUMMYFUNCTION("""COMPUTED_VALUE"""),"house-of-communication.com")</f>
        <v>house-of-communication.com</v>
      </c>
      <c r="D141" s="11" t="str">
        <f>IFERROR(__xludf.DUMMYFUNCTION("""COMPUTED_VALUE"""),"PRODUCT_PAGE")</f>
        <v>PRODUCT_PAGE</v>
      </c>
      <c r="E141" s="11" t="str">
        <f>IFERROR(__xludf.DUMMYFUNCTION("""COMPUTED_VALUE"""),"COMPETITOR")</f>
        <v>COMPETITOR</v>
      </c>
      <c r="F141" s="11" t="str">
        <f>IFERROR(__xludf.DUMMYFUNCTION("""COMPUTED_VALUE"""),"Product Page")</f>
        <v>Product Page</v>
      </c>
      <c r="G141" s="11" t="b">
        <f>IFERROR(__xludf.DUMMYFUNCTION("""COMPUTED_VALUE"""),FALSE)</f>
        <v>0</v>
      </c>
      <c r="H141" s="11" t="str">
        <f>IFERROR(__xludf.DUMMYFUNCTION("""COMPUTED_VALUE"""),"Serviceplan Group, Mediaplus Group, Momentum")</f>
        <v>Serviceplan Group, Mediaplus Group, Momentum</v>
      </c>
      <c r="I141" s="11">
        <f>IFERROR(__xludf.DUMMYFUNCTION("""COMPUTED_VALUE"""),1.0)</f>
        <v>1</v>
      </c>
      <c r="J141" s="11">
        <f>IFERROR(__xludf.DUMMYFUNCTION("""COMPUTED_VALUE"""),0.0)</f>
        <v>0</v>
      </c>
      <c r="K141" s="11">
        <f>IFERROR(__xludf.DUMMYFUNCTION("""COMPUTED_VALUE"""),2.0)</f>
        <v>2</v>
      </c>
    </row>
    <row r="142" ht="15.75" customHeight="1">
      <c r="A142" s="8" t="str">
        <f>IFERROR(__xludf.DUMMYFUNCTION("""COMPUTED_VALUE"""),"https://www.iconagility.com/services/ai")</f>
        <v>https://www.iconagility.com/services/ai</v>
      </c>
      <c r="B142" s="11" t="str">
        <f>IFERROR(__xludf.DUMMYFUNCTION("""COMPUTED_VALUE"""),"AI Adoption &amp;amp; Integration Consulting for Enterprise Organizations | ICON Agility Services")</f>
        <v>AI Adoption &amp;amp; Integration Consulting for Enterprise Organizations | ICON Agility Services</v>
      </c>
      <c r="C142" s="8" t="str">
        <f>IFERROR(__xludf.DUMMYFUNCTION("""COMPUTED_VALUE"""),"iconagility.com")</f>
        <v>iconagility.com</v>
      </c>
      <c r="D142" s="11" t="str">
        <f>IFERROR(__xludf.DUMMYFUNCTION("""COMPUTED_VALUE"""),"PRODUCT_PAGE")</f>
        <v>PRODUCT_PAGE</v>
      </c>
      <c r="E142" s="11" t="str">
        <f>IFERROR(__xludf.DUMMYFUNCTION("""COMPUTED_VALUE"""),"CORPORATE")</f>
        <v>CORPORATE</v>
      </c>
      <c r="F142" s="11" t="str">
        <f>IFERROR(__xludf.DUMMYFUNCTION("""COMPUTED_VALUE"""),"Product Page")</f>
        <v>Product Page</v>
      </c>
      <c r="G142" s="11" t="b">
        <f>IFERROR(__xludf.DUMMYFUNCTION("""COMPUTED_VALUE"""),FALSE)</f>
        <v>0</v>
      </c>
      <c r="H142" s="11" t="str">
        <f>IFERROR(__xludf.DUMMYFUNCTION("""COMPUTED_VALUE"""),"Pilot, Measured")</f>
        <v>Pilot, Measured</v>
      </c>
      <c r="I142" s="11">
        <f>IFERROR(__xludf.DUMMYFUNCTION("""COMPUTED_VALUE"""),1.0)</f>
        <v>1</v>
      </c>
      <c r="J142" s="11">
        <f>IFERROR(__xludf.DUMMYFUNCTION("""COMPUTED_VALUE"""),0.0)</f>
        <v>0</v>
      </c>
      <c r="K142" s="11">
        <f>IFERROR(__xludf.DUMMYFUNCTION("""COMPUTED_VALUE"""),2.0)</f>
        <v>2</v>
      </c>
    </row>
    <row r="143" ht="15.75" customHeight="1">
      <c r="A143" s="8" t="str">
        <f>IFERROR(__xludf.DUMMYFUNCTION("""COMPUTED_VALUE"""),"https://www.idhlagency.com/digital-marketing/measurement-attribution")</f>
        <v>https://www.idhlagency.com/digital-marketing/measurement-attribution</v>
      </c>
      <c r="B143" s="11" t="str">
        <f>IFERROR(__xludf.DUMMYFUNCTION("""COMPUTED_VALUE"""),"Marketing Attribution Services | Marketing Attribution Agency | IDHL")</f>
        <v>Marketing Attribution Services | Marketing Attribution Agency | IDHL</v>
      </c>
      <c r="C143" s="8" t="str">
        <f>IFERROR(__xludf.DUMMYFUNCTION("""COMPUTED_VALUE"""),"idhlagency.com")</f>
        <v>idhlagency.com</v>
      </c>
      <c r="D143" s="11" t="str">
        <f>IFERROR(__xludf.DUMMYFUNCTION("""COMPUTED_VALUE"""),"PRODUCT_PAGE")</f>
        <v>PRODUCT_PAGE</v>
      </c>
      <c r="E143" s="11" t="str">
        <f>IFERROR(__xludf.DUMMYFUNCTION("""COMPUTED_VALUE"""),"CORPORATE")</f>
        <v>CORPORATE</v>
      </c>
      <c r="F143" s="11" t="str">
        <f>IFERROR(__xludf.DUMMYFUNCTION("""COMPUTED_VALUE"""),"Product Page")</f>
        <v>Product Page</v>
      </c>
      <c r="G143" s="11" t="b">
        <f>IFERROR(__xludf.DUMMYFUNCTION("""COMPUTED_VALUE"""),FALSE)</f>
        <v>0</v>
      </c>
      <c r="H143" s="11" t="str">
        <f>IFERROR(__xludf.DUMMYFUNCTION("""COMPUTED_VALUE"""),"IDHL")</f>
        <v>IDHL</v>
      </c>
      <c r="I143" s="11">
        <f>IFERROR(__xludf.DUMMYFUNCTION("""COMPUTED_VALUE"""),1.0)</f>
        <v>1</v>
      </c>
      <c r="J143" s="11">
        <f>IFERROR(__xludf.DUMMYFUNCTION("""COMPUTED_VALUE"""),0.0)</f>
        <v>0</v>
      </c>
      <c r="K143" s="11">
        <f>IFERROR(__xludf.DUMMYFUNCTION("""COMPUTED_VALUE"""),0.0)</f>
        <v>0</v>
      </c>
    </row>
    <row r="144" ht="15.75" customHeight="1">
      <c r="A144" s="8" t="str">
        <f>IFERROR(__xludf.DUMMYFUNCTION("""COMPUTED_VALUE"""),"https://www.impressiondigital.com/media-solutions/google-marketing-platform/")</f>
        <v>https://www.impressiondigital.com/media-solutions/google-marketing-platform/</v>
      </c>
      <c r="B144" s="11" t="str">
        <f>IFERROR(__xludf.DUMMYFUNCTION("""COMPUTED_VALUE"""),"Google Marketing Platform | Media Solutions")</f>
        <v>Google Marketing Platform | Media Solutions</v>
      </c>
      <c r="C144" s="8" t="str">
        <f>IFERROR(__xludf.DUMMYFUNCTION("""COMPUTED_VALUE"""),"impressiondigital.com")</f>
        <v>impressiondigital.com</v>
      </c>
      <c r="D144" s="11" t="str">
        <f>IFERROR(__xludf.DUMMYFUNCTION("""COMPUTED_VALUE"""),"PRODUCT_PAGE")</f>
        <v>PRODUCT_PAGE</v>
      </c>
      <c r="E144" s="11" t="str">
        <f>IFERROR(__xludf.DUMMYFUNCTION("""COMPUTED_VALUE"""),"CORPORATE")</f>
        <v>CORPORATE</v>
      </c>
      <c r="F144" s="11" t="str">
        <f>IFERROR(__xludf.DUMMYFUNCTION("""COMPUTED_VALUE"""),"Product Page")</f>
        <v>Product Page</v>
      </c>
      <c r="G144" s="11" t="b">
        <f>IFERROR(__xludf.DUMMYFUNCTION("""COMPUTED_VALUE"""),FALSE)</f>
        <v>0</v>
      </c>
      <c r="H144" s="11"/>
      <c r="I144" s="11">
        <f>IFERROR(__xludf.DUMMYFUNCTION("""COMPUTED_VALUE"""),1.0)</f>
        <v>1</v>
      </c>
      <c r="J144" s="11">
        <f>IFERROR(__xludf.DUMMYFUNCTION("""COMPUTED_VALUE"""),0.0)</f>
        <v>0</v>
      </c>
      <c r="K144" s="11">
        <f>IFERROR(__xludf.DUMMYFUNCTION("""COMPUTED_VALUE"""),1.0)</f>
        <v>1</v>
      </c>
    </row>
    <row r="145" ht="15.75" customHeight="1">
      <c r="A145" s="8" t="str">
        <f>IFERROR(__xludf.DUMMYFUNCTION("""COMPUTED_VALUE"""),"https://www.incrmntal.com/autonomous")</f>
        <v>https://www.incrmntal.com/autonomous</v>
      </c>
      <c r="B145" s="11" t="str">
        <f>IFERROR(__xludf.DUMMYFUNCTION("""COMPUTED_VALUE"""),"Autonomous Marketing Measurement | Incrmntal")</f>
        <v>Autonomous Marketing Measurement | Incrmntal</v>
      </c>
      <c r="C145" s="8" t="str">
        <f>IFERROR(__xludf.DUMMYFUNCTION("""COMPUTED_VALUE"""),"incrmntal.com")</f>
        <v>incrmntal.com</v>
      </c>
      <c r="D145" s="11" t="str">
        <f>IFERROR(__xludf.DUMMYFUNCTION("""COMPUTED_VALUE"""),"PRODUCT_PAGE")</f>
        <v>PRODUCT_PAGE</v>
      </c>
      <c r="E145" s="11" t="str">
        <f>IFERROR(__xludf.DUMMYFUNCTION("""COMPUTED_VALUE"""),"COMPETITOR")</f>
        <v>COMPETITOR</v>
      </c>
      <c r="F145" s="11" t="str">
        <f>IFERROR(__xludf.DUMMYFUNCTION("""COMPUTED_VALUE"""),"Product Page")</f>
        <v>Product Page</v>
      </c>
      <c r="G145" s="11" t="b">
        <f>IFERROR(__xludf.DUMMYFUNCTION("""COMPUTED_VALUE"""),FALSE)</f>
        <v>0</v>
      </c>
      <c r="H145" s="11" t="str">
        <f>IFERROR(__xludf.DUMMYFUNCTION("""COMPUTED_VALUE"""),"INCRMNTAL")</f>
        <v>INCRMNTAL</v>
      </c>
      <c r="I145" s="11">
        <f>IFERROR(__xludf.DUMMYFUNCTION("""COMPUTED_VALUE"""),1.0)</f>
        <v>1</v>
      </c>
      <c r="J145" s="11">
        <f>IFERROR(__xludf.DUMMYFUNCTION("""COMPUTED_VALUE"""),0.0)</f>
        <v>0</v>
      </c>
      <c r="K145" s="11">
        <f>IFERROR(__xludf.DUMMYFUNCTION("""COMPUTED_VALUE"""),1.0)</f>
        <v>1</v>
      </c>
    </row>
    <row r="146" ht="15.75" customHeight="1">
      <c r="A146" s="8" t="str">
        <f>IFERROR(__xludf.DUMMYFUNCTION("""COMPUTED_VALUE"""),"https://incubeta.com/capabilities/marketing-intelligence/")</f>
        <v>https://incubeta.com/capabilities/marketing-intelligence/</v>
      </c>
      <c r="B146" s="11" t="str">
        <f>IFERROR(__xludf.DUMMYFUNCTION("""COMPUTED_VALUE"""),"Marketing Intelligence | Incubeta")</f>
        <v>Marketing Intelligence | Incubeta</v>
      </c>
      <c r="C146" s="8" t="str">
        <f>IFERROR(__xludf.DUMMYFUNCTION("""COMPUTED_VALUE"""),"incubeta.com")</f>
        <v>incubeta.com</v>
      </c>
      <c r="D146" s="11" t="str">
        <f>IFERROR(__xludf.DUMMYFUNCTION("""COMPUTED_VALUE"""),"PRODUCT_PAGE")</f>
        <v>PRODUCT_PAGE</v>
      </c>
      <c r="E146" s="11" t="str">
        <f>IFERROR(__xludf.DUMMYFUNCTION("""COMPUTED_VALUE"""),"OWN")</f>
        <v>OWN</v>
      </c>
      <c r="F146" s="11" t="str">
        <f>IFERROR(__xludf.DUMMYFUNCTION("""COMPUTED_VALUE"""),"Product Page")</f>
        <v>Product Page</v>
      </c>
      <c r="G146" s="11" t="b">
        <f>IFERROR(__xludf.DUMMYFUNCTION("""COMPUTED_VALUE"""),TRUE)</f>
        <v>1</v>
      </c>
      <c r="H146" s="11" t="str">
        <f>IFERROR(__xludf.DUMMYFUNCTION("""COMPUTED_VALUE"""),"Incubeta")</f>
        <v>Incubeta</v>
      </c>
      <c r="I146" s="11">
        <f>IFERROR(__xludf.DUMMYFUNCTION("""COMPUTED_VALUE"""),1.0)</f>
        <v>1</v>
      </c>
      <c r="J146" s="11">
        <f>IFERROR(__xludf.DUMMYFUNCTION("""COMPUTED_VALUE"""),0.0)</f>
        <v>0</v>
      </c>
      <c r="K146" s="11">
        <f>IFERROR(__xludf.DUMMYFUNCTION("""COMPUTED_VALUE"""),1.0)</f>
        <v>1</v>
      </c>
    </row>
    <row r="147" ht="15.75" customHeight="1">
      <c r="A147" s="8" t="str">
        <f>IFERROR(__xludf.DUMMYFUNCTION("""COMPUTED_VALUE"""),"https://invademarketing.com/best-rated-media-planning-agencies-in-performance-marketing/")</f>
        <v>https://invademarketing.com/best-rated-media-planning-agencies-in-performance-marketing/</v>
      </c>
      <c r="B147" s="11" t="str">
        <f>IFERROR(__xludf.DUMMYFUNCTION("""COMPUTED_VALUE"""),"Best Rated Media Planning Agencies in Performance Marketing")</f>
        <v>Best Rated Media Planning Agencies in Performance Marketing</v>
      </c>
      <c r="C147" s="8" t="str">
        <f>IFERROR(__xludf.DUMMYFUNCTION("""COMPUTED_VALUE"""),"invademarketing.com")</f>
        <v>invademarketing.com</v>
      </c>
      <c r="D147" s="11" t="str">
        <f>IFERROR(__xludf.DUMMYFUNCTION("""COMPUTED_VALUE"""),"PRODUCT_PAGE")</f>
        <v>PRODUCT_PAGE</v>
      </c>
      <c r="E147" s="11" t="str">
        <f>IFERROR(__xludf.DUMMYFUNCTION("""COMPUTED_VALUE"""),"CORPORATE")</f>
        <v>CORPORATE</v>
      </c>
      <c r="F147" s="11" t="str">
        <f>IFERROR(__xludf.DUMMYFUNCTION("""COMPUTED_VALUE"""),"Product Page")</f>
        <v>Product Page</v>
      </c>
      <c r="G147" s="11" t="b">
        <f>IFERROR(__xludf.DUMMYFUNCTION("""COMPUTED_VALUE"""),FALSE)</f>
        <v>0</v>
      </c>
      <c r="H147" s="11" t="str">
        <f>IFERROR(__xludf.DUMMYFUNCTION("""COMPUTED_VALUE"""),"Measured")</f>
        <v>Measured</v>
      </c>
      <c r="I147" s="11">
        <f>IFERROR(__xludf.DUMMYFUNCTION("""COMPUTED_VALUE"""),1.0)</f>
        <v>1</v>
      </c>
      <c r="J147" s="11">
        <f>IFERROR(__xludf.DUMMYFUNCTION("""COMPUTED_VALUE"""),0.0)</f>
        <v>0</v>
      </c>
      <c r="K147" s="11">
        <f>IFERROR(__xludf.DUMMYFUNCTION("""COMPUTED_VALUE"""),1.0)</f>
        <v>1</v>
      </c>
    </row>
    <row r="148" ht="15.75" customHeight="1">
      <c r="A148" s="8" t="str">
        <f>IFERROR(__xludf.DUMMYFUNCTION("""COMPUTED_VALUE"""),"https://www.invictus-lead-generation.de/en/leistungen/geo/")</f>
        <v>https://www.invictus-lead-generation.de/en/leistungen/geo/</v>
      </c>
      <c r="B148" s="11" t="str">
        <f>IFERROR(__xludf.DUMMYFUNCTION("""COMPUTED_VALUE"""),"Generative Engine Optimisation (GEO) | AI SEO Agency")</f>
        <v>Generative Engine Optimisation (GEO) | AI SEO Agency</v>
      </c>
      <c r="C148" s="8" t="str">
        <f>IFERROR(__xludf.DUMMYFUNCTION("""COMPUTED_VALUE"""),"invictus-lead-generation.de")</f>
        <v>invictus-lead-generation.de</v>
      </c>
      <c r="D148" s="11" t="str">
        <f>IFERROR(__xludf.DUMMYFUNCTION("""COMPUTED_VALUE"""),"PRODUCT_PAGE")</f>
        <v>PRODUCT_PAGE</v>
      </c>
      <c r="E148" s="11" t="str">
        <f>IFERROR(__xludf.DUMMYFUNCTION("""COMPUTED_VALUE"""),"CORPORATE")</f>
        <v>CORPORATE</v>
      </c>
      <c r="F148" s="11" t="str">
        <f>IFERROR(__xludf.DUMMYFUNCTION("""COMPUTED_VALUE"""),"Product Page")</f>
        <v>Product Page</v>
      </c>
      <c r="G148" s="11" t="b">
        <f>IFERROR(__xludf.DUMMYFUNCTION("""COMPUTED_VALUE"""),FALSE)</f>
        <v>0</v>
      </c>
      <c r="H148" s="11" t="str">
        <f>IFERROR(__xludf.DUMMYFUNCTION("""COMPUTED_VALUE"""),"Measured")</f>
        <v>Measured</v>
      </c>
      <c r="I148" s="11">
        <f>IFERROR(__xludf.DUMMYFUNCTION("""COMPUTED_VALUE"""),1.0)</f>
        <v>1</v>
      </c>
      <c r="J148" s="11">
        <f>IFERROR(__xludf.DUMMYFUNCTION("""COMPUTED_VALUE"""),0.0)</f>
        <v>0</v>
      </c>
      <c r="K148" s="11">
        <f>IFERROR(__xludf.DUMMYFUNCTION("""COMPUTED_VALUE"""),1.0)</f>
        <v>1</v>
      </c>
    </row>
    <row r="149" ht="15.75" customHeight="1">
      <c r="A149" s="8" t="str">
        <f>IFERROR(__xludf.DUMMYFUNCTION("""COMPUTED_VALUE"""),"https://www.iopex.com/solutions/marketingops")</f>
        <v>https://www.iopex.com/solutions/marketingops</v>
      </c>
      <c r="B149" s="11" t="str">
        <f>IFERROR(__xludf.DUMMYFUNCTION("""COMPUTED_VALUE"""),"AI-Driven Marketing Operations for Revenue Growth | iOPEX")</f>
        <v>AI-Driven Marketing Operations for Revenue Growth | iOPEX</v>
      </c>
      <c r="C149" s="8" t="str">
        <f>IFERROR(__xludf.DUMMYFUNCTION("""COMPUTED_VALUE"""),"iopex.com")</f>
        <v>iopex.com</v>
      </c>
      <c r="D149" s="11" t="str">
        <f>IFERROR(__xludf.DUMMYFUNCTION("""COMPUTED_VALUE"""),"PRODUCT_PAGE")</f>
        <v>PRODUCT_PAGE</v>
      </c>
      <c r="E149" s="11" t="str">
        <f>IFERROR(__xludf.DUMMYFUNCTION("""COMPUTED_VALUE"""),"UGC")</f>
        <v>UGC</v>
      </c>
      <c r="F149" s="11" t="str">
        <f>IFERROR(__xludf.DUMMYFUNCTION("""COMPUTED_VALUE"""),"Product Page")</f>
        <v>Product Page</v>
      </c>
      <c r="G149" s="11" t="b">
        <f>IFERROR(__xludf.DUMMYFUNCTION("""COMPUTED_VALUE"""),FALSE)</f>
        <v>0</v>
      </c>
      <c r="H149" s="11" t="str">
        <f>IFERROR(__xludf.DUMMYFUNCTION("""COMPUTED_VALUE"""),"Nielsen")</f>
        <v>Nielsen</v>
      </c>
      <c r="I149" s="11">
        <f>IFERROR(__xludf.DUMMYFUNCTION("""COMPUTED_VALUE"""),1.0)</f>
        <v>1</v>
      </c>
      <c r="J149" s="11">
        <f>IFERROR(__xludf.DUMMYFUNCTION("""COMPUTED_VALUE"""),0.0)</f>
        <v>0</v>
      </c>
      <c r="K149" s="11">
        <f>IFERROR(__xludf.DUMMYFUNCTION("""COMPUTED_VALUE"""),1.0)</f>
        <v>1</v>
      </c>
    </row>
    <row r="150" ht="15.75" customHeight="1">
      <c r="A150" s="8" t="str">
        <f>IFERROR(__xludf.DUMMYFUNCTION("""COMPUTED_VALUE"""),"https://jobgether.com/offer/69fd12bcf77bd3019866ce3a-sea-manager---german-speaking-m-w-d")</f>
        <v>https://jobgether.com/offer/69fd12bcf77bd3019866ce3a-sea-manager---german-speaking-m-w-d</v>
      </c>
      <c r="B150" s="11" t="str">
        <f>IFERROR(__xludf.DUMMYFUNCTION("""COMPUTED_VALUE"""),"SEA Manager - German speaking (m/w/d) at Peak Ace AG")</f>
        <v>SEA Manager - German speaking (m/w/d) at Peak Ace AG</v>
      </c>
      <c r="C150" s="8" t="str">
        <f>IFERROR(__xludf.DUMMYFUNCTION("""COMPUTED_VALUE"""),"jobgether.com")</f>
        <v>jobgether.com</v>
      </c>
      <c r="D150" s="11" t="str">
        <f>IFERROR(__xludf.DUMMYFUNCTION("""COMPUTED_VALUE"""),"PRODUCT_PAGE")</f>
        <v>PRODUCT_PAGE</v>
      </c>
      <c r="E150" s="11" t="str">
        <f>IFERROR(__xludf.DUMMYFUNCTION("""COMPUTED_VALUE"""),"CORPORATE")</f>
        <v>CORPORATE</v>
      </c>
      <c r="F150" s="11" t="str">
        <f>IFERROR(__xludf.DUMMYFUNCTION("""COMPUTED_VALUE"""),"Product Page")</f>
        <v>Product Page</v>
      </c>
      <c r="G150" s="11" t="b">
        <f>IFERROR(__xludf.DUMMYFUNCTION("""COMPUTED_VALUE"""),FALSE)</f>
        <v>0</v>
      </c>
      <c r="H150" s="11" t="str">
        <f>IFERROR(__xludf.DUMMYFUNCTION("""COMPUTED_VALUE"""),"Peak Ace, McKinsey &amp; Company")</f>
        <v>Peak Ace, McKinsey &amp; Company</v>
      </c>
      <c r="I150" s="11">
        <f>IFERROR(__xludf.DUMMYFUNCTION("""COMPUTED_VALUE"""),1.0)</f>
        <v>1</v>
      </c>
      <c r="J150" s="11">
        <f>IFERROR(__xludf.DUMMYFUNCTION("""COMPUTED_VALUE"""),0.0)</f>
        <v>0</v>
      </c>
      <c r="K150" s="11">
        <f>IFERROR(__xludf.DUMMYFUNCTION("""COMPUTED_VALUE"""),1.0)</f>
        <v>1</v>
      </c>
    </row>
    <row r="151" ht="15.75" customHeight="1">
      <c r="A151" s="8" t="str">
        <f>IFERROR(__xludf.DUMMYFUNCTION("""COMPUTED_VALUE"""),"https://www.karlmission.com/services/geo")</f>
        <v>https://www.karlmission.com/services/geo</v>
      </c>
      <c r="B151" s="11" t="str">
        <f>IFERROR(__xludf.DUMMYFUNCTION("""COMPUTED_VALUE"""),"Generative Engine Optimization (GEO) | AI SEO Agency")</f>
        <v>Generative Engine Optimization (GEO) | AI SEO Agency</v>
      </c>
      <c r="C151" s="8" t="str">
        <f>IFERROR(__xludf.DUMMYFUNCTION("""COMPUTED_VALUE"""),"karlmission.com")</f>
        <v>karlmission.com</v>
      </c>
      <c r="D151" s="11" t="str">
        <f>IFERROR(__xludf.DUMMYFUNCTION("""COMPUTED_VALUE"""),"PRODUCT_PAGE")</f>
        <v>PRODUCT_PAGE</v>
      </c>
      <c r="E151" s="11" t="str">
        <f>IFERROR(__xludf.DUMMYFUNCTION("""COMPUTED_VALUE"""),"CORPORATE")</f>
        <v>CORPORATE</v>
      </c>
      <c r="F151" s="11" t="str">
        <f>IFERROR(__xludf.DUMMYFUNCTION("""COMPUTED_VALUE"""),"Product Page")</f>
        <v>Product Page</v>
      </c>
      <c r="G151" s="11" t="b">
        <f>IFERROR(__xludf.DUMMYFUNCTION("""COMPUTED_VALUE"""),FALSE)</f>
        <v>0</v>
      </c>
      <c r="H151" s="11"/>
      <c r="I151" s="11">
        <f>IFERROR(__xludf.DUMMYFUNCTION("""COMPUTED_VALUE"""),1.0)</f>
        <v>1</v>
      </c>
      <c r="J151" s="11">
        <f>IFERROR(__xludf.DUMMYFUNCTION("""COMPUTED_VALUE"""),0.0)</f>
        <v>0</v>
      </c>
      <c r="K151" s="11">
        <f>IFERROR(__xludf.DUMMYFUNCTION("""COMPUTED_VALUE"""),1.0)</f>
        <v>1</v>
      </c>
    </row>
    <row r="152" ht="15.75" customHeight="1">
      <c r="A152" s="8" t="str">
        <f>IFERROR(__xludf.DUMMYFUNCTION("""COMPUTED_VALUE"""),"https://www.kiwop.com/en/marketing-attribution")</f>
        <v>https://www.kiwop.com/en/marketing-attribution</v>
      </c>
      <c r="B152" s="11" t="str">
        <f>IFERROR(__xludf.DUMMYFUNCTION("""COMPUTED_VALUE"""),"Marketing Attribution &amp;amp; MMM | Measure True ROI | Kiwop")</f>
        <v>Marketing Attribution &amp;amp; MMM | Measure True ROI | Kiwop</v>
      </c>
      <c r="C152" s="8" t="str">
        <f>IFERROR(__xludf.DUMMYFUNCTION("""COMPUTED_VALUE"""),"kiwop.com")</f>
        <v>kiwop.com</v>
      </c>
      <c r="D152" s="11" t="str">
        <f>IFERROR(__xludf.DUMMYFUNCTION("""COMPUTED_VALUE"""),"PRODUCT_PAGE")</f>
        <v>PRODUCT_PAGE</v>
      </c>
      <c r="E152" s="11" t="str">
        <f>IFERROR(__xludf.DUMMYFUNCTION("""COMPUTED_VALUE"""),"CORPORATE")</f>
        <v>CORPORATE</v>
      </c>
      <c r="F152" s="11" t="str">
        <f>IFERROR(__xludf.DUMMYFUNCTION("""COMPUTED_VALUE"""),"Product Page")</f>
        <v>Product Page</v>
      </c>
      <c r="G152" s="11" t="b">
        <f>IFERROR(__xludf.DUMMYFUNCTION("""COMPUTED_VALUE"""),FALSE)</f>
        <v>0</v>
      </c>
      <c r="H152" s="11" t="str">
        <f>IFERROR(__xludf.DUMMYFUNCTION("""COMPUTED_VALUE"""),"Rockerbox, Northbeam, LifeSight, Measured")</f>
        <v>Rockerbox, Northbeam, LifeSight, Measured</v>
      </c>
      <c r="I152" s="11">
        <f>IFERROR(__xludf.DUMMYFUNCTION("""COMPUTED_VALUE"""),1.0)</f>
        <v>1</v>
      </c>
      <c r="J152" s="11">
        <f>IFERROR(__xludf.DUMMYFUNCTION("""COMPUTED_VALUE"""),0.0)</f>
        <v>0</v>
      </c>
      <c r="K152" s="11">
        <f>IFERROR(__xludf.DUMMYFUNCTION("""COMPUTED_VALUE"""),0.0)</f>
        <v>0</v>
      </c>
    </row>
    <row r="153" ht="15.75" customHeight="1">
      <c r="A153" s="8" t="str">
        <f>IFERROR(__xludf.DUMMYFUNCTION("""COMPUTED_VALUE"""),"https://www.klickkonzept.de/leistungen/digital-analytics")</f>
        <v>https://www.klickkonzept.de/leistungen/digital-analytics</v>
      </c>
      <c r="B153" s="11" t="str">
        <f>IFERROR(__xludf.DUMMYFUNCTION("""COMPUTED_VALUE"""),"Digital Analytics aus Frankfurt | KlickKonzept")</f>
        <v>Digital Analytics aus Frankfurt | KlickKonzept</v>
      </c>
      <c r="C153" s="8" t="str">
        <f>IFERROR(__xludf.DUMMYFUNCTION("""COMPUTED_VALUE"""),"klickkonzept.de")</f>
        <v>klickkonzept.de</v>
      </c>
      <c r="D153" s="11" t="str">
        <f>IFERROR(__xludf.DUMMYFUNCTION("""COMPUTED_VALUE"""),"PRODUCT_PAGE")</f>
        <v>PRODUCT_PAGE</v>
      </c>
      <c r="E153" s="11" t="str">
        <f>IFERROR(__xludf.DUMMYFUNCTION("""COMPUTED_VALUE"""),"CORPORATE")</f>
        <v>CORPORATE</v>
      </c>
      <c r="F153" s="11" t="str">
        <f>IFERROR(__xludf.DUMMYFUNCTION("""COMPUTED_VALUE"""),"Product Page")</f>
        <v>Product Page</v>
      </c>
      <c r="G153" s="11" t="b">
        <f>IFERROR(__xludf.DUMMYFUNCTION("""COMPUTED_VALUE"""),FALSE)</f>
        <v>0</v>
      </c>
      <c r="H153" s="11" t="str">
        <f>IFERROR(__xludf.DUMMYFUNCTION("""COMPUTED_VALUE"""),"Labelium")</f>
        <v>Labelium</v>
      </c>
      <c r="I153" s="11">
        <f>IFERROR(__xludf.DUMMYFUNCTION("""COMPUTED_VALUE"""),1.0)</f>
        <v>1</v>
      </c>
      <c r="J153" s="11">
        <f>IFERROR(__xludf.DUMMYFUNCTION("""COMPUTED_VALUE"""),0.0)</f>
        <v>0</v>
      </c>
      <c r="K153" s="11">
        <f>IFERROR(__xludf.DUMMYFUNCTION("""COMPUTED_VALUE"""),0.0)</f>
        <v>0</v>
      </c>
    </row>
    <row r="154" ht="15.75" customHeight="1">
      <c r="A154" s="8" t="str">
        <f>IFERROR(__xludf.DUMMYFUNCTION("""COMPUTED_VALUE"""),"https://klickpiloten.de/leistungen/analytics")</f>
        <v>https://klickpiloten.de/leistungen/analytics</v>
      </c>
      <c r="B154" s="11" t="str">
        <f>IFERROR(__xludf.DUMMYFUNCTION("""COMPUTED_VALUE"""),"Webanalytics &amp;amp; Dashboards - Beratung und Integration - KlickPiloten")</f>
        <v>Webanalytics &amp;amp; Dashboards - Beratung und Integration - KlickPiloten</v>
      </c>
      <c r="C154" s="8" t="str">
        <f>IFERROR(__xludf.DUMMYFUNCTION("""COMPUTED_VALUE"""),"klickpiloten.de")</f>
        <v>klickpiloten.de</v>
      </c>
      <c r="D154" s="11" t="str">
        <f>IFERROR(__xludf.DUMMYFUNCTION("""COMPUTED_VALUE"""),"PRODUCT_PAGE")</f>
        <v>PRODUCT_PAGE</v>
      </c>
      <c r="E154" s="11" t="str">
        <f>IFERROR(__xludf.DUMMYFUNCTION("""COMPUTED_VALUE"""),"COMPETITOR")</f>
        <v>COMPETITOR</v>
      </c>
      <c r="F154" s="11" t="str">
        <f>IFERROR(__xludf.DUMMYFUNCTION("""COMPUTED_VALUE"""),"Product Page")</f>
        <v>Product Page</v>
      </c>
      <c r="G154" s="11" t="b">
        <f>IFERROR(__xludf.DUMMYFUNCTION("""COMPUTED_VALUE"""),FALSE)</f>
        <v>0</v>
      </c>
      <c r="H154" s="11" t="str">
        <f>IFERROR(__xludf.DUMMYFUNCTION("""COMPUTED_VALUE"""),"KlickPiloten")</f>
        <v>KlickPiloten</v>
      </c>
      <c r="I154" s="11">
        <f>IFERROR(__xludf.DUMMYFUNCTION("""COMPUTED_VALUE"""),1.0)</f>
        <v>1</v>
      </c>
      <c r="J154" s="11">
        <f>IFERROR(__xludf.DUMMYFUNCTION("""COMPUTED_VALUE"""),0.0)</f>
        <v>0</v>
      </c>
      <c r="K154" s="11">
        <f>IFERROR(__xludf.DUMMYFUNCTION("""COMPUTED_VALUE"""),1.0)</f>
        <v>1</v>
      </c>
    </row>
    <row r="155" ht="15.75" customHeight="1">
      <c r="A155" s="8" t="str">
        <f>IFERROR(__xludf.DUMMYFUNCTION("""COMPUTED_VALUE"""),"https://kloos.agency/ppc-google-ads/")</f>
        <v>https://kloos.agency/ppc-google-ads/</v>
      </c>
      <c r="B155" s="11" t="str">
        <f>IFERROR(__xludf.DUMMYFUNCTION("""COMPUTED_VALUE"""),"Google Ads Agency - SEM, Search Engine Advertising in Europe | .kloos")</f>
        <v>Google Ads Agency - SEM, Search Engine Advertising in Europe | .kloos</v>
      </c>
      <c r="C155" s="11" t="str">
        <f>IFERROR(__xludf.DUMMYFUNCTION("""COMPUTED_VALUE"""),"kloos.agency")</f>
        <v>kloos.agency</v>
      </c>
      <c r="D155" s="11" t="str">
        <f>IFERROR(__xludf.DUMMYFUNCTION("""COMPUTED_VALUE"""),"PRODUCT_PAGE")</f>
        <v>PRODUCT_PAGE</v>
      </c>
      <c r="E155" s="11" t="str">
        <f>IFERROR(__xludf.DUMMYFUNCTION("""COMPUTED_VALUE"""),"CORPORATE")</f>
        <v>CORPORATE</v>
      </c>
      <c r="F155" s="11" t="str">
        <f>IFERROR(__xludf.DUMMYFUNCTION("""COMPUTED_VALUE"""),"Product Page")</f>
        <v>Product Page</v>
      </c>
      <c r="G155" s="11" t="b">
        <f>IFERROR(__xludf.DUMMYFUNCTION("""COMPUTED_VALUE"""),FALSE)</f>
        <v>0</v>
      </c>
      <c r="H155" s="11" t="str">
        <f>IFERROR(__xludf.DUMMYFUNCTION("""COMPUTED_VALUE"""),"Huge")</f>
        <v>Huge</v>
      </c>
      <c r="I155" s="11">
        <f>IFERROR(__xludf.DUMMYFUNCTION("""COMPUTED_VALUE"""),1.0)</f>
        <v>1</v>
      </c>
      <c r="J155" s="11">
        <f>IFERROR(__xludf.DUMMYFUNCTION("""COMPUTED_VALUE"""),0.0)</f>
        <v>0</v>
      </c>
      <c r="K155" s="11">
        <f>IFERROR(__xludf.DUMMYFUNCTION("""COMPUTED_VALUE"""),1.0)</f>
        <v>1</v>
      </c>
    </row>
    <row r="156" ht="15.75" customHeight="1">
      <c r="A156" s="8" t="str">
        <f>IFERROR(__xludf.DUMMYFUNCTION("""COMPUTED_VALUE"""),"https://labtrix.de/ai-seo/ai-search-optimierung")</f>
        <v>https://labtrix.de/ai-seo/ai-search-optimierung</v>
      </c>
      <c r="B156" s="11" t="str">
        <f>IFERROR(__xludf.DUMMYFUNCTION("""COMPUTED_VALUE"""),"AI Search Optimierung (AIO &amp;amp; GEO) | LABTRIX | LABTRIX")</f>
        <v>AI Search Optimierung (AIO &amp;amp; GEO) | LABTRIX | LABTRIX</v>
      </c>
      <c r="C156" s="8" t="str">
        <f>IFERROR(__xludf.DUMMYFUNCTION("""COMPUTED_VALUE"""),"labtrix.de")</f>
        <v>labtrix.de</v>
      </c>
      <c r="D156" s="11" t="str">
        <f>IFERROR(__xludf.DUMMYFUNCTION("""COMPUTED_VALUE"""),"PRODUCT_PAGE")</f>
        <v>PRODUCT_PAGE</v>
      </c>
      <c r="E156" s="11" t="str">
        <f>IFERROR(__xludf.DUMMYFUNCTION("""COMPUTED_VALUE"""),"CORPORATE")</f>
        <v>CORPORATE</v>
      </c>
      <c r="F156" s="11" t="str">
        <f>IFERROR(__xludf.DUMMYFUNCTION("""COMPUTED_VALUE"""),"Product Page")</f>
        <v>Product Page</v>
      </c>
      <c r="G156" s="11" t="b">
        <f>IFERROR(__xludf.DUMMYFUNCTION("""COMPUTED_VALUE"""),FALSE)</f>
        <v>0</v>
      </c>
      <c r="H156" s="11"/>
      <c r="I156" s="11">
        <f>IFERROR(__xludf.DUMMYFUNCTION("""COMPUTED_VALUE"""),1.0)</f>
        <v>1</v>
      </c>
      <c r="J156" s="11">
        <f>IFERROR(__xludf.DUMMYFUNCTION("""COMPUTED_VALUE"""),0.0)</f>
        <v>0</v>
      </c>
      <c r="K156" s="11">
        <f>IFERROR(__xludf.DUMMYFUNCTION("""COMPUTED_VALUE"""),2.0)</f>
        <v>2</v>
      </c>
    </row>
    <row r="157" ht="15.75" customHeight="1">
      <c r="A157" s="8" t="str">
        <f>IFERROR(__xludf.DUMMYFUNCTION("""COMPUTED_VALUE"""),"https://www.mercurymediatechnology.com/en/marketing-measurement-mmm/")</f>
        <v>https://www.mercurymediatechnology.com/en/marketing-measurement-mmm/</v>
      </c>
      <c r="B157" s="11" t="str">
        <f>IFERROR(__xludf.DUMMYFUNCTION("""COMPUTED_VALUE"""),"Marketing Measurement &amp;amp; MMM for Enterprises | MMT")</f>
        <v>Marketing Measurement &amp;amp; MMM for Enterprises | MMT</v>
      </c>
      <c r="C157" s="8" t="str">
        <f>IFERROR(__xludf.DUMMYFUNCTION("""COMPUTED_VALUE"""),"mercurymediatechnology.com")</f>
        <v>mercurymediatechnology.com</v>
      </c>
      <c r="D157" s="11" t="str">
        <f>IFERROR(__xludf.DUMMYFUNCTION("""COMPUTED_VALUE"""),"PRODUCT_PAGE")</f>
        <v>PRODUCT_PAGE</v>
      </c>
      <c r="E157" s="11" t="str">
        <f>IFERROR(__xludf.DUMMYFUNCTION("""COMPUTED_VALUE"""),"CORPORATE")</f>
        <v>CORPORATE</v>
      </c>
      <c r="F157" s="11" t="str">
        <f>IFERROR(__xludf.DUMMYFUNCTION("""COMPUTED_VALUE"""),"Product Page")</f>
        <v>Product Page</v>
      </c>
      <c r="G157" s="11" t="b">
        <f>IFERROR(__xludf.DUMMYFUNCTION("""COMPUTED_VALUE"""),FALSE)</f>
        <v>0</v>
      </c>
      <c r="H157" s="11"/>
      <c r="I157" s="11">
        <f>IFERROR(__xludf.DUMMYFUNCTION("""COMPUTED_VALUE"""),1.0)</f>
        <v>1</v>
      </c>
      <c r="J157" s="11">
        <f>IFERROR(__xludf.DUMMYFUNCTION("""COMPUTED_VALUE"""),0.0)</f>
        <v>0</v>
      </c>
      <c r="K157" s="11">
        <f>IFERROR(__xludf.DUMMYFUNCTION("""COMPUTED_VALUE"""),2.0)</f>
        <v>2</v>
      </c>
    </row>
    <row r="158" ht="15.75" customHeight="1">
      <c r="A158" s="8" t="str">
        <f>IFERROR(__xludf.DUMMYFUNCTION("""COMPUTED_VALUE"""),"https://www.mindmelt.de/en/projects/it-consulting/")</f>
        <v>https://www.mindmelt.de/en/projects/it-consulting/</v>
      </c>
      <c r="B158" s="11" t="str">
        <f>IFERROR(__xludf.DUMMYFUNCTION("""COMPUTED_VALUE"""),"Marketing Agency for Tech Companies | mindmelt")</f>
        <v>Marketing Agency for Tech Companies | mindmelt</v>
      </c>
      <c r="C158" s="8" t="str">
        <f>IFERROR(__xludf.DUMMYFUNCTION("""COMPUTED_VALUE"""),"mindmelt.de")</f>
        <v>mindmelt.de</v>
      </c>
      <c r="D158" s="11" t="str">
        <f>IFERROR(__xludf.DUMMYFUNCTION("""COMPUTED_VALUE"""),"PRODUCT_PAGE")</f>
        <v>PRODUCT_PAGE</v>
      </c>
      <c r="E158" s="11" t="str">
        <f>IFERROR(__xludf.DUMMYFUNCTION("""COMPUTED_VALUE"""),"CORPORATE")</f>
        <v>CORPORATE</v>
      </c>
      <c r="F158" s="11" t="str">
        <f>IFERROR(__xludf.DUMMYFUNCTION("""COMPUTED_VALUE"""),"Product Page")</f>
        <v>Product Page</v>
      </c>
      <c r="G158" s="11" t="b">
        <f>IFERROR(__xludf.DUMMYFUNCTION("""COMPUTED_VALUE"""),FALSE)</f>
        <v>0</v>
      </c>
      <c r="H158" s="11"/>
      <c r="I158" s="11">
        <f>IFERROR(__xludf.DUMMYFUNCTION("""COMPUTED_VALUE"""),1.0)</f>
        <v>1</v>
      </c>
      <c r="J158" s="11">
        <f>IFERROR(__xludf.DUMMYFUNCTION("""COMPUTED_VALUE"""),0.0)</f>
        <v>0</v>
      </c>
      <c r="K158" s="11">
        <f>IFERROR(__xludf.DUMMYFUNCTION("""COMPUTED_VALUE"""),1.0)</f>
        <v>1</v>
      </c>
    </row>
    <row r="159" ht="15.75" customHeight="1">
      <c r="A159" s="8" t="str">
        <f>IFERROR(__xludf.DUMMYFUNCTION("""COMPUTED_VALUE"""),"https://www.mindmelt.de/en/services/web-design/generative-engine-optimisation/")</f>
        <v>https://www.mindmelt.de/en/services/web-design/generative-engine-optimisation/</v>
      </c>
      <c r="B159" s="11" t="str">
        <f>IFERROR(__xludf.DUMMYFUNCTION("""COMPUTED_VALUE"""),"Generative Engine Optimization (GEO) für KI-Suche &amp;amp; AI Overviews | mindmelt")</f>
        <v>Generative Engine Optimization (GEO) für KI-Suche &amp;amp; AI Overviews | mindmelt</v>
      </c>
      <c r="C159" s="8" t="str">
        <f>IFERROR(__xludf.DUMMYFUNCTION("""COMPUTED_VALUE"""),"mindmelt.de")</f>
        <v>mindmelt.de</v>
      </c>
      <c r="D159" s="11" t="str">
        <f>IFERROR(__xludf.DUMMYFUNCTION("""COMPUTED_VALUE"""),"PRODUCT_PAGE")</f>
        <v>PRODUCT_PAGE</v>
      </c>
      <c r="E159" s="11" t="str">
        <f>IFERROR(__xludf.DUMMYFUNCTION("""COMPUTED_VALUE"""),"CORPORATE")</f>
        <v>CORPORATE</v>
      </c>
      <c r="F159" s="11" t="str">
        <f>IFERROR(__xludf.DUMMYFUNCTION("""COMPUTED_VALUE"""),"Product Page")</f>
        <v>Product Page</v>
      </c>
      <c r="G159" s="11" t="b">
        <f>IFERROR(__xludf.DUMMYFUNCTION("""COMPUTED_VALUE"""),FALSE)</f>
        <v>0</v>
      </c>
      <c r="H159" s="11"/>
      <c r="I159" s="11">
        <f>IFERROR(__xludf.DUMMYFUNCTION("""COMPUTED_VALUE"""),1.0)</f>
        <v>1</v>
      </c>
      <c r="J159" s="11">
        <f>IFERROR(__xludf.DUMMYFUNCTION("""COMPUTED_VALUE"""),0.0)</f>
        <v>0</v>
      </c>
      <c r="K159" s="11">
        <f>IFERROR(__xludf.DUMMYFUNCTION("""COMPUTED_VALUE"""),2.0)</f>
        <v>2</v>
      </c>
    </row>
    <row r="160" ht="15.75" customHeight="1">
      <c r="A160" s="8" t="str">
        <f>IFERROR(__xludf.DUMMYFUNCTION("""COMPUTED_VALUE"""),"https://modo25.com/services/data-science/mmm-attribution/")</f>
        <v>https://modo25.com/services/data-science/mmm-attribution/</v>
      </c>
      <c r="B160" s="11" t="str">
        <f>IFERROR(__xludf.DUMMYFUNCTION("""COMPUTED_VALUE"""),"Marketing Mix Modelling (MMM) | Modo25")</f>
        <v>Marketing Mix Modelling (MMM) | Modo25</v>
      </c>
      <c r="C160" s="8" t="str">
        <f>IFERROR(__xludf.DUMMYFUNCTION("""COMPUTED_VALUE"""),"modo25.com")</f>
        <v>modo25.com</v>
      </c>
      <c r="D160" s="11" t="str">
        <f>IFERROR(__xludf.DUMMYFUNCTION("""COMPUTED_VALUE"""),"PRODUCT_PAGE")</f>
        <v>PRODUCT_PAGE</v>
      </c>
      <c r="E160" s="11" t="str">
        <f>IFERROR(__xludf.DUMMYFUNCTION("""COMPUTED_VALUE"""),"CORPORATE")</f>
        <v>CORPORATE</v>
      </c>
      <c r="F160" s="11" t="str">
        <f>IFERROR(__xludf.DUMMYFUNCTION("""COMPUTED_VALUE"""),"Product Page")</f>
        <v>Product Page</v>
      </c>
      <c r="G160" s="11" t="b">
        <f>IFERROR(__xludf.DUMMYFUNCTION("""COMPUTED_VALUE"""),FALSE)</f>
        <v>0</v>
      </c>
      <c r="H160" s="11"/>
      <c r="I160" s="11">
        <f>IFERROR(__xludf.DUMMYFUNCTION("""COMPUTED_VALUE"""),1.0)</f>
        <v>1</v>
      </c>
      <c r="J160" s="11">
        <f>IFERROR(__xludf.DUMMYFUNCTION("""COMPUTED_VALUE"""),0.0)</f>
        <v>0</v>
      </c>
      <c r="K160" s="11">
        <f>IFERROR(__xludf.DUMMYFUNCTION("""COMPUTED_VALUE"""),1.0)</f>
        <v>1</v>
      </c>
    </row>
    <row r="161" ht="15.75" customHeight="1">
      <c r="A161" s="8" t="str">
        <f>IFERROR(__xludf.DUMMYFUNCTION("""COMPUTED_VALUE"""),"https://www.monks.com/partners/google-marketing-platform")</f>
        <v>https://www.monks.com/partners/google-marketing-platform</v>
      </c>
      <c r="B161" s="11" t="str">
        <f>IFERROR(__xludf.DUMMYFUNCTION("""COMPUTED_VALUE"""),"Google Marketing Platform | Partnerships | Monks")</f>
        <v>Google Marketing Platform | Partnerships | Monks</v>
      </c>
      <c r="C161" s="8" t="str">
        <f>IFERROR(__xludf.DUMMYFUNCTION("""COMPUTED_VALUE"""),"monks.com")</f>
        <v>monks.com</v>
      </c>
      <c r="D161" s="11" t="str">
        <f>IFERROR(__xludf.DUMMYFUNCTION("""COMPUTED_VALUE"""),"PRODUCT_PAGE")</f>
        <v>PRODUCT_PAGE</v>
      </c>
      <c r="E161" s="11" t="str">
        <f>IFERROR(__xludf.DUMMYFUNCTION("""COMPUTED_VALUE"""),"COMPETITOR")</f>
        <v>COMPETITOR</v>
      </c>
      <c r="F161" s="11" t="str">
        <f>IFERROR(__xludf.DUMMYFUNCTION("""COMPUTED_VALUE"""),"Product Page")</f>
        <v>Product Page</v>
      </c>
      <c r="G161" s="11" t="b">
        <f>IFERROR(__xludf.DUMMYFUNCTION("""COMPUTED_VALUE"""),FALSE)</f>
        <v>0</v>
      </c>
      <c r="H161" s="11" t="str">
        <f>IFERROR(__xludf.DUMMYFUNCTION("""COMPUTED_VALUE"""),"Monks, Momentum")</f>
        <v>Monks, Momentum</v>
      </c>
      <c r="I161" s="11">
        <f>IFERROR(__xludf.DUMMYFUNCTION("""COMPUTED_VALUE"""),1.0)</f>
        <v>1</v>
      </c>
      <c r="J161" s="11">
        <f>IFERROR(__xludf.DUMMYFUNCTION("""COMPUTED_VALUE"""),0.0)</f>
        <v>0</v>
      </c>
      <c r="K161" s="11">
        <f>IFERROR(__xludf.DUMMYFUNCTION("""COMPUTED_VALUE"""),1.0)</f>
        <v>1</v>
      </c>
    </row>
    <row r="162" ht="15.75" customHeight="1">
      <c r="A162" s="8" t="str">
        <f>IFERROR(__xludf.DUMMYFUNCTION("""COMPUTED_VALUE"""),"https://www.more-fire.com/en/seo-agency/")</f>
        <v>https://www.more-fire.com/en/seo-agency/</v>
      </c>
      <c r="B162" s="11" t="str">
        <f>IFERROR(__xludf.DUMMYFUNCTION("""COMPUTED_VALUE"""),"SEO agency from Cologne for more traffic | morefire")</f>
        <v>SEO agency from Cologne for more traffic | morefire</v>
      </c>
      <c r="C162" s="8" t="str">
        <f>IFERROR(__xludf.DUMMYFUNCTION("""COMPUTED_VALUE"""),"more-fire.com")</f>
        <v>more-fire.com</v>
      </c>
      <c r="D162" s="11" t="str">
        <f>IFERROR(__xludf.DUMMYFUNCTION("""COMPUTED_VALUE"""),"PRODUCT_PAGE")</f>
        <v>PRODUCT_PAGE</v>
      </c>
      <c r="E162" s="11" t="str">
        <f>IFERROR(__xludf.DUMMYFUNCTION("""COMPUTED_VALUE"""),"COMPETITOR")</f>
        <v>COMPETITOR</v>
      </c>
      <c r="F162" s="11" t="str">
        <f>IFERROR(__xludf.DUMMYFUNCTION("""COMPUTED_VALUE"""),"Product Page")</f>
        <v>Product Page</v>
      </c>
      <c r="G162" s="11" t="b">
        <f>IFERROR(__xludf.DUMMYFUNCTION("""COMPUTED_VALUE"""),FALSE)</f>
        <v>0</v>
      </c>
      <c r="H162" s="11" t="str">
        <f>IFERROR(__xludf.DUMMYFUNCTION("""COMPUTED_VALUE"""),"morefire")</f>
        <v>morefire</v>
      </c>
      <c r="I162" s="11">
        <f>IFERROR(__xludf.DUMMYFUNCTION("""COMPUTED_VALUE"""),1.0)</f>
        <v>1</v>
      </c>
      <c r="J162" s="11">
        <f>IFERROR(__xludf.DUMMYFUNCTION("""COMPUTED_VALUE"""),0.0)</f>
        <v>0</v>
      </c>
      <c r="K162" s="11">
        <f>IFERROR(__xludf.DUMMYFUNCTION("""COMPUTED_VALUE"""),1.0)</f>
        <v>1</v>
      </c>
    </row>
    <row r="163" ht="15.75" customHeight="1">
      <c r="A163" s="8" t="str">
        <f>IFERROR(__xludf.DUMMYFUNCTION("""COMPUTED_VALUE"""),"https://multishoring.com/services/google-bi-and-bigquery-consulting/")</f>
        <v>https://multishoring.com/services/google-bi-and-bigquery-consulting/</v>
      </c>
      <c r="B163" s="11" t="str">
        <f>IFERROR(__xludf.DUMMYFUNCTION("""COMPUTED_VALUE"""),"Google BI Solutions and BigQuery Services")</f>
        <v>Google BI Solutions and BigQuery Services</v>
      </c>
      <c r="C163" s="8" t="str">
        <f>IFERROR(__xludf.DUMMYFUNCTION("""COMPUTED_VALUE"""),"multishoring.com")</f>
        <v>multishoring.com</v>
      </c>
      <c r="D163" s="11" t="str">
        <f>IFERROR(__xludf.DUMMYFUNCTION("""COMPUTED_VALUE"""),"PRODUCT_PAGE")</f>
        <v>PRODUCT_PAGE</v>
      </c>
      <c r="E163" s="11" t="str">
        <f>IFERROR(__xludf.DUMMYFUNCTION("""COMPUTED_VALUE"""),"CORPORATE")</f>
        <v>CORPORATE</v>
      </c>
      <c r="F163" s="11" t="str">
        <f>IFERROR(__xludf.DUMMYFUNCTION("""COMPUTED_VALUE"""),"Product Page")</f>
        <v>Product Page</v>
      </c>
      <c r="G163" s="11" t="b">
        <f>IFERROR(__xludf.DUMMYFUNCTION("""COMPUTED_VALUE"""),FALSE)</f>
        <v>0</v>
      </c>
      <c r="H163" s="11"/>
      <c r="I163" s="11">
        <f>IFERROR(__xludf.DUMMYFUNCTION("""COMPUTED_VALUE"""),1.0)</f>
        <v>1</v>
      </c>
      <c r="J163" s="11">
        <f>IFERROR(__xludf.DUMMYFUNCTION("""COMPUTED_VALUE"""),0.0)</f>
        <v>0</v>
      </c>
      <c r="K163" s="11">
        <f>IFERROR(__xludf.DUMMYFUNCTION("""COMPUTED_VALUE"""),1.0)</f>
        <v>1</v>
      </c>
    </row>
    <row r="164" ht="15.75" customHeight="1">
      <c r="A164" s="8" t="str">
        <f>IFERROR(__xludf.DUMMYFUNCTION("""COMPUTED_VALUE"""),"https://nepa.com/ready-to-move-beyond-network-agencies/")</f>
        <v>https://nepa.com/ready-to-move-beyond-network-agencies/</v>
      </c>
      <c r="B164" s="11" t="str">
        <f>IFERROR(__xludf.DUMMYFUNCTION("""COMPUTED_VALUE"""),"Ready to move beyond network agencies? - Nepa")</f>
        <v>Ready to move beyond network agencies? - Nepa</v>
      </c>
      <c r="C164" s="8" t="str">
        <f>IFERROR(__xludf.DUMMYFUNCTION("""COMPUTED_VALUE"""),"nepa.com")</f>
        <v>nepa.com</v>
      </c>
      <c r="D164" s="11" t="str">
        <f>IFERROR(__xludf.DUMMYFUNCTION("""COMPUTED_VALUE"""),"PRODUCT_PAGE")</f>
        <v>PRODUCT_PAGE</v>
      </c>
      <c r="E164" s="11" t="str">
        <f>IFERROR(__xludf.DUMMYFUNCTION("""COMPUTED_VALUE"""),"CORPORATE")</f>
        <v>CORPORATE</v>
      </c>
      <c r="F164" s="11" t="str">
        <f>IFERROR(__xludf.DUMMYFUNCTION("""COMPUTED_VALUE"""),"Product Page")</f>
        <v>Product Page</v>
      </c>
      <c r="G164" s="11" t="b">
        <f>IFERROR(__xludf.DUMMYFUNCTION("""COMPUTED_VALUE"""),FALSE)</f>
        <v>0</v>
      </c>
      <c r="H164" s="11" t="str">
        <f>IFERROR(__xludf.DUMMYFUNCTION("""COMPUTED_VALUE"""),"BCG, GroupM, Dentsu")</f>
        <v>BCG, GroupM, Dentsu</v>
      </c>
      <c r="I164" s="11">
        <f>IFERROR(__xludf.DUMMYFUNCTION("""COMPUTED_VALUE"""),1.0)</f>
        <v>1</v>
      </c>
      <c r="J164" s="11">
        <f>IFERROR(__xludf.DUMMYFUNCTION("""COMPUTED_VALUE"""),0.0)</f>
        <v>0</v>
      </c>
      <c r="K164" s="11">
        <f>IFERROR(__xludf.DUMMYFUNCTION("""COMPUTED_VALUE"""),0.0)</f>
        <v>0</v>
      </c>
    </row>
    <row r="165" ht="15.75" customHeight="1">
      <c r="A165" s="8" t="str">
        <f>IFERROR(__xludf.DUMMYFUNCTION("""COMPUTED_VALUE"""),"https://newage.agency/en/our-services/google-marketing-platform-partner/")</f>
        <v>https://newage.agency/en/our-services/google-marketing-platform-partner/</v>
      </c>
      <c r="B165" s="11" t="str">
        <f>IFERROR(__xludf.DUMMYFUNCTION("""COMPUTED_VALUE"""),"Google Marketing Platform - access, training, optimisation")</f>
        <v>Google Marketing Platform - access, training, optimisation</v>
      </c>
      <c r="C165" s="11" t="str">
        <f>IFERROR(__xludf.DUMMYFUNCTION("""COMPUTED_VALUE"""),"newage.agency")</f>
        <v>newage.agency</v>
      </c>
      <c r="D165" s="11" t="str">
        <f>IFERROR(__xludf.DUMMYFUNCTION("""COMPUTED_VALUE"""),"PRODUCT_PAGE")</f>
        <v>PRODUCT_PAGE</v>
      </c>
      <c r="E165" s="11" t="str">
        <f>IFERROR(__xludf.DUMMYFUNCTION("""COMPUTED_VALUE"""),"CORPORATE")</f>
        <v>CORPORATE</v>
      </c>
      <c r="F165" s="11" t="str">
        <f>IFERROR(__xludf.DUMMYFUNCTION("""COMPUTED_VALUE"""),"Product Page")</f>
        <v>Product Page</v>
      </c>
      <c r="G165" s="11" t="b">
        <f>IFERROR(__xludf.DUMMYFUNCTION("""COMPUTED_VALUE"""),FALSE)</f>
        <v>0</v>
      </c>
      <c r="H165" s="11"/>
      <c r="I165" s="11">
        <f>IFERROR(__xludf.DUMMYFUNCTION("""COMPUTED_VALUE"""),1.0)</f>
        <v>1</v>
      </c>
      <c r="J165" s="11">
        <f>IFERROR(__xludf.DUMMYFUNCTION("""COMPUTED_VALUE"""),0.0)</f>
        <v>0</v>
      </c>
      <c r="K165" s="11">
        <f>IFERROR(__xludf.DUMMYFUNCTION("""COMPUTED_VALUE"""),0.0)</f>
        <v>0</v>
      </c>
    </row>
    <row r="166" ht="15.75" customHeight="1">
      <c r="A166" s="8" t="str">
        <f>IFERROR(__xludf.DUMMYFUNCTION("""COMPUTED_VALUE"""),"https://www.onehundred.digital/en/geo-generative-engine-optimization-agency-from-berlin-visibility-in-ai-systems/")</f>
        <v>https://www.onehundred.digital/en/geo-generative-engine-optimization-agency-from-berlin-visibility-in-ai-systems/</v>
      </c>
      <c r="B166" s="11" t="str">
        <f>IFERROR(__xludf.DUMMYFUNCTION("""COMPUTED_VALUE"""),"GEO | Generative Engine Optimization Agency from Berlin – Visibility in AI Systems | onehundred.digital |&amp;nbsp;Online Marketing")</f>
        <v>GEO | Generative Engine Optimization Agency from Berlin – Visibility in AI Systems | onehundred.digital |&amp;nbsp;Online Marketing</v>
      </c>
      <c r="C166" s="11" t="str">
        <f>IFERROR(__xludf.DUMMYFUNCTION("""COMPUTED_VALUE"""),"onehundred.digital")</f>
        <v>onehundred.digital</v>
      </c>
      <c r="D166" s="11" t="str">
        <f>IFERROR(__xludf.DUMMYFUNCTION("""COMPUTED_VALUE"""),"PRODUCT_PAGE")</f>
        <v>PRODUCT_PAGE</v>
      </c>
      <c r="E166" s="11" t="str">
        <f>IFERROR(__xludf.DUMMYFUNCTION("""COMPUTED_VALUE"""),"CORPORATE")</f>
        <v>CORPORATE</v>
      </c>
      <c r="F166" s="11" t="str">
        <f>IFERROR(__xludf.DUMMYFUNCTION("""COMPUTED_VALUE"""),"Product Page")</f>
        <v>Product Page</v>
      </c>
      <c r="G166" s="11" t="b">
        <f>IFERROR(__xludf.DUMMYFUNCTION("""COMPUTED_VALUE"""),FALSE)</f>
        <v>0</v>
      </c>
      <c r="H166" s="11" t="str">
        <f>IFERROR(__xludf.DUMMYFUNCTION("""COMPUTED_VALUE"""),"Measured")</f>
        <v>Measured</v>
      </c>
      <c r="I166" s="11">
        <f>IFERROR(__xludf.DUMMYFUNCTION("""COMPUTED_VALUE"""),1.0)</f>
        <v>1</v>
      </c>
      <c r="J166" s="11">
        <f>IFERROR(__xludf.DUMMYFUNCTION("""COMPUTED_VALUE"""),0.0)</f>
        <v>0</v>
      </c>
      <c r="K166" s="11">
        <f>IFERROR(__xludf.DUMMYFUNCTION("""COMPUTED_VALUE"""),1.0)</f>
        <v>1</v>
      </c>
    </row>
    <row r="167" ht="15.75" customHeight="1">
      <c r="A167" s="8" t="str">
        <f>IFERROR(__xludf.DUMMYFUNCTION("""COMPUTED_VALUE"""),"https://www.online-digitalx.de/en/searchengineoptimization/")</f>
        <v>https://www.online-digitalx.de/en/searchengineoptimization/</v>
      </c>
      <c r="B167" s="11" t="str">
        <f>IFERROR(__xludf.DUMMYFUNCTION("""COMPUTED_VALUE"""),"SEO Agency Germany - Online Digital X")</f>
        <v>SEO Agency Germany - Online Digital X</v>
      </c>
      <c r="C167" s="8" t="str">
        <f>IFERROR(__xludf.DUMMYFUNCTION("""COMPUTED_VALUE"""),"online-digitalx.de")</f>
        <v>online-digitalx.de</v>
      </c>
      <c r="D167" s="11" t="str">
        <f>IFERROR(__xludf.DUMMYFUNCTION("""COMPUTED_VALUE"""),"PRODUCT_PAGE")</f>
        <v>PRODUCT_PAGE</v>
      </c>
      <c r="E167" s="11" t="str">
        <f>IFERROR(__xludf.DUMMYFUNCTION("""COMPUTED_VALUE"""),"CORPORATE")</f>
        <v>CORPORATE</v>
      </c>
      <c r="F167" s="11" t="str">
        <f>IFERROR(__xludf.DUMMYFUNCTION("""COMPUTED_VALUE"""),"Product Page")</f>
        <v>Product Page</v>
      </c>
      <c r="G167" s="11" t="b">
        <f>IFERROR(__xludf.DUMMYFUNCTION("""COMPUTED_VALUE"""),FALSE)</f>
        <v>0</v>
      </c>
      <c r="H167" s="11"/>
      <c r="I167" s="11">
        <f>IFERROR(__xludf.DUMMYFUNCTION("""COMPUTED_VALUE"""),1.0)</f>
        <v>1</v>
      </c>
      <c r="J167" s="11">
        <f>IFERROR(__xludf.DUMMYFUNCTION("""COMPUTED_VALUE"""),0.0)</f>
        <v>0</v>
      </c>
      <c r="K167" s="11">
        <f>IFERROR(__xludf.DUMMYFUNCTION("""COMPUTED_VALUE"""),2.0)</f>
        <v>2</v>
      </c>
    </row>
    <row r="168" ht="15.75" customHeight="1">
      <c r="A168" s="8" t="str">
        <f>IFERROR(__xludf.DUMMYFUNCTION("""COMPUTED_VALUE"""),"https://www.orangemarketing.com/aeo-answer-engine-optimization-service")</f>
        <v>https://www.orangemarketing.com/aeo-answer-engine-optimization-service</v>
      </c>
      <c r="B168" s="11" t="str">
        <f>IFERROR(__xludf.DUMMYFUNCTION("""COMPUTED_VALUE"""),"Answer Engine Optimization (AEO) Services | Orange Marketing")</f>
        <v>Answer Engine Optimization (AEO) Services | Orange Marketing</v>
      </c>
      <c r="C168" s="8" t="str">
        <f>IFERROR(__xludf.DUMMYFUNCTION("""COMPUTED_VALUE"""),"orangemarketing.com")</f>
        <v>orangemarketing.com</v>
      </c>
      <c r="D168" s="11" t="str">
        <f>IFERROR(__xludf.DUMMYFUNCTION("""COMPUTED_VALUE"""),"PRODUCT_PAGE")</f>
        <v>PRODUCT_PAGE</v>
      </c>
      <c r="E168" s="11" t="str">
        <f>IFERROR(__xludf.DUMMYFUNCTION("""COMPUTED_VALUE"""),"CORPORATE")</f>
        <v>CORPORATE</v>
      </c>
      <c r="F168" s="11" t="str">
        <f>IFERROR(__xludf.DUMMYFUNCTION("""COMPUTED_VALUE"""),"Product Page")</f>
        <v>Product Page</v>
      </c>
      <c r="G168" s="11" t="b">
        <f>IFERROR(__xludf.DUMMYFUNCTION("""COMPUTED_VALUE"""),FALSE)</f>
        <v>0</v>
      </c>
      <c r="H168" s="11"/>
      <c r="I168" s="11">
        <f>IFERROR(__xludf.DUMMYFUNCTION("""COMPUTED_VALUE"""),1.0)</f>
        <v>1</v>
      </c>
      <c r="J168" s="11">
        <f>IFERROR(__xludf.DUMMYFUNCTION("""COMPUTED_VALUE"""),0.0)</f>
        <v>0</v>
      </c>
      <c r="K168" s="11">
        <f>IFERROR(__xludf.DUMMYFUNCTION("""COMPUTED_VALUE"""),1.0)</f>
        <v>1</v>
      </c>
    </row>
    <row r="169" ht="15.75" customHeight="1">
      <c r="A169" s="8" t="str">
        <f>IFERROR(__xludf.DUMMYFUNCTION("""COMPUTED_VALUE"""),"https://www.panorama-consulting.com/services/ai-readiness-and-enablement-service-offering/")</f>
        <v>https://www.panorama-consulting.com/services/ai-readiness-and-enablement-service-offering/</v>
      </c>
      <c r="B169" s="11" t="str">
        <f>IFERROR(__xludf.DUMMYFUNCTION("""COMPUTED_VALUE"""),"AI Readiness &amp;amp; Integration Service | Generatiive AI Consulting")</f>
        <v>AI Readiness &amp;amp; Integration Service | Generatiive AI Consulting</v>
      </c>
      <c r="C169" s="8" t="str">
        <f>IFERROR(__xludf.DUMMYFUNCTION("""COMPUTED_VALUE"""),"panorama-consulting.com")</f>
        <v>panorama-consulting.com</v>
      </c>
      <c r="D169" s="11" t="str">
        <f>IFERROR(__xludf.DUMMYFUNCTION("""COMPUTED_VALUE"""),"PRODUCT_PAGE")</f>
        <v>PRODUCT_PAGE</v>
      </c>
      <c r="E169" s="11" t="str">
        <f>IFERROR(__xludf.DUMMYFUNCTION("""COMPUTED_VALUE"""),"CORPORATE")</f>
        <v>CORPORATE</v>
      </c>
      <c r="F169" s="11" t="str">
        <f>IFERROR(__xludf.DUMMYFUNCTION("""COMPUTED_VALUE"""),"Product Page")</f>
        <v>Product Page</v>
      </c>
      <c r="G169" s="11" t="b">
        <f>IFERROR(__xludf.DUMMYFUNCTION("""COMPUTED_VALUE"""),FALSE)</f>
        <v>0</v>
      </c>
      <c r="H169" s="11" t="str">
        <f>IFERROR(__xludf.DUMMYFUNCTION("""COMPUTED_VALUE"""),"Pilot")</f>
        <v>Pilot</v>
      </c>
      <c r="I169" s="11">
        <f>IFERROR(__xludf.DUMMYFUNCTION("""COMPUTED_VALUE"""),1.0)</f>
        <v>1</v>
      </c>
      <c r="J169" s="11">
        <f>IFERROR(__xludf.DUMMYFUNCTION("""COMPUTED_VALUE"""),0.0)</f>
        <v>0</v>
      </c>
      <c r="K169" s="11">
        <f>IFERROR(__xludf.DUMMYFUNCTION("""COMPUTED_VALUE"""),0.0)</f>
        <v>0</v>
      </c>
    </row>
    <row r="170" ht="15.75" customHeight="1">
      <c r="A170" s="8" t="str">
        <f>IFERROR(__xludf.DUMMYFUNCTION("""COMPUTED_VALUE"""),"https://paramark.com/incrementality-testing")</f>
        <v>https://paramark.com/incrementality-testing</v>
      </c>
      <c r="B170" s="11" t="str">
        <f>IFERROR(__xludf.DUMMYFUNCTION("""COMPUTED_VALUE"""),"Bridge Gaps with Incrementality Testing: Experimentation with Paramark")</f>
        <v>Bridge Gaps with Incrementality Testing: Experimentation with Paramark</v>
      </c>
      <c r="C170" s="8" t="str">
        <f>IFERROR(__xludf.DUMMYFUNCTION("""COMPUTED_VALUE"""),"paramark.com")</f>
        <v>paramark.com</v>
      </c>
      <c r="D170" s="11" t="str">
        <f>IFERROR(__xludf.DUMMYFUNCTION("""COMPUTED_VALUE"""),"PRODUCT_PAGE")</f>
        <v>PRODUCT_PAGE</v>
      </c>
      <c r="E170" s="11" t="str">
        <f>IFERROR(__xludf.DUMMYFUNCTION("""COMPUTED_VALUE"""),"CORPORATE")</f>
        <v>CORPORATE</v>
      </c>
      <c r="F170" s="11" t="str">
        <f>IFERROR(__xludf.DUMMYFUNCTION("""COMPUTED_VALUE"""),"Product Page")</f>
        <v>Product Page</v>
      </c>
      <c r="G170" s="11" t="b">
        <f>IFERROR(__xludf.DUMMYFUNCTION("""COMPUTED_VALUE"""),FALSE)</f>
        <v>0</v>
      </c>
      <c r="H170" s="11" t="str">
        <f>IFERROR(__xludf.DUMMYFUNCTION("""COMPUTED_VALUE"""),"Huge, Haus, Recast")</f>
        <v>Huge, Haus, Recast</v>
      </c>
      <c r="I170" s="11">
        <f>IFERROR(__xludf.DUMMYFUNCTION("""COMPUTED_VALUE"""),1.0)</f>
        <v>1</v>
      </c>
      <c r="J170" s="11">
        <f>IFERROR(__xludf.DUMMYFUNCTION("""COMPUTED_VALUE"""),0.0)</f>
        <v>0</v>
      </c>
      <c r="K170" s="11">
        <f>IFERROR(__xludf.DUMMYFUNCTION("""COMPUTED_VALUE"""),1.0)</f>
        <v>1</v>
      </c>
    </row>
    <row r="171" ht="15.75" customHeight="1">
      <c r="A171" s="8" t="str">
        <f>IFERROR(__xludf.DUMMYFUNCTION("""COMPUTED_VALUE"""),"https://peakace.agency/en/digital-strategy/")</f>
        <v>https://peakace.agency/en/digital-strategy/</v>
      </c>
      <c r="B171" s="11" t="str">
        <f>IFERROR(__xludf.DUMMYFUNCTION("""COMPUTED_VALUE"""),"Integrated Digital Strategy consulting | Peak Ace")</f>
        <v>Integrated Digital Strategy consulting | Peak Ace</v>
      </c>
      <c r="C171" s="11" t="str">
        <f>IFERROR(__xludf.DUMMYFUNCTION("""COMPUTED_VALUE"""),"peakace.agency")</f>
        <v>peakace.agency</v>
      </c>
      <c r="D171" s="11" t="str">
        <f>IFERROR(__xludf.DUMMYFUNCTION("""COMPUTED_VALUE"""),"PRODUCT_PAGE")</f>
        <v>PRODUCT_PAGE</v>
      </c>
      <c r="E171" s="11" t="str">
        <f>IFERROR(__xludf.DUMMYFUNCTION("""COMPUTED_VALUE"""),"COMPETITOR")</f>
        <v>COMPETITOR</v>
      </c>
      <c r="F171" s="11" t="str">
        <f>IFERROR(__xludf.DUMMYFUNCTION("""COMPUTED_VALUE"""),"Product Page")</f>
        <v>Product Page</v>
      </c>
      <c r="G171" s="11" t="b">
        <f>IFERROR(__xludf.DUMMYFUNCTION("""COMPUTED_VALUE"""),FALSE)</f>
        <v>0</v>
      </c>
      <c r="H171" s="11" t="str">
        <f>IFERROR(__xludf.DUMMYFUNCTION("""COMPUTED_VALUE"""),"Peak Ace")</f>
        <v>Peak Ace</v>
      </c>
      <c r="I171" s="11">
        <f>IFERROR(__xludf.DUMMYFUNCTION("""COMPUTED_VALUE"""),1.0)</f>
        <v>1</v>
      </c>
      <c r="J171" s="11">
        <f>IFERROR(__xludf.DUMMYFUNCTION("""COMPUTED_VALUE"""),0.0)</f>
        <v>0</v>
      </c>
      <c r="K171" s="11">
        <f>IFERROR(__xludf.DUMMYFUNCTION("""COMPUTED_VALUE"""),0.0)</f>
        <v>0</v>
      </c>
    </row>
    <row r="172" ht="15.75" customHeight="1">
      <c r="A172" s="8" t="str">
        <f>IFERROR(__xludf.DUMMYFUNCTION("""COMPUTED_VALUE"""),"https://www.performanceliebe.de/ai-mentions-agency-germany/")</f>
        <v>https://www.performanceliebe.de/ai-mentions-agency-germany/</v>
      </c>
      <c r="B172" s="11" t="str">
        <f>IFERROR(__xludf.DUMMYFUNCTION("""COMPUTED_VALUE"""),"AI Mentions Agency Germany | performanceLiebe")</f>
        <v>AI Mentions Agency Germany | performanceLiebe</v>
      </c>
      <c r="C172" s="8" t="str">
        <f>IFERROR(__xludf.DUMMYFUNCTION("""COMPUTED_VALUE"""),"performanceliebe.de")</f>
        <v>performanceliebe.de</v>
      </c>
      <c r="D172" s="11" t="str">
        <f>IFERROR(__xludf.DUMMYFUNCTION("""COMPUTED_VALUE"""),"PRODUCT_PAGE")</f>
        <v>PRODUCT_PAGE</v>
      </c>
      <c r="E172" s="11" t="str">
        <f>IFERROR(__xludf.DUMMYFUNCTION("""COMPUTED_VALUE"""),"COMPETITOR")</f>
        <v>COMPETITOR</v>
      </c>
      <c r="F172" s="11" t="str">
        <f>IFERROR(__xludf.DUMMYFUNCTION("""COMPUTED_VALUE"""),"Product Page")</f>
        <v>Product Page</v>
      </c>
      <c r="G172" s="11" t="b">
        <f>IFERROR(__xludf.DUMMYFUNCTION("""COMPUTED_VALUE"""),FALSE)</f>
        <v>0</v>
      </c>
      <c r="H172" s="11" t="str">
        <f>IFERROR(__xludf.DUMMYFUNCTION("""COMPUTED_VALUE"""),"performanceLiebe")</f>
        <v>performanceLiebe</v>
      </c>
      <c r="I172" s="11">
        <f>IFERROR(__xludf.DUMMYFUNCTION("""COMPUTED_VALUE"""),1.0)</f>
        <v>1</v>
      </c>
      <c r="J172" s="11">
        <f>IFERROR(__xludf.DUMMYFUNCTION("""COMPUTED_VALUE"""),0.0)</f>
        <v>0</v>
      </c>
      <c r="K172" s="11">
        <f>IFERROR(__xludf.DUMMYFUNCTION("""COMPUTED_VALUE"""),1.0)</f>
        <v>1</v>
      </c>
    </row>
    <row r="173" ht="15.75" customHeight="1">
      <c r="A173" s="8" t="str">
        <f>IFERROR(__xludf.DUMMYFUNCTION("""COMPUTED_VALUE"""),"https://www.performanceliebe.de/generative-engine-optimization/")</f>
        <v>https://www.performanceliebe.de/generative-engine-optimization/</v>
      </c>
      <c r="B173" s="11" t="str">
        <f>IFERROR(__xludf.DUMMYFUNCTION("""COMPUTED_VALUE"""),"Generative Engine Optimization (GEO) 2026 | performanceLiebe")</f>
        <v>Generative Engine Optimization (GEO) 2026 | performanceLiebe</v>
      </c>
      <c r="C173" s="8" t="str">
        <f>IFERROR(__xludf.DUMMYFUNCTION("""COMPUTED_VALUE"""),"performanceliebe.de")</f>
        <v>performanceliebe.de</v>
      </c>
      <c r="D173" s="11" t="str">
        <f>IFERROR(__xludf.DUMMYFUNCTION("""COMPUTED_VALUE"""),"PRODUCT_PAGE")</f>
        <v>PRODUCT_PAGE</v>
      </c>
      <c r="E173" s="11" t="str">
        <f>IFERROR(__xludf.DUMMYFUNCTION("""COMPUTED_VALUE"""),"COMPETITOR")</f>
        <v>COMPETITOR</v>
      </c>
      <c r="F173" s="11" t="str">
        <f>IFERROR(__xludf.DUMMYFUNCTION("""COMPUTED_VALUE"""),"Product Page")</f>
        <v>Product Page</v>
      </c>
      <c r="G173" s="11" t="b">
        <f>IFERROR(__xludf.DUMMYFUNCTION("""COMPUTED_VALUE"""),FALSE)</f>
        <v>0</v>
      </c>
      <c r="H173" s="11" t="str">
        <f>IFERROR(__xludf.DUMMYFUNCTION("""COMPUTED_VALUE"""),"performanceLiebe")</f>
        <v>performanceLiebe</v>
      </c>
      <c r="I173" s="11">
        <f>IFERROR(__xludf.DUMMYFUNCTION("""COMPUTED_VALUE"""),1.0)</f>
        <v>1</v>
      </c>
      <c r="J173" s="11">
        <f>IFERROR(__xludf.DUMMYFUNCTION("""COMPUTED_VALUE"""),0.0)</f>
        <v>0</v>
      </c>
      <c r="K173" s="11">
        <f>IFERROR(__xludf.DUMMYFUNCTION("""COMPUTED_VALUE"""),1.0)</f>
        <v>1</v>
      </c>
    </row>
    <row r="174" ht="15.75" customHeight="1">
      <c r="A174" s="8" t="str">
        <f>IFERROR(__xludf.DUMMYFUNCTION("""COMPUTED_VALUE"""),"https://www.performanceliebe.de/geo-optimierung/")</f>
        <v>https://www.performanceliebe.de/geo-optimierung/</v>
      </c>
      <c r="B174" s="11" t="str">
        <f>IFERROR(__xludf.DUMMYFUNCTION("""COMPUTED_VALUE"""),"GEO Optimierung 2026: Generative Engine Optimization")</f>
        <v>GEO Optimierung 2026: Generative Engine Optimization</v>
      </c>
      <c r="C174" s="8" t="str">
        <f>IFERROR(__xludf.DUMMYFUNCTION("""COMPUTED_VALUE"""),"performanceliebe.de")</f>
        <v>performanceliebe.de</v>
      </c>
      <c r="D174" s="11" t="str">
        <f>IFERROR(__xludf.DUMMYFUNCTION("""COMPUTED_VALUE"""),"PRODUCT_PAGE")</f>
        <v>PRODUCT_PAGE</v>
      </c>
      <c r="E174" s="11" t="str">
        <f>IFERROR(__xludf.DUMMYFUNCTION("""COMPUTED_VALUE"""),"COMPETITOR")</f>
        <v>COMPETITOR</v>
      </c>
      <c r="F174" s="11" t="str">
        <f>IFERROR(__xludf.DUMMYFUNCTION("""COMPUTED_VALUE"""),"Product Page")</f>
        <v>Product Page</v>
      </c>
      <c r="G174" s="11" t="b">
        <f>IFERROR(__xludf.DUMMYFUNCTION("""COMPUTED_VALUE"""),FALSE)</f>
        <v>0</v>
      </c>
      <c r="H174" s="11" t="str">
        <f>IFERROR(__xludf.DUMMYFUNCTION("""COMPUTED_VALUE"""),"performanceLiebe")</f>
        <v>performanceLiebe</v>
      </c>
      <c r="I174" s="11">
        <f>IFERROR(__xludf.DUMMYFUNCTION("""COMPUTED_VALUE"""),1.0)</f>
        <v>1</v>
      </c>
      <c r="J174" s="11">
        <f>IFERROR(__xludf.DUMMYFUNCTION("""COMPUTED_VALUE"""),0.0)</f>
        <v>0</v>
      </c>
      <c r="K174" s="11">
        <f>IFERROR(__xludf.DUMMYFUNCTION("""COMPUTED_VALUE"""),1.0)</f>
        <v>1</v>
      </c>
    </row>
    <row r="175" ht="15.75" customHeight="1">
      <c r="A175" s="8" t="str">
        <f>IFERROR(__xludf.DUMMYFUNCTION("""COMPUTED_VALUE"""),"https://www.phdmedia.com/germany/services/measurement-and-reporting/")</f>
        <v>https://www.phdmedia.com/germany/services/measurement-and-reporting/</v>
      </c>
      <c r="B175" s="11" t="str">
        <f>IFERROR(__xludf.DUMMYFUNCTION("""COMPUTED_VALUE"""),"Measurement and Reporting - PHD Media Germany")</f>
        <v>Measurement and Reporting - PHD Media Germany</v>
      </c>
      <c r="C175" s="8" t="str">
        <f>IFERROR(__xludf.DUMMYFUNCTION("""COMPUTED_VALUE"""),"phdmedia.com")</f>
        <v>phdmedia.com</v>
      </c>
      <c r="D175" s="11" t="str">
        <f>IFERROR(__xludf.DUMMYFUNCTION("""COMPUTED_VALUE"""),"PRODUCT_PAGE")</f>
        <v>PRODUCT_PAGE</v>
      </c>
      <c r="E175" s="11" t="str">
        <f>IFERROR(__xludf.DUMMYFUNCTION("""COMPUTED_VALUE"""),"CORPORATE")</f>
        <v>CORPORATE</v>
      </c>
      <c r="F175" s="11" t="str">
        <f>IFERROR(__xludf.DUMMYFUNCTION("""COMPUTED_VALUE"""),"Product Page")</f>
        <v>Product Page</v>
      </c>
      <c r="G175" s="11" t="b">
        <f>IFERROR(__xludf.DUMMYFUNCTION("""COMPUTED_VALUE"""),FALSE)</f>
        <v>0</v>
      </c>
      <c r="H175" s="11" t="str">
        <f>IFERROR(__xludf.DUMMYFUNCTION("""COMPUTED_VALUE"""),"Omnicom")</f>
        <v>Omnicom</v>
      </c>
      <c r="I175" s="11">
        <f>IFERROR(__xludf.DUMMYFUNCTION("""COMPUTED_VALUE"""),1.0)</f>
        <v>1</v>
      </c>
      <c r="J175" s="11">
        <f>IFERROR(__xludf.DUMMYFUNCTION("""COMPUTED_VALUE"""),0.0)</f>
        <v>0</v>
      </c>
      <c r="K175" s="11">
        <f>IFERROR(__xludf.DUMMYFUNCTION("""COMPUTED_VALUE"""),0.0)</f>
        <v>0</v>
      </c>
    </row>
    <row r="176" ht="15.75" customHeight="1">
      <c r="A176" s="8" t="str">
        <f>IFERROR(__xludf.DUMMYFUNCTION("""COMPUTED_VALUE"""),"https://www.pilot.de/leistungen/programmatic-advertising/")</f>
        <v>https://www.pilot.de/leistungen/programmatic-advertising/</v>
      </c>
      <c r="B176" s="11" t="str">
        <f>IFERROR(__xludf.DUMMYFUNCTION("""COMPUTED_VALUE"""),"Programmatic Advertising | pilot Agenturgruppe")</f>
        <v>Programmatic Advertising | pilot Agenturgruppe</v>
      </c>
      <c r="C176" s="8" t="str">
        <f>IFERROR(__xludf.DUMMYFUNCTION("""COMPUTED_VALUE"""),"pilot.de")</f>
        <v>pilot.de</v>
      </c>
      <c r="D176" s="11" t="str">
        <f>IFERROR(__xludf.DUMMYFUNCTION("""COMPUTED_VALUE"""),"PRODUCT_PAGE")</f>
        <v>PRODUCT_PAGE</v>
      </c>
      <c r="E176" s="11" t="str">
        <f>IFERROR(__xludf.DUMMYFUNCTION("""COMPUTED_VALUE"""),"COMPETITOR")</f>
        <v>COMPETITOR</v>
      </c>
      <c r="F176" s="11" t="str">
        <f>IFERROR(__xludf.DUMMYFUNCTION("""COMPUTED_VALUE"""),"Product Page")</f>
        <v>Product Page</v>
      </c>
      <c r="G176" s="11" t="b">
        <f>IFERROR(__xludf.DUMMYFUNCTION("""COMPUTED_VALUE"""),FALSE)</f>
        <v>0</v>
      </c>
      <c r="H176" s="11" t="str">
        <f>IFERROR(__xludf.DUMMYFUNCTION("""COMPUTED_VALUE"""),"Pilot")</f>
        <v>Pilot</v>
      </c>
      <c r="I176" s="11">
        <f>IFERROR(__xludf.DUMMYFUNCTION("""COMPUTED_VALUE"""),1.0)</f>
        <v>1</v>
      </c>
      <c r="J176" s="11">
        <f>IFERROR(__xludf.DUMMYFUNCTION("""COMPUTED_VALUE"""),0.0)</f>
        <v>0</v>
      </c>
      <c r="K176" s="11">
        <f>IFERROR(__xludf.DUMMYFUNCTION("""COMPUTED_VALUE"""),1.0)</f>
        <v>1</v>
      </c>
    </row>
    <row r="177" ht="15.75" customHeight="1">
      <c r="A177" s="8" t="str">
        <f>IFERROR(__xludf.DUMMYFUNCTION("""COMPUTED_VALUE"""),"https://pndigital.co.uk/semrush-agency-partner/")</f>
        <v>https://pndigital.co.uk/semrush-agency-partner/</v>
      </c>
      <c r="B177" s="11" t="str">
        <f>IFERROR(__xludf.DUMMYFUNCTION("""COMPUTED_VALUE"""),"SEMrush Agency Partner London")</f>
        <v>SEMrush Agency Partner London</v>
      </c>
      <c r="C177" s="8" t="str">
        <f>IFERROR(__xludf.DUMMYFUNCTION("""COMPUTED_VALUE"""),"pndigital.co.uk")</f>
        <v>pndigital.co.uk</v>
      </c>
      <c r="D177" s="11" t="str">
        <f>IFERROR(__xludf.DUMMYFUNCTION("""COMPUTED_VALUE"""),"PRODUCT_PAGE")</f>
        <v>PRODUCT_PAGE</v>
      </c>
      <c r="E177" s="11" t="str">
        <f>IFERROR(__xludf.DUMMYFUNCTION("""COMPUTED_VALUE"""),"CORPORATE")</f>
        <v>CORPORATE</v>
      </c>
      <c r="F177" s="11" t="str">
        <f>IFERROR(__xludf.DUMMYFUNCTION("""COMPUTED_VALUE"""),"Product Page")</f>
        <v>Product Page</v>
      </c>
      <c r="G177" s="11" t="b">
        <f>IFERROR(__xludf.DUMMYFUNCTION("""COMPUTED_VALUE"""),FALSE)</f>
        <v>0</v>
      </c>
      <c r="H177" s="11"/>
      <c r="I177" s="11">
        <f>IFERROR(__xludf.DUMMYFUNCTION("""COMPUTED_VALUE"""),1.0)</f>
        <v>1</v>
      </c>
      <c r="J177" s="11">
        <f>IFERROR(__xludf.DUMMYFUNCTION("""COMPUTED_VALUE"""),0.0)</f>
        <v>0</v>
      </c>
      <c r="K177" s="11">
        <f>IFERROR(__xludf.DUMMYFUNCTION("""COMPUTED_VALUE"""),1.0)</f>
        <v>1</v>
      </c>
    </row>
    <row r="178" ht="15.75" customHeight="1">
      <c r="A178" s="8" t="str">
        <f>IFERROR(__xludf.DUMMYFUNCTION("""COMPUTED_VALUE"""),"https://proove.dacgroup.com/services/measurement-optimization/incrementality/")</f>
        <v>https://proove.dacgroup.com/services/measurement-optimization/incrementality/</v>
      </c>
      <c r="B178" s="11" t="str">
        <f>IFERROR(__xludf.DUMMYFUNCTION("""COMPUTED_VALUE"""),"Incrementality Testing | Proove by DAC")</f>
        <v>Incrementality Testing | Proove by DAC</v>
      </c>
      <c r="C178" s="8" t="str">
        <f>IFERROR(__xludf.DUMMYFUNCTION("""COMPUTED_VALUE"""),"dacgroup.com")</f>
        <v>dacgroup.com</v>
      </c>
      <c r="D178" s="11" t="str">
        <f>IFERROR(__xludf.DUMMYFUNCTION("""COMPUTED_VALUE"""),"PRODUCT_PAGE")</f>
        <v>PRODUCT_PAGE</v>
      </c>
      <c r="E178" s="11" t="str">
        <f>IFERROR(__xludf.DUMMYFUNCTION("""COMPUTED_VALUE"""),"CORPORATE")</f>
        <v>CORPORATE</v>
      </c>
      <c r="F178" s="11" t="str">
        <f>IFERROR(__xludf.DUMMYFUNCTION("""COMPUTED_VALUE"""),"Product Page")</f>
        <v>Product Page</v>
      </c>
      <c r="G178" s="11" t="b">
        <f>IFERROR(__xludf.DUMMYFUNCTION("""COMPUTED_VALUE"""),FALSE)</f>
        <v>0</v>
      </c>
      <c r="H178" s="11"/>
      <c r="I178" s="11">
        <f>IFERROR(__xludf.DUMMYFUNCTION("""COMPUTED_VALUE"""),1.0)</f>
        <v>1</v>
      </c>
      <c r="J178" s="11">
        <f>IFERROR(__xludf.DUMMYFUNCTION("""COMPUTED_VALUE"""),0.0)</f>
        <v>0</v>
      </c>
      <c r="K178" s="11">
        <f>IFERROR(__xludf.DUMMYFUNCTION("""COMPUTED_VALUE"""),0.0)</f>
        <v>0</v>
      </c>
    </row>
    <row r="179" ht="15.75" customHeight="1">
      <c r="A179" s="8" t="str">
        <f>IFERROR(__xludf.DUMMYFUNCTION("""COMPUTED_VALUE"""),"https://www.pwc.de/en/customer-transformation/marketing-advisory/customer-data-platforms-cdp-consulting-services.html")</f>
        <v>https://www.pwc.de/en/customer-transformation/marketing-advisory/customer-data-platforms-cdp-consulting-services.html</v>
      </c>
      <c r="B179" s="11" t="str">
        <f>IFERROR(__xludf.DUMMYFUNCTION("""COMPUTED_VALUE"""),"Customer Data Platform (CDP) - PwC")</f>
        <v>Customer Data Platform (CDP) - PwC</v>
      </c>
      <c r="C179" s="8" t="str">
        <f>IFERROR(__xludf.DUMMYFUNCTION("""COMPUTED_VALUE"""),"pwc.de")</f>
        <v>pwc.de</v>
      </c>
      <c r="D179" s="11" t="str">
        <f>IFERROR(__xludf.DUMMYFUNCTION("""COMPUTED_VALUE"""),"PRODUCT_PAGE")</f>
        <v>PRODUCT_PAGE</v>
      </c>
      <c r="E179" s="11" t="str">
        <f>IFERROR(__xludf.DUMMYFUNCTION("""COMPUTED_VALUE"""),"CORPORATE")</f>
        <v>CORPORATE</v>
      </c>
      <c r="F179" s="11" t="str">
        <f>IFERROR(__xludf.DUMMYFUNCTION("""COMPUTED_VALUE"""),"Product Page")</f>
        <v>Product Page</v>
      </c>
      <c r="G179" s="11" t="b">
        <f>IFERROR(__xludf.DUMMYFUNCTION("""COMPUTED_VALUE"""),FALSE)</f>
        <v>0</v>
      </c>
      <c r="H179" s="11" t="str">
        <f>IFERROR(__xludf.DUMMYFUNCTION("""COMPUTED_VALUE"""),"PwC, Pilot")</f>
        <v>PwC, Pilot</v>
      </c>
      <c r="I179" s="11">
        <f>IFERROR(__xludf.DUMMYFUNCTION("""COMPUTED_VALUE"""),1.0)</f>
        <v>1</v>
      </c>
      <c r="J179" s="11">
        <f>IFERROR(__xludf.DUMMYFUNCTION("""COMPUTED_VALUE"""),0.0)</f>
        <v>0</v>
      </c>
      <c r="K179" s="11">
        <f>IFERROR(__xludf.DUMMYFUNCTION("""COMPUTED_VALUE"""),0.0)</f>
        <v>0</v>
      </c>
    </row>
    <row r="180" ht="15.75" customHeight="1">
      <c r="A180" s="8" t="str">
        <f>IFERROR(__xludf.DUMMYFUNCTION("""COMPUTED_VALUE"""),"https://raas.gmbh/leistungen/ai-readiness/")</f>
        <v>https://raas.gmbh/leistungen/ai-readiness/</v>
      </c>
      <c r="B180" s="11" t="str">
        <f>IFERROR(__xludf.DUMMYFUNCTION("""COMPUTED_VALUE"""),"AI-Readiness - RaaS GmbH - You prompt. We deliver.")</f>
        <v>AI-Readiness - RaaS GmbH - You prompt. We deliver.</v>
      </c>
      <c r="C180" s="11" t="str">
        <f>IFERROR(__xludf.DUMMYFUNCTION("""COMPUTED_VALUE"""),"raas.gmbh")</f>
        <v>raas.gmbh</v>
      </c>
      <c r="D180" s="11" t="str">
        <f>IFERROR(__xludf.DUMMYFUNCTION("""COMPUTED_VALUE"""),"PRODUCT_PAGE")</f>
        <v>PRODUCT_PAGE</v>
      </c>
      <c r="E180" s="11" t="str">
        <f>IFERROR(__xludf.DUMMYFUNCTION("""COMPUTED_VALUE"""),"CORPORATE")</f>
        <v>CORPORATE</v>
      </c>
      <c r="F180" s="11" t="str">
        <f>IFERROR(__xludf.DUMMYFUNCTION("""COMPUTED_VALUE"""),"Product Page")</f>
        <v>Product Page</v>
      </c>
      <c r="G180" s="11" t="b">
        <f>IFERROR(__xludf.DUMMYFUNCTION("""COMPUTED_VALUE"""),FALSE)</f>
        <v>0</v>
      </c>
      <c r="H180" s="11"/>
      <c r="I180" s="11">
        <f>IFERROR(__xludf.DUMMYFUNCTION("""COMPUTED_VALUE"""),1.0)</f>
        <v>1</v>
      </c>
      <c r="J180" s="11">
        <f>IFERROR(__xludf.DUMMYFUNCTION("""COMPUTED_VALUE"""),0.0)</f>
        <v>0</v>
      </c>
      <c r="K180" s="11">
        <f>IFERROR(__xludf.DUMMYFUNCTION("""COMPUTED_VALUE"""),0.0)</f>
        <v>0</v>
      </c>
    </row>
    <row r="181" ht="15.75" customHeight="1">
      <c r="A181" s="8" t="str">
        <f>IFERROR(__xludf.DUMMYFUNCTION("""COMPUTED_VALUE"""),"https://www.rankeffect.de/en/online-marketing-agency/analytics-agency")</f>
        <v>https://www.rankeffect.de/en/online-marketing-agency/analytics-agency</v>
      </c>
      <c r="B181" s="11" t="str">
        <f>IFERROR(__xludf.DUMMYFUNCTION("""COMPUTED_VALUE"""),"Analytics Agency | Drive Revenue With Your Data")</f>
        <v>Analytics Agency | Drive Revenue With Your Data</v>
      </c>
      <c r="C181" s="8" t="str">
        <f>IFERROR(__xludf.DUMMYFUNCTION("""COMPUTED_VALUE"""),"rankeffect.de")</f>
        <v>rankeffect.de</v>
      </c>
      <c r="D181" s="11" t="str">
        <f>IFERROR(__xludf.DUMMYFUNCTION("""COMPUTED_VALUE"""),"PRODUCT_PAGE")</f>
        <v>PRODUCT_PAGE</v>
      </c>
      <c r="E181" s="11" t="str">
        <f>IFERROR(__xludf.DUMMYFUNCTION("""COMPUTED_VALUE"""),"CORPORATE")</f>
        <v>CORPORATE</v>
      </c>
      <c r="F181" s="11" t="str">
        <f>IFERROR(__xludf.DUMMYFUNCTION("""COMPUTED_VALUE"""),"Product Page")</f>
        <v>Product Page</v>
      </c>
      <c r="G181" s="11" t="b">
        <f>IFERROR(__xludf.DUMMYFUNCTION("""COMPUTED_VALUE"""),FALSE)</f>
        <v>0</v>
      </c>
      <c r="H181" s="11"/>
      <c r="I181" s="11">
        <f>IFERROR(__xludf.DUMMYFUNCTION("""COMPUTED_VALUE"""),1.0)</f>
        <v>1</v>
      </c>
      <c r="J181" s="11">
        <f>IFERROR(__xludf.DUMMYFUNCTION("""COMPUTED_VALUE"""),0.0)</f>
        <v>0</v>
      </c>
      <c r="K181" s="11">
        <f>IFERROR(__xludf.DUMMYFUNCTION("""COMPUTED_VALUE"""),0.0)</f>
        <v>0</v>
      </c>
    </row>
    <row r="182" ht="15.75" customHeight="1">
      <c r="A182" s="8" t="str">
        <f>IFERROR(__xludf.DUMMYFUNCTION("""COMPUTED_VALUE"""),"https://www.repindia.com/ai-seo-agency/")</f>
        <v>https://www.repindia.com/ai-seo-agency/</v>
      </c>
      <c r="B182" s="11" t="str">
        <f>IFERROR(__xludf.DUMMYFUNCTION("""COMPUTED_VALUE"""),"Award Winner AI SEO Agency in India | Get Your Brand Visible on AI Search")</f>
        <v>Award Winner AI SEO Agency in India | Get Your Brand Visible on AI Search</v>
      </c>
      <c r="C182" s="8" t="str">
        <f>IFERROR(__xludf.DUMMYFUNCTION("""COMPUTED_VALUE"""),"repindia.com")</f>
        <v>repindia.com</v>
      </c>
      <c r="D182" s="11" t="str">
        <f>IFERROR(__xludf.DUMMYFUNCTION("""COMPUTED_VALUE"""),"PRODUCT_PAGE")</f>
        <v>PRODUCT_PAGE</v>
      </c>
      <c r="E182" s="11" t="str">
        <f>IFERROR(__xludf.DUMMYFUNCTION("""COMPUTED_VALUE"""),"CORPORATE")</f>
        <v>CORPORATE</v>
      </c>
      <c r="F182" s="11" t="str">
        <f>IFERROR(__xludf.DUMMYFUNCTION("""COMPUTED_VALUE"""),"Product Page")</f>
        <v>Product Page</v>
      </c>
      <c r="G182" s="11" t="b">
        <f>IFERROR(__xludf.DUMMYFUNCTION("""COMPUTED_VALUE"""),FALSE)</f>
        <v>0</v>
      </c>
      <c r="H182" s="11"/>
      <c r="I182" s="11">
        <f>IFERROR(__xludf.DUMMYFUNCTION("""COMPUTED_VALUE"""),1.0)</f>
        <v>1</v>
      </c>
      <c r="J182" s="11">
        <f>IFERROR(__xludf.DUMMYFUNCTION("""COMPUTED_VALUE"""),0.0)</f>
        <v>0</v>
      </c>
      <c r="K182" s="11">
        <f>IFERROR(__xludf.DUMMYFUNCTION("""COMPUTED_VALUE"""),1.0)</f>
        <v>1</v>
      </c>
    </row>
    <row r="183" ht="15.75" customHeight="1">
      <c r="A183" s="8" t="str">
        <f>IFERROR(__xludf.DUMMYFUNCTION("""COMPUTED_VALUE"""),"https://www.resultfirst.com/services/ai-search-optimization/")</f>
        <v>https://www.resultfirst.com/services/ai-search-optimization/</v>
      </c>
      <c r="B183" s="11" t="str">
        <f>IFERROR(__xludf.DUMMYFUNCTION("""COMPUTED_VALUE"""),"AI Search Optimization Services for AI Search Engines | GEO Agency")</f>
        <v>AI Search Optimization Services for AI Search Engines | GEO Agency</v>
      </c>
      <c r="C183" s="8" t="str">
        <f>IFERROR(__xludf.DUMMYFUNCTION("""COMPUTED_VALUE"""),"resultfirst.com")</f>
        <v>resultfirst.com</v>
      </c>
      <c r="D183" s="11" t="str">
        <f>IFERROR(__xludf.DUMMYFUNCTION("""COMPUTED_VALUE"""),"PRODUCT_PAGE")</f>
        <v>PRODUCT_PAGE</v>
      </c>
      <c r="E183" s="11" t="str">
        <f>IFERROR(__xludf.DUMMYFUNCTION("""COMPUTED_VALUE"""),"OTHER")</f>
        <v>OTHER</v>
      </c>
      <c r="F183" s="11" t="str">
        <f>IFERROR(__xludf.DUMMYFUNCTION("""COMPUTED_VALUE"""),"Product Page")</f>
        <v>Product Page</v>
      </c>
      <c r="G183" s="11" t="b">
        <f>IFERROR(__xludf.DUMMYFUNCTION("""COMPUTED_VALUE"""),FALSE)</f>
        <v>0</v>
      </c>
      <c r="H183" s="11"/>
      <c r="I183" s="11">
        <f>IFERROR(__xludf.DUMMYFUNCTION("""COMPUTED_VALUE"""),1.0)</f>
        <v>1</v>
      </c>
      <c r="J183" s="11">
        <f>IFERROR(__xludf.DUMMYFUNCTION("""COMPUTED_VALUE"""),0.0)</f>
        <v>0</v>
      </c>
      <c r="K183" s="11">
        <f>IFERROR(__xludf.DUMMYFUNCTION("""COMPUTED_VALUE"""),1.0)</f>
        <v>1</v>
      </c>
    </row>
    <row r="184" ht="15.75" customHeight="1">
      <c r="A184" s="8" t="str">
        <f>IFERROR(__xludf.DUMMYFUNCTION("""COMPUTED_VALUE"""),"https://riseup.agency/data-analytics/")</f>
        <v>https://riseup.agency/data-analytics/</v>
      </c>
      <c r="B184" s="11" t="str">
        <f>IFERROR(__xludf.DUMMYFUNCTION("""COMPUTED_VALUE"""),"Marketing Analytics Agency | Attribution &amp;amp; GA4 | RiseUp")</f>
        <v>Marketing Analytics Agency | Attribution &amp;amp; GA4 | RiseUp</v>
      </c>
      <c r="C184" s="11" t="str">
        <f>IFERROR(__xludf.DUMMYFUNCTION("""COMPUTED_VALUE"""),"riseup.agency")</f>
        <v>riseup.agency</v>
      </c>
      <c r="D184" s="11" t="str">
        <f>IFERROR(__xludf.DUMMYFUNCTION("""COMPUTED_VALUE"""),"PRODUCT_PAGE")</f>
        <v>PRODUCT_PAGE</v>
      </c>
      <c r="E184" s="11" t="str">
        <f>IFERROR(__xludf.DUMMYFUNCTION("""COMPUTED_VALUE"""),"CORPORATE")</f>
        <v>CORPORATE</v>
      </c>
      <c r="F184" s="11" t="str">
        <f>IFERROR(__xludf.DUMMYFUNCTION("""COMPUTED_VALUE"""),"Product Page")</f>
        <v>Product Page</v>
      </c>
      <c r="G184" s="11" t="b">
        <f>IFERROR(__xludf.DUMMYFUNCTION("""COMPUTED_VALUE"""),FALSE)</f>
        <v>0</v>
      </c>
      <c r="H184" s="11"/>
      <c r="I184" s="11">
        <f>IFERROR(__xludf.DUMMYFUNCTION("""COMPUTED_VALUE"""),1.0)</f>
        <v>1</v>
      </c>
      <c r="J184" s="11">
        <f>IFERROR(__xludf.DUMMYFUNCTION("""COMPUTED_VALUE"""),0.0)</f>
        <v>0</v>
      </c>
      <c r="K184" s="11">
        <f>IFERROR(__xludf.DUMMYFUNCTION("""COMPUTED_VALUE"""),0.0)</f>
        <v>0</v>
      </c>
    </row>
    <row r="185" ht="15.75" customHeight="1">
      <c r="A185" s="8" t="str">
        <f>IFERROR(__xludf.DUMMYFUNCTION("""COMPUTED_VALUE"""),"https://salestube.tech/technology/adtech-platforms")</f>
        <v>https://salestube.tech/technology/adtech-platforms</v>
      </c>
      <c r="B185" s="11" t="str">
        <f>IFERROR(__xludf.DUMMYFUNCTION("""COMPUTED_VALUE"""),"AdTech Platforms for Effective Marketing | Salestube - salestube")</f>
        <v>AdTech Platforms for Effective Marketing | Salestube - salestube</v>
      </c>
      <c r="C185" s="11" t="str">
        <f>IFERROR(__xludf.DUMMYFUNCTION("""COMPUTED_VALUE"""),"salestube.tech")</f>
        <v>salestube.tech</v>
      </c>
      <c r="D185" s="11" t="str">
        <f>IFERROR(__xludf.DUMMYFUNCTION("""COMPUTED_VALUE"""),"PRODUCT_PAGE")</f>
        <v>PRODUCT_PAGE</v>
      </c>
      <c r="E185" s="11" t="str">
        <f>IFERROR(__xludf.DUMMYFUNCTION("""COMPUTED_VALUE"""),"CORPORATE")</f>
        <v>CORPORATE</v>
      </c>
      <c r="F185" s="11" t="str">
        <f>IFERROR(__xludf.DUMMYFUNCTION("""COMPUTED_VALUE"""),"Product Page")</f>
        <v>Product Page</v>
      </c>
      <c r="G185" s="11" t="b">
        <f>IFERROR(__xludf.DUMMYFUNCTION("""COMPUTED_VALUE"""),FALSE)</f>
        <v>0</v>
      </c>
      <c r="H185" s="11" t="str">
        <f>IFERROR(__xludf.DUMMYFUNCTION("""COMPUTED_VALUE"""),"Serviceplan Group")</f>
        <v>Serviceplan Group</v>
      </c>
      <c r="I185" s="11">
        <f>IFERROR(__xludf.DUMMYFUNCTION("""COMPUTED_VALUE"""),1.0)</f>
        <v>1</v>
      </c>
      <c r="J185" s="11">
        <f>IFERROR(__xludf.DUMMYFUNCTION("""COMPUTED_VALUE"""),0.0)</f>
        <v>0</v>
      </c>
      <c r="K185" s="11">
        <f>IFERROR(__xludf.DUMMYFUNCTION("""COMPUTED_VALUE"""),0.0)</f>
        <v>0</v>
      </c>
    </row>
    <row r="186" ht="15.75" customHeight="1">
      <c r="A186" s="8" t="str">
        <f>IFERROR(__xludf.DUMMYFUNCTION("""COMPUTED_VALUE"""),"https://www.scaled2c.com/services/germany/geo-services-germany")</f>
        <v>https://www.scaled2c.com/services/germany/geo-services-germany</v>
      </c>
      <c r="B186" s="11" t="str">
        <f>IFERROR(__xludf.DUMMYFUNCTION("""COMPUTED_VALUE"""),"Best Generative Engine Optimisation (GEO) Agency in Germany | Top German Generative Engine Optimisation (GEO) Agency — SCALE D2C")</f>
        <v>Best Generative Engine Optimisation (GEO) Agency in Germany | Top German Generative Engine Optimisation (GEO) Agency — SCALE D2C</v>
      </c>
      <c r="C186" s="8" t="str">
        <f>IFERROR(__xludf.DUMMYFUNCTION("""COMPUTED_VALUE"""),"scaled2c.com")</f>
        <v>scaled2c.com</v>
      </c>
      <c r="D186" s="11" t="str">
        <f>IFERROR(__xludf.DUMMYFUNCTION("""COMPUTED_VALUE"""),"PRODUCT_PAGE")</f>
        <v>PRODUCT_PAGE</v>
      </c>
      <c r="E186" s="11" t="str">
        <f>IFERROR(__xludf.DUMMYFUNCTION("""COMPUTED_VALUE"""),"CORPORATE")</f>
        <v>CORPORATE</v>
      </c>
      <c r="F186" s="11" t="str">
        <f>IFERROR(__xludf.DUMMYFUNCTION("""COMPUTED_VALUE"""),"Product Page")</f>
        <v>Product Page</v>
      </c>
      <c r="G186" s="11" t="b">
        <f>IFERROR(__xludf.DUMMYFUNCTION("""COMPUTED_VALUE"""),FALSE)</f>
        <v>0</v>
      </c>
      <c r="H186" s="11"/>
      <c r="I186" s="11">
        <f>IFERROR(__xludf.DUMMYFUNCTION("""COMPUTED_VALUE"""),1.0)</f>
        <v>1</v>
      </c>
      <c r="J186" s="11">
        <f>IFERROR(__xludf.DUMMYFUNCTION("""COMPUTED_VALUE"""),0.0)</f>
        <v>0</v>
      </c>
      <c r="K186" s="11">
        <f>IFERROR(__xludf.DUMMYFUNCTION("""COMPUTED_VALUE"""),0.0)</f>
        <v>0</v>
      </c>
    </row>
    <row r="187" ht="15.75" customHeight="1">
      <c r="A187" s="8" t="str">
        <f>IFERROR(__xludf.DUMMYFUNCTION("""COMPUTED_VALUE"""),"https://searchperts.de/sea-agentur-ecommerce/")</f>
        <v>https://searchperts.de/sea-agentur-ecommerce/</v>
      </c>
      <c r="B187" s="11" t="str">
        <f>IFERROR(__xludf.DUMMYFUNCTION("""COMPUTED_VALUE"""),"SEA Agentur für E-Commerce | 90-Tage-Sprint, kostenlose Analyse")</f>
        <v>SEA Agentur für E-Commerce | 90-Tage-Sprint, kostenlose Analyse</v>
      </c>
      <c r="C187" s="8" t="str">
        <f>IFERROR(__xludf.DUMMYFUNCTION("""COMPUTED_VALUE"""),"searchperts.de")</f>
        <v>searchperts.de</v>
      </c>
      <c r="D187" s="11" t="str">
        <f>IFERROR(__xludf.DUMMYFUNCTION("""COMPUTED_VALUE"""),"PRODUCT_PAGE")</f>
        <v>PRODUCT_PAGE</v>
      </c>
      <c r="E187" s="11" t="str">
        <f>IFERROR(__xludf.DUMMYFUNCTION("""COMPUTED_VALUE"""),"CORPORATE")</f>
        <v>CORPORATE</v>
      </c>
      <c r="F187" s="11" t="str">
        <f>IFERROR(__xludf.DUMMYFUNCTION("""COMPUTED_VALUE"""),"Product Page")</f>
        <v>Product Page</v>
      </c>
      <c r="G187" s="11" t="b">
        <f>IFERROR(__xludf.DUMMYFUNCTION("""COMPUTED_VALUE"""),FALSE)</f>
        <v>0</v>
      </c>
      <c r="H187" s="11"/>
      <c r="I187" s="11">
        <f>IFERROR(__xludf.DUMMYFUNCTION("""COMPUTED_VALUE"""),1.0)</f>
        <v>1</v>
      </c>
      <c r="J187" s="11">
        <f>IFERROR(__xludf.DUMMYFUNCTION("""COMPUTED_VALUE"""),0.0)</f>
        <v>0</v>
      </c>
      <c r="K187" s="11">
        <f>IFERROR(__xludf.DUMMYFUNCTION("""COMPUTED_VALUE"""),1.0)</f>
        <v>1</v>
      </c>
    </row>
    <row r="188" ht="15.75" customHeight="1">
      <c r="A188" s="8" t="str">
        <f>IFERROR(__xludf.DUMMYFUNCTION("""COMPUTED_VALUE"""),"https://www.sei.com/our-services/ai-readiness-assessments/")</f>
        <v>https://www.sei.com/our-services/ai-readiness-assessments/</v>
      </c>
      <c r="B188" s="11" t="str">
        <f>IFERROR(__xludf.DUMMYFUNCTION("""COMPUTED_VALUE"""),"AI Readiness Assessment Services | SEI Consulting")</f>
        <v>AI Readiness Assessment Services | SEI Consulting</v>
      </c>
      <c r="C188" s="8" t="str">
        <f>IFERROR(__xludf.DUMMYFUNCTION("""COMPUTED_VALUE"""),"sei.com")</f>
        <v>sei.com</v>
      </c>
      <c r="D188" s="11" t="str">
        <f>IFERROR(__xludf.DUMMYFUNCTION("""COMPUTED_VALUE"""),"PRODUCT_PAGE")</f>
        <v>PRODUCT_PAGE</v>
      </c>
      <c r="E188" s="11" t="str">
        <f>IFERROR(__xludf.DUMMYFUNCTION("""COMPUTED_VALUE"""),"CORPORATE")</f>
        <v>CORPORATE</v>
      </c>
      <c r="F188" s="11" t="str">
        <f>IFERROR(__xludf.DUMMYFUNCTION("""COMPUTED_VALUE"""),"Product Page")</f>
        <v>Product Page</v>
      </c>
      <c r="G188" s="11" t="b">
        <f>IFERROR(__xludf.DUMMYFUNCTION("""COMPUTED_VALUE"""),FALSE)</f>
        <v>0</v>
      </c>
      <c r="H188" s="11" t="str">
        <f>IFERROR(__xludf.DUMMYFUNCTION("""COMPUTED_VALUE"""),"Pilot")</f>
        <v>Pilot</v>
      </c>
      <c r="I188" s="11">
        <f>IFERROR(__xludf.DUMMYFUNCTION("""COMPUTED_VALUE"""),1.0)</f>
        <v>1</v>
      </c>
      <c r="J188" s="11">
        <f>IFERROR(__xludf.DUMMYFUNCTION("""COMPUTED_VALUE"""),0.0)</f>
        <v>0</v>
      </c>
      <c r="K188" s="11">
        <f>IFERROR(__xludf.DUMMYFUNCTION("""COMPUTED_VALUE"""),0.0)</f>
        <v>0</v>
      </c>
    </row>
    <row r="189" ht="15.75" customHeight="1">
      <c r="A189" s="8" t="str">
        <f>IFERROR(__xludf.DUMMYFUNCTION("""COMPUTED_VALUE"""),"https://sellforte.com/solutions/fashion-ecommerce")</f>
        <v>https://sellforte.com/solutions/fashion-ecommerce</v>
      </c>
      <c r="B189" s="11" t="str">
        <f>IFERROR(__xludf.DUMMYFUNCTION("""COMPUTED_VALUE"""),"Fashion Ecommerce: MMM + Incrementality Testing + Attribution | Sellforte")</f>
        <v>Fashion Ecommerce: MMM + Incrementality Testing + Attribution | Sellforte</v>
      </c>
      <c r="C189" s="8" t="str">
        <f>IFERROR(__xludf.DUMMYFUNCTION("""COMPUTED_VALUE"""),"sellforte.com")</f>
        <v>sellforte.com</v>
      </c>
      <c r="D189" s="11" t="str">
        <f>IFERROR(__xludf.DUMMYFUNCTION("""COMPUTED_VALUE"""),"PRODUCT_PAGE")</f>
        <v>PRODUCT_PAGE</v>
      </c>
      <c r="E189" s="11" t="str">
        <f>IFERROR(__xludf.DUMMYFUNCTION("""COMPUTED_VALUE"""),"COMPETITOR")</f>
        <v>COMPETITOR</v>
      </c>
      <c r="F189" s="11" t="str">
        <f>IFERROR(__xludf.DUMMYFUNCTION("""COMPUTED_VALUE"""),"Product Page")</f>
        <v>Product Page</v>
      </c>
      <c r="G189" s="11" t="b">
        <f>IFERROR(__xludf.DUMMYFUNCTION("""COMPUTED_VALUE"""),FALSE)</f>
        <v>0</v>
      </c>
      <c r="H189" s="11" t="str">
        <f>IFERROR(__xludf.DUMMYFUNCTION("""COMPUTED_VALUE"""),"Sellforte, Huge")</f>
        <v>Sellforte, Huge</v>
      </c>
      <c r="I189" s="11">
        <f>IFERROR(__xludf.DUMMYFUNCTION("""COMPUTED_VALUE"""),1.0)</f>
        <v>1</v>
      </c>
      <c r="J189" s="11">
        <f>IFERROR(__xludf.DUMMYFUNCTION("""COMPUTED_VALUE"""),0.0)</f>
        <v>0</v>
      </c>
      <c r="K189" s="11">
        <f>IFERROR(__xludf.DUMMYFUNCTION("""COMPUTED_VALUE"""),1.0)</f>
        <v>1</v>
      </c>
    </row>
    <row r="190" ht="15.75" customHeight="1">
      <c r="A190" s="8" t="str">
        <f>IFERROR(__xludf.DUMMYFUNCTION("""COMPUTED_VALUE"""),"https://seo-marketing.koeln/en/seo/ai-seo/")</f>
        <v>https://seo-marketing.koeln/en/seo/ai-seo/</v>
      </c>
      <c r="B190" s="11" t="str">
        <f>IFERROR(__xludf.DUMMYFUNCTION("""COMPUTED_VALUE"""),"AI SEO Agency – Increased Visibility Through Artificial Intelligence")</f>
        <v>AI SEO Agency – Increased Visibility Through Artificial Intelligence</v>
      </c>
      <c r="C190" s="11" t="str">
        <f>IFERROR(__xludf.DUMMYFUNCTION("""COMPUTED_VALUE"""),"seo-marketing.koeln")</f>
        <v>seo-marketing.koeln</v>
      </c>
      <c r="D190" s="11" t="str">
        <f>IFERROR(__xludf.DUMMYFUNCTION("""COMPUTED_VALUE"""),"PRODUCT_PAGE")</f>
        <v>PRODUCT_PAGE</v>
      </c>
      <c r="E190" s="11" t="str">
        <f>IFERROR(__xludf.DUMMYFUNCTION("""COMPUTED_VALUE"""),"CORPORATE")</f>
        <v>CORPORATE</v>
      </c>
      <c r="F190" s="11" t="str">
        <f>IFERROR(__xludf.DUMMYFUNCTION("""COMPUTED_VALUE"""),"Product Page")</f>
        <v>Product Page</v>
      </c>
      <c r="G190" s="11" t="b">
        <f>IFERROR(__xludf.DUMMYFUNCTION("""COMPUTED_VALUE"""),FALSE)</f>
        <v>0</v>
      </c>
      <c r="H190" s="11"/>
      <c r="I190" s="11">
        <f>IFERROR(__xludf.DUMMYFUNCTION("""COMPUTED_VALUE"""),1.0)</f>
        <v>1</v>
      </c>
      <c r="J190" s="11">
        <f>IFERROR(__xludf.DUMMYFUNCTION("""COMPUTED_VALUE"""),0.0)</f>
        <v>0</v>
      </c>
      <c r="K190" s="11">
        <f>IFERROR(__xludf.DUMMYFUNCTION("""COMPUTED_VALUE"""),1.0)</f>
        <v>1</v>
      </c>
    </row>
    <row r="191" ht="15.75" customHeight="1">
      <c r="A191" s="8" t="str">
        <f>IFERROR(__xludf.DUMMYFUNCTION("""COMPUTED_VALUE"""),"https://seodeutschland.de/ki-seo-agentur/")</f>
        <v>https://seodeutschland.de/ki-seo-agentur/</v>
      </c>
      <c r="B191" s="11" t="str">
        <f>IFERROR(__xludf.DUMMYFUNCTION("""COMPUTED_VALUE"""),"KI SEO Agentur – GEO &amp;amp; AI-Sichtbarkeit in der KI Suche | SEODeutschland")</f>
        <v>KI SEO Agentur – GEO &amp;amp; AI-Sichtbarkeit in der KI Suche | SEODeutschland</v>
      </c>
      <c r="C191" s="8" t="str">
        <f>IFERROR(__xludf.DUMMYFUNCTION("""COMPUTED_VALUE"""),"seodeutschland.de")</f>
        <v>seodeutschland.de</v>
      </c>
      <c r="D191" s="11" t="str">
        <f>IFERROR(__xludf.DUMMYFUNCTION("""COMPUTED_VALUE"""),"PRODUCT_PAGE")</f>
        <v>PRODUCT_PAGE</v>
      </c>
      <c r="E191" s="11" t="str">
        <f>IFERROR(__xludf.DUMMYFUNCTION("""COMPUTED_VALUE"""),"CORPORATE")</f>
        <v>CORPORATE</v>
      </c>
      <c r="F191" s="11" t="str">
        <f>IFERROR(__xludf.DUMMYFUNCTION("""COMPUTED_VALUE"""),"Product Page")</f>
        <v>Product Page</v>
      </c>
      <c r="G191" s="11" t="b">
        <f>IFERROR(__xludf.DUMMYFUNCTION("""COMPUTED_VALUE"""),FALSE)</f>
        <v>0</v>
      </c>
      <c r="H191" s="11"/>
      <c r="I191" s="11">
        <f>IFERROR(__xludf.DUMMYFUNCTION("""COMPUTED_VALUE"""),1.0)</f>
        <v>1</v>
      </c>
      <c r="J191" s="11">
        <f>IFERROR(__xludf.DUMMYFUNCTION("""COMPUTED_VALUE"""),0.0)</f>
        <v>0</v>
      </c>
      <c r="K191" s="11">
        <f>IFERROR(__xludf.DUMMYFUNCTION("""COMPUTED_VALUE"""),2.0)</f>
        <v>2</v>
      </c>
    </row>
    <row r="192" ht="15.75" customHeight="1">
      <c r="A192" s="8" t="str">
        <f>IFERROR(__xludf.DUMMYFUNCTION("""COMPUTED_VALUE"""),"https://www.seodiscovery.com/ai-seo-agency.php")</f>
        <v>https://www.seodiscovery.com/ai-seo-agency.php</v>
      </c>
      <c r="B192" s="11" t="str">
        <f>IFERROR(__xludf.DUMMYFUNCTION("""COMPUTED_VALUE"""),"AI SEO Agency | SEO For AI Search Engines")</f>
        <v>AI SEO Agency | SEO For AI Search Engines</v>
      </c>
      <c r="C192" s="8" t="str">
        <f>IFERROR(__xludf.DUMMYFUNCTION("""COMPUTED_VALUE"""),"seodiscovery.com")</f>
        <v>seodiscovery.com</v>
      </c>
      <c r="D192" s="11" t="str">
        <f>IFERROR(__xludf.DUMMYFUNCTION("""COMPUTED_VALUE"""),"PRODUCT_PAGE")</f>
        <v>PRODUCT_PAGE</v>
      </c>
      <c r="E192" s="11" t="str">
        <f>IFERROR(__xludf.DUMMYFUNCTION("""COMPUTED_VALUE"""),"CORPORATE")</f>
        <v>CORPORATE</v>
      </c>
      <c r="F192" s="11" t="str">
        <f>IFERROR(__xludf.DUMMYFUNCTION("""COMPUTED_VALUE"""),"Product Page")</f>
        <v>Product Page</v>
      </c>
      <c r="G192" s="11" t="b">
        <f>IFERROR(__xludf.DUMMYFUNCTION("""COMPUTED_VALUE"""),FALSE)</f>
        <v>0</v>
      </c>
      <c r="H192" s="11"/>
      <c r="I192" s="11">
        <f>IFERROR(__xludf.DUMMYFUNCTION("""COMPUTED_VALUE"""),1.0)</f>
        <v>1</v>
      </c>
      <c r="J192" s="11">
        <f>IFERROR(__xludf.DUMMYFUNCTION("""COMPUTED_VALUE"""),0.0)</f>
        <v>0</v>
      </c>
      <c r="K192" s="11">
        <f>IFERROR(__xludf.DUMMYFUNCTION("""COMPUTED_VALUE"""),1.0)</f>
        <v>1</v>
      </c>
    </row>
    <row r="193" ht="15.75" customHeight="1">
      <c r="A193" s="8" t="str">
        <f>IFERROR(__xludf.DUMMYFUNCTION("""COMPUTED_VALUE"""),"https://shifu-marketing.com/ai-consulting-services/ai-strategy-consulting/")</f>
        <v>https://shifu-marketing.com/ai-consulting-services/ai-strategy-consulting/</v>
      </c>
      <c r="B193" s="11" t="str">
        <f>IFERROR(__xludf.DUMMYFUNCTION("""COMPUTED_VALUE"""),"AI Strategy &amp;amp; Readiness - Shifu Marketing – AI Consulting &amp;amp; Strategy")</f>
        <v>AI Strategy &amp;amp; Readiness - Shifu Marketing – AI Consulting &amp;amp; Strategy</v>
      </c>
      <c r="C193" s="8" t="str">
        <f>IFERROR(__xludf.DUMMYFUNCTION("""COMPUTED_VALUE"""),"shifu-marketing.com")</f>
        <v>shifu-marketing.com</v>
      </c>
      <c r="D193" s="11" t="str">
        <f>IFERROR(__xludf.DUMMYFUNCTION("""COMPUTED_VALUE"""),"PRODUCT_PAGE")</f>
        <v>PRODUCT_PAGE</v>
      </c>
      <c r="E193" s="11" t="str">
        <f>IFERROR(__xludf.DUMMYFUNCTION("""COMPUTED_VALUE"""),"CORPORATE")</f>
        <v>CORPORATE</v>
      </c>
      <c r="F193" s="11" t="str">
        <f>IFERROR(__xludf.DUMMYFUNCTION("""COMPUTED_VALUE"""),"Product Page")</f>
        <v>Product Page</v>
      </c>
      <c r="G193" s="11" t="b">
        <f>IFERROR(__xludf.DUMMYFUNCTION("""COMPUTED_VALUE"""),FALSE)</f>
        <v>0</v>
      </c>
      <c r="H193" s="11" t="str">
        <f>IFERROR(__xludf.DUMMYFUNCTION("""COMPUTED_VALUE"""),"Pilot, Momentum")</f>
        <v>Pilot, Momentum</v>
      </c>
      <c r="I193" s="11">
        <f>IFERROR(__xludf.DUMMYFUNCTION("""COMPUTED_VALUE"""),1.0)</f>
        <v>1</v>
      </c>
      <c r="J193" s="11">
        <f>IFERROR(__xludf.DUMMYFUNCTION("""COMPUTED_VALUE"""),0.0)</f>
        <v>0</v>
      </c>
      <c r="K193" s="11">
        <f>IFERROR(__xludf.DUMMYFUNCTION("""COMPUTED_VALUE"""),0.0)</f>
        <v>0</v>
      </c>
    </row>
    <row r="194" ht="15.75" customHeight="1">
      <c r="A194" s="8" t="str">
        <f>IFERROR(__xludf.DUMMYFUNCTION("""COMPUTED_VALUE"""),"https://www.smartly.io/smartly-incrmntal")</f>
        <v>https://www.smartly.io/smartly-incrmntal</v>
      </c>
      <c r="B194" s="11" t="str">
        <f>IFERROR(__xludf.DUMMYFUNCTION("""COMPUTED_VALUE"""),"Always-On Incrementality Measurement | Smartly + INCRMNTAL")</f>
        <v>Always-On Incrementality Measurement | Smartly + INCRMNTAL</v>
      </c>
      <c r="C194" s="8" t="str">
        <f>IFERROR(__xludf.DUMMYFUNCTION("""COMPUTED_VALUE"""),"smartly.io")</f>
        <v>smartly.io</v>
      </c>
      <c r="D194" s="11" t="str">
        <f>IFERROR(__xludf.DUMMYFUNCTION("""COMPUTED_VALUE"""),"PRODUCT_PAGE")</f>
        <v>PRODUCT_PAGE</v>
      </c>
      <c r="E194" s="11" t="str">
        <f>IFERROR(__xludf.DUMMYFUNCTION("""COMPUTED_VALUE"""),"CORPORATE")</f>
        <v>CORPORATE</v>
      </c>
      <c r="F194" s="11" t="str">
        <f>IFERROR(__xludf.DUMMYFUNCTION("""COMPUTED_VALUE"""),"Product Page")</f>
        <v>Product Page</v>
      </c>
      <c r="G194" s="11" t="b">
        <f>IFERROR(__xludf.DUMMYFUNCTION("""COMPUTED_VALUE"""),FALSE)</f>
        <v>0</v>
      </c>
      <c r="H194" s="11" t="str">
        <f>IFERROR(__xludf.DUMMYFUNCTION("""COMPUTED_VALUE"""),"INCRMNTAL")</f>
        <v>INCRMNTAL</v>
      </c>
      <c r="I194" s="11">
        <f>IFERROR(__xludf.DUMMYFUNCTION("""COMPUTED_VALUE"""),1.0)</f>
        <v>1</v>
      </c>
      <c r="J194" s="11">
        <f>IFERROR(__xludf.DUMMYFUNCTION("""COMPUTED_VALUE"""),0.0)</f>
        <v>0</v>
      </c>
      <c r="K194" s="11">
        <f>IFERROR(__xludf.DUMMYFUNCTION("""COMPUTED_VALUE"""),1.0)</f>
        <v>1</v>
      </c>
    </row>
    <row r="195" ht="15.75" customHeight="1">
      <c r="A195" s="8" t="str">
        <f>IFERROR(__xludf.DUMMYFUNCTION("""COMPUTED_VALUE"""),"https://www.snk.de/en/snki/")</f>
        <v>https://www.snk.de/en/snki/</v>
      </c>
      <c r="B195" s="11" t="str">
        <f>IFERROR(__xludf.DUMMYFUNCTION("""COMPUTED_VALUE"""),"Data &amp;amp; AI")</f>
        <v>Data &amp;amp; AI</v>
      </c>
      <c r="C195" s="8" t="str">
        <f>IFERROR(__xludf.DUMMYFUNCTION("""COMPUTED_VALUE"""),"snk.de")</f>
        <v>snk.de</v>
      </c>
      <c r="D195" s="11" t="str">
        <f>IFERROR(__xludf.DUMMYFUNCTION("""COMPUTED_VALUE"""),"PRODUCT_PAGE")</f>
        <v>PRODUCT_PAGE</v>
      </c>
      <c r="E195" s="11" t="str">
        <f>IFERROR(__xludf.DUMMYFUNCTION("""COMPUTED_VALUE"""),"CORPORATE")</f>
        <v>CORPORATE</v>
      </c>
      <c r="F195" s="11" t="str">
        <f>IFERROR(__xludf.DUMMYFUNCTION("""COMPUTED_VALUE"""),"Product Page")</f>
        <v>Product Page</v>
      </c>
      <c r="G195" s="11" t="b">
        <f>IFERROR(__xludf.DUMMYFUNCTION("""COMPUTED_VALUE"""),FALSE)</f>
        <v>0</v>
      </c>
      <c r="H195" s="11" t="str">
        <f>IFERROR(__xludf.DUMMYFUNCTION("""COMPUTED_VALUE"""),"Huge")</f>
        <v>Huge</v>
      </c>
      <c r="I195" s="11">
        <f>IFERROR(__xludf.DUMMYFUNCTION("""COMPUTED_VALUE"""),1.0)</f>
        <v>1</v>
      </c>
      <c r="J195" s="11">
        <f>IFERROR(__xludf.DUMMYFUNCTION("""COMPUTED_VALUE"""),0.0)</f>
        <v>0</v>
      </c>
      <c r="K195" s="11">
        <f>IFERROR(__xludf.DUMMYFUNCTION("""COMPUTED_VALUE"""),1.0)</f>
        <v>1</v>
      </c>
    </row>
    <row r="196" ht="15.75" customHeight="1">
      <c r="A196" s="8" t="str">
        <f>IFERROR(__xludf.DUMMYFUNCTION("""COMPUTED_VALUE"""),"https://www.soar.sh/solutions/ai-seo-agency")</f>
        <v>https://www.soar.sh/solutions/ai-seo-agency</v>
      </c>
      <c r="B196" s="11" t="str">
        <f>IFERROR(__xludf.DUMMYFUNCTION("""COMPUTED_VALUE"""),"AI SEO agency | Get recommended by ChatGPT, Claude | Soar Agency")</f>
        <v>AI SEO agency | Get recommended by ChatGPT, Claude | Soar Agency</v>
      </c>
      <c r="C196" s="8" t="str">
        <f>IFERROR(__xludf.DUMMYFUNCTION("""COMPUTED_VALUE"""),"soar.sh")</f>
        <v>soar.sh</v>
      </c>
      <c r="D196" s="11" t="str">
        <f>IFERROR(__xludf.DUMMYFUNCTION("""COMPUTED_VALUE"""),"PRODUCT_PAGE")</f>
        <v>PRODUCT_PAGE</v>
      </c>
      <c r="E196" s="11" t="str">
        <f>IFERROR(__xludf.DUMMYFUNCTION("""COMPUTED_VALUE"""),"CORPORATE")</f>
        <v>CORPORATE</v>
      </c>
      <c r="F196" s="11" t="str">
        <f>IFERROR(__xludf.DUMMYFUNCTION("""COMPUTED_VALUE"""),"Product Page")</f>
        <v>Product Page</v>
      </c>
      <c r="G196" s="11" t="b">
        <f>IFERROR(__xludf.DUMMYFUNCTION("""COMPUTED_VALUE"""),FALSE)</f>
        <v>0</v>
      </c>
      <c r="H196" s="11" t="str">
        <f>IFERROR(__xludf.DUMMYFUNCTION("""COMPUTED_VALUE"""),"Momentum")</f>
        <v>Momentum</v>
      </c>
      <c r="I196" s="11">
        <f>IFERROR(__xludf.DUMMYFUNCTION("""COMPUTED_VALUE"""),1.0)</f>
        <v>1</v>
      </c>
      <c r="J196" s="11">
        <f>IFERROR(__xludf.DUMMYFUNCTION("""COMPUTED_VALUE"""),0.0)</f>
        <v>0</v>
      </c>
      <c r="K196" s="11">
        <f>IFERROR(__xludf.DUMMYFUNCTION("""COMPUTED_VALUE"""),1.0)</f>
        <v>1</v>
      </c>
    </row>
    <row r="197" ht="15.75" customHeight="1">
      <c r="A197" s="8" t="str">
        <f>IFERROR(__xludf.DUMMYFUNCTION("""COMPUTED_VALUE"""),"https://www.spaceo.ai/ai-agent/")</f>
        <v>https://www.spaceo.ai/ai-agent/</v>
      </c>
      <c r="B197" s="11" t="str">
        <f>IFERROR(__xludf.DUMMYFUNCTION("""COMPUTED_VALUE"""),"Leading AI Agent Development Company in the USA | Space-O AI")</f>
        <v>Leading AI Agent Development Company in the USA | Space-O AI</v>
      </c>
      <c r="C197" s="8" t="str">
        <f>IFERROR(__xludf.DUMMYFUNCTION("""COMPUTED_VALUE"""),"spaceo.ai")</f>
        <v>spaceo.ai</v>
      </c>
      <c r="D197" s="11" t="str">
        <f>IFERROR(__xludf.DUMMYFUNCTION("""COMPUTED_VALUE"""),"PRODUCT_PAGE")</f>
        <v>PRODUCT_PAGE</v>
      </c>
      <c r="E197" s="11" t="str">
        <f>IFERROR(__xludf.DUMMYFUNCTION("""COMPUTED_VALUE"""),"CORPORATE")</f>
        <v>CORPORATE</v>
      </c>
      <c r="F197" s="11" t="str">
        <f>IFERROR(__xludf.DUMMYFUNCTION("""COMPUTED_VALUE"""),"Product Page")</f>
        <v>Product Page</v>
      </c>
      <c r="G197" s="11" t="b">
        <f>IFERROR(__xludf.DUMMYFUNCTION("""COMPUTED_VALUE"""),FALSE)</f>
        <v>0</v>
      </c>
      <c r="H197" s="11"/>
      <c r="I197" s="11">
        <f>IFERROR(__xludf.DUMMYFUNCTION("""COMPUTED_VALUE"""),1.0)</f>
        <v>1</v>
      </c>
      <c r="J197" s="11">
        <f>IFERROR(__xludf.DUMMYFUNCTION("""COMPUTED_VALUE"""),0.0)</f>
        <v>0</v>
      </c>
      <c r="K197" s="11">
        <f>IFERROR(__xludf.DUMMYFUNCTION("""COMPUTED_VALUE"""),1.0)</f>
        <v>1</v>
      </c>
    </row>
    <row r="198" ht="15.75" customHeight="1">
      <c r="A198" s="8" t="str">
        <f>IFERROR(__xludf.DUMMYFUNCTION("""COMPUTED_VALUE"""),"https://www.spie.ch/de/data-ai/ai-readiness-consulting/")</f>
        <v>https://www.spie.ch/de/data-ai/ai-readiness-consulting/</v>
      </c>
      <c r="B198" s="11" t="str">
        <f>IFERROR(__xludf.DUMMYFUNCTION("""COMPUTED_VALUE"""),"AI Readiness Consulting")</f>
        <v>AI Readiness Consulting</v>
      </c>
      <c r="C198" s="8" t="str">
        <f>IFERROR(__xludf.DUMMYFUNCTION("""COMPUTED_VALUE"""),"spie.ch")</f>
        <v>spie.ch</v>
      </c>
      <c r="D198" s="11" t="str">
        <f>IFERROR(__xludf.DUMMYFUNCTION("""COMPUTED_VALUE"""),"PRODUCT_PAGE")</f>
        <v>PRODUCT_PAGE</v>
      </c>
      <c r="E198" s="11" t="str">
        <f>IFERROR(__xludf.DUMMYFUNCTION("""COMPUTED_VALUE"""),"CORPORATE")</f>
        <v>CORPORATE</v>
      </c>
      <c r="F198" s="11" t="str">
        <f>IFERROR(__xludf.DUMMYFUNCTION("""COMPUTED_VALUE"""),"Product Page")</f>
        <v>Product Page</v>
      </c>
      <c r="G198" s="11" t="b">
        <f>IFERROR(__xludf.DUMMYFUNCTION("""COMPUTED_VALUE"""),FALSE)</f>
        <v>0</v>
      </c>
      <c r="H198" s="11" t="str">
        <f>IFERROR(__xludf.DUMMYFUNCTION("""COMPUTED_VALUE"""),"Pilot, Momentum")</f>
        <v>Pilot, Momentum</v>
      </c>
      <c r="I198" s="11">
        <f>IFERROR(__xludf.DUMMYFUNCTION("""COMPUTED_VALUE"""),1.0)</f>
        <v>1</v>
      </c>
      <c r="J198" s="11">
        <f>IFERROR(__xludf.DUMMYFUNCTION("""COMPUTED_VALUE"""),0.0)</f>
        <v>0</v>
      </c>
      <c r="K198" s="11">
        <f>IFERROR(__xludf.DUMMYFUNCTION("""COMPUTED_VALUE"""),0.0)</f>
        <v>0</v>
      </c>
    </row>
    <row r="199" ht="15.75" customHeight="1">
      <c r="A199" s="8" t="str">
        <f>IFERROR(__xludf.DUMMYFUNCTION("""COMPUTED_VALUE"""),"https://steinbeis-ifem.de/certified-expert-eu-ai-act/")</f>
        <v>https://steinbeis-ifem.de/certified-expert-eu-ai-act/</v>
      </c>
      <c r="B199" s="11" t="str">
        <f>IFERROR(__xludf.DUMMYFUNCTION("""COMPUTED_VALUE"""),"Certified Expert EU AI Act - Steinbeis Ifem - The Augsburg Business School")</f>
        <v>Certified Expert EU AI Act - Steinbeis Ifem - The Augsburg Business School</v>
      </c>
      <c r="C199" s="8" t="str">
        <f>IFERROR(__xludf.DUMMYFUNCTION("""COMPUTED_VALUE"""),"steinbeis-ifem.de")</f>
        <v>steinbeis-ifem.de</v>
      </c>
      <c r="D199" s="11" t="str">
        <f>IFERROR(__xludf.DUMMYFUNCTION("""COMPUTED_VALUE"""),"PRODUCT_PAGE")</f>
        <v>PRODUCT_PAGE</v>
      </c>
      <c r="E199" s="11" t="str">
        <f>IFERROR(__xludf.DUMMYFUNCTION("""COMPUTED_VALUE"""),"INSTITUTIONAL")</f>
        <v>INSTITUTIONAL</v>
      </c>
      <c r="F199" s="11" t="str">
        <f>IFERROR(__xludf.DUMMYFUNCTION("""COMPUTED_VALUE"""),"Product Page")</f>
        <v>Product Page</v>
      </c>
      <c r="G199" s="11" t="b">
        <f>IFERROR(__xludf.DUMMYFUNCTION("""COMPUTED_VALUE"""),FALSE)</f>
        <v>0</v>
      </c>
      <c r="H199" s="11"/>
      <c r="I199" s="11">
        <f>IFERROR(__xludf.DUMMYFUNCTION("""COMPUTED_VALUE"""),1.0)</f>
        <v>1</v>
      </c>
      <c r="J199" s="11">
        <f>IFERROR(__xludf.DUMMYFUNCTION("""COMPUTED_VALUE"""),0.0)</f>
        <v>0</v>
      </c>
      <c r="K199" s="11">
        <f>IFERROR(__xludf.DUMMYFUNCTION("""COMPUTED_VALUE"""),0.0)</f>
        <v>0</v>
      </c>
    </row>
    <row r="200" ht="15.75" customHeight="1">
      <c r="A200" s="8" t="str">
        <f>IFERROR(__xludf.DUMMYFUNCTION("""COMPUTED_VALUE"""),"https://www.striped-giraffe.com/en/expertise/data-management/ai-readiness/")</f>
        <v>https://www.striped-giraffe.com/en/expertise/data-management/ai-readiness/</v>
      </c>
      <c r="B200" s="11" t="str">
        <f>IFERROR(__xludf.DUMMYFUNCTION("""COMPUTED_VALUE"""),"AI-Readiness")</f>
        <v>AI-Readiness</v>
      </c>
      <c r="C200" s="8" t="str">
        <f>IFERROR(__xludf.DUMMYFUNCTION("""COMPUTED_VALUE"""),"striped-giraffe.com")</f>
        <v>striped-giraffe.com</v>
      </c>
      <c r="D200" s="11" t="str">
        <f>IFERROR(__xludf.DUMMYFUNCTION("""COMPUTED_VALUE"""),"PRODUCT_PAGE")</f>
        <v>PRODUCT_PAGE</v>
      </c>
      <c r="E200" s="11" t="str">
        <f>IFERROR(__xludf.DUMMYFUNCTION("""COMPUTED_VALUE"""),"CORPORATE")</f>
        <v>CORPORATE</v>
      </c>
      <c r="F200" s="11" t="str">
        <f>IFERROR(__xludf.DUMMYFUNCTION("""COMPUTED_VALUE"""),"Product Page")</f>
        <v>Product Page</v>
      </c>
      <c r="G200" s="11" t="b">
        <f>IFERROR(__xludf.DUMMYFUNCTION("""COMPUTED_VALUE"""),FALSE)</f>
        <v>0</v>
      </c>
      <c r="H200" s="11" t="str">
        <f>IFERROR(__xludf.DUMMYFUNCTION("""COMPUTED_VALUE"""),"Huge")</f>
        <v>Huge</v>
      </c>
      <c r="I200" s="11">
        <f>IFERROR(__xludf.DUMMYFUNCTION("""COMPUTED_VALUE"""),1.0)</f>
        <v>1</v>
      </c>
      <c r="J200" s="11">
        <f>IFERROR(__xludf.DUMMYFUNCTION("""COMPUTED_VALUE"""),0.0)</f>
        <v>0</v>
      </c>
      <c r="K200" s="11">
        <f>IFERROR(__xludf.DUMMYFUNCTION("""COMPUTED_VALUE"""),0.0)</f>
        <v>0</v>
      </c>
    </row>
    <row r="201" ht="15.75" customHeight="1">
      <c r="A201" s="8" t="str">
        <f>IFERROR(__xludf.DUMMYFUNCTION("""COMPUTED_VALUE"""),"https://studiohawk.com.au/seo-services/ai-seo/")</f>
        <v>https://studiohawk.com.au/seo-services/ai-seo/</v>
      </c>
      <c r="B201" s="11" t="str">
        <f>IFERROR(__xludf.DUMMYFUNCTION("""COMPUTED_VALUE"""),"AI SEO Agency Services | AI Search Experts")</f>
        <v>AI SEO Agency Services | AI Search Experts</v>
      </c>
      <c r="C201" s="8" t="str">
        <f>IFERROR(__xludf.DUMMYFUNCTION("""COMPUTED_VALUE"""),"studiohawk.com.au")</f>
        <v>studiohawk.com.au</v>
      </c>
      <c r="D201" s="11" t="str">
        <f>IFERROR(__xludf.DUMMYFUNCTION("""COMPUTED_VALUE"""),"PRODUCT_PAGE")</f>
        <v>PRODUCT_PAGE</v>
      </c>
      <c r="E201" s="11" t="str">
        <f>IFERROR(__xludf.DUMMYFUNCTION("""COMPUTED_VALUE"""),"CORPORATE")</f>
        <v>CORPORATE</v>
      </c>
      <c r="F201" s="11" t="str">
        <f>IFERROR(__xludf.DUMMYFUNCTION("""COMPUTED_VALUE"""),"Product Page")</f>
        <v>Product Page</v>
      </c>
      <c r="G201" s="11" t="b">
        <f>IFERROR(__xludf.DUMMYFUNCTION("""COMPUTED_VALUE"""),FALSE)</f>
        <v>0</v>
      </c>
      <c r="H201" s="11"/>
      <c r="I201" s="11">
        <f>IFERROR(__xludf.DUMMYFUNCTION("""COMPUTED_VALUE"""),1.0)</f>
        <v>1</v>
      </c>
      <c r="J201" s="11">
        <f>IFERROR(__xludf.DUMMYFUNCTION("""COMPUTED_VALUE"""),0.0)</f>
        <v>0</v>
      </c>
      <c r="K201" s="11">
        <f>IFERROR(__xludf.DUMMYFUNCTION("""COMPUTED_VALUE"""),1.0)</f>
        <v>1</v>
      </c>
    </row>
    <row r="202" ht="15.75" customHeight="1">
      <c r="A202" s="8" t="str">
        <f>IFERROR(__xludf.DUMMYFUNCTION("""COMPUTED_VALUE"""),"https://submerge.digital/measurement/marketing-attribution-agency/#:~:text=We%20work%20across%20GA4%2C%20campaign,channel%20contribution%20and%20commercial%20value.")</f>
        <v>https://submerge.digital/measurement/marketing-attribution-agency/#:~:text=We%20work%20across%20GA4%2C%20campaign,channel%20contribution%20and%20commercial%20value.</v>
      </c>
      <c r="B202" s="11" t="str">
        <f>IFERROR(__xludf.DUMMYFUNCTION("""COMPUTED_VALUE"""),"Marketing Attribution Agency - Powering Insights - Submerge")</f>
        <v>Marketing Attribution Agency - Powering Insights - Submerge</v>
      </c>
      <c r="C202" s="11" t="str">
        <f>IFERROR(__xludf.DUMMYFUNCTION("""COMPUTED_VALUE"""),"submerge.digital")</f>
        <v>submerge.digital</v>
      </c>
      <c r="D202" s="11" t="str">
        <f>IFERROR(__xludf.DUMMYFUNCTION("""COMPUTED_VALUE"""),"PRODUCT_PAGE")</f>
        <v>PRODUCT_PAGE</v>
      </c>
      <c r="E202" s="11" t="str">
        <f>IFERROR(__xludf.DUMMYFUNCTION("""COMPUTED_VALUE"""),"CORPORATE")</f>
        <v>CORPORATE</v>
      </c>
      <c r="F202" s="11" t="str">
        <f>IFERROR(__xludf.DUMMYFUNCTION("""COMPUTED_VALUE"""),"Product Page")</f>
        <v>Product Page</v>
      </c>
      <c r="G202" s="11" t="b">
        <f>IFERROR(__xludf.DUMMYFUNCTION("""COMPUTED_VALUE"""),FALSE)</f>
        <v>0</v>
      </c>
      <c r="H202" s="11" t="str">
        <f>IFERROR(__xludf.DUMMYFUNCTION("""COMPUTED_VALUE"""),"Measured")</f>
        <v>Measured</v>
      </c>
      <c r="I202" s="11">
        <f>IFERROR(__xludf.DUMMYFUNCTION("""COMPUTED_VALUE"""),1.0)</f>
        <v>1</v>
      </c>
      <c r="J202" s="11">
        <f>IFERROR(__xludf.DUMMYFUNCTION("""COMPUTED_VALUE"""),0.0)</f>
        <v>0</v>
      </c>
      <c r="K202" s="11">
        <f>IFERROR(__xludf.DUMMYFUNCTION("""COMPUTED_VALUE"""),1.0)</f>
        <v>1</v>
      </c>
    </row>
    <row r="203" ht="15.75" customHeight="1">
      <c r="A203" s="8" t="str">
        <f>IFERROR(__xludf.DUMMYFUNCTION("""COMPUTED_VALUE"""),"https://www.suchhelden.de/google-ads-agentur.php")</f>
        <v>https://www.suchhelden.de/google-ads-agentur.php</v>
      </c>
      <c r="B203" s="11" t="str">
        <f>IFERROR(__xludf.DUMMYFUNCTION("""COMPUTED_VALUE"""),"Google Ads Agentur 2026 | zertifizierter Premium Partner")</f>
        <v>Google Ads Agentur 2026 | zertifizierter Premium Partner</v>
      </c>
      <c r="C203" s="8" t="str">
        <f>IFERROR(__xludf.DUMMYFUNCTION("""COMPUTED_VALUE"""),"suchhelden.de")</f>
        <v>suchhelden.de</v>
      </c>
      <c r="D203" s="11" t="str">
        <f>IFERROR(__xludf.DUMMYFUNCTION("""COMPUTED_VALUE"""),"PRODUCT_PAGE")</f>
        <v>PRODUCT_PAGE</v>
      </c>
      <c r="E203" s="11" t="str">
        <f>IFERROR(__xludf.DUMMYFUNCTION("""COMPUTED_VALUE"""),"COMPETITOR")</f>
        <v>COMPETITOR</v>
      </c>
      <c r="F203" s="11" t="str">
        <f>IFERROR(__xludf.DUMMYFUNCTION("""COMPUTED_VALUE"""),"Product Page")</f>
        <v>Product Page</v>
      </c>
      <c r="G203" s="11" t="b">
        <f>IFERROR(__xludf.DUMMYFUNCTION("""COMPUTED_VALUE"""),FALSE)</f>
        <v>0</v>
      </c>
      <c r="H203" s="11" t="str">
        <f>IFERROR(__xludf.DUMMYFUNCTION("""COMPUTED_VALUE"""),"Suchhelden")</f>
        <v>Suchhelden</v>
      </c>
      <c r="I203" s="11">
        <f>IFERROR(__xludf.DUMMYFUNCTION("""COMPUTED_VALUE"""),1.0)</f>
        <v>1</v>
      </c>
      <c r="J203" s="11">
        <f>IFERROR(__xludf.DUMMYFUNCTION("""COMPUTED_VALUE"""),0.0)</f>
        <v>0</v>
      </c>
      <c r="K203" s="11">
        <f>IFERROR(__xludf.DUMMYFUNCTION("""COMPUTED_VALUE"""),2.0)</f>
        <v>2</v>
      </c>
    </row>
    <row r="204" ht="15.75" customHeight="1">
      <c r="A204" s="8" t="str">
        <f>IFERROR(__xludf.DUMMYFUNCTION("""COMPUTED_VALUE"""),"https://suxeedo.de/en/services/b2b-marketing/")</f>
        <v>https://suxeedo.de/en/services/b2b-marketing/</v>
      </c>
      <c r="B204" s="11" t="str">
        <f>IFERROR(__xludf.DUMMYFUNCTION("""COMPUTED_VALUE"""),"B2B Marketing Agency in Germany")</f>
        <v>B2B Marketing Agency in Germany</v>
      </c>
      <c r="C204" s="8" t="str">
        <f>IFERROR(__xludf.DUMMYFUNCTION("""COMPUTED_VALUE"""),"suxeedo.de")</f>
        <v>suxeedo.de</v>
      </c>
      <c r="D204" s="11" t="str">
        <f>IFERROR(__xludf.DUMMYFUNCTION("""COMPUTED_VALUE"""),"PRODUCT_PAGE")</f>
        <v>PRODUCT_PAGE</v>
      </c>
      <c r="E204" s="11" t="str">
        <f>IFERROR(__xludf.DUMMYFUNCTION("""COMPUTED_VALUE"""),"CORPORATE")</f>
        <v>CORPORATE</v>
      </c>
      <c r="F204" s="11" t="str">
        <f>IFERROR(__xludf.DUMMYFUNCTION("""COMPUTED_VALUE"""),"Product Page")</f>
        <v>Product Page</v>
      </c>
      <c r="G204" s="11" t="b">
        <f>IFERROR(__xludf.DUMMYFUNCTION("""COMPUTED_VALUE"""),FALSE)</f>
        <v>0</v>
      </c>
      <c r="H204" s="11"/>
      <c r="I204" s="11">
        <f>IFERROR(__xludf.DUMMYFUNCTION("""COMPUTED_VALUE"""),1.0)</f>
        <v>1</v>
      </c>
      <c r="J204" s="11">
        <f>IFERROR(__xludf.DUMMYFUNCTION("""COMPUTED_VALUE"""),0.0)</f>
        <v>0</v>
      </c>
      <c r="K204" s="11">
        <f>IFERROR(__xludf.DUMMYFUNCTION("""COMPUTED_VALUE"""),1.0)</f>
        <v>1</v>
      </c>
    </row>
    <row r="205" ht="15.75" customHeight="1">
      <c r="A205" s="8" t="str">
        <f>IFERROR(__xludf.DUMMYFUNCTION("""COMPUTED_VALUE"""),"https://swcpartnership.com/solutions")</f>
        <v>https://swcpartnership.com/solutions</v>
      </c>
      <c r="B205" s="11" t="str">
        <f>IFERROR(__xludf.DUMMYFUNCTION("""COMPUTED_VALUE"""),"Marketing Solutions | SWC Partnership")</f>
        <v>Marketing Solutions | SWC Partnership</v>
      </c>
      <c r="C205" s="8" t="str">
        <f>IFERROR(__xludf.DUMMYFUNCTION("""COMPUTED_VALUE"""),"swcpartnership.com")</f>
        <v>swcpartnership.com</v>
      </c>
      <c r="D205" s="11" t="str">
        <f>IFERROR(__xludf.DUMMYFUNCTION("""COMPUTED_VALUE"""),"PRODUCT_PAGE")</f>
        <v>PRODUCT_PAGE</v>
      </c>
      <c r="E205" s="11" t="str">
        <f>IFERROR(__xludf.DUMMYFUNCTION("""COMPUTED_VALUE"""),"CORPORATE")</f>
        <v>CORPORATE</v>
      </c>
      <c r="F205" s="11" t="str">
        <f>IFERROR(__xludf.DUMMYFUNCTION("""COMPUTED_VALUE"""),"Product Page")</f>
        <v>Product Page</v>
      </c>
      <c r="G205" s="11" t="b">
        <f>IFERROR(__xludf.DUMMYFUNCTION("""COMPUTED_VALUE"""),FALSE)</f>
        <v>0</v>
      </c>
      <c r="H205" s="11"/>
      <c r="I205" s="11">
        <f>IFERROR(__xludf.DUMMYFUNCTION("""COMPUTED_VALUE"""),1.0)</f>
        <v>1</v>
      </c>
      <c r="J205" s="11">
        <f>IFERROR(__xludf.DUMMYFUNCTION("""COMPUTED_VALUE"""),0.0)</f>
        <v>0</v>
      </c>
      <c r="K205" s="11">
        <f>IFERROR(__xludf.DUMMYFUNCTION("""COMPUTED_VALUE"""),0.0)</f>
        <v>0</v>
      </c>
    </row>
    <row r="206" ht="15.75" customHeight="1">
      <c r="A206" s="8" t="str">
        <f>IFERROR(__xludf.DUMMYFUNCTION("""COMPUTED_VALUE"""),"https://www.takevalue.de/branchen/software-it/")</f>
        <v>https://www.takevalue.de/branchen/software-it/</v>
      </c>
      <c r="B206" s="11" t="str">
        <f>IFERROR(__xludf.DUMMYFUNCTION("""COMPUTED_VALUE"""),"Digitalagentur für Software- &amp;amp; IT-Unternehmen")</f>
        <v>Digitalagentur für Software- &amp;amp; IT-Unternehmen</v>
      </c>
      <c r="C206" s="8" t="str">
        <f>IFERROR(__xludf.DUMMYFUNCTION("""COMPUTED_VALUE"""),"takevalue.de")</f>
        <v>takevalue.de</v>
      </c>
      <c r="D206" s="11" t="str">
        <f>IFERROR(__xludf.DUMMYFUNCTION("""COMPUTED_VALUE"""),"PRODUCT_PAGE")</f>
        <v>PRODUCT_PAGE</v>
      </c>
      <c r="E206" s="11" t="str">
        <f>IFERROR(__xludf.DUMMYFUNCTION("""COMPUTED_VALUE"""),"CORPORATE")</f>
        <v>CORPORATE</v>
      </c>
      <c r="F206" s="11" t="str">
        <f>IFERROR(__xludf.DUMMYFUNCTION("""COMPUTED_VALUE"""),"Product Page")</f>
        <v>Product Page</v>
      </c>
      <c r="G206" s="11" t="b">
        <f>IFERROR(__xludf.DUMMYFUNCTION("""COMPUTED_VALUE"""),FALSE)</f>
        <v>0</v>
      </c>
      <c r="H206" s="11"/>
      <c r="I206" s="11">
        <f>IFERROR(__xludf.DUMMYFUNCTION("""COMPUTED_VALUE"""),1.0)</f>
        <v>1</v>
      </c>
      <c r="J206" s="11">
        <f>IFERROR(__xludf.DUMMYFUNCTION("""COMPUTED_VALUE"""),0.0)</f>
        <v>0</v>
      </c>
      <c r="K206" s="11">
        <f>IFERROR(__xludf.DUMMYFUNCTION("""COMPUTED_VALUE"""),1.0)</f>
        <v>1</v>
      </c>
    </row>
    <row r="207" ht="15.75" customHeight="1">
      <c r="A207" s="8" t="str">
        <f>IFERROR(__xludf.DUMMYFUNCTION("""COMPUTED_VALUE"""),"https://www.techaheadcorp.com/services/ai-development/")</f>
        <v>https://www.techaheadcorp.com/services/ai-development/</v>
      </c>
      <c r="B207" s="11" t="str">
        <f>IFERROR(__xludf.DUMMYFUNCTION("""COMPUTED_VALUE"""),"Top AI Development Company in USA")</f>
        <v>Top AI Development Company in USA</v>
      </c>
      <c r="C207" s="8" t="str">
        <f>IFERROR(__xludf.DUMMYFUNCTION("""COMPUTED_VALUE"""),"techaheadcorp.com")</f>
        <v>techaheadcorp.com</v>
      </c>
      <c r="D207" s="11" t="str">
        <f>IFERROR(__xludf.DUMMYFUNCTION("""COMPUTED_VALUE"""),"PRODUCT_PAGE")</f>
        <v>PRODUCT_PAGE</v>
      </c>
      <c r="E207" s="11" t="str">
        <f>IFERROR(__xludf.DUMMYFUNCTION("""COMPUTED_VALUE"""),"CORPORATE")</f>
        <v>CORPORATE</v>
      </c>
      <c r="F207" s="11" t="str">
        <f>IFERROR(__xludf.DUMMYFUNCTION("""COMPUTED_VALUE"""),"Product Page")</f>
        <v>Product Page</v>
      </c>
      <c r="G207" s="11" t="b">
        <f>IFERROR(__xludf.DUMMYFUNCTION("""COMPUTED_VALUE"""),FALSE)</f>
        <v>0</v>
      </c>
      <c r="H207" s="11" t="str">
        <f>IFERROR(__xludf.DUMMYFUNCTION("""COMPUTED_VALUE"""),"Pilot, Measured")</f>
        <v>Pilot, Measured</v>
      </c>
      <c r="I207" s="11">
        <f>IFERROR(__xludf.DUMMYFUNCTION("""COMPUTED_VALUE"""),1.0)</f>
        <v>1</v>
      </c>
      <c r="J207" s="11">
        <f>IFERROR(__xludf.DUMMYFUNCTION("""COMPUTED_VALUE"""),0.0)</f>
        <v>0</v>
      </c>
      <c r="K207" s="11">
        <f>IFERROR(__xludf.DUMMYFUNCTION("""COMPUTED_VALUE"""),1.0)</f>
        <v>1</v>
      </c>
    </row>
    <row r="208" ht="15.75" customHeight="1">
      <c r="A208" s="8" t="str">
        <f>IFERROR(__xludf.DUMMYFUNCTION("""COMPUTED_VALUE"""),"https://technologyarch.com/it-consulting/ai-adoption/")</f>
        <v>https://technologyarch.com/it-consulting/ai-adoption/</v>
      </c>
      <c r="B208" s="11" t="str">
        <f>IFERROR(__xludf.DUMMYFUNCTION("""COMPUTED_VALUE"""),"AI Adoption Consulting in Minneapolis, Green Bay &amp;amp; Denver")</f>
        <v>AI Adoption Consulting in Minneapolis, Green Bay &amp;amp; Denver</v>
      </c>
      <c r="C208" s="8" t="str">
        <f>IFERROR(__xludf.DUMMYFUNCTION("""COMPUTED_VALUE"""),"technologyarch.com")</f>
        <v>technologyarch.com</v>
      </c>
      <c r="D208" s="11" t="str">
        <f>IFERROR(__xludf.DUMMYFUNCTION("""COMPUTED_VALUE"""),"PRODUCT_PAGE")</f>
        <v>PRODUCT_PAGE</v>
      </c>
      <c r="E208" s="11" t="str">
        <f>IFERROR(__xludf.DUMMYFUNCTION("""COMPUTED_VALUE"""),"CORPORATE")</f>
        <v>CORPORATE</v>
      </c>
      <c r="F208" s="11" t="str">
        <f>IFERROR(__xludf.DUMMYFUNCTION("""COMPUTED_VALUE"""),"Product Page")</f>
        <v>Product Page</v>
      </c>
      <c r="G208" s="11" t="b">
        <f>IFERROR(__xludf.DUMMYFUNCTION("""COMPUTED_VALUE"""),FALSE)</f>
        <v>0</v>
      </c>
      <c r="H208" s="11"/>
      <c r="I208" s="11">
        <f>IFERROR(__xludf.DUMMYFUNCTION("""COMPUTED_VALUE"""),1.0)</f>
        <v>1</v>
      </c>
      <c r="J208" s="11">
        <f>IFERROR(__xludf.DUMMYFUNCTION("""COMPUTED_VALUE"""),0.0)</f>
        <v>0</v>
      </c>
      <c r="K208" s="11">
        <f>IFERROR(__xludf.DUMMYFUNCTION("""COMPUTED_VALUE"""),0.0)</f>
        <v>0</v>
      </c>
    </row>
    <row r="209" ht="15.75" customHeight="1">
      <c r="A209" s="8" t="str">
        <f>IFERROR(__xludf.DUMMYFUNCTION("""COMPUTED_VALUE"""),"https://thecxlead.com/services/best-customer-data-platform-consulting/")</f>
        <v>https://thecxlead.com/services/best-customer-data-platform-consulting/</v>
      </c>
      <c r="B209" s="11" t="str">
        <f>IFERROR(__xludf.DUMMYFUNCTION("""COMPUTED_VALUE"""),"10 Best Customer Data Platform Consultants in 2026")</f>
        <v>10 Best Customer Data Platform Consultants in 2026</v>
      </c>
      <c r="C209" s="8" t="str">
        <f>IFERROR(__xludf.DUMMYFUNCTION("""COMPUTED_VALUE"""),"thecxlead.com")</f>
        <v>thecxlead.com</v>
      </c>
      <c r="D209" s="11" t="str">
        <f>IFERROR(__xludf.DUMMYFUNCTION("""COMPUTED_VALUE"""),"PRODUCT_PAGE")</f>
        <v>PRODUCT_PAGE</v>
      </c>
      <c r="E209" s="11" t="str">
        <f>IFERROR(__xludf.DUMMYFUNCTION("""COMPUTED_VALUE"""),"OTHER")</f>
        <v>OTHER</v>
      </c>
      <c r="F209" s="11" t="str">
        <f>IFERROR(__xludf.DUMMYFUNCTION("""COMPUTED_VALUE"""),"Product Page")</f>
        <v>Product Page</v>
      </c>
      <c r="G209" s="11" t="b">
        <f>IFERROR(__xludf.DUMMYFUNCTION("""COMPUTED_VALUE"""),FALSE)</f>
        <v>0</v>
      </c>
      <c r="H209" s="11" t="str">
        <f>IFERROR(__xludf.DUMMYFUNCTION("""COMPUTED_VALUE"""),"Brandtech, Pilot, PwC")</f>
        <v>Brandtech, Pilot, PwC</v>
      </c>
      <c r="I209" s="11">
        <f>IFERROR(__xludf.DUMMYFUNCTION("""COMPUTED_VALUE"""),1.0)</f>
        <v>1</v>
      </c>
      <c r="J209" s="11">
        <f>IFERROR(__xludf.DUMMYFUNCTION("""COMPUTED_VALUE"""),0.0)</f>
        <v>0</v>
      </c>
      <c r="K209" s="11">
        <f>IFERROR(__xludf.DUMMYFUNCTION("""COMPUTED_VALUE"""),0.0)</f>
        <v>0</v>
      </c>
    </row>
    <row r="210" ht="15.75" customHeight="1">
      <c r="A210" s="8" t="str">
        <f>IFERROR(__xludf.DUMMYFUNCTION("""COMPUTED_VALUE"""),"https://www.thenavsoft.com/ai-development-services-company/ai-seo/")</f>
        <v>https://www.thenavsoft.com/ai-development-services-company/ai-seo/</v>
      </c>
      <c r="B210" s="11" t="str">
        <f>IFERROR(__xludf.DUMMYFUNCTION("""COMPUTED_VALUE"""),"AI SEO Services | Generative Engine Optimization Services")</f>
        <v>AI SEO Services | Generative Engine Optimization Services</v>
      </c>
      <c r="C210" s="8" t="str">
        <f>IFERROR(__xludf.DUMMYFUNCTION("""COMPUTED_VALUE"""),"thenavsoft.com")</f>
        <v>thenavsoft.com</v>
      </c>
      <c r="D210" s="11" t="str">
        <f>IFERROR(__xludf.DUMMYFUNCTION("""COMPUTED_VALUE"""),"PRODUCT_PAGE")</f>
        <v>PRODUCT_PAGE</v>
      </c>
      <c r="E210" s="11" t="str">
        <f>IFERROR(__xludf.DUMMYFUNCTION("""COMPUTED_VALUE"""),"CORPORATE")</f>
        <v>CORPORATE</v>
      </c>
      <c r="F210" s="11" t="str">
        <f>IFERROR(__xludf.DUMMYFUNCTION("""COMPUTED_VALUE"""),"Product Page")</f>
        <v>Product Page</v>
      </c>
      <c r="G210" s="11" t="b">
        <f>IFERROR(__xludf.DUMMYFUNCTION("""COMPUTED_VALUE"""),FALSE)</f>
        <v>0</v>
      </c>
      <c r="H210" s="11"/>
      <c r="I210" s="11">
        <f>IFERROR(__xludf.DUMMYFUNCTION("""COMPUTED_VALUE"""),1.0)</f>
        <v>1</v>
      </c>
      <c r="J210" s="11">
        <f>IFERROR(__xludf.DUMMYFUNCTION("""COMPUTED_VALUE"""),0.0)</f>
        <v>0</v>
      </c>
      <c r="K210" s="11">
        <f>IFERROR(__xludf.DUMMYFUNCTION("""COMPUTED_VALUE"""),1.0)</f>
        <v>1</v>
      </c>
    </row>
    <row r="211" ht="15.75" customHeight="1">
      <c r="A211" s="8" t="str">
        <f>IFERROR(__xludf.DUMMYFUNCTION("""COMPUTED_VALUE"""),"https://www.thoughtworks.com/en-de/what-we-do/ai/ai-readiness")</f>
        <v>https://www.thoughtworks.com/en-de/what-we-do/ai/ai-readiness</v>
      </c>
      <c r="B211" s="11" t="str">
        <f>IFERROR(__xludf.DUMMYFUNCTION("""COMPUTED_VALUE"""),"AI that works or AI that stalls?")</f>
        <v>AI that works or AI that stalls?</v>
      </c>
      <c r="C211" s="8" t="str">
        <f>IFERROR(__xludf.DUMMYFUNCTION("""COMPUTED_VALUE"""),"thoughtworks.com")</f>
        <v>thoughtworks.com</v>
      </c>
      <c r="D211" s="11" t="str">
        <f>IFERROR(__xludf.DUMMYFUNCTION("""COMPUTED_VALUE"""),"PRODUCT_PAGE")</f>
        <v>PRODUCT_PAGE</v>
      </c>
      <c r="E211" s="11" t="str">
        <f>IFERROR(__xludf.DUMMYFUNCTION("""COMPUTED_VALUE"""),"CORPORATE")</f>
        <v>CORPORATE</v>
      </c>
      <c r="F211" s="11" t="str">
        <f>IFERROR(__xludf.DUMMYFUNCTION("""COMPUTED_VALUE"""),"Product Page")</f>
        <v>Product Page</v>
      </c>
      <c r="G211" s="11" t="b">
        <f>IFERROR(__xludf.DUMMYFUNCTION("""COMPUTED_VALUE"""),FALSE)</f>
        <v>0</v>
      </c>
      <c r="H211" s="11"/>
      <c r="I211" s="11">
        <f>IFERROR(__xludf.DUMMYFUNCTION("""COMPUTED_VALUE"""),1.0)</f>
        <v>1</v>
      </c>
      <c r="J211" s="11">
        <f>IFERROR(__xludf.DUMMYFUNCTION("""COMPUTED_VALUE"""),0.0)</f>
        <v>0</v>
      </c>
      <c r="K211" s="11">
        <f>IFERROR(__xludf.DUMMYFUNCTION("""COMPUTED_VALUE"""),2.0)</f>
        <v>2</v>
      </c>
    </row>
    <row r="212" ht="15.75" customHeight="1">
      <c r="A212" s="8" t="str">
        <f>IFERROR(__xludf.DUMMYFUNCTION("""COMPUTED_VALUE"""),"https://www.timospecht.de/en/geo-agentur/")</f>
        <v>https://www.timospecht.de/en/geo-agentur/</v>
      </c>
      <c r="B212" s="11" t="str">
        <f>IFERROR(__xludf.DUMMYFUNCTION("""COMPUTED_VALUE"""),"GEO Agency - Visibility with AIO in LLM's (KI-SEO*NEW)")</f>
        <v>GEO Agency - Visibility with AIO in LLM's (KI-SEO*NEW)</v>
      </c>
      <c r="C212" s="8" t="str">
        <f>IFERROR(__xludf.DUMMYFUNCTION("""COMPUTED_VALUE"""),"timospecht.de")</f>
        <v>timospecht.de</v>
      </c>
      <c r="D212" s="11" t="str">
        <f>IFERROR(__xludf.DUMMYFUNCTION("""COMPUTED_VALUE"""),"PRODUCT_PAGE")</f>
        <v>PRODUCT_PAGE</v>
      </c>
      <c r="E212" s="11" t="str">
        <f>IFERROR(__xludf.DUMMYFUNCTION("""COMPUTED_VALUE"""),"OTHER")</f>
        <v>OTHER</v>
      </c>
      <c r="F212" s="11" t="str">
        <f>IFERROR(__xludf.DUMMYFUNCTION("""COMPUTED_VALUE"""),"Product Page")</f>
        <v>Product Page</v>
      </c>
      <c r="G212" s="11" t="b">
        <f>IFERROR(__xludf.DUMMYFUNCTION("""COMPUTED_VALUE"""),FALSE)</f>
        <v>0</v>
      </c>
      <c r="H212" s="11" t="str">
        <f>IFERROR(__xludf.DUMMYFUNCTION("""COMPUTED_VALUE"""),"Nielsen")</f>
        <v>Nielsen</v>
      </c>
      <c r="I212" s="11">
        <f>IFERROR(__xludf.DUMMYFUNCTION("""COMPUTED_VALUE"""),1.0)</f>
        <v>1</v>
      </c>
      <c r="J212" s="11">
        <f>IFERROR(__xludf.DUMMYFUNCTION("""COMPUTED_VALUE"""),0.0)</f>
        <v>0</v>
      </c>
      <c r="K212" s="11">
        <f>IFERROR(__xludf.DUMMYFUNCTION("""COMPUTED_VALUE"""),0.0)</f>
        <v>0</v>
      </c>
    </row>
    <row r="213" ht="15.75" customHeight="1">
      <c r="A213" s="8" t="str">
        <f>IFERROR(__xludf.DUMMYFUNCTION("""COMPUTED_VALUE"""),"https://www.timospecht.de/en/seo-starnberg/")</f>
        <v>https://www.timospecht.de/en/seo-starnberg/</v>
      </c>
      <c r="B213" s="11" t="str">
        <f>IFERROR(__xludf.DUMMYFUNCTION("""COMPUTED_VALUE"""),"Starnberg SEO agency: Greater visibility with Specht GmbH")</f>
        <v>Starnberg SEO agency: Greater visibility with Specht GmbH</v>
      </c>
      <c r="C213" s="8" t="str">
        <f>IFERROR(__xludf.DUMMYFUNCTION("""COMPUTED_VALUE"""),"timospecht.de")</f>
        <v>timospecht.de</v>
      </c>
      <c r="D213" s="11" t="str">
        <f>IFERROR(__xludf.DUMMYFUNCTION("""COMPUTED_VALUE"""),"PRODUCT_PAGE")</f>
        <v>PRODUCT_PAGE</v>
      </c>
      <c r="E213" s="11" t="str">
        <f>IFERROR(__xludf.DUMMYFUNCTION("""COMPUTED_VALUE"""),"OTHER")</f>
        <v>OTHER</v>
      </c>
      <c r="F213" s="11" t="str">
        <f>IFERROR(__xludf.DUMMYFUNCTION("""COMPUTED_VALUE"""),"Product Page")</f>
        <v>Product Page</v>
      </c>
      <c r="G213" s="11" t="b">
        <f>IFERROR(__xludf.DUMMYFUNCTION("""COMPUTED_VALUE"""),FALSE)</f>
        <v>0</v>
      </c>
      <c r="H213" s="11" t="str">
        <f>IFERROR(__xludf.DUMMYFUNCTION("""COMPUTED_VALUE"""),"Nielsen")</f>
        <v>Nielsen</v>
      </c>
      <c r="I213" s="11">
        <f>IFERROR(__xludf.DUMMYFUNCTION("""COMPUTED_VALUE"""),1.0)</f>
        <v>1</v>
      </c>
      <c r="J213" s="11">
        <f>IFERROR(__xludf.DUMMYFUNCTION("""COMPUTED_VALUE"""),0.0)</f>
        <v>0</v>
      </c>
      <c r="K213" s="11">
        <f>IFERROR(__xludf.DUMMYFUNCTION("""COMPUTED_VALUE"""),1.0)</f>
        <v>1</v>
      </c>
    </row>
    <row r="214" ht="15.75" customHeight="1">
      <c r="A214" s="8" t="str">
        <f>IFERROR(__xludf.DUMMYFUNCTION("""COMPUTED_VALUE"""),"https://www.towa-digital.com/en/technology/google-marketing-platform/")</f>
        <v>https://www.towa-digital.com/en/technology/google-marketing-platform/</v>
      </c>
      <c r="B214" s="11" t="str">
        <f>IFERROR(__xludf.DUMMYFUNCTION("""COMPUTED_VALUE"""),"Google Marketing Partner - Hamburg, München &amp;amp; Wien | TOWA Digital")</f>
        <v>Google Marketing Partner - Hamburg, München &amp;amp; Wien | TOWA Digital</v>
      </c>
      <c r="C214" s="8" t="str">
        <f>IFERROR(__xludf.DUMMYFUNCTION("""COMPUTED_VALUE"""),"towa-digital.com")</f>
        <v>towa-digital.com</v>
      </c>
      <c r="D214" s="11" t="str">
        <f>IFERROR(__xludf.DUMMYFUNCTION("""COMPUTED_VALUE"""),"PRODUCT_PAGE")</f>
        <v>PRODUCT_PAGE</v>
      </c>
      <c r="E214" s="11" t="str">
        <f>IFERROR(__xludf.DUMMYFUNCTION("""COMPUTED_VALUE"""),"CORPORATE")</f>
        <v>CORPORATE</v>
      </c>
      <c r="F214" s="11" t="str">
        <f>IFERROR(__xludf.DUMMYFUNCTION("""COMPUTED_VALUE"""),"Product Page")</f>
        <v>Product Page</v>
      </c>
      <c r="G214" s="11" t="b">
        <f>IFERROR(__xludf.DUMMYFUNCTION("""COMPUTED_VALUE"""),FALSE)</f>
        <v>0</v>
      </c>
      <c r="H214" s="11"/>
      <c r="I214" s="11">
        <f>IFERROR(__xludf.DUMMYFUNCTION("""COMPUTED_VALUE"""),1.0)</f>
        <v>1</v>
      </c>
      <c r="J214" s="11">
        <f>IFERROR(__xludf.DUMMYFUNCTION("""COMPUTED_VALUE"""),0.0)</f>
        <v>0</v>
      </c>
      <c r="K214" s="11">
        <f>IFERROR(__xludf.DUMMYFUNCTION("""COMPUTED_VALUE"""),1.0)</f>
        <v>1</v>
      </c>
    </row>
    <row r="215" ht="15.75" customHeight="1">
      <c r="A215" s="8" t="str">
        <f>IFERROR(__xludf.DUMMYFUNCTION("""COMPUTED_VALUE"""),"https://www.trinitybps.com/ai-consulting")</f>
        <v>https://www.trinitybps.com/ai-consulting</v>
      </c>
      <c r="B215" s="11" t="str">
        <f>IFERROR(__xludf.DUMMYFUNCTION("""COMPUTED_VALUE"""),"AI Adoption Consulting — ARTHA &amp;amp; PRISM | Trinity Bridge PS")</f>
        <v>AI Adoption Consulting — ARTHA &amp;amp; PRISM | Trinity Bridge PS</v>
      </c>
      <c r="C215" s="8" t="str">
        <f>IFERROR(__xludf.DUMMYFUNCTION("""COMPUTED_VALUE"""),"trinitybps.com")</f>
        <v>trinitybps.com</v>
      </c>
      <c r="D215" s="11" t="str">
        <f>IFERROR(__xludf.DUMMYFUNCTION("""COMPUTED_VALUE"""),"PRODUCT_PAGE")</f>
        <v>PRODUCT_PAGE</v>
      </c>
      <c r="E215" s="11" t="str">
        <f>IFERROR(__xludf.DUMMYFUNCTION("""COMPUTED_VALUE"""),"CORPORATE")</f>
        <v>CORPORATE</v>
      </c>
      <c r="F215" s="11" t="str">
        <f>IFERROR(__xludf.DUMMYFUNCTION("""COMPUTED_VALUE"""),"Product Page")</f>
        <v>Product Page</v>
      </c>
      <c r="G215" s="11" t="b">
        <f>IFERROR(__xludf.DUMMYFUNCTION("""COMPUTED_VALUE"""),FALSE)</f>
        <v>0</v>
      </c>
      <c r="H215" s="11"/>
      <c r="I215" s="11">
        <f>IFERROR(__xludf.DUMMYFUNCTION("""COMPUTED_VALUE"""),1.0)</f>
        <v>1</v>
      </c>
      <c r="J215" s="11">
        <f>IFERROR(__xludf.DUMMYFUNCTION("""COMPUTED_VALUE"""),0.0)</f>
        <v>0</v>
      </c>
      <c r="K215" s="11">
        <f>IFERROR(__xludf.DUMMYFUNCTION("""COMPUTED_VALUE"""),0.0)</f>
        <v>0</v>
      </c>
    </row>
    <row r="216" ht="15.75" customHeight="1">
      <c r="A216" s="8" t="str">
        <f>IFERROR(__xludf.DUMMYFUNCTION("""COMPUTED_VALUE"""),"https://unbound-media.de/de/leistungen/")</f>
        <v>https://unbound-media.de/de/leistungen/</v>
      </c>
      <c r="B216" s="11" t="str">
        <f>IFERROR(__xludf.DUMMYFUNCTION("""COMPUTED_VALUE"""),"Leistungen - UNBOUND MEDIA GmbH")</f>
        <v>Leistungen - UNBOUND MEDIA GmbH</v>
      </c>
      <c r="C216" s="8" t="str">
        <f>IFERROR(__xludf.DUMMYFUNCTION("""COMPUTED_VALUE"""),"unbound-media.de")</f>
        <v>unbound-media.de</v>
      </c>
      <c r="D216" s="11" t="str">
        <f>IFERROR(__xludf.DUMMYFUNCTION("""COMPUTED_VALUE"""),"PRODUCT_PAGE")</f>
        <v>PRODUCT_PAGE</v>
      </c>
      <c r="E216" s="11" t="str">
        <f>IFERROR(__xludf.DUMMYFUNCTION("""COMPUTED_VALUE"""),"CORPORATE")</f>
        <v>CORPORATE</v>
      </c>
      <c r="F216" s="11" t="str">
        <f>IFERROR(__xludf.DUMMYFUNCTION("""COMPUTED_VALUE"""),"Product Page")</f>
        <v>Product Page</v>
      </c>
      <c r="G216" s="11" t="b">
        <f>IFERROR(__xludf.DUMMYFUNCTION("""COMPUTED_VALUE"""),FALSE)</f>
        <v>0</v>
      </c>
      <c r="H216" s="11"/>
      <c r="I216" s="11">
        <f>IFERROR(__xludf.DUMMYFUNCTION("""COMPUTED_VALUE"""),1.0)</f>
        <v>1</v>
      </c>
      <c r="J216" s="11">
        <f>IFERROR(__xludf.DUMMYFUNCTION("""COMPUTED_VALUE"""),0.0)</f>
        <v>0</v>
      </c>
      <c r="K216" s="11">
        <f>IFERROR(__xludf.DUMMYFUNCTION("""COMPUTED_VALUE"""),0.0)</f>
        <v>0</v>
      </c>
    </row>
    <row r="217" ht="15.75" customHeight="1">
      <c r="A217" s="8" t="str">
        <f>IFERROR(__xludf.DUMMYFUNCTION("""COMPUTED_VALUE"""),"https://www.upgrow.io/aeo-agency/")</f>
        <v>https://www.upgrow.io/aeo-agency/</v>
      </c>
      <c r="B217" s="11" t="str">
        <f>IFERROR(__xludf.DUMMYFUNCTION("""COMPUTED_VALUE"""),"AEO Agency | Rank In Google AI, ChatGPT, Claude")</f>
        <v>AEO Agency | Rank In Google AI, ChatGPT, Claude</v>
      </c>
      <c r="C217" s="8" t="str">
        <f>IFERROR(__xludf.DUMMYFUNCTION("""COMPUTED_VALUE"""),"upgrow.io")</f>
        <v>upgrow.io</v>
      </c>
      <c r="D217" s="11" t="str">
        <f>IFERROR(__xludf.DUMMYFUNCTION("""COMPUTED_VALUE"""),"PRODUCT_PAGE")</f>
        <v>PRODUCT_PAGE</v>
      </c>
      <c r="E217" s="11" t="str">
        <f>IFERROR(__xludf.DUMMYFUNCTION("""COMPUTED_VALUE"""),"CORPORATE")</f>
        <v>CORPORATE</v>
      </c>
      <c r="F217" s="11" t="str">
        <f>IFERROR(__xludf.DUMMYFUNCTION("""COMPUTED_VALUE"""),"Product Page")</f>
        <v>Product Page</v>
      </c>
      <c r="G217" s="11" t="b">
        <f>IFERROR(__xludf.DUMMYFUNCTION("""COMPUTED_VALUE"""),FALSE)</f>
        <v>0</v>
      </c>
      <c r="H217" s="11"/>
      <c r="I217" s="11">
        <f>IFERROR(__xludf.DUMMYFUNCTION("""COMPUTED_VALUE"""),1.0)</f>
        <v>1</v>
      </c>
      <c r="J217" s="11">
        <f>IFERROR(__xludf.DUMMYFUNCTION("""COMPUTED_VALUE"""),0.0)</f>
        <v>0</v>
      </c>
      <c r="K217" s="11">
        <f>IFERROR(__xludf.DUMMYFUNCTION("""COMPUTED_VALUE"""),1.0)</f>
        <v>1</v>
      </c>
    </row>
    <row r="218" ht="15.75" customHeight="1">
      <c r="A218" s="8" t="str">
        <f>IFERROR(__xludf.DUMMYFUNCTION("""COMPUTED_VALUE"""),"https://www.ventum-consulting.com/assessments/ai-readiness-assessment-workshop/")</f>
        <v>https://www.ventum-consulting.com/assessments/ai-readiness-assessment-workshop/</v>
      </c>
      <c r="B218" s="11" t="str">
        <f>IFERROR(__xludf.DUMMYFUNCTION("""COMPUTED_VALUE"""),"AI Readiness Assessment │ Ventum Consulting")</f>
        <v>AI Readiness Assessment │ Ventum Consulting</v>
      </c>
      <c r="C218" s="8" t="str">
        <f>IFERROR(__xludf.DUMMYFUNCTION("""COMPUTED_VALUE"""),"ventum-consulting.com")</f>
        <v>ventum-consulting.com</v>
      </c>
      <c r="D218" s="11" t="str">
        <f>IFERROR(__xludf.DUMMYFUNCTION("""COMPUTED_VALUE"""),"PRODUCT_PAGE")</f>
        <v>PRODUCT_PAGE</v>
      </c>
      <c r="E218" s="11" t="str">
        <f>IFERROR(__xludf.DUMMYFUNCTION("""COMPUTED_VALUE"""),"CORPORATE")</f>
        <v>CORPORATE</v>
      </c>
      <c r="F218" s="11" t="str">
        <f>IFERROR(__xludf.DUMMYFUNCTION("""COMPUTED_VALUE"""),"Product Page")</f>
        <v>Product Page</v>
      </c>
      <c r="G218" s="11" t="b">
        <f>IFERROR(__xludf.DUMMYFUNCTION("""COMPUTED_VALUE"""),FALSE)</f>
        <v>0</v>
      </c>
      <c r="H218" s="11" t="str">
        <f>IFERROR(__xludf.DUMMYFUNCTION("""COMPUTED_VALUE"""),"Pilot")</f>
        <v>Pilot</v>
      </c>
      <c r="I218" s="11">
        <f>IFERROR(__xludf.DUMMYFUNCTION("""COMPUTED_VALUE"""),1.0)</f>
        <v>1</v>
      </c>
      <c r="J218" s="11">
        <f>IFERROR(__xludf.DUMMYFUNCTION("""COMPUTED_VALUE"""),0.0)</f>
        <v>0</v>
      </c>
      <c r="K218" s="11">
        <f>IFERROR(__xludf.DUMMYFUNCTION("""COMPUTED_VALUE"""),2.0)</f>
        <v>2</v>
      </c>
    </row>
    <row r="219" ht="15.75" customHeight="1">
      <c r="A219" s="8" t="str">
        <f>IFERROR(__xludf.DUMMYFUNCTION("""COMPUTED_VALUE"""),"https://verdtek.com/ai-adoption/")</f>
        <v>https://verdtek.com/ai-adoption/</v>
      </c>
      <c r="B219" s="11" t="str">
        <f>IFERROR(__xludf.DUMMYFUNCTION("""COMPUTED_VALUE"""),"AI Adoption - Verdtek")</f>
        <v>AI Adoption - Verdtek</v>
      </c>
      <c r="C219" s="8" t="str">
        <f>IFERROR(__xludf.DUMMYFUNCTION("""COMPUTED_VALUE"""),"verdtek.com")</f>
        <v>verdtek.com</v>
      </c>
      <c r="D219" s="11" t="str">
        <f>IFERROR(__xludf.DUMMYFUNCTION("""COMPUTED_VALUE"""),"PRODUCT_PAGE")</f>
        <v>PRODUCT_PAGE</v>
      </c>
      <c r="E219" s="11" t="str">
        <f>IFERROR(__xludf.DUMMYFUNCTION("""COMPUTED_VALUE"""),"CORPORATE")</f>
        <v>CORPORATE</v>
      </c>
      <c r="F219" s="11" t="str">
        <f>IFERROR(__xludf.DUMMYFUNCTION("""COMPUTED_VALUE"""),"Product Page")</f>
        <v>Product Page</v>
      </c>
      <c r="G219" s="11" t="b">
        <f>IFERROR(__xludf.DUMMYFUNCTION("""COMPUTED_VALUE"""),FALSE)</f>
        <v>0</v>
      </c>
      <c r="H219" s="11"/>
      <c r="I219" s="11">
        <f>IFERROR(__xludf.DUMMYFUNCTION("""COMPUTED_VALUE"""),1.0)</f>
        <v>1</v>
      </c>
      <c r="J219" s="11">
        <f>IFERROR(__xludf.DUMMYFUNCTION("""COMPUTED_VALUE"""),0.0)</f>
        <v>0</v>
      </c>
      <c r="K219" s="11">
        <f>IFERROR(__xludf.DUMMYFUNCTION("""COMPUTED_VALUE"""),0.0)</f>
        <v>0</v>
      </c>
    </row>
    <row r="220" ht="15.75" customHeight="1">
      <c r="A220" s="8" t="str">
        <f>IFERROR(__xludf.DUMMYFUNCTION("""COMPUTED_VALUE"""),"https://www.warroominc.com/services/google-marketing-platform/")</f>
        <v>https://www.warroominc.com/services/google-marketing-platform/</v>
      </c>
      <c r="B220" s="11" t="str">
        <f>IFERROR(__xludf.DUMMYFUNCTION("""COMPUTED_VALUE"""),"Google Marketing Platform Services » Certified GMP Partner")</f>
        <v>Google Marketing Platform Services » Certified GMP Partner</v>
      </c>
      <c r="C220" s="8" t="str">
        <f>IFERROR(__xludf.DUMMYFUNCTION("""COMPUTED_VALUE"""),"warroominc.com")</f>
        <v>warroominc.com</v>
      </c>
      <c r="D220" s="11" t="str">
        <f>IFERROR(__xludf.DUMMYFUNCTION("""COMPUTED_VALUE"""),"PRODUCT_PAGE")</f>
        <v>PRODUCT_PAGE</v>
      </c>
      <c r="E220" s="11" t="str">
        <f>IFERROR(__xludf.DUMMYFUNCTION("""COMPUTED_VALUE"""),"CORPORATE")</f>
        <v>CORPORATE</v>
      </c>
      <c r="F220" s="11" t="str">
        <f>IFERROR(__xludf.DUMMYFUNCTION("""COMPUTED_VALUE"""),"Product Page")</f>
        <v>Product Page</v>
      </c>
      <c r="G220" s="11" t="b">
        <f>IFERROR(__xludf.DUMMYFUNCTION("""COMPUTED_VALUE"""),FALSE)</f>
        <v>0</v>
      </c>
      <c r="H220" s="11"/>
      <c r="I220" s="11">
        <f>IFERROR(__xludf.DUMMYFUNCTION("""COMPUTED_VALUE"""),1.0)</f>
        <v>1</v>
      </c>
      <c r="J220" s="11">
        <f>IFERROR(__xludf.DUMMYFUNCTION("""COMPUTED_VALUE"""),0.0)</f>
        <v>0</v>
      </c>
      <c r="K220" s="11">
        <f>IFERROR(__xludf.DUMMYFUNCTION("""COMPUTED_VALUE"""),1.0)</f>
        <v>1</v>
      </c>
    </row>
    <row r="221" ht="15.75" customHeight="1">
      <c r="A221" s="8" t="str">
        <f>IFERROR(__xludf.DUMMYFUNCTION("""COMPUTED_VALUE"""),"https://www.wearecatalyst.co.uk/geo-agency/")</f>
        <v>https://www.wearecatalyst.co.uk/geo-agency/</v>
      </c>
      <c r="B221" s="11" t="str">
        <f>IFERROR(__xludf.DUMMYFUNCTION("""COMPUTED_VALUE"""),"GEO Agency | AI Search Engines | Catalyst Marketing Agency")</f>
        <v>GEO Agency | AI Search Engines | Catalyst Marketing Agency</v>
      </c>
      <c r="C221" s="8" t="str">
        <f>IFERROR(__xludf.DUMMYFUNCTION("""COMPUTED_VALUE"""),"wearecatalyst.co.uk")</f>
        <v>wearecatalyst.co.uk</v>
      </c>
      <c r="D221" s="11" t="str">
        <f>IFERROR(__xludf.DUMMYFUNCTION("""COMPUTED_VALUE"""),"PRODUCT_PAGE")</f>
        <v>PRODUCT_PAGE</v>
      </c>
      <c r="E221" s="11" t="str">
        <f>IFERROR(__xludf.DUMMYFUNCTION("""COMPUTED_VALUE"""),"CORPORATE")</f>
        <v>CORPORATE</v>
      </c>
      <c r="F221" s="11" t="str">
        <f>IFERROR(__xludf.DUMMYFUNCTION("""COMPUTED_VALUE"""),"Product Page")</f>
        <v>Product Page</v>
      </c>
      <c r="G221" s="11" t="b">
        <f>IFERROR(__xludf.DUMMYFUNCTION("""COMPUTED_VALUE"""),FALSE)</f>
        <v>0</v>
      </c>
      <c r="H221" s="11"/>
      <c r="I221" s="11">
        <f>IFERROR(__xludf.DUMMYFUNCTION("""COMPUTED_VALUE"""),1.0)</f>
        <v>1</v>
      </c>
      <c r="J221" s="11">
        <f>IFERROR(__xludf.DUMMYFUNCTION("""COMPUTED_VALUE"""),0.0)</f>
        <v>0</v>
      </c>
      <c r="K221" s="11">
        <f>IFERROR(__xludf.DUMMYFUNCTION("""COMPUTED_VALUE"""),1.0)</f>
        <v>1</v>
      </c>
    </row>
    <row r="222" ht="15.75" customHeight="1">
      <c r="A222" s="8" t="str">
        <f>IFERROR(__xludf.DUMMYFUNCTION("""COMPUTED_VALUE"""),"https://weventure.de/en/digital-marketing/ai")</f>
        <v>https://weventure.de/en/digital-marketing/ai</v>
      </c>
      <c r="B222" s="11" t="str">
        <f>IFERROR(__xludf.DUMMYFUNCTION("""COMPUTED_VALUE"""),"AI Marketing for Maximum Visibility | WEVENTURE Agency")</f>
        <v>AI Marketing for Maximum Visibility | WEVENTURE Agency</v>
      </c>
      <c r="C222" s="8" t="str">
        <f>IFERROR(__xludf.DUMMYFUNCTION("""COMPUTED_VALUE"""),"weventure.de")</f>
        <v>weventure.de</v>
      </c>
      <c r="D222" s="11" t="str">
        <f>IFERROR(__xludf.DUMMYFUNCTION("""COMPUTED_VALUE"""),"PRODUCT_PAGE")</f>
        <v>PRODUCT_PAGE</v>
      </c>
      <c r="E222" s="11" t="str">
        <f>IFERROR(__xludf.DUMMYFUNCTION("""COMPUTED_VALUE"""),"CORPORATE")</f>
        <v>CORPORATE</v>
      </c>
      <c r="F222" s="11" t="str">
        <f>IFERROR(__xludf.DUMMYFUNCTION("""COMPUTED_VALUE"""),"Product Page")</f>
        <v>Product Page</v>
      </c>
      <c r="G222" s="11" t="b">
        <f>IFERROR(__xludf.DUMMYFUNCTION("""COMPUTED_VALUE"""),FALSE)</f>
        <v>0</v>
      </c>
      <c r="H222" s="11"/>
      <c r="I222" s="11">
        <f>IFERROR(__xludf.DUMMYFUNCTION("""COMPUTED_VALUE"""),1.0)</f>
        <v>1</v>
      </c>
      <c r="J222" s="11">
        <f>IFERROR(__xludf.DUMMYFUNCTION("""COMPUTED_VALUE"""),0.0)</f>
        <v>0</v>
      </c>
      <c r="K222" s="11">
        <f>IFERROR(__xludf.DUMMYFUNCTION("""COMPUTED_VALUE"""),1.0)</f>
        <v>1</v>
      </c>
    </row>
    <row r="223" ht="15.75" customHeight="1">
      <c r="A223" s="8" t="str">
        <f>IFERROR(__xludf.DUMMYFUNCTION("""COMPUTED_VALUE"""),"https://www.woodmark.de/en/data-ai/artificial-intelligence-ai#:~:text=The%20best%20trust%20in%20Woodmark,them%20into%20products%20and%20services.")</f>
        <v>https://www.woodmark.de/en/data-ai/artificial-intelligence-ai#:~:text=The%20best%20trust%20in%20Woodmark,them%20into%20products%20and%20services.</v>
      </c>
      <c r="B223" s="11" t="str">
        <f>IFERROR(__xludf.DUMMYFUNCTION("""COMPUTED_VALUE"""),"AI Consulting - Woodmark Consulting")</f>
        <v>AI Consulting - Woodmark Consulting</v>
      </c>
      <c r="C223" s="8" t="str">
        <f>IFERROR(__xludf.DUMMYFUNCTION("""COMPUTED_VALUE"""),"woodmark.de")</f>
        <v>woodmark.de</v>
      </c>
      <c r="D223" s="11" t="str">
        <f>IFERROR(__xludf.DUMMYFUNCTION("""COMPUTED_VALUE"""),"PRODUCT_PAGE")</f>
        <v>PRODUCT_PAGE</v>
      </c>
      <c r="E223" s="11" t="str">
        <f>IFERROR(__xludf.DUMMYFUNCTION("""COMPUTED_VALUE"""),"CORPORATE")</f>
        <v>CORPORATE</v>
      </c>
      <c r="F223" s="11" t="str">
        <f>IFERROR(__xludf.DUMMYFUNCTION("""COMPUTED_VALUE"""),"Product Page")</f>
        <v>Product Page</v>
      </c>
      <c r="G223" s="11" t="b">
        <f>IFERROR(__xludf.DUMMYFUNCTION("""COMPUTED_VALUE"""),FALSE)</f>
        <v>0</v>
      </c>
      <c r="H223" s="11" t="str">
        <f>IFERROR(__xludf.DUMMYFUNCTION("""COMPUTED_VALUE"""),"Pilot")</f>
        <v>Pilot</v>
      </c>
      <c r="I223" s="11">
        <f>IFERROR(__xludf.DUMMYFUNCTION("""COMPUTED_VALUE"""),1.0)</f>
        <v>1</v>
      </c>
      <c r="J223" s="11">
        <f>IFERROR(__xludf.DUMMYFUNCTION("""COMPUTED_VALUE"""),0.0)</f>
        <v>0</v>
      </c>
      <c r="K223" s="11">
        <f>IFERROR(__xludf.DUMMYFUNCTION("""COMPUTED_VALUE"""),1.0)</f>
        <v>1</v>
      </c>
    </row>
    <row r="224" ht="15.75" customHeight="1">
      <c r="A224" s="8" t="str">
        <f>IFERROR(__xludf.DUMMYFUNCTION("""COMPUTED_VALUE"""),"https://www.zemith.com/blogs/best-ai-assistant-app")</f>
        <v>https://www.zemith.com/blogs/best-ai-assistant-app</v>
      </c>
      <c r="B224" s="11" t="str">
        <f>IFERROR(__xludf.DUMMYFUNCTION("""COMPUTED_VALUE"""),"The 12 Best AI Assistant App Choices for 2026 \| Zemith.com")</f>
        <v>The 12 Best AI Assistant App Choices for 2026 \| Zemith.com</v>
      </c>
      <c r="C224" s="8" t="str">
        <f>IFERROR(__xludf.DUMMYFUNCTION("""COMPUTED_VALUE"""),"zemith.com")</f>
        <v>zemith.com</v>
      </c>
      <c r="D224" s="11" t="str">
        <f>IFERROR(__xludf.DUMMYFUNCTION("""COMPUTED_VALUE"""),"PRODUCT_PAGE")</f>
        <v>PRODUCT_PAGE</v>
      </c>
      <c r="E224" s="11" t="str">
        <f>IFERROR(__xludf.DUMMYFUNCTION("""COMPUTED_VALUE"""),"CORPORATE")</f>
        <v>CORPORATE</v>
      </c>
      <c r="F224" s="11" t="str">
        <f>IFERROR(__xludf.DUMMYFUNCTION("""COMPUTED_VALUE"""),"Product Page")</f>
        <v>Product Page</v>
      </c>
      <c r="G224" s="11" t="b">
        <f>IFERROR(__xludf.DUMMYFUNCTION("""COMPUTED_VALUE"""),FALSE)</f>
        <v>0</v>
      </c>
      <c r="H224" s="11" t="str">
        <f>IFERROR(__xludf.DUMMYFUNCTION("""COMPUTED_VALUE"""),"Huge, Capgemini")</f>
        <v>Huge, Capgemini</v>
      </c>
      <c r="I224" s="11">
        <f>IFERROR(__xludf.DUMMYFUNCTION("""COMPUTED_VALUE"""),1.0)</f>
        <v>1</v>
      </c>
      <c r="J224" s="11">
        <f>IFERROR(__xludf.DUMMYFUNCTION("""COMPUTED_VALUE"""),0.0)</f>
        <v>0</v>
      </c>
      <c r="K224" s="11">
        <f>IFERROR(__xludf.DUMMYFUNCTION("""COMPUTED_VALUE"""),1.0)</f>
        <v>1</v>
      </c>
    </row>
    <row r="225" ht="15.75" customHeight="1">
      <c r="A225" s="8" t="str">
        <f>IFERROR(__xludf.DUMMYFUNCTION("""COMPUTED_VALUE"""),"https://www.zweidigital.de/meta-agentur/")</f>
        <v>https://www.zweidigital.de/meta-agentur/</v>
      </c>
      <c r="B225" s="11" t="str">
        <f>IFERROR(__xludf.DUMMYFUNCTION("""COMPUTED_VALUE"""),"Meta Agentur | Meta Business Partner | Performance Ads")</f>
        <v>Meta Agentur | Meta Business Partner | Performance Ads</v>
      </c>
      <c r="C225" s="8" t="str">
        <f>IFERROR(__xludf.DUMMYFUNCTION("""COMPUTED_VALUE"""),"zweidigital.de")</f>
        <v>zweidigital.de</v>
      </c>
      <c r="D225" s="11" t="str">
        <f>IFERROR(__xludf.DUMMYFUNCTION("""COMPUTED_VALUE"""),"PRODUCT_PAGE")</f>
        <v>PRODUCT_PAGE</v>
      </c>
      <c r="E225" s="11" t="str">
        <f>IFERROR(__xludf.DUMMYFUNCTION("""COMPUTED_VALUE"""),"COMPETITOR")</f>
        <v>COMPETITOR</v>
      </c>
      <c r="F225" s="11" t="str">
        <f>IFERROR(__xludf.DUMMYFUNCTION("""COMPUTED_VALUE"""),"Product Page")</f>
        <v>Product Page</v>
      </c>
      <c r="G225" s="11" t="b">
        <f>IFERROR(__xludf.DUMMYFUNCTION("""COMPUTED_VALUE"""),FALSE)</f>
        <v>0</v>
      </c>
      <c r="H225" s="11" t="str">
        <f>IFERROR(__xludf.DUMMYFUNCTION("""COMPUTED_VALUE"""),"ZweiDigital GmbH")</f>
        <v>ZweiDigital GmbH</v>
      </c>
      <c r="I225" s="11">
        <f>IFERROR(__xludf.DUMMYFUNCTION("""COMPUTED_VALUE"""),1.0)</f>
        <v>1</v>
      </c>
      <c r="J225" s="11">
        <f>IFERROR(__xludf.DUMMYFUNCTION("""COMPUTED_VALUE"""),0.0)</f>
        <v>0</v>
      </c>
      <c r="K225" s="11">
        <f>IFERROR(__xludf.DUMMYFUNCTION("""COMPUTED_VALUE"""),0.0)</f>
        <v>0</v>
      </c>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A21"/>
    <hyperlink r:id="rId38" ref="C21"/>
    <hyperlink r:id="rId39" ref="A22"/>
    <hyperlink r:id="rId40" ref="C22"/>
    <hyperlink r:id="rId41" ref="A23"/>
    <hyperlink r:id="rId42" ref="C23"/>
    <hyperlink r:id="rId43" ref="A24"/>
    <hyperlink r:id="rId44" ref="A25"/>
    <hyperlink r:id="rId45" ref="C25"/>
    <hyperlink r:id="rId46" ref="A26"/>
    <hyperlink r:id="rId47" ref="C26"/>
    <hyperlink r:id="rId48" location=":~:text=Predictive%20Modeling%20%26%20Data%20Science%20%E2%80%93%20Utilize,development%20and%20ongoing%20strategic%20insights." ref="A27"/>
    <hyperlink r:id="rId49" ref="C27"/>
    <hyperlink r:id="rId50" ref="A28"/>
    <hyperlink r:id="rId51" ref="C28"/>
    <hyperlink r:id="rId52" ref="A29"/>
    <hyperlink r:id="rId53" ref="C29"/>
    <hyperlink r:id="rId54" ref="A30"/>
    <hyperlink r:id="rId55" ref="C30"/>
    <hyperlink r:id="rId56" ref="A31"/>
    <hyperlink r:id="rId57" ref="C31"/>
    <hyperlink r:id="rId58" ref="A32"/>
    <hyperlink r:id="rId59" ref="A33"/>
    <hyperlink r:id="rId60" ref="A34"/>
    <hyperlink r:id="rId61" ref="C34"/>
    <hyperlink r:id="rId62" ref="A35"/>
    <hyperlink r:id="rId63" ref="C35"/>
    <hyperlink r:id="rId64" ref="A36"/>
    <hyperlink r:id="rId65" ref="C36"/>
    <hyperlink r:id="rId66" ref="A37"/>
    <hyperlink r:id="rId67" ref="C37"/>
    <hyperlink r:id="rId68" ref="A38"/>
    <hyperlink r:id="rId69" ref="C38"/>
    <hyperlink r:id="rId70" ref="A39"/>
    <hyperlink r:id="rId71" ref="C39"/>
    <hyperlink r:id="rId72" ref="A40"/>
    <hyperlink r:id="rId73" ref="C40"/>
    <hyperlink r:id="rId74" ref="A41"/>
    <hyperlink r:id="rId75" ref="C41"/>
    <hyperlink r:id="rId76" location=":~:text=Our%20partnership%20with%20Google%20extends,in%20media%20and%20data%20analysis." ref="A42"/>
    <hyperlink r:id="rId77" ref="C42"/>
    <hyperlink r:id="rId78" ref="A43"/>
    <hyperlink r:id="rId79" ref="C43"/>
    <hyperlink r:id="rId80" ref="A44"/>
    <hyperlink r:id="rId81" ref="C44"/>
    <hyperlink r:id="rId82" ref="A45"/>
    <hyperlink r:id="rId83" ref="C45"/>
    <hyperlink r:id="rId84" ref="A46"/>
    <hyperlink r:id="rId85" ref="A47"/>
    <hyperlink r:id="rId86" ref="C47"/>
    <hyperlink r:id="rId87" ref="A48"/>
    <hyperlink r:id="rId88" ref="C48"/>
    <hyperlink r:id="rId89" ref="A49"/>
    <hyperlink r:id="rId90" ref="C49"/>
    <hyperlink r:id="rId91" ref="A50"/>
    <hyperlink r:id="rId92" ref="C50"/>
    <hyperlink r:id="rId93" ref="A51"/>
    <hyperlink r:id="rId94" ref="C51"/>
    <hyperlink r:id="rId95" ref="A52"/>
    <hyperlink r:id="rId96" ref="C52"/>
    <hyperlink r:id="rId97" ref="A53"/>
    <hyperlink r:id="rId98" ref="C53"/>
    <hyperlink r:id="rId99" ref="A54"/>
    <hyperlink r:id="rId100" ref="C54"/>
    <hyperlink r:id="rId101" ref="A55"/>
    <hyperlink r:id="rId102" ref="C55"/>
    <hyperlink r:id="rId103" ref="A56"/>
    <hyperlink r:id="rId104" ref="C56"/>
    <hyperlink r:id="rId105" ref="A57"/>
    <hyperlink r:id="rId106" ref="C57"/>
    <hyperlink r:id="rId107" ref="A58"/>
    <hyperlink r:id="rId108" ref="C58"/>
    <hyperlink r:id="rId109" ref="A59"/>
    <hyperlink r:id="rId110" ref="C59"/>
    <hyperlink r:id="rId111" ref="A60"/>
    <hyperlink r:id="rId112" ref="C60"/>
    <hyperlink r:id="rId113" ref="A61"/>
    <hyperlink r:id="rId114" ref="C61"/>
    <hyperlink r:id="rId115" ref="A62"/>
    <hyperlink r:id="rId116" ref="C62"/>
    <hyperlink r:id="rId117" ref="A63"/>
    <hyperlink r:id="rId118" ref="A64"/>
    <hyperlink r:id="rId119" ref="C64"/>
    <hyperlink r:id="rId120" ref="A65"/>
    <hyperlink r:id="rId121" ref="C65"/>
    <hyperlink r:id="rId122" ref="A66"/>
    <hyperlink r:id="rId123" ref="C66"/>
    <hyperlink r:id="rId124" ref="A67"/>
    <hyperlink r:id="rId125" ref="C67"/>
    <hyperlink r:id="rId126" ref="A68"/>
    <hyperlink r:id="rId127" ref="C68"/>
    <hyperlink r:id="rId128" ref="A69"/>
    <hyperlink r:id="rId129" ref="C69"/>
    <hyperlink r:id="rId130" ref="A70"/>
    <hyperlink r:id="rId131" ref="C70"/>
    <hyperlink r:id="rId132" ref="A71"/>
    <hyperlink r:id="rId133" ref="C71"/>
    <hyperlink r:id="rId134" ref="A72"/>
    <hyperlink r:id="rId135" ref="C72"/>
    <hyperlink r:id="rId136" ref="A73"/>
    <hyperlink r:id="rId137" ref="C73"/>
    <hyperlink r:id="rId138" ref="A74"/>
    <hyperlink r:id="rId139" ref="C74"/>
    <hyperlink r:id="rId140" ref="A75"/>
    <hyperlink r:id="rId141" ref="C75"/>
    <hyperlink r:id="rId142" ref="A76"/>
    <hyperlink r:id="rId143" ref="C76"/>
    <hyperlink r:id="rId144" ref="A77"/>
    <hyperlink r:id="rId145" ref="C77"/>
    <hyperlink r:id="rId146" ref="A78"/>
    <hyperlink r:id="rId147" ref="C78"/>
    <hyperlink r:id="rId148" ref="A79"/>
    <hyperlink r:id="rId149" ref="C79"/>
    <hyperlink r:id="rId150" ref="A80"/>
    <hyperlink r:id="rId151" ref="C80"/>
    <hyperlink r:id="rId152" ref="A81"/>
    <hyperlink r:id="rId153" ref="C81"/>
    <hyperlink r:id="rId154" ref="A82"/>
    <hyperlink r:id="rId155" ref="C82"/>
    <hyperlink r:id="rId156" ref="A83"/>
    <hyperlink r:id="rId157" ref="C83"/>
    <hyperlink r:id="rId158" ref="A84"/>
    <hyperlink r:id="rId159" ref="C84"/>
    <hyperlink r:id="rId160" ref="A85"/>
    <hyperlink r:id="rId161" ref="C85"/>
    <hyperlink r:id="rId162" ref="A86"/>
    <hyperlink r:id="rId163" ref="C86"/>
    <hyperlink r:id="rId164" ref="A87"/>
    <hyperlink r:id="rId165" ref="C87"/>
    <hyperlink r:id="rId166" ref="A88"/>
    <hyperlink r:id="rId167" ref="C88"/>
    <hyperlink r:id="rId168" ref="A89"/>
    <hyperlink r:id="rId169" ref="C89"/>
    <hyperlink r:id="rId170" ref="A90"/>
    <hyperlink r:id="rId171" ref="C90"/>
    <hyperlink r:id="rId172" ref="A91"/>
    <hyperlink r:id="rId173" ref="C91"/>
    <hyperlink r:id="rId174" ref="A92"/>
    <hyperlink r:id="rId175" ref="C92"/>
    <hyperlink r:id="rId176" ref="A93"/>
    <hyperlink r:id="rId177" ref="C93"/>
    <hyperlink r:id="rId178" ref="A94"/>
    <hyperlink r:id="rId179" ref="C94"/>
    <hyperlink r:id="rId180" ref="A95"/>
    <hyperlink r:id="rId181" ref="C95"/>
    <hyperlink r:id="rId182" ref="A96"/>
    <hyperlink r:id="rId183" ref="C96"/>
    <hyperlink r:id="rId184" ref="A97"/>
    <hyperlink r:id="rId185" ref="C97"/>
    <hyperlink r:id="rId186" ref="A98"/>
    <hyperlink r:id="rId187" ref="C98"/>
    <hyperlink r:id="rId188" ref="A99"/>
    <hyperlink r:id="rId189" ref="C99"/>
    <hyperlink r:id="rId190" ref="A100"/>
    <hyperlink r:id="rId191" ref="C100"/>
    <hyperlink r:id="rId192" ref="A101"/>
    <hyperlink r:id="rId193" ref="C101"/>
    <hyperlink r:id="rId194" ref="A102"/>
    <hyperlink r:id="rId195" ref="C102"/>
    <hyperlink r:id="rId196" ref="A103"/>
    <hyperlink r:id="rId197" ref="C103"/>
    <hyperlink r:id="rId198" ref="A104"/>
    <hyperlink r:id="rId199" ref="C104"/>
    <hyperlink r:id="rId200" ref="A105"/>
    <hyperlink r:id="rId201" ref="C105"/>
    <hyperlink r:id="rId202" ref="A106"/>
    <hyperlink r:id="rId203" ref="C106"/>
    <hyperlink r:id="rId204" ref="A107"/>
    <hyperlink r:id="rId205" ref="A108"/>
    <hyperlink r:id="rId206" ref="C108"/>
    <hyperlink r:id="rId207" ref="A109"/>
    <hyperlink r:id="rId208" ref="C109"/>
    <hyperlink r:id="rId209" ref="A110"/>
    <hyperlink r:id="rId210" ref="C110"/>
    <hyperlink r:id="rId211" ref="A111"/>
    <hyperlink r:id="rId212" ref="C111"/>
    <hyperlink r:id="rId213" ref="A112"/>
    <hyperlink r:id="rId214" ref="C112"/>
    <hyperlink r:id="rId215" ref="A113"/>
    <hyperlink r:id="rId216" ref="C113"/>
    <hyperlink r:id="rId217" ref="A114"/>
    <hyperlink r:id="rId218" ref="C114"/>
    <hyperlink r:id="rId219" ref="A115"/>
    <hyperlink r:id="rId220" ref="C115"/>
    <hyperlink r:id="rId221" ref="A116"/>
    <hyperlink r:id="rId222" ref="C116"/>
    <hyperlink r:id="rId223" ref="A117"/>
    <hyperlink r:id="rId224" ref="C117"/>
    <hyperlink r:id="rId225" ref="A118"/>
    <hyperlink r:id="rId226" ref="A119"/>
    <hyperlink r:id="rId227" ref="A120"/>
    <hyperlink r:id="rId228" ref="A121"/>
    <hyperlink r:id="rId229" ref="A122"/>
    <hyperlink r:id="rId230" ref="A123"/>
    <hyperlink r:id="rId231" ref="C123"/>
    <hyperlink r:id="rId232" ref="A124"/>
    <hyperlink r:id="rId233" ref="C124"/>
    <hyperlink r:id="rId234" ref="A125"/>
    <hyperlink r:id="rId235" ref="A126"/>
    <hyperlink r:id="rId236" ref="C126"/>
    <hyperlink r:id="rId237" ref="A127"/>
    <hyperlink r:id="rId238" ref="C127"/>
    <hyperlink r:id="rId239" ref="A128"/>
    <hyperlink r:id="rId240" ref="C128"/>
    <hyperlink r:id="rId241" ref="A129"/>
    <hyperlink r:id="rId242" ref="C129"/>
    <hyperlink r:id="rId243" ref="A130"/>
    <hyperlink r:id="rId244" ref="C130"/>
    <hyperlink r:id="rId245" ref="A131"/>
    <hyperlink r:id="rId246" ref="C131"/>
    <hyperlink r:id="rId247" ref="A132"/>
    <hyperlink r:id="rId248" ref="C132"/>
    <hyperlink r:id="rId249" ref="A133"/>
    <hyperlink r:id="rId250" ref="C133"/>
    <hyperlink r:id="rId251" ref="A134"/>
    <hyperlink r:id="rId252" ref="A135"/>
    <hyperlink r:id="rId253" ref="C135"/>
    <hyperlink r:id="rId254" ref="A136"/>
    <hyperlink r:id="rId255" ref="C136"/>
    <hyperlink r:id="rId256" ref="A137"/>
    <hyperlink r:id="rId257" ref="C137"/>
    <hyperlink r:id="rId258" ref="A138"/>
    <hyperlink r:id="rId259" ref="C138"/>
    <hyperlink r:id="rId260" ref="A139"/>
    <hyperlink r:id="rId261" ref="C139"/>
    <hyperlink r:id="rId262" ref="A140"/>
    <hyperlink r:id="rId263" ref="C140"/>
    <hyperlink r:id="rId264" ref="A141"/>
    <hyperlink r:id="rId265" ref="C141"/>
    <hyperlink r:id="rId266" ref="A142"/>
    <hyperlink r:id="rId267" ref="C142"/>
    <hyperlink r:id="rId268" ref="A143"/>
    <hyperlink r:id="rId269" ref="C143"/>
    <hyperlink r:id="rId270" ref="A144"/>
    <hyperlink r:id="rId271" ref="C144"/>
    <hyperlink r:id="rId272" ref="A145"/>
    <hyperlink r:id="rId273" ref="C145"/>
    <hyperlink r:id="rId274" ref="A146"/>
    <hyperlink r:id="rId275" ref="C146"/>
    <hyperlink r:id="rId276" ref="A147"/>
    <hyperlink r:id="rId277" ref="C147"/>
    <hyperlink r:id="rId278" ref="A148"/>
    <hyperlink r:id="rId279" ref="C148"/>
    <hyperlink r:id="rId280" ref="A149"/>
    <hyperlink r:id="rId281" ref="C149"/>
    <hyperlink r:id="rId282" ref="A150"/>
    <hyperlink r:id="rId283" ref="C150"/>
    <hyperlink r:id="rId284" ref="A151"/>
    <hyperlink r:id="rId285" ref="C151"/>
    <hyperlink r:id="rId286" ref="A152"/>
    <hyperlink r:id="rId287" ref="C152"/>
    <hyperlink r:id="rId288" ref="A153"/>
    <hyperlink r:id="rId289" ref="C153"/>
    <hyperlink r:id="rId290" ref="A154"/>
    <hyperlink r:id="rId291" ref="C154"/>
    <hyperlink r:id="rId292" ref="A155"/>
    <hyperlink r:id="rId293" ref="A156"/>
    <hyperlink r:id="rId294" ref="C156"/>
    <hyperlink r:id="rId295" ref="A157"/>
    <hyperlink r:id="rId296" ref="C157"/>
    <hyperlink r:id="rId297" ref="A158"/>
    <hyperlink r:id="rId298" ref="C158"/>
    <hyperlink r:id="rId299" ref="A159"/>
    <hyperlink r:id="rId300" ref="C159"/>
    <hyperlink r:id="rId301" ref="A160"/>
    <hyperlink r:id="rId302" ref="C160"/>
    <hyperlink r:id="rId303" ref="A161"/>
    <hyperlink r:id="rId304" ref="C161"/>
    <hyperlink r:id="rId305" ref="A162"/>
    <hyperlink r:id="rId306" ref="C162"/>
    <hyperlink r:id="rId307" ref="A163"/>
    <hyperlink r:id="rId308" ref="C163"/>
    <hyperlink r:id="rId309" ref="A164"/>
    <hyperlink r:id="rId310" ref="C164"/>
    <hyperlink r:id="rId311" ref="A165"/>
    <hyperlink r:id="rId312" ref="A166"/>
    <hyperlink r:id="rId313" ref="A167"/>
    <hyperlink r:id="rId314" ref="C167"/>
    <hyperlink r:id="rId315" ref="A168"/>
    <hyperlink r:id="rId316" ref="C168"/>
    <hyperlink r:id="rId317" ref="A169"/>
    <hyperlink r:id="rId318" ref="C169"/>
    <hyperlink r:id="rId319" ref="A170"/>
    <hyperlink r:id="rId320" ref="C170"/>
    <hyperlink r:id="rId321" ref="A171"/>
    <hyperlink r:id="rId322" ref="A172"/>
    <hyperlink r:id="rId323" ref="C172"/>
    <hyperlink r:id="rId324" ref="A173"/>
    <hyperlink r:id="rId325" ref="C173"/>
    <hyperlink r:id="rId326" ref="A174"/>
    <hyperlink r:id="rId327" ref="C174"/>
    <hyperlink r:id="rId328" ref="A175"/>
    <hyperlink r:id="rId329" ref="C175"/>
    <hyperlink r:id="rId330" ref="A176"/>
    <hyperlink r:id="rId331" ref="C176"/>
    <hyperlink r:id="rId332" ref="A177"/>
    <hyperlink r:id="rId333" ref="C177"/>
    <hyperlink r:id="rId334" ref="A178"/>
    <hyperlink r:id="rId335" ref="C178"/>
    <hyperlink r:id="rId336" ref="A179"/>
    <hyperlink r:id="rId337" ref="C179"/>
    <hyperlink r:id="rId338" ref="A180"/>
    <hyperlink r:id="rId339" ref="A181"/>
    <hyperlink r:id="rId340" ref="C181"/>
    <hyperlink r:id="rId341" ref="A182"/>
    <hyperlink r:id="rId342" ref="C182"/>
    <hyperlink r:id="rId343" ref="A183"/>
    <hyperlink r:id="rId344" ref="C183"/>
    <hyperlink r:id="rId345" ref="A184"/>
    <hyperlink r:id="rId346" ref="A185"/>
    <hyperlink r:id="rId347" ref="A186"/>
    <hyperlink r:id="rId348" ref="C186"/>
    <hyperlink r:id="rId349" ref="A187"/>
    <hyperlink r:id="rId350" ref="C187"/>
    <hyperlink r:id="rId351" ref="A188"/>
    <hyperlink r:id="rId352" ref="C188"/>
    <hyperlink r:id="rId353" ref="A189"/>
    <hyperlink r:id="rId354" ref="C189"/>
    <hyperlink r:id="rId355" ref="A190"/>
    <hyperlink r:id="rId356" ref="A191"/>
    <hyperlink r:id="rId357" ref="C191"/>
    <hyperlink r:id="rId358" ref="A192"/>
    <hyperlink r:id="rId359" ref="C192"/>
    <hyperlink r:id="rId360" ref="A193"/>
    <hyperlink r:id="rId361" ref="C193"/>
    <hyperlink r:id="rId362" ref="A194"/>
    <hyperlink r:id="rId363" ref="C194"/>
    <hyperlink r:id="rId364" ref="A195"/>
    <hyperlink r:id="rId365" ref="C195"/>
    <hyperlink r:id="rId366" ref="A196"/>
    <hyperlink r:id="rId367" ref="C196"/>
    <hyperlink r:id="rId368" ref="A197"/>
    <hyperlink r:id="rId369" ref="C197"/>
    <hyperlink r:id="rId370" ref="A198"/>
    <hyperlink r:id="rId371" ref="C198"/>
    <hyperlink r:id="rId372" ref="A199"/>
    <hyperlink r:id="rId373" ref="C199"/>
    <hyperlink r:id="rId374" ref="A200"/>
    <hyperlink r:id="rId375" ref="C200"/>
    <hyperlink r:id="rId376" ref="A201"/>
    <hyperlink r:id="rId377" ref="C201"/>
    <hyperlink r:id="rId378" location=":~:text=We%20work%20across%20GA4%2C%20campaign,channel%20contribution%20and%20commercial%20value." ref="A202"/>
    <hyperlink r:id="rId379" ref="A203"/>
    <hyperlink r:id="rId380" ref="C203"/>
    <hyperlink r:id="rId381" ref="A204"/>
    <hyperlink r:id="rId382" ref="C204"/>
    <hyperlink r:id="rId383" ref="A205"/>
    <hyperlink r:id="rId384" ref="C205"/>
    <hyperlink r:id="rId385" ref="A206"/>
    <hyperlink r:id="rId386" ref="C206"/>
    <hyperlink r:id="rId387" ref="A207"/>
    <hyperlink r:id="rId388" ref="C207"/>
    <hyperlink r:id="rId389" ref="A208"/>
    <hyperlink r:id="rId390" ref="C208"/>
    <hyperlink r:id="rId391" ref="A209"/>
    <hyperlink r:id="rId392" ref="C209"/>
    <hyperlink r:id="rId393" ref="A210"/>
    <hyperlink r:id="rId394" ref="C210"/>
    <hyperlink r:id="rId395" ref="A211"/>
    <hyperlink r:id="rId396" ref="C211"/>
    <hyperlink r:id="rId397" ref="A212"/>
    <hyperlink r:id="rId398" ref="C212"/>
    <hyperlink r:id="rId399" ref="A213"/>
    <hyperlink r:id="rId400" ref="C213"/>
    <hyperlink r:id="rId401" ref="A214"/>
    <hyperlink r:id="rId402" ref="C214"/>
    <hyperlink r:id="rId403" ref="A215"/>
    <hyperlink r:id="rId404" ref="C215"/>
    <hyperlink r:id="rId405" ref="A216"/>
    <hyperlink r:id="rId406" ref="C216"/>
    <hyperlink r:id="rId407" ref="A217"/>
    <hyperlink r:id="rId408" ref="C217"/>
    <hyperlink r:id="rId409" ref="A218"/>
    <hyperlink r:id="rId410" ref="C218"/>
    <hyperlink r:id="rId411" ref="A219"/>
    <hyperlink r:id="rId412" ref="C219"/>
    <hyperlink r:id="rId413" ref="A220"/>
    <hyperlink r:id="rId414" ref="C220"/>
    <hyperlink r:id="rId415" ref="A221"/>
    <hyperlink r:id="rId416" ref="C221"/>
    <hyperlink r:id="rId417" ref="A222"/>
    <hyperlink r:id="rId418" ref="C222"/>
    <hyperlink r:id="rId419" location=":~:text=The%20best%20trust%20in%20Woodmark,them%20into%20products%20and%20services." ref="A223"/>
    <hyperlink r:id="rId420" ref="C223"/>
    <hyperlink r:id="rId421" ref="A224"/>
    <hyperlink r:id="rId422" ref="C224"/>
    <hyperlink r:id="rId423" ref="A225"/>
    <hyperlink r:id="rId424" ref="C225"/>
  </hyperlinks>
  <drawing r:id="rId42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1" t="s">
        <v>0</v>
      </c>
      <c r="B1" s="1" t="s">
        <v>2</v>
      </c>
      <c r="C1" s="1" t="s">
        <v>1</v>
      </c>
      <c r="D1" s="1" t="s">
        <v>3</v>
      </c>
      <c r="E1" s="1" t="s">
        <v>5</v>
      </c>
      <c r="F1" s="1" t="s">
        <v>4</v>
      </c>
      <c r="G1" s="1" t="s">
        <v>7</v>
      </c>
      <c r="H1" s="1" t="s">
        <v>6</v>
      </c>
      <c r="I1" s="1" t="s">
        <v>8</v>
      </c>
      <c r="J1" s="1" t="s">
        <v>11</v>
      </c>
      <c r="K1" s="3" t="s">
        <v>13</v>
      </c>
      <c r="L1" s="4"/>
      <c r="M1" s="4"/>
      <c r="N1" s="6"/>
      <c r="O1" s="6"/>
      <c r="P1" s="6"/>
      <c r="Q1" s="6"/>
      <c r="R1" s="6"/>
      <c r="S1" s="6"/>
      <c r="T1" s="6"/>
      <c r="U1" s="6"/>
      <c r="V1" s="6"/>
      <c r="W1" s="6"/>
      <c r="X1" s="6"/>
      <c r="Y1" s="6"/>
      <c r="Z1" s="6"/>
    </row>
    <row r="2" ht="15.75" customHeight="1">
      <c r="A2" s="8" t="str">
        <f>IFERROR(__xludf.DUMMYFUNCTION("IFERROR(
  FILTER(
    'PEEC - URLs - All'!A2:K1000,
    LOWER(TRIM(TO_TEXT('PEEC - URLs - All'!D2:D1000)))=""profile""
  ),
  """"
)"),"https://agencies.semrush.com/list/germany/")</f>
        <v>https://agencies.semrush.com/list/germany/</v>
      </c>
      <c r="B2" s="11" t="str">
        <f>IFERROR(__xludf.DUMMYFUNCTION("""COMPUTED_VALUE"""),"Best Digital Marketing Agencies in Germany 2026 | Semrush")</f>
        <v>Best Digital Marketing Agencies in Germany 2026 | Semrush</v>
      </c>
      <c r="C2" s="8" t="str">
        <f>IFERROR(__xludf.DUMMYFUNCTION("""COMPUTED_VALUE"""),"semrush.com")</f>
        <v>semrush.com</v>
      </c>
      <c r="D2" s="11" t="str">
        <f>IFERROR(__xludf.DUMMYFUNCTION("""COMPUTED_VALUE"""),"PROFILE")</f>
        <v>PROFILE</v>
      </c>
      <c r="E2" s="11" t="str">
        <f>IFERROR(__xludf.DUMMYFUNCTION("""COMPUTED_VALUE"""),"CORPORATE")</f>
        <v>CORPORATE</v>
      </c>
      <c r="F2" s="11" t="str">
        <f>IFERROR(__xludf.DUMMYFUNCTION("""COMPUTED_VALUE"""),"Profile")</f>
        <v>Profile</v>
      </c>
      <c r="G2" s="11" t="b">
        <f>IFERROR(__xludf.DUMMYFUNCTION("""COMPUTED_VALUE"""),FALSE)</f>
        <v>0</v>
      </c>
      <c r="H2" s="11" t="str">
        <f>IFERROR(__xludf.DUMMYFUNCTION("""COMPUTED_VALUE"""),"HECHT INS GEFECHT, Baseplus DIGITAL MEDIA GmbH, morefire, Mediaplus Performance, MONSOON, Mediacharge, KlickPiloten")</f>
        <v>HECHT INS GEFECHT, Baseplus DIGITAL MEDIA GmbH, morefire, Mediaplus Performance, MONSOON, Mediacharge, KlickPiloten</v>
      </c>
      <c r="I2" s="11">
        <f>IFERROR(__xludf.DUMMYFUNCTION("""COMPUTED_VALUE"""),92.0)</f>
        <v>92</v>
      </c>
      <c r="J2" s="11">
        <f>IFERROR(__xludf.DUMMYFUNCTION("""COMPUTED_VALUE"""),0.1)</f>
        <v>0.1</v>
      </c>
      <c r="K2" s="11">
        <f>IFERROR(__xludf.DUMMYFUNCTION("""COMPUTED_VALUE"""),0.55)</f>
        <v>0.55</v>
      </c>
    </row>
    <row r="3" ht="15.75" customHeight="1">
      <c r="A3" s="8" t="str">
        <f>IFERROR(__xludf.DUMMYFUNCTION("""COMPUTED_VALUE"""),"https://klickpiloten.de/en/agency/company")</f>
        <v>https://klickpiloten.de/en/agency/company</v>
      </c>
      <c r="B3" s="11" t="str">
        <f>IFERROR(__xludf.DUMMYFUNCTION("""COMPUTED_VALUE"""),"Online Marketing Agency Stuttgart, Hamburg &amp;amp; Berlin | KlickPiloten")</f>
        <v>Online Marketing Agency Stuttgart, Hamburg &amp;amp; Berlin | KlickPiloten</v>
      </c>
      <c r="C3" s="8" t="str">
        <f>IFERROR(__xludf.DUMMYFUNCTION("""COMPUTED_VALUE"""),"klickpiloten.de")</f>
        <v>klickpiloten.de</v>
      </c>
      <c r="D3" s="11" t="str">
        <f>IFERROR(__xludf.DUMMYFUNCTION("""COMPUTED_VALUE"""),"PROFILE")</f>
        <v>PROFILE</v>
      </c>
      <c r="E3" s="11" t="str">
        <f>IFERROR(__xludf.DUMMYFUNCTION("""COMPUTED_VALUE"""),"COMPETITOR")</f>
        <v>COMPETITOR</v>
      </c>
      <c r="F3" s="11" t="str">
        <f>IFERROR(__xludf.DUMMYFUNCTION("""COMPUTED_VALUE"""),"Profile")</f>
        <v>Profile</v>
      </c>
      <c r="G3" s="11" t="b">
        <f>IFERROR(__xludf.DUMMYFUNCTION("""COMPUTED_VALUE"""),FALSE)</f>
        <v>0</v>
      </c>
      <c r="H3" s="11" t="str">
        <f>IFERROR(__xludf.DUMMYFUNCTION("""COMPUTED_VALUE"""),"KlickPiloten")</f>
        <v>KlickPiloten</v>
      </c>
      <c r="I3" s="11">
        <f>IFERROR(__xludf.DUMMYFUNCTION("""COMPUTED_VALUE"""),38.0)</f>
        <v>38</v>
      </c>
      <c r="J3" s="11">
        <f>IFERROR(__xludf.DUMMYFUNCTION("""COMPUTED_VALUE"""),0.04)</f>
        <v>0.04</v>
      </c>
      <c r="K3" s="11">
        <f>IFERROR(__xludf.DUMMYFUNCTION("""COMPUTED_VALUE"""),1.42)</f>
        <v>1.42</v>
      </c>
    </row>
    <row r="4" ht="15.75" customHeight="1">
      <c r="A4" s="8" t="str">
        <f>IFERROR(__xludf.DUMMYFUNCTION("""COMPUTED_VALUE"""),"https://www.42digital.de/en/google-marketing-platform-partner-42digital/")</f>
        <v>https://www.42digital.de/en/google-marketing-platform-partner-42digital/</v>
      </c>
      <c r="B4" s="11" t="str">
        <f>IFERROR(__xludf.DUMMYFUNCTION("""COMPUTED_VALUE"""),"Google Marketing Platform Partner | 42DIGITAL")</f>
        <v>Google Marketing Platform Partner | 42DIGITAL</v>
      </c>
      <c r="C4" s="8" t="str">
        <f>IFERROR(__xludf.DUMMYFUNCTION("""COMPUTED_VALUE"""),"42digital.de")</f>
        <v>42digital.de</v>
      </c>
      <c r="D4" s="11" t="str">
        <f>IFERROR(__xludf.DUMMYFUNCTION("""COMPUTED_VALUE"""),"PROFILE")</f>
        <v>PROFILE</v>
      </c>
      <c r="E4" s="11" t="str">
        <f>IFERROR(__xludf.DUMMYFUNCTION("""COMPUTED_VALUE"""),"COMPETITOR")</f>
        <v>COMPETITOR</v>
      </c>
      <c r="F4" s="11" t="str">
        <f>IFERROR(__xludf.DUMMYFUNCTION("""COMPUTED_VALUE"""),"Profile")</f>
        <v>Profile</v>
      </c>
      <c r="G4" s="11" t="b">
        <f>IFERROR(__xludf.DUMMYFUNCTION("""COMPUTED_VALUE"""),FALSE)</f>
        <v>0</v>
      </c>
      <c r="H4" s="11" t="str">
        <f>IFERROR(__xludf.DUMMYFUNCTION("""COMPUTED_VALUE"""),"42DIGITAL")</f>
        <v>42DIGITAL</v>
      </c>
      <c r="I4" s="11">
        <f>IFERROR(__xludf.DUMMYFUNCTION("""COMPUTED_VALUE"""),30.0)</f>
        <v>30</v>
      </c>
      <c r="J4" s="11">
        <f>IFERROR(__xludf.DUMMYFUNCTION("""COMPUTED_VALUE"""),0.03)</f>
        <v>0.03</v>
      </c>
      <c r="K4" s="11">
        <f>IFERROR(__xludf.DUMMYFUNCTION("""COMPUTED_VALUE"""),1.43)</f>
        <v>1.43</v>
      </c>
    </row>
    <row r="5" ht="15.75" customHeight="1">
      <c r="A5" s="8" t="str">
        <f>IFERROR(__xludf.DUMMYFUNCTION("""COMPUTED_VALUE"""),"https://digitalagencynetwork.com/agencies/berlin/")</f>
        <v>https://digitalagencynetwork.com/agencies/berlin/</v>
      </c>
      <c r="B5" s="11" t="str">
        <f>IFERROR(__xludf.DUMMYFUNCTION("""COMPUTED_VALUE"""),"Top Digital Marketing Agencies in Berlin, Germany (2026)")</f>
        <v>Top Digital Marketing Agencies in Berlin, Germany (2026)</v>
      </c>
      <c r="C5" s="8" t="str">
        <f>IFERROR(__xludf.DUMMYFUNCTION("""COMPUTED_VALUE"""),"digitalagencynetwork.com")</f>
        <v>digitalagencynetwork.com</v>
      </c>
      <c r="D5" s="11" t="str">
        <f>IFERROR(__xludf.DUMMYFUNCTION("""COMPUTED_VALUE"""),"PROFILE")</f>
        <v>PROFILE</v>
      </c>
      <c r="E5" s="11" t="str">
        <f>IFERROR(__xludf.DUMMYFUNCTION("""COMPUTED_VALUE"""),"REFERENCE")</f>
        <v>REFERENCE</v>
      </c>
      <c r="F5" s="11" t="str">
        <f>IFERROR(__xludf.DUMMYFUNCTION("""COMPUTED_VALUE"""),"Profile")</f>
        <v>Profile</v>
      </c>
      <c r="G5" s="11" t="b">
        <f>IFERROR(__xludf.DUMMYFUNCTION("""COMPUTED_VALUE"""),FALSE)</f>
        <v>0</v>
      </c>
      <c r="H5" s="11" t="str">
        <f>IFERROR(__xludf.DUMMYFUNCTION("""COMPUTED_VALUE"""),"MONSOON, PANORAMA3000, HY.AM STUDIOS")</f>
        <v>MONSOON, PANORAMA3000, HY.AM STUDIOS</v>
      </c>
      <c r="I5" s="11">
        <f>IFERROR(__xludf.DUMMYFUNCTION("""COMPUTED_VALUE"""),24.0)</f>
        <v>24</v>
      </c>
      <c r="J5" s="11">
        <f>IFERROR(__xludf.DUMMYFUNCTION("""COMPUTED_VALUE"""),0.02)</f>
        <v>0.02</v>
      </c>
      <c r="K5" s="11">
        <f>IFERROR(__xludf.DUMMYFUNCTION("""COMPUTED_VALUE"""),0.33)</f>
        <v>0.33</v>
      </c>
    </row>
    <row r="6" ht="15.75" customHeight="1">
      <c r="A6" s="8" t="str">
        <f>IFERROR(__xludf.DUMMYFUNCTION("""COMPUTED_VALUE"""),"https://feedbax.ai/performance-marketing/germany")</f>
        <v>https://feedbax.ai/performance-marketing/germany</v>
      </c>
      <c r="B6" s="11" t="str">
        <f>IFERROR(__xludf.DUMMYFUNCTION("""COMPUTED_VALUE"""),"Top 20 Performance Marketing Agencies in Germany - 2026 Reviews")</f>
        <v>Top 20 Performance Marketing Agencies in Germany - 2026 Reviews</v>
      </c>
      <c r="C6" s="8" t="str">
        <f>IFERROR(__xludf.DUMMYFUNCTION("""COMPUTED_VALUE"""),"feedbax.ai")</f>
        <v>feedbax.ai</v>
      </c>
      <c r="D6" s="11" t="str">
        <f>IFERROR(__xludf.DUMMYFUNCTION("""COMPUTED_VALUE"""),"PROFILE")</f>
        <v>PROFILE</v>
      </c>
      <c r="E6" s="11" t="str">
        <f>IFERROR(__xludf.DUMMYFUNCTION("""COMPUTED_VALUE"""),"UGC")</f>
        <v>UGC</v>
      </c>
      <c r="F6" s="11" t="str">
        <f>IFERROR(__xludf.DUMMYFUNCTION("""COMPUTED_VALUE"""),"Profile")</f>
        <v>Profile</v>
      </c>
      <c r="G6" s="11" t="b">
        <f>IFERROR(__xludf.DUMMYFUNCTION("""COMPUTED_VALUE"""),FALSE)</f>
        <v>0</v>
      </c>
      <c r="H6" s="11" t="str">
        <f>IFERROR(__xludf.DUMMYFUNCTION("""COMPUTED_VALUE"""),"PANORAMA3000, KlickPiloten, Mediacharge, Smarketer, DREIKON, Suchhelden")</f>
        <v>PANORAMA3000, KlickPiloten, Mediacharge, Smarketer, DREIKON, Suchhelden</v>
      </c>
      <c r="I6" s="11">
        <f>IFERROR(__xludf.DUMMYFUNCTION("""COMPUTED_VALUE"""),24.0)</f>
        <v>24</v>
      </c>
      <c r="J6" s="11">
        <f>IFERROR(__xludf.DUMMYFUNCTION("""COMPUTED_VALUE"""),0.02)</f>
        <v>0.02</v>
      </c>
      <c r="K6" s="11">
        <f>IFERROR(__xludf.DUMMYFUNCTION("""COMPUTED_VALUE"""),0.54)</f>
        <v>0.54</v>
      </c>
    </row>
    <row r="7" ht="15.75" customHeight="1">
      <c r="A7" s="8" t="str">
        <f>IFERROR(__xludf.DUMMYFUNCTION("""COMPUTED_VALUE"""),"https://techbehemoths.com/companies/google-marketing-platform/germany")</f>
        <v>https://techbehemoths.com/companies/google-marketing-platform/germany</v>
      </c>
      <c r="B7" s="11" t="str">
        <f>IFERROR(__xludf.DUMMYFUNCTION("""COMPUTED_VALUE"""),"Top 20+ Google Marketing Platform Companies in Germany (2026) - TechBehemoths")</f>
        <v>Top 20+ Google Marketing Platform Companies in Germany (2026) - TechBehemoths</v>
      </c>
      <c r="C7" s="8" t="str">
        <f>IFERROR(__xludf.DUMMYFUNCTION("""COMPUTED_VALUE"""),"techbehemoths.com")</f>
        <v>techbehemoths.com</v>
      </c>
      <c r="D7" s="11" t="str">
        <f>IFERROR(__xludf.DUMMYFUNCTION("""COMPUTED_VALUE"""),"PROFILE")</f>
        <v>PROFILE</v>
      </c>
      <c r="E7" s="11" t="str">
        <f>IFERROR(__xludf.DUMMYFUNCTION("""COMPUTED_VALUE"""),"REFERENCE")</f>
        <v>REFERENCE</v>
      </c>
      <c r="F7" s="11" t="str">
        <f>IFERROR(__xludf.DUMMYFUNCTION("""COMPUTED_VALUE"""),"Profile")</f>
        <v>Profile</v>
      </c>
      <c r="G7" s="11" t="b">
        <f>IFERROR(__xludf.DUMMYFUNCTION("""COMPUTED_VALUE"""),FALSE)</f>
        <v>0</v>
      </c>
      <c r="H7" s="11" t="str">
        <f>IFERROR(__xludf.DUMMYFUNCTION("""COMPUTED_VALUE"""),"Peak Ace, Huge")</f>
        <v>Peak Ace, Huge</v>
      </c>
      <c r="I7" s="11">
        <f>IFERROR(__xludf.DUMMYFUNCTION("""COMPUTED_VALUE"""),24.0)</f>
        <v>24</v>
      </c>
      <c r="J7" s="11">
        <f>IFERROR(__xludf.DUMMYFUNCTION("""COMPUTED_VALUE"""),0.02)</f>
        <v>0.02</v>
      </c>
      <c r="K7" s="11">
        <f>IFERROR(__xludf.DUMMYFUNCTION("""COMPUTED_VALUE"""),0.29)</f>
        <v>0.29</v>
      </c>
    </row>
    <row r="8" ht="15.75" customHeight="1">
      <c r="A8" s="8" t="str">
        <f>IFERROR(__xludf.DUMMYFUNCTION("""COMPUTED_VALUE"""),"https://techbehemoths.com/companies/media-planning-buying/germany")</f>
        <v>https://techbehemoths.com/companies/media-planning-buying/germany</v>
      </c>
      <c r="B8" s="11" t="str">
        <f>IFERROR(__xludf.DUMMYFUNCTION("""COMPUTED_VALUE"""),"Top 20+ Media Planning &amp;amp; Buying Agencies in Germany (2026) - TechBehemoths")</f>
        <v>Top 20+ Media Planning &amp;amp; Buying Agencies in Germany (2026) - TechBehemoths</v>
      </c>
      <c r="C8" s="8" t="str">
        <f>IFERROR(__xludf.DUMMYFUNCTION("""COMPUTED_VALUE"""),"techbehemoths.com")</f>
        <v>techbehemoths.com</v>
      </c>
      <c r="D8" s="11" t="str">
        <f>IFERROR(__xludf.DUMMYFUNCTION("""COMPUTED_VALUE"""),"PROFILE")</f>
        <v>PROFILE</v>
      </c>
      <c r="E8" s="11" t="str">
        <f>IFERROR(__xludf.DUMMYFUNCTION("""COMPUTED_VALUE"""),"REFERENCE")</f>
        <v>REFERENCE</v>
      </c>
      <c r="F8" s="11" t="str">
        <f>IFERROR(__xludf.DUMMYFUNCTION("""COMPUTED_VALUE"""),"Profile")</f>
        <v>Profile</v>
      </c>
      <c r="G8" s="11" t="b">
        <f>IFERROR(__xludf.DUMMYFUNCTION("""COMPUTED_VALUE"""),FALSE)</f>
        <v>0</v>
      </c>
      <c r="H8" s="11" t="str">
        <f>IFERROR(__xludf.DUMMYFUNCTION("""COMPUTED_VALUE"""),"Admiral Media, Pilot, Huge")</f>
        <v>Admiral Media, Pilot, Huge</v>
      </c>
      <c r="I8" s="11">
        <f>IFERROR(__xludf.DUMMYFUNCTION("""COMPUTED_VALUE"""),23.0)</f>
        <v>23</v>
      </c>
      <c r="J8" s="11">
        <f>IFERROR(__xludf.DUMMYFUNCTION("""COMPUTED_VALUE"""),0.02)</f>
        <v>0.02</v>
      </c>
      <c r="K8" s="11">
        <f>IFERROR(__xludf.DUMMYFUNCTION("""COMPUTED_VALUE"""),0.48)</f>
        <v>0.48</v>
      </c>
    </row>
    <row r="9" ht="15.75" customHeight="1">
      <c r="A9" s="8" t="str">
        <f>IFERROR(__xludf.DUMMYFUNCTION("""COMPUTED_VALUE"""),"https://www.geoagenturen.de/directory")</f>
        <v>https://www.geoagenturen.de/directory</v>
      </c>
      <c r="B9" s="11" t="str">
        <f>IFERROR(__xludf.DUMMYFUNCTION("""COMPUTED_VALUE"""),"GEO Agentur finden: 100+ Anbieter im Vergleich [2026] | Engine Native")</f>
        <v>GEO Agentur finden: 100+ Anbieter im Vergleich [2026] | Engine Native</v>
      </c>
      <c r="C9" s="8" t="str">
        <f>IFERROR(__xludf.DUMMYFUNCTION("""COMPUTED_VALUE"""),"geoagenturen.de")</f>
        <v>geoagenturen.de</v>
      </c>
      <c r="D9" s="11" t="str">
        <f>IFERROR(__xludf.DUMMYFUNCTION("""COMPUTED_VALUE"""),"PROFILE")</f>
        <v>PROFILE</v>
      </c>
      <c r="E9" s="11" t="str">
        <f>IFERROR(__xludf.DUMMYFUNCTION("""COMPUTED_VALUE"""),"REFERENCE")</f>
        <v>REFERENCE</v>
      </c>
      <c r="F9" s="11" t="str">
        <f>IFERROR(__xludf.DUMMYFUNCTION("""COMPUTED_VALUE"""),"Profile")</f>
        <v>Profile</v>
      </c>
      <c r="G9" s="11" t="b">
        <f>IFERROR(__xludf.DUMMYFUNCTION("""COMPUTED_VALUE"""),FALSE)</f>
        <v>0</v>
      </c>
      <c r="H9" s="11" t="str">
        <f>IFERROR(__xludf.DUMMYFUNCTION("""COMPUTED_VALUE"""),"Engine Native")</f>
        <v>Engine Native</v>
      </c>
      <c r="I9" s="11">
        <f>IFERROR(__xludf.DUMMYFUNCTION("""COMPUTED_VALUE"""),18.0)</f>
        <v>18</v>
      </c>
      <c r="J9" s="11">
        <f>IFERROR(__xludf.DUMMYFUNCTION("""COMPUTED_VALUE"""),0.02)</f>
        <v>0.02</v>
      </c>
      <c r="K9" s="11">
        <f>IFERROR(__xludf.DUMMYFUNCTION("""COMPUTED_VALUE"""),3.17)</f>
        <v>3.17</v>
      </c>
    </row>
    <row r="10" ht="15.75" customHeight="1">
      <c r="A10" s="8" t="str">
        <f>IFERROR(__xludf.DUMMYFUNCTION("""COMPUTED_VALUE"""),"https://performance-marketing-agency-berlin.com/marketing-analytics/berlin")</f>
        <v>https://performance-marketing-agency-berlin.com/marketing-analytics/berlin</v>
      </c>
      <c r="B10" s="11" t="str">
        <f>IFERROR(__xludf.DUMMYFUNCTION("""COMPUTED_VALUE"""),"The best Marketing Analytics Companies in Berlin")</f>
        <v>The best Marketing Analytics Companies in Berlin</v>
      </c>
      <c r="C10" s="8" t="str">
        <f>IFERROR(__xludf.DUMMYFUNCTION("""COMPUTED_VALUE"""),"performance-marketing-agency-berlin.com")</f>
        <v>performance-marketing-agency-berlin.com</v>
      </c>
      <c r="D10" s="11" t="str">
        <f>IFERROR(__xludf.DUMMYFUNCTION("""COMPUTED_VALUE"""),"PROFILE")</f>
        <v>PROFILE</v>
      </c>
      <c r="E10" s="11" t="str">
        <f>IFERROR(__xludf.DUMMYFUNCTION("""COMPUTED_VALUE"""),"CORPORATE")</f>
        <v>CORPORATE</v>
      </c>
      <c r="F10" s="11" t="str">
        <f>IFERROR(__xludf.DUMMYFUNCTION("""COMPUTED_VALUE"""),"Profile")</f>
        <v>Profile</v>
      </c>
      <c r="G10" s="11" t="b">
        <f>IFERROR(__xludf.DUMMYFUNCTION("""COMPUTED_VALUE"""),FALSE)</f>
        <v>0</v>
      </c>
      <c r="H10" s="11" t="str">
        <f>IFERROR(__xludf.DUMMYFUNCTION("""COMPUTED_VALUE"""),"MONSOON, KlickPiloten, lehof, Digital Masters GmbH")</f>
        <v>MONSOON, KlickPiloten, lehof, Digital Masters GmbH</v>
      </c>
      <c r="I10" s="11">
        <f>IFERROR(__xludf.DUMMYFUNCTION("""COMPUTED_VALUE"""),17.0)</f>
        <v>17</v>
      </c>
      <c r="J10" s="11">
        <f>IFERROR(__xludf.DUMMYFUNCTION("""COMPUTED_VALUE"""),0.02)</f>
        <v>0.02</v>
      </c>
      <c r="K10" s="11">
        <f>IFERROR(__xludf.DUMMYFUNCTION("""COMPUTED_VALUE"""),1.71)</f>
        <v>1.71</v>
      </c>
    </row>
    <row r="11" ht="15.75" customHeight="1">
      <c r="A11" s="8" t="str">
        <f>IFERROR(__xludf.DUMMYFUNCTION("""COMPUTED_VALUE"""),"https://feedbax.ai/advertising/germany")</f>
        <v>https://feedbax.ai/advertising/germany</v>
      </c>
      <c r="B11" s="11" t="str">
        <f>IFERROR(__xludf.DUMMYFUNCTION("""COMPUTED_VALUE"""),"Top 20 Advertising Agencies in Germany - 2026 Reviews")</f>
        <v>Top 20 Advertising Agencies in Germany - 2026 Reviews</v>
      </c>
      <c r="C11" s="8" t="str">
        <f>IFERROR(__xludf.DUMMYFUNCTION("""COMPUTED_VALUE"""),"feedbax.ai")</f>
        <v>feedbax.ai</v>
      </c>
      <c r="D11" s="11" t="str">
        <f>IFERROR(__xludf.DUMMYFUNCTION("""COMPUTED_VALUE"""),"PROFILE")</f>
        <v>PROFILE</v>
      </c>
      <c r="E11" s="11" t="str">
        <f>IFERROR(__xludf.DUMMYFUNCTION("""COMPUTED_VALUE"""),"UGC")</f>
        <v>UGC</v>
      </c>
      <c r="F11" s="11" t="str">
        <f>IFERROR(__xludf.DUMMYFUNCTION("""COMPUTED_VALUE"""),"Profile")</f>
        <v>Profile</v>
      </c>
      <c r="G11" s="11" t="b">
        <f>IFERROR(__xludf.DUMMYFUNCTION("""COMPUTED_VALUE"""),FALSE)</f>
        <v>0</v>
      </c>
      <c r="H11" s="11" t="str">
        <f>IFERROR(__xludf.DUMMYFUNCTION("""COMPUTED_VALUE"""),"Smarketer, DREIKON")</f>
        <v>Smarketer, DREIKON</v>
      </c>
      <c r="I11" s="11">
        <f>IFERROR(__xludf.DUMMYFUNCTION("""COMPUTED_VALUE"""),15.0)</f>
        <v>15</v>
      </c>
      <c r="J11" s="11">
        <f>IFERROR(__xludf.DUMMYFUNCTION("""COMPUTED_VALUE"""),0.02)</f>
        <v>0.02</v>
      </c>
      <c r="K11" s="11">
        <f>IFERROR(__xludf.DUMMYFUNCTION("""COMPUTED_VALUE"""),0.93)</f>
        <v>0.93</v>
      </c>
    </row>
    <row r="12" ht="15.75" customHeight="1">
      <c r="A12" s="8" t="str">
        <f>IFERROR(__xludf.DUMMYFUNCTION("""COMPUTED_VALUE"""),"https://feedbax.ai/geo-agencies/germany")</f>
        <v>https://feedbax.ai/geo-agencies/germany</v>
      </c>
      <c r="B12" s="11" t="str">
        <f>IFERROR(__xludf.DUMMYFUNCTION("""COMPUTED_VALUE"""),"Top 20 GEO Agencies in Germany - 2026 Reviews")</f>
        <v>Top 20 GEO Agencies in Germany - 2026 Reviews</v>
      </c>
      <c r="C12" s="8" t="str">
        <f>IFERROR(__xludf.DUMMYFUNCTION("""COMPUTED_VALUE"""),"feedbax.ai")</f>
        <v>feedbax.ai</v>
      </c>
      <c r="D12" s="11" t="str">
        <f>IFERROR(__xludf.DUMMYFUNCTION("""COMPUTED_VALUE"""),"PROFILE")</f>
        <v>PROFILE</v>
      </c>
      <c r="E12" s="11" t="str">
        <f>IFERROR(__xludf.DUMMYFUNCTION("""COMPUTED_VALUE"""),"UGC")</f>
        <v>UGC</v>
      </c>
      <c r="F12" s="11" t="str">
        <f>IFERROR(__xludf.DUMMYFUNCTION("""COMPUTED_VALUE"""),"Profile")</f>
        <v>Profile</v>
      </c>
      <c r="G12" s="11" t="b">
        <f>IFERROR(__xludf.DUMMYFUNCTION("""COMPUTED_VALUE"""),FALSE)</f>
        <v>0</v>
      </c>
      <c r="H12" s="11" t="str">
        <f>IFERROR(__xludf.DUMMYFUNCTION("""COMPUTED_VALUE"""),"DREIKON, HECHT INS GEFECHT")</f>
        <v>DREIKON, HECHT INS GEFECHT</v>
      </c>
      <c r="I12" s="11">
        <f>IFERROR(__xludf.DUMMYFUNCTION("""COMPUTED_VALUE"""),15.0)</f>
        <v>15</v>
      </c>
      <c r="J12" s="11">
        <f>IFERROR(__xludf.DUMMYFUNCTION("""COMPUTED_VALUE"""),0.02)</f>
        <v>0.02</v>
      </c>
      <c r="K12" s="11">
        <f>IFERROR(__xludf.DUMMYFUNCTION("""COMPUTED_VALUE"""),0.33)</f>
        <v>0.33</v>
      </c>
    </row>
    <row r="13" ht="15.75" customHeight="1">
      <c r="A13" s="8" t="str">
        <f>IFERROR(__xludf.DUMMYFUNCTION("""COMPUTED_VALUE"""),"https://www.sortlist.de/s/ai-marketing/deutschland-de")</f>
        <v>https://www.sortlist.de/s/ai-marketing/deutschland-de</v>
      </c>
      <c r="B13" s="11" t="str">
        <f>IFERROR(__xludf.DUMMYFUNCTION("""COMPUTED_VALUE"""),"Unsere 10 Besten AI Marketing Agenturen in Deutschland - 2026 Bewertungen")</f>
        <v>Unsere 10 Besten AI Marketing Agenturen in Deutschland - 2026 Bewertungen</v>
      </c>
      <c r="C13" s="8" t="str">
        <f>IFERROR(__xludf.DUMMYFUNCTION("""COMPUTED_VALUE"""),"sortlist.de")</f>
        <v>sortlist.de</v>
      </c>
      <c r="D13" s="11" t="str">
        <f>IFERROR(__xludf.DUMMYFUNCTION("""COMPUTED_VALUE"""),"PROFILE")</f>
        <v>PROFILE</v>
      </c>
      <c r="E13" s="11" t="str">
        <f>IFERROR(__xludf.DUMMYFUNCTION("""COMPUTED_VALUE"""),"CORPORATE")</f>
        <v>CORPORATE</v>
      </c>
      <c r="F13" s="11" t="str">
        <f>IFERROR(__xludf.DUMMYFUNCTION("""COMPUTED_VALUE"""),"Profile")</f>
        <v>Profile</v>
      </c>
      <c r="G13" s="11" t="b">
        <f>IFERROR(__xludf.DUMMYFUNCTION("""COMPUTED_VALUE"""),FALSE)</f>
        <v>0</v>
      </c>
      <c r="H13" s="11"/>
      <c r="I13" s="11">
        <f>IFERROR(__xludf.DUMMYFUNCTION("""COMPUTED_VALUE"""),15.0)</f>
        <v>15</v>
      </c>
      <c r="J13" s="11">
        <f>IFERROR(__xludf.DUMMYFUNCTION("""COMPUTED_VALUE"""),0.02)</f>
        <v>0.02</v>
      </c>
      <c r="K13" s="11">
        <f>IFERROR(__xludf.DUMMYFUNCTION("""COMPUTED_VALUE"""),2.87)</f>
        <v>2.87</v>
      </c>
    </row>
    <row r="14" ht="15.75" customHeight="1">
      <c r="A14" s="8" t="str">
        <f>IFERROR(__xludf.DUMMYFUNCTION("""COMPUTED_VALUE"""),"https://edisonmoment.com/agency/best/performance-marketing-agency-berlin")</f>
        <v>https://edisonmoment.com/agency/best/performance-marketing-agency-berlin</v>
      </c>
      <c r="B14" s="11" t="str">
        <f>IFERROR(__xludf.DUMMYFUNCTION("""COMPUTED_VALUE"""),"Performance Marketing Agency in Berlin | Edison Moment")</f>
        <v>Performance Marketing Agency in Berlin | Edison Moment</v>
      </c>
      <c r="C14" s="8" t="str">
        <f>IFERROR(__xludf.DUMMYFUNCTION("""COMPUTED_VALUE"""),"edisonmoment.com")</f>
        <v>edisonmoment.com</v>
      </c>
      <c r="D14" s="11" t="str">
        <f>IFERROR(__xludf.DUMMYFUNCTION("""COMPUTED_VALUE"""),"PROFILE")</f>
        <v>PROFILE</v>
      </c>
      <c r="E14" s="11" t="str">
        <f>IFERROR(__xludf.DUMMYFUNCTION("""COMPUTED_VALUE"""),"CORPORATE")</f>
        <v>CORPORATE</v>
      </c>
      <c r="F14" s="11" t="str">
        <f>IFERROR(__xludf.DUMMYFUNCTION("""COMPUTED_VALUE"""),"Profile")</f>
        <v>Profile</v>
      </c>
      <c r="G14" s="11" t="b">
        <f>IFERROR(__xludf.DUMMYFUNCTION("""COMPUTED_VALUE"""),FALSE)</f>
        <v>0</v>
      </c>
      <c r="H14" s="11" t="str">
        <f>IFERROR(__xludf.DUMMYFUNCTION("""COMPUTED_VALUE"""),"Measured")</f>
        <v>Measured</v>
      </c>
      <c r="I14" s="11">
        <f>IFERROR(__xludf.DUMMYFUNCTION("""COMPUTED_VALUE"""),14.0)</f>
        <v>14</v>
      </c>
      <c r="J14" s="11">
        <f>IFERROR(__xludf.DUMMYFUNCTION("""COMPUTED_VALUE"""),0.01)</f>
        <v>0.01</v>
      </c>
      <c r="K14" s="11">
        <f>IFERROR(__xludf.DUMMYFUNCTION("""COMPUTED_VALUE"""),0.71)</f>
        <v>0.71</v>
      </c>
    </row>
    <row r="15" ht="15.75" customHeight="1">
      <c r="A15" s="8" t="str">
        <f>IFERROR(__xludf.DUMMYFUNCTION("""COMPUTED_VALUE"""),"https://themanifest.com/de/creative/agencies")</f>
        <v>https://themanifest.com/de/creative/agencies</v>
      </c>
      <c r="B15" s="11" t="str">
        <f>IFERROR(__xludf.DUMMYFUNCTION("""COMPUTED_VALUE"""),"The Best Creative Companies in Germany - Jul 2026 | The Manifest")</f>
        <v>The Best Creative Companies in Germany - Jul 2026 | The Manifest</v>
      </c>
      <c r="C15" s="8" t="str">
        <f>IFERROR(__xludf.DUMMYFUNCTION("""COMPUTED_VALUE"""),"themanifest.com")</f>
        <v>themanifest.com</v>
      </c>
      <c r="D15" s="11" t="str">
        <f>IFERROR(__xludf.DUMMYFUNCTION("""COMPUTED_VALUE"""),"PROFILE")</f>
        <v>PROFILE</v>
      </c>
      <c r="E15" s="11" t="str">
        <f>IFERROR(__xludf.DUMMYFUNCTION("""COMPUTED_VALUE"""),"REFERENCE")</f>
        <v>REFERENCE</v>
      </c>
      <c r="F15" s="11" t="str">
        <f>IFERROR(__xludf.DUMMYFUNCTION("""COMPUTED_VALUE"""),"Profile")</f>
        <v>Profile</v>
      </c>
      <c r="G15" s="11" t="b">
        <f>IFERROR(__xludf.DUMMYFUNCTION("""COMPUTED_VALUE"""),FALSE)</f>
        <v>0</v>
      </c>
      <c r="H15" s="11" t="str">
        <f>IFERROR(__xludf.DUMMYFUNCTION("""COMPUTED_VALUE"""),"PANORAMA3000, Digitalyze, morefire")</f>
        <v>PANORAMA3000, Digitalyze, morefire</v>
      </c>
      <c r="I15" s="11">
        <f>IFERROR(__xludf.DUMMYFUNCTION("""COMPUTED_VALUE"""),14.0)</f>
        <v>14</v>
      </c>
      <c r="J15" s="11">
        <f>IFERROR(__xludf.DUMMYFUNCTION("""COMPUTED_VALUE"""),0.01)</f>
        <v>0.01</v>
      </c>
      <c r="K15" s="11">
        <f>IFERROR(__xludf.DUMMYFUNCTION("""COMPUTED_VALUE"""),0.0)</f>
        <v>0</v>
      </c>
    </row>
    <row r="16" ht="15.75" customHeight="1">
      <c r="A16" s="8" t="str">
        <f>IFERROR(__xludf.DUMMYFUNCTION("""COMPUTED_VALUE"""),"https://edisonmoment.com/agency/best/performance-marketing-agency-germany")</f>
        <v>https://edisonmoment.com/agency/best/performance-marketing-agency-germany</v>
      </c>
      <c r="B16" s="11" t="str">
        <f>IFERROR(__xludf.DUMMYFUNCTION("""COMPUTED_VALUE"""),"Performance Marketing Agency in Germany | Edison Moment")</f>
        <v>Performance Marketing Agency in Germany | Edison Moment</v>
      </c>
      <c r="C16" s="8" t="str">
        <f>IFERROR(__xludf.DUMMYFUNCTION("""COMPUTED_VALUE"""),"edisonmoment.com")</f>
        <v>edisonmoment.com</v>
      </c>
      <c r="D16" s="11" t="str">
        <f>IFERROR(__xludf.DUMMYFUNCTION("""COMPUTED_VALUE"""),"PROFILE")</f>
        <v>PROFILE</v>
      </c>
      <c r="E16" s="11" t="str">
        <f>IFERROR(__xludf.DUMMYFUNCTION("""COMPUTED_VALUE"""),"CORPORATE")</f>
        <v>CORPORATE</v>
      </c>
      <c r="F16" s="11" t="str">
        <f>IFERROR(__xludf.DUMMYFUNCTION("""COMPUTED_VALUE"""),"Profile")</f>
        <v>Profile</v>
      </c>
      <c r="G16" s="11" t="b">
        <f>IFERROR(__xludf.DUMMYFUNCTION("""COMPUTED_VALUE"""),FALSE)</f>
        <v>0</v>
      </c>
      <c r="H16" s="11" t="str">
        <f>IFERROR(__xludf.DUMMYFUNCTION("""COMPUTED_VALUE"""),"Measured")</f>
        <v>Measured</v>
      </c>
      <c r="I16" s="11">
        <f>IFERROR(__xludf.DUMMYFUNCTION("""COMPUTED_VALUE"""),12.0)</f>
        <v>12</v>
      </c>
      <c r="J16" s="11">
        <f>IFERROR(__xludf.DUMMYFUNCTION("""COMPUTED_VALUE"""),0.01)</f>
        <v>0.01</v>
      </c>
      <c r="K16" s="11">
        <f>IFERROR(__xludf.DUMMYFUNCTION("""COMPUTED_VALUE"""),0.33)</f>
        <v>0.33</v>
      </c>
    </row>
    <row r="17" ht="15.75" customHeight="1">
      <c r="A17" s="8" t="str">
        <f>IFERROR(__xludf.DUMMYFUNCTION("""COMPUTED_VALUE"""),"https://www.onetoone.de/performance-ranking/performance_2024")</f>
        <v>https://www.onetoone.de/performance-ranking/performance_2024</v>
      </c>
      <c r="B17" s="11" t="str">
        <f>IFERROR(__xludf.DUMMYFUNCTION("""COMPUTED_VALUE"""),"Performance-Agentur-Ranking")</f>
        <v>Performance-Agentur-Ranking</v>
      </c>
      <c r="C17" s="8" t="str">
        <f>IFERROR(__xludf.DUMMYFUNCTION("""COMPUTED_VALUE"""),"onetoone.de")</f>
        <v>onetoone.de</v>
      </c>
      <c r="D17" s="11" t="str">
        <f>IFERROR(__xludf.DUMMYFUNCTION("""COMPUTED_VALUE"""),"PROFILE")</f>
        <v>PROFILE</v>
      </c>
      <c r="E17" s="11" t="str">
        <f>IFERROR(__xludf.DUMMYFUNCTION("""COMPUTED_VALUE"""),"OTHER")</f>
        <v>OTHER</v>
      </c>
      <c r="F17" s="11" t="str">
        <f>IFERROR(__xludf.DUMMYFUNCTION("""COMPUTED_VALUE"""),"Profile")</f>
        <v>Profile</v>
      </c>
      <c r="G17" s="11" t="b">
        <f>IFERROR(__xludf.DUMMYFUNCTION("""COMPUTED_VALUE"""),FALSE)</f>
        <v>0</v>
      </c>
      <c r="H17" s="11" t="str">
        <f>IFERROR(__xludf.DUMMYFUNCTION("""COMPUTED_VALUE"""),"iProspect, Smarketer, Peak Ace, e-dialog, morefire, The Boutique Agency, 42DIGITAL, Aufgesang, eMinded GmbH")</f>
        <v>iProspect, Smarketer, Peak Ace, e-dialog, morefire, The Boutique Agency, 42DIGITAL, Aufgesang, eMinded GmbH</v>
      </c>
      <c r="I17" s="11">
        <f>IFERROR(__xludf.DUMMYFUNCTION("""COMPUTED_VALUE"""),12.0)</f>
        <v>12</v>
      </c>
      <c r="J17" s="11">
        <f>IFERROR(__xludf.DUMMYFUNCTION("""COMPUTED_VALUE"""),0.01)</f>
        <v>0.01</v>
      </c>
      <c r="K17" s="11">
        <f>IFERROR(__xludf.DUMMYFUNCTION("""COMPUTED_VALUE"""),0.0)</f>
        <v>0</v>
      </c>
    </row>
    <row r="18" ht="15.75" customHeight="1">
      <c r="A18" s="8" t="str">
        <f>IFERROR(__xludf.DUMMYFUNCTION("""COMPUTED_VALUE"""),"https://www.advisori.de/services/digital-transformation/ki-kuenstliche-intelligenz/ki-beratung")</f>
        <v>https://www.advisori.de/services/digital-transformation/ki-kuenstliche-intelligenz/ki-beratung</v>
      </c>
      <c r="B18" s="11" t="str">
        <f>IFERROR(__xludf.DUMMYFUNCTION("""COMPUTED_VALUE"""),"AI Strategy Consulting for Enterprises | ADVISORI")</f>
        <v>AI Strategy Consulting for Enterprises | ADVISORI</v>
      </c>
      <c r="C18" s="8" t="str">
        <f>IFERROR(__xludf.DUMMYFUNCTION("""COMPUTED_VALUE"""),"advisori.de")</f>
        <v>advisori.de</v>
      </c>
      <c r="D18" s="11" t="str">
        <f>IFERROR(__xludf.DUMMYFUNCTION("""COMPUTED_VALUE"""),"PROFILE")</f>
        <v>PROFILE</v>
      </c>
      <c r="E18" s="11" t="str">
        <f>IFERROR(__xludf.DUMMYFUNCTION("""COMPUTED_VALUE"""),"OTHER")</f>
        <v>OTHER</v>
      </c>
      <c r="F18" s="11" t="str">
        <f>IFERROR(__xludf.DUMMYFUNCTION("""COMPUTED_VALUE"""),"Profile")</f>
        <v>Profile</v>
      </c>
      <c r="G18" s="11" t="b">
        <f>IFERROR(__xludf.DUMMYFUNCTION("""COMPUTED_VALUE"""),FALSE)</f>
        <v>0</v>
      </c>
      <c r="H18" s="11" t="str">
        <f>IFERROR(__xludf.DUMMYFUNCTION("""COMPUTED_VALUE"""),"Pilot")</f>
        <v>Pilot</v>
      </c>
      <c r="I18" s="11">
        <f>IFERROR(__xludf.DUMMYFUNCTION("""COMPUTED_VALUE"""),11.0)</f>
        <v>11</v>
      </c>
      <c r="J18" s="11">
        <f>IFERROR(__xludf.DUMMYFUNCTION("""COMPUTED_VALUE"""),0.01)</f>
        <v>0.01</v>
      </c>
      <c r="K18" s="11">
        <f>IFERROR(__xludf.DUMMYFUNCTION("""COMPUTED_VALUE"""),0.55)</f>
        <v>0.55</v>
      </c>
    </row>
    <row r="19" ht="15.75" customHeight="1">
      <c r="A19" s="8" t="str">
        <f>IFERROR(__xludf.DUMMYFUNCTION("""COMPUTED_VALUE"""),"https://www.sortlist.de/s/performance-marketing/deutschland-de")</f>
        <v>https://www.sortlist.de/s/performance-marketing/deutschland-de</v>
      </c>
      <c r="B19" s="11" t="str">
        <f>IFERROR(__xludf.DUMMYFUNCTION("""COMPUTED_VALUE"""),"Performance Marketing Agentur - Unsere 100+ Besten Marketing Agenturen in Deutschland - 2026 Bewertungen")</f>
        <v>Performance Marketing Agentur - Unsere 100+ Besten Marketing Agenturen in Deutschland - 2026 Bewertungen</v>
      </c>
      <c r="C19" s="8" t="str">
        <f>IFERROR(__xludf.DUMMYFUNCTION("""COMPUTED_VALUE"""),"sortlist.de")</f>
        <v>sortlist.de</v>
      </c>
      <c r="D19" s="11" t="str">
        <f>IFERROR(__xludf.DUMMYFUNCTION("""COMPUTED_VALUE"""),"PROFILE")</f>
        <v>PROFILE</v>
      </c>
      <c r="E19" s="11" t="str">
        <f>IFERROR(__xludf.DUMMYFUNCTION("""COMPUTED_VALUE"""),"CORPORATE")</f>
        <v>CORPORATE</v>
      </c>
      <c r="F19" s="11" t="str">
        <f>IFERROR(__xludf.DUMMYFUNCTION("""COMPUTED_VALUE"""),"Profile")</f>
        <v>Profile</v>
      </c>
      <c r="G19" s="11" t="b">
        <f>IFERROR(__xludf.DUMMYFUNCTION("""COMPUTED_VALUE"""),FALSE)</f>
        <v>0</v>
      </c>
      <c r="H19" s="11" t="str">
        <f>IFERROR(__xludf.DUMMYFUNCTION("""COMPUTED_VALUE"""),"KlickPiloten, MONSOON, lehof, Triple Whale, Northbeam, Dreamdata, Mediacharge")</f>
        <v>KlickPiloten, MONSOON, lehof, Triple Whale, Northbeam, Dreamdata, Mediacharge</v>
      </c>
      <c r="I19" s="11">
        <f>IFERROR(__xludf.DUMMYFUNCTION("""COMPUTED_VALUE"""),11.0)</f>
        <v>11</v>
      </c>
      <c r="J19" s="11">
        <f>IFERROR(__xludf.DUMMYFUNCTION("""COMPUTED_VALUE"""),0.01)</f>
        <v>0.01</v>
      </c>
      <c r="K19" s="11">
        <f>IFERROR(__xludf.DUMMYFUNCTION("""COMPUTED_VALUE"""),0.18)</f>
        <v>0.18</v>
      </c>
    </row>
    <row r="20" ht="15.75" customHeight="1">
      <c r="A20" s="8" t="str">
        <f>IFERROR(__xludf.DUMMYFUNCTION("""COMPUTED_VALUE"""),"https://www.google.com/intl/en_GB/ads/publisher/partners/find-a-partner/")</f>
        <v>https://www.google.com/intl/en_GB/ads/publisher/partners/find-a-partner/</v>
      </c>
      <c r="B20" s="11" t="str">
        <f>IFERROR(__xludf.DUMMYFUNCTION("""COMPUTED_VALUE"""),"Find a Publishing Partner")</f>
        <v>Find a Publishing Partner</v>
      </c>
      <c r="C20" s="8" t="str">
        <f>IFERROR(__xludf.DUMMYFUNCTION("""COMPUTED_VALUE"""),"google.com")</f>
        <v>google.com</v>
      </c>
      <c r="D20" s="11" t="str">
        <f>IFERROR(__xludf.DUMMYFUNCTION("""COMPUTED_VALUE"""),"PROFILE")</f>
        <v>PROFILE</v>
      </c>
      <c r="E20" s="11" t="str">
        <f>IFERROR(__xludf.DUMMYFUNCTION("""COMPUTED_VALUE"""),"OTHER")</f>
        <v>OTHER</v>
      </c>
      <c r="F20" s="11" t="str">
        <f>IFERROR(__xludf.DUMMYFUNCTION("""COMPUTED_VALUE"""),"Profile")</f>
        <v>Profile</v>
      </c>
      <c r="G20" s="11" t="b">
        <f>IFERROR(__xludf.DUMMYFUNCTION("""COMPUTED_VALUE"""),FALSE)</f>
        <v>0</v>
      </c>
      <c r="H20" s="11"/>
      <c r="I20" s="11">
        <f>IFERROR(__xludf.DUMMYFUNCTION("""COMPUTED_VALUE"""),10.0)</f>
        <v>10</v>
      </c>
      <c r="J20" s="11">
        <f>IFERROR(__xludf.DUMMYFUNCTION("""COMPUTED_VALUE"""),0.01)</f>
        <v>0.01</v>
      </c>
      <c r="K20" s="11">
        <f>IFERROR(__xludf.DUMMYFUNCTION("""COMPUTED_VALUE"""),0.0)</f>
        <v>0</v>
      </c>
    </row>
    <row r="21" ht="15.75" customHeight="1">
      <c r="A21" s="8" t="str">
        <f>IFERROR(__xludf.DUMMYFUNCTION("""COMPUTED_VALUE"""),"https://www.oneclub.org/awards/adcawards/-archive/agency/2024/38/all/all/276")</f>
        <v>https://www.oneclub.org/awards/adcawards/-archive/agency/2024/38/all/all/276</v>
      </c>
      <c r="B21" s="11" t="str">
        <f>IFERROR(__xludf.DUMMYFUNCTION("""COMPUTED_VALUE"""),"ADC Awards | Agency Rankings | 2024 | Advertising | Germany")</f>
        <v>ADC Awards | Agency Rankings | 2024 | Advertising | Germany</v>
      </c>
      <c r="C21" s="8" t="str">
        <f>IFERROR(__xludf.DUMMYFUNCTION("""COMPUTED_VALUE"""),"oneclub.org")</f>
        <v>oneclub.org</v>
      </c>
      <c r="D21" s="11" t="str">
        <f>IFERROR(__xludf.DUMMYFUNCTION("""COMPUTED_VALUE"""),"PROFILE")</f>
        <v>PROFILE</v>
      </c>
      <c r="E21" s="11" t="str">
        <f>IFERROR(__xludf.DUMMYFUNCTION("""COMPUTED_VALUE"""),"INSTITUTIONAL")</f>
        <v>INSTITUTIONAL</v>
      </c>
      <c r="F21" s="11" t="str">
        <f>IFERROR(__xludf.DUMMYFUNCTION("""COMPUTED_VALUE"""),"Profile")</f>
        <v>Profile</v>
      </c>
      <c r="G21" s="11" t="b">
        <f>IFERROR(__xludf.DUMMYFUNCTION("""COMPUTED_VALUE"""),FALSE)</f>
        <v>0</v>
      </c>
      <c r="H21" s="11" t="str">
        <f>IFERROR(__xludf.DUMMYFUNCTION("""COMPUTED_VALUE"""),"Ogilvy, Havas Media, Jung von Matt")</f>
        <v>Ogilvy, Havas Media, Jung von Matt</v>
      </c>
      <c r="I21" s="11">
        <f>IFERROR(__xludf.DUMMYFUNCTION("""COMPUTED_VALUE"""),10.0)</f>
        <v>10</v>
      </c>
      <c r="J21" s="11">
        <f>IFERROR(__xludf.DUMMYFUNCTION("""COMPUTED_VALUE"""),0.01)</f>
        <v>0.01</v>
      </c>
      <c r="K21" s="11">
        <f>IFERROR(__xludf.DUMMYFUNCTION("""COMPUTED_VALUE"""),0.0)</f>
        <v>0</v>
      </c>
    </row>
    <row r="22" ht="15.75" customHeight="1">
      <c r="A22" s="8" t="str">
        <f>IFERROR(__xludf.DUMMYFUNCTION("""COMPUTED_VALUE"""),"https://www.semrush.com/agencies/list/display-advertising/ecommerce/germany/")</f>
        <v>https://www.semrush.com/agencies/list/display-advertising/ecommerce/germany/</v>
      </c>
      <c r="B22" s="11" t="str">
        <f>IFERROR(__xludf.DUMMYFUNCTION("""COMPUTED_VALUE"""),"Best Ecommerce Display Ads Agencies in Germany 2026 \| Semrush")</f>
        <v>Best Ecommerce Display Ads Agencies in Germany 2026 \| Semrush</v>
      </c>
      <c r="C22" s="8" t="str">
        <f>IFERROR(__xludf.DUMMYFUNCTION("""COMPUTED_VALUE"""),"semrush.com")</f>
        <v>semrush.com</v>
      </c>
      <c r="D22" s="11" t="str">
        <f>IFERROR(__xludf.DUMMYFUNCTION("""COMPUTED_VALUE"""),"PROFILE")</f>
        <v>PROFILE</v>
      </c>
      <c r="E22" s="11" t="str">
        <f>IFERROR(__xludf.DUMMYFUNCTION("""COMPUTED_VALUE"""),"CORPORATE")</f>
        <v>CORPORATE</v>
      </c>
      <c r="F22" s="11" t="str">
        <f>IFERROR(__xludf.DUMMYFUNCTION("""COMPUTED_VALUE"""),"Profile")</f>
        <v>Profile</v>
      </c>
      <c r="G22" s="11" t="b">
        <f>IFERROR(__xludf.DUMMYFUNCTION("""COMPUTED_VALUE"""),FALSE)</f>
        <v>0</v>
      </c>
      <c r="H22" s="11" t="str">
        <f>IFERROR(__xludf.DUMMYFUNCTION("""COMPUTED_VALUE"""),"Baseplus DIGITAL MEDIA GmbH, morefire, Mediaplus Performance, MONSOON")</f>
        <v>Baseplus DIGITAL MEDIA GmbH, morefire, Mediaplus Performance, MONSOON</v>
      </c>
      <c r="I22" s="11">
        <f>IFERROR(__xludf.DUMMYFUNCTION("""COMPUTED_VALUE"""),9.0)</f>
        <v>9</v>
      </c>
      <c r="J22" s="11">
        <f>IFERROR(__xludf.DUMMYFUNCTION("""COMPUTED_VALUE"""),0.01)</f>
        <v>0.01</v>
      </c>
      <c r="K22" s="11">
        <f>IFERROR(__xludf.DUMMYFUNCTION("""COMPUTED_VALUE"""),0.0)</f>
        <v>0</v>
      </c>
    </row>
    <row r="23" ht="15.75" customHeight="1">
      <c r="A23" s="8" t="str">
        <f>IFERROR(__xludf.DUMMYFUNCTION("""COMPUTED_VALUE"""),"https://feedbax.ai/creative-agencies/germany")</f>
        <v>https://feedbax.ai/creative-agencies/germany</v>
      </c>
      <c r="B23" s="11" t="str">
        <f>IFERROR(__xludf.DUMMYFUNCTION("""COMPUTED_VALUE"""),"Top 20 Creative Agencies in Germany - 2026 Reviews")</f>
        <v>Top 20 Creative Agencies in Germany - 2026 Reviews</v>
      </c>
      <c r="C23" s="8" t="str">
        <f>IFERROR(__xludf.DUMMYFUNCTION("""COMPUTED_VALUE"""),"feedbax.ai")</f>
        <v>feedbax.ai</v>
      </c>
      <c r="D23" s="11" t="str">
        <f>IFERROR(__xludf.DUMMYFUNCTION("""COMPUTED_VALUE"""),"PROFILE")</f>
        <v>PROFILE</v>
      </c>
      <c r="E23" s="11" t="str">
        <f>IFERROR(__xludf.DUMMYFUNCTION("""COMPUTED_VALUE"""),"UGC")</f>
        <v>UGC</v>
      </c>
      <c r="F23" s="11" t="str">
        <f>IFERROR(__xludf.DUMMYFUNCTION("""COMPUTED_VALUE"""),"Profile")</f>
        <v>Profile</v>
      </c>
      <c r="G23" s="11" t="b">
        <f>IFERROR(__xludf.DUMMYFUNCTION("""COMPUTED_VALUE"""),FALSE)</f>
        <v>0</v>
      </c>
      <c r="H23" s="11" t="str">
        <f>IFERROR(__xludf.DUMMYFUNCTION("""COMPUTED_VALUE"""),"PANORAMA3000, Mediacharge, Smarketer, KlickPiloten, DREIKON")</f>
        <v>PANORAMA3000, Mediacharge, Smarketer, KlickPiloten, DREIKON</v>
      </c>
      <c r="I23" s="11">
        <f>IFERROR(__xludf.DUMMYFUNCTION("""COMPUTED_VALUE"""),8.0)</f>
        <v>8</v>
      </c>
      <c r="J23" s="11">
        <f>IFERROR(__xludf.DUMMYFUNCTION("""COMPUTED_VALUE"""),0.01)</f>
        <v>0.01</v>
      </c>
      <c r="K23" s="11">
        <f>IFERROR(__xludf.DUMMYFUNCTION("""COMPUTED_VALUE"""),0.0)</f>
        <v>0</v>
      </c>
    </row>
    <row r="24" ht="15.75" customHeight="1">
      <c r="A24" s="8" t="str">
        <f>IFERROR(__xludf.DUMMYFUNCTION("""COMPUTED_VALUE"""),"https://www.ibusiness.de/performance-ranking/performance_2023.html?sub=2")</f>
        <v>https://www.ibusiness.de/performance-ranking/performance_2023.html?sub=2</v>
      </c>
      <c r="B24" s="11" t="str">
        <f>IFERROR(__xludf.DUMMYFUNCTION("""COMPUTED_VALUE"""),"Das Ranking der gr��ten deutschen Performance-Marketing-Agenturen")</f>
        <v>Das Ranking der gr��ten deutschen Performance-Marketing-Agenturen</v>
      </c>
      <c r="C24" s="8" t="str">
        <f>IFERROR(__xludf.DUMMYFUNCTION("""COMPUTED_VALUE"""),"ibusiness.de")</f>
        <v>ibusiness.de</v>
      </c>
      <c r="D24" s="11" t="str">
        <f>IFERROR(__xludf.DUMMYFUNCTION("""COMPUTED_VALUE"""),"PROFILE")</f>
        <v>PROFILE</v>
      </c>
      <c r="E24" s="11" t="str">
        <f>IFERROR(__xludf.DUMMYFUNCTION("""COMPUTED_VALUE"""),"EDITORIAL")</f>
        <v>EDITORIAL</v>
      </c>
      <c r="F24" s="11" t="str">
        <f>IFERROR(__xludf.DUMMYFUNCTION("""COMPUTED_VALUE"""),"Profile")</f>
        <v>Profile</v>
      </c>
      <c r="G24" s="11" t="b">
        <f>IFERROR(__xludf.DUMMYFUNCTION("""COMPUTED_VALUE"""),FALSE)</f>
        <v>0</v>
      </c>
      <c r="H24" s="11" t="str">
        <f>IFERROR(__xludf.DUMMYFUNCTION("""COMPUTED_VALUE"""),"Serviceplan Group, e-dialog, 42DIGITAL")</f>
        <v>Serviceplan Group, e-dialog, 42DIGITAL</v>
      </c>
      <c r="I24" s="11">
        <f>IFERROR(__xludf.DUMMYFUNCTION("""COMPUTED_VALUE"""),8.0)</f>
        <v>8</v>
      </c>
      <c r="J24" s="11">
        <f>IFERROR(__xludf.DUMMYFUNCTION("""COMPUTED_VALUE"""),0.01)</f>
        <v>0.01</v>
      </c>
      <c r="K24" s="11">
        <f>IFERROR(__xludf.DUMMYFUNCTION("""COMPUTED_VALUE"""),0.0)</f>
        <v>0</v>
      </c>
    </row>
    <row r="25" ht="15.75" customHeight="1">
      <c r="A25" s="8" t="str">
        <f>IFERROR(__xludf.DUMMYFUNCTION("""COMPUTED_VALUE"""),"https://www.sortlist.com/i/web-analytics/germany-de")</f>
        <v>https://www.sortlist.com/i/web-analytics/germany-de</v>
      </c>
      <c r="B25" s="11" t="str">
        <f>IFERROR(__xludf.DUMMYFUNCTION("""COMPUTED_VALUE"""),"The 10 Best Web Analytics Agencies in Germany - 2026 Reviews")</f>
        <v>The 10 Best Web Analytics Agencies in Germany - 2026 Reviews</v>
      </c>
      <c r="C25" s="8" t="str">
        <f>IFERROR(__xludf.DUMMYFUNCTION("""COMPUTED_VALUE"""),"sortlist.com")</f>
        <v>sortlist.com</v>
      </c>
      <c r="D25" s="11" t="str">
        <f>IFERROR(__xludf.DUMMYFUNCTION("""COMPUTED_VALUE"""),"PROFILE")</f>
        <v>PROFILE</v>
      </c>
      <c r="E25" s="11" t="str">
        <f>IFERROR(__xludf.DUMMYFUNCTION("""COMPUTED_VALUE"""),"CORPORATE")</f>
        <v>CORPORATE</v>
      </c>
      <c r="F25" s="11" t="str">
        <f>IFERROR(__xludf.DUMMYFUNCTION("""COMPUTED_VALUE"""),"Profile")</f>
        <v>Profile</v>
      </c>
      <c r="G25" s="11" t="b">
        <f>IFERROR(__xludf.DUMMYFUNCTION("""COMPUTED_VALUE"""),FALSE)</f>
        <v>0</v>
      </c>
      <c r="H25" s="11" t="str">
        <f>IFERROR(__xludf.DUMMYFUNCTION("""COMPUTED_VALUE"""),"KlickPiloten, Baseplus DIGITAL MEDIA GmbH")</f>
        <v>KlickPiloten, Baseplus DIGITAL MEDIA GmbH</v>
      </c>
      <c r="I25" s="11">
        <f>IFERROR(__xludf.DUMMYFUNCTION("""COMPUTED_VALUE"""),8.0)</f>
        <v>8</v>
      </c>
      <c r="J25" s="11">
        <f>IFERROR(__xludf.DUMMYFUNCTION("""COMPUTED_VALUE"""),0.01)</f>
        <v>0.01</v>
      </c>
      <c r="K25" s="11">
        <f>IFERROR(__xludf.DUMMYFUNCTION("""COMPUTED_VALUE"""),0.25)</f>
        <v>0.25</v>
      </c>
    </row>
    <row r="26" ht="15.75" customHeight="1">
      <c r="A26" s="8" t="str">
        <f>IFERROR(__xludf.DUMMYFUNCTION("""COMPUTED_VALUE"""),"https://feedbax.ai/google-ads/western-europe")</f>
        <v>https://feedbax.ai/google-ads/western-europe</v>
      </c>
      <c r="B26" s="11" t="str">
        <f>IFERROR(__xludf.DUMMYFUNCTION("""COMPUTED_VALUE"""),"Top 20 Google Ads Agencies in Western Europe - 2026 Reviews")</f>
        <v>Top 20 Google Ads Agencies in Western Europe - 2026 Reviews</v>
      </c>
      <c r="C26" s="8" t="str">
        <f>IFERROR(__xludf.DUMMYFUNCTION("""COMPUTED_VALUE"""),"feedbax.ai")</f>
        <v>feedbax.ai</v>
      </c>
      <c r="D26" s="11" t="str">
        <f>IFERROR(__xludf.DUMMYFUNCTION("""COMPUTED_VALUE"""),"PROFILE")</f>
        <v>PROFILE</v>
      </c>
      <c r="E26" s="11" t="str">
        <f>IFERROR(__xludf.DUMMYFUNCTION("""COMPUTED_VALUE"""),"UGC")</f>
        <v>UGC</v>
      </c>
      <c r="F26" s="11" t="str">
        <f>IFERROR(__xludf.DUMMYFUNCTION("""COMPUTED_VALUE"""),"Profile")</f>
        <v>Profile</v>
      </c>
      <c r="G26" s="11" t="b">
        <f>IFERROR(__xludf.DUMMYFUNCTION("""COMPUTED_VALUE"""),FALSE)</f>
        <v>0</v>
      </c>
      <c r="H26" s="11" t="str">
        <f>IFERROR(__xludf.DUMMYFUNCTION("""COMPUTED_VALUE"""),"Mediacharge, Smarketer, DREIKON, Suchhelden")</f>
        <v>Mediacharge, Smarketer, DREIKON, Suchhelden</v>
      </c>
      <c r="I26" s="11">
        <f>IFERROR(__xludf.DUMMYFUNCTION("""COMPUTED_VALUE"""),7.0)</f>
        <v>7</v>
      </c>
      <c r="J26" s="11">
        <f>IFERROR(__xludf.DUMMYFUNCTION("""COMPUTED_VALUE"""),0.01)</f>
        <v>0.01</v>
      </c>
      <c r="K26" s="11">
        <f>IFERROR(__xludf.DUMMYFUNCTION("""COMPUTED_VALUE"""),1.29)</f>
        <v>1.29</v>
      </c>
    </row>
    <row r="27" ht="15.75" customHeight="1">
      <c r="A27" s="8" t="str">
        <f>IFERROR(__xludf.DUMMYFUNCTION("""COMPUTED_VALUE"""),"https://www.42digital.de/google-marketing-platform/")</f>
        <v>https://www.42digital.de/google-marketing-platform/</v>
      </c>
      <c r="B27" s="11" t="str">
        <f>IFERROR(__xludf.DUMMYFUNCTION("""COMPUTED_VALUE"""),"Google Marketing Platform Partner | 42DIGITAL")</f>
        <v>Google Marketing Platform Partner | 42DIGITAL</v>
      </c>
      <c r="C27" s="8" t="str">
        <f>IFERROR(__xludf.DUMMYFUNCTION("""COMPUTED_VALUE"""),"42digital.de")</f>
        <v>42digital.de</v>
      </c>
      <c r="D27" s="11" t="str">
        <f>IFERROR(__xludf.DUMMYFUNCTION("""COMPUTED_VALUE"""),"PROFILE")</f>
        <v>PROFILE</v>
      </c>
      <c r="E27" s="11" t="str">
        <f>IFERROR(__xludf.DUMMYFUNCTION("""COMPUTED_VALUE"""),"COMPETITOR")</f>
        <v>COMPETITOR</v>
      </c>
      <c r="F27" s="11" t="str">
        <f>IFERROR(__xludf.DUMMYFUNCTION("""COMPUTED_VALUE"""),"Profile")</f>
        <v>Profile</v>
      </c>
      <c r="G27" s="11" t="b">
        <f>IFERROR(__xludf.DUMMYFUNCTION("""COMPUTED_VALUE"""),FALSE)</f>
        <v>0</v>
      </c>
      <c r="H27" s="11" t="str">
        <f>IFERROR(__xludf.DUMMYFUNCTION("""COMPUTED_VALUE"""),"42DIGITAL")</f>
        <v>42DIGITAL</v>
      </c>
      <c r="I27" s="11">
        <f>IFERROR(__xludf.DUMMYFUNCTION("""COMPUTED_VALUE"""),6.0)</f>
        <v>6</v>
      </c>
      <c r="J27" s="11">
        <f>IFERROR(__xludf.DUMMYFUNCTION("""COMPUTED_VALUE"""),0.01)</f>
        <v>0.01</v>
      </c>
      <c r="K27" s="11">
        <f>IFERROR(__xludf.DUMMYFUNCTION("""COMPUTED_VALUE"""),0.33)</f>
        <v>0.33</v>
      </c>
    </row>
    <row r="28" ht="15.75" customHeight="1">
      <c r="A28" s="8" t="str">
        <f>IFERROR(__xludf.DUMMYFUNCTION("""COMPUTED_VALUE"""),"https://bbdo.de/about/")</f>
        <v>https://bbdo.de/about/</v>
      </c>
      <c r="B28" s="11" t="str">
        <f>IFERROR(__xludf.DUMMYFUNCTION("""COMPUTED_VALUE"""),"About Us - BBDO GERMANY")</f>
        <v>About Us - BBDO GERMANY</v>
      </c>
      <c r="C28" s="8" t="str">
        <f>IFERROR(__xludf.DUMMYFUNCTION("""COMPUTED_VALUE"""),"bbdo.de")</f>
        <v>bbdo.de</v>
      </c>
      <c r="D28" s="11" t="str">
        <f>IFERROR(__xludf.DUMMYFUNCTION("""COMPUTED_VALUE"""),"PROFILE")</f>
        <v>PROFILE</v>
      </c>
      <c r="E28" s="11" t="str">
        <f>IFERROR(__xludf.DUMMYFUNCTION("""COMPUTED_VALUE"""),"CORPORATE")</f>
        <v>CORPORATE</v>
      </c>
      <c r="F28" s="11" t="str">
        <f>IFERROR(__xludf.DUMMYFUNCTION("""COMPUTED_VALUE"""),"Profile")</f>
        <v>Profile</v>
      </c>
      <c r="G28" s="11" t="b">
        <f>IFERROR(__xludf.DUMMYFUNCTION("""COMPUTED_VALUE"""),FALSE)</f>
        <v>0</v>
      </c>
      <c r="H28" s="11" t="str">
        <f>IFERROR(__xludf.DUMMYFUNCTION("""COMPUTED_VALUE"""),"Omnicom, BBDO Germany")</f>
        <v>Omnicom, BBDO Germany</v>
      </c>
      <c r="I28" s="11">
        <f>IFERROR(__xludf.DUMMYFUNCTION("""COMPUTED_VALUE"""),6.0)</f>
        <v>6</v>
      </c>
      <c r="J28" s="11">
        <f>IFERROR(__xludf.DUMMYFUNCTION("""COMPUTED_VALUE"""),0.01)</f>
        <v>0.01</v>
      </c>
      <c r="K28" s="11">
        <f>IFERROR(__xludf.DUMMYFUNCTION("""COMPUTED_VALUE"""),0.5)</f>
        <v>0.5</v>
      </c>
    </row>
    <row r="29" ht="15.75" customHeight="1">
      <c r="A29" s="8" t="str">
        <f>IFERROR(__xludf.DUMMYFUNCTION("""COMPUTED_VALUE"""),"https://de.linkedin.com/company/jung-von-matt")</f>
        <v>https://de.linkedin.com/company/jung-von-matt</v>
      </c>
      <c r="B29" s="11" t="str">
        <f>IFERROR(__xludf.DUMMYFUNCTION("""COMPUTED_VALUE"""),"Jung von Matt | LinkedIn")</f>
        <v>Jung von Matt | LinkedIn</v>
      </c>
      <c r="C29" s="8" t="str">
        <f>IFERROR(__xludf.DUMMYFUNCTION("""COMPUTED_VALUE"""),"linkedin.com")</f>
        <v>linkedin.com</v>
      </c>
      <c r="D29" s="11" t="str">
        <f>IFERROR(__xludf.DUMMYFUNCTION("""COMPUTED_VALUE"""),"PROFILE")</f>
        <v>PROFILE</v>
      </c>
      <c r="E29" s="11" t="str">
        <f>IFERROR(__xludf.DUMMYFUNCTION("""COMPUTED_VALUE"""),"UGC")</f>
        <v>UGC</v>
      </c>
      <c r="F29" s="11" t="str">
        <f>IFERROR(__xludf.DUMMYFUNCTION("""COMPUTED_VALUE"""),"Profile")</f>
        <v>Profile</v>
      </c>
      <c r="G29" s="11" t="b">
        <f>IFERROR(__xludf.DUMMYFUNCTION("""COMPUTED_VALUE"""),FALSE)</f>
        <v>0</v>
      </c>
      <c r="H29" s="11" t="str">
        <f>IFERROR(__xludf.DUMMYFUNCTION("""COMPUTED_VALUE"""),"Jung von Matt, Momentum, R/GA, Scholz &amp; Friends, Serviceplan Group")</f>
        <v>Jung von Matt, Momentum, R/GA, Scholz &amp; Friends, Serviceplan Group</v>
      </c>
      <c r="I29" s="11">
        <f>IFERROR(__xludf.DUMMYFUNCTION("""COMPUTED_VALUE"""),6.0)</f>
        <v>6</v>
      </c>
      <c r="J29" s="11">
        <f>IFERROR(__xludf.DUMMYFUNCTION("""COMPUTED_VALUE"""),0.01)</f>
        <v>0.01</v>
      </c>
      <c r="K29" s="11">
        <f>IFERROR(__xludf.DUMMYFUNCTION("""COMPUTED_VALUE"""),1.0)</f>
        <v>1</v>
      </c>
    </row>
    <row r="30" ht="15.75" customHeight="1">
      <c r="A30" s="8" t="str">
        <f>IFERROR(__xludf.DUMMYFUNCTION("""COMPUTED_VALUE"""),"https://edisonmoment.com/agency/best/digital-marketing-agency-germany")</f>
        <v>https://edisonmoment.com/agency/best/digital-marketing-agency-germany</v>
      </c>
      <c r="B30" s="11" t="str">
        <f>IFERROR(__xludf.DUMMYFUNCTION("""COMPUTED_VALUE"""),"Digital Marketing Agency in Germany | Edison Moment")</f>
        <v>Digital Marketing Agency in Germany | Edison Moment</v>
      </c>
      <c r="C30" s="8" t="str">
        <f>IFERROR(__xludf.DUMMYFUNCTION("""COMPUTED_VALUE"""),"edisonmoment.com")</f>
        <v>edisonmoment.com</v>
      </c>
      <c r="D30" s="11" t="str">
        <f>IFERROR(__xludf.DUMMYFUNCTION("""COMPUTED_VALUE"""),"PROFILE")</f>
        <v>PROFILE</v>
      </c>
      <c r="E30" s="11" t="str">
        <f>IFERROR(__xludf.DUMMYFUNCTION("""COMPUTED_VALUE"""),"CORPORATE")</f>
        <v>CORPORATE</v>
      </c>
      <c r="F30" s="11" t="str">
        <f>IFERROR(__xludf.DUMMYFUNCTION("""COMPUTED_VALUE"""),"Profile")</f>
        <v>Profile</v>
      </c>
      <c r="G30" s="11" t="b">
        <f>IFERROR(__xludf.DUMMYFUNCTION("""COMPUTED_VALUE"""),FALSE)</f>
        <v>0</v>
      </c>
      <c r="H30" s="11" t="str">
        <f>IFERROR(__xludf.DUMMYFUNCTION("""COMPUTED_VALUE"""),"Measured")</f>
        <v>Measured</v>
      </c>
      <c r="I30" s="11">
        <f>IFERROR(__xludf.DUMMYFUNCTION("""COMPUTED_VALUE"""),6.0)</f>
        <v>6</v>
      </c>
      <c r="J30" s="11">
        <f>IFERROR(__xludf.DUMMYFUNCTION("""COMPUTED_VALUE"""),0.01)</f>
        <v>0.01</v>
      </c>
      <c r="K30" s="11">
        <f>IFERROR(__xludf.DUMMYFUNCTION("""COMPUTED_VALUE"""),0.0)</f>
        <v>0</v>
      </c>
    </row>
    <row r="31" ht="15.75" customHeight="1">
      <c r="A31" s="8" t="str">
        <f>IFERROR(__xludf.DUMMYFUNCTION("""COMPUTED_VALUE"""),"https://www.seo-kueche.de/die-10-besten-geo-seo-agenturen-aus-deutschland-im-vergleich-ranking-2026/")</f>
        <v>https://www.seo-kueche.de/die-10-besten-geo-seo-agenturen-aus-deutschland-im-vergleich-ranking-2026/</v>
      </c>
      <c r="B31" s="11" t="str">
        <f>IFERROR(__xludf.DUMMYFUNCTION("""COMPUTED_VALUE"""),"Die besten GEO- &amp;amp; SEO-Agenturen in Deutschland 2026")</f>
        <v>Die besten GEO- &amp;amp; SEO-Agenturen in Deutschland 2026</v>
      </c>
      <c r="C31" s="8" t="str">
        <f>IFERROR(__xludf.DUMMYFUNCTION("""COMPUTED_VALUE"""),"seo-kueche.de")</f>
        <v>seo-kueche.de</v>
      </c>
      <c r="D31" s="11" t="str">
        <f>IFERROR(__xludf.DUMMYFUNCTION("""COMPUTED_VALUE"""),"PROFILE")</f>
        <v>PROFILE</v>
      </c>
      <c r="E31" s="11" t="str">
        <f>IFERROR(__xludf.DUMMYFUNCTION("""COMPUTED_VALUE"""),"CORPORATE")</f>
        <v>CORPORATE</v>
      </c>
      <c r="F31" s="11" t="str">
        <f>IFERROR(__xludf.DUMMYFUNCTION("""COMPUTED_VALUE"""),"Profile")</f>
        <v>Profile</v>
      </c>
      <c r="G31" s="11" t="b">
        <f>IFERROR(__xludf.DUMMYFUNCTION("""COMPUTED_VALUE"""),FALSE)</f>
        <v>0</v>
      </c>
      <c r="H31" s="11" t="str">
        <f>IFERROR(__xludf.DUMMYFUNCTION("""COMPUTED_VALUE"""),"DREIKON, Claneo, Bloofusion Germany GmbH, eMinded GmbH")</f>
        <v>DREIKON, Claneo, Bloofusion Germany GmbH, eMinded GmbH</v>
      </c>
      <c r="I31" s="11">
        <f>IFERROR(__xludf.DUMMYFUNCTION("""COMPUTED_VALUE"""),6.0)</f>
        <v>6</v>
      </c>
      <c r="J31" s="11">
        <f>IFERROR(__xludf.DUMMYFUNCTION("""COMPUTED_VALUE"""),0.01)</f>
        <v>0.01</v>
      </c>
      <c r="K31" s="11">
        <f>IFERROR(__xludf.DUMMYFUNCTION("""COMPUTED_VALUE"""),0.0)</f>
        <v>0</v>
      </c>
    </row>
    <row r="32" ht="15.75" customHeight="1">
      <c r="A32" s="8" t="str">
        <f>IFERROR(__xludf.DUMMYFUNCTION("""COMPUTED_VALUE"""),"https://de.wikipedia.org/wiki/Serviceplan_Group")</f>
        <v>https://de.wikipedia.org/wiki/Serviceplan_Group</v>
      </c>
      <c r="B32" s="11" t="str">
        <f>IFERROR(__xludf.DUMMYFUNCTION("""COMPUTED_VALUE"""),"Serviceplan Group – Wikipedia")</f>
        <v>Serviceplan Group – Wikipedia</v>
      </c>
      <c r="C32" s="8" t="str">
        <f>IFERROR(__xludf.DUMMYFUNCTION("""COMPUTED_VALUE"""),"wikipedia.org")</f>
        <v>wikipedia.org</v>
      </c>
      <c r="D32" s="11" t="str">
        <f>IFERROR(__xludf.DUMMYFUNCTION("""COMPUTED_VALUE"""),"PROFILE")</f>
        <v>PROFILE</v>
      </c>
      <c r="E32" s="11" t="str">
        <f>IFERROR(__xludf.DUMMYFUNCTION("""COMPUTED_VALUE"""),"REFERENCE")</f>
        <v>REFERENCE</v>
      </c>
      <c r="F32" s="11" t="str">
        <f>IFERROR(__xludf.DUMMYFUNCTION("""COMPUTED_VALUE"""),"Profile")</f>
        <v>Profile</v>
      </c>
      <c r="G32" s="11" t="b">
        <f>IFERROR(__xludf.DUMMYFUNCTION("""COMPUTED_VALUE"""),FALSE)</f>
        <v>0</v>
      </c>
      <c r="H32" s="11" t="str">
        <f>IFERROR(__xludf.DUMMYFUNCTION("""COMPUTED_VALUE"""),"Serviceplan Group, Mediaplus Group, Haus, Jung von Matt")</f>
        <v>Serviceplan Group, Mediaplus Group, Haus, Jung von Matt</v>
      </c>
      <c r="I32" s="11">
        <f>IFERROR(__xludf.DUMMYFUNCTION("""COMPUTED_VALUE"""),5.0)</f>
        <v>5</v>
      </c>
      <c r="J32" s="11">
        <f>IFERROR(__xludf.DUMMYFUNCTION("""COMPUTED_VALUE"""),0.01)</f>
        <v>0.01</v>
      </c>
      <c r="K32" s="11">
        <f>IFERROR(__xludf.DUMMYFUNCTION("""COMPUTED_VALUE"""),1.0)</f>
        <v>1</v>
      </c>
    </row>
    <row r="33" ht="15.75" customHeight="1">
      <c r="A33" s="8" t="str">
        <f>IFERROR(__xludf.DUMMYFUNCTION("""COMPUTED_VALUE"""),"https://www.hyam.de/en/branding-agency#:~:text=As%20a%20Berlin%2Dbased%20branding,lifestyle%2C%20technology%20and%20art%20sectors.")</f>
        <v>https://www.hyam.de/en/branding-agency#:~:text=As%20a%20Berlin%2Dbased%20branding,lifestyle%2C%20technology%20and%20art%20sectors.</v>
      </c>
      <c r="B33" s="11" t="str">
        <f>IFERROR(__xludf.DUMMYFUNCTION("""COMPUTED_VALUE"""),"The branding agency for modern brands –&amp;nbsp;HY.AM&amp;nbsp;STUDIOS")</f>
        <v>The branding agency for modern brands –&amp;nbsp;HY.AM&amp;nbsp;STUDIOS</v>
      </c>
      <c r="C33" s="8" t="str">
        <f>IFERROR(__xludf.DUMMYFUNCTION("""COMPUTED_VALUE"""),"hyam.de")</f>
        <v>hyam.de</v>
      </c>
      <c r="D33" s="11" t="str">
        <f>IFERROR(__xludf.DUMMYFUNCTION("""COMPUTED_VALUE"""),"PROFILE")</f>
        <v>PROFILE</v>
      </c>
      <c r="E33" s="11" t="str">
        <f>IFERROR(__xludf.DUMMYFUNCTION("""COMPUTED_VALUE"""),"CORPORATE")</f>
        <v>CORPORATE</v>
      </c>
      <c r="F33" s="11" t="str">
        <f>IFERROR(__xludf.DUMMYFUNCTION("""COMPUTED_VALUE"""),"Profile")</f>
        <v>Profile</v>
      </c>
      <c r="G33" s="11" t="b">
        <f>IFERROR(__xludf.DUMMYFUNCTION("""COMPUTED_VALUE"""),FALSE)</f>
        <v>0</v>
      </c>
      <c r="H33" s="11" t="str">
        <f>IFERROR(__xludf.DUMMYFUNCTION("""COMPUTED_VALUE"""),"HY.AM STUDIOS")</f>
        <v>HY.AM STUDIOS</v>
      </c>
      <c r="I33" s="11">
        <f>IFERROR(__xludf.DUMMYFUNCTION("""COMPUTED_VALUE"""),5.0)</f>
        <v>5</v>
      </c>
      <c r="J33" s="11">
        <f>IFERROR(__xludf.DUMMYFUNCTION("""COMPUTED_VALUE"""),0.01)</f>
        <v>0.01</v>
      </c>
      <c r="K33" s="11">
        <f>IFERROR(__xludf.DUMMYFUNCTION("""COMPUTED_VALUE"""),1.2)</f>
        <v>1.2</v>
      </c>
    </row>
    <row r="34" ht="15.75" customHeight="1">
      <c r="A34" s="8" t="str">
        <f>IFERROR(__xludf.DUMMYFUNCTION("""COMPUTED_VALUE"""),"https://www.smarketer.de/google-partner/")</f>
        <v>https://www.smarketer.de/google-partner/</v>
      </c>
      <c r="B34" s="11" t="str">
        <f>IFERROR(__xludf.DUMMYFUNCTION("""COMPUTED_VALUE"""),"Zertifizierungen und Auszeichnungen | Smarketer")</f>
        <v>Zertifizierungen und Auszeichnungen | Smarketer</v>
      </c>
      <c r="C34" s="8" t="str">
        <f>IFERROR(__xludf.DUMMYFUNCTION("""COMPUTED_VALUE"""),"smarketer.de")</f>
        <v>smarketer.de</v>
      </c>
      <c r="D34" s="11" t="str">
        <f>IFERROR(__xludf.DUMMYFUNCTION("""COMPUTED_VALUE"""),"PROFILE")</f>
        <v>PROFILE</v>
      </c>
      <c r="E34" s="11" t="str">
        <f>IFERROR(__xludf.DUMMYFUNCTION("""COMPUTED_VALUE"""),"COMPETITOR")</f>
        <v>COMPETITOR</v>
      </c>
      <c r="F34" s="11" t="str">
        <f>IFERROR(__xludf.DUMMYFUNCTION("""COMPUTED_VALUE"""),"Profile")</f>
        <v>Profile</v>
      </c>
      <c r="G34" s="11" t="b">
        <f>IFERROR(__xludf.DUMMYFUNCTION("""COMPUTED_VALUE"""),FALSE)</f>
        <v>0</v>
      </c>
      <c r="H34" s="11" t="str">
        <f>IFERROR(__xludf.DUMMYFUNCTION("""COMPUTED_VALUE"""),"Smarketer")</f>
        <v>Smarketer</v>
      </c>
      <c r="I34" s="11">
        <f>IFERROR(__xludf.DUMMYFUNCTION("""COMPUTED_VALUE"""),5.0)</f>
        <v>5</v>
      </c>
      <c r="J34" s="11">
        <f>IFERROR(__xludf.DUMMYFUNCTION("""COMPUTED_VALUE"""),0.01)</f>
        <v>0.01</v>
      </c>
      <c r="K34" s="11">
        <f>IFERROR(__xludf.DUMMYFUNCTION("""COMPUTED_VALUE"""),0.6)</f>
        <v>0.6</v>
      </c>
    </row>
    <row r="35" ht="15.75" customHeight="1">
      <c r="A35" s="8" t="str">
        <f>IFERROR(__xludf.DUMMYFUNCTION("""COMPUTED_VALUE"""),"https://www.sortlist.de/s/kunstliche-intelligenz/deutschland-de")</f>
        <v>https://www.sortlist.de/s/kunstliche-intelligenz/deutschland-de</v>
      </c>
      <c r="B35" s="11" t="str">
        <f>IFERROR(__xludf.DUMMYFUNCTION("""COMPUTED_VALUE"""),"Unsere 10 Besten Künstliche Intelligenz Agenturen in Deutschland - 2026 Bewertungen")</f>
        <v>Unsere 10 Besten Künstliche Intelligenz Agenturen in Deutschland - 2026 Bewertungen</v>
      </c>
      <c r="C35" s="8" t="str">
        <f>IFERROR(__xludf.DUMMYFUNCTION("""COMPUTED_VALUE"""),"sortlist.de")</f>
        <v>sortlist.de</v>
      </c>
      <c r="D35" s="11" t="str">
        <f>IFERROR(__xludf.DUMMYFUNCTION("""COMPUTED_VALUE"""),"PROFILE")</f>
        <v>PROFILE</v>
      </c>
      <c r="E35" s="11" t="str">
        <f>IFERROR(__xludf.DUMMYFUNCTION("""COMPUTED_VALUE"""),"CORPORATE")</f>
        <v>CORPORATE</v>
      </c>
      <c r="F35" s="11" t="str">
        <f>IFERROR(__xludf.DUMMYFUNCTION("""COMPUTED_VALUE"""),"Profile")</f>
        <v>Profile</v>
      </c>
      <c r="G35" s="11" t="b">
        <f>IFERROR(__xludf.DUMMYFUNCTION("""COMPUTED_VALUE"""),FALSE)</f>
        <v>0</v>
      </c>
      <c r="H35" s="11" t="str">
        <f>IFERROR(__xludf.DUMMYFUNCTION("""COMPUTED_VALUE"""),"Pilot")</f>
        <v>Pilot</v>
      </c>
      <c r="I35" s="11">
        <f>IFERROR(__xludf.DUMMYFUNCTION("""COMPUTED_VALUE"""),5.0)</f>
        <v>5</v>
      </c>
      <c r="J35" s="11">
        <f>IFERROR(__xludf.DUMMYFUNCTION("""COMPUTED_VALUE"""),0.01)</f>
        <v>0.01</v>
      </c>
      <c r="K35" s="11">
        <f>IFERROR(__xludf.DUMMYFUNCTION("""COMPUTED_VALUE"""),0.0)</f>
        <v>0</v>
      </c>
    </row>
    <row r="36" ht="15.75" customHeight="1">
      <c r="A36" s="8" t="str">
        <f>IFERROR(__xludf.DUMMYFUNCTION("""COMPUTED_VALUE"""),"https://clutch.co/de/seo-firms")</f>
        <v>https://clutch.co/de/seo-firms</v>
      </c>
      <c r="B36" s="11" t="str">
        <f>IFERROR(__xludf.DUMMYFUNCTION("""COMPUTED_VALUE"""),"Top SEO Companies in Germany - Jul 2026 Rankings \| Clutch.co")</f>
        <v>Top SEO Companies in Germany - Jul 2026 Rankings \| Clutch.co</v>
      </c>
      <c r="C36" s="8" t="str">
        <f>IFERROR(__xludf.DUMMYFUNCTION("""COMPUTED_VALUE"""),"clutch.co")</f>
        <v>clutch.co</v>
      </c>
      <c r="D36" s="11" t="str">
        <f>IFERROR(__xludf.DUMMYFUNCTION("""COMPUTED_VALUE"""),"PROFILE")</f>
        <v>PROFILE</v>
      </c>
      <c r="E36" s="11" t="str">
        <f>IFERROR(__xludf.DUMMYFUNCTION("""COMPUTED_VALUE"""),"CORPORATE")</f>
        <v>CORPORATE</v>
      </c>
      <c r="F36" s="11" t="str">
        <f>IFERROR(__xludf.DUMMYFUNCTION("""COMPUTED_VALUE"""),"Profile")</f>
        <v>Profile</v>
      </c>
      <c r="G36" s="11" t="b">
        <f>IFERROR(__xludf.DUMMYFUNCTION("""COMPUTED_VALUE"""),FALSE)</f>
        <v>0</v>
      </c>
      <c r="H36" s="11" t="str">
        <f>IFERROR(__xludf.DUMMYFUNCTION("""COMPUTED_VALUE"""),"MONSOON, Mediacharge, Claneo, Seeders, HECHT INS GEFECHT, KlickPiloten")</f>
        <v>MONSOON, Mediacharge, Claneo, Seeders, HECHT INS GEFECHT, KlickPiloten</v>
      </c>
      <c r="I36" s="11">
        <f>IFERROR(__xludf.DUMMYFUNCTION("""COMPUTED_VALUE"""),4.0)</f>
        <v>4</v>
      </c>
      <c r="J36" s="11">
        <f>IFERROR(__xludf.DUMMYFUNCTION("""COMPUTED_VALUE"""),0.0)</f>
        <v>0</v>
      </c>
      <c r="K36" s="11">
        <f>IFERROR(__xludf.DUMMYFUNCTION("""COMPUTED_VALUE"""),0.75)</f>
        <v>0.75</v>
      </c>
    </row>
    <row r="37" ht="15.75" customHeight="1">
      <c r="A37" s="8" t="str">
        <f>IFERROR(__xludf.DUMMYFUNCTION("""COMPUTED_VALUE"""),"https://de.linkedin.com/company/mawave-marketing")</f>
        <v>https://de.linkedin.com/company/mawave-marketing</v>
      </c>
      <c r="B37" s="11" t="str">
        <f>IFERROR(__xludf.DUMMYFUNCTION("""COMPUTED_VALUE"""),"Mawave | LinkedIn")</f>
        <v>Mawave | LinkedIn</v>
      </c>
      <c r="C37" s="8" t="str">
        <f>IFERROR(__xludf.DUMMYFUNCTION("""COMPUTED_VALUE"""),"linkedin.com")</f>
        <v>linkedin.com</v>
      </c>
      <c r="D37" s="11" t="str">
        <f>IFERROR(__xludf.DUMMYFUNCTION("""COMPUTED_VALUE"""),"PROFILE")</f>
        <v>PROFILE</v>
      </c>
      <c r="E37" s="11" t="str">
        <f>IFERROR(__xludf.DUMMYFUNCTION("""COMPUTED_VALUE"""),"UGC")</f>
        <v>UGC</v>
      </c>
      <c r="F37" s="11" t="str">
        <f>IFERROR(__xludf.DUMMYFUNCTION("""COMPUTED_VALUE"""),"Profile")</f>
        <v>Profile</v>
      </c>
      <c r="G37" s="11" t="b">
        <f>IFERROR(__xludf.DUMMYFUNCTION("""COMPUTED_VALUE"""),FALSE)</f>
        <v>0</v>
      </c>
      <c r="H37" s="11" t="str">
        <f>IFERROR(__xludf.DUMMYFUNCTION("""COMPUTED_VALUE"""),"Mawave, Serviceplan Group")</f>
        <v>Mawave, Serviceplan Group</v>
      </c>
      <c r="I37" s="11">
        <f>IFERROR(__xludf.DUMMYFUNCTION("""COMPUTED_VALUE"""),4.0)</f>
        <v>4</v>
      </c>
      <c r="J37" s="11">
        <f>IFERROR(__xludf.DUMMYFUNCTION("""COMPUTED_VALUE"""),0.0)</f>
        <v>0</v>
      </c>
      <c r="K37" s="11">
        <f>IFERROR(__xludf.DUMMYFUNCTION("""COMPUTED_VALUE"""),1.25)</f>
        <v>1.25</v>
      </c>
    </row>
    <row r="38" ht="15.75" customHeight="1">
      <c r="A38" s="8" t="str">
        <f>IFERROR(__xludf.DUMMYFUNCTION("""COMPUTED_VALUE"""),"https://de.wikipedia.org/wiki/Scholz_%26_Friends")</f>
        <v>https://de.wikipedia.org/wiki/Scholz_%26_Friends</v>
      </c>
      <c r="B38" s="11" t="str">
        <f>IFERROR(__xludf.DUMMYFUNCTION("""COMPUTED_VALUE"""),"Scholz &amp;amp; Friends – Wikipedia")</f>
        <v>Scholz &amp;amp; Friends – Wikipedia</v>
      </c>
      <c r="C38" s="8" t="str">
        <f>IFERROR(__xludf.DUMMYFUNCTION("""COMPUTED_VALUE"""),"wikipedia.org")</f>
        <v>wikipedia.org</v>
      </c>
      <c r="D38" s="11" t="str">
        <f>IFERROR(__xludf.DUMMYFUNCTION("""COMPUTED_VALUE"""),"PROFILE")</f>
        <v>PROFILE</v>
      </c>
      <c r="E38" s="11" t="str">
        <f>IFERROR(__xludf.DUMMYFUNCTION("""COMPUTED_VALUE"""),"REFERENCE")</f>
        <v>REFERENCE</v>
      </c>
      <c r="F38" s="11" t="str">
        <f>IFERROR(__xludf.DUMMYFUNCTION("""COMPUTED_VALUE"""),"Profile")</f>
        <v>Profile</v>
      </c>
      <c r="G38" s="11" t="b">
        <f>IFERROR(__xludf.DUMMYFUNCTION("""COMPUTED_VALUE"""),FALSE)</f>
        <v>0</v>
      </c>
      <c r="H38" s="11" t="str">
        <f>IFERROR(__xludf.DUMMYFUNCTION("""COMPUTED_VALUE"""),"Scholz &amp; Friends, WPP, Jung von Matt")</f>
        <v>Scholz &amp; Friends, WPP, Jung von Matt</v>
      </c>
      <c r="I38" s="11">
        <f>IFERROR(__xludf.DUMMYFUNCTION("""COMPUTED_VALUE"""),4.0)</f>
        <v>4</v>
      </c>
      <c r="J38" s="11">
        <f>IFERROR(__xludf.DUMMYFUNCTION("""COMPUTED_VALUE"""),0.0)</f>
        <v>0</v>
      </c>
      <c r="K38" s="11">
        <f>IFERROR(__xludf.DUMMYFUNCTION("""COMPUTED_VALUE"""),1.5)</f>
        <v>1.5</v>
      </c>
    </row>
    <row r="39" ht="15.75" customHeight="1">
      <c r="A39" s="8" t="str">
        <f>IFERROR(__xludf.DUMMYFUNCTION("""COMPUTED_VALUE"""),"https://feedbax.ai/geo-agencies")</f>
        <v>https://feedbax.ai/geo-agencies</v>
      </c>
      <c r="B39" s="11" t="str">
        <f>IFERROR(__xludf.DUMMYFUNCTION("""COMPUTED_VALUE"""),"Top 20 GEO Agencies - 2026 Reviews")</f>
        <v>Top 20 GEO Agencies - 2026 Reviews</v>
      </c>
      <c r="C39" s="8" t="str">
        <f>IFERROR(__xludf.DUMMYFUNCTION("""COMPUTED_VALUE"""),"feedbax.ai")</f>
        <v>feedbax.ai</v>
      </c>
      <c r="D39" s="11" t="str">
        <f>IFERROR(__xludf.DUMMYFUNCTION("""COMPUTED_VALUE"""),"PROFILE")</f>
        <v>PROFILE</v>
      </c>
      <c r="E39" s="11" t="str">
        <f>IFERROR(__xludf.DUMMYFUNCTION("""COMPUTED_VALUE"""),"UGC")</f>
        <v>UGC</v>
      </c>
      <c r="F39" s="11" t="str">
        <f>IFERROR(__xludf.DUMMYFUNCTION("""COMPUTED_VALUE"""),"Profile")</f>
        <v>Profile</v>
      </c>
      <c r="G39" s="11" t="b">
        <f>IFERROR(__xludf.DUMMYFUNCTION("""COMPUTED_VALUE"""),FALSE)</f>
        <v>0</v>
      </c>
      <c r="H39" s="11" t="str">
        <f>IFERROR(__xludf.DUMMYFUNCTION("""COMPUTED_VALUE"""),"DREIKON, HECHT INS GEFECHT")</f>
        <v>DREIKON, HECHT INS GEFECHT</v>
      </c>
      <c r="I39" s="11">
        <f>IFERROR(__xludf.DUMMYFUNCTION("""COMPUTED_VALUE"""),4.0)</f>
        <v>4</v>
      </c>
      <c r="J39" s="11">
        <f>IFERROR(__xludf.DUMMYFUNCTION("""COMPUTED_VALUE"""),0.0)</f>
        <v>0</v>
      </c>
      <c r="K39" s="11">
        <f>IFERROR(__xludf.DUMMYFUNCTION("""COMPUTED_VALUE"""),1.0)</f>
        <v>1</v>
      </c>
    </row>
    <row r="40" ht="15.75" customHeight="1">
      <c r="A40" s="8" t="str">
        <f>IFERROR(__xludf.DUMMYFUNCTION("""COMPUTED_VALUE"""),"https://www.geoagenturen.de/directory?location=Berlin")</f>
        <v>https://www.geoagenturen.de/directory?location=Berlin</v>
      </c>
      <c r="B40" s="11" t="str">
        <f>IFERROR(__xludf.DUMMYFUNCTION("""COMPUTED_VALUE"""),"GEO Agentur finden: 100+ Anbieter im Vergleich [2026] | Engine Native")</f>
        <v>GEO Agentur finden: 100+ Anbieter im Vergleich [2026] | Engine Native</v>
      </c>
      <c r="C40" s="8" t="str">
        <f>IFERROR(__xludf.DUMMYFUNCTION("""COMPUTED_VALUE"""),"geoagenturen.de")</f>
        <v>geoagenturen.de</v>
      </c>
      <c r="D40" s="11" t="str">
        <f>IFERROR(__xludf.DUMMYFUNCTION("""COMPUTED_VALUE"""),"PROFILE")</f>
        <v>PROFILE</v>
      </c>
      <c r="E40" s="11" t="str">
        <f>IFERROR(__xludf.DUMMYFUNCTION("""COMPUTED_VALUE"""),"REFERENCE")</f>
        <v>REFERENCE</v>
      </c>
      <c r="F40" s="11" t="str">
        <f>IFERROR(__xludf.DUMMYFUNCTION("""COMPUTED_VALUE"""),"Profile")</f>
        <v>Profile</v>
      </c>
      <c r="G40" s="11" t="b">
        <f>IFERROR(__xludf.DUMMYFUNCTION("""COMPUTED_VALUE"""),FALSE)</f>
        <v>0</v>
      </c>
      <c r="H40" s="11" t="str">
        <f>IFERROR(__xludf.DUMMYFUNCTION("""COMPUTED_VALUE"""),"Engine Native")</f>
        <v>Engine Native</v>
      </c>
      <c r="I40" s="11">
        <f>IFERROR(__xludf.DUMMYFUNCTION("""COMPUTED_VALUE"""),4.0)</f>
        <v>4</v>
      </c>
      <c r="J40" s="11">
        <f>IFERROR(__xludf.DUMMYFUNCTION("""COMPUTED_VALUE"""),0.0)</f>
        <v>0</v>
      </c>
      <c r="K40" s="11">
        <f>IFERROR(__xludf.DUMMYFUNCTION("""COMPUTED_VALUE"""),1.75)</f>
        <v>1.75</v>
      </c>
    </row>
    <row r="41" ht="15.75" customHeight="1">
      <c r="A41" s="8" t="str">
        <f>IFERROR(__xludf.DUMMYFUNCTION("""COMPUTED_VALUE"""),"https://getrecast.com/recast-llm-information/")</f>
        <v>https://getrecast.com/recast-llm-information/</v>
      </c>
      <c r="B41" s="11" t="str">
        <f>IFERROR(__xludf.DUMMYFUNCTION("""COMPUTED_VALUE"""),"About Recast | Company Overview, Platforms &amp;amp; Methodology - Recast")</f>
        <v>About Recast | Company Overview, Platforms &amp;amp; Methodology - Recast</v>
      </c>
      <c r="C41" s="8" t="str">
        <f>IFERROR(__xludf.DUMMYFUNCTION("""COMPUTED_VALUE"""),"getrecast.com")</f>
        <v>getrecast.com</v>
      </c>
      <c r="D41" s="11" t="str">
        <f>IFERROR(__xludf.DUMMYFUNCTION("""COMPUTED_VALUE"""),"PROFILE")</f>
        <v>PROFILE</v>
      </c>
      <c r="E41" s="11" t="str">
        <f>IFERROR(__xludf.DUMMYFUNCTION("""COMPUTED_VALUE"""),"COMPETITOR")</f>
        <v>COMPETITOR</v>
      </c>
      <c r="F41" s="11" t="str">
        <f>IFERROR(__xludf.DUMMYFUNCTION("""COMPUTED_VALUE"""),"Profile")</f>
        <v>Profile</v>
      </c>
      <c r="G41" s="11" t="b">
        <f>IFERROR(__xludf.DUMMYFUNCTION("""COMPUTED_VALUE"""),FALSE)</f>
        <v>0</v>
      </c>
      <c r="H41" s="11" t="str">
        <f>IFERROR(__xludf.DUMMYFUNCTION("""COMPUTED_VALUE"""),"Recast")</f>
        <v>Recast</v>
      </c>
      <c r="I41" s="11">
        <f>IFERROR(__xludf.DUMMYFUNCTION("""COMPUTED_VALUE"""),4.0)</f>
        <v>4</v>
      </c>
      <c r="J41" s="11">
        <f>IFERROR(__xludf.DUMMYFUNCTION("""COMPUTED_VALUE"""),0.0)</f>
        <v>0</v>
      </c>
      <c r="K41" s="11">
        <f>IFERROR(__xludf.DUMMYFUNCTION("""COMPUTED_VALUE"""),0.0)</f>
        <v>0</v>
      </c>
    </row>
    <row r="42" ht="15.75" customHeight="1">
      <c r="A42" s="8" t="str">
        <f>IFERROR(__xludf.DUMMYFUNCTION("""COMPUTED_VALUE"""),"https://www.gwa.de/agentur/scholz-friends-rec6exos7k6ou0wlx/")</f>
        <v>https://www.gwa.de/agentur/scholz-friends-rec6exos7k6ou0wlx/</v>
      </c>
      <c r="B42" s="11" t="str">
        <f>IFERROR(__xludf.DUMMYFUNCTION("""COMPUTED_VALUE"""),"Scholz &amp;amp; Friends - GWA")</f>
        <v>Scholz &amp;amp; Friends - GWA</v>
      </c>
      <c r="C42" s="8" t="str">
        <f>IFERROR(__xludf.DUMMYFUNCTION("""COMPUTED_VALUE"""),"gwa.de")</f>
        <v>gwa.de</v>
      </c>
      <c r="D42" s="11" t="str">
        <f>IFERROR(__xludf.DUMMYFUNCTION("""COMPUTED_VALUE"""),"PROFILE")</f>
        <v>PROFILE</v>
      </c>
      <c r="E42" s="11" t="str">
        <f>IFERROR(__xludf.DUMMYFUNCTION("""COMPUTED_VALUE"""),"INSTITUTIONAL")</f>
        <v>INSTITUTIONAL</v>
      </c>
      <c r="F42" s="11" t="str">
        <f>IFERROR(__xludf.DUMMYFUNCTION("""COMPUTED_VALUE"""),"Profile")</f>
        <v>Profile</v>
      </c>
      <c r="G42" s="11" t="b">
        <f>IFERROR(__xludf.DUMMYFUNCTION("""COMPUTED_VALUE"""),FALSE)</f>
        <v>0</v>
      </c>
      <c r="H42" s="11" t="str">
        <f>IFERROR(__xludf.DUMMYFUNCTION("""COMPUTED_VALUE"""),"Scholz &amp; Friends, WPP")</f>
        <v>Scholz &amp; Friends, WPP</v>
      </c>
      <c r="I42" s="11">
        <f>IFERROR(__xludf.DUMMYFUNCTION("""COMPUTED_VALUE"""),4.0)</f>
        <v>4</v>
      </c>
      <c r="J42" s="11">
        <f>IFERROR(__xludf.DUMMYFUNCTION("""COMPUTED_VALUE"""),0.0)</f>
        <v>0</v>
      </c>
      <c r="K42" s="11">
        <f>IFERROR(__xludf.DUMMYFUNCTION("""COMPUTED_VALUE"""),1.25)</f>
        <v>1.25</v>
      </c>
    </row>
    <row r="43" ht="15.75" customHeight="1">
      <c r="A43" s="8" t="str">
        <f>IFERROR(__xludf.DUMMYFUNCTION("""COMPUTED_VALUE"""),"https://www.ibusiness.de/performance-ranking/performance_2023")</f>
        <v>https://www.ibusiness.de/performance-ranking/performance_2023</v>
      </c>
      <c r="B43" s="11" t="str">
        <f>IFERROR(__xludf.DUMMYFUNCTION("""COMPUTED_VALUE"""),"Das Ranking der gr��ten deutschen Performance-Marketing-Agenturen")</f>
        <v>Das Ranking der gr��ten deutschen Performance-Marketing-Agenturen</v>
      </c>
      <c r="C43" s="8" t="str">
        <f>IFERROR(__xludf.DUMMYFUNCTION("""COMPUTED_VALUE"""),"ibusiness.de")</f>
        <v>ibusiness.de</v>
      </c>
      <c r="D43" s="11" t="str">
        <f>IFERROR(__xludf.DUMMYFUNCTION("""COMPUTED_VALUE"""),"PROFILE")</f>
        <v>PROFILE</v>
      </c>
      <c r="E43" s="11" t="str">
        <f>IFERROR(__xludf.DUMMYFUNCTION("""COMPUTED_VALUE"""),"EDITORIAL")</f>
        <v>EDITORIAL</v>
      </c>
      <c r="F43" s="11" t="str">
        <f>IFERROR(__xludf.DUMMYFUNCTION("""COMPUTED_VALUE"""),"Profile")</f>
        <v>Profile</v>
      </c>
      <c r="G43" s="11" t="b">
        <f>IFERROR(__xludf.DUMMYFUNCTION("""COMPUTED_VALUE"""),FALSE)</f>
        <v>0</v>
      </c>
      <c r="H43" s="11" t="str">
        <f>IFERROR(__xludf.DUMMYFUNCTION("""COMPUTED_VALUE"""),"Serviceplan Group, Smarketer, iProspect, e-dialog, morefire, The Boutique Agency, 42DIGITAL, Aufgesang")</f>
        <v>Serviceplan Group, Smarketer, iProspect, e-dialog, morefire, The Boutique Agency, 42DIGITAL, Aufgesang</v>
      </c>
      <c r="I43" s="11">
        <f>IFERROR(__xludf.DUMMYFUNCTION("""COMPUTED_VALUE"""),4.0)</f>
        <v>4</v>
      </c>
      <c r="J43" s="11">
        <f>IFERROR(__xludf.DUMMYFUNCTION("""COMPUTED_VALUE"""),0.0)</f>
        <v>0</v>
      </c>
      <c r="K43" s="11">
        <f>IFERROR(__xludf.DUMMYFUNCTION("""COMPUTED_VALUE"""),0.0)</f>
        <v>0</v>
      </c>
    </row>
    <row r="44" ht="15.75" customHeight="1">
      <c r="A44" s="8" t="str">
        <f>IFERROR(__xludf.DUMMYFUNCTION("""COMPUTED_VALUE"""),"https://mmaglobal.com/smarties/business-impact-index?category=Agency+Network&amp;region=Germany&amp;year=2024")</f>
        <v>https://mmaglobal.com/smarties/business-impact-index?category=Agency+Network&amp;region=Germany&amp;year=2024</v>
      </c>
      <c r="B44" s="11" t="str">
        <f>IFERROR(__xludf.DUMMYFUNCTION("""COMPUTED_VALUE"""),"Overview | MMA / Marketing + Media Alliance")</f>
        <v>Overview | MMA / Marketing + Media Alliance</v>
      </c>
      <c r="C44" s="8" t="str">
        <f>IFERROR(__xludf.DUMMYFUNCTION("""COMPUTED_VALUE"""),"mmaglobal.com")</f>
        <v>mmaglobal.com</v>
      </c>
      <c r="D44" s="11" t="str">
        <f>IFERROR(__xludf.DUMMYFUNCTION("""COMPUTED_VALUE"""),"PROFILE")</f>
        <v>PROFILE</v>
      </c>
      <c r="E44" s="11" t="str">
        <f>IFERROR(__xludf.DUMMYFUNCTION("""COMPUTED_VALUE"""),"INSTITUTIONAL")</f>
        <v>INSTITUTIONAL</v>
      </c>
      <c r="F44" s="11" t="str">
        <f>IFERROR(__xludf.DUMMYFUNCTION("""COMPUTED_VALUE"""),"Profile")</f>
        <v>Profile</v>
      </c>
      <c r="G44" s="11" t="b">
        <f>IFERROR(__xludf.DUMMYFUNCTION("""COMPUTED_VALUE"""),FALSE)</f>
        <v>0</v>
      </c>
      <c r="H44" s="11" t="str">
        <f>IFERROR(__xludf.DUMMYFUNCTION("""COMPUTED_VALUE"""),"Omnicom, Mindshare, WPP, OMD, Dentsu, GroupM, Omnicom Media Group")</f>
        <v>Omnicom, Mindshare, WPP, OMD, Dentsu, GroupM, Omnicom Media Group</v>
      </c>
      <c r="I44" s="11">
        <f>IFERROR(__xludf.DUMMYFUNCTION("""COMPUTED_VALUE"""),4.0)</f>
        <v>4</v>
      </c>
      <c r="J44" s="11">
        <f>IFERROR(__xludf.DUMMYFUNCTION("""COMPUTED_VALUE"""),0.0)</f>
        <v>0</v>
      </c>
      <c r="K44" s="11">
        <f>IFERROR(__xludf.DUMMYFUNCTION("""COMPUTED_VALUE"""),0.0)</f>
        <v>0</v>
      </c>
    </row>
    <row r="45" ht="15.75" customHeight="1">
      <c r="A45" s="8" t="str">
        <f>IFERROR(__xludf.DUMMYFUNCTION("""COMPUTED_VALUE"""),"https://omr.com/de/reviews/service/smarketer-group")</f>
        <v>https://omr.com/de/reviews/service/smarketer-group</v>
      </c>
      <c r="B45" s="11" t="str">
        <f>IFERROR(__xludf.DUMMYFUNCTION("""COMPUTED_VALUE"""),"Smarketer Group Infos &amp;amp; Leistungen | OMR Reviews")</f>
        <v>Smarketer Group Infos &amp;amp; Leistungen | OMR Reviews</v>
      </c>
      <c r="C45" s="8" t="str">
        <f>IFERROR(__xludf.DUMMYFUNCTION("""COMPUTED_VALUE"""),"omr.com")</f>
        <v>omr.com</v>
      </c>
      <c r="D45" s="11" t="str">
        <f>IFERROR(__xludf.DUMMYFUNCTION("""COMPUTED_VALUE"""),"PROFILE")</f>
        <v>PROFILE</v>
      </c>
      <c r="E45" s="11" t="str">
        <f>IFERROR(__xludf.DUMMYFUNCTION("""COMPUTED_VALUE"""),"OTHER")</f>
        <v>OTHER</v>
      </c>
      <c r="F45" s="11" t="str">
        <f>IFERROR(__xludf.DUMMYFUNCTION("""COMPUTED_VALUE"""),"Profile")</f>
        <v>Profile</v>
      </c>
      <c r="G45" s="11" t="b">
        <f>IFERROR(__xludf.DUMMYFUNCTION("""COMPUTED_VALUE"""),FALSE)</f>
        <v>0</v>
      </c>
      <c r="H45" s="11" t="str">
        <f>IFERROR(__xludf.DUMMYFUNCTION("""COMPUTED_VALUE"""),"Smarketer")</f>
        <v>Smarketer</v>
      </c>
      <c r="I45" s="11">
        <f>IFERROR(__xludf.DUMMYFUNCTION("""COMPUTED_VALUE"""),4.0)</f>
        <v>4</v>
      </c>
      <c r="J45" s="11">
        <f>IFERROR(__xludf.DUMMYFUNCTION("""COMPUTED_VALUE"""),0.0)</f>
        <v>0</v>
      </c>
      <c r="K45" s="11">
        <f>IFERROR(__xludf.DUMMYFUNCTION("""COMPUTED_VALUE"""),0.0)</f>
        <v>0</v>
      </c>
    </row>
    <row r="46" ht="15.75" customHeight="1">
      <c r="A46" s="8" t="str">
        <f>IFERROR(__xludf.DUMMYFUNCTION("""COMPUTED_VALUE"""),"https://www.trkkn.com/company/")</f>
        <v>https://www.trkkn.com/company/</v>
      </c>
      <c r="B46" s="11" t="str">
        <f>IFERROR(__xludf.DUMMYFUNCTION("""COMPUTED_VALUE"""),"TRKKN - Certified Google partner and reseller")</f>
        <v>TRKKN - Certified Google partner and reseller</v>
      </c>
      <c r="C46" s="8" t="str">
        <f>IFERROR(__xludf.DUMMYFUNCTION("""COMPUTED_VALUE"""),"trkkn.com")</f>
        <v>trkkn.com</v>
      </c>
      <c r="D46" s="11" t="str">
        <f>IFERROR(__xludf.DUMMYFUNCTION("""COMPUTED_VALUE"""),"PROFILE")</f>
        <v>PROFILE</v>
      </c>
      <c r="E46" s="11" t="str">
        <f>IFERROR(__xludf.DUMMYFUNCTION("""COMPUTED_VALUE"""),"CORPORATE")</f>
        <v>CORPORATE</v>
      </c>
      <c r="F46" s="11" t="str">
        <f>IFERROR(__xludf.DUMMYFUNCTION("""COMPUTED_VALUE"""),"Profile")</f>
        <v>Profile</v>
      </c>
      <c r="G46" s="11" t="b">
        <f>IFERROR(__xludf.DUMMYFUNCTION("""COMPUTED_VALUE"""),FALSE)</f>
        <v>0</v>
      </c>
      <c r="H46" s="11"/>
      <c r="I46" s="11">
        <f>IFERROR(__xludf.DUMMYFUNCTION("""COMPUTED_VALUE"""),4.0)</f>
        <v>4</v>
      </c>
      <c r="J46" s="11">
        <f>IFERROR(__xludf.DUMMYFUNCTION("""COMPUTED_VALUE"""),0.0)</f>
        <v>0</v>
      </c>
      <c r="K46" s="11">
        <f>IFERROR(__xludf.DUMMYFUNCTION("""COMPUTED_VALUE"""),1.75)</f>
        <v>1.75</v>
      </c>
    </row>
    <row r="47" ht="15.75" customHeight="1">
      <c r="A47" s="8" t="str">
        <f>IFERROR(__xludf.DUMMYFUNCTION("""COMPUTED_VALUE"""),"https://www.werbeagentur.de/en/scoring/ab-testing")</f>
        <v>https://www.werbeagentur.de/en/scoring/ab-testing</v>
      </c>
      <c r="B47" s="11" t="str">
        <f>IFERROR(__xludf.DUMMYFUNCTION("""COMPUTED_VALUE"""),"29 Top Agenturen für AB Testing. Hier vergleichen")</f>
        <v>29 Top Agenturen für AB Testing. Hier vergleichen</v>
      </c>
      <c r="C47" s="8" t="str">
        <f>IFERROR(__xludf.DUMMYFUNCTION("""COMPUTED_VALUE"""),"werbeagentur.de")</f>
        <v>werbeagentur.de</v>
      </c>
      <c r="D47" s="11" t="str">
        <f>IFERROR(__xludf.DUMMYFUNCTION("""COMPUTED_VALUE"""),"PROFILE")</f>
        <v>PROFILE</v>
      </c>
      <c r="E47" s="11" t="str">
        <f>IFERROR(__xludf.DUMMYFUNCTION("""COMPUTED_VALUE"""),"REFERENCE")</f>
        <v>REFERENCE</v>
      </c>
      <c r="F47" s="11" t="str">
        <f>IFERROR(__xludf.DUMMYFUNCTION("""COMPUTED_VALUE"""),"Profile")</f>
        <v>Profile</v>
      </c>
      <c r="G47" s="11" t="b">
        <f>IFERROR(__xludf.DUMMYFUNCTION("""COMPUTED_VALUE"""),FALSE)</f>
        <v>0</v>
      </c>
      <c r="H47" s="11" t="str">
        <f>IFERROR(__xludf.DUMMYFUNCTION("""COMPUTED_VALUE"""),"morefire, Digital Masters GmbH")</f>
        <v>morefire, Digital Masters GmbH</v>
      </c>
      <c r="I47" s="11">
        <f>IFERROR(__xludf.DUMMYFUNCTION("""COMPUTED_VALUE"""),4.0)</f>
        <v>4</v>
      </c>
      <c r="J47" s="11">
        <f>IFERROR(__xludf.DUMMYFUNCTION("""COMPUTED_VALUE"""),0.0)</f>
        <v>0</v>
      </c>
      <c r="K47" s="11">
        <f>IFERROR(__xludf.DUMMYFUNCTION("""COMPUTED_VALUE"""),0.25)</f>
        <v>0.25</v>
      </c>
    </row>
    <row r="48" ht="15.75" customHeight="1">
      <c r="A48" s="8" t="str">
        <f>IFERROR(__xludf.DUMMYFUNCTION("""COMPUTED_VALUE"""),"https://www.adspecialist.de/en/channel-data-driven-marketing-agentur/")</f>
        <v>https://www.adspecialist.de/en/channel-data-driven-marketing-agentur/</v>
      </c>
      <c r="B48" s="11" t="str">
        <f>IFERROR(__xludf.DUMMYFUNCTION("""COMPUTED_VALUE"""),"Data-Driven Marketing Agency - Influencer Growth - Ad Specialist")</f>
        <v>Data-Driven Marketing Agency - Influencer Growth - Ad Specialist</v>
      </c>
      <c r="C48" s="8" t="str">
        <f>IFERROR(__xludf.DUMMYFUNCTION("""COMPUTED_VALUE"""),"adspecialist.de")</f>
        <v>adspecialist.de</v>
      </c>
      <c r="D48" s="11" t="str">
        <f>IFERROR(__xludf.DUMMYFUNCTION("""COMPUTED_VALUE"""),"PROFILE")</f>
        <v>PROFILE</v>
      </c>
      <c r="E48" s="11" t="str">
        <f>IFERROR(__xludf.DUMMYFUNCTION("""COMPUTED_VALUE"""),"CORPORATE")</f>
        <v>CORPORATE</v>
      </c>
      <c r="F48" s="11" t="str">
        <f>IFERROR(__xludf.DUMMYFUNCTION("""COMPUTED_VALUE"""),"Profile")</f>
        <v>Profile</v>
      </c>
      <c r="G48" s="11" t="b">
        <f>IFERROR(__xludf.DUMMYFUNCTION("""COMPUTED_VALUE"""),FALSE)</f>
        <v>0</v>
      </c>
      <c r="H48" s="11"/>
      <c r="I48" s="11">
        <f>IFERROR(__xludf.DUMMYFUNCTION("""COMPUTED_VALUE"""),3.0)</f>
        <v>3</v>
      </c>
      <c r="J48" s="11">
        <f>IFERROR(__xludf.DUMMYFUNCTION("""COMPUTED_VALUE"""),0.0)</f>
        <v>0</v>
      </c>
      <c r="K48" s="11">
        <f>IFERROR(__xludf.DUMMYFUNCTION("""COMPUTED_VALUE"""),1.0)</f>
        <v>1</v>
      </c>
    </row>
    <row r="49" ht="15.75" customHeight="1">
      <c r="A49" s="8" t="str">
        <f>IFERROR(__xludf.DUMMYFUNCTION("""COMPUTED_VALUE"""),"https://agencies.semrush.com/list/ai-optimization/hamburg/")</f>
        <v>https://agencies.semrush.com/list/ai-optimization/hamburg/</v>
      </c>
      <c r="B49" s="11" t="str">
        <f>IFERROR(__xludf.DUMMYFUNCTION("""COMPUTED_VALUE"""),"Best AI Search Optimization Agencies in Hamburg 2026 | Semrush")</f>
        <v>Best AI Search Optimization Agencies in Hamburg 2026 | Semrush</v>
      </c>
      <c r="C49" s="8" t="str">
        <f>IFERROR(__xludf.DUMMYFUNCTION("""COMPUTED_VALUE"""),"semrush.com")</f>
        <v>semrush.com</v>
      </c>
      <c r="D49" s="11" t="str">
        <f>IFERROR(__xludf.DUMMYFUNCTION("""COMPUTED_VALUE"""),"PROFILE")</f>
        <v>PROFILE</v>
      </c>
      <c r="E49" s="11" t="str">
        <f>IFERROR(__xludf.DUMMYFUNCTION("""COMPUTED_VALUE"""),"CORPORATE")</f>
        <v>CORPORATE</v>
      </c>
      <c r="F49" s="11" t="str">
        <f>IFERROR(__xludf.DUMMYFUNCTION("""COMPUTED_VALUE"""),"Profile")</f>
        <v>Profile</v>
      </c>
      <c r="G49" s="11" t="b">
        <f>IFERROR(__xludf.DUMMYFUNCTION("""COMPUTED_VALUE"""),FALSE)</f>
        <v>0</v>
      </c>
      <c r="H49" s="11" t="str">
        <f>IFERROR(__xludf.DUMMYFUNCTION("""COMPUTED_VALUE"""),"HECHT INS GEFECHT, morefire, Mediaplus Performance")</f>
        <v>HECHT INS GEFECHT, morefire, Mediaplus Performance</v>
      </c>
      <c r="I49" s="11">
        <f>IFERROR(__xludf.DUMMYFUNCTION("""COMPUTED_VALUE"""),3.0)</f>
        <v>3</v>
      </c>
      <c r="J49" s="11">
        <f>IFERROR(__xludf.DUMMYFUNCTION("""COMPUTED_VALUE"""),0.0)</f>
        <v>0</v>
      </c>
      <c r="K49" s="11">
        <f>IFERROR(__xludf.DUMMYFUNCTION("""COMPUTED_VALUE"""),1.0)</f>
        <v>1</v>
      </c>
    </row>
    <row r="50" ht="15.75" customHeight="1">
      <c r="A50" s="8" t="str">
        <f>IFERROR(__xludf.DUMMYFUNCTION("""COMPUTED_VALUE"""),"https://attributy.de/about")</f>
        <v>https://attributy.de/about</v>
      </c>
      <c r="B50" s="11" t="str">
        <f>IFERROR(__xludf.DUMMYFUNCTION("""COMPUTED_VALUE"""),"About Attributy | Marketing Attribution Company")</f>
        <v>About Attributy | Marketing Attribution Company</v>
      </c>
      <c r="C50" s="8" t="str">
        <f>IFERROR(__xludf.DUMMYFUNCTION("""COMPUTED_VALUE"""),"attributy.de")</f>
        <v>attributy.de</v>
      </c>
      <c r="D50" s="11" t="str">
        <f>IFERROR(__xludf.DUMMYFUNCTION("""COMPUTED_VALUE"""),"PROFILE")</f>
        <v>PROFILE</v>
      </c>
      <c r="E50" s="11" t="str">
        <f>IFERROR(__xludf.DUMMYFUNCTION("""COMPUTED_VALUE"""),"CORPORATE")</f>
        <v>CORPORATE</v>
      </c>
      <c r="F50" s="11" t="str">
        <f>IFERROR(__xludf.DUMMYFUNCTION("""COMPUTED_VALUE"""),"Profile")</f>
        <v>Profile</v>
      </c>
      <c r="G50" s="11" t="b">
        <f>IFERROR(__xludf.DUMMYFUNCTION("""COMPUTED_VALUE"""),FALSE)</f>
        <v>0</v>
      </c>
      <c r="H50" s="11" t="str">
        <f>IFERROR(__xludf.DUMMYFUNCTION("""COMPUTED_VALUE"""),"Measured")</f>
        <v>Measured</v>
      </c>
      <c r="I50" s="11">
        <f>IFERROR(__xludf.DUMMYFUNCTION("""COMPUTED_VALUE"""),3.0)</f>
        <v>3</v>
      </c>
      <c r="J50" s="11">
        <f>IFERROR(__xludf.DUMMYFUNCTION("""COMPUTED_VALUE"""),0.0)</f>
        <v>0</v>
      </c>
      <c r="K50" s="11">
        <f>IFERROR(__xludf.DUMMYFUNCTION("""COMPUTED_VALUE"""),1.0)</f>
        <v>1</v>
      </c>
    </row>
    <row r="51" ht="15.75" customHeight="1">
      <c r="A51" s="8" t="str">
        <f>IFERROR(__xludf.DUMMYFUNCTION("""COMPUTED_VALUE"""),"https://de.linkedin.com/company/the-boutique-agency-de")</f>
        <v>https://de.linkedin.com/company/the-boutique-agency-de</v>
      </c>
      <c r="B51" s="11" t="str">
        <f>IFERROR(__xludf.DUMMYFUNCTION("""COMPUTED_VALUE"""),"The Boutique Agency | LinkedIn")</f>
        <v>The Boutique Agency | LinkedIn</v>
      </c>
      <c r="C51" s="8" t="str">
        <f>IFERROR(__xludf.DUMMYFUNCTION("""COMPUTED_VALUE"""),"linkedin.com")</f>
        <v>linkedin.com</v>
      </c>
      <c r="D51" s="11" t="str">
        <f>IFERROR(__xludf.DUMMYFUNCTION("""COMPUTED_VALUE"""),"PROFILE")</f>
        <v>PROFILE</v>
      </c>
      <c r="E51" s="11" t="str">
        <f>IFERROR(__xludf.DUMMYFUNCTION("""COMPUTED_VALUE"""),"UGC")</f>
        <v>UGC</v>
      </c>
      <c r="F51" s="11" t="str">
        <f>IFERROR(__xludf.DUMMYFUNCTION("""COMPUTED_VALUE"""),"Profile")</f>
        <v>Profile</v>
      </c>
      <c r="G51" s="11" t="b">
        <f>IFERROR(__xludf.DUMMYFUNCTION("""COMPUTED_VALUE"""),FALSE)</f>
        <v>0</v>
      </c>
      <c r="H51" s="11" t="str">
        <f>IFERROR(__xludf.DUMMYFUNCTION("""COMPUTED_VALUE"""),"The Boutique Agency, eMinded GmbH, Serviceplan Group, Smarketer, Loyamo")</f>
        <v>The Boutique Agency, eMinded GmbH, Serviceplan Group, Smarketer, Loyamo</v>
      </c>
      <c r="I51" s="11">
        <f>IFERROR(__xludf.DUMMYFUNCTION("""COMPUTED_VALUE"""),3.0)</f>
        <v>3</v>
      </c>
      <c r="J51" s="11">
        <f>IFERROR(__xludf.DUMMYFUNCTION("""COMPUTED_VALUE"""),0.0)</f>
        <v>0</v>
      </c>
      <c r="K51" s="11">
        <f>IFERROR(__xludf.DUMMYFUNCTION("""COMPUTED_VALUE"""),1.33)</f>
        <v>1.33</v>
      </c>
    </row>
    <row r="52" ht="15.75" customHeight="1">
      <c r="A52" s="8" t="str">
        <f>IFERROR(__xludf.DUMMYFUNCTION("""COMPUTED_VALUE"""),"https://www.hopmann.com/de/unternehmen/")</f>
        <v>https://www.hopmann.com/de/unternehmen/</v>
      </c>
      <c r="B52" s="11" t="str">
        <f>IFERROR(__xludf.DUMMYFUNCTION("""COMPUTED_VALUE"""),"Hopmann Marketing Analytics Beratung München")</f>
        <v>Hopmann Marketing Analytics Beratung München</v>
      </c>
      <c r="C52" s="8" t="str">
        <f>IFERROR(__xludf.DUMMYFUNCTION("""COMPUTED_VALUE"""),"hopmann.com")</f>
        <v>hopmann.com</v>
      </c>
      <c r="D52" s="11" t="str">
        <f>IFERROR(__xludf.DUMMYFUNCTION("""COMPUTED_VALUE"""),"PROFILE")</f>
        <v>PROFILE</v>
      </c>
      <c r="E52" s="11" t="str">
        <f>IFERROR(__xludf.DUMMYFUNCTION("""COMPUTED_VALUE"""),"COMPETITOR")</f>
        <v>COMPETITOR</v>
      </c>
      <c r="F52" s="11" t="str">
        <f>IFERROR(__xludf.DUMMYFUNCTION("""COMPUTED_VALUE"""),"Profile")</f>
        <v>Profile</v>
      </c>
      <c r="G52" s="11" t="b">
        <f>IFERROR(__xludf.DUMMYFUNCTION("""COMPUTED_VALUE"""),FALSE)</f>
        <v>0</v>
      </c>
      <c r="H52" s="11" t="str">
        <f>IFERROR(__xludf.DUMMYFUNCTION("""COMPUTED_VALUE"""),"Hopmann Marketing Analytics GmbH")</f>
        <v>Hopmann Marketing Analytics GmbH</v>
      </c>
      <c r="I52" s="11">
        <f>IFERROR(__xludf.DUMMYFUNCTION("""COMPUTED_VALUE"""),3.0)</f>
        <v>3</v>
      </c>
      <c r="J52" s="11">
        <f>IFERROR(__xludf.DUMMYFUNCTION("""COMPUTED_VALUE"""),0.0)</f>
        <v>0</v>
      </c>
      <c r="K52" s="11">
        <f>IFERROR(__xludf.DUMMYFUNCTION("""COMPUTED_VALUE"""),1.0)</f>
        <v>1</v>
      </c>
    </row>
    <row r="53" ht="15.75" customHeight="1">
      <c r="A53" s="8" t="str">
        <f>IFERROR(__xludf.DUMMYFUNCTION("""COMPUTED_VALUE"""),"https://www.ibusiness.de/performance-ranking/performance_2023.html")</f>
        <v>https://www.ibusiness.de/performance-ranking/performance_2023.html</v>
      </c>
      <c r="B53" s="11" t="str">
        <f>IFERROR(__xludf.DUMMYFUNCTION("""COMPUTED_VALUE"""),"Das Ranking der gr��ten deutschen Performance-Marketing-Agenturen")</f>
        <v>Das Ranking der gr��ten deutschen Performance-Marketing-Agenturen</v>
      </c>
      <c r="C53" s="8" t="str">
        <f>IFERROR(__xludf.DUMMYFUNCTION("""COMPUTED_VALUE"""),"ibusiness.de")</f>
        <v>ibusiness.de</v>
      </c>
      <c r="D53" s="11" t="str">
        <f>IFERROR(__xludf.DUMMYFUNCTION("""COMPUTED_VALUE"""),"PROFILE")</f>
        <v>PROFILE</v>
      </c>
      <c r="E53" s="11" t="str">
        <f>IFERROR(__xludf.DUMMYFUNCTION("""COMPUTED_VALUE"""),"EDITORIAL")</f>
        <v>EDITORIAL</v>
      </c>
      <c r="F53" s="11" t="str">
        <f>IFERROR(__xludf.DUMMYFUNCTION("""COMPUTED_VALUE"""),"Profile")</f>
        <v>Profile</v>
      </c>
      <c r="G53" s="11" t="b">
        <f>IFERROR(__xludf.DUMMYFUNCTION("""COMPUTED_VALUE"""),FALSE)</f>
        <v>0</v>
      </c>
      <c r="H53" s="11" t="str">
        <f>IFERROR(__xludf.DUMMYFUNCTION("""COMPUTED_VALUE"""),"Serviceplan Group, Smarketer, iProspect, e-dialog, morefire, The Boutique Agency, 42DIGITAL, Aufgesang")</f>
        <v>Serviceplan Group, Smarketer, iProspect, e-dialog, morefire, The Boutique Agency, 42DIGITAL, Aufgesang</v>
      </c>
      <c r="I53" s="11">
        <f>IFERROR(__xludf.DUMMYFUNCTION("""COMPUTED_VALUE"""),3.0)</f>
        <v>3</v>
      </c>
      <c r="J53" s="11">
        <f>IFERROR(__xludf.DUMMYFUNCTION("""COMPUTED_VALUE"""),0.0)</f>
        <v>0</v>
      </c>
      <c r="K53" s="11">
        <f>IFERROR(__xludf.DUMMYFUNCTION("""COMPUTED_VALUE"""),0.0)</f>
        <v>0</v>
      </c>
    </row>
    <row r="54" ht="15.75" customHeight="1">
      <c r="A54" s="8" t="str">
        <f>IFERROR(__xludf.DUMMYFUNCTION("""COMPUTED_VALUE"""),"https://www.ibusiness.de/performance-ranking/performance_2024.html")</f>
        <v>https://www.ibusiness.de/performance-ranking/performance_2024.html</v>
      </c>
      <c r="B54" s="11" t="str">
        <f>IFERROR(__xludf.DUMMYFUNCTION("""COMPUTED_VALUE"""),"Das Ranking der gr��ten deutschen Performance-Marketing-Agenturen")</f>
        <v>Das Ranking der gr��ten deutschen Performance-Marketing-Agenturen</v>
      </c>
      <c r="C54" s="8" t="str">
        <f>IFERROR(__xludf.DUMMYFUNCTION("""COMPUTED_VALUE"""),"ibusiness.de")</f>
        <v>ibusiness.de</v>
      </c>
      <c r="D54" s="11" t="str">
        <f>IFERROR(__xludf.DUMMYFUNCTION("""COMPUTED_VALUE"""),"PROFILE")</f>
        <v>PROFILE</v>
      </c>
      <c r="E54" s="11" t="str">
        <f>IFERROR(__xludf.DUMMYFUNCTION("""COMPUTED_VALUE"""),"EDITORIAL")</f>
        <v>EDITORIAL</v>
      </c>
      <c r="F54" s="11" t="str">
        <f>IFERROR(__xludf.DUMMYFUNCTION("""COMPUTED_VALUE"""),"Profile")</f>
        <v>Profile</v>
      </c>
      <c r="G54" s="11" t="b">
        <f>IFERROR(__xludf.DUMMYFUNCTION("""COMPUTED_VALUE"""),FALSE)</f>
        <v>0</v>
      </c>
      <c r="H54" s="11" t="str">
        <f>IFERROR(__xludf.DUMMYFUNCTION("""COMPUTED_VALUE"""),"iProspect, Smarketer, Peak Ace, e-dialog, morefire, The Boutique Agency, 42DIGITAL, Aufgesang, eMinded GmbH")</f>
        <v>iProspect, Smarketer, Peak Ace, e-dialog, morefire, The Boutique Agency, 42DIGITAL, Aufgesang, eMinded GmbH</v>
      </c>
      <c r="I54" s="11">
        <f>IFERROR(__xludf.DUMMYFUNCTION("""COMPUTED_VALUE"""),3.0)</f>
        <v>3</v>
      </c>
      <c r="J54" s="11">
        <f>IFERROR(__xludf.DUMMYFUNCTION("""COMPUTED_VALUE"""),0.0)</f>
        <v>0</v>
      </c>
      <c r="K54" s="11">
        <f>IFERROR(__xludf.DUMMYFUNCTION("""COMPUTED_VALUE"""),0.0)</f>
        <v>0</v>
      </c>
    </row>
    <row r="55" ht="15.75" customHeight="1">
      <c r="A55" s="8" t="str">
        <f>IFERROR(__xludf.DUMMYFUNCTION("""COMPUTED_VALUE"""),"https://www.omt.de/online-marketing-tools/google-marketing-platform/agenturen/")</f>
        <v>https://www.omt.de/online-marketing-tools/google-marketing-platform/agenturen/</v>
      </c>
      <c r="B55" s="11" t="str">
        <f>IFERROR(__xludf.DUMMYFUNCTION("""COMPUTED_VALUE"""),"Du suchst die richtige Google Marketing Platform-Agentur? | OMT")</f>
        <v>Du suchst die richtige Google Marketing Platform-Agentur? | OMT</v>
      </c>
      <c r="C55" s="8" t="str">
        <f>IFERROR(__xludf.DUMMYFUNCTION("""COMPUTED_VALUE"""),"omt.de")</f>
        <v>omt.de</v>
      </c>
      <c r="D55" s="11" t="str">
        <f>IFERROR(__xludf.DUMMYFUNCTION("""COMPUTED_VALUE"""),"PROFILE")</f>
        <v>PROFILE</v>
      </c>
      <c r="E55" s="11" t="str">
        <f>IFERROR(__xludf.DUMMYFUNCTION("""COMPUTED_VALUE"""),"OTHER")</f>
        <v>OTHER</v>
      </c>
      <c r="F55" s="11" t="str">
        <f>IFERROR(__xludf.DUMMYFUNCTION("""COMPUTED_VALUE"""),"Profile")</f>
        <v>Profile</v>
      </c>
      <c r="G55" s="11" t="b">
        <f>IFERROR(__xludf.DUMMYFUNCTION("""COMPUTED_VALUE"""),FALSE)</f>
        <v>0</v>
      </c>
      <c r="H55" s="11"/>
      <c r="I55" s="11">
        <f>IFERROR(__xludf.DUMMYFUNCTION("""COMPUTED_VALUE"""),3.0)</f>
        <v>3</v>
      </c>
      <c r="J55" s="11">
        <f>IFERROR(__xludf.DUMMYFUNCTION("""COMPUTED_VALUE"""),0.0)</f>
        <v>0</v>
      </c>
      <c r="K55" s="11">
        <f>IFERROR(__xludf.DUMMYFUNCTION("""COMPUTED_VALUE"""),0.0)</f>
        <v>0</v>
      </c>
    </row>
    <row r="56" ht="15.75" customHeight="1">
      <c r="A56" s="8" t="str">
        <f>IFERROR(__xludf.DUMMYFUNCTION("""COMPUTED_VALUE"""),"https://www.semrush.com/agencies/list/display-advertising/germany/")</f>
        <v>https://www.semrush.com/agencies/list/display-advertising/germany/</v>
      </c>
      <c r="B56" s="11" t="str">
        <f>IFERROR(__xludf.DUMMYFUNCTION("""COMPUTED_VALUE"""),"Best Display Ads Agencies in Germany 2026 \| Semrush")</f>
        <v>Best Display Ads Agencies in Germany 2026 \| Semrush</v>
      </c>
      <c r="C56" s="8" t="str">
        <f>IFERROR(__xludf.DUMMYFUNCTION("""COMPUTED_VALUE"""),"semrush.com")</f>
        <v>semrush.com</v>
      </c>
      <c r="D56" s="11" t="str">
        <f>IFERROR(__xludf.DUMMYFUNCTION("""COMPUTED_VALUE"""),"PROFILE")</f>
        <v>PROFILE</v>
      </c>
      <c r="E56" s="11" t="str">
        <f>IFERROR(__xludf.DUMMYFUNCTION("""COMPUTED_VALUE"""),"CORPORATE")</f>
        <v>CORPORATE</v>
      </c>
      <c r="F56" s="11" t="str">
        <f>IFERROR(__xludf.DUMMYFUNCTION("""COMPUTED_VALUE"""),"Profile")</f>
        <v>Profile</v>
      </c>
      <c r="G56" s="11" t="b">
        <f>IFERROR(__xludf.DUMMYFUNCTION("""COMPUTED_VALUE"""),FALSE)</f>
        <v>0</v>
      </c>
      <c r="H56" s="11" t="str">
        <f>IFERROR(__xludf.DUMMYFUNCTION("""COMPUTED_VALUE"""),"Baseplus DIGITAL MEDIA GmbH, morefire, Mediaplus Performance, MONSOON, KlickPiloten")</f>
        <v>Baseplus DIGITAL MEDIA GmbH, morefire, Mediaplus Performance, MONSOON, KlickPiloten</v>
      </c>
      <c r="I56" s="11">
        <f>IFERROR(__xludf.DUMMYFUNCTION("""COMPUTED_VALUE"""),3.0)</f>
        <v>3</v>
      </c>
      <c r="J56" s="11">
        <f>IFERROR(__xludf.DUMMYFUNCTION("""COMPUTED_VALUE"""),0.0)</f>
        <v>0</v>
      </c>
      <c r="K56" s="11">
        <f>IFERROR(__xludf.DUMMYFUNCTION("""COMPUTED_VALUE"""),0.0)</f>
        <v>0</v>
      </c>
    </row>
    <row r="57" ht="15.75" customHeight="1">
      <c r="A57" s="8" t="str">
        <f>IFERROR(__xludf.DUMMYFUNCTION("""COMPUTED_VALUE"""),"https://www.sortlist.com/s/data-driven-marketing/germany-de")</f>
        <v>https://www.sortlist.com/s/data-driven-marketing/germany-de</v>
      </c>
      <c r="B57" s="11" t="str">
        <f>IFERROR(__xludf.DUMMYFUNCTION("""COMPUTED_VALUE"""),"The 10 Best Data Driven Marketing Agencies in Germany - 2026 Reviews")</f>
        <v>The 10 Best Data Driven Marketing Agencies in Germany - 2026 Reviews</v>
      </c>
      <c r="C57" s="8" t="str">
        <f>IFERROR(__xludf.DUMMYFUNCTION("""COMPUTED_VALUE"""),"sortlist.com")</f>
        <v>sortlist.com</v>
      </c>
      <c r="D57" s="11" t="str">
        <f>IFERROR(__xludf.DUMMYFUNCTION("""COMPUTED_VALUE"""),"PROFILE")</f>
        <v>PROFILE</v>
      </c>
      <c r="E57" s="11" t="str">
        <f>IFERROR(__xludf.DUMMYFUNCTION("""COMPUTED_VALUE"""),"CORPORATE")</f>
        <v>CORPORATE</v>
      </c>
      <c r="F57" s="11" t="str">
        <f>IFERROR(__xludf.DUMMYFUNCTION("""COMPUTED_VALUE"""),"Profile")</f>
        <v>Profile</v>
      </c>
      <c r="G57" s="11" t="b">
        <f>IFERROR(__xludf.DUMMYFUNCTION("""COMPUTED_VALUE"""),FALSE)</f>
        <v>0</v>
      </c>
      <c r="H57" s="11" t="str">
        <f>IFERROR(__xludf.DUMMYFUNCTION("""COMPUTED_VALUE"""),"lehof, MONSOON, Measured")</f>
        <v>lehof, MONSOON, Measured</v>
      </c>
      <c r="I57" s="11">
        <f>IFERROR(__xludf.DUMMYFUNCTION("""COMPUTED_VALUE"""),3.0)</f>
        <v>3</v>
      </c>
      <c r="J57" s="11">
        <f>IFERROR(__xludf.DUMMYFUNCTION("""COMPUTED_VALUE"""),0.0)</f>
        <v>0</v>
      </c>
      <c r="K57" s="11">
        <f>IFERROR(__xludf.DUMMYFUNCTION("""COMPUTED_VALUE"""),0.0)</f>
        <v>0</v>
      </c>
    </row>
    <row r="58" ht="15.75" customHeight="1">
      <c r="A58" s="8" t="str">
        <f>IFERROR(__xludf.DUMMYFUNCTION("""COMPUTED_VALUE"""),"https://www.ayautomate.com/blog/best-ai-automation-agencies")</f>
        <v>https://www.ayautomate.com/blog/best-ai-automation-agencies</v>
      </c>
      <c r="B58" s="11" t="str">
        <f>IFERROR(__xludf.DUMMYFUNCTION("""COMPUTED_VALUE"""),"7 Best AI Automation Agencies (2026 Ranked)")</f>
        <v>7 Best AI Automation Agencies (2026 Ranked)</v>
      </c>
      <c r="C58" s="8" t="str">
        <f>IFERROR(__xludf.DUMMYFUNCTION("""COMPUTED_VALUE"""),"ayautomate.com")</f>
        <v>ayautomate.com</v>
      </c>
      <c r="D58" s="11" t="str">
        <f>IFERROR(__xludf.DUMMYFUNCTION("""COMPUTED_VALUE"""),"PROFILE")</f>
        <v>PROFILE</v>
      </c>
      <c r="E58" s="11" t="str">
        <f>IFERROR(__xludf.DUMMYFUNCTION("""COMPUTED_VALUE"""),"CORPORATE")</f>
        <v>CORPORATE</v>
      </c>
      <c r="F58" s="11" t="str">
        <f>IFERROR(__xludf.DUMMYFUNCTION("""COMPUTED_VALUE"""),"Profile")</f>
        <v>Profile</v>
      </c>
      <c r="G58" s="11" t="b">
        <f>IFERROR(__xludf.DUMMYFUNCTION("""COMPUTED_VALUE"""),FALSE)</f>
        <v>0</v>
      </c>
      <c r="H58" s="11" t="str">
        <f>IFERROR(__xludf.DUMMYFUNCTION("""COMPUTED_VALUE"""),"Pilot, Mindshare")</f>
        <v>Pilot, Mindshare</v>
      </c>
      <c r="I58" s="11">
        <f>IFERROR(__xludf.DUMMYFUNCTION("""COMPUTED_VALUE"""),2.0)</f>
        <v>2</v>
      </c>
      <c r="J58" s="11">
        <f>IFERROR(__xludf.DUMMYFUNCTION("""COMPUTED_VALUE"""),0.0)</f>
        <v>0</v>
      </c>
      <c r="K58" s="11">
        <f>IFERROR(__xludf.DUMMYFUNCTION("""COMPUTED_VALUE"""),0.5)</f>
        <v>0.5</v>
      </c>
    </row>
    <row r="59" ht="15.75" customHeight="1">
      <c r="A59" s="8" t="str">
        <f>IFERROR(__xludf.DUMMYFUNCTION("""COMPUTED_VALUE"""),"https://de.linkedin.com/company/bbdo-holding-germany")</f>
        <v>https://de.linkedin.com/company/bbdo-holding-germany</v>
      </c>
      <c r="B59" s="11" t="str">
        <f>IFERROR(__xludf.DUMMYFUNCTION("""COMPUTED_VALUE"""),"BBDO Germany | LinkedIn")</f>
        <v>BBDO Germany | LinkedIn</v>
      </c>
      <c r="C59" s="8" t="str">
        <f>IFERROR(__xludf.DUMMYFUNCTION("""COMPUTED_VALUE"""),"linkedin.com")</f>
        <v>linkedin.com</v>
      </c>
      <c r="D59" s="11" t="str">
        <f>IFERROR(__xludf.DUMMYFUNCTION("""COMPUTED_VALUE"""),"PROFILE")</f>
        <v>PROFILE</v>
      </c>
      <c r="E59" s="11" t="str">
        <f>IFERROR(__xludf.DUMMYFUNCTION("""COMPUTED_VALUE"""),"UGC")</f>
        <v>UGC</v>
      </c>
      <c r="F59" s="11" t="str">
        <f>IFERROR(__xludf.DUMMYFUNCTION("""COMPUTED_VALUE"""),"Profile")</f>
        <v>Profile</v>
      </c>
      <c r="G59" s="11" t="b">
        <f>IFERROR(__xludf.DUMMYFUNCTION("""COMPUTED_VALUE"""),FALSE)</f>
        <v>0</v>
      </c>
      <c r="H59" s="11" t="str">
        <f>IFERROR(__xludf.DUMMYFUNCTION("""COMPUTED_VALUE"""),"BBDO Germany, Huge, Omnicom, DDB Germany, Scholz &amp; Friends, Jung von Matt, Serviceplan Group, Ogilvy")</f>
        <v>BBDO Germany, Huge, Omnicom, DDB Germany, Scholz &amp; Friends, Jung von Matt, Serviceplan Group, Ogilvy</v>
      </c>
      <c r="I59" s="11">
        <f>IFERROR(__xludf.DUMMYFUNCTION("""COMPUTED_VALUE"""),2.0)</f>
        <v>2</v>
      </c>
      <c r="J59" s="11">
        <f>IFERROR(__xludf.DUMMYFUNCTION("""COMPUTED_VALUE"""),0.0)</f>
        <v>0</v>
      </c>
      <c r="K59" s="11">
        <f>IFERROR(__xludf.DUMMYFUNCTION("""COMPUTED_VALUE"""),1.0)</f>
        <v>1</v>
      </c>
    </row>
    <row r="60" ht="15.75" customHeight="1">
      <c r="A60" s="8" t="str">
        <f>IFERROR(__xludf.DUMMYFUNCTION("""COMPUTED_VALUE"""),"https://de.linkedin.com/company/trkkn")</f>
        <v>https://de.linkedin.com/company/trkkn</v>
      </c>
      <c r="B60" s="11" t="str">
        <f>IFERROR(__xludf.DUMMYFUNCTION("""COMPUTED_VALUE"""),"TRKKN \| LinkedIn")</f>
        <v>TRKKN \| LinkedIn</v>
      </c>
      <c r="C60" s="8" t="str">
        <f>IFERROR(__xludf.DUMMYFUNCTION("""COMPUTED_VALUE"""),"linkedin.com")</f>
        <v>linkedin.com</v>
      </c>
      <c r="D60" s="11" t="str">
        <f>IFERROR(__xludf.DUMMYFUNCTION("""COMPUTED_VALUE"""),"PROFILE")</f>
        <v>PROFILE</v>
      </c>
      <c r="E60" s="11" t="str">
        <f>IFERROR(__xludf.DUMMYFUNCTION("""COMPUTED_VALUE"""),"UGC")</f>
        <v>UGC</v>
      </c>
      <c r="F60" s="11" t="str">
        <f>IFERROR(__xludf.DUMMYFUNCTION("""COMPUTED_VALUE"""),"Profile")</f>
        <v>Profile</v>
      </c>
      <c r="G60" s="11" t="b">
        <f>IFERROR(__xludf.DUMMYFUNCTION("""COMPUTED_VALUE"""),FALSE)</f>
        <v>0</v>
      </c>
      <c r="H60" s="11" t="str">
        <f>IFERROR(__xludf.DUMMYFUNCTION("""COMPUTED_VALUE"""),"Omnicom, Omnicom Media Group, Huge, Measured, Dentsu, Jellyfish, Merkle")</f>
        <v>Omnicom, Omnicom Media Group, Huge, Measured, Dentsu, Jellyfish, Merkle</v>
      </c>
      <c r="I60" s="11">
        <f>IFERROR(__xludf.DUMMYFUNCTION("""COMPUTED_VALUE"""),2.0)</f>
        <v>2</v>
      </c>
      <c r="J60" s="11">
        <f>IFERROR(__xludf.DUMMYFUNCTION("""COMPUTED_VALUE"""),0.0)</f>
        <v>0</v>
      </c>
      <c r="K60" s="11">
        <f>IFERROR(__xludf.DUMMYFUNCTION("""COMPUTED_VALUE"""),1.0)</f>
        <v>1</v>
      </c>
    </row>
    <row r="61" ht="15.75" customHeight="1">
      <c r="A61" s="8" t="str">
        <f>IFERROR(__xludf.DUMMYFUNCTION("""COMPUTED_VALUE"""),"https://de.wikipedia.org/wiki/BBDO")</f>
        <v>https://de.wikipedia.org/wiki/BBDO</v>
      </c>
      <c r="B61" s="11" t="str">
        <f>IFERROR(__xludf.DUMMYFUNCTION("""COMPUTED_VALUE"""),"BBDO – Wikipedia")</f>
        <v>BBDO – Wikipedia</v>
      </c>
      <c r="C61" s="8" t="str">
        <f>IFERROR(__xludf.DUMMYFUNCTION("""COMPUTED_VALUE"""),"wikipedia.org")</f>
        <v>wikipedia.org</v>
      </c>
      <c r="D61" s="11" t="str">
        <f>IFERROR(__xludf.DUMMYFUNCTION("""COMPUTED_VALUE"""),"PROFILE")</f>
        <v>PROFILE</v>
      </c>
      <c r="E61" s="11" t="str">
        <f>IFERROR(__xludf.DUMMYFUNCTION("""COMPUTED_VALUE"""),"REFERENCE")</f>
        <v>REFERENCE</v>
      </c>
      <c r="F61" s="11" t="str">
        <f>IFERROR(__xludf.DUMMYFUNCTION("""COMPUTED_VALUE"""),"Profile")</f>
        <v>Profile</v>
      </c>
      <c r="G61" s="11" t="b">
        <f>IFERROR(__xludf.DUMMYFUNCTION("""COMPUTED_VALUE"""),FALSE)</f>
        <v>0</v>
      </c>
      <c r="H61" s="11" t="str">
        <f>IFERROR(__xludf.DUMMYFUNCTION("""COMPUTED_VALUE"""),"BBDO Germany, Omnicom, Omnicom Media Group")</f>
        <v>BBDO Germany, Omnicom, Omnicom Media Group</v>
      </c>
      <c r="I61" s="11">
        <f>IFERROR(__xludf.DUMMYFUNCTION("""COMPUTED_VALUE"""),2.0)</f>
        <v>2</v>
      </c>
      <c r="J61" s="11">
        <f>IFERROR(__xludf.DUMMYFUNCTION("""COMPUTED_VALUE"""),0.0)</f>
        <v>0</v>
      </c>
      <c r="K61" s="11">
        <f>IFERROR(__xludf.DUMMYFUNCTION("""COMPUTED_VALUE"""),1.0)</f>
        <v>1</v>
      </c>
    </row>
    <row r="62" ht="15.75" customHeight="1">
      <c r="A62" s="8" t="str">
        <f>IFERROR(__xludf.DUMMYFUNCTION("""COMPUTED_VALUE"""),"https://digitalagencynetwork.com/agencies/berlin/geo/")</f>
        <v>https://digitalagencynetwork.com/agencies/berlin/geo/</v>
      </c>
      <c r="B62" s="11" t="str">
        <f>IFERROR(__xludf.DUMMYFUNCTION("""COMPUTED_VALUE"""),"Top GEO Agencies in Berlin for Generative Engine Optimization (2026)")</f>
        <v>Top GEO Agencies in Berlin for Generative Engine Optimization (2026)</v>
      </c>
      <c r="C62" s="8" t="str">
        <f>IFERROR(__xludf.DUMMYFUNCTION("""COMPUTED_VALUE"""),"digitalagencynetwork.com")</f>
        <v>digitalagencynetwork.com</v>
      </c>
      <c r="D62" s="11" t="str">
        <f>IFERROR(__xludf.DUMMYFUNCTION("""COMPUTED_VALUE"""),"PROFILE")</f>
        <v>PROFILE</v>
      </c>
      <c r="E62" s="11" t="str">
        <f>IFERROR(__xludf.DUMMYFUNCTION("""COMPUTED_VALUE"""),"REFERENCE")</f>
        <v>REFERENCE</v>
      </c>
      <c r="F62" s="11" t="str">
        <f>IFERROR(__xludf.DUMMYFUNCTION("""COMPUTED_VALUE"""),"Profile")</f>
        <v>Profile</v>
      </c>
      <c r="G62" s="11" t="b">
        <f>IFERROR(__xludf.DUMMYFUNCTION("""COMPUTED_VALUE"""),FALSE)</f>
        <v>0</v>
      </c>
      <c r="H62" s="11"/>
      <c r="I62" s="11">
        <f>IFERROR(__xludf.DUMMYFUNCTION("""COMPUTED_VALUE"""),2.0)</f>
        <v>2</v>
      </c>
      <c r="J62" s="11">
        <f>IFERROR(__xludf.DUMMYFUNCTION("""COMPUTED_VALUE"""),0.0)</f>
        <v>0</v>
      </c>
      <c r="K62" s="11">
        <f>IFERROR(__xludf.DUMMYFUNCTION("""COMPUTED_VALUE"""),0.5)</f>
        <v>0.5</v>
      </c>
    </row>
    <row r="63" ht="15.75" customHeight="1">
      <c r="A63" s="8" t="str">
        <f>IFERROR(__xludf.DUMMYFUNCTION("""COMPUTED_VALUE"""),"https://digitalagencynetwork.com/agencies/usa/ai-marketing/")</f>
        <v>https://digitalagencynetwork.com/agencies/usa/ai-marketing/</v>
      </c>
      <c r="B63" s="11" t="str">
        <f>IFERROR(__xludf.DUMMYFUNCTION("""COMPUTED_VALUE"""),"Top AI Marketing Agencies in USA (2026)")</f>
        <v>Top AI Marketing Agencies in USA (2026)</v>
      </c>
      <c r="C63" s="8" t="str">
        <f>IFERROR(__xludf.DUMMYFUNCTION("""COMPUTED_VALUE"""),"digitalagencynetwork.com")</f>
        <v>digitalagencynetwork.com</v>
      </c>
      <c r="D63" s="11" t="str">
        <f>IFERROR(__xludf.DUMMYFUNCTION("""COMPUTED_VALUE"""),"PROFILE")</f>
        <v>PROFILE</v>
      </c>
      <c r="E63" s="11" t="str">
        <f>IFERROR(__xludf.DUMMYFUNCTION("""COMPUTED_VALUE"""),"REFERENCE")</f>
        <v>REFERENCE</v>
      </c>
      <c r="F63" s="11" t="str">
        <f>IFERROR(__xludf.DUMMYFUNCTION("""COMPUTED_VALUE"""),"Profile")</f>
        <v>Profile</v>
      </c>
      <c r="G63" s="11" t="b">
        <f>IFERROR(__xludf.DUMMYFUNCTION("""COMPUTED_VALUE"""),FALSE)</f>
        <v>0</v>
      </c>
      <c r="H63" s="11" t="str">
        <f>IFERROR(__xludf.DUMMYFUNCTION("""COMPUTED_VALUE"""),"NoGood, SmartSites, Boston Consulting Group")</f>
        <v>NoGood, SmartSites, Boston Consulting Group</v>
      </c>
      <c r="I63" s="11">
        <f>IFERROR(__xludf.DUMMYFUNCTION("""COMPUTED_VALUE"""),2.0)</f>
        <v>2</v>
      </c>
      <c r="J63" s="11">
        <f>IFERROR(__xludf.DUMMYFUNCTION("""COMPUTED_VALUE"""),0.0)</f>
        <v>0</v>
      </c>
      <c r="K63" s="11">
        <f>IFERROR(__xludf.DUMMYFUNCTION("""COMPUTED_VALUE"""),0.0)</f>
        <v>0</v>
      </c>
    </row>
    <row r="64" ht="15.75" customHeight="1">
      <c r="A64" s="8" t="str">
        <f>IFERROR(__xludf.DUMMYFUNCTION("""COMPUTED_VALUE"""),"https://e-dialog.group/en/about-us/")</f>
        <v>https://e-dialog.group/en/about-us/</v>
      </c>
      <c r="B64" s="11" t="str">
        <f>IFERROR(__xludf.DUMMYFUNCTION("""COMPUTED_VALUE"""),"Data-driven digital agency in DACH | e-dialog")</f>
        <v>Data-driven digital agency in DACH | e-dialog</v>
      </c>
      <c r="C64" s="11" t="str">
        <f>IFERROR(__xludf.DUMMYFUNCTION("""COMPUTED_VALUE"""),"e-dialog.group")</f>
        <v>e-dialog.group</v>
      </c>
      <c r="D64" s="11" t="str">
        <f>IFERROR(__xludf.DUMMYFUNCTION("""COMPUTED_VALUE"""),"PROFILE")</f>
        <v>PROFILE</v>
      </c>
      <c r="E64" s="11" t="str">
        <f>IFERROR(__xludf.DUMMYFUNCTION("""COMPUTED_VALUE"""),"CORPORATE")</f>
        <v>CORPORATE</v>
      </c>
      <c r="F64" s="11" t="str">
        <f>IFERROR(__xludf.DUMMYFUNCTION("""COMPUTED_VALUE"""),"Profile")</f>
        <v>Profile</v>
      </c>
      <c r="G64" s="11" t="b">
        <f>IFERROR(__xludf.DUMMYFUNCTION("""COMPUTED_VALUE"""),FALSE)</f>
        <v>0</v>
      </c>
      <c r="H64" s="11" t="str">
        <f>IFERROR(__xludf.DUMMYFUNCTION("""COMPUTED_VALUE"""),"e-dialog")</f>
        <v>e-dialog</v>
      </c>
      <c r="I64" s="11">
        <f>IFERROR(__xludf.DUMMYFUNCTION("""COMPUTED_VALUE"""),2.0)</f>
        <v>2</v>
      </c>
      <c r="J64" s="11">
        <f>IFERROR(__xludf.DUMMYFUNCTION("""COMPUTED_VALUE"""),0.0)</f>
        <v>0</v>
      </c>
      <c r="K64" s="11">
        <f>IFERROR(__xludf.DUMMYFUNCTION("""COMPUTED_VALUE"""),1.0)</f>
        <v>1</v>
      </c>
    </row>
    <row r="65" ht="15.75" customHeight="1">
      <c r="A65" s="8" t="str">
        <f>IFERROR(__xludf.DUMMYFUNCTION("""COMPUTED_VALUE"""),"https://exactag.com/company/our-journey/")</f>
        <v>https://exactag.com/company/our-journey/</v>
      </c>
      <c r="B65" s="11" t="str">
        <f>IFERROR(__xludf.DUMMYFUNCTION("""COMPUTED_VALUE"""),"From cookie switch to MTA, DDA and MMM \| Exactag")</f>
        <v>From cookie switch to MTA, DDA and MMM \| Exactag</v>
      </c>
      <c r="C65" s="8" t="str">
        <f>IFERROR(__xludf.DUMMYFUNCTION("""COMPUTED_VALUE"""),"exactag.com")</f>
        <v>exactag.com</v>
      </c>
      <c r="D65" s="11" t="str">
        <f>IFERROR(__xludf.DUMMYFUNCTION("""COMPUTED_VALUE"""),"PROFILE")</f>
        <v>PROFILE</v>
      </c>
      <c r="E65" s="11" t="str">
        <f>IFERROR(__xludf.DUMMYFUNCTION("""COMPUTED_VALUE"""),"CORPORATE")</f>
        <v>CORPORATE</v>
      </c>
      <c r="F65" s="11" t="str">
        <f>IFERROR(__xludf.DUMMYFUNCTION("""COMPUTED_VALUE"""),"Profile")</f>
        <v>Profile</v>
      </c>
      <c r="G65" s="11" t="b">
        <f>IFERROR(__xludf.DUMMYFUNCTION("""COMPUTED_VALUE"""),FALSE)</f>
        <v>0</v>
      </c>
      <c r="H65" s="11"/>
      <c r="I65" s="11">
        <f>IFERROR(__xludf.DUMMYFUNCTION("""COMPUTED_VALUE"""),2.0)</f>
        <v>2</v>
      </c>
      <c r="J65" s="11">
        <f>IFERROR(__xludf.DUMMYFUNCTION("""COMPUTED_VALUE"""),0.0)</f>
        <v>0</v>
      </c>
      <c r="K65" s="11">
        <f>IFERROR(__xludf.DUMMYFUNCTION("""COMPUTED_VALUE"""),0.0)</f>
        <v>0</v>
      </c>
    </row>
    <row r="66" ht="15.75" customHeight="1">
      <c r="A66" s="8" t="str">
        <f>IFERROR(__xludf.DUMMYFUNCTION("""COMPUTED_VALUE"""),"https://feedbax.ai/google-ads/berlin")</f>
        <v>https://feedbax.ai/google-ads/berlin</v>
      </c>
      <c r="B66" s="11" t="str">
        <f>IFERROR(__xludf.DUMMYFUNCTION("""COMPUTED_VALUE"""),"Top 20 Google Ads Agencies in Berlin - 2026 Reviews")</f>
        <v>Top 20 Google Ads Agencies in Berlin - 2026 Reviews</v>
      </c>
      <c r="C66" s="8" t="str">
        <f>IFERROR(__xludf.DUMMYFUNCTION("""COMPUTED_VALUE"""),"feedbax.ai")</f>
        <v>feedbax.ai</v>
      </c>
      <c r="D66" s="11" t="str">
        <f>IFERROR(__xludf.DUMMYFUNCTION("""COMPUTED_VALUE"""),"PROFILE")</f>
        <v>PROFILE</v>
      </c>
      <c r="E66" s="11" t="str">
        <f>IFERROR(__xludf.DUMMYFUNCTION("""COMPUTED_VALUE"""),"UGC")</f>
        <v>UGC</v>
      </c>
      <c r="F66" s="11" t="str">
        <f>IFERROR(__xludf.DUMMYFUNCTION("""COMPUTED_VALUE"""),"Profile")</f>
        <v>Profile</v>
      </c>
      <c r="G66" s="11" t="b">
        <f>IFERROR(__xludf.DUMMYFUNCTION("""COMPUTED_VALUE"""),FALSE)</f>
        <v>0</v>
      </c>
      <c r="H66" s="11" t="str">
        <f>IFERROR(__xludf.DUMMYFUNCTION("""COMPUTED_VALUE"""),"Mediacharge, Smarketer, Peak Ace")</f>
        <v>Mediacharge, Smarketer, Peak Ace</v>
      </c>
      <c r="I66" s="11">
        <f>IFERROR(__xludf.DUMMYFUNCTION("""COMPUTED_VALUE"""),2.0)</f>
        <v>2</v>
      </c>
      <c r="J66" s="11">
        <f>IFERROR(__xludf.DUMMYFUNCTION("""COMPUTED_VALUE"""),0.0)</f>
        <v>0</v>
      </c>
      <c r="K66" s="11">
        <f>IFERROR(__xludf.DUMMYFUNCTION("""COMPUTED_VALUE"""),2.5)</f>
        <v>2.5</v>
      </c>
    </row>
    <row r="67" ht="15.75" customHeight="1">
      <c r="A67" s="8" t="str">
        <f>IFERROR(__xludf.DUMMYFUNCTION("""COMPUTED_VALUE"""),"https://www.house-of-communication.com/sv/en/brands/serviceplan.html")</f>
        <v>https://www.house-of-communication.com/sv/en/brands/serviceplan.html</v>
      </c>
      <c r="B67" s="11" t="str">
        <f>IFERROR(__xludf.DUMMYFUNCTION("""COMPUTED_VALUE"""),"Serviceplan")</f>
        <v>Serviceplan</v>
      </c>
      <c r="C67" s="8" t="str">
        <f>IFERROR(__xludf.DUMMYFUNCTION("""COMPUTED_VALUE"""),"house-of-communication.com")</f>
        <v>house-of-communication.com</v>
      </c>
      <c r="D67" s="11" t="str">
        <f>IFERROR(__xludf.DUMMYFUNCTION("""COMPUTED_VALUE"""),"PROFILE")</f>
        <v>PROFILE</v>
      </c>
      <c r="E67" s="11" t="str">
        <f>IFERROR(__xludf.DUMMYFUNCTION("""COMPUTED_VALUE"""),"COMPETITOR")</f>
        <v>COMPETITOR</v>
      </c>
      <c r="F67" s="11" t="str">
        <f>IFERROR(__xludf.DUMMYFUNCTION("""COMPUTED_VALUE"""),"Profile")</f>
        <v>Profile</v>
      </c>
      <c r="G67" s="11" t="b">
        <f>IFERROR(__xludf.DUMMYFUNCTION("""COMPUTED_VALUE"""),FALSE)</f>
        <v>0</v>
      </c>
      <c r="H67" s="11" t="str">
        <f>IFERROR(__xludf.DUMMYFUNCTION("""COMPUTED_VALUE"""),"Serviceplan Group")</f>
        <v>Serviceplan Group</v>
      </c>
      <c r="I67" s="11">
        <f>IFERROR(__xludf.DUMMYFUNCTION("""COMPUTED_VALUE"""),2.0)</f>
        <v>2</v>
      </c>
      <c r="J67" s="11">
        <f>IFERROR(__xludf.DUMMYFUNCTION("""COMPUTED_VALUE"""),0.0)</f>
        <v>0</v>
      </c>
      <c r="K67" s="11">
        <f>IFERROR(__xludf.DUMMYFUNCTION("""COMPUTED_VALUE"""),0.0)</f>
        <v>0</v>
      </c>
    </row>
    <row r="68" ht="15.75" customHeight="1">
      <c r="A68" s="8" t="str">
        <f>IFERROR(__xludf.DUMMYFUNCTION("""COMPUTED_VALUE"""),"https://www.ibusiness.de/performance-ranking/performance_2024.html?sub=4")</f>
        <v>https://www.ibusiness.de/performance-ranking/performance_2024.html?sub=4</v>
      </c>
      <c r="B68" s="11" t="str">
        <f>IFERROR(__xludf.DUMMYFUNCTION("""COMPUTED_VALUE"""),"Das Ranking der gr��ten deutschen Performance-Marketing-Agenturen")</f>
        <v>Das Ranking der gr��ten deutschen Performance-Marketing-Agenturen</v>
      </c>
      <c r="C68" s="8" t="str">
        <f>IFERROR(__xludf.DUMMYFUNCTION("""COMPUTED_VALUE"""),"ibusiness.de")</f>
        <v>ibusiness.de</v>
      </c>
      <c r="D68" s="11" t="str">
        <f>IFERROR(__xludf.DUMMYFUNCTION("""COMPUTED_VALUE"""),"PROFILE")</f>
        <v>PROFILE</v>
      </c>
      <c r="E68" s="11" t="str">
        <f>IFERROR(__xludf.DUMMYFUNCTION("""COMPUTED_VALUE"""),"EDITORIAL")</f>
        <v>EDITORIAL</v>
      </c>
      <c r="F68" s="11" t="str">
        <f>IFERROR(__xludf.DUMMYFUNCTION("""COMPUTED_VALUE"""),"Profile")</f>
        <v>Profile</v>
      </c>
      <c r="G68" s="11" t="b">
        <f>IFERROR(__xludf.DUMMYFUNCTION("""COMPUTED_VALUE"""),FALSE)</f>
        <v>0</v>
      </c>
      <c r="H68" s="11" t="str">
        <f>IFERROR(__xludf.DUMMYFUNCTION("""COMPUTED_VALUE"""),"Smarketer, Peak Ace, iProspect, e-dialog, The Boutique Agency, morefire, 42DIGITAL, eMinded GmbH, Aufgesang")</f>
        <v>Smarketer, Peak Ace, iProspect, e-dialog, The Boutique Agency, morefire, 42DIGITAL, eMinded GmbH, Aufgesang</v>
      </c>
      <c r="I68" s="11">
        <f>IFERROR(__xludf.DUMMYFUNCTION("""COMPUTED_VALUE"""),2.0)</f>
        <v>2</v>
      </c>
      <c r="J68" s="11">
        <f>IFERROR(__xludf.DUMMYFUNCTION("""COMPUTED_VALUE"""),0.0)</f>
        <v>0</v>
      </c>
      <c r="K68" s="11">
        <f>IFERROR(__xludf.DUMMYFUNCTION("""COMPUTED_VALUE"""),0.0)</f>
        <v>0</v>
      </c>
    </row>
    <row r="69" ht="15.75" customHeight="1">
      <c r="A69" s="8" t="str">
        <f>IFERROR(__xludf.DUMMYFUNCTION("""COMPUTED_VALUE"""),"https://langdock.com/partners/directory")</f>
        <v>https://langdock.com/partners/directory</v>
      </c>
      <c r="B69" s="11" t="str">
        <f>IFERROR(__xludf.DUMMYFUNCTION("""COMPUTED_VALUE"""),"Partner Directory | Langdock")</f>
        <v>Partner Directory | Langdock</v>
      </c>
      <c r="C69" s="8" t="str">
        <f>IFERROR(__xludf.DUMMYFUNCTION("""COMPUTED_VALUE"""),"langdock.com")</f>
        <v>langdock.com</v>
      </c>
      <c r="D69" s="11" t="str">
        <f>IFERROR(__xludf.DUMMYFUNCTION("""COMPUTED_VALUE"""),"PROFILE")</f>
        <v>PROFILE</v>
      </c>
      <c r="E69" s="11" t="str">
        <f>IFERROR(__xludf.DUMMYFUNCTION("""COMPUTED_VALUE"""),"CORPORATE")</f>
        <v>CORPORATE</v>
      </c>
      <c r="F69" s="11" t="str">
        <f>IFERROR(__xludf.DUMMYFUNCTION("""COMPUTED_VALUE"""),"Profile")</f>
        <v>Profile</v>
      </c>
      <c r="G69" s="11" t="b">
        <f>IFERROR(__xludf.DUMMYFUNCTION("""COMPUTED_VALUE"""),FALSE)</f>
        <v>0</v>
      </c>
      <c r="H69" s="11" t="str">
        <f>IFERROR(__xludf.DUMMYFUNCTION("""COMPUTED_VALUE"""),"Pilot, statworx, Momentum, Measured")</f>
        <v>Pilot, statworx, Momentum, Measured</v>
      </c>
      <c r="I69" s="11">
        <f>IFERROR(__xludf.DUMMYFUNCTION("""COMPUTED_VALUE"""),2.0)</f>
        <v>2</v>
      </c>
      <c r="J69" s="11">
        <f>IFERROR(__xludf.DUMMYFUNCTION("""COMPUTED_VALUE"""),0.0)</f>
        <v>0</v>
      </c>
      <c r="K69" s="11">
        <f>IFERROR(__xludf.DUMMYFUNCTION("""COMPUTED_VALUE"""),1.0)</f>
        <v>1</v>
      </c>
    </row>
    <row r="70" ht="15.75" customHeight="1">
      <c r="A70" s="8" t="str">
        <f>IFERROR(__xludf.DUMMYFUNCTION("""COMPUTED_VALUE"""),"https://www.mawave.com/about")</f>
        <v>https://www.mawave.com/about</v>
      </c>
      <c r="B70" s="11" t="str">
        <f>IFERROR(__xludf.DUMMYFUNCTION("""COMPUTED_VALUE"""),"About | Mawave")</f>
        <v>About | Mawave</v>
      </c>
      <c r="C70" s="8" t="str">
        <f>IFERROR(__xludf.DUMMYFUNCTION("""COMPUTED_VALUE"""),"mawave.com")</f>
        <v>mawave.com</v>
      </c>
      <c r="D70" s="11" t="str">
        <f>IFERROR(__xludf.DUMMYFUNCTION("""COMPUTED_VALUE"""),"PROFILE")</f>
        <v>PROFILE</v>
      </c>
      <c r="E70" s="11" t="str">
        <f>IFERROR(__xludf.DUMMYFUNCTION("""COMPUTED_VALUE"""),"COMPETITOR")</f>
        <v>COMPETITOR</v>
      </c>
      <c r="F70" s="11" t="str">
        <f>IFERROR(__xludf.DUMMYFUNCTION("""COMPUTED_VALUE"""),"Profile")</f>
        <v>Profile</v>
      </c>
      <c r="G70" s="11" t="b">
        <f>IFERROR(__xludf.DUMMYFUNCTION("""COMPUTED_VALUE"""),FALSE)</f>
        <v>0</v>
      </c>
      <c r="H70" s="11" t="str">
        <f>IFERROR(__xludf.DUMMYFUNCTION("""COMPUTED_VALUE"""),"Mawave")</f>
        <v>Mawave</v>
      </c>
      <c r="I70" s="11">
        <f>IFERROR(__xludf.DUMMYFUNCTION("""COMPUTED_VALUE"""),2.0)</f>
        <v>2</v>
      </c>
      <c r="J70" s="11">
        <f>IFERROR(__xludf.DUMMYFUNCTION("""COMPUTED_VALUE"""),0.0)</f>
        <v>0</v>
      </c>
      <c r="K70" s="11">
        <f>IFERROR(__xludf.DUMMYFUNCTION("""COMPUTED_VALUE"""),1.5)</f>
        <v>1.5</v>
      </c>
    </row>
    <row r="71" ht="15.75" customHeight="1">
      <c r="A71" s="8" t="str">
        <f>IFERROR(__xludf.DUMMYFUNCTION("""COMPUTED_VALUE"""),"https://www.mawave.com/kontakt")</f>
        <v>https://www.mawave.com/kontakt</v>
      </c>
      <c r="B71" s="11" t="str">
        <f>IFERROR(__xludf.DUMMYFUNCTION("""COMPUTED_VALUE"""),"Kontakt | Mawave")</f>
        <v>Kontakt | Mawave</v>
      </c>
      <c r="C71" s="8" t="str">
        <f>IFERROR(__xludf.DUMMYFUNCTION("""COMPUTED_VALUE"""),"mawave.com")</f>
        <v>mawave.com</v>
      </c>
      <c r="D71" s="11" t="str">
        <f>IFERROR(__xludf.DUMMYFUNCTION("""COMPUTED_VALUE"""),"PROFILE")</f>
        <v>PROFILE</v>
      </c>
      <c r="E71" s="11" t="str">
        <f>IFERROR(__xludf.DUMMYFUNCTION("""COMPUTED_VALUE"""),"COMPETITOR")</f>
        <v>COMPETITOR</v>
      </c>
      <c r="F71" s="11" t="str">
        <f>IFERROR(__xludf.DUMMYFUNCTION("""COMPUTED_VALUE"""),"Profile")</f>
        <v>Profile</v>
      </c>
      <c r="G71" s="11" t="b">
        <f>IFERROR(__xludf.DUMMYFUNCTION("""COMPUTED_VALUE"""),FALSE)</f>
        <v>0</v>
      </c>
      <c r="H71" s="11" t="str">
        <f>IFERROR(__xludf.DUMMYFUNCTION("""COMPUTED_VALUE"""),"Mawave")</f>
        <v>Mawave</v>
      </c>
      <c r="I71" s="11">
        <f>IFERROR(__xludf.DUMMYFUNCTION("""COMPUTED_VALUE"""),2.0)</f>
        <v>2</v>
      </c>
      <c r="J71" s="11">
        <f>IFERROR(__xludf.DUMMYFUNCTION("""COMPUTED_VALUE"""),0.0)</f>
        <v>0</v>
      </c>
      <c r="K71" s="11">
        <f>IFERROR(__xludf.DUMMYFUNCTION("""COMPUTED_VALUE"""),1.0)</f>
        <v>1</v>
      </c>
    </row>
    <row r="72" ht="15.75" customHeight="1">
      <c r="A72" s="8" t="str">
        <f>IFERROR(__xludf.DUMMYFUNCTION("""COMPUTED_VALUE"""),"https://www.merkle.com/de/about-us/partnerships/google.html")</f>
        <v>https://www.merkle.com/de/about-us/partnerships/google.html</v>
      </c>
      <c r="B72" s="11" t="str">
        <f>IFERROR(__xludf.DUMMYFUNCTION("""COMPUTED_VALUE"""),"Merkle und Google: Expertise in der Google Marketing Platform (GMP) und der Google Cloud Platform (GCP) | Merkle")</f>
        <v>Merkle und Google: Expertise in der Google Marketing Platform (GMP) und der Google Cloud Platform (GCP) | Merkle</v>
      </c>
      <c r="C72" s="8" t="str">
        <f>IFERROR(__xludf.DUMMYFUNCTION("""COMPUTED_VALUE"""),"merkle.com")</f>
        <v>merkle.com</v>
      </c>
      <c r="D72" s="11" t="str">
        <f>IFERROR(__xludf.DUMMYFUNCTION("""COMPUTED_VALUE"""),"PROFILE")</f>
        <v>PROFILE</v>
      </c>
      <c r="E72" s="11" t="str">
        <f>IFERROR(__xludf.DUMMYFUNCTION("""COMPUTED_VALUE"""),"COMPETITOR")</f>
        <v>COMPETITOR</v>
      </c>
      <c r="F72" s="11" t="str">
        <f>IFERROR(__xludf.DUMMYFUNCTION("""COMPUTED_VALUE"""),"Profile")</f>
        <v>Profile</v>
      </c>
      <c r="G72" s="11" t="b">
        <f>IFERROR(__xludf.DUMMYFUNCTION("""COMPUTED_VALUE"""),FALSE)</f>
        <v>0</v>
      </c>
      <c r="H72" s="11" t="str">
        <f>IFERROR(__xludf.DUMMYFUNCTION("""COMPUTED_VALUE"""),"Merkle, Dentsu")</f>
        <v>Merkle, Dentsu</v>
      </c>
      <c r="I72" s="11">
        <f>IFERROR(__xludf.DUMMYFUNCTION("""COMPUTED_VALUE"""),2.0)</f>
        <v>2</v>
      </c>
      <c r="J72" s="11">
        <f>IFERROR(__xludf.DUMMYFUNCTION("""COMPUTED_VALUE"""),0.0)</f>
        <v>0</v>
      </c>
      <c r="K72" s="11">
        <f>IFERROR(__xludf.DUMMYFUNCTION("""COMPUTED_VALUE"""),2.5)</f>
        <v>2.5</v>
      </c>
    </row>
    <row r="73" ht="15.75" customHeight="1">
      <c r="A73" s="8" t="str">
        <f>IFERROR(__xludf.DUMMYFUNCTION("""COMPUTED_VALUE"""),"https://www.mutabor.de/en/about/")</f>
        <v>https://www.mutabor.de/en/about/</v>
      </c>
      <c r="B73" s="11" t="str">
        <f>IFERROR(__xludf.DUMMYFUNCTION("""COMPUTED_VALUE"""),"MUTABOR | About – Kreative Exzellenz seit 1998")</f>
        <v>MUTABOR | About – Kreative Exzellenz seit 1998</v>
      </c>
      <c r="C73" s="8" t="str">
        <f>IFERROR(__xludf.DUMMYFUNCTION("""COMPUTED_VALUE"""),"mutabor.de")</f>
        <v>mutabor.de</v>
      </c>
      <c r="D73" s="11" t="str">
        <f>IFERROR(__xludf.DUMMYFUNCTION("""COMPUTED_VALUE"""),"PROFILE")</f>
        <v>PROFILE</v>
      </c>
      <c r="E73" s="11" t="str">
        <f>IFERROR(__xludf.DUMMYFUNCTION("""COMPUTED_VALUE"""),"CORPORATE")</f>
        <v>CORPORATE</v>
      </c>
      <c r="F73" s="11" t="str">
        <f>IFERROR(__xludf.DUMMYFUNCTION("""COMPUTED_VALUE"""),"Profile")</f>
        <v>Profile</v>
      </c>
      <c r="G73" s="11" t="b">
        <f>IFERROR(__xludf.DUMMYFUNCTION("""COMPUTED_VALUE"""),FALSE)</f>
        <v>0</v>
      </c>
      <c r="H73" s="11"/>
      <c r="I73" s="11">
        <f>IFERROR(__xludf.DUMMYFUNCTION("""COMPUTED_VALUE"""),2.0)</f>
        <v>2</v>
      </c>
      <c r="J73" s="11">
        <f>IFERROR(__xludf.DUMMYFUNCTION("""COMPUTED_VALUE"""),0.0)</f>
        <v>0</v>
      </c>
      <c r="K73" s="11">
        <f>IFERROR(__xludf.DUMMYFUNCTION("""COMPUTED_VALUE"""),1.0)</f>
        <v>1</v>
      </c>
    </row>
    <row r="74" ht="15.75" customHeight="1">
      <c r="A74" s="8" t="str">
        <f>IFERROR(__xludf.DUMMYFUNCTION("""COMPUTED_VALUE"""),"https://www.onetoone.de/performance-ranking/")</f>
        <v>https://www.onetoone.de/performance-ranking/</v>
      </c>
      <c r="B74" s="11" t="str">
        <f>IFERROR(__xludf.DUMMYFUNCTION("""COMPUTED_VALUE"""),"Performance-Agentur-Ranking")</f>
        <v>Performance-Agentur-Ranking</v>
      </c>
      <c r="C74" s="8" t="str">
        <f>IFERROR(__xludf.DUMMYFUNCTION("""COMPUTED_VALUE"""),"onetoone.de")</f>
        <v>onetoone.de</v>
      </c>
      <c r="D74" s="11" t="str">
        <f>IFERROR(__xludf.DUMMYFUNCTION("""COMPUTED_VALUE"""),"PROFILE")</f>
        <v>PROFILE</v>
      </c>
      <c r="E74" s="11" t="str">
        <f>IFERROR(__xludf.DUMMYFUNCTION("""COMPUTED_VALUE"""),"OTHER")</f>
        <v>OTHER</v>
      </c>
      <c r="F74" s="11" t="str">
        <f>IFERROR(__xludf.DUMMYFUNCTION("""COMPUTED_VALUE"""),"Profile")</f>
        <v>Profile</v>
      </c>
      <c r="G74" s="11" t="b">
        <f>IFERROR(__xludf.DUMMYFUNCTION("""COMPUTED_VALUE"""),FALSE)</f>
        <v>0</v>
      </c>
      <c r="H74" s="11" t="str">
        <f>IFERROR(__xludf.DUMMYFUNCTION("""COMPUTED_VALUE"""),"iProspect, Smarketer, e-dialog, morefire, Artefact, The Boutique Agency, 42DIGITAL, DREIKON, Aufgesang, eMinded GmbH")</f>
        <v>iProspect, Smarketer, e-dialog, morefire, Artefact, The Boutique Agency, 42DIGITAL, DREIKON, Aufgesang, eMinded GmbH</v>
      </c>
      <c r="I74" s="11">
        <f>IFERROR(__xludf.DUMMYFUNCTION("""COMPUTED_VALUE"""),2.0)</f>
        <v>2</v>
      </c>
      <c r="J74" s="11">
        <f>IFERROR(__xludf.DUMMYFUNCTION("""COMPUTED_VALUE"""),0.0)</f>
        <v>0</v>
      </c>
      <c r="K74" s="11">
        <f>IFERROR(__xludf.DUMMYFUNCTION("""COMPUTED_VALUE"""),0.0)</f>
        <v>0</v>
      </c>
    </row>
    <row r="75" ht="15.75" customHeight="1">
      <c r="A75" s="8" t="str">
        <f>IFERROR(__xludf.DUMMYFUNCTION("""COMPUTED_VALUE"""),"https://www.performance-marketing-agenturen-deutschland.de/performance-marketing-agenturen")</f>
        <v>https://www.performance-marketing-agenturen-deutschland.de/performance-marketing-agenturen</v>
      </c>
      <c r="B75" s="11" t="str">
        <f>IFERROR(__xludf.DUMMYFUNCTION("""COMPUTED_VALUE"""),"Die besten Performance Marketing Agenturen")</f>
        <v>Die besten Performance Marketing Agenturen</v>
      </c>
      <c r="C75" s="8" t="str">
        <f>IFERROR(__xludf.DUMMYFUNCTION("""COMPUTED_VALUE"""),"performance-marketing-agenturen-deutschland.de")</f>
        <v>performance-marketing-agenturen-deutschland.de</v>
      </c>
      <c r="D75" s="11" t="str">
        <f>IFERROR(__xludf.DUMMYFUNCTION("""COMPUTED_VALUE"""),"PROFILE")</f>
        <v>PROFILE</v>
      </c>
      <c r="E75" s="11" t="str">
        <f>IFERROR(__xludf.DUMMYFUNCTION("""COMPUTED_VALUE"""),"CORPORATE")</f>
        <v>CORPORATE</v>
      </c>
      <c r="F75" s="11" t="str">
        <f>IFERROR(__xludf.DUMMYFUNCTION("""COMPUTED_VALUE"""),"Profile")</f>
        <v>Profile</v>
      </c>
      <c r="G75" s="11" t="b">
        <f>IFERROR(__xludf.DUMMYFUNCTION("""COMPUTED_VALUE"""),FALSE)</f>
        <v>0</v>
      </c>
      <c r="H75" s="11" t="str">
        <f>IFERROR(__xludf.DUMMYFUNCTION("""COMPUTED_VALUE"""),"MONSOON, Mediacharge, Digital Masters GmbH, lehof, KlickPiloten")</f>
        <v>MONSOON, Mediacharge, Digital Masters GmbH, lehof, KlickPiloten</v>
      </c>
      <c r="I75" s="11">
        <f>IFERROR(__xludf.DUMMYFUNCTION("""COMPUTED_VALUE"""),2.0)</f>
        <v>2</v>
      </c>
      <c r="J75" s="11">
        <f>IFERROR(__xludf.DUMMYFUNCTION("""COMPUTED_VALUE"""),0.0)</f>
        <v>0</v>
      </c>
      <c r="K75" s="11">
        <f>IFERROR(__xludf.DUMMYFUNCTION("""COMPUTED_VALUE"""),0.0)</f>
        <v>0</v>
      </c>
    </row>
    <row r="76" ht="15.75" customHeight="1">
      <c r="A76" s="8" t="str">
        <f>IFERROR(__xludf.DUMMYFUNCTION("""COMPUTED_VALUE"""),"https://programmatic-agentur.de/display-anzeigen")</f>
        <v>https://programmatic-agentur.de/display-anzeigen</v>
      </c>
      <c r="B76" s="11" t="str">
        <f>IFERROR(__xludf.DUMMYFUNCTION("""COMPUTED_VALUE"""),"Die besten Display Anzeigen Agenturen")</f>
        <v>Die besten Display Anzeigen Agenturen</v>
      </c>
      <c r="C76" s="8" t="str">
        <f>IFERROR(__xludf.DUMMYFUNCTION("""COMPUTED_VALUE"""),"programmatic-agentur.de")</f>
        <v>programmatic-agentur.de</v>
      </c>
      <c r="D76" s="11" t="str">
        <f>IFERROR(__xludf.DUMMYFUNCTION("""COMPUTED_VALUE"""),"PROFILE")</f>
        <v>PROFILE</v>
      </c>
      <c r="E76" s="11" t="str">
        <f>IFERROR(__xludf.DUMMYFUNCTION("""COMPUTED_VALUE"""),"REFERENCE")</f>
        <v>REFERENCE</v>
      </c>
      <c r="F76" s="11" t="str">
        <f>IFERROR(__xludf.DUMMYFUNCTION("""COMPUTED_VALUE"""),"Profile")</f>
        <v>Profile</v>
      </c>
      <c r="G76" s="11" t="b">
        <f>IFERROR(__xludf.DUMMYFUNCTION("""COMPUTED_VALUE"""),FALSE)</f>
        <v>0</v>
      </c>
      <c r="H76" s="11" t="str">
        <f>IFERROR(__xludf.DUMMYFUNCTION("""COMPUTED_VALUE"""),"MONSOON, Digital Masters GmbH, KlickPiloten, Mediacharge")</f>
        <v>MONSOON, Digital Masters GmbH, KlickPiloten, Mediacharge</v>
      </c>
      <c r="I76" s="11">
        <f>IFERROR(__xludf.DUMMYFUNCTION("""COMPUTED_VALUE"""),2.0)</f>
        <v>2</v>
      </c>
      <c r="J76" s="11">
        <f>IFERROR(__xludf.DUMMYFUNCTION("""COMPUTED_VALUE"""),0.0)</f>
        <v>0</v>
      </c>
      <c r="K76" s="11">
        <f>IFERROR(__xludf.DUMMYFUNCTION("""COMPUTED_VALUE"""),0.0)</f>
        <v>0</v>
      </c>
    </row>
    <row r="77" ht="15.75" customHeight="1">
      <c r="A77" s="8" t="str">
        <f>IFERROR(__xludf.DUMMYFUNCTION("""COMPUTED_VALUE"""),"https://social-media-agency-germany.com/social-media-growth-agencies")</f>
        <v>https://social-media-agency-germany.com/social-media-growth-agencies</v>
      </c>
      <c r="B77" s="11" t="str">
        <f>IFERROR(__xludf.DUMMYFUNCTION("""COMPUTED_VALUE"""),"The best Social Media Growth Agencies")</f>
        <v>The best Social Media Growth Agencies</v>
      </c>
      <c r="C77" s="8" t="str">
        <f>IFERROR(__xludf.DUMMYFUNCTION("""COMPUTED_VALUE"""),"social-media-agency-germany.com")</f>
        <v>social-media-agency-germany.com</v>
      </c>
      <c r="D77" s="11" t="str">
        <f>IFERROR(__xludf.DUMMYFUNCTION("""COMPUTED_VALUE"""),"PROFILE")</f>
        <v>PROFILE</v>
      </c>
      <c r="E77" s="11" t="str">
        <f>IFERROR(__xludf.DUMMYFUNCTION("""COMPUTED_VALUE"""),"CORPORATE")</f>
        <v>CORPORATE</v>
      </c>
      <c r="F77" s="11" t="str">
        <f>IFERROR(__xludf.DUMMYFUNCTION("""COMPUTED_VALUE"""),"Profile")</f>
        <v>Profile</v>
      </c>
      <c r="G77" s="11" t="b">
        <f>IFERROR(__xludf.DUMMYFUNCTION("""COMPUTED_VALUE"""),FALSE)</f>
        <v>0</v>
      </c>
      <c r="H77" s="11" t="str">
        <f>IFERROR(__xludf.DUMMYFUNCTION("""COMPUTED_VALUE"""),"PANORAMA3000, lehof, MONSOON, Digital Masters GmbH")</f>
        <v>PANORAMA3000, lehof, MONSOON, Digital Masters GmbH</v>
      </c>
      <c r="I77" s="11">
        <f>IFERROR(__xludf.DUMMYFUNCTION("""COMPUTED_VALUE"""),2.0)</f>
        <v>2</v>
      </c>
      <c r="J77" s="11">
        <f>IFERROR(__xludf.DUMMYFUNCTION("""COMPUTED_VALUE"""),0.0)</f>
        <v>0</v>
      </c>
      <c r="K77" s="11">
        <f>IFERROR(__xludf.DUMMYFUNCTION("""COMPUTED_VALUE"""),0.0)</f>
        <v>0</v>
      </c>
    </row>
    <row r="78" ht="15.75" customHeight="1">
      <c r="A78" s="8" t="str">
        <f>IFERROR(__xludf.DUMMYFUNCTION("""COMPUTED_VALUE"""),"https://www.sortlist.com/s/b2b-digital-marketing/germany-de")</f>
        <v>https://www.sortlist.com/s/b2b-digital-marketing/germany-de</v>
      </c>
      <c r="B78" s="11" t="str">
        <f>IFERROR(__xludf.DUMMYFUNCTION("""COMPUTED_VALUE"""),"The 10 Best B2B Digital Marketing Agencies in Germany - 2026 Reviews")</f>
        <v>The 10 Best B2B Digital Marketing Agencies in Germany - 2026 Reviews</v>
      </c>
      <c r="C78" s="8" t="str">
        <f>IFERROR(__xludf.DUMMYFUNCTION("""COMPUTED_VALUE"""),"sortlist.com")</f>
        <v>sortlist.com</v>
      </c>
      <c r="D78" s="11" t="str">
        <f>IFERROR(__xludf.DUMMYFUNCTION("""COMPUTED_VALUE"""),"PROFILE")</f>
        <v>PROFILE</v>
      </c>
      <c r="E78" s="11" t="str">
        <f>IFERROR(__xludf.DUMMYFUNCTION("""COMPUTED_VALUE"""),"CORPORATE")</f>
        <v>CORPORATE</v>
      </c>
      <c r="F78" s="11" t="str">
        <f>IFERROR(__xludf.DUMMYFUNCTION("""COMPUTED_VALUE"""),"Profile")</f>
        <v>Profile</v>
      </c>
      <c r="G78" s="11" t="b">
        <f>IFERROR(__xludf.DUMMYFUNCTION("""COMPUTED_VALUE"""),FALSE)</f>
        <v>0</v>
      </c>
      <c r="H78" s="11" t="str">
        <f>IFERROR(__xludf.DUMMYFUNCTION("""COMPUTED_VALUE"""),"Mediacharge")</f>
        <v>Mediacharge</v>
      </c>
      <c r="I78" s="11">
        <f>IFERROR(__xludf.DUMMYFUNCTION("""COMPUTED_VALUE"""),2.0)</f>
        <v>2</v>
      </c>
      <c r="J78" s="11">
        <f>IFERROR(__xludf.DUMMYFUNCTION("""COMPUTED_VALUE"""),0.0)</f>
        <v>0</v>
      </c>
      <c r="K78" s="11">
        <f>IFERROR(__xludf.DUMMYFUNCTION("""COMPUTED_VALUE"""),0.0)</f>
        <v>0</v>
      </c>
    </row>
    <row r="79" ht="15.75" customHeight="1">
      <c r="A79" s="8" t="str">
        <f>IFERROR(__xludf.DUMMYFUNCTION("""COMPUTED_VALUE"""),"https://www.sortlist.de/s/ai-marketing/hamburg-de")</f>
        <v>https://www.sortlist.de/s/ai-marketing/hamburg-de</v>
      </c>
      <c r="B79" s="11" t="str">
        <f>IFERROR(__xludf.DUMMYFUNCTION("""COMPUTED_VALUE"""),"Unsere 10 Besten AI Marketing Agenturen in Hamburg - 2026 Bewertungen")</f>
        <v>Unsere 10 Besten AI Marketing Agenturen in Hamburg - 2026 Bewertungen</v>
      </c>
      <c r="C79" s="8" t="str">
        <f>IFERROR(__xludf.DUMMYFUNCTION("""COMPUTED_VALUE"""),"sortlist.de")</f>
        <v>sortlist.de</v>
      </c>
      <c r="D79" s="11" t="str">
        <f>IFERROR(__xludf.DUMMYFUNCTION("""COMPUTED_VALUE"""),"PROFILE")</f>
        <v>PROFILE</v>
      </c>
      <c r="E79" s="11" t="str">
        <f>IFERROR(__xludf.DUMMYFUNCTION("""COMPUTED_VALUE"""),"CORPORATE")</f>
        <v>CORPORATE</v>
      </c>
      <c r="F79" s="11" t="str">
        <f>IFERROR(__xludf.DUMMYFUNCTION("""COMPUTED_VALUE"""),"Profile")</f>
        <v>Profile</v>
      </c>
      <c r="G79" s="11" t="b">
        <f>IFERROR(__xludf.DUMMYFUNCTION("""COMPUTED_VALUE"""),FALSE)</f>
        <v>0</v>
      </c>
      <c r="H79" s="11" t="str">
        <f>IFERROR(__xludf.DUMMYFUNCTION("""COMPUTED_VALUE"""),"Pilot")</f>
        <v>Pilot</v>
      </c>
      <c r="I79" s="11">
        <f>IFERROR(__xludf.DUMMYFUNCTION("""COMPUTED_VALUE"""),2.0)</f>
        <v>2</v>
      </c>
      <c r="J79" s="11">
        <f>IFERROR(__xludf.DUMMYFUNCTION("""COMPUTED_VALUE"""),0.0)</f>
        <v>0</v>
      </c>
      <c r="K79" s="11">
        <f>IFERROR(__xludf.DUMMYFUNCTION("""COMPUTED_VALUE"""),0.0)</f>
        <v>0</v>
      </c>
    </row>
    <row r="80" ht="15.75" customHeight="1">
      <c r="A80" s="8" t="str">
        <f>IFERROR(__xludf.DUMMYFUNCTION("""COMPUTED_VALUE"""),"https://www.suchhelden.de/beste-google-ads-agenturen-deutschlands.php")</f>
        <v>https://www.suchhelden.de/beste-google-ads-agenturen-deutschlands.php</v>
      </c>
      <c r="B80" s="11" t="str">
        <f>IFERROR(__xludf.DUMMYFUNCTION("""COMPUTED_VALUE"""),"Beste Google-Ads-Agenturen Deutschland 2026 – TOP 15")</f>
        <v>Beste Google-Ads-Agenturen Deutschland 2026 – TOP 15</v>
      </c>
      <c r="C80" s="8" t="str">
        <f>IFERROR(__xludf.DUMMYFUNCTION("""COMPUTED_VALUE"""),"suchhelden.de")</f>
        <v>suchhelden.de</v>
      </c>
      <c r="D80" s="11" t="str">
        <f>IFERROR(__xludf.DUMMYFUNCTION("""COMPUTED_VALUE"""),"PROFILE")</f>
        <v>PROFILE</v>
      </c>
      <c r="E80" s="11" t="str">
        <f>IFERROR(__xludf.DUMMYFUNCTION("""COMPUTED_VALUE"""),"COMPETITOR")</f>
        <v>COMPETITOR</v>
      </c>
      <c r="F80" s="11" t="str">
        <f>IFERROR(__xludf.DUMMYFUNCTION("""COMPUTED_VALUE"""),"Profile")</f>
        <v>Profile</v>
      </c>
      <c r="G80" s="11" t="b">
        <f>IFERROR(__xludf.DUMMYFUNCTION("""COMPUTED_VALUE"""),FALSE)</f>
        <v>0</v>
      </c>
      <c r="H80" s="11" t="str">
        <f>IFERROR(__xludf.DUMMYFUNCTION("""COMPUTED_VALUE"""),"Suchhelden, Smarketer, Peak Ace, morefire, Jung von Matt, The Boutique Agency, Labelium")</f>
        <v>Suchhelden, Smarketer, Peak Ace, morefire, Jung von Matt, The Boutique Agency, Labelium</v>
      </c>
      <c r="I80" s="11">
        <f>IFERROR(__xludf.DUMMYFUNCTION("""COMPUTED_VALUE"""),2.0)</f>
        <v>2</v>
      </c>
      <c r="J80" s="11">
        <f>IFERROR(__xludf.DUMMYFUNCTION("""COMPUTED_VALUE"""),0.0)</f>
        <v>0</v>
      </c>
      <c r="K80" s="11">
        <f>IFERROR(__xludf.DUMMYFUNCTION("""COMPUTED_VALUE"""),0.0)</f>
        <v>0</v>
      </c>
    </row>
    <row r="81" ht="15.75" customHeight="1">
      <c r="A81" s="8" t="str">
        <f>IFERROR(__xludf.DUMMYFUNCTION("""COMPUTED_VALUE"""),"https://adsofbrands.net/en/agencies/jung-von-matt/33/about")</f>
        <v>https://adsofbrands.net/en/agencies/jung-von-matt/33/about</v>
      </c>
      <c r="B81" s="11" t="str">
        <f>IFERROR(__xludf.DUMMYFUNCTION("""COMPUTED_VALUE"""),"Jung von Matt - adsofbrands.net")</f>
        <v>Jung von Matt - adsofbrands.net</v>
      </c>
      <c r="C81" s="8" t="str">
        <f>IFERROR(__xludf.DUMMYFUNCTION("""COMPUTED_VALUE"""),"adsofbrands.net")</f>
        <v>adsofbrands.net</v>
      </c>
      <c r="D81" s="11" t="str">
        <f>IFERROR(__xludf.DUMMYFUNCTION("""COMPUTED_VALUE"""),"PROFILE")</f>
        <v>PROFILE</v>
      </c>
      <c r="E81" s="11" t="str">
        <f>IFERROR(__xludf.DUMMYFUNCTION("""COMPUTED_VALUE"""),"UGC")</f>
        <v>UGC</v>
      </c>
      <c r="F81" s="11" t="str">
        <f>IFERROR(__xludf.DUMMYFUNCTION("""COMPUTED_VALUE"""),"Profile")</f>
        <v>Profile</v>
      </c>
      <c r="G81" s="11" t="b">
        <f>IFERROR(__xludf.DUMMYFUNCTION("""COMPUTED_VALUE"""),FALSE)</f>
        <v>0</v>
      </c>
      <c r="H81" s="11" t="str">
        <f>IFERROR(__xludf.DUMMYFUNCTION("""COMPUTED_VALUE"""),"Jung von Matt")</f>
        <v>Jung von Matt</v>
      </c>
      <c r="I81" s="11">
        <f>IFERROR(__xludf.DUMMYFUNCTION("""COMPUTED_VALUE"""),1.0)</f>
        <v>1</v>
      </c>
      <c r="J81" s="11">
        <f>IFERROR(__xludf.DUMMYFUNCTION("""COMPUTED_VALUE"""),0.0)</f>
        <v>0</v>
      </c>
      <c r="K81" s="11">
        <f>IFERROR(__xludf.DUMMYFUNCTION("""COMPUTED_VALUE"""),1.0)</f>
        <v>1</v>
      </c>
    </row>
    <row r="82" ht="15.75" customHeight="1">
      <c r="A82" s="8" t="str">
        <f>IFERROR(__xludf.DUMMYFUNCTION("""COMPUTED_VALUE"""),"https://www.advisori.de/services/digital-transformation/ki-kuenstliche-intelligenz")</f>
        <v>https://www.advisori.de/services/digital-transformation/ki-kuenstliche-intelligenz</v>
      </c>
      <c r="B82" s="11" t="str">
        <f>IFERROR(__xludf.DUMMYFUNCTION("""COMPUTED_VALUE"""),"Artificial Intelligence for Enterprises: AI Solutions &amp;amp; Services | ADVISORI")</f>
        <v>Artificial Intelligence for Enterprises: AI Solutions &amp;amp; Services | ADVISORI</v>
      </c>
      <c r="C82" s="8" t="str">
        <f>IFERROR(__xludf.DUMMYFUNCTION("""COMPUTED_VALUE"""),"advisori.de")</f>
        <v>advisori.de</v>
      </c>
      <c r="D82" s="11" t="str">
        <f>IFERROR(__xludf.DUMMYFUNCTION("""COMPUTED_VALUE"""),"PROFILE")</f>
        <v>PROFILE</v>
      </c>
      <c r="E82" s="11" t="str">
        <f>IFERROR(__xludf.DUMMYFUNCTION("""COMPUTED_VALUE"""),"OTHER")</f>
        <v>OTHER</v>
      </c>
      <c r="F82" s="11" t="str">
        <f>IFERROR(__xludf.DUMMYFUNCTION("""COMPUTED_VALUE"""),"Profile")</f>
        <v>Profile</v>
      </c>
      <c r="G82" s="11" t="b">
        <f>IFERROR(__xludf.DUMMYFUNCTION("""COMPUTED_VALUE"""),FALSE)</f>
        <v>0</v>
      </c>
      <c r="H82" s="11" t="str">
        <f>IFERROR(__xludf.DUMMYFUNCTION("""COMPUTED_VALUE"""),"Pilot, Momentum")</f>
        <v>Pilot, Momentum</v>
      </c>
      <c r="I82" s="11">
        <f>IFERROR(__xludf.DUMMYFUNCTION("""COMPUTED_VALUE"""),1.0)</f>
        <v>1</v>
      </c>
      <c r="J82" s="11">
        <f>IFERROR(__xludf.DUMMYFUNCTION("""COMPUTED_VALUE"""),0.0)</f>
        <v>0</v>
      </c>
      <c r="K82" s="11">
        <f>IFERROR(__xludf.DUMMYFUNCTION("""COMPUTED_VALUE"""),2.0)</f>
        <v>2</v>
      </c>
    </row>
    <row r="83" ht="15.75" customHeight="1">
      <c r="A83" s="8" t="str">
        <f>IFERROR(__xludf.DUMMYFUNCTION("""COMPUTED_VALUE"""),"https://www.adzine.de/techfinder/marketing/")</f>
        <v>https://www.adzine.de/techfinder/marketing/</v>
      </c>
      <c r="B83" s="11" t="str">
        <f>IFERROR(__xludf.DUMMYFUNCTION("""COMPUTED_VALUE"""),"MARKETING - TECHNOLOGIE / TECH FINDER")</f>
        <v>MARKETING - TECHNOLOGIE / TECH FINDER</v>
      </c>
      <c r="C83" s="8" t="str">
        <f>IFERROR(__xludf.DUMMYFUNCTION("""COMPUTED_VALUE"""),"adzine.de")</f>
        <v>adzine.de</v>
      </c>
      <c r="D83" s="11" t="str">
        <f>IFERROR(__xludf.DUMMYFUNCTION("""COMPUTED_VALUE"""),"PROFILE")</f>
        <v>PROFILE</v>
      </c>
      <c r="E83" s="11" t="str">
        <f>IFERROR(__xludf.DUMMYFUNCTION("""COMPUTED_VALUE"""),"EDITORIAL")</f>
        <v>EDITORIAL</v>
      </c>
      <c r="F83" s="11" t="str">
        <f>IFERROR(__xludf.DUMMYFUNCTION("""COMPUTED_VALUE"""),"Profile")</f>
        <v>Profile</v>
      </c>
      <c r="G83" s="11" t="b">
        <f>IFERROR(__xludf.DUMMYFUNCTION("""COMPUTED_VALUE"""),FALSE)</f>
        <v>0</v>
      </c>
      <c r="H83" s="11" t="str">
        <f>IFERROR(__xludf.DUMMYFUNCTION("""COMPUTED_VALUE"""),"Analytic Partners")</f>
        <v>Analytic Partners</v>
      </c>
      <c r="I83" s="11">
        <f>IFERROR(__xludf.DUMMYFUNCTION("""COMPUTED_VALUE"""),1.0)</f>
        <v>1</v>
      </c>
      <c r="J83" s="11">
        <f>IFERROR(__xludf.DUMMYFUNCTION("""COMPUTED_VALUE"""),0.0)</f>
        <v>0</v>
      </c>
      <c r="K83" s="11">
        <f>IFERROR(__xludf.DUMMYFUNCTION("""COMPUTED_VALUE"""),0.0)</f>
        <v>0</v>
      </c>
    </row>
    <row r="84" ht="15.75" customHeight="1">
      <c r="A84" s="8" t="str">
        <f>IFERROR(__xludf.DUMMYFUNCTION("""COMPUTED_VALUE"""),"https://agencies.semrush.com/baseplus-digital-media-gmbh/")</f>
        <v>https://agencies.semrush.com/baseplus-digital-media-gmbh/</v>
      </c>
      <c r="B84" s="11" t="str">
        <f>IFERROR(__xludf.DUMMYFUNCTION("""COMPUTED_VALUE"""),"baseplus® | Semrush Agency Partner")</f>
        <v>baseplus® | Semrush Agency Partner</v>
      </c>
      <c r="C84" s="8" t="str">
        <f>IFERROR(__xludf.DUMMYFUNCTION("""COMPUTED_VALUE"""),"semrush.com")</f>
        <v>semrush.com</v>
      </c>
      <c r="D84" s="11" t="str">
        <f>IFERROR(__xludf.DUMMYFUNCTION("""COMPUTED_VALUE"""),"PROFILE")</f>
        <v>PROFILE</v>
      </c>
      <c r="E84" s="11" t="str">
        <f>IFERROR(__xludf.DUMMYFUNCTION("""COMPUTED_VALUE"""),"CORPORATE")</f>
        <v>CORPORATE</v>
      </c>
      <c r="F84" s="11" t="str">
        <f>IFERROR(__xludf.DUMMYFUNCTION("""COMPUTED_VALUE"""),"Profile")</f>
        <v>Profile</v>
      </c>
      <c r="G84" s="11" t="b">
        <f>IFERROR(__xludf.DUMMYFUNCTION("""COMPUTED_VALUE"""),FALSE)</f>
        <v>0</v>
      </c>
      <c r="H84" s="11" t="str">
        <f>IFERROR(__xludf.DUMMYFUNCTION("""COMPUTED_VALUE"""),"Baseplus DIGITAL MEDIA GmbH")</f>
        <v>Baseplus DIGITAL MEDIA GmbH</v>
      </c>
      <c r="I84" s="11">
        <f>IFERROR(__xludf.DUMMYFUNCTION("""COMPUTED_VALUE"""),1.0)</f>
        <v>1</v>
      </c>
      <c r="J84" s="11">
        <f>IFERROR(__xludf.DUMMYFUNCTION("""COMPUTED_VALUE"""),0.0)</f>
        <v>0</v>
      </c>
      <c r="K84" s="11">
        <f>IFERROR(__xludf.DUMMYFUNCTION("""COMPUTED_VALUE"""),0.0)</f>
        <v>0</v>
      </c>
    </row>
    <row r="85" ht="15.75" customHeight="1">
      <c r="A85" s="8" t="str">
        <f>IFERROR(__xludf.DUMMYFUNCTION("""COMPUTED_VALUE"""),"https://agencies.semrush.com/de/hecht-ins-gefecht/")</f>
        <v>https://agencies.semrush.com/de/hecht-ins-gefecht/</v>
      </c>
      <c r="B85" s="11" t="str">
        <f>IFERROR(__xludf.DUMMYFUNCTION("""COMPUTED_VALUE"""),"HECHT INS GEFECHT | Semrush-Agenturpartner")</f>
        <v>HECHT INS GEFECHT | Semrush-Agenturpartner</v>
      </c>
      <c r="C85" s="8" t="str">
        <f>IFERROR(__xludf.DUMMYFUNCTION("""COMPUTED_VALUE"""),"semrush.com")</f>
        <v>semrush.com</v>
      </c>
      <c r="D85" s="11" t="str">
        <f>IFERROR(__xludf.DUMMYFUNCTION("""COMPUTED_VALUE"""),"PROFILE")</f>
        <v>PROFILE</v>
      </c>
      <c r="E85" s="11" t="str">
        <f>IFERROR(__xludf.DUMMYFUNCTION("""COMPUTED_VALUE"""),"CORPORATE")</f>
        <v>CORPORATE</v>
      </c>
      <c r="F85" s="11" t="str">
        <f>IFERROR(__xludf.DUMMYFUNCTION("""COMPUTED_VALUE"""),"Profile")</f>
        <v>Profile</v>
      </c>
      <c r="G85" s="11" t="b">
        <f>IFERROR(__xludf.DUMMYFUNCTION("""COMPUTED_VALUE"""),FALSE)</f>
        <v>0</v>
      </c>
      <c r="H85" s="11" t="str">
        <f>IFERROR(__xludf.DUMMYFUNCTION("""COMPUTED_VALUE"""),"HECHT INS GEFECHT")</f>
        <v>HECHT INS GEFECHT</v>
      </c>
      <c r="I85" s="11">
        <f>IFERROR(__xludf.DUMMYFUNCTION("""COMPUTED_VALUE"""),1.0)</f>
        <v>1</v>
      </c>
      <c r="J85" s="11">
        <f>IFERROR(__xludf.DUMMYFUNCTION("""COMPUTED_VALUE"""),0.0)</f>
        <v>0</v>
      </c>
      <c r="K85" s="11">
        <f>IFERROR(__xludf.DUMMYFUNCTION("""COMPUTED_VALUE"""),0.0)</f>
        <v>0</v>
      </c>
    </row>
    <row r="86" ht="15.75" customHeight="1">
      <c r="A86" s="8" t="str">
        <f>IFERROR(__xludf.DUMMYFUNCTION("""COMPUTED_VALUE"""),"https://www.agenturtipp.de/agentur/smarketer-gmbh-google-ads-agentur/")</f>
        <v>https://www.agenturtipp.de/agentur/smarketer-gmbh-google-ads-agentur/</v>
      </c>
      <c r="B86" s="11" t="str">
        <f>IFERROR(__xludf.DUMMYFUNCTION("""COMPUTED_VALUE"""),"Smarketer GmbH | Google Ads … - Erfahrungen &amp;amp; Bewertungen")</f>
        <v>Smarketer GmbH | Google Ads … - Erfahrungen &amp;amp; Bewertungen</v>
      </c>
      <c r="C86" s="8" t="str">
        <f>IFERROR(__xludf.DUMMYFUNCTION("""COMPUTED_VALUE"""),"agenturtipp.de")</f>
        <v>agenturtipp.de</v>
      </c>
      <c r="D86" s="11" t="str">
        <f>IFERROR(__xludf.DUMMYFUNCTION("""COMPUTED_VALUE"""),"PROFILE")</f>
        <v>PROFILE</v>
      </c>
      <c r="E86" s="11" t="str">
        <f>IFERROR(__xludf.DUMMYFUNCTION("""COMPUTED_VALUE"""),"REFERENCE")</f>
        <v>REFERENCE</v>
      </c>
      <c r="F86" s="11" t="str">
        <f>IFERROR(__xludf.DUMMYFUNCTION("""COMPUTED_VALUE"""),"Profile")</f>
        <v>Profile</v>
      </c>
      <c r="G86" s="11" t="b">
        <f>IFERROR(__xludf.DUMMYFUNCTION("""COMPUTED_VALUE"""),FALSE)</f>
        <v>0</v>
      </c>
      <c r="H86" s="11" t="str">
        <f>IFERROR(__xludf.DUMMYFUNCTION("""COMPUTED_VALUE"""),"Smarketer, Haus")</f>
        <v>Smarketer, Haus</v>
      </c>
      <c r="I86" s="11">
        <f>IFERROR(__xludf.DUMMYFUNCTION("""COMPUTED_VALUE"""),1.0)</f>
        <v>1</v>
      </c>
      <c r="J86" s="11">
        <f>IFERROR(__xludf.DUMMYFUNCTION("""COMPUTED_VALUE"""),0.0)</f>
        <v>0</v>
      </c>
      <c r="K86" s="11">
        <f>IFERROR(__xludf.DUMMYFUNCTION("""COMPUTED_VALUE"""),0.0)</f>
        <v>0</v>
      </c>
    </row>
    <row r="87" ht="15.75" customHeight="1">
      <c r="A87" s="8" t="str">
        <f>IFERROR(__xludf.DUMMYFUNCTION("""COMPUTED_VALUE"""),"https://www.akqa.com/studios/berlin/")</f>
        <v>https://www.akqa.com/studios/berlin/</v>
      </c>
      <c r="B87" s="11" t="str">
        <f>IFERROR(__xludf.DUMMYFUNCTION("""COMPUTED_VALUE"""),"Berlin - AKQA")</f>
        <v>Berlin - AKQA</v>
      </c>
      <c r="C87" s="8" t="str">
        <f>IFERROR(__xludf.DUMMYFUNCTION("""COMPUTED_VALUE"""),"akqa.com")</f>
        <v>akqa.com</v>
      </c>
      <c r="D87" s="11" t="str">
        <f>IFERROR(__xludf.DUMMYFUNCTION("""COMPUTED_VALUE"""),"PROFILE")</f>
        <v>PROFILE</v>
      </c>
      <c r="E87" s="11" t="str">
        <f>IFERROR(__xludf.DUMMYFUNCTION("""COMPUTED_VALUE"""),"COMPETITOR")</f>
        <v>COMPETITOR</v>
      </c>
      <c r="F87" s="11" t="str">
        <f>IFERROR(__xludf.DUMMYFUNCTION("""COMPUTED_VALUE"""),"Profile")</f>
        <v>Profile</v>
      </c>
      <c r="G87" s="11" t="b">
        <f>IFERROR(__xludf.DUMMYFUNCTION("""COMPUTED_VALUE"""),FALSE)</f>
        <v>0</v>
      </c>
      <c r="H87" s="11" t="str">
        <f>IFERROR(__xludf.DUMMYFUNCTION("""COMPUTED_VALUE"""),"AKQA")</f>
        <v>AKQA</v>
      </c>
      <c r="I87" s="11">
        <f>IFERROR(__xludf.DUMMYFUNCTION("""COMPUTED_VALUE"""),1.0)</f>
        <v>1</v>
      </c>
      <c r="J87" s="11">
        <f>IFERROR(__xludf.DUMMYFUNCTION("""COMPUTED_VALUE"""),0.0)</f>
        <v>0</v>
      </c>
      <c r="K87" s="11">
        <f>IFERROR(__xludf.DUMMYFUNCTION("""COMPUTED_VALUE"""),1.0)</f>
        <v>1</v>
      </c>
    </row>
    <row r="88" ht="15.75" customHeight="1">
      <c r="A88" s="8" t="str">
        <f>IFERROR(__xludf.DUMMYFUNCTION("""COMPUTED_VALUE"""),"https://www.arboro.de/partner/google")</f>
        <v>https://www.arboro.de/partner/google</v>
      </c>
      <c r="B88" s="11" t="str">
        <f>IFERROR(__xludf.DUMMYFUNCTION("""COMPUTED_VALUE"""),"Google Premier Partner Agentur | SEA &amp;amp; Google Ads Wachstum mit arboro")</f>
        <v>Google Premier Partner Agentur | SEA &amp;amp; Google Ads Wachstum mit arboro</v>
      </c>
      <c r="C88" s="8" t="str">
        <f>IFERROR(__xludf.DUMMYFUNCTION("""COMPUTED_VALUE"""),"arboro.de")</f>
        <v>arboro.de</v>
      </c>
      <c r="D88" s="11" t="str">
        <f>IFERROR(__xludf.DUMMYFUNCTION("""COMPUTED_VALUE"""),"PROFILE")</f>
        <v>PROFILE</v>
      </c>
      <c r="E88" s="11" t="str">
        <f>IFERROR(__xludf.DUMMYFUNCTION("""COMPUTED_VALUE"""),"CORPORATE")</f>
        <v>CORPORATE</v>
      </c>
      <c r="F88" s="11" t="str">
        <f>IFERROR(__xludf.DUMMYFUNCTION("""COMPUTED_VALUE"""),"Profile")</f>
        <v>Profile</v>
      </c>
      <c r="G88" s="11" t="b">
        <f>IFERROR(__xludf.DUMMYFUNCTION("""COMPUTED_VALUE"""),FALSE)</f>
        <v>0</v>
      </c>
      <c r="H88" s="11"/>
      <c r="I88" s="11">
        <f>IFERROR(__xludf.DUMMYFUNCTION("""COMPUTED_VALUE"""),1.0)</f>
        <v>1</v>
      </c>
      <c r="J88" s="11">
        <f>IFERROR(__xludf.DUMMYFUNCTION("""COMPUTED_VALUE"""),0.0)</f>
        <v>0</v>
      </c>
      <c r="K88" s="11">
        <f>IFERROR(__xludf.DUMMYFUNCTION("""COMPUTED_VALUE"""),0.0)</f>
        <v>0</v>
      </c>
    </row>
    <row r="89" ht="15.75" customHeight="1">
      <c r="A89" s="8" t="str">
        <f>IFERROR(__xludf.DUMMYFUNCTION("""COMPUTED_VALUE"""),"https://www.aschendorff-next.de/en/portfolio.php")</f>
        <v>https://www.aschendorff-next.de/en/portfolio.php</v>
      </c>
      <c r="B89" s="11" t="str">
        <f>IFERROR(__xludf.DUMMYFUNCTION("""COMPUTED_VALUE"""),"Our Investment Portfolio | Aschendorff NEXT GmbH &amp;amp; Co. KG | Portfolio")</f>
        <v>Our Investment Portfolio | Aschendorff NEXT GmbH &amp;amp; Co. KG | Portfolio</v>
      </c>
      <c r="C89" s="8" t="str">
        <f>IFERROR(__xludf.DUMMYFUNCTION("""COMPUTED_VALUE"""),"aschendorff-next.de")</f>
        <v>aschendorff-next.de</v>
      </c>
      <c r="D89" s="11" t="str">
        <f>IFERROR(__xludf.DUMMYFUNCTION("""COMPUTED_VALUE"""),"PROFILE")</f>
        <v>PROFILE</v>
      </c>
      <c r="E89" s="11" t="str">
        <f>IFERROR(__xludf.DUMMYFUNCTION("""COMPUTED_VALUE"""),"CORPORATE")</f>
        <v>CORPORATE</v>
      </c>
      <c r="F89" s="11" t="str">
        <f>IFERROR(__xludf.DUMMYFUNCTION("""COMPUTED_VALUE"""),"Profile")</f>
        <v>Profile</v>
      </c>
      <c r="G89" s="11" t="b">
        <f>IFERROR(__xludf.DUMMYFUNCTION("""COMPUTED_VALUE"""),FALSE)</f>
        <v>0</v>
      </c>
      <c r="H89" s="11" t="str">
        <f>IFERROR(__xludf.DUMMYFUNCTION("""COMPUTED_VALUE"""),"Think11")</f>
        <v>Think11</v>
      </c>
      <c r="I89" s="11">
        <f>IFERROR(__xludf.DUMMYFUNCTION("""COMPUTED_VALUE"""),1.0)</f>
        <v>1</v>
      </c>
      <c r="J89" s="11">
        <f>IFERROR(__xludf.DUMMYFUNCTION("""COMPUTED_VALUE"""),0.0)</f>
        <v>0</v>
      </c>
      <c r="K89" s="11">
        <f>IFERROR(__xludf.DUMMYFUNCTION("""COMPUTED_VALUE"""),1.0)</f>
        <v>1</v>
      </c>
    </row>
    <row r="90" ht="15.75" customHeight="1">
      <c r="A90" s="8" t="str">
        <f>IFERROR(__xludf.DUMMYFUNCTION("""COMPUTED_VALUE"""),"https://www.axelwin.com/aboutus")</f>
        <v>https://www.axelwin.com/aboutus</v>
      </c>
      <c r="B90" s="11" t="str">
        <f>IFERROR(__xludf.DUMMYFUNCTION("""COMPUTED_VALUE"""),"About Axelwin | Shopify, eCommerce &amp;amp; Digital Marketing Agency Hamburg")</f>
        <v>About Axelwin | Shopify, eCommerce &amp;amp; Digital Marketing Agency Hamburg</v>
      </c>
      <c r="C90" s="8" t="str">
        <f>IFERROR(__xludf.DUMMYFUNCTION("""COMPUTED_VALUE"""),"axelwin.com")</f>
        <v>axelwin.com</v>
      </c>
      <c r="D90" s="11" t="str">
        <f>IFERROR(__xludf.DUMMYFUNCTION("""COMPUTED_VALUE"""),"PROFILE")</f>
        <v>PROFILE</v>
      </c>
      <c r="E90" s="11" t="str">
        <f>IFERROR(__xludf.DUMMYFUNCTION("""COMPUTED_VALUE"""),"OTHER")</f>
        <v>OTHER</v>
      </c>
      <c r="F90" s="11" t="str">
        <f>IFERROR(__xludf.DUMMYFUNCTION("""COMPUTED_VALUE"""),"Profile")</f>
        <v>Profile</v>
      </c>
      <c r="G90" s="11" t="b">
        <f>IFERROR(__xludf.DUMMYFUNCTION("""COMPUTED_VALUE"""),FALSE)</f>
        <v>0</v>
      </c>
      <c r="H90" s="11"/>
      <c r="I90" s="11">
        <f>IFERROR(__xludf.DUMMYFUNCTION("""COMPUTED_VALUE"""),1.0)</f>
        <v>1</v>
      </c>
      <c r="J90" s="11">
        <f>IFERROR(__xludf.DUMMYFUNCTION("""COMPUTED_VALUE"""),0.0)</f>
        <v>0</v>
      </c>
      <c r="K90" s="11">
        <f>IFERROR(__xludf.DUMMYFUNCTION("""COMPUTED_VALUE"""),0.0)</f>
        <v>0</v>
      </c>
    </row>
    <row r="91" ht="15.75" customHeight="1">
      <c r="A91" s="8" t="str">
        <f>IFERROR(__xludf.DUMMYFUNCTION("""COMPUTED_VALUE"""),"https://www.batten-company.com/en/about-us/")</f>
        <v>https://www.batten-company.com/en/about-us/</v>
      </c>
      <c r="B91" s="11" t="str">
        <f>IFERROR(__xludf.DUMMYFUNCTION("""COMPUTED_VALUE"""),"About us - Batten &amp;amp; Company – die führende strategische Unternehmensberatung")</f>
        <v>About us - Batten &amp;amp; Company – die führende strategische Unternehmensberatung</v>
      </c>
      <c r="C91" s="8" t="str">
        <f>IFERROR(__xludf.DUMMYFUNCTION("""COMPUTED_VALUE"""),"batten-company.com")</f>
        <v>batten-company.com</v>
      </c>
      <c r="D91" s="11" t="str">
        <f>IFERROR(__xludf.DUMMYFUNCTION("""COMPUTED_VALUE"""),"PROFILE")</f>
        <v>PROFILE</v>
      </c>
      <c r="E91" s="11" t="str">
        <f>IFERROR(__xludf.DUMMYFUNCTION("""COMPUTED_VALUE"""),"CORPORATE")</f>
        <v>CORPORATE</v>
      </c>
      <c r="F91" s="11" t="str">
        <f>IFERROR(__xludf.DUMMYFUNCTION("""COMPUTED_VALUE"""),"Profile")</f>
        <v>Profile</v>
      </c>
      <c r="G91" s="11" t="b">
        <f>IFERROR(__xludf.DUMMYFUNCTION("""COMPUTED_VALUE"""),FALSE)</f>
        <v>0</v>
      </c>
      <c r="H91" s="11" t="str">
        <f>IFERROR(__xludf.DUMMYFUNCTION("""COMPUTED_VALUE"""),"Omnicom, BCG")</f>
        <v>Omnicom, BCG</v>
      </c>
      <c r="I91" s="11">
        <f>IFERROR(__xludf.DUMMYFUNCTION("""COMPUTED_VALUE"""),1.0)</f>
        <v>1</v>
      </c>
      <c r="J91" s="11">
        <f>IFERROR(__xludf.DUMMYFUNCTION("""COMPUTED_VALUE"""),0.0)</f>
        <v>0</v>
      </c>
      <c r="K91" s="11">
        <f>IFERROR(__xludf.DUMMYFUNCTION("""COMPUTED_VALUE"""),0.0)</f>
        <v>0</v>
      </c>
    </row>
    <row r="92" ht="15.75" customHeight="1">
      <c r="A92" s="8" t="str">
        <f>IFERROR(__xludf.DUMMYFUNCTION("""COMPUTED_VALUE"""),"https://www.businessofapps.com/marketplace/ai-marketing/")</f>
        <v>https://www.businessofapps.com/marketplace/ai-marketing/</v>
      </c>
      <c r="B92" s="11" t="str">
        <f>IFERROR(__xludf.DUMMYFUNCTION("""COMPUTED_VALUE"""),"Top AI Marketing Companies (2026) - Business of Apps")</f>
        <v>Top AI Marketing Companies (2026) - Business of Apps</v>
      </c>
      <c r="C92" s="8" t="str">
        <f>IFERROR(__xludf.DUMMYFUNCTION("""COMPUTED_VALUE"""),"businessofapps.com")</f>
        <v>businessofapps.com</v>
      </c>
      <c r="D92" s="11" t="str">
        <f>IFERROR(__xludf.DUMMYFUNCTION("""COMPUTED_VALUE"""),"PROFILE")</f>
        <v>PROFILE</v>
      </c>
      <c r="E92" s="11" t="str">
        <f>IFERROR(__xludf.DUMMYFUNCTION("""COMPUTED_VALUE"""),"EDITORIAL")</f>
        <v>EDITORIAL</v>
      </c>
      <c r="F92" s="11" t="str">
        <f>IFERROR(__xludf.DUMMYFUNCTION("""COMPUTED_VALUE"""),"Profile")</f>
        <v>Profile</v>
      </c>
      <c r="G92" s="11" t="b">
        <f>IFERROR(__xludf.DUMMYFUNCTION("""COMPUTED_VALUE"""),FALSE)</f>
        <v>0</v>
      </c>
      <c r="H92" s="11" t="str">
        <f>IFERROR(__xludf.DUMMYFUNCTION("""COMPUTED_VALUE"""),"Huge")</f>
        <v>Huge</v>
      </c>
      <c r="I92" s="11">
        <f>IFERROR(__xludf.DUMMYFUNCTION("""COMPUTED_VALUE"""),1.0)</f>
        <v>1</v>
      </c>
      <c r="J92" s="11">
        <f>IFERROR(__xludf.DUMMYFUNCTION("""COMPUTED_VALUE"""),0.0)</f>
        <v>0</v>
      </c>
      <c r="K92" s="11">
        <f>IFERROR(__xludf.DUMMYFUNCTION("""COMPUTED_VALUE"""),0.0)</f>
        <v>0</v>
      </c>
    </row>
    <row r="93" ht="15.75" customHeight="1">
      <c r="A93" s="8" t="str">
        <f>IFERROR(__xludf.DUMMYFUNCTION("""COMPUTED_VALUE"""),"https://www.claneo.com/en/contact/")</f>
        <v>https://www.claneo.com/en/contact/</v>
      </c>
      <c r="B93" s="11" t="str">
        <f>IFERROR(__xludf.DUMMYFUNCTION("""COMPUTED_VALUE"""),"Get in touch with us | Claneo")</f>
        <v>Get in touch with us | Claneo</v>
      </c>
      <c r="C93" s="8" t="str">
        <f>IFERROR(__xludf.DUMMYFUNCTION("""COMPUTED_VALUE"""),"claneo.com")</f>
        <v>claneo.com</v>
      </c>
      <c r="D93" s="11" t="str">
        <f>IFERROR(__xludf.DUMMYFUNCTION("""COMPUTED_VALUE"""),"PROFILE")</f>
        <v>PROFILE</v>
      </c>
      <c r="E93" s="11" t="str">
        <f>IFERROR(__xludf.DUMMYFUNCTION("""COMPUTED_VALUE"""),"COMPETITOR")</f>
        <v>COMPETITOR</v>
      </c>
      <c r="F93" s="11" t="str">
        <f>IFERROR(__xludf.DUMMYFUNCTION("""COMPUTED_VALUE"""),"Profile")</f>
        <v>Profile</v>
      </c>
      <c r="G93" s="11" t="b">
        <f>IFERROR(__xludf.DUMMYFUNCTION("""COMPUTED_VALUE"""),FALSE)</f>
        <v>0</v>
      </c>
      <c r="H93" s="11" t="str">
        <f>IFERROR(__xludf.DUMMYFUNCTION("""COMPUTED_VALUE"""),"Claneo")</f>
        <v>Claneo</v>
      </c>
      <c r="I93" s="11">
        <f>IFERROR(__xludf.DUMMYFUNCTION("""COMPUTED_VALUE"""),1.0)</f>
        <v>1</v>
      </c>
      <c r="J93" s="11">
        <f>IFERROR(__xludf.DUMMYFUNCTION("""COMPUTED_VALUE"""),0.0)</f>
        <v>0</v>
      </c>
      <c r="K93" s="11">
        <f>IFERROR(__xludf.DUMMYFUNCTION("""COMPUTED_VALUE"""),1.0)</f>
        <v>1</v>
      </c>
    </row>
    <row r="94" ht="15.75" customHeight="1">
      <c r="A94" s="8" t="str">
        <f>IFERROR(__xludf.DUMMYFUNCTION("""COMPUTED_VALUE"""),"https://www.crunchbase.com/organization/incrmntal")</f>
        <v>https://www.crunchbase.com/organization/incrmntal</v>
      </c>
      <c r="B94" s="11" t="str">
        <f>IFERROR(__xludf.DUMMYFUNCTION("""COMPUTED_VALUE"""),"INCRMNTAL - Crunchbase Company Profile &amp; Funding")</f>
        <v>INCRMNTAL - Crunchbase Company Profile &amp; Funding</v>
      </c>
      <c r="C94" s="8" t="str">
        <f>IFERROR(__xludf.DUMMYFUNCTION("""COMPUTED_VALUE"""),"crunchbase.com")</f>
        <v>crunchbase.com</v>
      </c>
      <c r="D94" s="11" t="str">
        <f>IFERROR(__xludf.DUMMYFUNCTION("""COMPUTED_VALUE"""),"PROFILE")</f>
        <v>PROFILE</v>
      </c>
      <c r="E94" s="11" t="str">
        <f>IFERROR(__xludf.DUMMYFUNCTION("""COMPUTED_VALUE"""),"REFERENCE")</f>
        <v>REFERENCE</v>
      </c>
      <c r="F94" s="11" t="str">
        <f>IFERROR(__xludf.DUMMYFUNCTION("""COMPUTED_VALUE"""),"Profile")</f>
        <v>Profile</v>
      </c>
      <c r="G94" s="11" t="b">
        <f>IFERROR(__xludf.DUMMYFUNCTION("""COMPUTED_VALUE"""),FALSE)</f>
        <v>0</v>
      </c>
      <c r="H94" s="11" t="str">
        <f>IFERROR(__xludf.DUMMYFUNCTION("""COMPUTED_VALUE"""),"INCRMNTAL, Haus")</f>
        <v>INCRMNTAL, Haus</v>
      </c>
      <c r="I94" s="11">
        <f>IFERROR(__xludf.DUMMYFUNCTION("""COMPUTED_VALUE"""),1.0)</f>
        <v>1</v>
      </c>
      <c r="J94" s="11">
        <f>IFERROR(__xludf.DUMMYFUNCTION("""COMPUTED_VALUE"""),0.0)</f>
        <v>0</v>
      </c>
      <c r="K94" s="11">
        <f>IFERROR(__xludf.DUMMYFUNCTION("""COMPUTED_VALUE"""),1.0)</f>
        <v>1</v>
      </c>
    </row>
    <row r="95" ht="15.75" customHeight="1">
      <c r="A95" s="8" t="str">
        <f>IFERROR(__xludf.DUMMYFUNCTION("""COMPUTED_VALUE"""),"https://customlytics.com/team/")</f>
        <v>https://customlytics.com/team/</v>
      </c>
      <c r="B95" s="11" t="str">
        <f>IFERROR(__xludf.DUMMYFUNCTION("""COMPUTED_VALUE"""),"Customlytics Team - Marketing Consultants, Designers, Data Engineers")</f>
        <v>Customlytics Team - Marketing Consultants, Designers, Data Engineers</v>
      </c>
      <c r="C95" s="8" t="str">
        <f>IFERROR(__xludf.DUMMYFUNCTION("""COMPUTED_VALUE"""),"customlytics.com")</f>
        <v>customlytics.com</v>
      </c>
      <c r="D95" s="11" t="str">
        <f>IFERROR(__xludf.DUMMYFUNCTION("""COMPUTED_VALUE"""),"PROFILE")</f>
        <v>PROFILE</v>
      </c>
      <c r="E95" s="11" t="str">
        <f>IFERROR(__xludf.DUMMYFUNCTION("""COMPUTED_VALUE"""),"COMPETITOR")</f>
        <v>COMPETITOR</v>
      </c>
      <c r="F95" s="11" t="str">
        <f>IFERROR(__xludf.DUMMYFUNCTION("""COMPUTED_VALUE"""),"Profile")</f>
        <v>Profile</v>
      </c>
      <c r="G95" s="11" t="b">
        <f>IFERROR(__xludf.DUMMYFUNCTION("""COMPUTED_VALUE"""),FALSE)</f>
        <v>0</v>
      </c>
      <c r="H95" s="11" t="str">
        <f>IFERROR(__xludf.DUMMYFUNCTION("""COMPUTED_VALUE"""),"Customlytics")</f>
        <v>Customlytics</v>
      </c>
      <c r="I95" s="11">
        <f>IFERROR(__xludf.DUMMYFUNCTION("""COMPUTED_VALUE"""),1.0)</f>
        <v>1</v>
      </c>
      <c r="J95" s="11">
        <f>IFERROR(__xludf.DUMMYFUNCTION("""COMPUTED_VALUE"""),0.0)</f>
        <v>0</v>
      </c>
      <c r="K95" s="11">
        <f>IFERROR(__xludf.DUMMYFUNCTION("""COMPUTED_VALUE"""),1.0)</f>
        <v>1</v>
      </c>
    </row>
    <row r="96" ht="15.75" customHeight="1">
      <c r="A96" s="8" t="str">
        <f>IFERROR(__xludf.DUMMYFUNCTION("""COMPUTED_VALUE"""),"https://www.datalogue.de/about-datalogue/en/about-us/")</f>
        <v>https://www.datalogue.de/about-datalogue/en/about-us/</v>
      </c>
      <c r="B96" s="11" t="str">
        <f>IFERROR(__xludf.DUMMYFUNCTION("""COMPUTED_VALUE"""),"Your data experts for more growth | DATALOGUE")</f>
        <v>Your data experts for more growth | DATALOGUE</v>
      </c>
      <c r="C96" s="8" t="str">
        <f>IFERROR(__xludf.DUMMYFUNCTION("""COMPUTED_VALUE"""),"datalogue.de")</f>
        <v>datalogue.de</v>
      </c>
      <c r="D96" s="11" t="str">
        <f>IFERROR(__xludf.DUMMYFUNCTION("""COMPUTED_VALUE"""),"PROFILE")</f>
        <v>PROFILE</v>
      </c>
      <c r="E96" s="11" t="str">
        <f>IFERROR(__xludf.DUMMYFUNCTION("""COMPUTED_VALUE"""),"CORPORATE")</f>
        <v>CORPORATE</v>
      </c>
      <c r="F96" s="11" t="str">
        <f>IFERROR(__xludf.DUMMYFUNCTION("""COMPUTED_VALUE"""),"Profile")</f>
        <v>Profile</v>
      </c>
      <c r="G96" s="11" t="b">
        <f>IFERROR(__xludf.DUMMYFUNCTION("""COMPUTED_VALUE"""),FALSE)</f>
        <v>0</v>
      </c>
      <c r="H96" s="11"/>
      <c r="I96" s="11">
        <f>IFERROR(__xludf.DUMMYFUNCTION("""COMPUTED_VALUE"""),1.0)</f>
        <v>1</v>
      </c>
      <c r="J96" s="11">
        <f>IFERROR(__xludf.DUMMYFUNCTION("""COMPUTED_VALUE"""),0.0)</f>
        <v>0</v>
      </c>
      <c r="K96" s="11">
        <f>IFERROR(__xludf.DUMMYFUNCTION("""COMPUTED_VALUE"""),1.0)</f>
        <v>1</v>
      </c>
    </row>
    <row r="97" ht="15.75" customHeight="1">
      <c r="A97" s="8" t="str">
        <f>IFERROR(__xludf.DUMMYFUNCTION("""COMPUTED_VALUE"""),"https://datenbanken.pr-journal.de/pr-agenturrankings/pfeffers-pr-ranking.html?layout=detail&amp;type=201&amp;view=ranking")</f>
        <v>https://datenbanken.pr-journal.de/pr-agenturrankings/pfeffers-pr-ranking.html?layout=detail&amp;type=201&amp;view=ranking</v>
      </c>
      <c r="B97" s="11" t="str">
        <f>IFERROR(__xludf.DUMMYFUNCTION("""COMPUTED_VALUE"""),"Rankings / PR Journal")</f>
        <v>Rankings / PR Journal</v>
      </c>
      <c r="C97" s="8" t="str">
        <f>IFERROR(__xludf.DUMMYFUNCTION("""COMPUTED_VALUE"""),"pr-journal.de")</f>
        <v>pr-journal.de</v>
      </c>
      <c r="D97" s="11" t="str">
        <f>IFERROR(__xludf.DUMMYFUNCTION("""COMPUTED_VALUE"""),"PROFILE")</f>
        <v>PROFILE</v>
      </c>
      <c r="E97" s="11" t="str">
        <f>IFERROR(__xludf.DUMMYFUNCTION("""COMPUTED_VALUE"""),"EDITORIAL")</f>
        <v>EDITORIAL</v>
      </c>
      <c r="F97" s="11" t="str">
        <f>IFERROR(__xludf.DUMMYFUNCTION("""COMPUTED_VALUE"""),"Profile")</f>
        <v>Profile</v>
      </c>
      <c r="G97" s="11" t="b">
        <f>IFERROR(__xludf.DUMMYFUNCTION("""COMPUTED_VALUE"""),FALSE)</f>
        <v>0</v>
      </c>
      <c r="H97" s="11"/>
      <c r="I97" s="11">
        <f>IFERROR(__xludf.DUMMYFUNCTION("""COMPUTED_VALUE"""),1.0)</f>
        <v>1</v>
      </c>
      <c r="J97" s="11">
        <f>IFERROR(__xludf.DUMMYFUNCTION("""COMPUTED_VALUE"""),0.0)</f>
        <v>0</v>
      </c>
      <c r="K97" s="11">
        <f>IFERROR(__xludf.DUMMYFUNCTION("""COMPUTED_VALUE"""),0.0)</f>
        <v>0</v>
      </c>
    </row>
    <row r="98" ht="15.75" customHeight="1">
      <c r="A98" s="8" t="str">
        <f>IFERROR(__xludf.DUMMYFUNCTION("""COMPUTED_VALUE"""),"https://de.linkedin.com/company/ddb-germany")</f>
        <v>https://de.linkedin.com/company/ddb-germany</v>
      </c>
      <c r="B98" s="11" t="str">
        <f>IFERROR(__xludf.DUMMYFUNCTION("""COMPUTED_VALUE"""),"DDB Germany | LinkedIn")</f>
        <v>DDB Germany | LinkedIn</v>
      </c>
      <c r="C98" s="8" t="str">
        <f>IFERROR(__xludf.DUMMYFUNCTION("""COMPUTED_VALUE"""),"linkedin.com")</f>
        <v>linkedin.com</v>
      </c>
      <c r="D98" s="11" t="str">
        <f>IFERROR(__xludf.DUMMYFUNCTION("""COMPUTED_VALUE"""),"PROFILE")</f>
        <v>PROFILE</v>
      </c>
      <c r="E98" s="11" t="str">
        <f>IFERROR(__xludf.DUMMYFUNCTION("""COMPUTED_VALUE"""),"UGC")</f>
        <v>UGC</v>
      </c>
      <c r="F98" s="11" t="str">
        <f>IFERROR(__xludf.DUMMYFUNCTION("""COMPUTED_VALUE"""),"Profile")</f>
        <v>Profile</v>
      </c>
      <c r="G98" s="11" t="b">
        <f>IFERROR(__xludf.DUMMYFUNCTION("""COMPUTED_VALUE"""),FALSE)</f>
        <v>0</v>
      </c>
      <c r="H98" s="11" t="str">
        <f>IFERROR(__xludf.DUMMYFUNCTION("""COMPUTED_VALUE"""),"DDB Germany, BBDO Germany, Omnicom, Huge, Scholz &amp; Friends, Jung von Matt, Serviceplan Group")</f>
        <v>DDB Germany, BBDO Germany, Omnicom, Huge, Scholz &amp; Friends, Jung von Matt, Serviceplan Group</v>
      </c>
      <c r="I98" s="11">
        <f>IFERROR(__xludf.DUMMYFUNCTION("""COMPUTED_VALUE"""),1.0)</f>
        <v>1</v>
      </c>
      <c r="J98" s="11">
        <f>IFERROR(__xludf.DUMMYFUNCTION("""COMPUTED_VALUE"""),0.0)</f>
        <v>0</v>
      </c>
      <c r="K98" s="11">
        <f>IFERROR(__xludf.DUMMYFUNCTION("""COMPUTED_VALUE"""),1.0)</f>
        <v>1</v>
      </c>
    </row>
    <row r="99" ht="15.75" customHeight="1">
      <c r="A99" s="8" t="str">
        <f>IFERROR(__xludf.DUMMYFUNCTION("""COMPUTED_VALUE"""),"https://de.linkedin.com/company/deptagency")</f>
        <v>https://de.linkedin.com/company/deptagency</v>
      </c>
      <c r="B99" s="11" t="str">
        <f>IFERROR(__xludf.DUMMYFUNCTION("""COMPUTED_VALUE"""),"DEPT® | LinkedIn")</f>
        <v>DEPT® | LinkedIn</v>
      </c>
      <c r="C99" s="8" t="str">
        <f>IFERROR(__xludf.DUMMYFUNCTION("""COMPUTED_VALUE"""),"linkedin.com")</f>
        <v>linkedin.com</v>
      </c>
      <c r="D99" s="11" t="str">
        <f>IFERROR(__xludf.DUMMYFUNCTION("""COMPUTED_VALUE"""),"PROFILE")</f>
        <v>PROFILE</v>
      </c>
      <c r="E99" s="11" t="str">
        <f>IFERROR(__xludf.DUMMYFUNCTION("""COMPUTED_VALUE"""),"UGC")</f>
        <v>UGC</v>
      </c>
      <c r="F99" s="11" t="str">
        <f>IFERROR(__xludf.DUMMYFUNCTION("""COMPUTED_VALUE"""),"Profile")</f>
        <v>Profile</v>
      </c>
      <c r="G99" s="11" t="b">
        <f>IFERROR(__xludf.DUMMYFUNCTION("""COMPUTED_VALUE"""),FALSE)</f>
        <v>0</v>
      </c>
      <c r="H99" s="11" t="str">
        <f>IFERROR(__xludf.DUMMYFUNCTION("""COMPUTED_VALUE"""),"DEPT, Huge, Recast, Monks, Dentsu, Ogilvy, Brandtech")</f>
        <v>DEPT, Huge, Recast, Monks, Dentsu, Ogilvy, Brandtech</v>
      </c>
      <c r="I99" s="11">
        <f>IFERROR(__xludf.DUMMYFUNCTION("""COMPUTED_VALUE"""),1.0)</f>
        <v>1</v>
      </c>
      <c r="J99" s="11">
        <f>IFERROR(__xludf.DUMMYFUNCTION("""COMPUTED_VALUE"""),0.0)</f>
        <v>0</v>
      </c>
      <c r="K99" s="11">
        <f>IFERROR(__xludf.DUMMYFUNCTION("""COMPUTED_VALUE"""),1.0)</f>
        <v>1</v>
      </c>
    </row>
    <row r="100" ht="15.75" customHeight="1">
      <c r="A100" s="8" t="str">
        <f>IFERROR(__xludf.DUMMYFUNCTION("""COMPUTED_VALUE"""),"https://de.linkedin.com/company/hyamstudios")</f>
        <v>https://de.linkedin.com/company/hyamstudios</v>
      </c>
      <c r="B100" s="11" t="str">
        <f>IFERROR(__xludf.DUMMYFUNCTION("""COMPUTED_VALUE"""),"HY.AM STUDIOS | LinkedIn")</f>
        <v>HY.AM STUDIOS | LinkedIn</v>
      </c>
      <c r="C100" s="8" t="str">
        <f>IFERROR(__xludf.DUMMYFUNCTION("""COMPUTED_VALUE"""),"linkedin.com")</f>
        <v>linkedin.com</v>
      </c>
      <c r="D100" s="11" t="str">
        <f>IFERROR(__xludf.DUMMYFUNCTION("""COMPUTED_VALUE"""),"PROFILE")</f>
        <v>PROFILE</v>
      </c>
      <c r="E100" s="11" t="str">
        <f>IFERROR(__xludf.DUMMYFUNCTION("""COMPUTED_VALUE"""),"UGC")</f>
        <v>UGC</v>
      </c>
      <c r="F100" s="11" t="str">
        <f>IFERROR(__xludf.DUMMYFUNCTION("""COMPUTED_VALUE"""),"Profile")</f>
        <v>Profile</v>
      </c>
      <c r="G100" s="11" t="b">
        <f>IFERROR(__xludf.DUMMYFUNCTION("""COMPUTED_VALUE"""),FALSE)</f>
        <v>0</v>
      </c>
      <c r="H100" s="11" t="str">
        <f>IFERROR(__xludf.DUMMYFUNCTION("""COMPUTED_VALUE"""),"HY.AM STUDIOS")</f>
        <v>HY.AM STUDIOS</v>
      </c>
      <c r="I100" s="11">
        <f>IFERROR(__xludf.DUMMYFUNCTION("""COMPUTED_VALUE"""),1.0)</f>
        <v>1</v>
      </c>
      <c r="J100" s="11">
        <f>IFERROR(__xludf.DUMMYFUNCTION("""COMPUTED_VALUE"""),0.0)</f>
        <v>0</v>
      </c>
      <c r="K100" s="11">
        <f>IFERROR(__xludf.DUMMYFUNCTION("""COMPUTED_VALUE"""),1.0)</f>
        <v>1</v>
      </c>
    </row>
    <row r="101" ht="15.75" customHeight="1">
      <c r="A101" s="8" t="str">
        <f>IFERROR(__xludf.DUMMYFUNCTION("""COMPUTED_VALUE"""),"https://de.linkedin.com/company/scholz-&amp;-friends")</f>
        <v>https://de.linkedin.com/company/scholz-&amp;-friends</v>
      </c>
      <c r="B101" s="11" t="str">
        <f>IFERROR(__xludf.DUMMYFUNCTION("""COMPUTED_VALUE"""),"Scholz &amp;amp; Friends | LinkedIn")</f>
        <v>Scholz &amp;amp; Friends | LinkedIn</v>
      </c>
      <c r="C101" s="8" t="str">
        <f>IFERROR(__xludf.DUMMYFUNCTION("""COMPUTED_VALUE"""),"linkedin.com")</f>
        <v>linkedin.com</v>
      </c>
      <c r="D101" s="11" t="str">
        <f>IFERROR(__xludf.DUMMYFUNCTION("""COMPUTED_VALUE"""),"PROFILE")</f>
        <v>PROFILE</v>
      </c>
      <c r="E101" s="11" t="str">
        <f>IFERROR(__xludf.DUMMYFUNCTION("""COMPUTED_VALUE"""),"UGC")</f>
        <v>UGC</v>
      </c>
      <c r="F101" s="11" t="str">
        <f>IFERROR(__xludf.DUMMYFUNCTION("""COMPUTED_VALUE"""),"Profile")</f>
        <v>Profile</v>
      </c>
      <c r="G101" s="11" t="b">
        <f>IFERROR(__xludf.DUMMYFUNCTION("""COMPUTED_VALUE"""),FALSE)</f>
        <v>0</v>
      </c>
      <c r="H101" s="11" t="str">
        <f>IFERROR(__xludf.DUMMYFUNCTION("""COMPUTED_VALUE"""),"Scholz &amp; Friends, Huge, Jung von Matt, Serviceplan Group")</f>
        <v>Scholz &amp; Friends, Huge, Jung von Matt, Serviceplan Group</v>
      </c>
      <c r="I101" s="11">
        <f>IFERROR(__xludf.DUMMYFUNCTION("""COMPUTED_VALUE"""),1.0)</f>
        <v>1</v>
      </c>
      <c r="J101" s="11">
        <f>IFERROR(__xludf.DUMMYFUNCTION("""COMPUTED_VALUE"""),0.0)</f>
        <v>0</v>
      </c>
      <c r="K101" s="11">
        <f>IFERROR(__xludf.DUMMYFUNCTION("""COMPUTED_VALUE"""),1.0)</f>
        <v>1</v>
      </c>
    </row>
    <row r="102" ht="15.75" customHeight="1">
      <c r="A102" s="8" t="str">
        <f>IFERROR(__xludf.DUMMYFUNCTION("""COMPUTED_VALUE"""),"https://de.linkedin.com/company/serviceplan-group")</f>
        <v>https://de.linkedin.com/company/serviceplan-group</v>
      </c>
      <c r="B102" s="11" t="str">
        <f>IFERROR(__xludf.DUMMYFUNCTION("""COMPUTED_VALUE"""),"Serviceplan Group | LinkedIn")</f>
        <v>Serviceplan Group | LinkedIn</v>
      </c>
      <c r="C102" s="8" t="str">
        <f>IFERROR(__xludf.DUMMYFUNCTION("""COMPUTED_VALUE"""),"linkedin.com")</f>
        <v>linkedin.com</v>
      </c>
      <c r="D102" s="11" t="str">
        <f>IFERROR(__xludf.DUMMYFUNCTION("""COMPUTED_VALUE"""),"PROFILE")</f>
        <v>PROFILE</v>
      </c>
      <c r="E102" s="11" t="str">
        <f>IFERROR(__xludf.DUMMYFUNCTION("""COMPUTED_VALUE"""),"UGC")</f>
        <v>UGC</v>
      </c>
      <c r="F102" s="11" t="str">
        <f>IFERROR(__xludf.DUMMYFUNCTION("""COMPUTED_VALUE"""),"Profile")</f>
        <v>Profile</v>
      </c>
      <c r="G102" s="11" t="b">
        <f>IFERROR(__xludf.DUMMYFUNCTION("""COMPUTED_VALUE"""),FALSE)</f>
        <v>0</v>
      </c>
      <c r="H102" s="11" t="str">
        <f>IFERROR(__xludf.DUMMYFUNCTION("""COMPUTED_VALUE"""),"Serviceplan Group, Haus, Mediaplus Group, Jung von Matt, Scholz &amp; Friends")</f>
        <v>Serviceplan Group, Haus, Mediaplus Group, Jung von Matt, Scholz &amp; Friends</v>
      </c>
      <c r="I102" s="11">
        <f>IFERROR(__xludf.DUMMYFUNCTION("""COMPUTED_VALUE"""),1.0)</f>
        <v>1</v>
      </c>
      <c r="J102" s="11">
        <f>IFERROR(__xludf.DUMMYFUNCTION("""COMPUTED_VALUE"""),0.0)</f>
        <v>0</v>
      </c>
      <c r="K102" s="11">
        <f>IFERROR(__xludf.DUMMYFUNCTION("""COMPUTED_VALUE"""),1.0)</f>
        <v>1</v>
      </c>
    </row>
    <row r="103" ht="15.75" customHeight="1">
      <c r="A103" s="8" t="str">
        <f>IFERROR(__xludf.DUMMYFUNCTION("""COMPUTED_VALUE"""),"https://de.wikipedia.org/wiki/DDB_%28Deutschland%29")</f>
        <v>https://de.wikipedia.org/wiki/DDB_%28Deutschland%29</v>
      </c>
      <c r="B103" s="11" t="str">
        <f>IFERROR(__xludf.DUMMYFUNCTION("""COMPUTED_VALUE"""),"DDB (Deutschland) – Wikipedia")</f>
        <v>DDB (Deutschland) – Wikipedia</v>
      </c>
      <c r="C103" s="8" t="str">
        <f>IFERROR(__xludf.DUMMYFUNCTION("""COMPUTED_VALUE"""),"wikipedia.org")</f>
        <v>wikipedia.org</v>
      </c>
      <c r="D103" s="11" t="str">
        <f>IFERROR(__xludf.DUMMYFUNCTION("""COMPUTED_VALUE"""),"PROFILE")</f>
        <v>PROFILE</v>
      </c>
      <c r="E103" s="11" t="str">
        <f>IFERROR(__xludf.DUMMYFUNCTION("""COMPUTED_VALUE"""),"REFERENCE")</f>
        <v>REFERENCE</v>
      </c>
      <c r="F103" s="11" t="str">
        <f>IFERROR(__xludf.DUMMYFUNCTION("""COMPUTED_VALUE"""),"Profile")</f>
        <v>Profile</v>
      </c>
      <c r="G103" s="11" t="b">
        <f>IFERROR(__xludf.DUMMYFUNCTION("""COMPUTED_VALUE"""),FALSE)</f>
        <v>0</v>
      </c>
      <c r="H103" s="11" t="str">
        <f>IFERROR(__xludf.DUMMYFUNCTION("""COMPUTED_VALUE"""),"Omnicom, BBDO Germany")</f>
        <v>Omnicom, BBDO Germany</v>
      </c>
      <c r="I103" s="11">
        <f>IFERROR(__xludf.DUMMYFUNCTION("""COMPUTED_VALUE"""),1.0)</f>
        <v>1</v>
      </c>
      <c r="J103" s="11">
        <f>IFERROR(__xludf.DUMMYFUNCTION("""COMPUTED_VALUE"""),0.0)</f>
        <v>0</v>
      </c>
      <c r="K103" s="11">
        <f>IFERROR(__xludf.DUMMYFUNCTION("""COMPUTED_VALUE"""),1.0)</f>
        <v>1</v>
      </c>
    </row>
    <row r="104" ht="15.75" customHeight="1">
      <c r="A104" s="8" t="str">
        <f>IFERROR(__xludf.DUMMYFUNCTION("""COMPUTED_VALUE"""),"https://de.wikipedia.org/wiki/Pilot_Group")</f>
        <v>https://de.wikipedia.org/wiki/Pilot_Group</v>
      </c>
      <c r="B104" s="11" t="str">
        <f>IFERROR(__xludf.DUMMYFUNCTION("""COMPUTED_VALUE"""),"Pilot Group – Wikipedia")</f>
        <v>Pilot Group – Wikipedia</v>
      </c>
      <c r="C104" s="8" t="str">
        <f>IFERROR(__xludf.DUMMYFUNCTION("""COMPUTED_VALUE"""),"wikipedia.org")</f>
        <v>wikipedia.org</v>
      </c>
      <c r="D104" s="11" t="str">
        <f>IFERROR(__xludf.DUMMYFUNCTION("""COMPUTED_VALUE"""),"PROFILE")</f>
        <v>PROFILE</v>
      </c>
      <c r="E104" s="11" t="str">
        <f>IFERROR(__xludf.DUMMYFUNCTION("""COMPUTED_VALUE"""),"REFERENCE")</f>
        <v>REFERENCE</v>
      </c>
      <c r="F104" s="11" t="str">
        <f>IFERROR(__xludf.DUMMYFUNCTION("""COMPUTED_VALUE"""),"Profile")</f>
        <v>Profile</v>
      </c>
      <c r="G104" s="11" t="b">
        <f>IFERROR(__xludf.DUMMYFUNCTION("""COMPUTED_VALUE"""),FALSE)</f>
        <v>0</v>
      </c>
      <c r="H104" s="11" t="str">
        <f>IFERROR(__xludf.DUMMYFUNCTION("""COMPUTED_VALUE"""),"Pilot, OMD")</f>
        <v>Pilot, OMD</v>
      </c>
      <c r="I104" s="11">
        <f>IFERROR(__xludf.DUMMYFUNCTION("""COMPUTED_VALUE"""),1.0)</f>
        <v>1</v>
      </c>
      <c r="J104" s="11">
        <f>IFERROR(__xludf.DUMMYFUNCTION("""COMPUTED_VALUE"""),0.0)</f>
        <v>0</v>
      </c>
      <c r="K104" s="11">
        <f>IFERROR(__xludf.DUMMYFUNCTION("""COMPUTED_VALUE"""),2.0)</f>
        <v>2</v>
      </c>
    </row>
    <row r="105" ht="15.75" customHeight="1">
      <c r="A105" s="8" t="str">
        <f>IFERROR(__xludf.DUMMYFUNCTION("""COMPUTED_VALUE"""),"https://digitalagencynetwork.com/agencies/europe/geo/")</f>
        <v>https://digitalagencynetwork.com/agencies/europe/geo/</v>
      </c>
      <c r="B105" s="11" t="str">
        <f>IFERROR(__xludf.DUMMYFUNCTION("""COMPUTED_VALUE"""),"Top GEO Agencies in Europe for Generative Engine Optimization (2026)")</f>
        <v>Top GEO Agencies in Europe for Generative Engine Optimization (2026)</v>
      </c>
      <c r="C105" s="8" t="str">
        <f>IFERROR(__xludf.DUMMYFUNCTION("""COMPUTED_VALUE"""),"digitalagencynetwork.com")</f>
        <v>digitalagencynetwork.com</v>
      </c>
      <c r="D105" s="11" t="str">
        <f>IFERROR(__xludf.DUMMYFUNCTION("""COMPUTED_VALUE"""),"PROFILE")</f>
        <v>PROFILE</v>
      </c>
      <c r="E105" s="11" t="str">
        <f>IFERROR(__xludf.DUMMYFUNCTION("""COMPUTED_VALUE"""),"REFERENCE")</f>
        <v>REFERENCE</v>
      </c>
      <c r="F105" s="11" t="str">
        <f>IFERROR(__xludf.DUMMYFUNCTION("""COMPUTED_VALUE"""),"Profile")</f>
        <v>Profile</v>
      </c>
      <c r="G105" s="11" t="b">
        <f>IFERROR(__xludf.DUMMYFUNCTION("""COMPUTED_VALUE"""),FALSE)</f>
        <v>0</v>
      </c>
      <c r="H105" s="11" t="str">
        <f>IFERROR(__xludf.DUMMYFUNCTION("""COMPUTED_VALUE"""),"AKQA, Capgemini")</f>
        <v>AKQA, Capgemini</v>
      </c>
      <c r="I105" s="11">
        <f>IFERROR(__xludf.DUMMYFUNCTION("""COMPUTED_VALUE"""),1.0)</f>
        <v>1</v>
      </c>
      <c r="J105" s="11">
        <f>IFERROR(__xludf.DUMMYFUNCTION("""COMPUTED_VALUE"""),0.0)</f>
        <v>0</v>
      </c>
      <c r="K105" s="11">
        <f>IFERROR(__xludf.DUMMYFUNCTION("""COMPUTED_VALUE"""),0.0)</f>
        <v>0</v>
      </c>
    </row>
    <row r="106" ht="15.75" customHeight="1">
      <c r="A106" s="8" t="str">
        <f>IFERROR(__xludf.DUMMYFUNCTION("""COMPUTED_VALUE"""),"https://ecom-unity.partnerpage.io/mawave-marketing")</f>
        <v>https://ecom-unity.partnerpage.io/mawave-marketing</v>
      </c>
      <c r="B106" s="11" t="str">
        <f>IFERROR(__xludf.DUMMYFUNCTION("""COMPUTED_VALUE"""),"Mawave Marketing - eCom Unity Agency Directory")</f>
        <v>Mawave Marketing - eCom Unity Agency Directory</v>
      </c>
      <c r="C106" s="8" t="str">
        <f>IFERROR(__xludf.DUMMYFUNCTION("""COMPUTED_VALUE"""),"partnerpage.io")</f>
        <v>partnerpage.io</v>
      </c>
      <c r="D106" s="11" t="str">
        <f>IFERROR(__xludf.DUMMYFUNCTION("""COMPUTED_VALUE"""),"PROFILE")</f>
        <v>PROFILE</v>
      </c>
      <c r="E106" s="11" t="str">
        <f>IFERROR(__xludf.DUMMYFUNCTION("""COMPUTED_VALUE"""),"REFERENCE")</f>
        <v>REFERENCE</v>
      </c>
      <c r="F106" s="11" t="str">
        <f>IFERROR(__xludf.DUMMYFUNCTION("""COMPUTED_VALUE"""),"Profile")</f>
        <v>Profile</v>
      </c>
      <c r="G106" s="11" t="b">
        <f>IFERROR(__xludf.DUMMYFUNCTION("""COMPUTED_VALUE"""),FALSE)</f>
        <v>0</v>
      </c>
      <c r="H106" s="11" t="str">
        <f>IFERROR(__xludf.DUMMYFUNCTION("""COMPUTED_VALUE"""),"Mawave")</f>
        <v>Mawave</v>
      </c>
      <c r="I106" s="11">
        <f>IFERROR(__xludf.DUMMYFUNCTION("""COMPUTED_VALUE"""),1.0)</f>
        <v>1</v>
      </c>
      <c r="J106" s="11">
        <f>IFERROR(__xludf.DUMMYFUNCTION("""COMPUTED_VALUE"""),0.0)</f>
        <v>0</v>
      </c>
      <c r="K106" s="11">
        <f>IFERROR(__xludf.DUMMYFUNCTION("""COMPUTED_VALUE"""),1.0)</f>
        <v>1</v>
      </c>
    </row>
    <row r="107" ht="15.75" customHeight="1">
      <c r="A107" s="8" t="str">
        <f>IFERROR(__xludf.DUMMYFUNCTION("""COMPUTED_VALUE"""),"https://ecosystem.hubspot.com/marketplace/solutions/saphirsolution")</f>
        <v>https://ecosystem.hubspot.com/marketplace/solutions/saphirsolution</v>
      </c>
      <c r="B107" s="11" t="str">
        <f>IFERROR(__xludf.DUMMYFUNCTION("""COMPUTED_VALUE"""),"SaphirSolution GmbH Agency Services &amp; Qualifications | HubSpot")</f>
        <v>SaphirSolution GmbH Agency Services &amp; Qualifications | HubSpot</v>
      </c>
      <c r="C107" s="8" t="str">
        <f>IFERROR(__xludf.DUMMYFUNCTION("""COMPUTED_VALUE"""),"hubspot.com")</f>
        <v>hubspot.com</v>
      </c>
      <c r="D107" s="11" t="str">
        <f>IFERROR(__xludf.DUMMYFUNCTION("""COMPUTED_VALUE"""),"PROFILE")</f>
        <v>PROFILE</v>
      </c>
      <c r="E107" s="11" t="str">
        <f>IFERROR(__xludf.DUMMYFUNCTION("""COMPUTED_VALUE"""),"CORPORATE")</f>
        <v>CORPORATE</v>
      </c>
      <c r="F107" s="11" t="str">
        <f>IFERROR(__xludf.DUMMYFUNCTION("""COMPUTED_VALUE"""),"Profile")</f>
        <v>Profile</v>
      </c>
      <c r="G107" s="11" t="b">
        <f>IFERROR(__xludf.DUMMYFUNCTION("""COMPUTED_VALUE"""),FALSE)</f>
        <v>0</v>
      </c>
      <c r="H107" s="11"/>
      <c r="I107" s="11">
        <f>IFERROR(__xludf.DUMMYFUNCTION("""COMPUTED_VALUE"""),1.0)</f>
        <v>1</v>
      </c>
      <c r="J107" s="11">
        <f>IFERROR(__xludf.DUMMYFUNCTION("""COMPUTED_VALUE"""),0.0)</f>
        <v>0</v>
      </c>
      <c r="K107" s="11">
        <f>IFERROR(__xludf.DUMMYFUNCTION("""COMPUTED_VALUE"""),1.0)</f>
        <v>1</v>
      </c>
    </row>
    <row r="108" ht="15.75" customHeight="1">
      <c r="A108" s="8" t="str">
        <f>IFERROR(__xludf.DUMMYFUNCTION("""COMPUTED_VALUE"""),"https://en.wikipedia.org/wiki/Serviceplan_Group")</f>
        <v>https://en.wikipedia.org/wiki/Serviceplan_Group</v>
      </c>
      <c r="B108" s="11" t="str">
        <f>IFERROR(__xludf.DUMMYFUNCTION("""COMPUTED_VALUE"""),"Serviceplan Group - Wikipedia")</f>
        <v>Serviceplan Group - Wikipedia</v>
      </c>
      <c r="C108" s="8" t="str">
        <f>IFERROR(__xludf.DUMMYFUNCTION("""COMPUTED_VALUE"""),"wikipedia.org")</f>
        <v>wikipedia.org</v>
      </c>
      <c r="D108" s="11" t="str">
        <f>IFERROR(__xludf.DUMMYFUNCTION("""COMPUTED_VALUE"""),"PROFILE")</f>
        <v>PROFILE</v>
      </c>
      <c r="E108" s="11" t="str">
        <f>IFERROR(__xludf.DUMMYFUNCTION("""COMPUTED_VALUE"""),"REFERENCE")</f>
        <v>REFERENCE</v>
      </c>
      <c r="F108" s="11" t="str">
        <f>IFERROR(__xludf.DUMMYFUNCTION("""COMPUTED_VALUE"""),"Profile")</f>
        <v>Profile</v>
      </c>
      <c r="G108" s="11" t="b">
        <f>IFERROR(__xludf.DUMMYFUNCTION("""COMPUTED_VALUE"""),FALSE)</f>
        <v>0</v>
      </c>
      <c r="H108" s="11" t="str">
        <f>IFERROR(__xludf.DUMMYFUNCTION("""COMPUTED_VALUE"""),"Serviceplan Group, Jung von Matt, Mediaplus Group")</f>
        <v>Serviceplan Group, Jung von Matt, Mediaplus Group</v>
      </c>
      <c r="I108" s="11">
        <f>IFERROR(__xludf.DUMMYFUNCTION("""COMPUTED_VALUE"""),1.0)</f>
        <v>1</v>
      </c>
      <c r="J108" s="11">
        <f>IFERROR(__xludf.DUMMYFUNCTION("""COMPUTED_VALUE"""),0.0)</f>
        <v>0</v>
      </c>
      <c r="K108" s="11">
        <f>IFERROR(__xludf.DUMMYFUNCTION("""COMPUTED_VALUE"""),1.0)</f>
        <v>1</v>
      </c>
    </row>
    <row r="109" ht="15.75" customHeight="1">
      <c r="A109" s="8" t="str">
        <f>IFERROR(__xludf.DUMMYFUNCTION("""COMPUTED_VALUE"""),"https://feedbax.ai/ai/germany")</f>
        <v>https://feedbax.ai/ai/germany</v>
      </c>
      <c r="B109" s="11" t="str">
        <f>IFERROR(__xludf.DUMMYFUNCTION("""COMPUTED_VALUE"""),"Top 20 AI Development Companies in Germany - 2026 Reviews")</f>
        <v>Top 20 AI Development Companies in Germany - 2026 Reviews</v>
      </c>
      <c r="C109" s="8" t="str">
        <f>IFERROR(__xludf.DUMMYFUNCTION("""COMPUTED_VALUE"""),"feedbax.ai")</f>
        <v>feedbax.ai</v>
      </c>
      <c r="D109" s="11" t="str">
        <f>IFERROR(__xludf.DUMMYFUNCTION("""COMPUTED_VALUE"""),"PROFILE")</f>
        <v>PROFILE</v>
      </c>
      <c r="E109" s="11" t="str">
        <f>IFERROR(__xludf.DUMMYFUNCTION("""COMPUTED_VALUE"""),"UGC")</f>
        <v>UGC</v>
      </c>
      <c r="F109" s="11" t="str">
        <f>IFERROR(__xludf.DUMMYFUNCTION("""COMPUTED_VALUE"""),"Profile")</f>
        <v>Profile</v>
      </c>
      <c r="G109" s="11" t="b">
        <f>IFERROR(__xludf.DUMMYFUNCTION("""COMPUTED_VALUE"""),FALSE)</f>
        <v>0</v>
      </c>
      <c r="H109" s="11"/>
      <c r="I109" s="11">
        <f>IFERROR(__xludf.DUMMYFUNCTION("""COMPUTED_VALUE"""),1.0)</f>
        <v>1</v>
      </c>
      <c r="J109" s="11">
        <f>IFERROR(__xludf.DUMMYFUNCTION("""COMPUTED_VALUE"""),0.0)</f>
        <v>0</v>
      </c>
      <c r="K109" s="11">
        <f>IFERROR(__xludf.DUMMYFUNCTION("""COMPUTED_VALUE"""),1.0)</f>
        <v>1</v>
      </c>
    </row>
    <row r="110" ht="15.75" customHeight="1">
      <c r="A110" s="8" t="str">
        <f>IFERROR(__xludf.DUMMYFUNCTION("""COMPUTED_VALUE"""),"https://feedbax.ai/google-ads/dach")</f>
        <v>https://feedbax.ai/google-ads/dach</v>
      </c>
      <c r="B110" s="11" t="str">
        <f>IFERROR(__xludf.DUMMYFUNCTION("""COMPUTED_VALUE"""),"Top 20 Google Ads Agencies in DACH - 2026 Reviews")</f>
        <v>Top 20 Google Ads Agencies in DACH - 2026 Reviews</v>
      </c>
      <c r="C110" s="8" t="str">
        <f>IFERROR(__xludf.DUMMYFUNCTION("""COMPUTED_VALUE"""),"feedbax.ai")</f>
        <v>feedbax.ai</v>
      </c>
      <c r="D110" s="11" t="str">
        <f>IFERROR(__xludf.DUMMYFUNCTION("""COMPUTED_VALUE"""),"PROFILE")</f>
        <v>PROFILE</v>
      </c>
      <c r="E110" s="11" t="str">
        <f>IFERROR(__xludf.DUMMYFUNCTION("""COMPUTED_VALUE"""),"UGC")</f>
        <v>UGC</v>
      </c>
      <c r="F110" s="11" t="str">
        <f>IFERROR(__xludf.DUMMYFUNCTION("""COMPUTED_VALUE"""),"Profile")</f>
        <v>Profile</v>
      </c>
      <c r="G110" s="11" t="b">
        <f>IFERROR(__xludf.DUMMYFUNCTION("""COMPUTED_VALUE"""),FALSE)</f>
        <v>0</v>
      </c>
      <c r="H110" s="11" t="str">
        <f>IFERROR(__xludf.DUMMYFUNCTION("""COMPUTED_VALUE"""),"Mediacharge, Smarketer, DREIKON, Suchhelden")</f>
        <v>Mediacharge, Smarketer, DREIKON, Suchhelden</v>
      </c>
      <c r="I110" s="11">
        <f>IFERROR(__xludf.DUMMYFUNCTION("""COMPUTED_VALUE"""),1.0)</f>
        <v>1</v>
      </c>
      <c r="J110" s="11">
        <f>IFERROR(__xludf.DUMMYFUNCTION("""COMPUTED_VALUE"""),0.0)</f>
        <v>0</v>
      </c>
      <c r="K110" s="11">
        <f>IFERROR(__xludf.DUMMYFUNCTION("""COMPUTED_VALUE"""),3.0)</f>
        <v>3</v>
      </c>
    </row>
    <row r="111" ht="15.75" customHeight="1">
      <c r="A111" s="8" t="str">
        <f>IFERROR(__xludf.DUMMYFUNCTION("""COMPUTED_VALUE"""),"https://feedbax.ai/performance-marketing/dach")</f>
        <v>https://feedbax.ai/performance-marketing/dach</v>
      </c>
      <c r="B111" s="11" t="str">
        <f>IFERROR(__xludf.DUMMYFUNCTION("""COMPUTED_VALUE"""),"Top 20 Performance Marketing Agencies in DACH - 2026 Reviews")</f>
        <v>Top 20 Performance Marketing Agencies in DACH - 2026 Reviews</v>
      </c>
      <c r="C111" s="8" t="str">
        <f>IFERROR(__xludf.DUMMYFUNCTION("""COMPUTED_VALUE"""),"feedbax.ai")</f>
        <v>feedbax.ai</v>
      </c>
      <c r="D111" s="11" t="str">
        <f>IFERROR(__xludf.DUMMYFUNCTION("""COMPUTED_VALUE"""),"PROFILE")</f>
        <v>PROFILE</v>
      </c>
      <c r="E111" s="11" t="str">
        <f>IFERROR(__xludf.DUMMYFUNCTION("""COMPUTED_VALUE"""),"UGC")</f>
        <v>UGC</v>
      </c>
      <c r="F111" s="11" t="str">
        <f>IFERROR(__xludf.DUMMYFUNCTION("""COMPUTED_VALUE"""),"Profile")</f>
        <v>Profile</v>
      </c>
      <c r="G111" s="11" t="b">
        <f>IFERROR(__xludf.DUMMYFUNCTION("""COMPUTED_VALUE"""),FALSE)</f>
        <v>0</v>
      </c>
      <c r="H111" s="11" t="str">
        <f>IFERROR(__xludf.DUMMYFUNCTION("""COMPUTED_VALUE"""),"PANORAMA3000, KlickPiloten, Mediacharge, Smarketer, DREIKON, Suchhelden")</f>
        <v>PANORAMA3000, KlickPiloten, Mediacharge, Smarketer, DREIKON, Suchhelden</v>
      </c>
      <c r="I111" s="11">
        <f>IFERROR(__xludf.DUMMYFUNCTION("""COMPUTED_VALUE"""),1.0)</f>
        <v>1</v>
      </c>
      <c r="J111" s="11">
        <f>IFERROR(__xludf.DUMMYFUNCTION("""COMPUTED_VALUE"""),0.0)</f>
        <v>0</v>
      </c>
      <c r="K111" s="11">
        <f>IFERROR(__xludf.DUMMYFUNCTION("""COMPUTED_VALUE"""),1.0)</f>
        <v>1</v>
      </c>
    </row>
    <row r="112" ht="15.75" customHeight="1">
      <c r="A112" s="8" t="str">
        <f>IFERROR(__xludf.DUMMYFUNCTION("""COMPUTED_VALUE"""),"https://feedbax.ai/performance-marketing/frankfurt")</f>
        <v>https://feedbax.ai/performance-marketing/frankfurt</v>
      </c>
      <c r="B112" s="11" t="str">
        <f>IFERROR(__xludf.DUMMYFUNCTION("""COMPUTED_VALUE"""),"Top 20 Performance Marketing Agencies in Frankfurt - 2026 Reviews")</f>
        <v>Top 20 Performance Marketing Agencies in Frankfurt - 2026 Reviews</v>
      </c>
      <c r="C112" s="8" t="str">
        <f>IFERROR(__xludf.DUMMYFUNCTION("""COMPUTED_VALUE"""),"feedbax.ai")</f>
        <v>feedbax.ai</v>
      </c>
      <c r="D112" s="11" t="str">
        <f>IFERROR(__xludf.DUMMYFUNCTION("""COMPUTED_VALUE"""),"PROFILE")</f>
        <v>PROFILE</v>
      </c>
      <c r="E112" s="11" t="str">
        <f>IFERROR(__xludf.DUMMYFUNCTION("""COMPUTED_VALUE"""),"UGC")</f>
        <v>UGC</v>
      </c>
      <c r="F112" s="11" t="str">
        <f>IFERROR(__xludf.DUMMYFUNCTION("""COMPUTED_VALUE"""),"Profile")</f>
        <v>Profile</v>
      </c>
      <c r="G112" s="11" t="b">
        <f>IFERROR(__xludf.DUMMYFUNCTION("""COMPUTED_VALUE"""),FALSE)</f>
        <v>0</v>
      </c>
      <c r="H112" s="11" t="str">
        <f>IFERROR(__xludf.DUMMYFUNCTION("""COMPUTED_VALUE"""),"PANORAMA3000, KlickPiloten, Mediacharge, ZweiDigital GmbH")</f>
        <v>PANORAMA3000, KlickPiloten, Mediacharge, ZweiDigital GmbH</v>
      </c>
      <c r="I112" s="11">
        <f>IFERROR(__xludf.DUMMYFUNCTION("""COMPUTED_VALUE"""),1.0)</f>
        <v>1</v>
      </c>
      <c r="J112" s="11">
        <f>IFERROR(__xludf.DUMMYFUNCTION("""COMPUTED_VALUE"""),0.0)</f>
        <v>0</v>
      </c>
      <c r="K112" s="11">
        <f>IFERROR(__xludf.DUMMYFUNCTION("""COMPUTED_VALUE"""),0.0)</f>
        <v>0</v>
      </c>
    </row>
    <row r="113" ht="15.75" customHeight="1">
      <c r="A113" s="8" t="str">
        <f>IFERROR(__xludf.DUMMYFUNCTION("""COMPUTED_VALUE"""),"https://www.feld-m.de/kontakt/")</f>
        <v>https://www.feld-m.de/kontakt/</v>
      </c>
      <c r="B113" s="11" t="str">
        <f>IFERROR(__xludf.DUMMYFUNCTION("""COMPUTED_VALUE"""),"Kontakt | FELD M")</f>
        <v>Kontakt | FELD M</v>
      </c>
      <c r="C113" s="8" t="str">
        <f>IFERROR(__xludf.DUMMYFUNCTION("""COMPUTED_VALUE"""),"feld-m.de")</f>
        <v>feld-m.de</v>
      </c>
      <c r="D113" s="11" t="str">
        <f>IFERROR(__xludf.DUMMYFUNCTION("""COMPUTED_VALUE"""),"PROFILE")</f>
        <v>PROFILE</v>
      </c>
      <c r="E113" s="11" t="str">
        <f>IFERROR(__xludf.DUMMYFUNCTION("""COMPUTED_VALUE"""),"COMPETITOR")</f>
        <v>COMPETITOR</v>
      </c>
      <c r="F113" s="11" t="str">
        <f>IFERROR(__xludf.DUMMYFUNCTION("""COMPUTED_VALUE"""),"Profile")</f>
        <v>Profile</v>
      </c>
      <c r="G113" s="11" t="b">
        <f>IFERROR(__xludf.DUMMYFUNCTION("""COMPUTED_VALUE"""),FALSE)</f>
        <v>0</v>
      </c>
      <c r="H113" s="11" t="str">
        <f>IFERROR(__xludf.DUMMYFUNCTION("""COMPUTED_VALUE"""),"FELD M")</f>
        <v>FELD M</v>
      </c>
      <c r="I113" s="11">
        <f>IFERROR(__xludf.DUMMYFUNCTION("""COMPUTED_VALUE"""),1.0)</f>
        <v>1</v>
      </c>
      <c r="J113" s="11">
        <f>IFERROR(__xludf.DUMMYFUNCTION("""COMPUTED_VALUE"""),0.0)</f>
        <v>0</v>
      </c>
      <c r="K113" s="11">
        <f>IFERROR(__xludf.DUMMYFUNCTION("""COMPUTED_VALUE"""),1.0)</f>
        <v>1</v>
      </c>
    </row>
    <row r="114" ht="15.75" customHeight="1">
      <c r="A114" s="8" t="str">
        <f>IFERROR(__xludf.DUMMYFUNCTION("""COMPUTED_VALUE"""),"https://genedge.co/newsletter")</f>
        <v>https://genedge.co/newsletter</v>
      </c>
      <c r="B114" s="11" t="str">
        <f>IFERROR(__xludf.DUMMYFUNCTION("""COMPUTED_VALUE"""),"Newsletter | GenEdge | GenEdge")</f>
        <v>Newsletter | GenEdge | GenEdge</v>
      </c>
      <c r="C114" s="8" t="str">
        <f>IFERROR(__xludf.DUMMYFUNCTION("""COMPUTED_VALUE"""),"genedge.co")</f>
        <v>genedge.co</v>
      </c>
      <c r="D114" s="11" t="str">
        <f>IFERROR(__xludf.DUMMYFUNCTION("""COMPUTED_VALUE"""),"PROFILE")</f>
        <v>PROFILE</v>
      </c>
      <c r="E114" s="11" t="str">
        <f>IFERROR(__xludf.DUMMYFUNCTION("""COMPUTED_VALUE"""),"CORPORATE")</f>
        <v>CORPORATE</v>
      </c>
      <c r="F114" s="11" t="str">
        <f>IFERROR(__xludf.DUMMYFUNCTION("""COMPUTED_VALUE"""),"Profile")</f>
        <v>Profile</v>
      </c>
      <c r="G114" s="11" t="b">
        <f>IFERROR(__xludf.DUMMYFUNCTION("""COMPUTED_VALUE"""),FALSE)</f>
        <v>0</v>
      </c>
      <c r="H114" s="11" t="str">
        <f>IFERROR(__xludf.DUMMYFUNCTION("""COMPUTED_VALUE"""),"Momentum")</f>
        <v>Momentum</v>
      </c>
      <c r="I114" s="11">
        <f>IFERROR(__xludf.DUMMYFUNCTION("""COMPUTED_VALUE"""),1.0)</f>
        <v>1</v>
      </c>
      <c r="J114" s="11">
        <f>IFERROR(__xludf.DUMMYFUNCTION("""COMPUTED_VALUE"""),0.0)</f>
        <v>0</v>
      </c>
      <c r="K114" s="11">
        <f>IFERROR(__xludf.DUMMYFUNCTION("""COMPUTED_VALUE"""),1.0)</f>
        <v>1</v>
      </c>
    </row>
    <row r="115" ht="15.75" customHeight="1">
      <c r="A115" s="8" t="str">
        <f>IFERROR(__xludf.DUMMYFUNCTION("""COMPUTED_VALUE"""),"https://www.glassdoor.com/Overview/Working-at-Jung-von-Matt-EI_IE473243.11,24.htm")</f>
        <v>https://www.glassdoor.com/Overview/Working-at-Jung-von-Matt-EI_IE473243.11,24.htm</v>
      </c>
      <c r="B115" s="11" t="str">
        <f>IFERROR(__xludf.DUMMYFUNCTION("""COMPUTED_VALUE"""),"Working at Jung von Matt \| Glassdoor")</f>
        <v>Working at Jung von Matt \| Glassdoor</v>
      </c>
      <c r="C115" s="8" t="str">
        <f>IFERROR(__xludf.DUMMYFUNCTION("""COMPUTED_VALUE"""),"glassdoor.com")</f>
        <v>glassdoor.com</v>
      </c>
      <c r="D115" s="11" t="str">
        <f>IFERROR(__xludf.DUMMYFUNCTION("""COMPUTED_VALUE"""),"PROFILE")</f>
        <v>PROFILE</v>
      </c>
      <c r="E115" s="11" t="str">
        <f>IFERROR(__xludf.DUMMYFUNCTION("""COMPUTED_VALUE"""),"UGC")</f>
        <v>UGC</v>
      </c>
      <c r="F115" s="11" t="str">
        <f>IFERROR(__xludf.DUMMYFUNCTION("""COMPUTED_VALUE"""),"Profile")</f>
        <v>Profile</v>
      </c>
      <c r="G115" s="11" t="b">
        <f>IFERROR(__xludf.DUMMYFUNCTION("""COMPUTED_VALUE"""),FALSE)</f>
        <v>0</v>
      </c>
      <c r="H115" s="11" t="str">
        <f>IFERROR(__xludf.DUMMYFUNCTION("""COMPUTED_VALUE"""),"Jung von Matt")</f>
        <v>Jung von Matt</v>
      </c>
      <c r="I115" s="11">
        <f>IFERROR(__xludf.DUMMYFUNCTION("""COMPUTED_VALUE"""),1.0)</f>
        <v>1</v>
      </c>
      <c r="J115" s="11">
        <f>IFERROR(__xludf.DUMMYFUNCTION("""COMPUTED_VALUE"""),0.0)</f>
        <v>0</v>
      </c>
      <c r="K115" s="11">
        <f>IFERROR(__xludf.DUMMYFUNCTION("""COMPUTED_VALUE"""),1.0)</f>
        <v>1</v>
      </c>
    </row>
    <row r="116" ht="15.75" customHeight="1">
      <c r="A116" s="8" t="str">
        <f>IFERROR(__xludf.DUMMYFUNCTION("""COMPUTED_VALUE"""),"https://www.gwa.de/agentur/jung-von-matt-recdoadq0ys6eetsm/")</f>
        <v>https://www.gwa.de/agentur/jung-von-matt-recdoadq0ys6eetsm/</v>
      </c>
      <c r="B116" s="11" t="str">
        <f>IFERROR(__xludf.DUMMYFUNCTION("""COMPUTED_VALUE"""),"Jung von Matt - GWA")</f>
        <v>Jung von Matt - GWA</v>
      </c>
      <c r="C116" s="8" t="str">
        <f>IFERROR(__xludf.DUMMYFUNCTION("""COMPUTED_VALUE"""),"gwa.de")</f>
        <v>gwa.de</v>
      </c>
      <c r="D116" s="11" t="str">
        <f>IFERROR(__xludf.DUMMYFUNCTION("""COMPUTED_VALUE"""),"PROFILE")</f>
        <v>PROFILE</v>
      </c>
      <c r="E116" s="11" t="str">
        <f>IFERROR(__xludf.DUMMYFUNCTION("""COMPUTED_VALUE"""),"INSTITUTIONAL")</f>
        <v>INSTITUTIONAL</v>
      </c>
      <c r="F116" s="11" t="str">
        <f>IFERROR(__xludf.DUMMYFUNCTION("""COMPUTED_VALUE"""),"Profile")</f>
        <v>Profile</v>
      </c>
      <c r="G116" s="11" t="b">
        <f>IFERROR(__xludf.DUMMYFUNCTION("""COMPUTED_VALUE"""),FALSE)</f>
        <v>0</v>
      </c>
      <c r="H116" s="11" t="str">
        <f>IFERROR(__xludf.DUMMYFUNCTION("""COMPUTED_VALUE"""),"Jung von Matt, Momentum")</f>
        <v>Jung von Matt, Momentum</v>
      </c>
      <c r="I116" s="11">
        <f>IFERROR(__xludf.DUMMYFUNCTION("""COMPUTED_VALUE"""),1.0)</f>
        <v>1</v>
      </c>
      <c r="J116" s="11">
        <f>IFERROR(__xludf.DUMMYFUNCTION("""COMPUTED_VALUE"""),0.0)</f>
        <v>0</v>
      </c>
      <c r="K116" s="11">
        <f>IFERROR(__xludf.DUMMYFUNCTION("""COMPUTED_VALUE"""),1.0)</f>
        <v>1</v>
      </c>
    </row>
    <row r="117" ht="15.75" customHeight="1">
      <c r="A117" s="8" t="str">
        <f>IFERROR(__xludf.DUMMYFUNCTION("""COMPUTED_VALUE"""),"https://www.hopmann.com/en/company/")</f>
        <v>https://www.hopmann.com/en/company/</v>
      </c>
      <c r="B117" s="11" t="str">
        <f>IFERROR(__xludf.DUMMYFUNCTION("""COMPUTED_VALUE"""),"Company - Hopmann Marketing Analytics")</f>
        <v>Company - Hopmann Marketing Analytics</v>
      </c>
      <c r="C117" s="8" t="str">
        <f>IFERROR(__xludf.DUMMYFUNCTION("""COMPUTED_VALUE"""),"hopmann.com")</f>
        <v>hopmann.com</v>
      </c>
      <c r="D117" s="11" t="str">
        <f>IFERROR(__xludf.DUMMYFUNCTION("""COMPUTED_VALUE"""),"PROFILE")</f>
        <v>PROFILE</v>
      </c>
      <c r="E117" s="11" t="str">
        <f>IFERROR(__xludf.DUMMYFUNCTION("""COMPUTED_VALUE"""),"COMPETITOR")</f>
        <v>COMPETITOR</v>
      </c>
      <c r="F117" s="11" t="str">
        <f>IFERROR(__xludf.DUMMYFUNCTION("""COMPUTED_VALUE"""),"Profile")</f>
        <v>Profile</v>
      </c>
      <c r="G117" s="11" t="b">
        <f>IFERROR(__xludf.DUMMYFUNCTION("""COMPUTED_VALUE"""),FALSE)</f>
        <v>0</v>
      </c>
      <c r="H117" s="11" t="str">
        <f>IFERROR(__xludf.DUMMYFUNCTION("""COMPUTED_VALUE"""),"Hopmann Marketing Analytics GmbH")</f>
        <v>Hopmann Marketing Analytics GmbH</v>
      </c>
      <c r="I117" s="11">
        <f>IFERROR(__xludf.DUMMYFUNCTION("""COMPUTED_VALUE"""),1.0)</f>
        <v>1</v>
      </c>
      <c r="J117" s="11">
        <f>IFERROR(__xludf.DUMMYFUNCTION("""COMPUTED_VALUE"""),0.0)</f>
        <v>0</v>
      </c>
      <c r="K117" s="11">
        <f>IFERROR(__xludf.DUMMYFUNCTION("""COMPUTED_VALUE"""),0.0)</f>
        <v>0</v>
      </c>
    </row>
    <row r="118" ht="15.75" customHeight="1">
      <c r="A118" s="8" t="str">
        <f>IFERROR(__xludf.DUMMYFUNCTION("""COMPUTED_VALUE"""),"https://www.house-of-communication.com/de/en/brands/mediaplus/landingpages/awards.html#:~:text=Serviceplan%20Group%20was%20named%20Independent,experts%20at%2025%20locations%20worldwide.")</f>
        <v>https://www.house-of-communication.com/de/en/brands/mediaplus/landingpages/awards.html#:~:text=Serviceplan%20Group%20was%20named%20Independent,experts%20at%2025%20locations%20worldwide.</v>
      </c>
      <c r="B118" s="11" t="str">
        <f>IFERROR(__xludf.DUMMYFUNCTION("""COMPUTED_VALUE"""),"Awards")</f>
        <v>Awards</v>
      </c>
      <c r="C118" s="8" t="str">
        <f>IFERROR(__xludf.DUMMYFUNCTION("""COMPUTED_VALUE"""),"house-of-communication.com")</f>
        <v>house-of-communication.com</v>
      </c>
      <c r="D118" s="11" t="str">
        <f>IFERROR(__xludf.DUMMYFUNCTION("""COMPUTED_VALUE"""),"PROFILE")</f>
        <v>PROFILE</v>
      </c>
      <c r="E118" s="11" t="str">
        <f>IFERROR(__xludf.DUMMYFUNCTION("""COMPUTED_VALUE"""),"COMPETITOR")</f>
        <v>COMPETITOR</v>
      </c>
      <c r="F118" s="11" t="str">
        <f>IFERROR(__xludf.DUMMYFUNCTION("""COMPUTED_VALUE"""),"Profile")</f>
        <v>Profile</v>
      </c>
      <c r="G118" s="11" t="b">
        <f>IFERROR(__xludf.DUMMYFUNCTION("""COMPUTED_VALUE"""),FALSE)</f>
        <v>0</v>
      </c>
      <c r="H118" s="11" t="str">
        <f>IFERROR(__xludf.DUMMYFUNCTION("""COMPUTED_VALUE"""),"Serviceplan Group")</f>
        <v>Serviceplan Group</v>
      </c>
      <c r="I118" s="11">
        <f>IFERROR(__xludf.DUMMYFUNCTION("""COMPUTED_VALUE"""),1.0)</f>
        <v>1</v>
      </c>
      <c r="J118" s="11">
        <f>IFERROR(__xludf.DUMMYFUNCTION("""COMPUTED_VALUE"""),0.0)</f>
        <v>0</v>
      </c>
      <c r="K118" s="11">
        <f>IFERROR(__xludf.DUMMYFUNCTION("""COMPUTED_VALUE"""),1.0)</f>
        <v>1</v>
      </c>
    </row>
    <row r="119" ht="15.75" customHeight="1">
      <c r="A119" s="8" t="str">
        <f>IFERROR(__xludf.DUMMYFUNCTION("""COMPUTED_VALUE"""),"https://www.house-of-communication.com/de/en/brands/mediaplus/our-expertise.html")</f>
        <v>https://www.house-of-communication.com/de/en/brands/mediaplus/our-expertise.html</v>
      </c>
      <c r="B119" s="11" t="str">
        <f>IFERROR(__xludf.DUMMYFUNCTION("""COMPUTED_VALUE"""),"Our Expertise | Mediaplus")</f>
        <v>Our Expertise | Mediaplus</v>
      </c>
      <c r="C119" s="8" t="str">
        <f>IFERROR(__xludf.DUMMYFUNCTION("""COMPUTED_VALUE"""),"house-of-communication.com")</f>
        <v>house-of-communication.com</v>
      </c>
      <c r="D119" s="11" t="str">
        <f>IFERROR(__xludf.DUMMYFUNCTION("""COMPUTED_VALUE"""),"PROFILE")</f>
        <v>PROFILE</v>
      </c>
      <c r="E119" s="11" t="str">
        <f>IFERROR(__xludf.DUMMYFUNCTION("""COMPUTED_VALUE"""),"COMPETITOR")</f>
        <v>COMPETITOR</v>
      </c>
      <c r="F119" s="11" t="str">
        <f>IFERROR(__xludf.DUMMYFUNCTION("""COMPUTED_VALUE"""),"Profile")</f>
        <v>Profile</v>
      </c>
      <c r="G119" s="11" t="b">
        <f>IFERROR(__xludf.DUMMYFUNCTION("""COMPUTED_VALUE"""),FALSE)</f>
        <v>0</v>
      </c>
      <c r="H119" s="11" t="str">
        <f>IFERROR(__xludf.DUMMYFUNCTION("""COMPUTED_VALUE"""),"Serviceplan Group")</f>
        <v>Serviceplan Group</v>
      </c>
      <c r="I119" s="11">
        <f>IFERROR(__xludf.DUMMYFUNCTION("""COMPUTED_VALUE"""),1.0)</f>
        <v>1</v>
      </c>
      <c r="J119" s="11">
        <f>IFERROR(__xludf.DUMMYFUNCTION("""COMPUTED_VALUE"""),0.0)</f>
        <v>0</v>
      </c>
      <c r="K119" s="11">
        <f>IFERROR(__xludf.DUMMYFUNCTION("""COMPUTED_VALUE"""),0.0)</f>
        <v>0</v>
      </c>
    </row>
    <row r="120" ht="15.75" customHeight="1">
      <c r="A120" s="8" t="str">
        <f>IFERROR(__xludf.DUMMYFUNCTION("""COMPUTED_VALUE"""),"https://www.house-of-communication.com/de/en/brands/serviceplan.html")</f>
        <v>https://www.house-of-communication.com/de/en/brands/serviceplan.html</v>
      </c>
      <c r="B120" s="11" t="str">
        <f>IFERROR(__xludf.DUMMYFUNCTION("""COMPUTED_VALUE"""),"Serviceplan")</f>
        <v>Serviceplan</v>
      </c>
      <c r="C120" s="8" t="str">
        <f>IFERROR(__xludf.DUMMYFUNCTION("""COMPUTED_VALUE"""),"house-of-communication.com")</f>
        <v>house-of-communication.com</v>
      </c>
      <c r="D120" s="11" t="str">
        <f>IFERROR(__xludf.DUMMYFUNCTION("""COMPUTED_VALUE"""),"PROFILE")</f>
        <v>PROFILE</v>
      </c>
      <c r="E120" s="11" t="str">
        <f>IFERROR(__xludf.DUMMYFUNCTION("""COMPUTED_VALUE"""),"COMPETITOR")</f>
        <v>COMPETITOR</v>
      </c>
      <c r="F120" s="11" t="str">
        <f>IFERROR(__xludf.DUMMYFUNCTION("""COMPUTED_VALUE"""),"Profile")</f>
        <v>Profile</v>
      </c>
      <c r="G120" s="11" t="b">
        <f>IFERROR(__xludf.DUMMYFUNCTION("""COMPUTED_VALUE"""),FALSE)</f>
        <v>0</v>
      </c>
      <c r="H120" s="11" t="str">
        <f>IFERROR(__xludf.DUMMYFUNCTION("""COMPUTED_VALUE"""),"Serviceplan Group, Momentum")</f>
        <v>Serviceplan Group, Momentum</v>
      </c>
      <c r="I120" s="11">
        <f>IFERROR(__xludf.DUMMYFUNCTION("""COMPUTED_VALUE"""),1.0)</f>
        <v>1</v>
      </c>
      <c r="J120" s="11">
        <f>IFERROR(__xludf.DUMMYFUNCTION("""COMPUTED_VALUE"""),0.0)</f>
        <v>0</v>
      </c>
      <c r="K120" s="11">
        <f>IFERROR(__xludf.DUMMYFUNCTION("""COMPUTED_VALUE"""),3.0)</f>
        <v>3</v>
      </c>
    </row>
    <row r="121" ht="15.75" customHeight="1">
      <c r="A121" s="8" t="str">
        <f>IFERROR(__xludf.DUMMYFUNCTION("""COMPUTED_VALUE"""),"https://www.house-of-communication.com/es/en/brands/serviceplan.html")</f>
        <v>https://www.house-of-communication.com/es/en/brands/serviceplan.html</v>
      </c>
      <c r="B121" s="11" t="str">
        <f>IFERROR(__xludf.DUMMYFUNCTION("""COMPUTED_VALUE"""),"Serviceplan")</f>
        <v>Serviceplan</v>
      </c>
      <c r="C121" s="8" t="str">
        <f>IFERROR(__xludf.DUMMYFUNCTION("""COMPUTED_VALUE"""),"house-of-communication.com")</f>
        <v>house-of-communication.com</v>
      </c>
      <c r="D121" s="11" t="str">
        <f>IFERROR(__xludf.DUMMYFUNCTION("""COMPUTED_VALUE"""),"PROFILE")</f>
        <v>PROFILE</v>
      </c>
      <c r="E121" s="11" t="str">
        <f>IFERROR(__xludf.DUMMYFUNCTION("""COMPUTED_VALUE"""),"COMPETITOR")</f>
        <v>COMPETITOR</v>
      </c>
      <c r="F121" s="11" t="str">
        <f>IFERROR(__xludf.DUMMYFUNCTION("""COMPUTED_VALUE"""),"Profile")</f>
        <v>Profile</v>
      </c>
      <c r="G121" s="11" t="b">
        <f>IFERROR(__xludf.DUMMYFUNCTION("""COMPUTED_VALUE"""),FALSE)</f>
        <v>0</v>
      </c>
      <c r="H121" s="11" t="str">
        <f>IFERROR(__xludf.DUMMYFUNCTION("""COMPUTED_VALUE"""),"Serviceplan Group")</f>
        <v>Serviceplan Group</v>
      </c>
      <c r="I121" s="11">
        <f>IFERROR(__xludf.DUMMYFUNCTION("""COMPUTED_VALUE"""),1.0)</f>
        <v>1</v>
      </c>
      <c r="J121" s="11">
        <f>IFERROR(__xludf.DUMMYFUNCTION("""COMPUTED_VALUE"""),0.0)</f>
        <v>0</v>
      </c>
      <c r="K121" s="11">
        <f>IFERROR(__xludf.DUMMYFUNCTION("""COMPUTED_VALUE"""),1.0)</f>
        <v>1</v>
      </c>
    </row>
    <row r="122" ht="15.75" customHeight="1">
      <c r="A122" s="8" t="str">
        <f>IFERROR(__xludf.DUMMYFUNCTION("""COMPUTED_VALUE"""),"https://www.house-of-communication.com/int/en/brands/mediaplus/our-expertise.html")</f>
        <v>https://www.house-of-communication.com/int/en/brands/mediaplus/our-expertise.html</v>
      </c>
      <c r="B122" s="11" t="str">
        <f>IFERROR(__xludf.DUMMYFUNCTION("""COMPUTED_VALUE"""),"Our Expertise | Mediaplus")</f>
        <v>Our Expertise | Mediaplus</v>
      </c>
      <c r="C122" s="8" t="str">
        <f>IFERROR(__xludf.DUMMYFUNCTION("""COMPUTED_VALUE"""),"house-of-communication.com")</f>
        <v>house-of-communication.com</v>
      </c>
      <c r="D122" s="11" t="str">
        <f>IFERROR(__xludf.DUMMYFUNCTION("""COMPUTED_VALUE"""),"PROFILE")</f>
        <v>PROFILE</v>
      </c>
      <c r="E122" s="11" t="str">
        <f>IFERROR(__xludf.DUMMYFUNCTION("""COMPUTED_VALUE"""),"COMPETITOR")</f>
        <v>COMPETITOR</v>
      </c>
      <c r="F122" s="11" t="str">
        <f>IFERROR(__xludf.DUMMYFUNCTION("""COMPUTED_VALUE"""),"Profile")</f>
        <v>Profile</v>
      </c>
      <c r="G122" s="11" t="b">
        <f>IFERROR(__xludf.DUMMYFUNCTION("""COMPUTED_VALUE"""),FALSE)</f>
        <v>0</v>
      </c>
      <c r="H122" s="11" t="str">
        <f>IFERROR(__xludf.DUMMYFUNCTION("""COMPUTED_VALUE"""),"Serviceplan Group")</f>
        <v>Serviceplan Group</v>
      </c>
      <c r="I122" s="11">
        <f>IFERROR(__xludf.DUMMYFUNCTION("""COMPUTED_VALUE"""),1.0)</f>
        <v>1</v>
      </c>
      <c r="J122" s="11">
        <f>IFERROR(__xludf.DUMMYFUNCTION("""COMPUTED_VALUE"""),0.0)</f>
        <v>0</v>
      </c>
      <c r="K122" s="11">
        <f>IFERROR(__xludf.DUMMYFUNCTION("""COMPUTED_VALUE"""),2.0)</f>
        <v>2</v>
      </c>
    </row>
    <row r="123" ht="15.75" customHeight="1">
      <c r="A123" s="8" t="str">
        <f>IFERROR(__xludf.DUMMYFUNCTION("""COMPUTED_VALUE"""),"https://www.hyam.de/kreativagentur")</f>
        <v>https://www.hyam.de/kreativagentur</v>
      </c>
      <c r="B123" s="11" t="str">
        <f>IFERROR(__xludf.DUMMYFUNCTION("""COMPUTED_VALUE"""),"Kreativagentur Berlin | Social-First für Fashion &amp;amp; Beauty | HY.AM")</f>
        <v>Kreativagentur Berlin | Social-First für Fashion &amp;amp; Beauty | HY.AM</v>
      </c>
      <c r="C123" s="8" t="str">
        <f>IFERROR(__xludf.DUMMYFUNCTION("""COMPUTED_VALUE"""),"hyam.de")</f>
        <v>hyam.de</v>
      </c>
      <c r="D123" s="11" t="str">
        <f>IFERROR(__xludf.DUMMYFUNCTION("""COMPUTED_VALUE"""),"PROFILE")</f>
        <v>PROFILE</v>
      </c>
      <c r="E123" s="11" t="str">
        <f>IFERROR(__xludf.DUMMYFUNCTION("""COMPUTED_VALUE"""),"CORPORATE")</f>
        <v>CORPORATE</v>
      </c>
      <c r="F123" s="11" t="str">
        <f>IFERROR(__xludf.DUMMYFUNCTION("""COMPUTED_VALUE"""),"Profile")</f>
        <v>Profile</v>
      </c>
      <c r="G123" s="11" t="b">
        <f>IFERROR(__xludf.DUMMYFUNCTION("""COMPUTED_VALUE"""),FALSE)</f>
        <v>0</v>
      </c>
      <c r="H123" s="11" t="str">
        <f>IFERROR(__xludf.DUMMYFUNCTION("""COMPUTED_VALUE"""),"HY.AM STUDIOS")</f>
        <v>HY.AM STUDIOS</v>
      </c>
      <c r="I123" s="11">
        <f>IFERROR(__xludf.DUMMYFUNCTION("""COMPUTED_VALUE"""),1.0)</f>
        <v>1</v>
      </c>
      <c r="J123" s="11">
        <f>IFERROR(__xludf.DUMMYFUNCTION("""COMPUTED_VALUE"""),0.0)</f>
        <v>0</v>
      </c>
      <c r="K123" s="11">
        <f>IFERROR(__xludf.DUMMYFUNCTION("""COMPUTED_VALUE"""),1.0)</f>
        <v>1</v>
      </c>
    </row>
    <row r="124" ht="15.75" customHeight="1">
      <c r="A124" s="8" t="str">
        <f>IFERROR(__xludf.DUMMYFUNCTION("""COMPUTED_VALUE"""),"https://www.ibusiness.de/performance-ranking/performance_2025.html?sub=27")</f>
        <v>https://www.ibusiness.de/performance-ranking/performance_2025.html?sub=27</v>
      </c>
      <c r="B124" s="11" t="str">
        <f>IFERROR(__xludf.DUMMYFUNCTION("""COMPUTED_VALUE"""),"Das Ranking der gr��ten deutschen Performance-Marketing-Agenturen")</f>
        <v>Das Ranking der gr��ten deutschen Performance-Marketing-Agenturen</v>
      </c>
      <c r="C124" s="8" t="str">
        <f>IFERROR(__xludf.DUMMYFUNCTION("""COMPUTED_VALUE"""),"ibusiness.de")</f>
        <v>ibusiness.de</v>
      </c>
      <c r="D124" s="11" t="str">
        <f>IFERROR(__xludf.DUMMYFUNCTION("""COMPUTED_VALUE"""),"PROFILE")</f>
        <v>PROFILE</v>
      </c>
      <c r="E124" s="11" t="str">
        <f>IFERROR(__xludf.DUMMYFUNCTION("""COMPUTED_VALUE"""),"EDITORIAL")</f>
        <v>EDITORIAL</v>
      </c>
      <c r="F124" s="11" t="str">
        <f>IFERROR(__xludf.DUMMYFUNCTION("""COMPUTED_VALUE"""),"Profile")</f>
        <v>Profile</v>
      </c>
      <c r="G124" s="11" t="b">
        <f>IFERROR(__xludf.DUMMYFUNCTION("""COMPUTED_VALUE"""),FALSE)</f>
        <v>0</v>
      </c>
      <c r="H124" s="11" t="str">
        <f>IFERROR(__xludf.DUMMYFUNCTION("""COMPUTED_VALUE"""),"Artefact")</f>
        <v>Artefact</v>
      </c>
      <c r="I124" s="11">
        <f>IFERROR(__xludf.DUMMYFUNCTION("""COMPUTED_VALUE"""),1.0)</f>
        <v>1</v>
      </c>
      <c r="J124" s="11">
        <f>IFERROR(__xludf.DUMMYFUNCTION("""COMPUTED_VALUE"""),0.0)</f>
        <v>0</v>
      </c>
      <c r="K124" s="11">
        <f>IFERROR(__xludf.DUMMYFUNCTION("""COMPUTED_VALUE"""),0.0)</f>
        <v>0</v>
      </c>
    </row>
    <row r="125" ht="15.75" customHeight="1">
      <c r="A125" s="8" t="str">
        <f>IFERROR(__xludf.DUMMYFUNCTION("""COMPUTED_VALUE"""),"https://langdock.com/de/partners/directory")</f>
        <v>https://langdock.com/de/partners/directory</v>
      </c>
      <c r="B125" s="11" t="str">
        <f>IFERROR(__xludf.DUMMYFUNCTION("""COMPUTED_VALUE"""),"Partner Directory | Langdock")</f>
        <v>Partner Directory | Langdock</v>
      </c>
      <c r="C125" s="8" t="str">
        <f>IFERROR(__xludf.DUMMYFUNCTION("""COMPUTED_VALUE"""),"langdock.com")</f>
        <v>langdock.com</v>
      </c>
      <c r="D125" s="11" t="str">
        <f>IFERROR(__xludf.DUMMYFUNCTION("""COMPUTED_VALUE"""),"PROFILE")</f>
        <v>PROFILE</v>
      </c>
      <c r="E125" s="11" t="str">
        <f>IFERROR(__xludf.DUMMYFUNCTION("""COMPUTED_VALUE"""),"CORPORATE")</f>
        <v>CORPORATE</v>
      </c>
      <c r="F125" s="11" t="str">
        <f>IFERROR(__xludf.DUMMYFUNCTION("""COMPUTED_VALUE"""),"Profile")</f>
        <v>Profile</v>
      </c>
      <c r="G125" s="11" t="b">
        <f>IFERROR(__xludf.DUMMYFUNCTION("""COMPUTED_VALUE"""),FALSE)</f>
        <v>0</v>
      </c>
      <c r="H125" s="11" t="str">
        <f>IFERROR(__xludf.DUMMYFUNCTION("""COMPUTED_VALUE"""),"Pilot, statworx, Momentum, Measured")</f>
        <v>Pilot, statworx, Momentum, Measured</v>
      </c>
      <c r="I125" s="11">
        <f>IFERROR(__xludf.DUMMYFUNCTION("""COMPUTED_VALUE"""),1.0)</f>
        <v>1</v>
      </c>
      <c r="J125" s="11">
        <f>IFERROR(__xludf.DUMMYFUNCTION("""COMPUTED_VALUE"""),0.0)</f>
        <v>0</v>
      </c>
      <c r="K125" s="11">
        <f>IFERROR(__xludf.DUMMYFUNCTION("""COMPUTED_VALUE"""),0.0)</f>
        <v>0</v>
      </c>
    </row>
    <row r="126" ht="15.75" customHeight="1">
      <c r="A126" s="8" t="str">
        <f>IFERROR(__xludf.DUMMYFUNCTION("""COMPUTED_VALUE"""),"https://lbbonline.com/companies/Mediaplus-Group/about")</f>
        <v>https://lbbonline.com/companies/Mediaplus-Group/about</v>
      </c>
      <c r="B126" s="11"/>
      <c r="C126" s="8" t="str">
        <f>IFERROR(__xludf.DUMMYFUNCTION("""COMPUTED_VALUE"""),"lbbonline.com")</f>
        <v>lbbonline.com</v>
      </c>
      <c r="D126" s="11" t="str">
        <f>IFERROR(__xludf.DUMMYFUNCTION("""COMPUTED_VALUE"""),"PROFILE")</f>
        <v>PROFILE</v>
      </c>
      <c r="E126" s="11" t="str">
        <f>IFERROR(__xludf.DUMMYFUNCTION("""COMPUTED_VALUE"""),"REFERENCE")</f>
        <v>REFERENCE</v>
      </c>
      <c r="F126" s="11" t="str">
        <f>IFERROR(__xludf.DUMMYFUNCTION("""COMPUTED_VALUE"""),"Profile")</f>
        <v>Profile</v>
      </c>
      <c r="G126" s="11" t="b">
        <f>IFERROR(__xludf.DUMMYFUNCTION("""COMPUTED_VALUE"""),FALSE)</f>
        <v>0</v>
      </c>
      <c r="H126" s="11" t="str">
        <f>IFERROR(__xludf.DUMMYFUNCTION("""COMPUTED_VALUE"""),"Mediaplus Group")</f>
        <v>Mediaplus Group</v>
      </c>
      <c r="I126" s="11">
        <f>IFERROR(__xludf.DUMMYFUNCTION("""COMPUTED_VALUE"""),1.0)</f>
        <v>1</v>
      </c>
      <c r="J126" s="11">
        <f>IFERROR(__xludf.DUMMYFUNCTION("""COMPUTED_VALUE"""),0.0)</f>
        <v>0</v>
      </c>
      <c r="K126" s="11">
        <f>IFERROR(__xludf.DUMMYFUNCTION("""COMPUTED_VALUE"""),0.0)</f>
        <v>0</v>
      </c>
    </row>
    <row r="127" ht="15.75" customHeight="1">
      <c r="A127" s="8" t="str">
        <f>IFERROR(__xludf.DUMMYFUNCTION("""COMPUTED_VALUE"""),"https://www.linkedin.com/company/thjnk")</f>
        <v>https://www.linkedin.com/company/thjnk</v>
      </c>
      <c r="B127" s="11" t="str">
        <f>IFERROR(__xludf.DUMMYFUNCTION("""COMPUTED_VALUE"""),"thjnk | LinkedIn")</f>
        <v>thjnk | LinkedIn</v>
      </c>
      <c r="C127" s="8" t="str">
        <f>IFERROR(__xludf.DUMMYFUNCTION("""COMPUTED_VALUE"""),"linkedin.com")</f>
        <v>linkedin.com</v>
      </c>
      <c r="D127" s="11" t="str">
        <f>IFERROR(__xludf.DUMMYFUNCTION("""COMPUTED_VALUE"""),"PROFILE")</f>
        <v>PROFILE</v>
      </c>
      <c r="E127" s="11" t="str">
        <f>IFERROR(__xludf.DUMMYFUNCTION("""COMPUTED_VALUE"""),"UGC")</f>
        <v>UGC</v>
      </c>
      <c r="F127" s="11" t="str">
        <f>IFERROR(__xludf.DUMMYFUNCTION("""COMPUTED_VALUE"""),"Profile")</f>
        <v>Profile</v>
      </c>
      <c r="G127" s="11" t="b">
        <f>IFERROR(__xludf.DUMMYFUNCTION("""COMPUTED_VALUE"""),FALSE)</f>
        <v>0</v>
      </c>
      <c r="H127" s="11" t="str">
        <f>IFERROR(__xludf.DUMMYFUNCTION("""COMPUTED_VALUE"""),"OMD, Ogilvy, Scholz &amp; Friends, Jung von Matt, Serviceplan Group")</f>
        <v>OMD, Ogilvy, Scholz &amp; Friends, Jung von Matt, Serviceplan Group</v>
      </c>
      <c r="I127" s="11">
        <f>IFERROR(__xludf.DUMMYFUNCTION("""COMPUTED_VALUE"""),1.0)</f>
        <v>1</v>
      </c>
      <c r="J127" s="11">
        <f>IFERROR(__xludf.DUMMYFUNCTION("""COMPUTED_VALUE"""),0.0)</f>
        <v>0</v>
      </c>
      <c r="K127" s="11">
        <f>IFERROR(__xludf.DUMMYFUNCTION("""COMPUTED_VALUE"""),1.0)</f>
        <v>1</v>
      </c>
    </row>
    <row r="128" ht="15.75" customHeight="1">
      <c r="A128" s="8" t="str">
        <f>IFERROR(__xludf.DUMMYFUNCTION("""COMPUTED_VALUE"""),"https://www.localperformance.com/2026/02/25/wir-sind-stolzer-google-premier-partner-2026/")</f>
        <v>https://www.localperformance.com/2026/02/25/wir-sind-stolzer-google-premier-partner-2026/</v>
      </c>
      <c r="B128" s="11" t="str">
        <f>IFERROR(__xludf.DUMMYFUNCTION("""COMPUTED_VALUE"""),"Wir sind stolzer Google Premier Partner 2026 – LocalPerformance – Ihre Full Service Performance Marketing Agentur")</f>
        <v>Wir sind stolzer Google Premier Partner 2026 – LocalPerformance – Ihre Full Service Performance Marketing Agentur</v>
      </c>
      <c r="C128" s="8" t="str">
        <f>IFERROR(__xludf.DUMMYFUNCTION("""COMPUTED_VALUE"""),"localperformance.com")</f>
        <v>localperformance.com</v>
      </c>
      <c r="D128" s="11" t="str">
        <f>IFERROR(__xludf.DUMMYFUNCTION("""COMPUTED_VALUE"""),"PROFILE")</f>
        <v>PROFILE</v>
      </c>
      <c r="E128" s="11" t="str">
        <f>IFERROR(__xludf.DUMMYFUNCTION("""COMPUTED_VALUE"""),"CORPORATE")</f>
        <v>CORPORATE</v>
      </c>
      <c r="F128" s="11" t="str">
        <f>IFERROR(__xludf.DUMMYFUNCTION("""COMPUTED_VALUE"""),"Profile")</f>
        <v>Profile</v>
      </c>
      <c r="G128" s="11" t="b">
        <f>IFERROR(__xludf.DUMMYFUNCTION("""COMPUTED_VALUE"""),FALSE)</f>
        <v>0</v>
      </c>
      <c r="H128" s="11"/>
      <c r="I128" s="11">
        <f>IFERROR(__xludf.DUMMYFUNCTION("""COMPUTED_VALUE"""),1.0)</f>
        <v>1</v>
      </c>
      <c r="J128" s="11">
        <f>IFERROR(__xludf.DUMMYFUNCTION("""COMPUTED_VALUE"""),0.0)</f>
        <v>0</v>
      </c>
      <c r="K128" s="11">
        <f>IFERROR(__xludf.DUMMYFUNCTION("""COMPUTED_VALUE"""),0.0)</f>
        <v>0</v>
      </c>
    </row>
    <row r="129" ht="15.75" customHeight="1">
      <c r="A129" s="8" t="str">
        <f>IFERROR(__xludf.DUMMYFUNCTION("""COMPUTED_VALUE"""),"https://www.networkgain.com/services/enterprise-ai-readiness-adoption/")</f>
        <v>https://www.networkgain.com/services/enterprise-ai-readiness-adoption/</v>
      </c>
      <c r="B129" s="11" t="str">
        <f>IFERROR(__xludf.DUMMYFUNCTION("""COMPUTED_VALUE"""),"Enterprise AI: Readiness and Adoption | NetworkGain Consulting")</f>
        <v>Enterprise AI: Readiness and Adoption | NetworkGain Consulting</v>
      </c>
      <c r="C129" s="8" t="str">
        <f>IFERROR(__xludf.DUMMYFUNCTION("""COMPUTED_VALUE"""),"networkgain.com")</f>
        <v>networkgain.com</v>
      </c>
      <c r="D129" s="11" t="str">
        <f>IFERROR(__xludf.DUMMYFUNCTION("""COMPUTED_VALUE"""),"PROFILE")</f>
        <v>PROFILE</v>
      </c>
      <c r="E129" s="11" t="str">
        <f>IFERROR(__xludf.DUMMYFUNCTION("""COMPUTED_VALUE"""),"CORPORATE")</f>
        <v>CORPORATE</v>
      </c>
      <c r="F129" s="11" t="str">
        <f>IFERROR(__xludf.DUMMYFUNCTION("""COMPUTED_VALUE"""),"Profile")</f>
        <v>Profile</v>
      </c>
      <c r="G129" s="11" t="b">
        <f>IFERROR(__xludf.DUMMYFUNCTION("""COMPUTED_VALUE"""),FALSE)</f>
        <v>0</v>
      </c>
      <c r="H129" s="11" t="str">
        <f>IFERROR(__xludf.DUMMYFUNCTION("""COMPUTED_VALUE"""),"Momentum, Pilot")</f>
        <v>Momentum, Pilot</v>
      </c>
      <c r="I129" s="11">
        <f>IFERROR(__xludf.DUMMYFUNCTION("""COMPUTED_VALUE"""),1.0)</f>
        <v>1</v>
      </c>
      <c r="J129" s="11">
        <f>IFERROR(__xludf.DUMMYFUNCTION("""COMPUTED_VALUE"""),0.0)</f>
        <v>0</v>
      </c>
      <c r="K129" s="11">
        <f>IFERROR(__xludf.DUMMYFUNCTION("""COMPUTED_VALUE"""),2.0)</f>
        <v>2</v>
      </c>
    </row>
    <row r="130" ht="15.75" customHeight="1">
      <c r="A130" s="8" t="str">
        <f>IFERROR(__xludf.DUMMYFUNCTION("""COMPUTED_VALUE"""),"https://www.neuhandeln.de/performance-ranking/performance_2022.html")</f>
        <v>https://www.neuhandeln.de/performance-ranking/performance_2022.html</v>
      </c>
      <c r="B130" s="11" t="str">
        <f>IFERROR(__xludf.DUMMYFUNCTION("""COMPUTED_VALUE"""),"Das Ranking der gr��ten deutschsprachigen Performance-Marketing-Agenturen")</f>
        <v>Das Ranking der gr��ten deutschsprachigen Performance-Marketing-Agenturen</v>
      </c>
      <c r="C130" s="8" t="str">
        <f>IFERROR(__xludf.DUMMYFUNCTION("""COMPUTED_VALUE"""),"neuhandeln.de")</f>
        <v>neuhandeln.de</v>
      </c>
      <c r="D130" s="11" t="str">
        <f>IFERROR(__xludf.DUMMYFUNCTION("""COMPUTED_VALUE"""),"PROFILE")</f>
        <v>PROFILE</v>
      </c>
      <c r="E130" s="11" t="str">
        <f>IFERROR(__xludf.DUMMYFUNCTION("""COMPUTED_VALUE"""),"EDITORIAL")</f>
        <v>EDITORIAL</v>
      </c>
      <c r="F130" s="11" t="str">
        <f>IFERROR(__xludf.DUMMYFUNCTION("""COMPUTED_VALUE"""),"Profile")</f>
        <v>Profile</v>
      </c>
      <c r="G130" s="11" t="b">
        <f>IFERROR(__xludf.DUMMYFUNCTION("""COMPUTED_VALUE"""),FALSE)</f>
        <v>0</v>
      </c>
      <c r="H130" s="11"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I130" s="11">
        <f>IFERROR(__xludf.DUMMYFUNCTION("""COMPUTED_VALUE"""),1.0)</f>
        <v>1</v>
      </c>
      <c r="J130" s="11">
        <f>IFERROR(__xludf.DUMMYFUNCTION("""COMPUTED_VALUE"""),0.0)</f>
        <v>0</v>
      </c>
      <c r="K130" s="11">
        <f>IFERROR(__xludf.DUMMYFUNCTION("""COMPUTED_VALUE"""),0.0)</f>
        <v>0</v>
      </c>
    </row>
    <row r="131" ht="15.75" customHeight="1">
      <c r="A131" s="8" t="str">
        <f>IFERROR(__xludf.DUMMYFUNCTION("""COMPUTED_VALUE"""),"https://www.neuhandeln.de/performance-ranking/performance_2024.html?sub=18")</f>
        <v>https://www.neuhandeln.de/performance-ranking/performance_2024.html?sub=18</v>
      </c>
      <c r="B131" s="11" t="str">
        <f>IFERROR(__xludf.DUMMYFUNCTION("""COMPUTED_VALUE"""),"Das Ranking der gr��ten deutschsprachigen Performance-Marketing-Agenturen")</f>
        <v>Das Ranking der gr��ten deutschsprachigen Performance-Marketing-Agenturen</v>
      </c>
      <c r="C131" s="8" t="str">
        <f>IFERROR(__xludf.DUMMYFUNCTION("""COMPUTED_VALUE"""),"neuhandeln.de")</f>
        <v>neuhandeln.de</v>
      </c>
      <c r="D131" s="11" t="str">
        <f>IFERROR(__xludf.DUMMYFUNCTION("""COMPUTED_VALUE"""),"PROFILE")</f>
        <v>PROFILE</v>
      </c>
      <c r="E131" s="11" t="str">
        <f>IFERROR(__xludf.DUMMYFUNCTION("""COMPUTED_VALUE"""),"EDITORIAL")</f>
        <v>EDITORIAL</v>
      </c>
      <c r="F131" s="11" t="str">
        <f>IFERROR(__xludf.DUMMYFUNCTION("""COMPUTED_VALUE"""),"Profile")</f>
        <v>Profile</v>
      </c>
      <c r="G131" s="11" t="b">
        <f>IFERROR(__xludf.DUMMYFUNCTION("""COMPUTED_VALUE"""),FALSE)</f>
        <v>0</v>
      </c>
      <c r="H131" s="11"/>
      <c r="I131" s="11">
        <f>IFERROR(__xludf.DUMMYFUNCTION("""COMPUTED_VALUE"""),1.0)</f>
        <v>1</v>
      </c>
      <c r="J131" s="11">
        <f>IFERROR(__xludf.DUMMYFUNCTION("""COMPUTED_VALUE"""),0.0)</f>
        <v>0</v>
      </c>
      <c r="K131" s="11">
        <f>IFERROR(__xludf.DUMMYFUNCTION("""COMPUTED_VALUE"""),0.0)</f>
        <v>0</v>
      </c>
    </row>
    <row r="132" ht="15.75" customHeight="1">
      <c r="A132" s="8" t="str">
        <f>IFERROR(__xludf.DUMMYFUNCTION("""COMPUTED_VALUE"""),"https://www.nielsen.com/about-us/locations/germany/")</f>
        <v>https://www.nielsen.com/about-us/locations/germany/</v>
      </c>
      <c r="B132" s="11" t="str">
        <f>IFERROR(__xludf.DUMMYFUNCTION("""COMPUTED_VALUE"""),"Germany | Nielsen")</f>
        <v>Germany | Nielsen</v>
      </c>
      <c r="C132" s="8" t="str">
        <f>IFERROR(__xludf.DUMMYFUNCTION("""COMPUTED_VALUE"""),"nielsen.com")</f>
        <v>nielsen.com</v>
      </c>
      <c r="D132" s="11" t="str">
        <f>IFERROR(__xludf.DUMMYFUNCTION("""COMPUTED_VALUE"""),"PROFILE")</f>
        <v>PROFILE</v>
      </c>
      <c r="E132" s="11" t="str">
        <f>IFERROR(__xludf.DUMMYFUNCTION("""COMPUTED_VALUE"""),"COMPETITOR")</f>
        <v>COMPETITOR</v>
      </c>
      <c r="F132" s="11" t="str">
        <f>IFERROR(__xludf.DUMMYFUNCTION("""COMPUTED_VALUE"""),"Profile")</f>
        <v>Profile</v>
      </c>
      <c r="G132" s="11" t="b">
        <f>IFERROR(__xludf.DUMMYFUNCTION("""COMPUTED_VALUE"""),FALSE)</f>
        <v>0</v>
      </c>
      <c r="H132" s="11" t="str">
        <f>IFERROR(__xludf.DUMMYFUNCTION("""COMPUTED_VALUE"""),"Nielsen")</f>
        <v>Nielsen</v>
      </c>
      <c r="I132" s="11">
        <f>IFERROR(__xludf.DUMMYFUNCTION("""COMPUTED_VALUE"""),1.0)</f>
        <v>1</v>
      </c>
      <c r="J132" s="11">
        <f>IFERROR(__xludf.DUMMYFUNCTION("""COMPUTED_VALUE"""),0.0)</f>
        <v>0</v>
      </c>
      <c r="K132" s="11">
        <f>IFERROR(__xludf.DUMMYFUNCTION("""COMPUTED_VALUE"""),1.0)</f>
        <v>1</v>
      </c>
    </row>
    <row r="133" ht="15.75" customHeight="1">
      <c r="A133" s="8" t="str">
        <f>IFERROR(__xludf.DUMMYFUNCTION("""COMPUTED_VALUE"""),"https://www.northdata.com/AKQA%20GmbH,%20Berlin/Amtsgericht%20Charlottenburg%20%28Berlin%29%20HRB%20125754%20B")</f>
        <v>https://www.northdata.com/AKQA%20GmbH,%20Berlin/Amtsgericht%20Charlottenburg%20%28Berlin%29%20HRB%20125754%20B</v>
      </c>
      <c r="B133" s="11" t="str">
        <f>IFERROR(__xludf.DUMMYFUNCTION("""COMPUTED_VALUE"""),"AKQA GmbH, Berlin, Germany, District Court of Charlottenburg (Berlin) HRB 125754 B: Network, Financial information")</f>
        <v>AKQA GmbH, Berlin, Germany, District Court of Charlottenburg (Berlin) HRB 125754 B: Network, Financial information</v>
      </c>
      <c r="C133" s="8" t="str">
        <f>IFERROR(__xludf.DUMMYFUNCTION("""COMPUTED_VALUE"""),"northdata.com")</f>
        <v>northdata.com</v>
      </c>
      <c r="D133" s="11" t="str">
        <f>IFERROR(__xludf.DUMMYFUNCTION("""COMPUTED_VALUE"""),"PROFILE")</f>
        <v>PROFILE</v>
      </c>
      <c r="E133" s="11" t="str">
        <f>IFERROR(__xludf.DUMMYFUNCTION("""COMPUTED_VALUE"""),"REFERENCE")</f>
        <v>REFERENCE</v>
      </c>
      <c r="F133" s="11" t="str">
        <f>IFERROR(__xludf.DUMMYFUNCTION("""COMPUTED_VALUE"""),"Profile")</f>
        <v>Profile</v>
      </c>
      <c r="G133" s="11" t="b">
        <f>IFERROR(__xludf.DUMMYFUNCTION("""COMPUTED_VALUE"""),FALSE)</f>
        <v>0</v>
      </c>
      <c r="H133" s="11" t="str">
        <f>IFERROR(__xludf.DUMMYFUNCTION("""COMPUTED_VALUE"""),"AKQA, WPP")</f>
        <v>AKQA, WPP</v>
      </c>
      <c r="I133" s="11">
        <f>IFERROR(__xludf.DUMMYFUNCTION("""COMPUTED_VALUE"""),1.0)</f>
        <v>1</v>
      </c>
      <c r="J133" s="11">
        <f>IFERROR(__xludf.DUMMYFUNCTION("""COMPUTED_VALUE"""),0.0)</f>
        <v>0</v>
      </c>
      <c r="K133" s="11">
        <f>IFERROR(__xludf.DUMMYFUNCTION("""COMPUTED_VALUE"""),1.0)</f>
        <v>1</v>
      </c>
    </row>
    <row r="134" ht="15.75" customHeight="1">
      <c r="A134" s="8" t="str">
        <f>IFERROR(__xludf.DUMMYFUNCTION("""COMPUTED_VALUE"""),"https://omr.com/de/reviews/service/projecter")</f>
        <v>https://omr.com/de/reviews/service/projecter</v>
      </c>
      <c r="B134" s="11" t="str">
        <f>IFERROR(__xludf.DUMMYFUNCTION("""COMPUTED_VALUE"""),"Projecter Infos &amp;amp; Leistungen | OMR Reviews")</f>
        <v>Projecter Infos &amp;amp; Leistungen | OMR Reviews</v>
      </c>
      <c r="C134" s="8" t="str">
        <f>IFERROR(__xludf.DUMMYFUNCTION("""COMPUTED_VALUE"""),"omr.com")</f>
        <v>omr.com</v>
      </c>
      <c r="D134" s="11" t="str">
        <f>IFERROR(__xludf.DUMMYFUNCTION("""COMPUTED_VALUE"""),"PROFILE")</f>
        <v>PROFILE</v>
      </c>
      <c r="E134" s="11" t="str">
        <f>IFERROR(__xludf.DUMMYFUNCTION("""COMPUTED_VALUE"""),"OTHER")</f>
        <v>OTHER</v>
      </c>
      <c r="F134" s="11" t="str">
        <f>IFERROR(__xludf.DUMMYFUNCTION("""COMPUTED_VALUE"""),"Profile")</f>
        <v>Profile</v>
      </c>
      <c r="G134" s="11" t="b">
        <f>IFERROR(__xludf.DUMMYFUNCTION("""COMPUTED_VALUE"""),FALSE)</f>
        <v>0</v>
      </c>
      <c r="H134" s="11" t="str">
        <f>IFERROR(__xludf.DUMMYFUNCTION("""COMPUTED_VALUE"""),"Pilot")</f>
        <v>Pilot</v>
      </c>
      <c r="I134" s="11">
        <f>IFERROR(__xludf.DUMMYFUNCTION("""COMPUTED_VALUE"""),1.0)</f>
        <v>1</v>
      </c>
      <c r="J134" s="11">
        <f>IFERROR(__xludf.DUMMYFUNCTION("""COMPUTED_VALUE"""),0.0)</f>
        <v>0</v>
      </c>
      <c r="K134" s="11">
        <f>IFERROR(__xludf.DUMMYFUNCTION("""COMPUTED_VALUE"""),1.0)</f>
        <v>1</v>
      </c>
    </row>
    <row r="135" ht="15.75" customHeight="1">
      <c r="A135" s="8" t="str">
        <f>IFERROR(__xludf.DUMMYFUNCTION("""COMPUTED_VALUE"""),"https://www.oneclub.org/awards/rankings/-archive/agency/2025/all/all/2/276")</f>
        <v>https://www.oneclub.org/awards/rankings/-archive/agency/2025/all/all/2/276</v>
      </c>
      <c r="B135" s="11" t="str">
        <f>IFERROR(__xludf.DUMMYFUNCTION("""COMPUTED_VALUE"""),"Agency Rankings | 2025 | Europe | Germany")</f>
        <v>Agency Rankings | 2025 | Europe | Germany</v>
      </c>
      <c r="C135" s="8" t="str">
        <f>IFERROR(__xludf.DUMMYFUNCTION("""COMPUTED_VALUE"""),"oneclub.org")</f>
        <v>oneclub.org</v>
      </c>
      <c r="D135" s="11" t="str">
        <f>IFERROR(__xludf.DUMMYFUNCTION("""COMPUTED_VALUE"""),"PROFILE")</f>
        <v>PROFILE</v>
      </c>
      <c r="E135" s="11" t="str">
        <f>IFERROR(__xludf.DUMMYFUNCTION("""COMPUTED_VALUE"""),"INSTITUTIONAL")</f>
        <v>INSTITUTIONAL</v>
      </c>
      <c r="F135" s="11" t="str">
        <f>IFERROR(__xludf.DUMMYFUNCTION("""COMPUTED_VALUE"""),"Profile")</f>
        <v>Profile</v>
      </c>
      <c r="G135" s="11" t="b">
        <f>IFERROR(__xludf.DUMMYFUNCTION("""COMPUTED_VALUE"""),FALSE)</f>
        <v>0</v>
      </c>
      <c r="H135" s="11" t="str">
        <f>IFERROR(__xludf.DUMMYFUNCTION("""COMPUTED_VALUE"""),"Scholz &amp; Friends")</f>
        <v>Scholz &amp; Friends</v>
      </c>
      <c r="I135" s="11">
        <f>IFERROR(__xludf.DUMMYFUNCTION("""COMPUTED_VALUE"""),1.0)</f>
        <v>1</v>
      </c>
      <c r="J135" s="11">
        <f>IFERROR(__xludf.DUMMYFUNCTION("""COMPUTED_VALUE"""),0.0)</f>
        <v>0</v>
      </c>
      <c r="K135" s="11">
        <f>IFERROR(__xludf.DUMMYFUNCTION("""COMPUTED_VALUE"""),0.0)</f>
        <v>0</v>
      </c>
    </row>
    <row r="136" ht="15.75" customHeight="1">
      <c r="A136" s="8" t="str">
        <f>IFERROR(__xludf.DUMMYFUNCTION("""COMPUTED_VALUE"""),"https://www.publicisgroupeuk.com/what-we-do/production/")</f>
        <v>https://www.publicisgroupeuk.com/what-we-do/production/</v>
      </c>
      <c r="B136" s="11" t="str">
        <f>IFERROR(__xludf.DUMMYFUNCTION("""COMPUTED_VALUE"""),"Production - Publicis Groupe")</f>
        <v>Production - Publicis Groupe</v>
      </c>
      <c r="C136" s="8" t="str">
        <f>IFERROR(__xludf.DUMMYFUNCTION("""COMPUTED_VALUE"""),"publicisgroupeuk.com")</f>
        <v>publicisgroupeuk.com</v>
      </c>
      <c r="D136" s="11" t="str">
        <f>IFERROR(__xludf.DUMMYFUNCTION("""COMPUTED_VALUE"""),"PROFILE")</f>
        <v>PROFILE</v>
      </c>
      <c r="E136" s="11" t="str">
        <f>IFERROR(__xludf.DUMMYFUNCTION("""COMPUTED_VALUE"""),"CORPORATE")</f>
        <v>CORPORATE</v>
      </c>
      <c r="F136" s="11" t="str">
        <f>IFERROR(__xludf.DUMMYFUNCTION("""COMPUTED_VALUE"""),"Profile")</f>
        <v>Profile</v>
      </c>
      <c r="G136" s="11" t="b">
        <f>IFERROR(__xludf.DUMMYFUNCTION("""COMPUTED_VALUE"""),FALSE)</f>
        <v>0</v>
      </c>
      <c r="H136" s="11" t="str">
        <f>IFERROR(__xludf.DUMMYFUNCTION("""COMPUTED_VALUE"""),"Publicis Groupe")</f>
        <v>Publicis Groupe</v>
      </c>
      <c r="I136" s="11">
        <f>IFERROR(__xludf.DUMMYFUNCTION("""COMPUTED_VALUE"""),1.0)</f>
        <v>1</v>
      </c>
      <c r="J136" s="11">
        <f>IFERROR(__xludf.DUMMYFUNCTION("""COMPUTED_VALUE"""),0.0)</f>
        <v>0</v>
      </c>
      <c r="K136" s="11">
        <f>IFERROR(__xludf.DUMMYFUNCTION("""COMPUTED_VALUE"""),0.0)</f>
        <v>0</v>
      </c>
    </row>
    <row r="137" ht="15.75" customHeight="1">
      <c r="A137" s="8" t="str">
        <f>IFERROR(__xludf.DUMMYFUNCTION("""COMPUTED_VALUE"""),"https://rankscale.ai/agency-directory")</f>
        <v>https://rankscale.ai/agency-directory</v>
      </c>
      <c r="B137" s="11" t="str">
        <f>IFERROR(__xludf.DUMMYFUNCTION("""COMPUTED_VALUE"""),"Agency Directory | Rankscale")</f>
        <v>Agency Directory | Rankscale</v>
      </c>
      <c r="C137" s="8" t="str">
        <f>IFERROR(__xludf.DUMMYFUNCTION("""COMPUTED_VALUE"""),"rankscale.ai")</f>
        <v>rankscale.ai</v>
      </c>
      <c r="D137" s="11" t="str">
        <f>IFERROR(__xludf.DUMMYFUNCTION("""COMPUTED_VALUE"""),"PROFILE")</f>
        <v>PROFILE</v>
      </c>
      <c r="E137" s="11" t="str">
        <f>IFERROR(__xludf.DUMMYFUNCTION("""COMPUTED_VALUE"""),"CORPORATE")</f>
        <v>CORPORATE</v>
      </c>
      <c r="F137" s="11" t="str">
        <f>IFERROR(__xludf.DUMMYFUNCTION("""COMPUTED_VALUE"""),"Profile")</f>
        <v>Profile</v>
      </c>
      <c r="G137" s="11" t="b">
        <f>IFERROR(__xludf.DUMMYFUNCTION("""COMPUTED_VALUE"""),FALSE)</f>
        <v>0</v>
      </c>
      <c r="H137" s="11"/>
      <c r="I137" s="11">
        <f>IFERROR(__xludf.DUMMYFUNCTION("""COMPUTED_VALUE"""),1.0)</f>
        <v>1</v>
      </c>
      <c r="J137" s="11">
        <f>IFERROR(__xludf.DUMMYFUNCTION("""COMPUTED_VALUE"""),0.0)</f>
        <v>0</v>
      </c>
      <c r="K137" s="11">
        <f>IFERROR(__xludf.DUMMYFUNCTION("""COMPUTED_VALUE"""),1.0)</f>
        <v>1</v>
      </c>
    </row>
    <row r="138" ht="15.75" customHeight="1">
      <c r="A138" s="8" t="str">
        <f>IFERROR(__xludf.DUMMYFUNCTION("""COMPUTED_VALUE"""),"https://www.rapp.com/locations/berlin/")</f>
        <v>https://www.rapp.com/locations/berlin/</v>
      </c>
      <c r="B138" s="11" t="str">
        <f>IFERROR(__xludf.DUMMYFUNCTION("""COMPUTED_VALUE"""),"RAPP Berlin - RAPP.com")</f>
        <v>RAPP Berlin - RAPP.com</v>
      </c>
      <c r="C138" s="8" t="str">
        <f>IFERROR(__xludf.DUMMYFUNCTION("""COMPUTED_VALUE"""),"rapp.com")</f>
        <v>rapp.com</v>
      </c>
      <c r="D138" s="11" t="str">
        <f>IFERROR(__xludf.DUMMYFUNCTION("""COMPUTED_VALUE"""),"PROFILE")</f>
        <v>PROFILE</v>
      </c>
      <c r="E138" s="11" t="str">
        <f>IFERROR(__xludf.DUMMYFUNCTION("""COMPUTED_VALUE"""),"CORPORATE")</f>
        <v>CORPORATE</v>
      </c>
      <c r="F138" s="11" t="str">
        <f>IFERROR(__xludf.DUMMYFUNCTION("""COMPUTED_VALUE"""),"Profile")</f>
        <v>Profile</v>
      </c>
      <c r="G138" s="11" t="b">
        <f>IFERROR(__xludf.DUMMYFUNCTION("""COMPUTED_VALUE"""),FALSE)</f>
        <v>0</v>
      </c>
      <c r="H138" s="11" t="str">
        <f>IFERROR(__xludf.DUMMYFUNCTION("""COMPUTED_VALUE"""),"Omnicom")</f>
        <v>Omnicom</v>
      </c>
      <c r="I138" s="11">
        <f>IFERROR(__xludf.DUMMYFUNCTION("""COMPUTED_VALUE"""),1.0)</f>
        <v>1</v>
      </c>
      <c r="J138" s="11">
        <f>IFERROR(__xludf.DUMMYFUNCTION("""COMPUTED_VALUE"""),0.0)</f>
        <v>0</v>
      </c>
      <c r="K138" s="11">
        <f>IFERROR(__xludf.DUMMYFUNCTION("""COMPUTED_VALUE"""),1.0)</f>
        <v>1</v>
      </c>
    </row>
    <row r="139" ht="15.75" customHeight="1">
      <c r="A139" s="8" t="str">
        <f>IFERROR(__xludf.DUMMYFUNCTION("""COMPUTED_VALUE"""),"https://www.red-dot.org/de/siegerprofile/akqa/2025")</f>
        <v>https://www.red-dot.org/de/siegerprofile/akqa/2025</v>
      </c>
      <c r="B139" s="11" t="str">
        <f>IFERROR(__xludf.DUMMYFUNCTION("""COMPUTED_VALUE"""),"AKQA")</f>
        <v>AKQA</v>
      </c>
      <c r="C139" s="8" t="str">
        <f>IFERROR(__xludf.DUMMYFUNCTION("""COMPUTED_VALUE"""),"red-dot.org")</f>
        <v>red-dot.org</v>
      </c>
      <c r="D139" s="11" t="str">
        <f>IFERROR(__xludf.DUMMYFUNCTION("""COMPUTED_VALUE"""),"PROFILE")</f>
        <v>PROFILE</v>
      </c>
      <c r="E139" s="11" t="str">
        <f>IFERROR(__xludf.DUMMYFUNCTION("""COMPUTED_VALUE"""),"INSTITUTIONAL")</f>
        <v>INSTITUTIONAL</v>
      </c>
      <c r="F139" s="11" t="str">
        <f>IFERROR(__xludf.DUMMYFUNCTION("""COMPUTED_VALUE"""),"Profile")</f>
        <v>Profile</v>
      </c>
      <c r="G139" s="11" t="b">
        <f>IFERROR(__xludf.DUMMYFUNCTION("""COMPUTED_VALUE"""),FALSE)</f>
        <v>0</v>
      </c>
      <c r="H139" s="11" t="str">
        <f>IFERROR(__xludf.DUMMYFUNCTION("""COMPUTED_VALUE"""),"AKQA")</f>
        <v>AKQA</v>
      </c>
      <c r="I139" s="11">
        <f>IFERROR(__xludf.DUMMYFUNCTION("""COMPUTED_VALUE"""),1.0)</f>
        <v>1</v>
      </c>
      <c r="J139" s="11">
        <f>IFERROR(__xludf.DUMMYFUNCTION("""COMPUTED_VALUE"""),0.0)</f>
        <v>0</v>
      </c>
      <c r="K139" s="11">
        <f>IFERROR(__xludf.DUMMYFUNCTION("""COMPUTED_VALUE"""),1.0)</f>
        <v>1</v>
      </c>
    </row>
    <row r="140" ht="15.75" customHeight="1">
      <c r="A140" s="8" t="str">
        <f>IFERROR(__xludf.DUMMYFUNCTION("""COMPUTED_VALUE"""),"https://www.red-dot.org/de/siegerprofile/serviceplan-germany/2025")</f>
        <v>https://www.red-dot.org/de/siegerprofile/serviceplan-germany/2025</v>
      </c>
      <c r="B140" s="11" t="str">
        <f>IFERROR(__xludf.DUMMYFUNCTION("""COMPUTED_VALUE"""),"SERVICEPLAN GERMANY")</f>
        <v>SERVICEPLAN GERMANY</v>
      </c>
      <c r="C140" s="8" t="str">
        <f>IFERROR(__xludf.DUMMYFUNCTION("""COMPUTED_VALUE"""),"red-dot.org")</f>
        <v>red-dot.org</v>
      </c>
      <c r="D140" s="11" t="str">
        <f>IFERROR(__xludf.DUMMYFUNCTION("""COMPUTED_VALUE"""),"PROFILE")</f>
        <v>PROFILE</v>
      </c>
      <c r="E140" s="11" t="str">
        <f>IFERROR(__xludf.DUMMYFUNCTION("""COMPUTED_VALUE"""),"INSTITUTIONAL")</f>
        <v>INSTITUTIONAL</v>
      </c>
      <c r="F140" s="11" t="str">
        <f>IFERROR(__xludf.DUMMYFUNCTION("""COMPUTED_VALUE"""),"Profile")</f>
        <v>Profile</v>
      </c>
      <c r="G140" s="11" t="b">
        <f>IFERROR(__xludf.DUMMYFUNCTION("""COMPUTED_VALUE"""),FALSE)</f>
        <v>0</v>
      </c>
      <c r="H140" s="11" t="str">
        <f>IFERROR(__xludf.DUMMYFUNCTION("""COMPUTED_VALUE"""),"Serviceplan Group, Accenture Song")</f>
        <v>Serviceplan Group, Accenture Song</v>
      </c>
      <c r="I140" s="11">
        <f>IFERROR(__xludf.DUMMYFUNCTION("""COMPUTED_VALUE"""),1.0)</f>
        <v>1</v>
      </c>
      <c r="J140" s="11">
        <f>IFERROR(__xludf.DUMMYFUNCTION("""COMPUTED_VALUE"""),0.0)</f>
        <v>0</v>
      </c>
      <c r="K140" s="11">
        <f>IFERROR(__xludf.DUMMYFUNCTION("""COMPUTED_VALUE"""),1.0)</f>
        <v>1</v>
      </c>
    </row>
    <row r="141" ht="15.75" customHeight="1">
      <c r="A141" s="8" t="str">
        <f>IFERROR(__xludf.DUMMYFUNCTION("""COMPUTED_VALUE"""),"https://www.red-dot.org/serviceplan")</f>
        <v>https://www.red-dot.org/serviceplan</v>
      </c>
      <c r="B141" s="11" t="str">
        <f>IFERROR(__xludf.DUMMYFUNCTION("""COMPUTED_VALUE"""),"Serviceplan")</f>
        <v>Serviceplan</v>
      </c>
      <c r="C141" s="8" t="str">
        <f>IFERROR(__xludf.DUMMYFUNCTION("""COMPUTED_VALUE"""),"red-dot.org")</f>
        <v>red-dot.org</v>
      </c>
      <c r="D141" s="11" t="str">
        <f>IFERROR(__xludf.DUMMYFUNCTION("""COMPUTED_VALUE"""),"PROFILE")</f>
        <v>PROFILE</v>
      </c>
      <c r="E141" s="11" t="str">
        <f>IFERROR(__xludf.DUMMYFUNCTION("""COMPUTED_VALUE"""),"INSTITUTIONAL")</f>
        <v>INSTITUTIONAL</v>
      </c>
      <c r="F141" s="11" t="str">
        <f>IFERROR(__xludf.DUMMYFUNCTION("""COMPUTED_VALUE"""),"Profile")</f>
        <v>Profile</v>
      </c>
      <c r="G141" s="11" t="b">
        <f>IFERROR(__xludf.DUMMYFUNCTION("""COMPUTED_VALUE"""),FALSE)</f>
        <v>0</v>
      </c>
      <c r="H141" s="11" t="str">
        <f>IFERROR(__xludf.DUMMYFUNCTION("""COMPUTED_VALUE"""),"Serviceplan Group")</f>
        <v>Serviceplan Group</v>
      </c>
      <c r="I141" s="11">
        <f>IFERROR(__xludf.DUMMYFUNCTION("""COMPUTED_VALUE"""),1.0)</f>
        <v>1</v>
      </c>
      <c r="J141" s="11">
        <f>IFERROR(__xludf.DUMMYFUNCTION("""COMPUTED_VALUE"""),0.0)</f>
        <v>0</v>
      </c>
      <c r="K141" s="11">
        <f>IFERROR(__xludf.DUMMYFUNCTION("""COMPUTED_VALUE"""),1.0)</f>
        <v>1</v>
      </c>
    </row>
    <row r="142" ht="15.75" customHeight="1">
      <c r="A142" s="8" t="str">
        <f>IFERROR(__xludf.DUMMYFUNCTION("""COMPUTED_VALUE"""),"https://www.rit.de/loesungen/ki-und-daten/ai-readiness-check")</f>
        <v>https://www.rit.de/loesungen/ki-und-daten/ai-readiness-check</v>
      </c>
      <c r="B142" s="11" t="str">
        <f>IFERROR(__xludf.DUMMYFUNCTION("""COMPUTED_VALUE"""),"AI Readiness Check – jetzt KI-Reifegrad ermitteln")</f>
        <v>AI Readiness Check – jetzt KI-Reifegrad ermitteln</v>
      </c>
      <c r="C142" s="8" t="str">
        <f>IFERROR(__xludf.DUMMYFUNCTION("""COMPUTED_VALUE"""),"rit.de")</f>
        <v>rit.de</v>
      </c>
      <c r="D142" s="11" t="str">
        <f>IFERROR(__xludf.DUMMYFUNCTION("""COMPUTED_VALUE"""),"PROFILE")</f>
        <v>PROFILE</v>
      </c>
      <c r="E142" s="11" t="str">
        <f>IFERROR(__xludf.DUMMYFUNCTION("""COMPUTED_VALUE"""),"CORPORATE")</f>
        <v>CORPORATE</v>
      </c>
      <c r="F142" s="11" t="str">
        <f>IFERROR(__xludf.DUMMYFUNCTION("""COMPUTED_VALUE"""),"Profile")</f>
        <v>Profile</v>
      </c>
      <c r="G142" s="11" t="b">
        <f>IFERROR(__xludf.DUMMYFUNCTION("""COMPUTED_VALUE"""),FALSE)</f>
        <v>0</v>
      </c>
      <c r="H142" s="11"/>
      <c r="I142" s="11">
        <f>IFERROR(__xludf.DUMMYFUNCTION("""COMPUTED_VALUE"""),1.0)</f>
        <v>1</v>
      </c>
      <c r="J142" s="11">
        <f>IFERROR(__xludf.DUMMYFUNCTION("""COMPUTED_VALUE"""),0.0)</f>
        <v>0</v>
      </c>
      <c r="K142" s="11">
        <f>IFERROR(__xludf.DUMMYFUNCTION("""COMPUTED_VALUE"""),0.0)</f>
        <v>0</v>
      </c>
    </row>
    <row r="143" ht="15.75" customHeight="1">
      <c r="A143" s="8" t="str">
        <f>IFERROR(__xludf.DUMMYFUNCTION("""COMPUTED_VALUE"""),"https://www.s-f.family/services")</f>
        <v>https://www.s-f.family/services</v>
      </c>
      <c r="B143" s="11" t="str">
        <f>IFERROR(__xludf.DUMMYFUNCTION("""COMPUTED_VALUE"""),"Scholz &amp;amp; Friends | Services")</f>
        <v>Scholz &amp;amp; Friends | Services</v>
      </c>
      <c r="C143" s="11" t="str">
        <f>IFERROR(__xludf.DUMMYFUNCTION("""COMPUTED_VALUE"""),"s-f.family")</f>
        <v>s-f.family</v>
      </c>
      <c r="D143" s="11" t="str">
        <f>IFERROR(__xludf.DUMMYFUNCTION("""COMPUTED_VALUE"""),"PROFILE")</f>
        <v>PROFILE</v>
      </c>
      <c r="E143" s="11" t="str">
        <f>IFERROR(__xludf.DUMMYFUNCTION("""COMPUTED_VALUE"""),"COMPETITOR")</f>
        <v>COMPETITOR</v>
      </c>
      <c r="F143" s="11" t="str">
        <f>IFERROR(__xludf.DUMMYFUNCTION("""COMPUTED_VALUE"""),"Profile")</f>
        <v>Profile</v>
      </c>
      <c r="G143" s="11" t="b">
        <f>IFERROR(__xludf.DUMMYFUNCTION("""COMPUTED_VALUE"""),FALSE)</f>
        <v>0</v>
      </c>
      <c r="H143" s="11" t="str">
        <f>IFERROR(__xludf.DUMMYFUNCTION("""COMPUTED_VALUE"""),"Scholz &amp; Friends")</f>
        <v>Scholz &amp; Friends</v>
      </c>
      <c r="I143" s="11">
        <f>IFERROR(__xludf.DUMMYFUNCTION("""COMPUTED_VALUE"""),1.0)</f>
        <v>1</v>
      </c>
      <c r="J143" s="11">
        <f>IFERROR(__xludf.DUMMYFUNCTION("""COMPUTED_VALUE"""),0.0)</f>
        <v>0</v>
      </c>
      <c r="K143" s="11">
        <f>IFERROR(__xludf.DUMMYFUNCTION("""COMPUTED_VALUE"""),1.0)</f>
        <v>1</v>
      </c>
    </row>
    <row r="144" ht="15.75" customHeight="1">
      <c r="A144" s="8" t="str">
        <f>IFERROR(__xludf.DUMMYFUNCTION("""COMPUTED_VALUE"""),"https://saint-elmos.com/agencies/")</f>
        <v>https://saint-elmos.com/agencies/</v>
      </c>
      <c r="B144" s="11" t="str">
        <f>IFERROR(__xludf.DUMMYFUNCTION("""COMPUTED_VALUE"""),"Agencies - Saint Elmo's")</f>
        <v>Agencies - Saint Elmo's</v>
      </c>
      <c r="C144" s="8" t="str">
        <f>IFERROR(__xludf.DUMMYFUNCTION("""COMPUTED_VALUE"""),"saint-elmos.com")</f>
        <v>saint-elmos.com</v>
      </c>
      <c r="D144" s="11" t="str">
        <f>IFERROR(__xludf.DUMMYFUNCTION("""COMPUTED_VALUE"""),"PROFILE")</f>
        <v>PROFILE</v>
      </c>
      <c r="E144" s="11" t="str">
        <f>IFERROR(__xludf.DUMMYFUNCTION("""COMPUTED_VALUE"""),"CORPORATE")</f>
        <v>CORPORATE</v>
      </c>
      <c r="F144" s="11" t="str">
        <f>IFERROR(__xludf.DUMMYFUNCTION("""COMPUTED_VALUE"""),"Profile")</f>
        <v>Profile</v>
      </c>
      <c r="G144" s="11" t="b">
        <f>IFERROR(__xludf.DUMMYFUNCTION("""COMPUTED_VALUE"""),FALSE)</f>
        <v>0</v>
      </c>
      <c r="H144" s="11" t="str">
        <f>IFERROR(__xludf.DUMMYFUNCTION("""COMPUTED_VALUE"""),"Serviceplan Group, Scholz &amp; Friends, BBDO Germany, Jung von Matt, Mediaplus Group, Mindshare, GroupM, OMD")</f>
        <v>Serviceplan Group, Scholz &amp; Friends, BBDO Germany, Jung von Matt, Mediaplus Group, Mindshare, GroupM, OMD</v>
      </c>
      <c r="I144" s="11">
        <f>IFERROR(__xludf.DUMMYFUNCTION("""COMPUTED_VALUE"""),1.0)</f>
        <v>1</v>
      </c>
      <c r="J144" s="11">
        <f>IFERROR(__xludf.DUMMYFUNCTION("""COMPUTED_VALUE"""),0.0)</f>
        <v>0</v>
      </c>
      <c r="K144" s="11">
        <f>IFERROR(__xludf.DUMMYFUNCTION("""COMPUTED_VALUE"""),2.0)</f>
        <v>2</v>
      </c>
    </row>
    <row r="145" ht="15.75" customHeight="1">
      <c r="A145" s="8" t="str">
        <f>IFERROR(__xludf.DUMMYFUNCTION("""COMPUTED_VALUE"""),"https://selectedfirms.co/agency/hy-am-studios")</f>
        <v>https://selectedfirms.co/agency/hy-am-studios</v>
      </c>
      <c r="B145" s="11" t="str">
        <f>IFERROR(__xludf.DUMMYFUNCTION("""COMPUTED_VALUE"""),"HY.AM STUDIOS | Reviews &amp;amp; Portfolios")</f>
        <v>HY.AM STUDIOS | Reviews &amp;amp; Portfolios</v>
      </c>
      <c r="C145" s="8" t="str">
        <f>IFERROR(__xludf.DUMMYFUNCTION("""COMPUTED_VALUE"""),"selectedfirms.co")</f>
        <v>selectedfirms.co</v>
      </c>
      <c r="D145" s="11" t="str">
        <f>IFERROR(__xludf.DUMMYFUNCTION("""COMPUTED_VALUE"""),"PROFILE")</f>
        <v>PROFILE</v>
      </c>
      <c r="E145" s="11" t="str">
        <f>IFERROR(__xludf.DUMMYFUNCTION("""COMPUTED_VALUE"""),"CORPORATE")</f>
        <v>CORPORATE</v>
      </c>
      <c r="F145" s="11" t="str">
        <f>IFERROR(__xludf.DUMMYFUNCTION("""COMPUTED_VALUE"""),"Profile")</f>
        <v>Profile</v>
      </c>
      <c r="G145" s="11" t="b">
        <f>IFERROR(__xludf.DUMMYFUNCTION("""COMPUTED_VALUE"""),FALSE)</f>
        <v>0</v>
      </c>
      <c r="H145" s="11" t="str">
        <f>IFERROR(__xludf.DUMMYFUNCTION("""COMPUTED_VALUE"""),"HY.AM STUDIOS")</f>
        <v>HY.AM STUDIOS</v>
      </c>
      <c r="I145" s="11">
        <f>IFERROR(__xludf.DUMMYFUNCTION("""COMPUTED_VALUE"""),1.0)</f>
        <v>1</v>
      </c>
      <c r="J145" s="11">
        <f>IFERROR(__xludf.DUMMYFUNCTION("""COMPUTED_VALUE"""),0.0)</f>
        <v>0</v>
      </c>
      <c r="K145" s="11">
        <f>IFERROR(__xludf.DUMMYFUNCTION("""COMPUTED_VALUE"""),1.0)</f>
        <v>1</v>
      </c>
    </row>
    <row r="146" ht="15.75" customHeight="1">
      <c r="A146" s="8" t="str">
        <f>IFERROR(__xludf.DUMMYFUNCTION("""COMPUTED_VALUE"""),"https://www.studiocherie.net/en/content-studio")</f>
        <v>https://www.studiocherie.net/en/content-studio</v>
      </c>
      <c r="B146" s="11" t="str">
        <f>IFERROR(__xludf.DUMMYFUNCTION("""COMPUTED_VALUE"""),"Content Studio Berlin – UGC, E-Commerce &amp;amp; AI | Studio Chérie")</f>
        <v>Content Studio Berlin – UGC, E-Commerce &amp;amp; AI | Studio Chérie</v>
      </c>
      <c r="C146" s="8" t="str">
        <f>IFERROR(__xludf.DUMMYFUNCTION("""COMPUTED_VALUE"""),"studiocherie.net")</f>
        <v>studiocherie.net</v>
      </c>
      <c r="D146" s="11" t="str">
        <f>IFERROR(__xludf.DUMMYFUNCTION("""COMPUTED_VALUE"""),"PROFILE")</f>
        <v>PROFILE</v>
      </c>
      <c r="E146" s="11" t="str">
        <f>IFERROR(__xludf.DUMMYFUNCTION("""COMPUTED_VALUE"""),"CORPORATE")</f>
        <v>CORPORATE</v>
      </c>
      <c r="F146" s="11" t="str">
        <f>IFERROR(__xludf.DUMMYFUNCTION("""COMPUTED_VALUE"""),"Profile")</f>
        <v>Profile</v>
      </c>
      <c r="G146" s="11" t="b">
        <f>IFERROR(__xludf.DUMMYFUNCTION("""COMPUTED_VALUE"""),FALSE)</f>
        <v>0</v>
      </c>
      <c r="H146" s="11"/>
      <c r="I146" s="11">
        <f>IFERROR(__xludf.DUMMYFUNCTION("""COMPUTED_VALUE"""),1.0)</f>
        <v>1</v>
      </c>
      <c r="J146" s="11">
        <f>IFERROR(__xludf.DUMMYFUNCTION("""COMPUTED_VALUE"""),0.0)</f>
        <v>0</v>
      </c>
      <c r="K146" s="11">
        <f>IFERROR(__xludf.DUMMYFUNCTION("""COMPUTED_VALUE"""),0.0)</f>
        <v>0</v>
      </c>
    </row>
    <row r="147" ht="15.75" customHeight="1">
      <c r="A147" s="8" t="str">
        <f>IFERROR(__xludf.DUMMYFUNCTION("""COMPUTED_VALUE"""),"https://techbehemoths.com/companies/outdoor-advertising/germany")</f>
        <v>https://techbehemoths.com/companies/outdoor-advertising/germany</v>
      </c>
      <c r="B147" s="11" t="str">
        <f>IFERROR(__xludf.DUMMYFUNCTION("""COMPUTED_VALUE"""),"Top 20+ Outdoor Advertising Agencies in Germany (2026) - TechBehemoths")</f>
        <v>Top 20+ Outdoor Advertising Agencies in Germany (2026) - TechBehemoths</v>
      </c>
      <c r="C147" s="8" t="str">
        <f>IFERROR(__xludf.DUMMYFUNCTION("""COMPUTED_VALUE"""),"techbehemoths.com")</f>
        <v>techbehemoths.com</v>
      </c>
      <c r="D147" s="11" t="str">
        <f>IFERROR(__xludf.DUMMYFUNCTION("""COMPUTED_VALUE"""),"PROFILE")</f>
        <v>PROFILE</v>
      </c>
      <c r="E147" s="11" t="str">
        <f>IFERROR(__xludf.DUMMYFUNCTION("""COMPUTED_VALUE"""),"REFERENCE")</f>
        <v>REFERENCE</v>
      </c>
      <c r="F147" s="11" t="str">
        <f>IFERROR(__xludf.DUMMYFUNCTION("""COMPUTED_VALUE"""),"Profile")</f>
        <v>Profile</v>
      </c>
      <c r="G147" s="11" t="b">
        <f>IFERROR(__xludf.DUMMYFUNCTION("""COMPUTED_VALUE"""),FALSE)</f>
        <v>0</v>
      </c>
      <c r="H147" s="11" t="str">
        <f>IFERROR(__xludf.DUMMYFUNCTION("""COMPUTED_VALUE"""),"Huge")</f>
        <v>Huge</v>
      </c>
      <c r="I147" s="11">
        <f>IFERROR(__xludf.DUMMYFUNCTION("""COMPUTED_VALUE"""),1.0)</f>
        <v>1</v>
      </c>
      <c r="J147" s="11">
        <f>IFERROR(__xludf.DUMMYFUNCTION("""COMPUTED_VALUE"""),0.0)</f>
        <v>0</v>
      </c>
      <c r="K147" s="11">
        <f>IFERROR(__xludf.DUMMYFUNCTION("""COMPUTED_VALUE"""),1.0)</f>
        <v>1</v>
      </c>
    </row>
    <row r="148" ht="15.75" customHeight="1">
      <c r="A148" s="8" t="str">
        <f>IFERROR(__xludf.DUMMYFUNCTION("""COMPUTED_VALUE"""),"https://threebestrated.de/advertising-agencies-in-frankfurt#:~:text=1,and%20Creatives%20%E2%9C%93%20Tracking%20Integration")</f>
        <v>https://threebestrated.de/advertising-agencies-in-frankfurt#:~:text=1,and%20Creatives%20%E2%9C%93%20Tracking%20Integration</v>
      </c>
      <c r="B148" s="11" t="str">
        <f>IFERROR(__xludf.DUMMYFUNCTION("""COMPUTED_VALUE"""),"3 Best Advertising Agencies in Frankfurt - Expert Recommendations")</f>
        <v>3 Best Advertising Agencies in Frankfurt - Expert Recommendations</v>
      </c>
      <c r="C148" s="8" t="str">
        <f>IFERROR(__xludf.DUMMYFUNCTION("""COMPUTED_VALUE"""),"threebestrated.de")</f>
        <v>threebestrated.de</v>
      </c>
      <c r="D148" s="11" t="str">
        <f>IFERROR(__xludf.DUMMYFUNCTION("""COMPUTED_VALUE"""),"PROFILE")</f>
        <v>PROFILE</v>
      </c>
      <c r="E148" s="11" t="str">
        <f>IFERROR(__xludf.DUMMYFUNCTION("""COMPUTED_VALUE"""),"REFERENCE")</f>
        <v>REFERENCE</v>
      </c>
      <c r="F148" s="11" t="str">
        <f>IFERROR(__xludf.DUMMYFUNCTION("""COMPUTED_VALUE"""),"Profile")</f>
        <v>Profile</v>
      </c>
      <c r="G148" s="11" t="b">
        <f>IFERROR(__xludf.DUMMYFUNCTION("""COMPUTED_VALUE"""),FALSE)</f>
        <v>0</v>
      </c>
      <c r="H148" s="11" t="str">
        <f>IFERROR(__xludf.DUMMYFUNCTION("""COMPUTED_VALUE"""),"ZweiDigital GmbH")</f>
        <v>ZweiDigital GmbH</v>
      </c>
      <c r="I148" s="11">
        <f>IFERROR(__xludf.DUMMYFUNCTION("""COMPUTED_VALUE"""),1.0)</f>
        <v>1</v>
      </c>
      <c r="J148" s="11">
        <f>IFERROR(__xludf.DUMMYFUNCTION("""COMPUTED_VALUE"""),0.0)</f>
        <v>0</v>
      </c>
      <c r="K148" s="11">
        <f>IFERROR(__xludf.DUMMYFUNCTION("""COMPUTED_VALUE"""),1.0)</f>
        <v>1</v>
      </c>
    </row>
    <row r="149" ht="15.75" customHeight="1">
      <c r="A149" s="8" t="str">
        <f>IFERROR(__xludf.DUMMYFUNCTION("""COMPUTED_VALUE"""),"https://www.topinteractiveagencies.com/digital/agency/profile/europe/germany-deutschland/munich/serviceplan-group/")</f>
        <v>https://www.topinteractiveagencies.com/digital/agency/profile/europe/germany-deutschland/munich/serviceplan-group/</v>
      </c>
      <c r="B149" s="11" t="str">
        <f>IFERROR(__xludf.DUMMYFUNCTION("""COMPUTED_VALUE"""),"Serviceplan Group | Top Interactive Agencies")</f>
        <v>Serviceplan Group | Top Interactive Agencies</v>
      </c>
      <c r="C149" s="8" t="str">
        <f>IFERROR(__xludf.DUMMYFUNCTION("""COMPUTED_VALUE"""),"topinteractiveagencies.com")</f>
        <v>topinteractiveagencies.com</v>
      </c>
      <c r="D149" s="11" t="str">
        <f>IFERROR(__xludf.DUMMYFUNCTION("""COMPUTED_VALUE"""),"PROFILE")</f>
        <v>PROFILE</v>
      </c>
      <c r="E149" s="11" t="str">
        <f>IFERROR(__xludf.DUMMYFUNCTION("""COMPUTED_VALUE"""),"REFERENCE")</f>
        <v>REFERENCE</v>
      </c>
      <c r="F149" s="11" t="str">
        <f>IFERROR(__xludf.DUMMYFUNCTION("""COMPUTED_VALUE"""),"Profile")</f>
        <v>Profile</v>
      </c>
      <c r="G149" s="11" t="b">
        <f>IFERROR(__xludf.DUMMYFUNCTION("""COMPUTED_VALUE"""),FALSE)</f>
        <v>0</v>
      </c>
      <c r="H149" s="11" t="str">
        <f>IFERROR(__xludf.DUMMYFUNCTION("""COMPUTED_VALUE"""),"Serviceplan Group, Huge, Monks")</f>
        <v>Serviceplan Group, Huge, Monks</v>
      </c>
      <c r="I149" s="11">
        <f>IFERROR(__xludf.DUMMYFUNCTION("""COMPUTED_VALUE"""),1.0)</f>
        <v>1</v>
      </c>
      <c r="J149" s="11">
        <f>IFERROR(__xludf.DUMMYFUNCTION("""COMPUTED_VALUE"""),0.0)</f>
        <v>0</v>
      </c>
      <c r="K149" s="11">
        <f>IFERROR(__xludf.DUMMYFUNCTION("""COMPUTED_VALUE"""),1.0)</f>
        <v>1</v>
      </c>
    </row>
    <row r="150" ht="15.75" customHeight="1">
      <c r="A150" s="8" t="str">
        <f>IFERROR(__xludf.DUMMYFUNCTION("""COMPUTED_VALUE"""),"https://tradefest.io/es/event/d3con")</f>
        <v>https://tradefest.io/es/event/d3con</v>
      </c>
      <c r="B150" s="11" t="str">
        <f>IFERROR(__xludf.DUMMYFUNCTION("""COMPUTED_VALUE"""),"d3con 2027")</f>
        <v>d3con 2027</v>
      </c>
      <c r="C150" s="8" t="str">
        <f>IFERROR(__xludf.DUMMYFUNCTION("""COMPUTED_VALUE"""),"tradefest.io")</f>
        <v>tradefest.io</v>
      </c>
      <c r="D150" s="11" t="str">
        <f>IFERROR(__xludf.DUMMYFUNCTION("""COMPUTED_VALUE"""),"PROFILE")</f>
        <v>PROFILE</v>
      </c>
      <c r="E150" s="11" t="str">
        <f>IFERROR(__xludf.DUMMYFUNCTION("""COMPUTED_VALUE"""),"UGC")</f>
        <v>UGC</v>
      </c>
      <c r="F150" s="11" t="str">
        <f>IFERROR(__xludf.DUMMYFUNCTION("""COMPUTED_VALUE"""),"Profile")</f>
        <v>Profile</v>
      </c>
      <c r="G150" s="11" t="b">
        <f>IFERROR(__xludf.DUMMYFUNCTION("""COMPUTED_VALUE"""),FALSE)</f>
        <v>0</v>
      </c>
      <c r="H150" s="11"/>
      <c r="I150" s="11">
        <f>IFERROR(__xludf.DUMMYFUNCTION("""COMPUTED_VALUE"""),1.0)</f>
        <v>1</v>
      </c>
      <c r="J150" s="11">
        <f>IFERROR(__xludf.DUMMYFUNCTION("""COMPUTED_VALUE"""),0.0)</f>
        <v>0</v>
      </c>
      <c r="K150" s="11">
        <f>IFERROR(__xludf.DUMMYFUNCTION("""COMPUTED_VALUE"""),1.0)</f>
        <v>1</v>
      </c>
    </row>
    <row r="151" ht="15.75" customHeight="1">
      <c r="A151" s="8" t="str">
        <f>IFERROR(__xludf.DUMMYFUNCTION("""COMPUTED_VALUE"""),"https://trendkraft.io/agentur/boutique-agency")</f>
        <v>https://trendkraft.io/agentur/boutique-agency</v>
      </c>
      <c r="B151" s="11" t="str">
        <f>IFERROR(__xludf.DUMMYFUNCTION("""COMPUTED_VALUE"""),"The Boutique Agency, München | DE")</f>
        <v>The Boutique Agency, München | DE</v>
      </c>
      <c r="C151" s="8" t="str">
        <f>IFERROR(__xludf.DUMMYFUNCTION("""COMPUTED_VALUE"""),"trendkraft.io")</f>
        <v>trendkraft.io</v>
      </c>
      <c r="D151" s="11" t="str">
        <f>IFERROR(__xludf.DUMMYFUNCTION("""COMPUTED_VALUE"""),"PROFILE")</f>
        <v>PROFILE</v>
      </c>
      <c r="E151" s="11" t="str">
        <f>IFERROR(__xludf.DUMMYFUNCTION("""COMPUTED_VALUE"""),"CORPORATE")</f>
        <v>CORPORATE</v>
      </c>
      <c r="F151" s="11" t="str">
        <f>IFERROR(__xludf.DUMMYFUNCTION("""COMPUTED_VALUE"""),"Profile")</f>
        <v>Profile</v>
      </c>
      <c r="G151" s="11" t="b">
        <f>IFERROR(__xludf.DUMMYFUNCTION("""COMPUTED_VALUE"""),FALSE)</f>
        <v>0</v>
      </c>
      <c r="H151" s="11" t="str">
        <f>IFERROR(__xludf.DUMMYFUNCTION("""COMPUTED_VALUE"""),"The Boutique Agency")</f>
        <v>The Boutique Agency</v>
      </c>
      <c r="I151" s="11">
        <f>IFERROR(__xludf.DUMMYFUNCTION("""COMPUTED_VALUE"""),1.0)</f>
        <v>1</v>
      </c>
      <c r="J151" s="11">
        <f>IFERROR(__xludf.DUMMYFUNCTION("""COMPUTED_VALUE"""),0.0)</f>
        <v>0</v>
      </c>
      <c r="K151" s="11">
        <f>IFERROR(__xludf.DUMMYFUNCTION("""COMPUTED_VALUE"""),2.0)</f>
        <v>2</v>
      </c>
    </row>
    <row r="152" ht="15.75" customHeight="1">
      <c r="A152" s="8" t="str">
        <f>IFERROR(__xludf.DUMMYFUNCTION("""COMPUTED_VALUE"""),"https://usercentrics.com/partner-network/jung-von-matt-ag/")</f>
        <v>https://usercentrics.com/partner-network/jung-von-matt-ag/</v>
      </c>
      <c r="B152" s="11" t="str">
        <f>IFERROR(__xludf.DUMMYFUNCTION("""COMPUTED_VALUE"""),"Jung von Matt AG - Consent Management Platform (CMP) Usercentrics")</f>
        <v>Jung von Matt AG - Consent Management Platform (CMP) Usercentrics</v>
      </c>
      <c r="C152" s="8" t="str">
        <f>IFERROR(__xludf.DUMMYFUNCTION("""COMPUTED_VALUE"""),"usercentrics.com")</f>
        <v>usercentrics.com</v>
      </c>
      <c r="D152" s="11" t="str">
        <f>IFERROR(__xludf.DUMMYFUNCTION("""COMPUTED_VALUE"""),"PROFILE")</f>
        <v>PROFILE</v>
      </c>
      <c r="E152" s="11" t="str">
        <f>IFERROR(__xludf.DUMMYFUNCTION("""COMPUTED_VALUE"""),"CORPORATE")</f>
        <v>CORPORATE</v>
      </c>
      <c r="F152" s="11" t="str">
        <f>IFERROR(__xludf.DUMMYFUNCTION("""COMPUTED_VALUE"""),"Profile")</f>
        <v>Profile</v>
      </c>
      <c r="G152" s="11" t="b">
        <f>IFERROR(__xludf.DUMMYFUNCTION("""COMPUTED_VALUE"""),FALSE)</f>
        <v>0</v>
      </c>
      <c r="H152" s="11" t="str">
        <f>IFERROR(__xludf.DUMMYFUNCTION("""COMPUTED_VALUE"""),"Jung von Matt")</f>
        <v>Jung von Matt</v>
      </c>
      <c r="I152" s="11">
        <f>IFERROR(__xludf.DUMMYFUNCTION("""COMPUTED_VALUE"""),1.0)</f>
        <v>1</v>
      </c>
      <c r="J152" s="11">
        <f>IFERROR(__xludf.DUMMYFUNCTION("""COMPUTED_VALUE"""),0.0)</f>
        <v>0</v>
      </c>
      <c r="K152" s="11">
        <f>IFERROR(__xludf.DUMMYFUNCTION("""COMPUTED_VALUE"""),3.0)</f>
        <v>3</v>
      </c>
    </row>
    <row r="153" ht="15.75" customHeight="1">
      <c r="A153" s="8" t="str">
        <f>IFERROR(__xludf.DUMMYFUNCTION("""COMPUTED_VALUE"""),"https://www.werbeagentur.de/de/a/artefact-germany-gmbh")</f>
        <v>https://www.werbeagentur.de/de/a/artefact-germany-gmbh</v>
      </c>
      <c r="B153" s="11" t="str">
        <f>IFERROR(__xludf.DUMMYFUNCTION("""COMPUTED_VALUE"""),"Artefact Germany GmbH")</f>
        <v>Artefact Germany GmbH</v>
      </c>
      <c r="C153" s="8" t="str">
        <f>IFERROR(__xludf.DUMMYFUNCTION("""COMPUTED_VALUE"""),"werbeagentur.de")</f>
        <v>werbeagentur.de</v>
      </c>
      <c r="D153" s="11" t="str">
        <f>IFERROR(__xludf.DUMMYFUNCTION("""COMPUTED_VALUE"""),"PROFILE")</f>
        <v>PROFILE</v>
      </c>
      <c r="E153" s="11" t="str">
        <f>IFERROR(__xludf.DUMMYFUNCTION("""COMPUTED_VALUE"""),"REFERENCE")</f>
        <v>REFERENCE</v>
      </c>
      <c r="F153" s="11" t="str">
        <f>IFERROR(__xludf.DUMMYFUNCTION("""COMPUTED_VALUE"""),"Profile")</f>
        <v>Profile</v>
      </c>
      <c r="G153" s="11" t="b">
        <f>IFERROR(__xludf.DUMMYFUNCTION("""COMPUTED_VALUE"""),FALSE)</f>
        <v>0</v>
      </c>
      <c r="H153" s="11" t="str">
        <f>IFERROR(__xludf.DUMMYFUNCTION("""COMPUTED_VALUE"""),"Artefact")</f>
        <v>Artefact</v>
      </c>
      <c r="I153" s="11">
        <f>IFERROR(__xludf.DUMMYFUNCTION("""COMPUTED_VALUE"""),1.0)</f>
        <v>1</v>
      </c>
      <c r="J153" s="11">
        <f>IFERROR(__xludf.DUMMYFUNCTION("""COMPUTED_VALUE"""),0.0)</f>
        <v>0</v>
      </c>
      <c r="K153" s="11">
        <f>IFERROR(__xludf.DUMMYFUNCTION("""COMPUTED_VALUE"""),1.0)</f>
        <v>1</v>
      </c>
    </row>
    <row r="154" ht="15.75" customHeight="1">
      <c r="A154" s="8" t="str">
        <f>IFERROR(__xludf.DUMMYFUNCTION("""COMPUTED_VALUE"""),"https://www.werbeagentur.de/de/scoring/ab-testing")</f>
        <v>https://www.werbeagentur.de/de/scoring/ab-testing</v>
      </c>
      <c r="B154" s="11" t="str">
        <f>IFERROR(__xludf.DUMMYFUNCTION("""COMPUTED_VALUE"""),"29 Top Agenturen für AB Testing. Hier vergleichen")</f>
        <v>29 Top Agenturen für AB Testing. Hier vergleichen</v>
      </c>
      <c r="C154" s="8" t="str">
        <f>IFERROR(__xludf.DUMMYFUNCTION("""COMPUTED_VALUE"""),"werbeagentur.de")</f>
        <v>werbeagentur.de</v>
      </c>
      <c r="D154" s="11" t="str">
        <f>IFERROR(__xludf.DUMMYFUNCTION("""COMPUTED_VALUE"""),"PROFILE")</f>
        <v>PROFILE</v>
      </c>
      <c r="E154" s="11" t="str">
        <f>IFERROR(__xludf.DUMMYFUNCTION("""COMPUTED_VALUE"""),"REFERENCE")</f>
        <v>REFERENCE</v>
      </c>
      <c r="F154" s="11" t="str">
        <f>IFERROR(__xludf.DUMMYFUNCTION("""COMPUTED_VALUE"""),"Profile")</f>
        <v>Profile</v>
      </c>
      <c r="G154" s="11" t="b">
        <f>IFERROR(__xludf.DUMMYFUNCTION("""COMPUTED_VALUE"""),FALSE)</f>
        <v>0</v>
      </c>
      <c r="H154" s="11" t="str">
        <f>IFERROR(__xludf.DUMMYFUNCTION("""COMPUTED_VALUE"""),"morefire, Digital Masters GmbH")</f>
        <v>morefire, Digital Masters GmbH</v>
      </c>
      <c r="I154" s="11">
        <f>IFERROR(__xludf.DUMMYFUNCTION("""COMPUTED_VALUE"""),1.0)</f>
        <v>1</v>
      </c>
      <c r="J154" s="11">
        <f>IFERROR(__xludf.DUMMYFUNCTION("""COMPUTED_VALUE"""),0.0)</f>
        <v>0</v>
      </c>
      <c r="K154" s="11">
        <f>IFERROR(__xludf.DUMMYFUNCTION("""COMPUTED_VALUE"""),0.0)</f>
        <v>0</v>
      </c>
    </row>
    <row r="155" ht="15.75" customHeight="1">
      <c r="A155" s="8" t="str">
        <f>IFERROR(__xludf.DUMMYFUNCTION("""COMPUTED_VALUE"""),"https://www.wpp.com/en/about")</f>
        <v>https://www.wpp.com/en/about</v>
      </c>
      <c r="B155" s="11" t="str">
        <f>IFERROR(__xludf.DUMMYFUNCTION("""COMPUTED_VALUE"""),"About WPP – the trusted growth partner for leading brands | WPP")</f>
        <v>About WPP – the trusted growth partner for leading brands | WPP</v>
      </c>
      <c r="C155" s="8" t="str">
        <f>IFERROR(__xludf.DUMMYFUNCTION("""COMPUTED_VALUE"""),"wpp.com")</f>
        <v>wpp.com</v>
      </c>
      <c r="D155" s="11" t="str">
        <f>IFERROR(__xludf.DUMMYFUNCTION("""COMPUTED_VALUE"""),"PROFILE")</f>
        <v>PROFILE</v>
      </c>
      <c r="E155" s="11" t="str">
        <f>IFERROR(__xludf.DUMMYFUNCTION("""COMPUTED_VALUE"""),"COMPETITOR")</f>
        <v>COMPETITOR</v>
      </c>
      <c r="F155" s="11" t="str">
        <f>IFERROR(__xludf.DUMMYFUNCTION("""COMPUTED_VALUE"""),"Profile")</f>
        <v>Profile</v>
      </c>
      <c r="G155" s="11" t="b">
        <f>IFERROR(__xludf.DUMMYFUNCTION("""COMPUTED_VALUE"""),FALSE)</f>
        <v>0</v>
      </c>
      <c r="H155" s="11" t="str">
        <f>IFERROR(__xludf.DUMMYFUNCTION("""COMPUTED_VALUE"""),"WPP")</f>
        <v>WPP</v>
      </c>
      <c r="I155" s="11">
        <f>IFERROR(__xludf.DUMMYFUNCTION("""COMPUTED_VALUE"""),1.0)</f>
        <v>1</v>
      </c>
      <c r="J155" s="11">
        <f>IFERROR(__xludf.DUMMYFUNCTION("""COMPUTED_VALUE"""),0.0)</f>
        <v>0</v>
      </c>
      <c r="K155" s="11">
        <f>IFERROR(__xludf.DUMMYFUNCTION("""COMPUTED_VALUE"""),0.0)</f>
        <v>0</v>
      </c>
    </row>
    <row r="156" ht="15.75" customHeight="1">
      <c r="A156" s="8" t="str">
        <f>IFERROR(__xludf.DUMMYFUNCTION("""COMPUTED_VALUE"""),"https://www.wpp.com/en/about/our-company")</f>
        <v>https://www.wpp.com/en/about/our-company</v>
      </c>
      <c r="B156" s="11" t="str">
        <f>IFERROR(__xludf.DUMMYFUNCTION("""COMPUTED_VALUE"""),"Our company | WPP")</f>
        <v>Our company | WPP</v>
      </c>
      <c r="C156" s="8" t="str">
        <f>IFERROR(__xludf.DUMMYFUNCTION("""COMPUTED_VALUE"""),"wpp.com")</f>
        <v>wpp.com</v>
      </c>
      <c r="D156" s="11" t="str">
        <f>IFERROR(__xludf.DUMMYFUNCTION("""COMPUTED_VALUE"""),"PROFILE")</f>
        <v>PROFILE</v>
      </c>
      <c r="E156" s="11" t="str">
        <f>IFERROR(__xludf.DUMMYFUNCTION("""COMPUTED_VALUE"""),"COMPETITOR")</f>
        <v>COMPETITOR</v>
      </c>
      <c r="F156" s="11" t="str">
        <f>IFERROR(__xludf.DUMMYFUNCTION("""COMPUTED_VALUE"""),"Profile")</f>
        <v>Profile</v>
      </c>
      <c r="G156" s="11" t="b">
        <f>IFERROR(__xludf.DUMMYFUNCTION("""COMPUTED_VALUE"""),FALSE)</f>
        <v>0</v>
      </c>
      <c r="H156" s="11" t="str">
        <f>IFERROR(__xludf.DUMMYFUNCTION("""COMPUTED_VALUE"""),"WPP, Ogilvy, AKQA")</f>
        <v>WPP, Ogilvy, AKQA</v>
      </c>
      <c r="I156" s="11">
        <f>IFERROR(__xludf.DUMMYFUNCTION("""COMPUTED_VALUE"""),1.0)</f>
        <v>1</v>
      </c>
      <c r="J156" s="11">
        <f>IFERROR(__xludf.DUMMYFUNCTION("""COMPUTED_VALUE"""),0.0)</f>
        <v>0</v>
      </c>
      <c r="K156" s="11">
        <f>IFERROR(__xludf.DUMMYFUNCTION("""COMPUTED_VALUE"""),0.0)</f>
        <v>0</v>
      </c>
    </row>
    <row r="157" ht="15.75" customHeight="1">
      <c r="A157" s="8" t="str">
        <f>IFERROR(__xludf.DUMMYFUNCTION("""COMPUTED_VALUE"""),"https://www.wpp.com/en/companies/scholz--friends")</f>
        <v>https://www.wpp.com/en/companies/scholz--friends</v>
      </c>
      <c r="B157" s="11" t="str">
        <f>IFERROR(__xludf.DUMMYFUNCTION("""COMPUTED_VALUE"""),"Scholz &amp;amp; Friends | WPP")</f>
        <v>Scholz &amp;amp; Friends | WPP</v>
      </c>
      <c r="C157" s="8" t="str">
        <f>IFERROR(__xludf.DUMMYFUNCTION("""COMPUTED_VALUE"""),"wpp.com")</f>
        <v>wpp.com</v>
      </c>
      <c r="D157" s="11" t="str">
        <f>IFERROR(__xludf.DUMMYFUNCTION("""COMPUTED_VALUE"""),"PROFILE")</f>
        <v>PROFILE</v>
      </c>
      <c r="E157" s="11" t="str">
        <f>IFERROR(__xludf.DUMMYFUNCTION("""COMPUTED_VALUE"""),"COMPETITOR")</f>
        <v>COMPETITOR</v>
      </c>
      <c r="F157" s="11" t="str">
        <f>IFERROR(__xludf.DUMMYFUNCTION("""COMPUTED_VALUE"""),"Profile")</f>
        <v>Profile</v>
      </c>
      <c r="G157" s="11" t="b">
        <f>IFERROR(__xludf.DUMMYFUNCTION("""COMPUTED_VALUE"""),FALSE)</f>
        <v>0</v>
      </c>
      <c r="H157" s="11" t="str">
        <f>IFERROR(__xludf.DUMMYFUNCTION("""COMPUTED_VALUE"""),"Scholz &amp; Friends, WPP")</f>
        <v>Scholz &amp; Friends, WPP</v>
      </c>
      <c r="I157" s="11">
        <f>IFERROR(__xludf.DUMMYFUNCTION("""COMPUTED_VALUE"""),1.0)</f>
        <v>1</v>
      </c>
      <c r="J157" s="11">
        <f>IFERROR(__xludf.DUMMYFUNCTION("""COMPUTED_VALUE"""),0.0)</f>
        <v>0</v>
      </c>
      <c r="K157" s="11">
        <f>IFERROR(__xludf.DUMMYFUNCTION("""COMPUTED_VALUE"""),2.0)</f>
        <v>2</v>
      </c>
    </row>
    <row r="158" ht="15.75" customHeight="1">
      <c r="A158" s="8" t="str">
        <f>IFERROR(__xludf.DUMMYFUNCTION("""COMPUTED_VALUE"""),"https://zeotap.com/our-partner/trkkn/")</f>
        <v>https://zeotap.com/our-partner/trkkn/</v>
      </c>
      <c r="B158" s="11" t="str">
        <f>IFERROR(__xludf.DUMMYFUNCTION("""COMPUTED_VALUE"""),"TRKKN | Zeotap")</f>
        <v>TRKKN | Zeotap</v>
      </c>
      <c r="C158" s="8" t="str">
        <f>IFERROR(__xludf.DUMMYFUNCTION("""COMPUTED_VALUE"""),"zeotap.com")</f>
        <v>zeotap.com</v>
      </c>
      <c r="D158" s="11" t="str">
        <f>IFERROR(__xludf.DUMMYFUNCTION("""COMPUTED_VALUE"""),"PROFILE")</f>
        <v>PROFILE</v>
      </c>
      <c r="E158" s="11" t="str">
        <f>IFERROR(__xludf.DUMMYFUNCTION("""COMPUTED_VALUE"""),"CORPORATE")</f>
        <v>CORPORATE</v>
      </c>
      <c r="F158" s="11" t="str">
        <f>IFERROR(__xludf.DUMMYFUNCTION("""COMPUTED_VALUE"""),"Profile")</f>
        <v>Profile</v>
      </c>
      <c r="G158" s="11" t="b">
        <f>IFERROR(__xludf.DUMMYFUNCTION("""COMPUTED_VALUE"""),FALSE)</f>
        <v>0</v>
      </c>
      <c r="H158" s="11" t="str">
        <f>IFERROR(__xludf.DUMMYFUNCTION("""COMPUTED_VALUE"""),"Omnicom, Omnicom Media Group")</f>
        <v>Omnicom, Omnicom Media Group</v>
      </c>
      <c r="I158" s="11">
        <f>IFERROR(__xludf.DUMMYFUNCTION("""COMPUTED_VALUE"""),1.0)</f>
        <v>1</v>
      </c>
      <c r="J158" s="11">
        <f>IFERROR(__xludf.DUMMYFUNCTION("""COMPUTED_VALUE"""),0.0)</f>
        <v>0</v>
      </c>
      <c r="K158" s="11">
        <f>IFERROR(__xludf.DUMMYFUNCTION("""COMPUTED_VALUE"""),1.0)</f>
        <v>1</v>
      </c>
    </row>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location=":~:text=As%20a%20Berlin%2Dbased%20branding,lifestyle%2C%20technology%20and%20art%20sectors."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A65"/>
    <hyperlink r:id="rId126" ref="C65"/>
    <hyperlink r:id="rId127" ref="A66"/>
    <hyperlink r:id="rId128" ref="C66"/>
    <hyperlink r:id="rId129" ref="A67"/>
    <hyperlink r:id="rId130" ref="C67"/>
    <hyperlink r:id="rId131" ref="A68"/>
    <hyperlink r:id="rId132" ref="C68"/>
    <hyperlink r:id="rId133" ref="A69"/>
    <hyperlink r:id="rId134" ref="C69"/>
    <hyperlink r:id="rId135" ref="A70"/>
    <hyperlink r:id="rId136" ref="C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C114"/>
    <hyperlink r:id="rId225" ref="A115"/>
    <hyperlink r:id="rId226" ref="C115"/>
    <hyperlink r:id="rId227" ref="A116"/>
    <hyperlink r:id="rId228" ref="C116"/>
    <hyperlink r:id="rId229" ref="A117"/>
    <hyperlink r:id="rId230" ref="C117"/>
    <hyperlink r:id="rId231" location=":~:text=Serviceplan%20Group%20was%20named%20Independent,experts%20at%2025%20locations%20worldwide." ref="A118"/>
    <hyperlink r:id="rId232" ref="C118"/>
    <hyperlink r:id="rId233" ref="A119"/>
    <hyperlink r:id="rId234" ref="C119"/>
    <hyperlink r:id="rId235" ref="A120"/>
    <hyperlink r:id="rId236" ref="C120"/>
    <hyperlink r:id="rId237" ref="A121"/>
    <hyperlink r:id="rId238" ref="C121"/>
    <hyperlink r:id="rId239" ref="A122"/>
    <hyperlink r:id="rId240" ref="C122"/>
    <hyperlink r:id="rId241" ref="A123"/>
    <hyperlink r:id="rId242" ref="C123"/>
    <hyperlink r:id="rId243" ref="A124"/>
    <hyperlink r:id="rId244" ref="C124"/>
    <hyperlink r:id="rId245" ref="A125"/>
    <hyperlink r:id="rId246" ref="C125"/>
    <hyperlink r:id="rId247" ref="A126"/>
    <hyperlink r:id="rId248" ref="C126"/>
    <hyperlink r:id="rId249" ref="A127"/>
    <hyperlink r:id="rId250" ref="C127"/>
    <hyperlink r:id="rId251" ref="A128"/>
    <hyperlink r:id="rId252" ref="C128"/>
    <hyperlink r:id="rId253" ref="A129"/>
    <hyperlink r:id="rId254" ref="C129"/>
    <hyperlink r:id="rId255" ref="A130"/>
    <hyperlink r:id="rId256" ref="C130"/>
    <hyperlink r:id="rId257" ref="A131"/>
    <hyperlink r:id="rId258" ref="C131"/>
    <hyperlink r:id="rId259" ref="A132"/>
    <hyperlink r:id="rId260" ref="C132"/>
    <hyperlink r:id="rId261" ref="A133"/>
    <hyperlink r:id="rId262" ref="C133"/>
    <hyperlink r:id="rId263" ref="A134"/>
    <hyperlink r:id="rId264" ref="C134"/>
    <hyperlink r:id="rId265" ref="A135"/>
    <hyperlink r:id="rId266" ref="C135"/>
    <hyperlink r:id="rId267" ref="A136"/>
    <hyperlink r:id="rId268" ref="C136"/>
    <hyperlink r:id="rId269" ref="A137"/>
    <hyperlink r:id="rId270" ref="C137"/>
    <hyperlink r:id="rId271" ref="A138"/>
    <hyperlink r:id="rId272" ref="C138"/>
    <hyperlink r:id="rId273" ref="A139"/>
    <hyperlink r:id="rId274" ref="C139"/>
    <hyperlink r:id="rId275" ref="A140"/>
    <hyperlink r:id="rId276" ref="C140"/>
    <hyperlink r:id="rId277" ref="A141"/>
    <hyperlink r:id="rId278" ref="C141"/>
    <hyperlink r:id="rId279" ref="A142"/>
    <hyperlink r:id="rId280" ref="C142"/>
    <hyperlink r:id="rId281" ref="A143"/>
    <hyperlink r:id="rId282" ref="A144"/>
    <hyperlink r:id="rId283" ref="C144"/>
    <hyperlink r:id="rId284" ref="A145"/>
    <hyperlink r:id="rId285" ref="C145"/>
    <hyperlink r:id="rId286" ref="A146"/>
    <hyperlink r:id="rId287" ref="C146"/>
    <hyperlink r:id="rId288" ref="A147"/>
    <hyperlink r:id="rId289" ref="C147"/>
    <hyperlink r:id="rId290" location=":~:text=1,and%20Creatives%20%E2%9C%93%20Tracking%20Integration" ref="A148"/>
    <hyperlink r:id="rId291" ref="C148"/>
    <hyperlink r:id="rId292" ref="A149"/>
    <hyperlink r:id="rId293" ref="C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ref="A155"/>
    <hyperlink r:id="rId305" ref="C155"/>
    <hyperlink r:id="rId306" ref="A156"/>
    <hyperlink r:id="rId307" ref="C156"/>
    <hyperlink r:id="rId308" ref="A157"/>
    <hyperlink r:id="rId309" ref="C157"/>
    <hyperlink r:id="rId310" ref="A158"/>
    <hyperlink r:id="rId311" ref="C158"/>
  </hyperlinks>
  <drawing r:id="rId312"/>
</worksheet>
</file>